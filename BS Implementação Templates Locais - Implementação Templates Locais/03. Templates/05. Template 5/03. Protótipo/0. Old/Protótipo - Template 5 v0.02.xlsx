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 activeTab="1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<sst xmlns="http://schemas.openxmlformats.org/spreadsheetml/2006/main" count="35092" uniqueCount="100">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</sst>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5114"/>
  <sheetViews>
    <sheetView workbookViewId="0"/>
  </sheetViews>
  <sheetFormatPr defaultColWidth="11.44140625" defaultRowHeight="14.4" x14ac:dyDescent="0.3"/>
  <cols>
    <col min="1" max="1" width="8" style="32" customWidth="1"/>
    <col min="2" max="2" width="30.109375" style="32" bestFit="1" customWidth="1"/>
    <col min="3" max="3" width="11.109375" style="32" customWidth="1"/>
    <col min="4" max="4" width="19.33203125" style="32" bestFit="1" customWidth="1"/>
    <col min="5" max="5" width="10.88671875" style="32" customWidth="1"/>
    <col min="6" max="6" width="11.44140625" style="32" customWidth="1"/>
    <col min="7" max="7" width="16.44140625" style="32" customWidth="1"/>
    <col min="8" max="8" width="18" style="32" bestFit="1" customWidth="1"/>
    <col min="9" max="9" width="19" style="32" customWidth="1"/>
    <col min="10" max="10" width="13.5546875" style="32" customWidth="1"/>
    <col min="11" max="11" width="12" style="32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22</v>
      </c>
      <c r="B2" t="s">
        <v>11</v>
      </c>
      <c r="C2" t="s">
        <v>12</v>
      </c>
      <c r="D2" t="s">
        <v>13</v>
      </c>
      <c r="E2">
        <v>4</v>
      </c>
      <c r="F2" t="s">
        <v>33</v>
      </c>
      <c r="G2" t="s">
        <v>15</v>
      </c>
      <c r="H2" t="s">
        <v>16</v>
      </c>
      <c r="I2">
        <v>0</v>
      </c>
      <c r="J2" s="23">
        <v>-15447</v>
      </c>
      <c r="K2" t="s">
        <v>17</v>
      </c>
    </row>
    <row r="3" spans="1:12" ht="15" customHeight="1" x14ac:dyDescent="0.3">
      <c r="A3" t="s">
        <v>22</v>
      </c>
      <c r="B3" t="s">
        <v>11</v>
      </c>
      <c r="C3" t="s">
        <v>12</v>
      </c>
      <c r="D3" t="s">
        <v>28</v>
      </c>
      <c r="E3">
        <v>7</v>
      </c>
      <c r="F3" t="s">
        <v>40</v>
      </c>
      <c r="G3" t="s">
        <v>15</v>
      </c>
      <c r="H3" t="s">
        <v>16</v>
      </c>
      <c r="I3">
        <v>0</v>
      </c>
      <c r="J3" s="23">
        <v>-141088</v>
      </c>
      <c r="K3" t="s">
        <v>17</v>
      </c>
    </row>
    <row r="4" spans="1:12" ht="15" customHeight="1" x14ac:dyDescent="0.3">
      <c r="A4" t="s">
        <v>18</v>
      </c>
      <c r="B4" t="s">
        <v>11</v>
      </c>
      <c r="C4" t="s">
        <v>24</v>
      </c>
      <c r="D4" t="s">
        <v>28</v>
      </c>
      <c r="E4">
        <v>9</v>
      </c>
      <c r="F4" t="s">
        <v>30</v>
      </c>
      <c r="G4" t="s">
        <v>15</v>
      </c>
      <c r="H4" t="s">
        <v>16</v>
      </c>
      <c r="I4">
        <v>0</v>
      </c>
      <c r="J4" s="23">
        <v>5590754</v>
      </c>
      <c r="K4">
        <v>50316786</v>
      </c>
    </row>
    <row r="5" spans="1:12" ht="15" customHeight="1" x14ac:dyDescent="0.3">
      <c r="A5" t="s">
        <v>18</v>
      </c>
      <c r="B5" t="s">
        <v>11</v>
      </c>
      <c r="C5" t="s">
        <v>12</v>
      </c>
      <c r="D5" t="s">
        <v>13</v>
      </c>
      <c r="E5">
        <v>2</v>
      </c>
      <c r="F5" t="s">
        <v>37</v>
      </c>
      <c r="G5" t="s">
        <v>15</v>
      </c>
      <c r="H5" t="s">
        <v>16</v>
      </c>
      <c r="I5">
        <v>0</v>
      </c>
      <c r="J5" s="23">
        <v>-16276</v>
      </c>
      <c r="K5" t="s">
        <v>17</v>
      </c>
    </row>
    <row r="6" spans="1:12" ht="15" customHeight="1" x14ac:dyDescent="0.3">
      <c r="A6" t="s">
        <v>10</v>
      </c>
      <c r="B6" t="s">
        <v>19</v>
      </c>
      <c r="C6" t="s">
        <v>12</v>
      </c>
      <c r="D6" t="s">
        <v>20</v>
      </c>
      <c r="E6">
        <v>23</v>
      </c>
      <c r="F6"/>
      <c r="G6" t="s">
        <v>31</v>
      </c>
      <c r="H6" t="s">
        <v>16</v>
      </c>
      <c r="I6">
        <v>1</v>
      </c>
      <c r="J6" s="23">
        <v>-38061</v>
      </c>
      <c r="K6" t="s">
        <v>17</v>
      </c>
    </row>
    <row r="7" spans="1:12" ht="15" customHeight="1" x14ac:dyDescent="0.3">
      <c r="A7" t="s">
        <v>22</v>
      </c>
      <c r="B7" t="s">
        <v>19</v>
      </c>
      <c r="C7" t="s">
        <v>24</v>
      </c>
      <c r="D7" t="s">
        <v>20</v>
      </c>
      <c r="E7">
        <v>6</v>
      </c>
      <c r="F7"/>
      <c r="G7" t="s">
        <v>15</v>
      </c>
      <c r="H7" t="s">
        <v>16</v>
      </c>
      <c r="I7">
        <v>0</v>
      </c>
      <c r="J7" s="23">
        <v>1899760</v>
      </c>
      <c r="K7">
        <v>11398560</v>
      </c>
    </row>
    <row r="8" spans="1:12" ht="15" customHeight="1" x14ac:dyDescent="0.3">
      <c r="A8" t="s">
        <v>18</v>
      </c>
      <c r="B8" t="s">
        <v>11</v>
      </c>
      <c r="C8" t="s">
        <v>12</v>
      </c>
      <c r="D8" t="s">
        <v>28</v>
      </c>
      <c r="E8">
        <v>16</v>
      </c>
      <c r="F8" t="s">
        <v>30</v>
      </c>
      <c r="G8" t="s">
        <v>15</v>
      </c>
      <c r="H8" t="s">
        <v>16</v>
      </c>
      <c r="I8">
        <v>0</v>
      </c>
      <c r="J8" s="23">
        <v>-781</v>
      </c>
      <c r="K8" t="s">
        <v>17</v>
      </c>
    </row>
    <row r="9" spans="1:12" ht="15" customHeight="1" x14ac:dyDescent="0.3">
      <c r="A9" t="s">
        <v>10</v>
      </c>
      <c r="B9" t="s">
        <v>11</v>
      </c>
      <c r="C9" t="s">
        <v>12</v>
      </c>
      <c r="D9" t="s">
        <v>28</v>
      </c>
      <c r="E9">
        <v>9</v>
      </c>
      <c r="F9" t="s">
        <v>40</v>
      </c>
      <c r="G9" t="s">
        <v>15</v>
      </c>
      <c r="H9" t="s">
        <v>16</v>
      </c>
      <c r="I9">
        <v>0</v>
      </c>
      <c r="J9" s="23">
        <v>-164456</v>
      </c>
      <c r="K9" t="s">
        <v>17</v>
      </c>
    </row>
    <row r="10" spans="1:12" ht="15" customHeight="1" x14ac:dyDescent="0.3">
      <c r="A10" t="s">
        <v>18</v>
      </c>
      <c r="B10" t="s">
        <v>11</v>
      </c>
      <c r="C10" t="s">
        <v>24</v>
      </c>
      <c r="D10" t="s">
        <v>28</v>
      </c>
      <c r="E10">
        <v>11</v>
      </c>
      <c r="F10" t="s">
        <v>27</v>
      </c>
      <c r="G10" t="s">
        <v>15</v>
      </c>
      <c r="H10" t="s">
        <v>16</v>
      </c>
      <c r="I10">
        <v>0</v>
      </c>
      <c r="J10" s="23">
        <v>547470</v>
      </c>
      <c r="K10">
        <v>6022170</v>
      </c>
    </row>
    <row r="11" spans="1:12" ht="15" customHeight="1" x14ac:dyDescent="0.3">
      <c r="A11" t="s">
        <v>10</v>
      </c>
      <c r="B11" t="s">
        <v>11</v>
      </c>
      <c r="C11" t="s">
        <v>12</v>
      </c>
      <c r="D11" t="s">
        <v>28</v>
      </c>
      <c r="E11">
        <v>7</v>
      </c>
      <c r="F11" t="s">
        <v>30</v>
      </c>
      <c r="G11" t="s">
        <v>15</v>
      </c>
      <c r="H11" t="s">
        <v>16</v>
      </c>
      <c r="I11">
        <v>0</v>
      </c>
      <c r="J11" s="23">
        <v>-30730</v>
      </c>
      <c r="K11" t="s">
        <v>17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28</v>
      </c>
      <c r="E12">
        <v>2</v>
      </c>
      <c r="F12" t="s">
        <v>34</v>
      </c>
      <c r="G12" t="s">
        <v>31</v>
      </c>
      <c r="H12" t="s">
        <v>16</v>
      </c>
      <c r="I12">
        <v>1</v>
      </c>
      <c r="J12" s="23">
        <v>36675</v>
      </c>
      <c r="K12">
        <v>73350</v>
      </c>
    </row>
    <row r="13" spans="1:12" ht="15" customHeight="1" x14ac:dyDescent="0.3">
      <c r="A13" t="s">
        <v>18</v>
      </c>
      <c r="B13" t="s">
        <v>11</v>
      </c>
      <c r="C13" t="s">
        <v>24</v>
      </c>
      <c r="D13" t="s">
        <v>25</v>
      </c>
      <c r="E13">
        <v>4</v>
      </c>
      <c r="F13" t="s">
        <v>36</v>
      </c>
      <c r="G13" t="s">
        <v>15</v>
      </c>
      <c r="H13" t="s">
        <v>16</v>
      </c>
      <c r="I13">
        <v>0</v>
      </c>
      <c r="J13" s="23">
        <v>81782</v>
      </c>
      <c r="K13">
        <v>327128</v>
      </c>
    </row>
    <row r="14" spans="1:12" ht="15" customHeight="1" x14ac:dyDescent="0.3">
      <c r="A14" t="s">
        <v>22</v>
      </c>
      <c r="B14" t="s">
        <v>11</v>
      </c>
      <c r="C14" t="s">
        <v>12</v>
      </c>
      <c r="D14" t="s">
        <v>13</v>
      </c>
      <c r="E14">
        <v>0</v>
      </c>
      <c r="F14" t="s">
        <v>23</v>
      </c>
      <c r="G14" t="s">
        <v>15</v>
      </c>
      <c r="H14" t="s">
        <v>16</v>
      </c>
      <c r="I14">
        <v>0</v>
      </c>
      <c r="J14" s="23">
        <v>-233592</v>
      </c>
      <c r="K14" t="s">
        <v>17</v>
      </c>
    </row>
    <row r="15" spans="1:12" ht="15" customHeight="1" x14ac:dyDescent="0.3">
      <c r="A15" t="s">
        <v>22</v>
      </c>
      <c r="B15" t="s">
        <v>11</v>
      </c>
      <c r="C15" t="s">
        <v>12</v>
      </c>
      <c r="D15" t="s">
        <v>28</v>
      </c>
      <c r="E15">
        <v>9</v>
      </c>
      <c r="F15" t="s">
        <v>30</v>
      </c>
      <c r="G15" t="s">
        <v>15</v>
      </c>
      <c r="H15" t="s">
        <v>16</v>
      </c>
      <c r="I15">
        <v>0</v>
      </c>
      <c r="J15" s="23">
        <v>-486869</v>
      </c>
      <c r="K15" t="s">
        <v>17</v>
      </c>
    </row>
    <row r="16" spans="1:12" ht="15" customHeight="1" x14ac:dyDescent="0.3">
      <c r="A16" t="s">
        <v>18</v>
      </c>
      <c r="B16" t="s">
        <v>11</v>
      </c>
      <c r="C16" t="s">
        <v>12</v>
      </c>
      <c r="D16" t="s">
        <v>13</v>
      </c>
      <c r="E16">
        <v>4</v>
      </c>
      <c r="F16" t="s">
        <v>29</v>
      </c>
      <c r="G16" t="s">
        <v>15</v>
      </c>
      <c r="H16" t="s">
        <v>16</v>
      </c>
      <c r="I16">
        <v>0</v>
      </c>
      <c r="J16" s="23">
        <v>-305905</v>
      </c>
      <c r="K16" t="s">
        <v>17</v>
      </c>
    </row>
    <row r="17" spans="1:11" ht="15" customHeight="1" x14ac:dyDescent="0.3">
      <c r="A17" t="s">
        <v>10</v>
      </c>
      <c r="B17" t="s">
        <v>11</v>
      </c>
      <c r="C17" t="s">
        <v>24</v>
      </c>
      <c r="D17" t="s">
        <v>13</v>
      </c>
      <c r="E17">
        <v>4</v>
      </c>
      <c r="F17" t="s">
        <v>42</v>
      </c>
      <c r="G17" t="s">
        <v>15</v>
      </c>
      <c r="H17" t="s">
        <v>16</v>
      </c>
      <c r="I17">
        <v>0</v>
      </c>
      <c r="J17" s="23">
        <v>161367</v>
      </c>
      <c r="K17">
        <v>645468</v>
      </c>
    </row>
    <row r="18" spans="1:11" ht="15" customHeight="1" x14ac:dyDescent="0.3">
      <c r="A18" t="s">
        <v>18</v>
      </c>
      <c r="B18" t="s">
        <v>11</v>
      </c>
      <c r="C18" t="s">
        <v>12</v>
      </c>
      <c r="D18" t="s">
        <v>28</v>
      </c>
      <c r="E18">
        <v>16</v>
      </c>
      <c r="F18" t="s">
        <v>27</v>
      </c>
      <c r="G18" t="s">
        <v>15</v>
      </c>
      <c r="H18" t="s">
        <v>16</v>
      </c>
      <c r="I18">
        <v>0</v>
      </c>
      <c r="J18" s="23">
        <v>-2911</v>
      </c>
      <c r="K18" t="s">
        <v>17</v>
      </c>
    </row>
    <row r="19" spans="1:11" ht="15" customHeight="1" x14ac:dyDescent="0.3">
      <c r="A19" t="s">
        <v>22</v>
      </c>
      <c r="B19" t="s">
        <v>19</v>
      </c>
      <c r="C19" t="s">
        <v>12</v>
      </c>
      <c r="D19" t="s">
        <v>28</v>
      </c>
      <c r="E19">
        <v>5</v>
      </c>
      <c r="F19"/>
      <c r="G19" t="s">
        <v>15</v>
      </c>
      <c r="H19" t="s">
        <v>16</v>
      </c>
      <c r="I19">
        <v>0</v>
      </c>
      <c r="J19" s="23">
        <v>-94624</v>
      </c>
      <c r="K19" t="s">
        <v>17</v>
      </c>
    </row>
    <row r="20" spans="1:11" ht="15" customHeight="1" x14ac:dyDescent="0.3">
      <c r="A20" t="s">
        <v>22</v>
      </c>
      <c r="B20" t="s">
        <v>19</v>
      </c>
      <c r="C20" t="s">
        <v>24</v>
      </c>
      <c r="D20" t="s">
        <v>28</v>
      </c>
      <c r="E20">
        <v>30</v>
      </c>
      <c r="F20"/>
      <c r="G20" t="s">
        <v>15</v>
      </c>
      <c r="H20" t="s">
        <v>16</v>
      </c>
      <c r="I20">
        <v>0</v>
      </c>
      <c r="J20" s="23">
        <v>114370</v>
      </c>
      <c r="K20">
        <v>3431100</v>
      </c>
    </row>
    <row r="21" spans="1:11" ht="15" customHeight="1" x14ac:dyDescent="0.3">
      <c r="A21" t="s">
        <v>22</v>
      </c>
      <c r="B21" t="s">
        <v>11</v>
      </c>
      <c r="C21" t="s">
        <v>12</v>
      </c>
      <c r="D21" t="s">
        <v>28</v>
      </c>
      <c r="E21">
        <v>14</v>
      </c>
      <c r="F21" t="s">
        <v>26</v>
      </c>
      <c r="G21" t="s">
        <v>15</v>
      </c>
      <c r="H21" t="s">
        <v>16</v>
      </c>
      <c r="I21">
        <v>0</v>
      </c>
      <c r="J21" s="23">
        <v>-43854</v>
      </c>
      <c r="K21" t="s">
        <v>17</v>
      </c>
    </row>
    <row r="22" spans="1:11" ht="15" customHeight="1" x14ac:dyDescent="0.3">
      <c r="A22" t="s">
        <v>18</v>
      </c>
      <c r="B22" t="s">
        <v>11</v>
      </c>
      <c r="C22" t="s">
        <v>24</v>
      </c>
      <c r="D22" t="s">
        <v>28</v>
      </c>
      <c r="E22">
        <v>11</v>
      </c>
      <c r="F22" t="s">
        <v>30</v>
      </c>
      <c r="G22" t="s">
        <v>15</v>
      </c>
      <c r="H22" t="s">
        <v>16</v>
      </c>
      <c r="I22">
        <v>0</v>
      </c>
      <c r="J22" s="23">
        <v>6965247</v>
      </c>
      <c r="K22">
        <v>76617717</v>
      </c>
    </row>
    <row r="23" spans="1:11" ht="15" customHeight="1" x14ac:dyDescent="0.3">
      <c r="A23" t="s">
        <v>18</v>
      </c>
      <c r="B23" t="s">
        <v>19</v>
      </c>
      <c r="C23" t="s">
        <v>24</v>
      </c>
      <c r="D23" t="s">
        <v>20</v>
      </c>
      <c r="E23">
        <v>13</v>
      </c>
      <c r="F23"/>
      <c r="G23" t="s">
        <v>31</v>
      </c>
      <c r="H23" t="s">
        <v>32</v>
      </c>
      <c r="I23">
        <v>1</v>
      </c>
      <c r="J23" s="23">
        <v>64123</v>
      </c>
      <c r="K23">
        <v>833599</v>
      </c>
    </row>
    <row r="24" spans="1:11" ht="15" customHeight="1" x14ac:dyDescent="0.3">
      <c r="A24" t="s">
        <v>10</v>
      </c>
      <c r="B24" t="s">
        <v>11</v>
      </c>
      <c r="C24" t="s">
        <v>24</v>
      </c>
      <c r="D24" t="s">
        <v>13</v>
      </c>
      <c r="E24">
        <v>6</v>
      </c>
      <c r="F24" t="s">
        <v>40</v>
      </c>
      <c r="G24" t="s">
        <v>15</v>
      </c>
      <c r="H24" t="s">
        <v>16</v>
      </c>
      <c r="I24">
        <v>0</v>
      </c>
      <c r="J24" s="23">
        <v>141757</v>
      </c>
      <c r="K24">
        <v>850542</v>
      </c>
    </row>
    <row r="25" spans="1:11" ht="15" customHeight="1" x14ac:dyDescent="0.3">
      <c r="A25" t="s">
        <v>10</v>
      </c>
      <c r="B25" t="s">
        <v>11</v>
      </c>
      <c r="C25" t="s">
        <v>12</v>
      </c>
      <c r="D25" t="s">
        <v>28</v>
      </c>
      <c r="E25">
        <v>10</v>
      </c>
      <c r="F25" t="s">
        <v>34</v>
      </c>
      <c r="G25" t="s">
        <v>15</v>
      </c>
      <c r="H25" t="s">
        <v>32</v>
      </c>
      <c r="I25">
        <v>1</v>
      </c>
      <c r="J25" s="23">
        <v>-5855</v>
      </c>
      <c r="K25" t="s">
        <v>17</v>
      </c>
    </row>
    <row r="26" spans="1:11" ht="15" customHeight="1" x14ac:dyDescent="0.3">
      <c r="A26" t="s">
        <v>18</v>
      </c>
      <c r="B26" t="s">
        <v>11</v>
      </c>
      <c r="C26" t="s">
        <v>24</v>
      </c>
      <c r="D26" t="s">
        <v>28</v>
      </c>
      <c r="E26">
        <v>0</v>
      </c>
      <c r="F26" t="s">
        <v>34</v>
      </c>
      <c r="G26" t="s">
        <v>15</v>
      </c>
      <c r="H26" t="s">
        <v>32</v>
      </c>
      <c r="I26">
        <v>1</v>
      </c>
      <c r="J26" s="23">
        <v>19147</v>
      </c>
      <c r="K26" t="s">
        <v>17</v>
      </c>
    </row>
    <row r="27" spans="1:11" ht="15" customHeight="1" x14ac:dyDescent="0.3">
      <c r="A27" t="s">
        <v>22</v>
      </c>
      <c r="B27" t="s">
        <v>11</v>
      </c>
      <c r="C27" t="s">
        <v>24</v>
      </c>
      <c r="D27" t="s">
        <v>25</v>
      </c>
      <c r="E27">
        <v>4</v>
      </c>
      <c r="F27" t="s">
        <v>33</v>
      </c>
      <c r="G27" t="s">
        <v>15</v>
      </c>
      <c r="H27" t="s">
        <v>16</v>
      </c>
      <c r="I27">
        <v>0</v>
      </c>
      <c r="J27" s="23">
        <v>91424</v>
      </c>
      <c r="K27">
        <v>365696</v>
      </c>
    </row>
    <row r="28" spans="1:11" ht="15" customHeight="1" x14ac:dyDescent="0.3">
      <c r="A28" t="s">
        <v>22</v>
      </c>
      <c r="B28" t="s">
        <v>11</v>
      </c>
      <c r="C28" t="s">
        <v>12</v>
      </c>
      <c r="D28" t="s">
        <v>28</v>
      </c>
      <c r="E28">
        <v>13</v>
      </c>
      <c r="F28" t="s">
        <v>39</v>
      </c>
      <c r="G28" t="s">
        <v>15</v>
      </c>
      <c r="H28" t="s">
        <v>16</v>
      </c>
      <c r="I28">
        <v>0</v>
      </c>
      <c r="J28" s="23">
        <v>-215812</v>
      </c>
      <c r="K28" t="s">
        <v>17</v>
      </c>
    </row>
    <row r="29" spans="1:11" ht="15" customHeight="1" x14ac:dyDescent="0.3">
      <c r="A29" t="s">
        <v>18</v>
      </c>
      <c r="B29" t="s">
        <v>11</v>
      </c>
      <c r="C29" t="s">
        <v>24</v>
      </c>
      <c r="D29" t="s">
        <v>28</v>
      </c>
      <c r="E29">
        <v>2</v>
      </c>
      <c r="F29" t="s">
        <v>42</v>
      </c>
      <c r="G29" t="s">
        <v>15</v>
      </c>
      <c r="H29" t="s">
        <v>16</v>
      </c>
      <c r="I29">
        <v>0</v>
      </c>
      <c r="J29" s="23">
        <v>196011</v>
      </c>
      <c r="K29">
        <v>392022</v>
      </c>
    </row>
    <row r="30" spans="1:11" ht="15" customHeight="1" x14ac:dyDescent="0.3">
      <c r="A30" t="s">
        <v>18</v>
      </c>
      <c r="B30" t="s">
        <v>11</v>
      </c>
      <c r="C30" t="s">
        <v>24</v>
      </c>
      <c r="D30" t="s">
        <v>25</v>
      </c>
      <c r="E30">
        <v>2</v>
      </c>
      <c r="F30" t="s">
        <v>34</v>
      </c>
      <c r="G30" t="s">
        <v>15</v>
      </c>
      <c r="H30" t="s">
        <v>16</v>
      </c>
      <c r="I30">
        <v>0</v>
      </c>
      <c r="J30" s="23">
        <v>8996895</v>
      </c>
      <c r="K30">
        <v>17993790</v>
      </c>
    </row>
    <row r="31" spans="1:11" ht="15" customHeight="1" x14ac:dyDescent="0.3">
      <c r="A31" t="s">
        <v>18</v>
      </c>
      <c r="B31" t="s">
        <v>11</v>
      </c>
      <c r="C31" t="s">
        <v>24</v>
      </c>
      <c r="D31" t="s">
        <v>28</v>
      </c>
      <c r="E31">
        <v>11</v>
      </c>
      <c r="F31" t="s">
        <v>29</v>
      </c>
      <c r="G31" t="s">
        <v>15</v>
      </c>
      <c r="H31" t="s">
        <v>32</v>
      </c>
      <c r="I31">
        <v>1</v>
      </c>
      <c r="J31" s="23">
        <v>4286960</v>
      </c>
      <c r="K31">
        <v>47156560</v>
      </c>
    </row>
    <row r="32" spans="1:11" ht="15" customHeight="1" x14ac:dyDescent="0.3">
      <c r="A32" t="s">
        <v>10</v>
      </c>
      <c r="B32" t="s">
        <v>11</v>
      </c>
      <c r="C32" t="s">
        <v>24</v>
      </c>
      <c r="D32" t="s">
        <v>25</v>
      </c>
      <c r="E32">
        <v>3</v>
      </c>
      <c r="F32" t="s">
        <v>14</v>
      </c>
      <c r="G32" t="s">
        <v>15</v>
      </c>
      <c r="H32" t="s">
        <v>16</v>
      </c>
      <c r="I32">
        <v>0</v>
      </c>
      <c r="J32" s="23">
        <v>683285</v>
      </c>
      <c r="K32">
        <v>2049855</v>
      </c>
    </row>
    <row r="33" spans="1:11" ht="15" customHeight="1" x14ac:dyDescent="0.3">
      <c r="A33" t="s">
        <v>10</v>
      </c>
      <c r="B33" t="s">
        <v>11</v>
      </c>
      <c r="C33" t="s">
        <v>12</v>
      </c>
      <c r="D33" t="s">
        <v>28</v>
      </c>
      <c r="E33">
        <v>9</v>
      </c>
      <c r="F33" t="s">
        <v>21</v>
      </c>
      <c r="G33" t="s">
        <v>15</v>
      </c>
      <c r="H33" t="s">
        <v>16</v>
      </c>
      <c r="I33">
        <v>0</v>
      </c>
      <c r="J33" s="23">
        <v>-141671</v>
      </c>
      <c r="K33" t="s">
        <v>17</v>
      </c>
    </row>
    <row r="34" spans="1:11" ht="15" customHeight="1" x14ac:dyDescent="0.3">
      <c r="A34" t="s">
        <v>18</v>
      </c>
      <c r="B34" t="s">
        <v>19</v>
      </c>
      <c r="C34" t="s">
        <v>12</v>
      </c>
      <c r="D34" t="s">
        <v>20</v>
      </c>
      <c r="E34">
        <v>35</v>
      </c>
      <c r="F34"/>
      <c r="G34" t="s">
        <v>31</v>
      </c>
      <c r="H34" t="s">
        <v>16</v>
      </c>
      <c r="I34">
        <v>1</v>
      </c>
      <c r="J34" s="23">
        <v>-15447</v>
      </c>
      <c r="K34" t="s">
        <v>17</v>
      </c>
    </row>
    <row r="35" spans="1:11" ht="15" customHeight="1" x14ac:dyDescent="0.3">
      <c r="A35" t="s">
        <v>18</v>
      </c>
      <c r="B35" t="s">
        <v>19</v>
      </c>
      <c r="C35" t="s">
        <v>24</v>
      </c>
      <c r="D35" t="s">
        <v>28</v>
      </c>
      <c r="E35">
        <v>6</v>
      </c>
      <c r="F35"/>
      <c r="G35" t="s">
        <v>15</v>
      </c>
      <c r="H35" t="s">
        <v>32</v>
      </c>
      <c r="I35">
        <v>1</v>
      </c>
      <c r="J35" s="23">
        <v>361369</v>
      </c>
      <c r="K35">
        <v>2168214</v>
      </c>
    </row>
    <row r="36" spans="1:11" ht="15" customHeight="1" x14ac:dyDescent="0.3">
      <c r="A36" t="s">
        <v>10</v>
      </c>
      <c r="B36" t="s">
        <v>11</v>
      </c>
      <c r="C36" t="s">
        <v>12</v>
      </c>
      <c r="D36" t="s">
        <v>28</v>
      </c>
      <c r="E36">
        <v>0</v>
      </c>
      <c r="F36" t="s">
        <v>23</v>
      </c>
      <c r="G36" t="s">
        <v>15</v>
      </c>
      <c r="H36" t="s">
        <v>16</v>
      </c>
      <c r="I36">
        <v>0</v>
      </c>
      <c r="J36" s="23">
        <v>-536</v>
      </c>
      <c r="K36" t="s">
        <v>17</v>
      </c>
    </row>
    <row r="37" spans="1:11" ht="15" customHeight="1" x14ac:dyDescent="0.3">
      <c r="A37" t="s">
        <v>10</v>
      </c>
      <c r="B37" t="s">
        <v>19</v>
      </c>
      <c r="C37" t="s">
        <v>24</v>
      </c>
      <c r="D37" t="s">
        <v>20</v>
      </c>
      <c r="E37">
        <v>9</v>
      </c>
      <c r="F37"/>
      <c r="G37" t="s">
        <v>15</v>
      </c>
      <c r="H37" t="s">
        <v>32</v>
      </c>
      <c r="I37">
        <v>1</v>
      </c>
      <c r="J37" s="23">
        <v>164928</v>
      </c>
      <c r="K37">
        <v>1484352</v>
      </c>
    </row>
    <row r="38" spans="1:11" ht="15" customHeight="1" x14ac:dyDescent="0.3">
      <c r="A38" t="s">
        <v>10</v>
      </c>
      <c r="B38" t="s">
        <v>11</v>
      </c>
      <c r="C38" t="s">
        <v>12</v>
      </c>
      <c r="D38" t="s">
        <v>28</v>
      </c>
      <c r="E38">
        <v>10</v>
      </c>
      <c r="F38" t="s">
        <v>35</v>
      </c>
      <c r="G38" t="s">
        <v>15</v>
      </c>
      <c r="H38" t="s">
        <v>16</v>
      </c>
      <c r="I38">
        <v>0</v>
      </c>
      <c r="J38" s="23">
        <v>-28274</v>
      </c>
      <c r="K38" t="s">
        <v>17</v>
      </c>
    </row>
    <row r="39" spans="1:11" ht="15" customHeight="1" x14ac:dyDescent="0.3">
      <c r="A39" t="s">
        <v>22</v>
      </c>
      <c r="B39" t="s">
        <v>11</v>
      </c>
      <c r="C39" t="s">
        <v>24</v>
      </c>
      <c r="D39" t="s">
        <v>25</v>
      </c>
      <c r="E39">
        <v>2</v>
      </c>
      <c r="F39" t="s">
        <v>26</v>
      </c>
      <c r="G39" t="s">
        <v>15</v>
      </c>
      <c r="H39" t="s">
        <v>16</v>
      </c>
      <c r="I39">
        <v>0</v>
      </c>
      <c r="J39" s="23">
        <v>30391</v>
      </c>
      <c r="K39">
        <v>60782</v>
      </c>
    </row>
    <row r="40" spans="1:11" ht="15" customHeight="1" x14ac:dyDescent="0.3">
      <c r="A40" t="s">
        <v>18</v>
      </c>
      <c r="B40" t="s">
        <v>11</v>
      </c>
      <c r="C40" t="s">
        <v>24</v>
      </c>
      <c r="D40" t="s">
        <v>25</v>
      </c>
      <c r="E40">
        <v>-1</v>
      </c>
      <c r="F40" t="s">
        <v>23</v>
      </c>
      <c r="G40" t="s">
        <v>15</v>
      </c>
      <c r="H40" t="s">
        <v>16</v>
      </c>
      <c r="I40">
        <v>0</v>
      </c>
      <c r="J40" s="23">
        <v>1854842</v>
      </c>
      <c r="K40" t="s">
        <v>17</v>
      </c>
    </row>
    <row r="41" spans="1:11" ht="15" customHeight="1" x14ac:dyDescent="0.3">
      <c r="A41" t="s">
        <v>10</v>
      </c>
      <c r="B41" t="s">
        <v>19</v>
      </c>
      <c r="C41" t="s">
        <v>12</v>
      </c>
      <c r="D41" t="s">
        <v>28</v>
      </c>
      <c r="E41">
        <v>16</v>
      </c>
      <c r="F41"/>
      <c r="G41" t="s">
        <v>15</v>
      </c>
      <c r="H41" t="s">
        <v>16</v>
      </c>
      <c r="I41">
        <v>0</v>
      </c>
      <c r="J41" s="23">
        <v>-102131</v>
      </c>
      <c r="K41" t="s">
        <v>17</v>
      </c>
    </row>
    <row r="42" spans="1:11" ht="15" customHeight="1" x14ac:dyDescent="0.3">
      <c r="A42" t="s">
        <v>22</v>
      </c>
      <c r="B42" t="s">
        <v>11</v>
      </c>
      <c r="C42" t="s">
        <v>12</v>
      </c>
      <c r="D42" t="s">
        <v>25</v>
      </c>
      <c r="E42">
        <v>-4</v>
      </c>
      <c r="F42" t="s">
        <v>39</v>
      </c>
      <c r="G42" t="s">
        <v>15</v>
      </c>
      <c r="H42" t="s">
        <v>16</v>
      </c>
      <c r="I42">
        <v>0</v>
      </c>
      <c r="J42" s="23">
        <v>-673440</v>
      </c>
      <c r="K42" t="s">
        <v>17</v>
      </c>
    </row>
    <row r="43" spans="1:11" ht="15" customHeight="1" x14ac:dyDescent="0.3">
      <c r="A43" t="s">
        <v>18</v>
      </c>
      <c r="B43" t="s">
        <v>11</v>
      </c>
      <c r="C43" t="s">
        <v>24</v>
      </c>
      <c r="D43" t="s">
        <v>28</v>
      </c>
      <c r="E43">
        <v>2</v>
      </c>
      <c r="F43" t="s">
        <v>39</v>
      </c>
      <c r="G43" t="s">
        <v>15</v>
      </c>
      <c r="H43" t="s">
        <v>16</v>
      </c>
      <c r="I43">
        <v>0</v>
      </c>
      <c r="J43" s="23">
        <v>660061</v>
      </c>
      <c r="K43">
        <v>1320122</v>
      </c>
    </row>
    <row r="44" spans="1:11" ht="15" customHeight="1" x14ac:dyDescent="0.3">
      <c r="A44" t="s">
        <v>22</v>
      </c>
      <c r="B44" t="s">
        <v>11</v>
      </c>
      <c r="C44" t="s">
        <v>12</v>
      </c>
      <c r="D44" t="s">
        <v>25</v>
      </c>
      <c r="E44">
        <v>2</v>
      </c>
      <c r="F44" t="s">
        <v>41</v>
      </c>
      <c r="G44" t="s">
        <v>15</v>
      </c>
      <c r="H44" t="s">
        <v>16</v>
      </c>
      <c r="I44">
        <v>0</v>
      </c>
      <c r="J44" s="23">
        <v>-180150</v>
      </c>
      <c r="K44" t="s">
        <v>17</v>
      </c>
    </row>
    <row r="45" spans="1:11" ht="15" customHeight="1" x14ac:dyDescent="0.3">
      <c r="A45" t="s">
        <v>18</v>
      </c>
      <c r="B45" t="s">
        <v>11</v>
      </c>
      <c r="C45" t="s">
        <v>12</v>
      </c>
      <c r="D45" t="s">
        <v>13</v>
      </c>
      <c r="E45">
        <v>1</v>
      </c>
      <c r="F45" t="s">
        <v>26</v>
      </c>
      <c r="G45" t="s">
        <v>15</v>
      </c>
      <c r="H45" t="s">
        <v>16</v>
      </c>
      <c r="I45">
        <v>0</v>
      </c>
      <c r="J45" s="23">
        <v>-44156</v>
      </c>
      <c r="K45" t="s">
        <v>17</v>
      </c>
    </row>
    <row r="46" spans="1:11" ht="15" customHeight="1" x14ac:dyDescent="0.3">
      <c r="A46" t="s">
        <v>18</v>
      </c>
      <c r="B46" t="s">
        <v>11</v>
      </c>
      <c r="C46" t="s">
        <v>12</v>
      </c>
      <c r="D46" t="s">
        <v>28</v>
      </c>
      <c r="E46">
        <v>5</v>
      </c>
      <c r="F46" t="s">
        <v>27</v>
      </c>
      <c r="G46" t="s">
        <v>15</v>
      </c>
      <c r="H46" t="s">
        <v>16</v>
      </c>
      <c r="I46">
        <v>0</v>
      </c>
      <c r="J46" s="23">
        <v>-858</v>
      </c>
      <c r="K46" t="s">
        <v>17</v>
      </c>
    </row>
    <row r="47" spans="1:11" ht="15" customHeight="1" x14ac:dyDescent="0.3">
      <c r="A47" t="s">
        <v>18</v>
      </c>
      <c r="B47" t="s">
        <v>19</v>
      </c>
      <c r="C47" t="s">
        <v>24</v>
      </c>
      <c r="D47" t="s">
        <v>20</v>
      </c>
      <c r="E47">
        <v>44</v>
      </c>
      <c r="F47"/>
      <c r="G47" t="s">
        <v>31</v>
      </c>
      <c r="H47" t="s">
        <v>16</v>
      </c>
      <c r="I47">
        <v>1</v>
      </c>
      <c r="J47" s="23">
        <v>76742</v>
      </c>
      <c r="K47">
        <v>3376648</v>
      </c>
    </row>
    <row r="48" spans="1:11" ht="15" customHeight="1" x14ac:dyDescent="0.3">
      <c r="A48" t="s">
        <v>10</v>
      </c>
      <c r="B48" t="s">
        <v>11</v>
      </c>
      <c r="C48" t="s">
        <v>12</v>
      </c>
      <c r="D48" t="s">
        <v>13</v>
      </c>
      <c r="E48">
        <v>3</v>
      </c>
      <c r="F48" t="s">
        <v>45</v>
      </c>
      <c r="G48" t="s">
        <v>15</v>
      </c>
      <c r="H48" t="s">
        <v>16</v>
      </c>
      <c r="I48">
        <v>0</v>
      </c>
      <c r="J48" s="23">
        <v>-24565</v>
      </c>
      <c r="K48" t="s">
        <v>17</v>
      </c>
    </row>
    <row r="49" spans="1:11" ht="15" customHeight="1" x14ac:dyDescent="0.3">
      <c r="A49" t="s">
        <v>18</v>
      </c>
      <c r="B49" t="s">
        <v>11</v>
      </c>
      <c r="C49" t="s">
        <v>24</v>
      </c>
      <c r="D49" t="s">
        <v>28</v>
      </c>
      <c r="E49">
        <v>5</v>
      </c>
      <c r="F49" t="s">
        <v>40</v>
      </c>
      <c r="G49" t="s">
        <v>15</v>
      </c>
      <c r="H49" t="s">
        <v>16</v>
      </c>
      <c r="I49">
        <v>0</v>
      </c>
      <c r="J49" s="23">
        <v>1760226</v>
      </c>
      <c r="K49">
        <v>8801130</v>
      </c>
    </row>
    <row r="50" spans="1:11" ht="15" customHeight="1" x14ac:dyDescent="0.3">
      <c r="A50" t="s">
        <v>22</v>
      </c>
      <c r="B50" t="s">
        <v>11</v>
      </c>
      <c r="C50" t="s">
        <v>12</v>
      </c>
      <c r="D50" t="s">
        <v>13</v>
      </c>
      <c r="E50">
        <v>-1</v>
      </c>
      <c r="F50" t="s">
        <v>36</v>
      </c>
      <c r="G50" t="s">
        <v>15</v>
      </c>
      <c r="H50" t="s">
        <v>16</v>
      </c>
      <c r="I50">
        <v>0</v>
      </c>
      <c r="J50" s="23">
        <v>-9758</v>
      </c>
      <c r="K50" t="s">
        <v>17</v>
      </c>
    </row>
    <row r="51" spans="1:11" ht="15" customHeight="1" x14ac:dyDescent="0.3">
      <c r="A51" t="s">
        <v>10</v>
      </c>
      <c r="B51" t="s">
        <v>11</v>
      </c>
      <c r="C51" t="s">
        <v>24</v>
      </c>
      <c r="D51" t="s">
        <v>28</v>
      </c>
      <c r="E51">
        <v>15</v>
      </c>
      <c r="F51" t="s">
        <v>21</v>
      </c>
      <c r="G51" t="s">
        <v>15</v>
      </c>
      <c r="H51" t="s">
        <v>16</v>
      </c>
      <c r="I51">
        <v>0</v>
      </c>
      <c r="J51" s="23">
        <v>932324</v>
      </c>
      <c r="K51">
        <v>13984860</v>
      </c>
    </row>
    <row r="52" spans="1:11" ht="15" customHeight="1" x14ac:dyDescent="0.3">
      <c r="A52" t="s">
        <v>10</v>
      </c>
      <c r="B52" t="s">
        <v>11</v>
      </c>
      <c r="C52" t="s">
        <v>24</v>
      </c>
      <c r="D52" t="s">
        <v>28</v>
      </c>
      <c r="E52">
        <v>15</v>
      </c>
      <c r="F52" t="s">
        <v>21</v>
      </c>
      <c r="G52" t="s">
        <v>15</v>
      </c>
      <c r="H52" t="s">
        <v>32</v>
      </c>
      <c r="I52">
        <v>1</v>
      </c>
      <c r="J52" s="23">
        <v>43735</v>
      </c>
      <c r="K52">
        <v>656025</v>
      </c>
    </row>
    <row r="53" spans="1:11" ht="15" customHeight="1" x14ac:dyDescent="0.3">
      <c r="A53" t="s">
        <v>18</v>
      </c>
      <c r="B53" t="s">
        <v>11</v>
      </c>
      <c r="C53" t="s">
        <v>12</v>
      </c>
      <c r="D53" t="s">
        <v>13</v>
      </c>
      <c r="E53">
        <v>-1</v>
      </c>
      <c r="F53" t="s">
        <v>21</v>
      </c>
      <c r="G53" t="s">
        <v>15</v>
      </c>
      <c r="H53" t="s">
        <v>16</v>
      </c>
      <c r="I53">
        <v>0</v>
      </c>
      <c r="J53" s="23">
        <v>-382664</v>
      </c>
      <c r="K53" t="s">
        <v>17</v>
      </c>
    </row>
    <row r="54" spans="1:11" ht="15" customHeight="1" x14ac:dyDescent="0.3">
      <c r="A54" t="s">
        <v>10</v>
      </c>
      <c r="B54" t="s">
        <v>19</v>
      </c>
      <c r="C54" t="s">
        <v>24</v>
      </c>
      <c r="D54" t="s">
        <v>20</v>
      </c>
      <c r="E54">
        <v>29</v>
      </c>
      <c r="F54"/>
      <c r="G54" t="s">
        <v>15</v>
      </c>
      <c r="H54" t="s">
        <v>16</v>
      </c>
      <c r="I54">
        <v>0</v>
      </c>
      <c r="J54" s="23">
        <v>61001836</v>
      </c>
      <c r="K54">
        <v>1769053244</v>
      </c>
    </row>
    <row r="55" spans="1:11" ht="15" customHeight="1" x14ac:dyDescent="0.3">
      <c r="A55" t="s">
        <v>18</v>
      </c>
      <c r="B55" t="s">
        <v>19</v>
      </c>
      <c r="C55" t="s">
        <v>24</v>
      </c>
      <c r="D55" t="s">
        <v>20</v>
      </c>
      <c r="E55">
        <v>5</v>
      </c>
      <c r="F55"/>
      <c r="G55" t="s">
        <v>31</v>
      </c>
      <c r="H55" t="s">
        <v>32</v>
      </c>
      <c r="I55">
        <v>1</v>
      </c>
      <c r="J55" s="23">
        <v>98107</v>
      </c>
      <c r="K55">
        <v>490535</v>
      </c>
    </row>
    <row r="56" spans="1:11" ht="15" customHeight="1" x14ac:dyDescent="0.3">
      <c r="A56" t="s">
        <v>22</v>
      </c>
      <c r="B56" t="s">
        <v>11</v>
      </c>
      <c r="C56" t="s">
        <v>12</v>
      </c>
      <c r="D56" t="s">
        <v>28</v>
      </c>
      <c r="E56">
        <v>0</v>
      </c>
      <c r="F56" t="s">
        <v>29</v>
      </c>
      <c r="G56" t="s">
        <v>15</v>
      </c>
      <c r="H56" t="s">
        <v>32</v>
      </c>
      <c r="I56">
        <v>1</v>
      </c>
      <c r="J56" s="23">
        <v>-4532</v>
      </c>
      <c r="K56" t="s">
        <v>17</v>
      </c>
    </row>
    <row r="57" spans="1:11" ht="15" customHeight="1" x14ac:dyDescent="0.3">
      <c r="A57" t="s">
        <v>18</v>
      </c>
      <c r="B57" t="s">
        <v>11</v>
      </c>
      <c r="C57" t="s">
        <v>24</v>
      </c>
      <c r="D57" t="s">
        <v>28</v>
      </c>
      <c r="E57">
        <v>11</v>
      </c>
      <c r="F57" t="s">
        <v>33</v>
      </c>
      <c r="G57" t="s">
        <v>15</v>
      </c>
      <c r="H57" t="s">
        <v>32</v>
      </c>
      <c r="I57">
        <v>1</v>
      </c>
      <c r="J57" s="23">
        <v>11119932</v>
      </c>
      <c r="K57">
        <v>122319252</v>
      </c>
    </row>
    <row r="58" spans="1:11" ht="15" customHeight="1" x14ac:dyDescent="0.3">
      <c r="A58" t="s">
        <v>10</v>
      </c>
      <c r="B58" t="s">
        <v>11</v>
      </c>
      <c r="C58" t="s">
        <v>12</v>
      </c>
      <c r="D58" t="s">
        <v>28</v>
      </c>
      <c r="E58">
        <v>5</v>
      </c>
      <c r="F58" t="s">
        <v>26</v>
      </c>
      <c r="G58" t="s">
        <v>15</v>
      </c>
      <c r="H58" t="s">
        <v>16</v>
      </c>
      <c r="I58">
        <v>0</v>
      </c>
      <c r="J58" s="23">
        <v>-181429</v>
      </c>
      <c r="K58" t="s">
        <v>17</v>
      </c>
    </row>
    <row r="59" spans="1:11" ht="15" customHeight="1" x14ac:dyDescent="0.3">
      <c r="A59" t="s">
        <v>10</v>
      </c>
      <c r="B59" t="s">
        <v>11</v>
      </c>
      <c r="C59" t="s">
        <v>24</v>
      </c>
      <c r="D59" t="s">
        <v>28</v>
      </c>
      <c r="E59">
        <v>6</v>
      </c>
      <c r="F59" t="s">
        <v>14</v>
      </c>
      <c r="G59" t="s">
        <v>15</v>
      </c>
      <c r="H59" t="s">
        <v>16</v>
      </c>
      <c r="I59">
        <v>0</v>
      </c>
      <c r="J59" s="23">
        <v>687031</v>
      </c>
      <c r="K59">
        <v>4122186</v>
      </c>
    </row>
    <row r="60" spans="1:11" ht="15" customHeight="1" x14ac:dyDescent="0.3">
      <c r="A60" t="s">
        <v>18</v>
      </c>
      <c r="B60" t="s">
        <v>11</v>
      </c>
      <c r="C60" t="s">
        <v>12</v>
      </c>
      <c r="D60" t="s">
        <v>28</v>
      </c>
      <c r="E60">
        <v>5</v>
      </c>
      <c r="F60" t="s">
        <v>30</v>
      </c>
      <c r="G60" t="s">
        <v>15</v>
      </c>
      <c r="H60" t="s">
        <v>16</v>
      </c>
      <c r="I60">
        <v>0</v>
      </c>
      <c r="J60" s="23">
        <v>-8839</v>
      </c>
      <c r="K60" t="s">
        <v>17</v>
      </c>
    </row>
    <row r="61" spans="1:11" ht="15" customHeight="1" x14ac:dyDescent="0.3">
      <c r="A61" t="s">
        <v>22</v>
      </c>
      <c r="B61" t="s">
        <v>19</v>
      </c>
      <c r="C61" t="s">
        <v>24</v>
      </c>
      <c r="D61" t="s">
        <v>20</v>
      </c>
      <c r="E61">
        <v>11</v>
      </c>
      <c r="F61"/>
      <c r="G61" t="s">
        <v>15</v>
      </c>
      <c r="H61" t="s">
        <v>16</v>
      </c>
      <c r="I61">
        <v>0</v>
      </c>
      <c r="J61" s="23">
        <v>2702434</v>
      </c>
      <c r="K61">
        <v>29726774</v>
      </c>
    </row>
    <row r="62" spans="1:11" ht="15" customHeight="1" x14ac:dyDescent="0.3">
      <c r="A62" t="s">
        <v>10</v>
      </c>
      <c r="B62" t="s">
        <v>19</v>
      </c>
      <c r="C62" t="s">
        <v>24</v>
      </c>
      <c r="D62" t="s">
        <v>20</v>
      </c>
      <c r="E62">
        <v>28</v>
      </c>
      <c r="F62"/>
      <c r="G62" t="s">
        <v>31</v>
      </c>
      <c r="H62" t="s">
        <v>16</v>
      </c>
      <c r="I62">
        <v>1</v>
      </c>
      <c r="J62" s="23">
        <v>966394</v>
      </c>
      <c r="K62">
        <v>27059032</v>
      </c>
    </row>
    <row r="63" spans="1:11" ht="15" customHeight="1" x14ac:dyDescent="0.3">
      <c r="A63" t="s">
        <v>10</v>
      </c>
      <c r="B63" t="s">
        <v>19</v>
      </c>
      <c r="C63" t="s">
        <v>24</v>
      </c>
      <c r="D63" t="s">
        <v>20</v>
      </c>
      <c r="E63">
        <v>3</v>
      </c>
      <c r="F63"/>
      <c r="G63" t="s">
        <v>15</v>
      </c>
      <c r="H63" t="s">
        <v>16</v>
      </c>
      <c r="I63">
        <v>0</v>
      </c>
      <c r="J63" s="23">
        <v>4282343</v>
      </c>
      <c r="K63">
        <v>12847029</v>
      </c>
    </row>
    <row r="64" spans="1:11" ht="15" customHeight="1" x14ac:dyDescent="0.3">
      <c r="A64" t="s">
        <v>10</v>
      </c>
      <c r="B64" t="s">
        <v>11</v>
      </c>
      <c r="C64" t="s">
        <v>12</v>
      </c>
      <c r="D64" t="s">
        <v>13</v>
      </c>
      <c r="E64">
        <v>6</v>
      </c>
      <c r="F64" t="s">
        <v>35</v>
      </c>
      <c r="G64" t="s">
        <v>15</v>
      </c>
      <c r="H64" t="s">
        <v>16</v>
      </c>
      <c r="I64">
        <v>0</v>
      </c>
      <c r="J64" s="23">
        <v>-64332</v>
      </c>
      <c r="K64" t="s">
        <v>17</v>
      </c>
    </row>
    <row r="65" spans="1:11" ht="15" customHeight="1" x14ac:dyDescent="0.3">
      <c r="A65" t="s">
        <v>10</v>
      </c>
      <c r="B65" t="s">
        <v>11</v>
      </c>
      <c r="C65" t="s">
        <v>24</v>
      </c>
      <c r="D65" t="s">
        <v>25</v>
      </c>
      <c r="E65">
        <v>5</v>
      </c>
      <c r="F65" t="s">
        <v>40</v>
      </c>
      <c r="G65" t="s">
        <v>15</v>
      </c>
      <c r="H65" t="s">
        <v>16</v>
      </c>
      <c r="I65">
        <v>0</v>
      </c>
      <c r="J65" s="23">
        <v>2107756</v>
      </c>
      <c r="K65">
        <v>10538780</v>
      </c>
    </row>
    <row r="66" spans="1:11" ht="15" customHeight="1" x14ac:dyDescent="0.3">
      <c r="A66" t="s">
        <v>18</v>
      </c>
      <c r="B66" t="s">
        <v>19</v>
      </c>
      <c r="C66" t="s">
        <v>24</v>
      </c>
      <c r="D66" t="s">
        <v>20</v>
      </c>
      <c r="E66">
        <v>3</v>
      </c>
      <c r="F66"/>
      <c r="G66" t="s">
        <v>31</v>
      </c>
      <c r="H66" t="s">
        <v>16</v>
      </c>
      <c r="I66">
        <v>1</v>
      </c>
      <c r="J66" s="23">
        <v>454791</v>
      </c>
      <c r="K66">
        <v>1364373</v>
      </c>
    </row>
    <row r="67" spans="1:11" ht="15" customHeight="1" x14ac:dyDescent="0.3">
      <c r="A67" t="s">
        <v>18</v>
      </c>
      <c r="B67" t="s">
        <v>11</v>
      </c>
      <c r="C67" t="s">
        <v>12</v>
      </c>
      <c r="D67" t="s">
        <v>13</v>
      </c>
      <c r="E67">
        <v>8</v>
      </c>
      <c r="F67" t="s">
        <v>36</v>
      </c>
      <c r="G67" t="s">
        <v>15</v>
      </c>
      <c r="H67" t="s">
        <v>16</v>
      </c>
      <c r="I67">
        <v>0</v>
      </c>
      <c r="J67" s="23">
        <v>-897</v>
      </c>
      <c r="K67" t="s">
        <v>17</v>
      </c>
    </row>
    <row r="68" spans="1:11" ht="15" customHeight="1" x14ac:dyDescent="0.3">
      <c r="A68" t="s">
        <v>22</v>
      </c>
      <c r="B68" t="s">
        <v>11</v>
      </c>
      <c r="C68" t="s">
        <v>24</v>
      </c>
      <c r="D68" t="s">
        <v>28</v>
      </c>
      <c r="E68">
        <v>9</v>
      </c>
      <c r="F68" t="s">
        <v>23</v>
      </c>
      <c r="G68" t="s">
        <v>15</v>
      </c>
      <c r="H68" t="s">
        <v>16</v>
      </c>
      <c r="I68">
        <v>0</v>
      </c>
      <c r="J68" s="23">
        <v>953982</v>
      </c>
      <c r="K68">
        <v>8585838</v>
      </c>
    </row>
    <row r="69" spans="1:11" ht="15" customHeight="1" x14ac:dyDescent="0.3">
      <c r="A69" t="s">
        <v>18</v>
      </c>
      <c r="B69" t="s">
        <v>44</v>
      </c>
      <c r="C69" t="s">
        <v>24</v>
      </c>
      <c r="D69" t="s">
        <v>28</v>
      </c>
      <c r="E69">
        <v>3</v>
      </c>
      <c r="F69" t="s">
        <v>14</v>
      </c>
      <c r="G69" t="s">
        <v>15</v>
      </c>
      <c r="H69" t="s">
        <v>16</v>
      </c>
      <c r="I69">
        <v>0</v>
      </c>
      <c r="J69" s="23">
        <v>792944</v>
      </c>
      <c r="K69">
        <v>2378832</v>
      </c>
    </row>
    <row r="70" spans="1:11" ht="15" customHeight="1" x14ac:dyDescent="0.3">
      <c r="A70" t="s">
        <v>10</v>
      </c>
      <c r="B70" t="s">
        <v>11</v>
      </c>
      <c r="C70" t="s">
        <v>24</v>
      </c>
      <c r="D70" t="s">
        <v>13</v>
      </c>
      <c r="E70">
        <v>7</v>
      </c>
      <c r="F70" t="s">
        <v>34</v>
      </c>
      <c r="G70" t="s">
        <v>15</v>
      </c>
      <c r="H70" t="s">
        <v>16</v>
      </c>
      <c r="I70">
        <v>0</v>
      </c>
      <c r="J70" s="23">
        <v>2048489</v>
      </c>
      <c r="K70">
        <v>14339423</v>
      </c>
    </row>
    <row r="71" spans="1:11" ht="15" customHeight="1" x14ac:dyDescent="0.3">
      <c r="A71" t="s">
        <v>22</v>
      </c>
      <c r="B71" t="s">
        <v>19</v>
      </c>
      <c r="C71" t="s">
        <v>24</v>
      </c>
      <c r="D71" t="s">
        <v>20</v>
      </c>
      <c r="E71">
        <v>18</v>
      </c>
      <c r="F71"/>
      <c r="G71" t="s">
        <v>15</v>
      </c>
      <c r="H71" t="s">
        <v>32</v>
      </c>
      <c r="I71">
        <v>1</v>
      </c>
      <c r="J71" s="23">
        <v>144040</v>
      </c>
      <c r="K71">
        <v>2592720</v>
      </c>
    </row>
    <row r="72" spans="1:11" ht="15" customHeight="1" x14ac:dyDescent="0.3">
      <c r="A72" t="s">
        <v>18</v>
      </c>
      <c r="B72" t="s">
        <v>11</v>
      </c>
      <c r="C72" t="s">
        <v>12</v>
      </c>
      <c r="D72" t="s">
        <v>28</v>
      </c>
      <c r="E72">
        <v>10</v>
      </c>
      <c r="F72" t="s">
        <v>30</v>
      </c>
      <c r="G72" t="s">
        <v>31</v>
      </c>
      <c r="H72" t="s">
        <v>16</v>
      </c>
      <c r="I72">
        <v>1</v>
      </c>
      <c r="J72" s="23">
        <v>-86</v>
      </c>
      <c r="K72" t="s">
        <v>17</v>
      </c>
    </row>
    <row r="73" spans="1:11" ht="15" customHeight="1" x14ac:dyDescent="0.3">
      <c r="A73" t="s">
        <v>10</v>
      </c>
      <c r="B73" t="s">
        <v>19</v>
      </c>
      <c r="C73" t="s">
        <v>12</v>
      </c>
      <c r="D73" t="s">
        <v>20</v>
      </c>
      <c r="E73">
        <v>9</v>
      </c>
      <c r="F73"/>
      <c r="G73" t="s">
        <v>31</v>
      </c>
      <c r="H73" t="s">
        <v>32</v>
      </c>
      <c r="I73">
        <v>1</v>
      </c>
      <c r="J73" s="23">
        <v>-70</v>
      </c>
      <c r="K73" t="s">
        <v>17</v>
      </c>
    </row>
    <row r="74" spans="1:11" ht="15" customHeight="1" x14ac:dyDescent="0.3">
      <c r="A74" t="s">
        <v>10</v>
      </c>
      <c r="B74" t="s">
        <v>11</v>
      </c>
      <c r="C74" t="s">
        <v>12</v>
      </c>
      <c r="D74" t="s">
        <v>28</v>
      </c>
      <c r="E74">
        <v>9</v>
      </c>
      <c r="F74" t="s">
        <v>34</v>
      </c>
      <c r="G74" t="s">
        <v>15</v>
      </c>
      <c r="H74" t="s">
        <v>32</v>
      </c>
      <c r="I74">
        <v>1</v>
      </c>
      <c r="J74" s="23">
        <v>-1036</v>
      </c>
      <c r="K74" t="s">
        <v>17</v>
      </c>
    </row>
    <row r="75" spans="1:11" ht="15" customHeight="1" x14ac:dyDescent="0.3">
      <c r="A75" t="s">
        <v>18</v>
      </c>
      <c r="B75" t="s">
        <v>11</v>
      </c>
      <c r="C75" t="s">
        <v>12</v>
      </c>
      <c r="D75" t="s">
        <v>13</v>
      </c>
      <c r="E75">
        <v>2</v>
      </c>
      <c r="F75" t="s">
        <v>39</v>
      </c>
      <c r="G75" t="s">
        <v>15</v>
      </c>
      <c r="H75" t="s">
        <v>16</v>
      </c>
      <c r="I75">
        <v>0</v>
      </c>
      <c r="J75" s="23">
        <v>-61094</v>
      </c>
      <c r="K75" t="s">
        <v>17</v>
      </c>
    </row>
    <row r="76" spans="1:11" ht="15" customHeight="1" x14ac:dyDescent="0.3">
      <c r="A76" t="s">
        <v>22</v>
      </c>
      <c r="B76" t="s">
        <v>11</v>
      </c>
      <c r="C76" t="s">
        <v>24</v>
      </c>
      <c r="D76" t="s">
        <v>13</v>
      </c>
      <c r="E76">
        <v>-4</v>
      </c>
      <c r="F76" t="s">
        <v>35</v>
      </c>
      <c r="G76" t="s">
        <v>15</v>
      </c>
      <c r="H76" t="s">
        <v>16</v>
      </c>
      <c r="I76">
        <v>0</v>
      </c>
      <c r="J76" s="23">
        <v>403398</v>
      </c>
      <c r="K76" t="s">
        <v>17</v>
      </c>
    </row>
    <row r="77" spans="1:11" ht="15" customHeight="1" x14ac:dyDescent="0.3">
      <c r="A77" t="s">
        <v>10</v>
      </c>
      <c r="B77" t="s">
        <v>19</v>
      </c>
      <c r="C77" t="s">
        <v>12</v>
      </c>
      <c r="D77" t="s">
        <v>28</v>
      </c>
      <c r="E77">
        <v>34</v>
      </c>
      <c r="F77"/>
      <c r="G77" t="s">
        <v>15</v>
      </c>
      <c r="H77" t="s">
        <v>16</v>
      </c>
      <c r="I77">
        <v>0</v>
      </c>
      <c r="J77" s="23">
        <v>-7644</v>
      </c>
      <c r="K77" t="s">
        <v>17</v>
      </c>
    </row>
    <row r="78" spans="1:11" ht="15" customHeight="1" x14ac:dyDescent="0.3">
      <c r="A78" t="s">
        <v>22</v>
      </c>
      <c r="B78" t="s">
        <v>19</v>
      </c>
      <c r="C78" t="s">
        <v>12</v>
      </c>
      <c r="D78" t="s">
        <v>20</v>
      </c>
      <c r="E78">
        <v>31</v>
      </c>
      <c r="F78"/>
      <c r="G78" t="s">
        <v>31</v>
      </c>
      <c r="H78" t="s">
        <v>16</v>
      </c>
      <c r="I78">
        <v>1</v>
      </c>
      <c r="J78" s="23">
        <v>-20368</v>
      </c>
      <c r="K78" t="s">
        <v>17</v>
      </c>
    </row>
    <row r="79" spans="1:11" ht="15" customHeight="1" x14ac:dyDescent="0.3">
      <c r="A79" t="s">
        <v>18</v>
      </c>
      <c r="B79" t="s">
        <v>19</v>
      </c>
      <c r="C79" t="s">
        <v>24</v>
      </c>
      <c r="D79" t="s">
        <v>28</v>
      </c>
      <c r="E79">
        <v>10</v>
      </c>
      <c r="F79"/>
      <c r="G79" t="s">
        <v>15</v>
      </c>
      <c r="H79" t="s">
        <v>16</v>
      </c>
      <c r="I79">
        <v>0</v>
      </c>
      <c r="J79" s="23">
        <v>3147489</v>
      </c>
      <c r="K79">
        <v>31474890</v>
      </c>
    </row>
    <row r="80" spans="1:11" ht="15" customHeight="1" x14ac:dyDescent="0.3">
      <c r="A80" t="s">
        <v>18</v>
      </c>
      <c r="B80" t="s">
        <v>44</v>
      </c>
      <c r="C80" t="s">
        <v>24</v>
      </c>
      <c r="D80" t="s">
        <v>28</v>
      </c>
      <c r="E80">
        <v>7</v>
      </c>
      <c r="F80" t="s">
        <v>38</v>
      </c>
      <c r="G80" t="s">
        <v>15</v>
      </c>
      <c r="H80" t="s">
        <v>16</v>
      </c>
      <c r="I80">
        <v>0</v>
      </c>
      <c r="J80" s="23">
        <v>4007934</v>
      </c>
      <c r="K80">
        <v>28055538</v>
      </c>
    </row>
    <row r="81" spans="1:11" ht="15" customHeight="1" x14ac:dyDescent="0.3">
      <c r="A81" t="s">
        <v>18</v>
      </c>
      <c r="B81" t="s">
        <v>11</v>
      </c>
      <c r="C81" t="s">
        <v>24</v>
      </c>
      <c r="D81" t="s">
        <v>28</v>
      </c>
      <c r="E81">
        <v>11</v>
      </c>
      <c r="F81" t="s">
        <v>14</v>
      </c>
      <c r="G81" t="s">
        <v>15</v>
      </c>
      <c r="H81" t="s">
        <v>16</v>
      </c>
      <c r="I81">
        <v>0</v>
      </c>
      <c r="J81" s="23">
        <v>8989407</v>
      </c>
      <c r="K81">
        <v>98883477</v>
      </c>
    </row>
    <row r="82" spans="1:11" ht="15" customHeight="1" x14ac:dyDescent="0.3">
      <c r="A82" t="s">
        <v>18</v>
      </c>
      <c r="B82" t="s">
        <v>11</v>
      </c>
      <c r="C82" t="s">
        <v>12</v>
      </c>
      <c r="D82" t="s">
        <v>25</v>
      </c>
      <c r="E82">
        <v>-1</v>
      </c>
      <c r="F82" t="s">
        <v>40</v>
      </c>
      <c r="G82" t="s">
        <v>15</v>
      </c>
      <c r="H82" t="s">
        <v>16</v>
      </c>
      <c r="I82">
        <v>0</v>
      </c>
      <c r="J82" s="23">
        <v>-642</v>
      </c>
      <c r="K82" t="s">
        <v>17</v>
      </c>
    </row>
    <row r="83" spans="1:11" ht="15" customHeight="1" x14ac:dyDescent="0.3">
      <c r="A83" t="s">
        <v>18</v>
      </c>
      <c r="B83" t="s">
        <v>19</v>
      </c>
      <c r="C83" t="s">
        <v>12</v>
      </c>
      <c r="D83" t="s">
        <v>20</v>
      </c>
      <c r="E83">
        <v>23</v>
      </c>
      <c r="F83"/>
      <c r="G83" t="s">
        <v>31</v>
      </c>
      <c r="H83" t="s">
        <v>16</v>
      </c>
      <c r="I83">
        <v>1</v>
      </c>
      <c r="J83" s="23">
        <v>-4689</v>
      </c>
      <c r="K83" t="s">
        <v>17</v>
      </c>
    </row>
    <row r="84" spans="1:11" ht="15" customHeight="1" x14ac:dyDescent="0.3">
      <c r="A84" t="s">
        <v>22</v>
      </c>
      <c r="B84" t="s">
        <v>11</v>
      </c>
      <c r="C84" t="s">
        <v>12</v>
      </c>
      <c r="D84" t="s">
        <v>28</v>
      </c>
      <c r="E84">
        <v>2</v>
      </c>
      <c r="F84" t="s">
        <v>41</v>
      </c>
      <c r="G84" t="s">
        <v>15</v>
      </c>
      <c r="H84" t="s">
        <v>32</v>
      </c>
      <c r="I84">
        <v>1</v>
      </c>
      <c r="J84" s="23">
        <v>-167578</v>
      </c>
      <c r="K84" t="s">
        <v>17</v>
      </c>
    </row>
    <row r="85" spans="1:11" ht="15" customHeight="1" x14ac:dyDescent="0.3">
      <c r="A85" t="s">
        <v>18</v>
      </c>
      <c r="B85" t="s">
        <v>11</v>
      </c>
      <c r="C85" t="s">
        <v>24</v>
      </c>
      <c r="D85" t="s">
        <v>28</v>
      </c>
      <c r="E85">
        <v>14</v>
      </c>
      <c r="F85" t="s">
        <v>45</v>
      </c>
      <c r="G85" t="s">
        <v>15</v>
      </c>
      <c r="H85" t="s">
        <v>16</v>
      </c>
      <c r="I85">
        <v>0</v>
      </c>
      <c r="J85" s="23">
        <v>507618</v>
      </c>
      <c r="K85">
        <v>7106652</v>
      </c>
    </row>
    <row r="86" spans="1:11" ht="15" customHeight="1" x14ac:dyDescent="0.3">
      <c r="A86" t="s">
        <v>18</v>
      </c>
      <c r="B86" t="s">
        <v>11</v>
      </c>
      <c r="C86" t="s">
        <v>12</v>
      </c>
      <c r="D86" t="s">
        <v>13</v>
      </c>
      <c r="E86">
        <v>-1</v>
      </c>
      <c r="F86" t="s">
        <v>40</v>
      </c>
      <c r="G86" t="s">
        <v>15</v>
      </c>
      <c r="H86" t="s">
        <v>16</v>
      </c>
      <c r="I86">
        <v>0</v>
      </c>
      <c r="J86" s="23">
        <v>-231694</v>
      </c>
      <c r="K86" t="s">
        <v>17</v>
      </c>
    </row>
    <row r="87" spans="1:11" ht="15" customHeight="1" x14ac:dyDescent="0.3">
      <c r="A87" t="s">
        <v>10</v>
      </c>
      <c r="B87" t="s">
        <v>19</v>
      </c>
      <c r="C87" t="s">
        <v>12</v>
      </c>
      <c r="D87" t="s">
        <v>20</v>
      </c>
      <c r="E87">
        <v>7</v>
      </c>
      <c r="F87"/>
      <c r="G87" t="s">
        <v>15</v>
      </c>
      <c r="H87" t="s">
        <v>16</v>
      </c>
      <c r="I87">
        <v>0</v>
      </c>
      <c r="J87" s="23">
        <v>-311162</v>
      </c>
      <c r="K87" t="s">
        <v>17</v>
      </c>
    </row>
    <row r="88" spans="1:11" ht="15" customHeight="1" x14ac:dyDescent="0.3">
      <c r="A88" t="s">
        <v>10</v>
      </c>
      <c r="B88" t="s">
        <v>11</v>
      </c>
      <c r="C88" t="s">
        <v>24</v>
      </c>
      <c r="D88" t="s">
        <v>13</v>
      </c>
      <c r="E88">
        <v>1</v>
      </c>
      <c r="F88" t="s">
        <v>40</v>
      </c>
      <c r="G88" t="s">
        <v>15</v>
      </c>
      <c r="H88" t="s">
        <v>16</v>
      </c>
      <c r="I88">
        <v>0</v>
      </c>
      <c r="J88" s="23">
        <v>4265435</v>
      </c>
      <c r="K88">
        <v>4265435</v>
      </c>
    </row>
    <row r="89" spans="1:11" ht="15" customHeight="1" x14ac:dyDescent="0.3">
      <c r="A89" t="s">
        <v>22</v>
      </c>
      <c r="B89" t="s">
        <v>19</v>
      </c>
      <c r="C89" t="s">
        <v>12</v>
      </c>
      <c r="D89" t="s">
        <v>20</v>
      </c>
      <c r="E89">
        <v>34</v>
      </c>
      <c r="F89"/>
      <c r="G89" t="s">
        <v>31</v>
      </c>
      <c r="H89" t="s">
        <v>16</v>
      </c>
      <c r="I89">
        <v>1</v>
      </c>
      <c r="J89" s="23">
        <v>-43628</v>
      </c>
      <c r="K89" t="s">
        <v>17</v>
      </c>
    </row>
    <row r="90" spans="1:11" ht="15" customHeight="1" x14ac:dyDescent="0.3">
      <c r="A90" t="s">
        <v>18</v>
      </c>
      <c r="B90" t="s">
        <v>11</v>
      </c>
      <c r="C90" t="s">
        <v>12</v>
      </c>
      <c r="D90" t="s">
        <v>28</v>
      </c>
      <c r="E90">
        <v>4</v>
      </c>
      <c r="F90" t="s">
        <v>34</v>
      </c>
      <c r="G90" t="s">
        <v>31</v>
      </c>
      <c r="H90" t="s">
        <v>16</v>
      </c>
      <c r="I90">
        <v>1</v>
      </c>
      <c r="J90" s="23">
        <v>-277</v>
      </c>
      <c r="K90" t="s">
        <v>17</v>
      </c>
    </row>
    <row r="91" spans="1:11" ht="15" customHeight="1" x14ac:dyDescent="0.3">
      <c r="A91" t="s">
        <v>18</v>
      </c>
      <c r="B91" t="s">
        <v>19</v>
      </c>
      <c r="C91" t="s">
        <v>24</v>
      </c>
      <c r="D91" t="s">
        <v>20</v>
      </c>
      <c r="E91">
        <v>37</v>
      </c>
      <c r="F91"/>
      <c r="G91" t="s">
        <v>15</v>
      </c>
      <c r="H91" t="s">
        <v>32</v>
      </c>
      <c r="I91">
        <v>1</v>
      </c>
      <c r="J91" s="23">
        <v>760539</v>
      </c>
      <c r="K91">
        <v>28139943</v>
      </c>
    </row>
    <row r="92" spans="1:11" ht="15" customHeight="1" x14ac:dyDescent="0.3">
      <c r="A92" t="s">
        <v>18</v>
      </c>
      <c r="B92" t="s">
        <v>19</v>
      </c>
      <c r="C92" t="s">
        <v>12</v>
      </c>
      <c r="D92" t="s">
        <v>20</v>
      </c>
      <c r="E92">
        <v>6</v>
      </c>
      <c r="F92"/>
      <c r="G92" t="s">
        <v>15</v>
      </c>
      <c r="H92" t="s">
        <v>32</v>
      </c>
      <c r="I92">
        <v>1</v>
      </c>
      <c r="J92" s="23">
        <v>-171</v>
      </c>
      <c r="K92" t="s">
        <v>17</v>
      </c>
    </row>
    <row r="93" spans="1:11" ht="15" customHeight="1" x14ac:dyDescent="0.3">
      <c r="A93" t="s">
        <v>18</v>
      </c>
      <c r="B93" t="s">
        <v>11</v>
      </c>
      <c r="C93" t="s">
        <v>24</v>
      </c>
      <c r="D93" t="s">
        <v>28</v>
      </c>
      <c r="E93">
        <v>15</v>
      </c>
      <c r="F93" t="s">
        <v>40</v>
      </c>
      <c r="G93" t="s">
        <v>15</v>
      </c>
      <c r="H93" t="s">
        <v>16</v>
      </c>
      <c r="I93">
        <v>0</v>
      </c>
      <c r="J93" s="23">
        <v>1016440</v>
      </c>
      <c r="K93">
        <v>15246600</v>
      </c>
    </row>
    <row r="94" spans="1:11" ht="15" customHeight="1" x14ac:dyDescent="0.3">
      <c r="A94" t="s">
        <v>22</v>
      </c>
      <c r="B94" t="s">
        <v>19</v>
      </c>
      <c r="C94" t="s">
        <v>12</v>
      </c>
      <c r="D94" t="s">
        <v>20</v>
      </c>
      <c r="E94">
        <v>20</v>
      </c>
      <c r="F94"/>
      <c r="G94" t="s">
        <v>15</v>
      </c>
      <c r="H94" t="s">
        <v>32</v>
      </c>
      <c r="I94">
        <v>1</v>
      </c>
      <c r="J94" s="23">
        <v>-13855</v>
      </c>
      <c r="K94" t="s">
        <v>17</v>
      </c>
    </row>
    <row r="95" spans="1:11" ht="15" customHeight="1" x14ac:dyDescent="0.3">
      <c r="A95" t="s">
        <v>18</v>
      </c>
      <c r="B95" t="s">
        <v>11</v>
      </c>
      <c r="C95" t="s">
        <v>12</v>
      </c>
      <c r="D95" t="s">
        <v>25</v>
      </c>
      <c r="E95">
        <v>7</v>
      </c>
      <c r="F95" t="s">
        <v>35</v>
      </c>
      <c r="G95" t="s">
        <v>15</v>
      </c>
      <c r="H95" t="s">
        <v>16</v>
      </c>
      <c r="I95">
        <v>0</v>
      </c>
      <c r="J95" s="23">
        <v>-724</v>
      </c>
      <c r="K95" t="s">
        <v>17</v>
      </c>
    </row>
    <row r="96" spans="1:11" ht="15" customHeight="1" x14ac:dyDescent="0.3">
      <c r="A96" t="s">
        <v>10</v>
      </c>
      <c r="B96" t="s">
        <v>11</v>
      </c>
      <c r="C96" t="s">
        <v>12</v>
      </c>
      <c r="D96" t="s">
        <v>13</v>
      </c>
      <c r="E96">
        <v>9</v>
      </c>
      <c r="F96" t="s">
        <v>21</v>
      </c>
      <c r="G96" t="s">
        <v>15</v>
      </c>
      <c r="H96" t="s">
        <v>16</v>
      </c>
      <c r="I96">
        <v>0</v>
      </c>
      <c r="J96" s="23">
        <v>-1786</v>
      </c>
      <c r="K96" t="s">
        <v>17</v>
      </c>
    </row>
    <row r="97" spans="1:11" ht="15" customHeight="1" x14ac:dyDescent="0.3">
      <c r="A97" t="s">
        <v>10</v>
      </c>
      <c r="B97" t="s">
        <v>11</v>
      </c>
      <c r="C97" t="s">
        <v>24</v>
      </c>
      <c r="D97" t="s">
        <v>25</v>
      </c>
      <c r="E97">
        <v>-1</v>
      </c>
      <c r="F97" t="s">
        <v>30</v>
      </c>
      <c r="G97" t="s">
        <v>15</v>
      </c>
      <c r="H97" t="s">
        <v>16</v>
      </c>
      <c r="I97">
        <v>0</v>
      </c>
      <c r="J97" s="23">
        <v>505197</v>
      </c>
      <c r="K97" t="s">
        <v>17</v>
      </c>
    </row>
    <row r="98" spans="1:11" ht="15" customHeight="1" x14ac:dyDescent="0.3">
      <c r="A98" t="s">
        <v>18</v>
      </c>
      <c r="B98" t="s">
        <v>19</v>
      </c>
      <c r="C98" t="s">
        <v>12</v>
      </c>
      <c r="D98" t="s">
        <v>28</v>
      </c>
      <c r="E98">
        <v>31</v>
      </c>
      <c r="F98"/>
      <c r="G98" t="s">
        <v>15</v>
      </c>
      <c r="H98" t="s">
        <v>16</v>
      </c>
      <c r="I98">
        <v>0</v>
      </c>
      <c r="J98" s="23">
        <v>-2827</v>
      </c>
      <c r="K98" t="s">
        <v>17</v>
      </c>
    </row>
    <row r="99" spans="1:11" ht="15" customHeight="1" x14ac:dyDescent="0.3">
      <c r="A99" t="s">
        <v>18</v>
      </c>
      <c r="B99" t="s">
        <v>19</v>
      </c>
      <c r="C99" t="s">
        <v>12</v>
      </c>
      <c r="D99" t="s">
        <v>20</v>
      </c>
      <c r="E99">
        <v>16</v>
      </c>
      <c r="F99"/>
      <c r="G99" t="s">
        <v>15</v>
      </c>
      <c r="H99" t="s">
        <v>16</v>
      </c>
      <c r="I99">
        <v>0</v>
      </c>
      <c r="J99" s="23">
        <v>-126457</v>
      </c>
      <c r="K99" t="s">
        <v>17</v>
      </c>
    </row>
    <row r="100" spans="1:11" ht="15" customHeight="1" x14ac:dyDescent="0.3">
      <c r="A100" t="s">
        <v>18</v>
      </c>
      <c r="B100" t="s">
        <v>19</v>
      </c>
      <c r="C100" t="s">
        <v>24</v>
      </c>
      <c r="D100" t="s">
        <v>20</v>
      </c>
      <c r="E100">
        <v>26</v>
      </c>
      <c r="F100"/>
      <c r="G100" t="s">
        <v>15</v>
      </c>
      <c r="H100" t="s">
        <v>16</v>
      </c>
      <c r="I100">
        <v>0</v>
      </c>
      <c r="J100" s="23">
        <v>830491560</v>
      </c>
      <c r="K100">
        <v>21592780560</v>
      </c>
    </row>
    <row r="101" spans="1:11" ht="15" customHeight="1" x14ac:dyDescent="0.3">
      <c r="A101" t="s">
        <v>10</v>
      </c>
      <c r="B101" t="s">
        <v>11</v>
      </c>
      <c r="C101" t="s">
        <v>12</v>
      </c>
      <c r="D101" t="s">
        <v>25</v>
      </c>
      <c r="E101">
        <v>5</v>
      </c>
      <c r="F101" t="s">
        <v>37</v>
      </c>
      <c r="G101" t="s">
        <v>15</v>
      </c>
      <c r="H101" t="s">
        <v>16</v>
      </c>
      <c r="I101">
        <v>0</v>
      </c>
      <c r="J101" s="23">
        <v>-24100</v>
      </c>
      <c r="K101" t="s">
        <v>17</v>
      </c>
    </row>
    <row r="102" spans="1:11" ht="15" customHeight="1" x14ac:dyDescent="0.3">
      <c r="A102" t="s">
        <v>18</v>
      </c>
      <c r="B102" t="s">
        <v>19</v>
      </c>
      <c r="C102" t="s">
        <v>12</v>
      </c>
      <c r="D102" t="s">
        <v>20</v>
      </c>
      <c r="E102">
        <v>18</v>
      </c>
      <c r="F102"/>
      <c r="G102" t="s">
        <v>15</v>
      </c>
      <c r="H102" t="s">
        <v>16</v>
      </c>
      <c r="I102">
        <v>0</v>
      </c>
      <c r="J102" s="23">
        <v>-191115</v>
      </c>
      <c r="K102" t="s">
        <v>17</v>
      </c>
    </row>
    <row r="103" spans="1:11" ht="15" customHeight="1" x14ac:dyDescent="0.3">
      <c r="A103" t="s">
        <v>22</v>
      </c>
      <c r="B103" t="s">
        <v>11</v>
      </c>
      <c r="C103" t="s">
        <v>24</v>
      </c>
      <c r="D103" t="s">
        <v>13</v>
      </c>
      <c r="E103">
        <v>4</v>
      </c>
      <c r="F103" t="s">
        <v>33</v>
      </c>
      <c r="G103" t="s">
        <v>15</v>
      </c>
      <c r="H103" t="s">
        <v>16</v>
      </c>
      <c r="I103">
        <v>0</v>
      </c>
      <c r="J103" s="23">
        <v>18735</v>
      </c>
      <c r="K103">
        <v>74940</v>
      </c>
    </row>
    <row r="104" spans="1:11" ht="15" customHeight="1" x14ac:dyDescent="0.3">
      <c r="A104" t="s">
        <v>18</v>
      </c>
      <c r="B104" t="s">
        <v>11</v>
      </c>
      <c r="C104" t="s">
        <v>24</v>
      </c>
      <c r="D104" t="s">
        <v>28</v>
      </c>
      <c r="E104">
        <v>7</v>
      </c>
      <c r="F104" t="s">
        <v>33</v>
      </c>
      <c r="G104" t="s">
        <v>15</v>
      </c>
      <c r="H104" t="s">
        <v>32</v>
      </c>
      <c r="I104">
        <v>1</v>
      </c>
      <c r="J104" s="23">
        <v>3173048</v>
      </c>
      <c r="K104">
        <v>22211336</v>
      </c>
    </row>
    <row r="105" spans="1:11" ht="15" customHeight="1" x14ac:dyDescent="0.3">
      <c r="A105" t="s">
        <v>18</v>
      </c>
      <c r="B105" t="s">
        <v>19</v>
      </c>
      <c r="C105" t="s">
        <v>12</v>
      </c>
      <c r="D105" t="s">
        <v>20</v>
      </c>
      <c r="E105">
        <v>14</v>
      </c>
      <c r="F105"/>
      <c r="G105" t="s">
        <v>31</v>
      </c>
      <c r="H105" t="s">
        <v>16</v>
      </c>
      <c r="I105">
        <v>1</v>
      </c>
      <c r="J105" s="23">
        <v>-716</v>
      </c>
      <c r="K105" t="s">
        <v>17</v>
      </c>
    </row>
    <row r="106" spans="1:11" ht="15" customHeight="1" x14ac:dyDescent="0.3">
      <c r="A106" t="s">
        <v>10</v>
      </c>
      <c r="B106" t="s">
        <v>19</v>
      </c>
      <c r="C106" t="s">
        <v>12</v>
      </c>
      <c r="D106" t="s">
        <v>20</v>
      </c>
      <c r="E106">
        <v>22</v>
      </c>
      <c r="F106"/>
      <c r="G106" t="s">
        <v>15</v>
      </c>
      <c r="H106" t="s">
        <v>32</v>
      </c>
      <c r="I106">
        <v>1</v>
      </c>
      <c r="J106" s="23">
        <v>-24206</v>
      </c>
      <c r="K106" t="s">
        <v>17</v>
      </c>
    </row>
    <row r="107" spans="1:11" ht="15" customHeight="1" x14ac:dyDescent="0.3">
      <c r="A107" t="s">
        <v>18</v>
      </c>
      <c r="B107" t="s">
        <v>11</v>
      </c>
      <c r="C107" t="s">
        <v>12</v>
      </c>
      <c r="D107" t="s">
        <v>25</v>
      </c>
      <c r="E107">
        <v>3</v>
      </c>
      <c r="F107" t="s">
        <v>41</v>
      </c>
      <c r="G107" t="s">
        <v>15</v>
      </c>
      <c r="H107" t="s">
        <v>16</v>
      </c>
      <c r="I107">
        <v>0</v>
      </c>
      <c r="J107" s="23">
        <v>-651</v>
      </c>
      <c r="K107" t="s">
        <v>17</v>
      </c>
    </row>
    <row r="108" spans="1:11" ht="15" customHeight="1" x14ac:dyDescent="0.3">
      <c r="A108" t="s">
        <v>18</v>
      </c>
      <c r="B108" t="s">
        <v>19</v>
      </c>
      <c r="C108" t="s">
        <v>12</v>
      </c>
      <c r="D108" t="s">
        <v>20</v>
      </c>
      <c r="E108">
        <v>3</v>
      </c>
      <c r="F108"/>
      <c r="G108" t="s">
        <v>31</v>
      </c>
      <c r="H108" t="s">
        <v>16</v>
      </c>
      <c r="I108">
        <v>1</v>
      </c>
      <c r="J108" s="23">
        <v>-132</v>
      </c>
      <c r="K108" t="s">
        <v>17</v>
      </c>
    </row>
    <row r="109" spans="1:11" ht="15" customHeight="1" x14ac:dyDescent="0.3">
      <c r="A109" t="s">
        <v>10</v>
      </c>
      <c r="B109" t="s">
        <v>11</v>
      </c>
      <c r="C109" t="s">
        <v>12</v>
      </c>
      <c r="D109" t="s">
        <v>25</v>
      </c>
      <c r="E109">
        <v>0</v>
      </c>
      <c r="F109" t="s">
        <v>42</v>
      </c>
      <c r="G109" t="s">
        <v>15</v>
      </c>
      <c r="H109" t="s">
        <v>16</v>
      </c>
      <c r="I109">
        <v>0</v>
      </c>
      <c r="J109" s="23">
        <v>-34</v>
      </c>
      <c r="K109" t="s">
        <v>17</v>
      </c>
    </row>
    <row r="110" spans="1:11" ht="15" customHeight="1" x14ac:dyDescent="0.3">
      <c r="A110" t="s">
        <v>18</v>
      </c>
      <c r="B110" t="s">
        <v>11</v>
      </c>
      <c r="C110" t="s">
        <v>24</v>
      </c>
      <c r="D110" t="s">
        <v>13</v>
      </c>
      <c r="E110">
        <v>15</v>
      </c>
      <c r="F110" t="s">
        <v>33</v>
      </c>
      <c r="G110" t="s">
        <v>15</v>
      </c>
      <c r="H110" t="s">
        <v>16</v>
      </c>
      <c r="I110">
        <v>0</v>
      </c>
      <c r="J110" s="23">
        <v>1749456</v>
      </c>
      <c r="K110">
        <v>26241840</v>
      </c>
    </row>
    <row r="111" spans="1:11" ht="15" customHeight="1" x14ac:dyDescent="0.3">
      <c r="A111" t="s">
        <v>18</v>
      </c>
      <c r="B111" t="s">
        <v>47</v>
      </c>
      <c r="C111" t="s">
        <v>12</v>
      </c>
      <c r="D111" t="s">
        <v>28</v>
      </c>
      <c r="E111">
        <v>3</v>
      </c>
      <c r="F111" t="s">
        <v>30</v>
      </c>
      <c r="G111" t="s">
        <v>15</v>
      </c>
      <c r="H111" t="s">
        <v>16</v>
      </c>
      <c r="I111">
        <v>0</v>
      </c>
      <c r="J111" s="23">
        <v>-81</v>
      </c>
      <c r="K111" t="s">
        <v>17</v>
      </c>
    </row>
    <row r="112" spans="1:11" ht="15" customHeight="1" x14ac:dyDescent="0.3">
      <c r="A112" t="s">
        <v>10</v>
      </c>
      <c r="B112" t="s">
        <v>11</v>
      </c>
      <c r="C112" t="s">
        <v>12</v>
      </c>
      <c r="D112" t="s">
        <v>28</v>
      </c>
      <c r="E112">
        <v>15</v>
      </c>
      <c r="F112" t="s">
        <v>23</v>
      </c>
      <c r="G112" t="s">
        <v>15</v>
      </c>
      <c r="H112" t="s">
        <v>16</v>
      </c>
      <c r="I112">
        <v>0</v>
      </c>
      <c r="J112" s="23">
        <v>-45327</v>
      </c>
      <c r="K112" t="s">
        <v>17</v>
      </c>
    </row>
    <row r="113" spans="1:11" ht="15" customHeight="1" x14ac:dyDescent="0.3">
      <c r="A113" t="s">
        <v>18</v>
      </c>
      <c r="B113" t="s">
        <v>19</v>
      </c>
      <c r="C113" t="s">
        <v>24</v>
      </c>
      <c r="D113" t="s">
        <v>20</v>
      </c>
      <c r="E113">
        <v>32</v>
      </c>
      <c r="F113"/>
      <c r="G113" t="s">
        <v>31</v>
      </c>
      <c r="H113" t="s">
        <v>16</v>
      </c>
      <c r="I113">
        <v>1</v>
      </c>
      <c r="J113" s="23">
        <v>9590455</v>
      </c>
      <c r="K113">
        <v>306894560</v>
      </c>
    </row>
    <row r="114" spans="1:11" ht="15" customHeight="1" x14ac:dyDescent="0.3">
      <c r="A114" t="s">
        <v>10</v>
      </c>
      <c r="B114" t="s">
        <v>19</v>
      </c>
      <c r="C114" t="s">
        <v>24</v>
      </c>
      <c r="D114" t="s">
        <v>28</v>
      </c>
      <c r="E114">
        <v>19</v>
      </c>
      <c r="F114"/>
      <c r="G114" t="s">
        <v>15</v>
      </c>
      <c r="H114" t="s">
        <v>16</v>
      </c>
      <c r="I114">
        <v>0</v>
      </c>
      <c r="J114" s="23">
        <v>61407</v>
      </c>
      <c r="K114">
        <v>1166733</v>
      </c>
    </row>
    <row r="115" spans="1:11" ht="15" customHeight="1" x14ac:dyDescent="0.3">
      <c r="A115" t="s">
        <v>22</v>
      </c>
      <c r="B115" t="s">
        <v>11</v>
      </c>
      <c r="C115" t="s">
        <v>12</v>
      </c>
      <c r="D115" t="s">
        <v>28</v>
      </c>
      <c r="E115">
        <v>-1</v>
      </c>
      <c r="F115" t="s">
        <v>40</v>
      </c>
      <c r="G115" t="s">
        <v>15</v>
      </c>
      <c r="H115" t="s">
        <v>16</v>
      </c>
      <c r="I115">
        <v>0</v>
      </c>
      <c r="J115" s="23">
        <v>-800</v>
      </c>
      <c r="K115" t="s">
        <v>17</v>
      </c>
    </row>
    <row r="116" spans="1:11" ht="15" customHeight="1" x14ac:dyDescent="0.3">
      <c r="A116" t="s">
        <v>18</v>
      </c>
      <c r="B116" t="s">
        <v>11</v>
      </c>
      <c r="C116" t="s">
        <v>24</v>
      </c>
      <c r="D116" t="s">
        <v>13</v>
      </c>
      <c r="E116">
        <v>4</v>
      </c>
      <c r="F116" t="s">
        <v>45</v>
      </c>
      <c r="G116" t="s">
        <v>15</v>
      </c>
      <c r="H116" t="s">
        <v>16</v>
      </c>
      <c r="I116">
        <v>0</v>
      </c>
      <c r="J116" s="23">
        <v>732000</v>
      </c>
      <c r="K116">
        <v>2928000</v>
      </c>
    </row>
    <row r="117" spans="1:11" ht="15" customHeight="1" x14ac:dyDescent="0.3">
      <c r="A117" t="s">
        <v>10</v>
      </c>
      <c r="B117" t="s">
        <v>11</v>
      </c>
      <c r="C117" t="s">
        <v>12</v>
      </c>
      <c r="D117" t="s">
        <v>28</v>
      </c>
      <c r="E117">
        <v>6</v>
      </c>
      <c r="F117" t="s">
        <v>14</v>
      </c>
      <c r="G117" t="s">
        <v>15</v>
      </c>
      <c r="H117" t="s">
        <v>16</v>
      </c>
      <c r="I117">
        <v>0</v>
      </c>
      <c r="J117" s="23">
        <v>-21686</v>
      </c>
      <c r="K117" t="s">
        <v>17</v>
      </c>
    </row>
    <row r="118" spans="1:11" ht="15" customHeight="1" x14ac:dyDescent="0.3">
      <c r="A118" t="s">
        <v>18</v>
      </c>
      <c r="B118" t="s">
        <v>11</v>
      </c>
      <c r="C118" t="s">
        <v>24</v>
      </c>
      <c r="D118" t="s">
        <v>13</v>
      </c>
      <c r="E118">
        <v>-1</v>
      </c>
      <c r="F118" t="s">
        <v>35</v>
      </c>
      <c r="G118" t="s">
        <v>15</v>
      </c>
      <c r="H118" t="s">
        <v>16</v>
      </c>
      <c r="I118">
        <v>0</v>
      </c>
      <c r="J118" s="23">
        <v>8304026</v>
      </c>
      <c r="K118" t="s">
        <v>17</v>
      </c>
    </row>
    <row r="119" spans="1:11" ht="15" customHeight="1" x14ac:dyDescent="0.3">
      <c r="A119" t="s">
        <v>18</v>
      </c>
      <c r="B119" t="s">
        <v>11</v>
      </c>
      <c r="C119" t="s">
        <v>24</v>
      </c>
      <c r="D119" t="s">
        <v>13</v>
      </c>
      <c r="E119">
        <v>5</v>
      </c>
      <c r="F119" t="s">
        <v>21</v>
      </c>
      <c r="G119" t="s">
        <v>15</v>
      </c>
      <c r="H119" t="s">
        <v>16</v>
      </c>
      <c r="I119">
        <v>0</v>
      </c>
      <c r="J119" s="23">
        <v>9666281</v>
      </c>
      <c r="K119">
        <v>48331405</v>
      </c>
    </row>
    <row r="120" spans="1:11" ht="15" customHeight="1" x14ac:dyDescent="0.3">
      <c r="A120" t="s">
        <v>18</v>
      </c>
      <c r="B120" t="s">
        <v>19</v>
      </c>
      <c r="C120" t="s">
        <v>12</v>
      </c>
      <c r="D120" t="s">
        <v>20</v>
      </c>
      <c r="E120">
        <v>1</v>
      </c>
      <c r="F120"/>
      <c r="G120" t="s">
        <v>15</v>
      </c>
      <c r="H120" t="s">
        <v>32</v>
      </c>
      <c r="I120">
        <v>1</v>
      </c>
      <c r="J120" s="23">
        <v>-9</v>
      </c>
      <c r="K120" t="s">
        <v>17</v>
      </c>
    </row>
    <row r="121" spans="1:11" ht="15" customHeight="1" x14ac:dyDescent="0.3">
      <c r="A121" t="s">
        <v>18</v>
      </c>
      <c r="B121" t="s">
        <v>11</v>
      </c>
      <c r="C121" t="s">
        <v>12</v>
      </c>
      <c r="D121" t="s">
        <v>28</v>
      </c>
      <c r="E121">
        <v>15</v>
      </c>
      <c r="F121" t="s">
        <v>21</v>
      </c>
      <c r="G121" t="s">
        <v>15</v>
      </c>
      <c r="H121" t="s">
        <v>16</v>
      </c>
      <c r="I121">
        <v>0</v>
      </c>
      <c r="J121" s="23">
        <v>-37055</v>
      </c>
      <c r="K121" t="s">
        <v>17</v>
      </c>
    </row>
    <row r="122" spans="1:11" ht="15" customHeight="1" x14ac:dyDescent="0.3">
      <c r="A122" t="s">
        <v>10</v>
      </c>
      <c r="B122" t="s">
        <v>11</v>
      </c>
      <c r="C122" t="s">
        <v>12</v>
      </c>
      <c r="D122" t="s">
        <v>28</v>
      </c>
      <c r="E122">
        <v>15</v>
      </c>
      <c r="F122" t="s">
        <v>34</v>
      </c>
      <c r="G122" t="s">
        <v>15</v>
      </c>
      <c r="H122" t="s">
        <v>16</v>
      </c>
      <c r="I122">
        <v>0</v>
      </c>
      <c r="J122" s="23">
        <v>-25604</v>
      </c>
      <c r="K122" t="s">
        <v>17</v>
      </c>
    </row>
    <row r="123" spans="1:11" ht="15" customHeight="1" x14ac:dyDescent="0.3">
      <c r="A123" t="s">
        <v>10</v>
      </c>
      <c r="B123" t="s">
        <v>11</v>
      </c>
      <c r="C123" t="s">
        <v>12</v>
      </c>
      <c r="D123" t="s">
        <v>25</v>
      </c>
      <c r="E123">
        <v>5</v>
      </c>
      <c r="F123" t="s">
        <v>41</v>
      </c>
      <c r="G123" t="s">
        <v>15</v>
      </c>
      <c r="H123" t="s">
        <v>16</v>
      </c>
      <c r="I123">
        <v>0</v>
      </c>
      <c r="J123" s="23">
        <v>-7179</v>
      </c>
      <c r="K123" t="s">
        <v>17</v>
      </c>
    </row>
    <row r="124" spans="1:11" ht="15" customHeight="1" x14ac:dyDescent="0.3">
      <c r="A124" t="s">
        <v>10</v>
      </c>
      <c r="B124" t="s">
        <v>11</v>
      </c>
      <c r="C124" t="s">
        <v>12</v>
      </c>
      <c r="D124" t="s">
        <v>25</v>
      </c>
      <c r="E124">
        <v>6</v>
      </c>
      <c r="F124" t="s">
        <v>35</v>
      </c>
      <c r="G124" t="s">
        <v>15</v>
      </c>
      <c r="H124" t="s">
        <v>16</v>
      </c>
      <c r="I124">
        <v>0</v>
      </c>
      <c r="J124" s="23">
        <v>-814</v>
      </c>
      <c r="K124" t="s">
        <v>17</v>
      </c>
    </row>
    <row r="125" spans="1:11" ht="15" customHeight="1" x14ac:dyDescent="0.3">
      <c r="A125" t="s">
        <v>18</v>
      </c>
      <c r="B125" t="s">
        <v>11</v>
      </c>
      <c r="C125" t="s">
        <v>12</v>
      </c>
      <c r="D125" t="s">
        <v>25</v>
      </c>
      <c r="E125">
        <v>3</v>
      </c>
      <c r="F125" t="s">
        <v>26</v>
      </c>
      <c r="G125" t="s">
        <v>15</v>
      </c>
      <c r="H125" t="s">
        <v>16</v>
      </c>
      <c r="I125">
        <v>0</v>
      </c>
      <c r="J125" s="23">
        <v>-2783</v>
      </c>
      <c r="K125" t="s">
        <v>17</v>
      </c>
    </row>
    <row r="126" spans="1:11" ht="15" customHeight="1" x14ac:dyDescent="0.3">
      <c r="A126" t="s">
        <v>18</v>
      </c>
      <c r="B126" t="s">
        <v>11</v>
      </c>
      <c r="C126" t="s">
        <v>24</v>
      </c>
      <c r="D126" t="s">
        <v>25</v>
      </c>
      <c r="E126">
        <v>1</v>
      </c>
      <c r="F126" t="s">
        <v>39</v>
      </c>
      <c r="G126" t="s">
        <v>15</v>
      </c>
      <c r="H126" t="s">
        <v>16</v>
      </c>
      <c r="I126">
        <v>0</v>
      </c>
      <c r="J126" s="23">
        <v>29634234</v>
      </c>
      <c r="K126">
        <v>29634234</v>
      </c>
    </row>
    <row r="127" spans="1:11" ht="15" customHeight="1" x14ac:dyDescent="0.3">
      <c r="A127" t="s">
        <v>10</v>
      </c>
      <c r="B127" t="s">
        <v>11</v>
      </c>
      <c r="C127" t="s">
        <v>24</v>
      </c>
      <c r="D127" t="s">
        <v>25</v>
      </c>
      <c r="E127">
        <v>7</v>
      </c>
      <c r="F127" t="s">
        <v>40</v>
      </c>
      <c r="G127" t="s">
        <v>15</v>
      </c>
      <c r="H127" t="s">
        <v>16</v>
      </c>
      <c r="I127">
        <v>0</v>
      </c>
      <c r="J127" s="23">
        <v>687098</v>
      </c>
      <c r="K127">
        <v>4809686</v>
      </c>
    </row>
    <row r="128" spans="1:11" ht="15" customHeight="1" x14ac:dyDescent="0.3">
      <c r="A128" t="s">
        <v>18</v>
      </c>
      <c r="B128" t="s">
        <v>11</v>
      </c>
      <c r="C128" t="s">
        <v>24</v>
      </c>
      <c r="D128" t="s">
        <v>25</v>
      </c>
      <c r="E128">
        <v>-4</v>
      </c>
      <c r="F128" t="s">
        <v>30</v>
      </c>
      <c r="G128" t="s">
        <v>15</v>
      </c>
      <c r="H128" t="s">
        <v>16</v>
      </c>
      <c r="I128">
        <v>0</v>
      </c>
      <c r="J128" s="23">
        <v>238</v>
      </c>
      <c r="K128" t="s">
        <v>17</v>
      </c>
    </row>
    <row r="129" spans="1:11" ht="15" customHeight="1" x14ac:dyDescent="0.3">
      <c r="A129" t="s">
        <v>22</v>
      </c>
      <c r="B129" t="s">
        <v>11</v>
      </c>
      <c r="C129" t="s">
        <v>24</v>
      </c>
      <c r="D129" t="s">
        <v>28</v>
      </c>
      <c r="E129">
        <v>7</v>
      </c>
      <c r="F129" t="s">
        <v>23</v>
      </c>
      <c r="G129" t="s">
        <v>15</v>
      </c>
      <c r="H129" t="s">
        <v>16</v>
      </c>
      <c r="I129">
        <v>0</v>
      </c>
      <c r="J129" s="23">
        <v>249590</v>
      </c>
      <c r="K129">
        <v>1747130</v>
      </c>
    </row>
    <row r="130" spans="1:11" ht="15" customHeight="1" x14ac:dyDescent="0.3">
      <c r="A130" t="s">
        <v>18</v>
      </c>
      <c r="B130" t="s">
        <v>11</v>
      </c>
      <c r="C130" t="s">
        <v>24</v>
      </c>
      <c r="D130" t="s">
        <v>25</v>
      </c>
      <c r="E130">
        <v>3</v>
      </c>
      <c r="F130" t="s">
        <v>45</v>
      </c>
      <c r="G130" t="s">
        <v>15</v>
      </c>
      <c r="H130" t="s">
        <v>16</v>
      </c>
      <c r="I130">
        <v>0</v>
      </c>
      <c r="J130" s="23">
        <v>355675</v>
      </c>
      <c r="K130">
        <v>1067025</v>
      </c>
    </row>
    <row r="131" spans="1:11" ht="15" customHeight="1" x14ac:dyDescent="0.3">
      <c r="A131" t="s">
        <v>10</v>
      </c>
      <c r="B131" t="s">
        <v>11</v>
      </c>
      <c r="C131" t="s">
        <v>12</v>
      </c>
      <c r="D131" t="s">
        <v>28</v>
      </c>
      <c r="E131">
        <v>8</v>
      </c>
      <c r="F131" t="s">
        <v>21</v>
      </c>
      <c r="G131" t="s">
        <v>15</v>
      </c>
      <c r="H131" t="s">
        <v>16</v>
      </c>
      <c r="I131">
        <v>0</v>
      </c>
      <c r="J131" s="23">
        <v>-33355</v>
      </c>
      <c r="K131" t="s">
        <v>17</v>
      </c>
    </row>
    <row r="132" spans="1:11" ht="15" customHeight="1" x14ac:dyDescent="0.3">
      <c r="A132" t="s">
        <v>10</v>
      </c>
      <c r="B132" t="s">
        <v>11</v>
      </c>
      <c r="C132" t="s">
        <v>24</v>
      </c>
      <c r="D132" t="s">
        <v>28</v>
      </c>
      <c r="E132">
        <v>2</v>
      </c>
      <c r="F132" t="s">
        <v>26</v>
      </c>
      <c r="G132" t="s">
        <v>15</v>
      </c>
      <c r="H132" t="s">
        <v>16</v>
      </c>
      <c r="I132">
        <v>0</v>
      </c>
      <c r="J132" s="23">
        <v>1811592</v>
      </c>
      <c r="K132">
        <v>3623184</v>
      </c>
    </row>
    <row r="133" spans="1:11" ht="15" customHeight="1" x14ac:dyDescent="0.3">
      <c r="A133" t="s">
        <v>18</v>
      </c>
      <c r="B133" t="s">
        <v>44</v>
      </c>
      <c r="C133" t="s">
        <v>12</v>
      </c>
      <c r="D133" t="s">
        <v>28</v>
      </c>
      <c r="E133">
        <v>14</v>
      </c>
      <c r="F133" t="s">
        <v>26</v>
      </c>
      <c r="G133" t="s">
        <v>15</v>
      </c>
      <c r="H133" t="s">
        <v>16</v>
      </c>
      <c r="I133">
        <v>0</v>
      </c>
      <c r="J133" s="23">
        <v>-2561</v>
      </c>
      <c r="K133" t="s">
        <v>17</v>
      </c>
    </row>
    <row r="134" spans="1:11" ht="15" customHeight="1" x14ac:dyDescent="0.3">
      <c r="A134" t="s">
        <v>22</v>
      </c>
      <c r="B134" t="s">
        <v>11</v>
      </c>
      <c r="C134" t="s">
        <v>12</v>
      </c>
      <c r="D134" t="s">
        <v>28</v>
      </c>
      <c r="E134">
        <v>-4</v>
      </c>
      <c r="F134" t="s">
        <v>23</v>
      </c>
      <c r="G134" t="s">
        <v>15</v>
      </c>
      <c r="H134" t="s">
        <v>16</v>
      </c>
      <c r="I134">
        <v>0</v>
      </c>
      <c r="J134" s="23">
        <v>-114805</v>
      </c>
      <c r="K134" t="s">
        <v>17</v>
      </c>
    </row>
    <row r="135" spans="1:11" ht="15" customHeight="1" x14ac:dyDescent="0.3">
      <c r="A135" t="s">
        <v>10</v>
      </c>
      <c r="B135" t="s">
        <v>11</v>
      </c>
      <c r="C135" t="s">
        <v>12</v>
      </c>
      <c r="D135" t="s">
        <v>28</v>
      </c>
      <c r="E135">
        <v>17</v>
      </c>
      <c r="F135" t="s">
        <v>30</v>
      </c>
      <c r="G135" t="s">
        <v>15</v>
      </c>
      <c r="H135" t="s">
        <v>16</v>
      </c>
      <c r="I135">
        <v>0</v>
      </c>
      <c r="J135" s="23">
        <v>-463</v>
      </c>
      <c r="K135" t="s">
        <v>17</v>
      </c>
    </row>
    <row r="136" spans="1:11" ht="15" customHeight="1" x14ac:dyDescent="0.3">
      <c r="A136" t="s">
        <v>22</v>
      </c>
      <c r="B136" t="s">
        <v>11</v>
      </c>
      <c r="C136" t="s">
        <v>12</v>
      </c>
      <c r="D136" t="s">
        <v>13</v>
      </c>
      <c r="E136">
        <v>21</v>
      </c>
      <c r="F136" t="s">
        <v>39</v>
      </c>
      <c r="G136" t="s">
        <v>15</v>
      </c>
      <c r="H136" t="s">
        <v>16</v>
      </c>
      <c r="I136">
        <v>0</v>
      </c>
      <c r="J136" s="23">
        <v>-4340854</v>
      </c>
      <c r="K136" t="s">
        <v>17</v>
      </c>
    </row>
    <row r="137" spans="1:11" ht="15" customHeight="1" x14ac:dyDescent="0.3">
      <c r="A137" t="s">
        <v>22</v>
      </c>
      <c r="B137" t="s">
        <v>11</v>
      </c>
      <c r="C137" t="s">
        <v>24</v>
      </c>
      <c r="D137" t="s">
        <v>25</v>
      </c>
      <c r="E137">
        <v>0</v>
      </c>
      <c r="F137" t="s">
        <v>27</v>
      </c>
      <c r="G137" t="s">
        <v>15</v>
      </c>
      <c r="H137" t="s">
        <v>16</v>
      </c>
      <c r="I137">
        <v>0</v>
      </c>
      <c r="J137" s="23">
        <v>14344</v>
      </c>
      <c r="K137" t="s">
        <v>17</v>
      </c>
    </row>
    <row r="138" spans="1:11" ht="15" customHeight="1" x14ac:dyDescent="0.3">
      <c r="A138" t="s">
        <v>18</v>
      </c>
      <c r="B138" t="s">
        <v>11</v>
      </c>
      <c r="C138" t="s">
        <v>12</v>
      </c>
      <c r="D138" t="s">
        <v>28</v>
      </c>
      <c r="E138">
        <v>11</v>
      </c>
      <c r="F138" t="s">
        <v>23</v>
      </c>
      <c r="G138" t="s">
        <v>15</v>
      </c>
      <c r="H138" t="s">
        <v>16</v>
      </c>
      <c r="I138">
        <v>0</v>
      </c>
      <c r="J138" s="23">
        <v>-98309</v>
      </c>
      <c r="K138" t="s">
        <v>17</v>
      </c>
    </row>
    <row r="139" spans="1:11" ht="15" customHeight="1" x14ac:dyDescent="0.3">
      <c r="A139" t="s">
        <v>22</v>
      </c>
      <c r="B139" t="s">
        <v>11</v>
      </c>
      <c r="C139" t="s">
        <v>12</v>
      </c>
      <c r="D139" t="s">
        <v>13</v>
      </c>
      <c r="E139">
        <v>3</v>
      </c>
      <c r="F139" t="s">
        <v>34</v>
      </c>
      <c r="G139" t="s">
        <v>15</v>
      </c>
      <c r="H139" t="s">
        <v>16</v>
      </c>
      <c r="I139">
        <v>0</v>
      </c>
      <c r="J139" s="23">
        <v>-2665328</v>
      </c>
      <c r="K139" t="s">
        <v>17</v>
      </c>
    </row>
    <row r="140" spans="1:11" ht="15" customHeight="1" x14ac:dyDescent="0.3">
      <c r="A140" t="s">
        <v>10</v>
      </c>
      <c r="B140" t="s">
        <v>19</v>
      </c>
      <c r="C140" t="s">
        <v>12</v>
      </c>
      <c r="D140" t="s">
        <v>20</v>
      </c>
      <c r="E140">
        <v>37</v>
      </c>
      <c r="F140"/>
      <c r="G140" t="s">
        <v>15</v>
      </c>
      <c r="H140" t="s">
        <v>32</v>
      </c>
      <c r="I140">
        <v>1</v>
      </c>
      <c r="J140" s="23">
        <v>-1102</v>
      </c>
      <c r="K140" t="s">
        <v>17</v>
      </c>
    </row>
    <row r="141" spans="1:11" ht="15" customHeight="1" x14ac:dyDescent="0.3">
      <c r="A141" t="s">
        <v>10</v>
      </c>
      <c r="B141" t="s">
        <v>19</v>
      </c>
      <c r="C141" t="s">
        <v>24</v>
      </c>
      <c r="D141" t="s">
        <v>20</v>
      </c>
      <c r="E141">
        <v>6</v>
      </c>
      <c r="F141"/>
      <c r="G141" t="s">
        <v>31</v>
      </c>
      <c r="H141" t="s">
        <v>32</v>
      </c>
      <c r="I141">
        <v>1</v>
      </c>
      <c r="J141" s="23">
        <v>30403</v>
      </c>
      <c r="K141">
        <v>182418</v>
      </c>
    </row>
    <row r="142" spans="1:11" ht="15" customHeight="1" x14ac:dyDescent="0.3">
      <c r="A142" t="s">
        <v>18</v>
      </c>
      <c r="B142" t="s">
        <v>11</v>
      </c>
      <c r="C142" t="s">
        <v>12</v>
      </c>
      <c r="D142" t="s">
        <v>25</v>
      </c>
      <c r="E142">
        <v>7</v>
      </c>
      <c r="F142" t="s">
        <v>21</v>
      </c>
      <c r="G142" t="s">
        <v>15</v>
      </c>
      <c r="H142" t="s">
        <v>16</v>
      </c>
      <c r="I142">
        <v>0</v>
      </c>
      <c r="J142" s="23">
        <v>-1432</v>
      </c>
      <c r="K142" t="s">
        <v>17</v>
      </c>
    </row>
    <row r="143" spans="1:11" ht="15" customHeight="1" x14ac:dyDescent="0.3">
      <c r="A143" t="s">
        <v>10</v>
      </c>
      <c r="B143" t="s">
        <v>11</v>
      </c>
      <c r="C143" t="s">
        <v>12</v>
      </c>
      <c r="D143" t="s">
        <v>25</v>
      </c>
      <c r="E143">
        <v>2</v>
      </c>
      <c r="F143" t="s">
        <v>40</v>
      </c>
      <c r="G143" t="s">
        <v>15</v>
      </c>
      <c r="H143" t="s">
        <v>16</v>
      </c>
      <c r="I143">
        <v>0</v>
      </c>
      <c r="J143" s="23">
        <v>-94514</v>
      </c>
      <c r="K143" t="s">
        <v>17</v>
      </c>
    </row>
    <row r="144" spans="1:11" ht="15" customHeight="1" x14ac:dyDescent="0.3">
      <c r="A144" t="s">
        <v>22</v>
      </c>
      <c r="B144" t="s">
        <v>11</v>
      </c>
      <c r="C144" t="s">
        <v>24</v>
      </c>
      <c r="D144" t="s">
        <v>25</v>
      </c>
      <c r="E144">
        <v>5</v>
      </c>
      <c r="F144" t="s">
        <v>23</v>
      </c>
      <c r="G144" t="s">
        <v>15</v>
      </c>
      <c r="H144" t="s">
        <v>16</v>
      </c>
      <c r="I144">
        <v>0</v>
      </c>
      <c r="J144" s="23">
        <v>43093</v>
      </c>
      <c r="K144">
        <v>215465</v>
      </c>
    </row>
    <row r="145" spans="1:11" ht="15" customHeight="1" x14ac:dyDescent="0.3">
      <c r="A145" t="s">
        <v>18</v>
      </c>
      <c r="B145" t="s">
        <v>11</v>
      </c>
      <c r="C145" t="s">
        <v>24</v>
      </c>
      <c r="D145" t="s">
        <v>13</v>
      </c>
      <c r="E145">
        <v>7</v>
      </c>
      <c r="F145" t="s">
        <v>26</v>
      </c>
      <c r="G145" t="s">
        <v>15</v>
      </c>
      <c r="H145" t="s">
        <v>16</v>
      </c>
      <c r="I145">
        <v>0</v>
      </c>
      <c r="J145" s="23">
        <v>2053855</v>
      </c>
      <c r="K145">
        <v>14376985</v>
      </c>
    </row>
    <row r="146" spans="1:11" ht="15" customHeight="1" x14ac:dyDescent="0.3">
      <c r="A146" t="s">
        <v>18</v>
      </c>
      <c r="B146" t="s">
        <v>11</v>
      </c>
      <c r="C146" t="s">
        <v>12</v>
      </c>
      <c r="D146" t="s">
        <v>28</v>
      </c>
      <c r="E146">
        <v>6</v>
      </c>
      <c r="F146" t="s">
        <v>26</v>
      </c>
      <c r="G146" t="s">
        <v>15</v>
      </c>
      <c r="H146" t="s">
        <v>16</v>
      </c>
      <c r="I146">
        <v>0</v>
      </c>
      <c r="J146" s="23">
        <v>-101850</v>
      </c>
      <c r="K146" t="s">
        <v>17</v>
      </c>
    </row>
    <row r="147" spans="1:11" ht="15" customHeight="1" x14ac:dyDescent="0.3">
      <c r="A147" t="s">
        <v>18</v>
      </c>
      <c r="B147" t="s">
        <v>11</v>
      </c>
      <c r="C147" t="s">
        <v>12</v>
      </c>
      <c r="D147" t="s">
        <v>13</v>
      </c>
      <c r="E147">
        <v>5</v>
      </c>
      <c r="F147" t="s">
        <v>37</v>
      </c>
      <c r="G147" t="s">
        <v>15</v>
      </c>
      <c r="H147" t="s">
        <v>16</v>
      </c>
      <c r="I147">
        <v>0</v>
      </c>
      <c r="J147" s="23">
        <v>-545</v>
      </c>
      <c r="K147" t="s">
        <v>17</v>
      </c>
    </row>
    <row r="148" spans="1:11" ht="15" customHeight="1" x14ac:dyDescent="0.3">
      <c r="A148" t="s">
        <v>10</v>
      </c>
      <c r="B148" t="s">
        <v>11</v>
      </c>
      <c r="C148" t="s">
        <v>24</v>
      </c>
      <c r="D148" t="s">
        <v>28</v>
      </c>
      <c r="E148">
        <v>11</v>
      </c>
      <c r="F148" t="s">
        <v>29</v>
      </c>
      <c r="G148" t="s">
        <v>15</v>
      </c>
      <c r="H148" t="s">
        <v>16</v>
      </c>
      <c r="I148">
        <v>0</v>
      </c>
      <c r="J148" s="23">
        <v>1034967</v>
      </c>
      <c r="K148">
        <v>11384637</v>
      </c>
    </row>
    <row r="149" spans="1:11" ht="15" customHeight="1" x14ac:dyDescent="0.3">
      <c r="A149" t="s">
        <v>22</v>
      </c>
      <c r="B149" t="s">
        <v>11</v>
      </c>
      <c r="C149" t="s">
        <v>24</v>
      </c>
      <c r="D149" t="s">
        <v>28</v>
      </c>
      <c r="E149">
        <v>-1</v>
      </c>
      <c r="F149" t="s">
        <v>30</v>
      </c>
      <c r="G149" t="s">
        <v>15</v>
      </c>
      <c r="H149" t="s">
        <v>16</v>
      </c>
      <c r="I149">
        <v>0</v>
      </c>
      <c r="J149" s="23">
        <v>189</v>
      </c>
      <c r="K149" t="s">
        <v>17</v>
      </c>
    </row>
    <row r="150" spans="1:11" ht="15" customHeight="1" x14ac:dyDescent="0.3">
      <c r="A150" t="s">
        <v>22</v>
      </c>
      <c r="B150" t="s">
        <v>11</v>
      </c>
      <c r="C150" t="s">
        <v>24</v>
      </c>
      <c r="D150" t="s">
        <v>13</v>
      </c>
      <c r="E150">
        <v>15</v>
      </c>
      <c r="F150" t="s">
        <v>34</v>
      </c>
      <c r="G150" t="s">
        <v>15</v>
      </c>
      <c r="H150" t="s">
        <v>16</v>
      </c>
      <c r="I150">
        <v>0</v>
      </c>
      <c r="J150" s="23">
        <v>352760</v>
      </c>
      <c r="K150">
        <v>5291400</v>
      </c>
    </row>
    <row r="151" spans="1:11" ht="15" customHeight="1" x14ac:dyDescent="0.3">
      <c r="A151" t="s">
        <v>10</v>
      </c>
      <c r="B151" t="s">
        <v>11</v>
      </c>
      <c r="C151" t="s">
        <v>12</v>
      </c>
      <c r="D151" t="s">
        <v>25</v>
      </c>
      <c r="E151">
        <v>4</v>
      </c>
      <c r="F151" t="s">
        <v>42</v>
      </c>
      <c r="G151" t="s">
        <v>15</v>
      </c>
      <c r="H151" t="s">
        <v>16</v>
      </c>
      <c r="I151">
        <v>0</v>
      </c>
      <c r="J151" s="23">
        <v>-3660</v>
      </c>
      <c r="K151" t="s">
        <v>17</v>
      </c>
    </row>
    <row r="152" spans="1:11" ht="15" customHeight="1" x14ac:dyDescent="0.3">
      <c r="A152" t="s">
        <v>18</v>
      </c>
      <c r="B152" t="s">
        <v>11</v>
      </c>
      <c r="C152" t="s">
        <v>12</v>
      </c>
      <c r="D152" t="s">
        <v>28</v>
      </c>
      <c r="E152">
        <v>6</v>
      </c>
      <c r="F152" t="s">
        <v>37</v>
      </c>
      <c r="G152" t="s">
        <v>15</v>
      </c>
      <c r="H152" t="s">
        <v>16</v>
      </c>
      <c r="I152">
        <v>0</v>
      </c>
      <c r="J152" s="23">
        <v>-344</v>
      </c>
      <c r="K152" t="s">
        <v>17</v>
      </c>
    </row>
    <row r="153" spans="1:11" ht="15" customHeight="1" x14ac:dyDescent="0.3">
      <c r="A153" t="s">
        <v>10</v>
      </c>
      <c r="B153" t="s">
        <v>11</v>
      </c>
      <c r="C153" t="s">
        <v>12</v>
      </c>
      <c r="D153" t="s">
        <v>28</v>
      </c>
      <c r="E153">
        <v>6</v>
      </c>
      <c r="F153" t="s">
        <v>27</v>
      </c>
      <c r="G153" t="s">
        <v>15</v>
      </c>
      <c r="H153" t="s">
        <v>16</v>
      </c>
      <c r="I153">
        <v>0</v>
      </c>
      <c r="J153" s="23">
        <v>-266</v>
      </c>
      <c r="K153" t="s">
        <v>17</v>
      </c>
    </row>
    <row r="154" spans="1:11" ht="15" customHeight="1" x14ac:dyDescent="0.3">
      <c r="A154" t="s">
        <v>18</v>
      </c>
      <c r="B154" t="s">
        <v>11</v>
      </c>
      <c r="C154" t="s">
        <v>12</v>
      </c>
      <c r="D154" t="s">
        <v>13</v>
      </c>
      <c r="E154">
        <v>5</v>
      </c>
      <c r="F154" t="s">
        <v>26</v>
      </c>
      <c r="G154" t="s">
        <v>15</v>
      </c>
      <c r="H154" t="s">
        <v>16</v>
      </c>
      <c r="I154">
        <v>0</v>
      </c>
      <c r="J154" s="23">
        <v>-132621</v>
      </c>
      <c r="K154" t="s">
        <v>17</v>
      </c>
    </row>
    <row r="155" spans="1:11" ht="15" customHeight="1" x14ac:dyDescent="0.3">
      <c r="A155" t="s">
        <v>22</v>
      </c>
      <c r="B155" t="s">
        <v>43</v>
      </c>
      <c r="C155" t="s">
        <v>24</v>
      </c>
      <c r="D155" t="s">
        <v>28</v>
      </c>
      <c r="E155">
        <v>13</v>
      </c>
      <c r="F155" t="s">
        <v>38</v>
      </c>
      <c r="G155" t="s">
        <v>15</v>
      </c>
      <c r="H155" t="s">
        <v>16</v>
      </c>
      <c r="I155">
        <v>0</v>
      </c>
      <c r="J155" s="23">
        <v>372597</v>
      </c>
      <c r="K155">
        <v>4843761</v>
      </c>
    </row>
    <row r="156" spans="1:11" ht="15" customHeight="1" x14ac:dyDescent="0.3">
      <c r="A156" t="s">
        <v>18</v>
      </c>
      <c r="B156" t="s">
        <v>11</v>
      </c>
      <c r="C156" t="s">
        <v>24</v>
      </c>
      <c r="D156" t="s">
        <v>25</v>
      </c>
      <c r="E156">
        <v>-4</v>
      </c>
      <c r="F156" t="s">
        <v>14</v>
      </c>
      <c r="G156" t="s">
        <v>15</v>
      </c>
      <c r="H156" t="s">
        <v>16</v>
      </c>
      <c r="I156">
        <v>0</v>
      </c>
      <c r="J156" s="23">
        <v>263</v>
      </c>
      <c r="K156" t="s">
        <v>17</v>
      </c>
    </row>
    <row r="157" spans="1:11" ht="15" customHeight="1" x14ac:dyDescent="0.3">
      <c r="A157" t="s">
        <v>18</v>
      </c>
      <c r="B157" t="s">
        <v>11</v>
      </c>
      <c r="C157" t="s">
        <v>12</v>
      </c>
      <c r="D157" t="s">
        <v>28</v>
      </c>
      <c r="E157">
        <v>-4</v>
      </c>
      <c r="F157" t="s">
        <v>27</v>
      </c>
      <c r="G157" t="s">
        <v>15</v>
      </c>
      <c r="H157" t="s">
        <v>16</v>
      </c>
      <c r="I157">
        <v>0</v>
      </c>
      <c r="J157" s="23">
        <v>-22</v>
      </c>
      <c r="K157" t="s">
        <v>17</v>
      </c>
    </row>
    <row r="158" spans="1:11" ht="15" customHeight="1" x14ac:dyDescent="0.3">
      <c r="A158" t="s">
        <v>22</v>
      </c>
      <c r="B158" t="s">
        <v>11</v>
      </c>
      <c r="C158" t="s">
        <v>12</v>
      </c>
      <c r="D158" t="s">
        <v>13</v>
      </c>
      <c r="E158">
        <v>6</v>
      </c>
      <c r="F158" t="s">
        <v>40</v>
      </c>
      <c r="G158" t="s">
        <v>15</v>
      </c>
      <c r="H158" t="s">
        <v>16</v>
      </c>
      <c r="I158">
        <v>0</v>
      </c>
      <c r="J158" s="23">
        <v>-279999</v>
      </c>
      <c r="K158" t="s">
        <v>17</v>
      </c>
    </row>
    <row r="159" spans="1:11" ht="15" customHeight="1" x14ac:dyDescent="0.3">
      <c r="A159" t="s">
        <v>22</v>
      </c>
      <c r="B159" t="s">
        <v>11</v>
      </c>
      <c r="C159" t="s">
        <v>12</v>
      </c>
      <c r="D159" t="s">
        <v>28</v>
      </c>
      <c r="E159">
        <v>11</v>
      </c>
      <c r="F159" t="s">
        <v>27</v>
      </c>
      <c r="G159" t="s">
        <v>15</v>
      </c>
      <c r="H159" t="s">
        <v>16</v>
      </c>
      <c r="I159">
        <v>0</v>
      </c>
      <c r="J159" s="23">
        <v>-22652</v>
      </c>
      <c r="K159" t="s">
        <v>17</v>
      </c>
    </row>
    <row r="160" spans="1:11" ht="15" customHeight="1" x14ac:dyDescent="0.3">
      <c r="A160" t="s">
        <v>18</v>
      </c>
      <c r="B160" t="s">
        <v>11</v>
      </c>
      <c r="C160" t="s">
        <v>24</v>
      </c>
      <c r="D160" t="s">
        <v>13</v>
      </c>
      <c r="E160">
        <v>5</v>
      </c>
      <c r="F160" t="s">
        <v>36</v>
      </c>
      <c r="G160" t="s">
        <v>15</v>
      </c>
      <c r="H160" t="s">
        <v>16</v>
      </c>
      <c r="I160">
        <v>0</v>
      </c>
      <c r="J160" s="23">
        <v>14692899</v>
      </c>
      <c r="K160">
        <v>73464495</v>
      </c>
    </row>
    <row r="161" spans="1:11" ht="15" customHeight="1" x14ac:dyDescent="0.3">
      <c r="A161" t="s">
        <v>10</v>
      </c>
      <c r="B161" t="s">
        <v>11</v>
      </c>
      <c r="C161" t="s">
        <v>24</v>
      </c>
      <c r="D161" t="s">
        <v>28</v>
      </c>
      <c r="E161">
        <v>12</v>
      </c>
      <c r="F161" t="s">
        <v>34</v>
      </c>
      <c r="G161" t="s">
        <v>15</v>
      </c>
      <c r="H161" t="s">
        <v>16</v>
      </c>
      <c r="I161">
        <v>0</v>
      </c>
      <c r="J161" s="23">
        <v>3902498</v>
      </c>
      <c r="K161">
        <v>46829976</v>
      </c>
    </row>
    <row r="162" spans="1:11" ht="15" customHeight="1" x14ac:dyDescent="0.3">
      <c r="A162" t="s">
        <v>10</v>
      </c>
      <c r="B162" t="s">
        <v>11</v>
      </c>
      <c r="C162" t="s">
        <v>12</v>
      </c>
      <c r="D162" t="s">
        <v>25</v>
      </c>
      <c r="E162">
        <v>6</v>
      </c>
      <c r="F162" t="s">
        <v>21</v>
      </c>
      <c r="G162" t="s">
        <v>15</v>
      </c>
      <c r="H162" t="s">
        <v>16</v>
      </c>
      <c r="I162">
        <v>0</v>
      </c>
      <c r="J162" s="23">
        <v>-35535</v>
      </c>
      <c r="K162" t="s">
        <v>17</v>
      </c>
    </row>
    <row r="163" spans="1:11" ht="15" customHeight="1" x14ac:dyDescent="0.3">
      <c r="A163" t="s">
        <v>18</v>
      </c>
      <c r="B163" t="s">
        <v>19</v>
      </c>
      <c r="C163" t="s">
        <v>24</v>
      </c>
      <c r="D163" t="s">
        <v>20</v>
      </c>
      <c r="E163">
        <v>4</v>
      </c>
      <c r="F163"/>
      <c r="G163" t="s">
        <v>15</v>
      </c>
      <c r="H163" t="s">
        <v>32</v>
      </c>
      <c r="I163">
        <v>1</v>
      </c>
      <c r="J163" s="23">
        <v>317965</v>
      </c>
      <c r="K163">
        <v>1271860</v>
      </c>
    </row>
    <row r="164" spans="1:11" ht="15" customHeight="1" x14ac:dyDescent="0.3">
      <c r="A164" t="s">
        <v>10</v>
      </c>
      <c r="B164" t="s">
        <v>11</v>
      </c>
      <c r="C164" t="s">
        <v>12</v>
      </c>
      <c r="D164" t="s">
        <v>28</v>
      </c>
      <c r="E164">
        <v>12</v>
      </c>
      <c r="F164" t="s">
        <v>34</v>
      </c>
      <c r="G164" t="s">
        <v>15</v>
      </c>
      <c r="H164" t="s">
        <v>16</v>
      </c>
      <c r="I164">
        <v>0</v>
      </c>
      <c r="J164" s="23">
        <v>-279314</v>
      </c>
      <c r="K164" t="s">
        <v>17</v>
      </c>
    </row>
    <row r="165" spans="1:11" ht="15" customHeight="1" x14ac:dyDescent="0.3">
      <c r="A165" t="s">
        <v>10</v>
      </c>
      <c r="B165" t="s">
        <v>11</v>
      </c>
      <c r="C165" t="s">
        <v>12</v>
      </c>
      <c r="D165" t="s">
        <v>28</v>
      </c>
      <c r="E165">
        <v>1</v>
      </c>
      <c r="F165" t="s">
        <v>27</v>
      </c>
      <c r="G165" t="s">
        <v>15</v>
      </c>
      <c r="H165" t="s">
        <v>16</v>
      </c>
      <c r="I165">
        <v>0</v>
      </c>
      <c r="J165" s="23">
        <v>-116</v>
      </c>
      <c r="K165" t="s">
        <v>17</v>
      </c>
    </row>
    <row r="166" spans="1:11" ht="15" customHeight="1" x14ac:dyDescent="0.3">
      <c r="A166" t="s">
        <v>22</v>
      </c>
      <c r="B166" t="s">
        <v>11</v>
      </c>
      <c r="C166" t="s">
        <v>12</v>
      </c>
      <c r="D166" t="s">
        <v>13</v>
      </c>
      <c r="E166">
        <v>6</v>
      </c>
      <c r="F166" t="s">
        <v>21</v>
      </c>
      <c r="G166" t="s">
        <v>15</v>
      </c>
      <c r="H166" t="s">
        <v>16</v>
      </c>
      <c r="I166">
        <v>0</v>
      </c>
      <c r="J166" s="23">
        <v>-652600</v>
      </c>
      <c r="K166" t="s">
        <v>17</v>
      </c>
    </row>
    <row r="167" spans="1:11" ht="15" customHeight="1" x14ac:dyDescent="0.3">
      <c r="A167" t="s">
        <v>18</v>
      </c>
      <c r="B167" t="s">
        <v>19</v>
      </c>
      <c r="C167" t="s">
        <v>24</v>
      </c>
      <c r="D167" t="s">
        <v>28</v>
      </c>
      <c r="E167">
        <v>36</v>
      </c>
      <c r="F167"/>
      <c r="G167" t="s">
        <v>15</v>
      </c>
      <c r="H167" t="s">
        <v>16</v>
      </c>
      <c r="I167">
        <v>0</v>
      </c>
      <c r="J167" s="23">
        <v>131988</v>
      </c>
      <c r="K167">
        <v>4751568</v>
      </c>
    </row>
    <row r="168" spans="1:11" ht="15" customHeight="1" x14ac:dyDescent="0.3">
      <c r="A168" t="s">
        <v>18</v>
      </c>
      <c r="B168" t="s">
        <v>19</v>
      </c>
      <c r="C168" t="s">
        <v>12</v>
      </c>
      <c r="D168" t="s">
        <v>20</v>
      </c>
      <c r="E168">
        <v>22</v>
      </c>
      <c r="F168"/>
      <c r="G168" t="s">
        <v>15</v>
      </c>
      <c r="H168" t="s">
        <v>32</v>
      </c>
      <c r="I168">
        <v>1</v>
      </c>
      <c r="J168" s="23">
        <v>-3863</v>
      </c>
      <c r="K168" t="s">
        <v>17</v>
      </c>
    </row>
    <row r="169" spans="1:11" ht="15" customHeight="1" x14ac:dyDescent="0.3">
      <c r="A169" t="s">
        <v>22</v>
      </c>
      <c r="B169" t="s">
        <v>19</v>
      </c>
      <c r="C169" t="s">
        <v>12</v>
      </c>
      <c r="D169" t="s">
        <v>20</v>
      </c>
      <c r="E169">
        <v>3</v>
      </c>
      <c r="F169"/>
      <c r="G169" t="s">
        <v>31</v>
      </c>
      <c r="H169" t="s">
        <v>16</v>
      </c>
      <c r="I169">
        <v>1</v>
      </c>
      <c r="J169" s="23">
        <v>-437</v>
      </c>
      <c r="K169" t="s">
        <v>17</v>
      </c>
    </row>
    <row r="170" spans="1:11" ht="15" customHeight="1" x14ac:dyDescent="0.3">
      <c r="A170" t="s">
        <v>10</v>
      </c>
      <c r="B170" t="s">
        <v>19</v>
      </c>
      <c r="C170" t="s">
        <v>12</v>
      </c>
      <c r="D170" t="s">
        <v>20</v>
      </c>
      <c r="E170">
        <v>14</v>
      </c>
      <c r="F170"/>
      <c r="G170" t="s">
        <v>31</v>
      </c>
      <c r="H170" t="s">
        <v>16</v>
      </c>
      <c r="I170">
        <v>1</v>
      </c>
      <c r="J170" s="23">
        <v>-5711</v>
      </c>
      <c r="K170" t="s">
        <v>17</v>
      </c>
    </row>
    <row r="171" spans="1:11" ht="15" customHeight="1" x14ac:dyDescent="0.3">
      <c r="A171" t="s">
        <v>18</v>
      </c>
      <c r="B171" t="s">
        <v>11</v>
      </c>
      <c r="C171" t="s">
        <v>24</v>
      </c>
      <c r="D171" t="s">
        <v>13</v>
      </c>
      <c r="E171">
        <v>12</v>
      </c>
      <c r="F171" t="s">
        <v>36</v>
      </c>
      <c r="G171" t="s">
        <v>15</v>
      </c>
      <c r="H171" t="s">
        <v>16</v>
      </c>
      <c r="I171">
        <v>0</v>
      </c>
      <c r="J171" s="23">
        <v>135060246</v>
      </c>
      <c r="K171">
        <v>1620722952</v>
      </c>
    </row>
    <row r="172" spans="1:11" ht="15" customHeight="1" x14ac:dyDescent="0.3">
      <c r="A172" t="s">
        <v>18</v>
      </c>
      <c r="B172" t="s">
        <v>19</v>
      </c>
      <c r="C172" t="s">
        <v>12</v>
      </c>
      <c r="D172" t="s">
        <v>20</v>
      </c>
      <c r="E172">
        <v>26</v>
      </c>
      <c r="F172"/>
      <c r="G172" t="s">
        <v>15</v>
      </c>
      <c r="H172" t="s">
        <v>16</v>
      </c>
      <c r="I172">
        <v>0</v>
      </c>
      <c r="J172" s="23">
        <v>-399150</v>
      </c>
      <c r="K172" t="s">
        <v>17</v>
      </c>
    </row>
    <row r="173" spans="1:11" ht="15" customHeight="1" x14ac:dyDescent="0.3">
      <c r="A173" t="s">
        <v>18</v>
      </c>
      <c r="B173" t="s">
        <v>19</v>
      </c>
      <c r="C173" t="s">
        <v>12</v>
      </c>
      <c r="D173" t="s">
        <v>28</v>
      </c>
      <c r="E173">
        <v>0</v>
      </c>
      <c r="F173"/>
      <c r="G173" t="s">
        <v>15</v>
      </c>
      <c r="H173" t="s">
        <v>32</v>
      </c>
      <c r="I173">
        <v>1</v>
      </c>
      <c r="J173" s="23">
        <v>-68</v>
      </c>
      <c r="K173" t="s">
        <v>17</v>
      </c>
    </row>
    <row r="174" spans="1:11" ht="15" customHeight="1" x14ac:dyDescent="0.3">
      <c r="A174" t="s">
        <v>18</v>
      </c>
      <c r="B174" t="s">
        <v>19</v>
      </c>
      <c r="C174" t="s">
        <v>24</v>
      </c>
      <c r="D174" t="s">
        <v>20</v>
      </c>
      <c r="E174">
        <v>33</v>
      </c>
      <c r="F174"/>
      <c r="G174" t="s">
        <v>31</v>
      </c>
      <c r="H174" t="s">
        <v>32</v>
      </c>
      <c r="I174">
        <v>1</v>
      </c>
      <c r="J174" s="23">
        <v>210522</v>
      </c>
      <c r="K174">
        <v>6947226</v>
      </c>
    </row>
    <row r="175" spans="1:11" ht="15" customHeight="1" x14ac:dyDescent="0.3">
      <c r="A175" t="s">
        <v>22</v>
      </c>
      <c r="B175" t="s">
        <v>19</v>
      </c>
      <c r="C175" t="s">
        <v>24</v>
      </c>
      <c r="D175" t="s">
        <v>20</v>
      </c>
      <c r="E175">
        <v>-1</v>
      </c>
      <c r="F175"/>
      <c r="G175" t="s">
        <v>15</v>
      </c>
      <c r="H175" t="s">
        <v>16</v>
      </c>
      <c r="I175">
        <v>0</v>
      </c>
      <c r="J175" s="23">
        <v>300012</v>
      </c>
      <c r="K175" t="s">
        <v>17</v>
      </c>
    </row>
    <row r="176" spans="1:11" ht="15" customHeight="1" x14ac:dyDescent="0.3">
      <c r="A176" t="s">
        <v>18</v>
      </c>
      <c r="B176" t="s">
        <v>11</v>
      </c>
      <c r="C176" t="s">
        <v>24</v>
      </c>
      <c r="D176" t="s">
        <v>25</v>
      </c>
      <c r="E176">
        <v>5</v>
      </c>
      <c r="F176" t="s">
        <v>37</v>
      </c>
      <c r="G176" t="s">
        <v>15</v>
      </c>
      <c r="H176" t="s">
        <v>16</v>
      </c>
      <c r="I176">
        <v>0</v>
      </c>
      <c r="J176" s="23">
        <v>522884</v>
      </c>
      <c r="K176">
        <v>2614420</v>
      </c>
    </row>
    <row r="177" spans="1:11" ht="15" customHeight="1" x14ac:dyDescent="0.3">
      <c r="A177" t="s">
        <v>18</v>
      </c>
      <c r="B177" t="s">
        <v>11</v>
      </c>
      <c r="C177" t="s">
        <v>24</v>
      </c>
      <c r="D177" t="s">
        <v>13</v>
      </c>
      <c r="E177">
        <v>6</v>
      </c>
      <c r="F177" t="s">
        <v>33</v>
      </c>
      <c r="G177" t="s">
        <v>15</v>
      </c>
      <c r="H177" t="s">
        <v>16</v>
      </c>
      <c r="I177">
        <v>0</v>
      </c>
      <c r="J177" s="23">
        <v>5443171</v>
      </c>
      <c r="K177">
        <v>32659026</v>
      </c>
    </row>
    <row r="178" spans="1:11" ht="15" customHeight="1" x14ac:dyDescent="0.3">
      <c r="A178" t="s">
        <v>18</v>
      </c>
      <c r="B178" t="s">
        <v>19</v>
      </c>
      <c r="C178" t="s">
        <v>12</v>
      </c>
      <c r="D178" t="s">
        <v>20</v>
      </c>
      <c r="E178">
        <v>25</v>
      </c>
      <c r="F178"/>
      <c r="G178" t="s">
        <v>31</v>
      </c>
      <c r="H178" t="s">
        <v>32</v>
      </c>
      <c r="I178">
        <v>1</v>
      </c>
      <c r="J178" s="23">
        <v>-83</v>
      </c>
      <c r="K178" t="s">
        <v>17</v>
      </c>
    </row>
    <row r="179" spans="1:11" ht="15" customHeight="1" x14ac:dyDescent="0.3">
      <c r="A179" t="s">
        <v>22</v>
      </c>
      <c r="B179" t="s">
        <v>11</v>
      </c>
      <c r="C179" t="s">
        <v>12</v>
      </c>
      <c r="D179" t="s">
        <v>13</v>
      </c>
      <c r="E179">
        <v>1</v>
      </c>
      <c r="F179" t="s">
        <v>29</v>
      </c>
      <c r="G179" t="s">
        <v>15</v>
      </c>
      <c r="H179" t="s">
        <v>16</v>
      </c>
      <c r="I179">
        <v>0</v>
      </c>
      <c r="J179" s="23">
        <v>-3381189</v>
      </c>
      <c r="K179" t="s">
        <v>17</v>
      </c>
    </row>
    <row r="180" spans="1:11" ht="15" customHeight="1" x14ac:dyDescent="0.3">
      <c r="A180" t="s">
        <v>18</v>
      </c>
      <c r="B180" t="s">
        <v>19</v>
      </c>
      <c r="C180" t="s">
        <v>12</v>
      </c>
      <c r="D180" t="s">
        <v>20</v>
      </c>
      <c r="E180">
        <v>17</v>
      </c>
      <c r="F180"/>
      <c r="G180" t="s">
        <v>15</v>
      </c>
      <c r="H180" t="s">
        <v>32</v>
      </c>
      <c r="I180">
        <v>1</v>
      </c>
      <c r="J180" s="23">
        <v>-375</v>
      </c>
      <c r="K180" t="s">
        <v>17</v>
      </c>
    </row>
    <row r="181" spans="1:11" ht="15" customHeight="1" x14ac:dyDescent="0.3">
      <c r="A181" t="s">
        <v>18</v>
      </c>
      <c r="B181" t="s">
        <v>11</v>
      </c>
      <c r="C181" t="s">
        <v>24</v>
      </c>
      <c r="D181" t="s">
        <v>28</v>
      </c>
      <c r="E181">
        <v>9</v>
      </c>
      <c r="F181" t="s">
        <v>26</v>
      </c>
      <c r="G181" t="s">
        <v>15</v>
      </c>
      <c r="H181" t="s">
        <v>16</v>
      </c>
      <c r="I181">
        <v>0</v>
      </c>
      <c r="J181" s="23">
        <v>37297420</v>
      </c>
      <c r="K181">
        <v>335676780</v>
      </c>
    </row>
    <row r="182" spans="1:11" ht="15" customHeight="1" x14ac:dyDescent="0.3">
      <c r="A182" t="s">
        <v>18</v>
      </c>
      <c r="B182" t="s">
        <v>11</v>
      </c>
      <c r="C182" t="s">
        <v>12</v>
      </c>
      <c r="D182" t="s">
        <v>25</v>
      </c>
      <c r="E182">
        <v>1</v>
      </c>
      <c r="F182" t="s">
        <v>29</v>
      </c>
      <c r="G182" t="s">
        <v>15</v>
      </c>
      <c r="H182" t="s">
        <v>16</v>
      </c>
      <c r="I182">
        <v>0</v>
      </c>
      <c r="J182" s="23">
        <v>-19681</v>
      </c>
      <c r="K182" t="s">
        <v>17</v>
      </c>
    </row>
    <row r="183" spans="1:11" ht="15" customHeight="1" x14ac:dyDescent="0.3">
      <c r="A183" t="s">
        <v>18</v>
      </c>
      <c r="B183" t="s">
        <v>19</v>
      </c>
      <c r="C183" t="s">
        <v>12</v>
      </c>
      <c r="D183" t="s">
        <v>28</v>
      </c>
      <c r="E183">
        <v>13</v>
      </c>
      <c r="F183"/>
      <c r="G183" t="s">
        <v>31</v>
      </c>
      <c r="H183" t="s">
        <v>16</v>
      </c>
      <c r="I183">
        <v>1</v>
      </c>
      <c r="J183" s="23">
        <v>-169</v>
      </c>
      <c r="K183" t="s">
        <v>17</v>
      </c>
    </row>
    <row r="184" spans="1:11" ht="15" customHeight="1" x14ac:dyDescent="0.3">
      <c r="A184" t="s">
        <v>22</v>
      </c>
      <c r="B184" t="s">
        <v>19</v>
      </c>
      <c r="C184" t="s">
        <v>24</v>
      </c>
      <c r="D184" t="s">
        <v>20</v>
      </c>
      <c r="E184">
        <v>6</v>
      </c>
      <c r="F184"/>
      <c r="G184" t="s">
        <v>31</v>
      </c>
      <c r="H184" t="s">
        <v>16</v>
      </c>
      <c r="I184">
        <v>1</v>
      </c>
      <c r="J184" s="23">
        <v>68312</v>
      </c>
      <c r="K184">
        <v>409872</v>
      </c>
    </row>
    <row r="185" spans="1:11" ht="15" customHeight="1" x14ac:dyDescent="0.3">
      <c r="A185" t="s">
        <v>18</v>
      </c>
      <c r="B185" t="s">
        <v>11</v>
      </c>
      <c r="C185" t="s">
        <v>24</v>
      </c>
      <c r="D185" t="s">
        <v>28</v>
      </c>
      <c r="E185">
        <v>11</v>
      </c>
      <c r="F185" t="s">
        <v>37</v>
      </c>
      <c r="G185" t="s">
        <v>15</v>
      </c>
      <c r="H185" t="s">
        <v>16</v>
      </c>
      <c r="I185">
        <v>0</v>
      </c>
      <c r="J185" s="23">
        <v>236519</v>
      </c>
      <c r="K185">
        <v>2601709</v>
      </c>
    </row>
    <row r="186" spans="1:11" ht="15" customHeight="1" x14ac:dyDescent="0.3">
      <c r="A186" t="s">
        <v>10</v>
      </c>
      <c r="B186" t="s">
        <v>11</v>
      </c>
      <c r="C186" t="s">
        <v>12</v>
      </c>
      <c r="D186" t="s">
        <v>13</v>
      </c>
      <c r="E186">
        <v>3</v>
      </c>
      <c r="F186" t="s">
        <v>40</v>
      </c>
      <c r="G186" t="s">
        <v>15</v>
      </c>
      <c r="H186" t="s">
        <v>16</v>
      </c>
      <c r="I186">
        <v>0</v>
      </c>
      <c r="J186" s="23">
        <v>-448950</v>
      </c>
      <c r="K186" t="s">
        <v>17</v>
      </c>
    </row>
    <row r="187" spans="1:11" ht="15" customHeight="1" x14ac:dyDescent="0.3">
      <c r="A187" t="s">
        <v>18</v>
      </c>
      <c r="B187" t="s">
        <v>11</v>
      </c>
      <c r="C187" t="s">
        <v>12</v>
      </c>
      <c r="D187" t="s">
        <v>28</v>
      </c>
      <c r="E187">
        <v>3</v>
      </c>
      <c r="F187" t="s">
        <v>45</v>
      </c>
      <c r="G187" t="s">
        <v>15</v>
      </c>
      <c r="H187" t="s">
        <v>16</v>
      </c>
      <c r="I187">
        <v>0</v>
      </c>
      <c r="J187" s="23">
        <v>-27</v>
      </c>
      <c r="K187" t="s">
        <v>17</v>
      </c>
    </row>
    <row r="188" spans="1:11" ht="15" customHeight="1" x14ac:dyDescent="0.3">
      <c r="A188" t="s">
        <v>22</v>
      </c>
      <c r="B188" t="s">
        <v>11</v>
      </c>
      <c r="C188" t="s">
        <v>12</v>
      </c>
      <c r="D188" t="s">
        <v>25</v>
      </c>
      <c r="E188">
        <v>5</v>
      </c>
      <c r="F188" t="s">
        <v>34</v>
      </c>
      <c r="G188" t="s">
        <v>15</v>
      </c>
      <c r="H188" t="s">
        <v>16</v>
      </c>
      <c r="I188">
        <v>0</v>
      </c>
      <c r="J188" s="23">
        <v>-19561</v>
      </c>
      <c r="K188" t="s">
        <v>17</v>
      </c>
    </row>
    <row r="189" spans="1:11" ht="15" customHeight="1" x14ac:dyDescent="0.3">
      <c r="A189" t="s">
        <v>10</v>
      </c>
      <c r="B189" t="s">
        <v>11</v>
      </c>
      <c r="C189" t="s">
        <v>12</v>
      </c>
      <c r="D189" t="s">
        <v>13</v>
      </c>
      <c r="E189">
        <v>6</v>
      </c>
      <c r="F189" t="s">
        <v>34</v>
      </c>
      <c r="G189" t="s">
        <v>15</v>
      </c>
      <c r="H189" t="s">
        <v>16</v>
      </c>
      <c r="I189">
        <v>0</v>
      </c>
      <c r="J189" s="23">
        <v>-367330</v>
      </c>
      <c r="K189" t="s">
        <v>17</v>
      </c>
    </row>
    <row r="190" spans="1:11" ht="15" customHeight="1" x14ac:dyDescent="0.3">
      <c r="A190" t="s">
        <v>18</v>
      </c>
      <c r="B190" t="s">
        <v>11</v>
      </c>
      <c r="C190" t="s">
        <v>12</v>
      </c>
      <c r="D190" t="s">
        <v>13</v>
      </c>
      <c r="E190">
        <v>0</v>
      </c>
      <c r="F190" t="s">
        <v>48</v>
      </c>
      <c r="G190" t="s">
        <v>15</v>
      </c>
      <c r="H190" t="s">
        <v>16</v>
      </c>
      <c r="I190">
        <v>0</v>
      </c>
      <c r="J190" s="23">
        <v>-335</v>
      </c>
      <c r="K190" t="s">
        <v>17</v>
      </c>
    </row>
    <row r="191" spans="1:11" ht="15" customHeight="1" x14ac:dyDescent="0.3">
      <c r="A191" t="s">
        <v>22</v>
      </c>
      <c r="B191" t="s">
        <v>11</v>
      </c>
      <c r="C191" t="s">
        <v>24</v>
      </c>
      <c r="D191" t="s">
        <v>13</v>
      </c>
      <c r="E191">
        <v>1</v>
      </c>
      <c r="F191" t="s">
        <v>21</v>
      </c>
      <c r="G191" t="s">
        <v>15</v>
      </c>
      <c r="H191" t="s">
        <v>16</v>
      </c>
      <c r="I191">
        <v>0</v>
      </c>
      <c r="J191" s="23">
        <v>1283998</v>
      </c>
      <c r="K191">
        <v>1283998</v>
      </c>
    </row>
    <row r="192" spans="1:11" ht="15" customHeight="1" x14ac:dyDescent="0.3">
      <c r="A192" t="s">
        <v>10</v>
      </c>
      <c r="B192" t="s">
        <v>11</v>
      </c>
      <c r="C192" t="s">
        <v>24</v>
      </c>
      <c r="D192" t="s">
        <v>28</v>
      </c>
      <c r="E192">
        <v>16</v>
      </c>
      <c r="F192" t="s">
        <v>45</v>
      </c>
      <c r="G192" t="s">
        <v>15</v>
      </c>
      <c r="H192" t="s">
        <v>16</v>
      </c>
      <c r="I192">
        <v>0</v>
      </c>
      <c r="J192" s="23">
        <v>126507</v>
      </c>
      <c r="K192">
        <v>2024112</v>
      </c>
    </row>
    <row r="193" spans="1:11" ht="15" customHeight="1" x14ac:dyDescent="0.3">
      <c r="A193" t="s">
        <v>10</v>
      </c>
      <c r="B193" t="s">
        <v>11</v>
      </c>
      <c r="C193" t="s">
        <v>12</v>
      </c>
      <c r="D193" t="s">
        <v>28</v>
      </c>
      <c r="E193">
        <v>7</v>
      </c>
      <c r="F193" t="s">
        <v>37</v>
      </c>
      <c r="G193" t="s">
        <v>15</v>
      </c>
      <c r="H193" t="s">
        <v>16</v>
      </c>
      <c r="I193">
        <v>0</v>
      </c>
      <c r="J193" s="23">
        <v>-9393</v>
      </c>
      <c r="K193" t="s">
        <v>17</v>
      </c>
    </row>
    <row r="194" spans="1:11" ht="15" customHeight="1" x14ac:dyDescent="0.3">
      <c r="A194" t="s">
        <v>18</v>
      </c>
      <c r="B194" t="s">
        <v>19</v>
      </c>
      <c r="C194" t="s">
        <v>12</v>
      </c>
      <c r="D194" t="s">
        <v>28</v>
      </c>
      <c r="E194">
        <v>14</v>
      </c>
      <c r="F194"/>
      <c r="G194" t="s">
        <v>15</v>
      </c>
      <c r="H194" t="s">
        <v>16</v>
      </c>
      <c r="I194">
        <v>0</v>
      </c>
      <c r="J194" s="23">
        <v>-2512</v>
      </c>
      <c r="K194" t="s">
        <v>17</v>
      </c>
    </row>
    <row r="195" spans="1:11" ht="15" customHeight="1" x14ac:dyDescent="0.3">
      <c r="A195" t="s">
        <v>10</v>
      </c>
      <c r="B195" t="s">
        <v>19</v>
      </c>
      <c r="C195" t="s">
        <v>24</v>
      </c>
      <c r="D195" t="s">
        <v>20</v>
      </c>
      <c r="E195">
        <v>18</v>
      </c>
      <c r="F195"/>
      <c r="G195" t="s">
        <v>15</v>
      </c>
      <c r="H195" t="s">
        <v>16</v>
      </c>
      <c r="I195">
        <v>0</v>
      </c>
      <c r="J195" s="23">
        <v>34377924</v>
      </c>
      <c r="K195">
        <v>618802632</v>
      </c>
    </row>
    <row r="196" spans="1:11" ht="15" customHeight="1" x14ac:dyDescent="0.3">
      <c r="A196" t="s">
        <v>10</v>
      </c>
      <c r="B196" t="s">
        <v>11</v>
      </c>
      <c r="C196" t="s">
        <v>24</v>
      </c>
      <c r="D196" t="s">
        <v>28</v>
      </c>
      <c r="E196">
        <v>3</v>
      </c>
      <c r="F196" t="s">
        <v>40</v>
      </c>
      <c r="G196" t="s">
        <v>15</v>
      </c>
      <c r="H196" t="s">
        <v>16</v>
      </c>
      <c r="I196">
        <v>0</v>
      </c>
      <c r="J196" s="23">
        <v>80768</v>
      </c>
      <c r="K196">
        <v>242304</v>
      </c>
    </row>
    <row r="197" spans="1:11" ht="15" customHeight="1" x14ac:dyDescent="0.3">
      <c r="A197" t="s">
        <v>18</v>
      </c>
      <c r="B197" t="s">
        <v>44</v>
      </c>
      <c r="C197" t="s">
        <v>12</v>
      </c>
      <c r="D197" t="s">
        <v>28</v>
      </c>
      <c r="E197">
        <v>8</v>
      </c>
      <c r="F197" t="s">
        <v>26</v>
      </c>
      <c r="G197" t="s">
        <v>15</v>
      </c>
      <c r="H197" t="s">
        <v>16</v>
      </c>
      <c r="I197">
        <v>0</v>
      </c>
      <c r="J197" s="23">
        <v>-539</v>
      </c>
      <c r="K197" t="s">
        <v>17</v>
      </c>
    </row>
    <row r="198" spans="1:11" ht="15" customHeight="1" x14ac:dyDescent="0.3">
      <c r="A198" t="s">
        <v>10</v>
      </c>
      <c r="B198" t="s">
        <v>11</v>
      </c>
      <c r="C198" t="s">
        <v>24</v>
      </c>
      <c r="D198" t="s">
        <v>28</v>
      </c>
      <c r="E198">
        <v>7</v>
      </c>
      <c r="F198" t="s">
        <v>26</v>
      </c>
      <c r="G198" t="s">
        <v>15</v>
      </c>
      <c r="H198" t="s">
        <v>16</v>
      </c>
      <c r="I198">
        <v>0</v>
      </c>
      <c r="J198" s="23">
        <v>6496074</v>
      </c>
      <c r="K198">
        <v>45472518</v>
      </c>
    </row>
    <row r="199" spans="1:11" ht="15" customHeight="1" x14ac:dyDescent="0.3">
      <c r="A199" t="s">
        <v>18</v>
      </c>
      <c r="B199" t="s">
        <v>43</v>
      </c>
      <c r="C199" t="s">
        <v>24</v>
      </c>
      <c r="D199" t="s">
        <v>28</v>
      </c>
      <c r="E199">
        <v>1</v>
      </c>
      <c r="F199" t="s">
        <v>38</v>
      </c>
      <c r="G199" t="s">
        <v>15</v>
      </c>
      <c r="H199" t="s">
        <v>16</v>
      </c>
      <c r="I199">
        <v>0</v>
      </c>
      <c r="J199" s="23">
        <v>16678</v>
      </c>
      <c r="K199">
        <v>16678</v>
      </c>
    </row>
    <row r="200" spans="1:11" ht="15" customHeight="1" x14ac:dyDescent="0.3">
      <c r="A200" t="s">
        <v>18</v>
      </c>
      <c r="B200" t="s">
        <v>11</v>
      </c>
      <c r="C200" t="s">
        <v>24</v>
      </c>
      <c r="D200" t="s">
        <v>28</v>
      </c>
      <c r="E200">
        <v>18</v>
      </c>
      <c r="F200" t="s">
        <v>21</v>
      </c>
      <c r="G200" t="s">
        <v>15</v>
      </c>
      <c r="H200" t="s">
        <v>16</v>
      </c>
      <c r="I200">
        <v>0</v>
      </c>
      <c r="J200" s="23">
        <v>74280</v>
      </c>
      <c r="K200">
        <v>1337040</v>
      </c>
    </row>
    <row r="201" spans="1:11" ht="15" customHeight="1" x14ac:dyDescent="0.3">
      <c r="A201" t="s">
        <v>22</v>
      </c>
      <c r="B201" t="s">
        <v>11</v>
      </c>
      <c r="C201" t="s">
        <v>24</v>
      </c>
      <c r="D201" t="s">
        <v>28</v>
      </c>
      <c r="E201">
        <v>-4</v>
      </c>
      <c r="F201" t="s">
        <v>37</v>
      </c>
      <c r="G201" t="s">
        <v>15</v>
      </c>
      <c r="H201" t="s">
        <v>16</v>
      </c>
      <c r="I201">
        <v>0</v>
      </c>
      <c r="J201" s="23">
        <v>4698</v>
      </c>
      <c r="K201" t="s">
        <v>17</v>
      </c>
    </row>
    <row r="202" spans="1:11" ht="15" customHeight="1" x14ac:dyDescent="0.3">
      <c r="A202" t="s">
        <v>10</v>
      </c>
      <c r="B202" t="s">
        <v>11</v>
      </c>
      <c r="C202" t="s">
        <v>12</v>
      </c>
      <c r="D202" t="s">
        <v>28</v>
      </c>
      <c r="E202">
        <v>2</v>
      </c>
      <c r="F202" t="s">
        <v>34</v>
      </c>
      <c r="G202" t="s">
        <v>15</v>
      </c>
      <c r="H202" t="s">
        <v>16</v>
      </c>
      <c r="I202">
        <v>0</v>
      </c>
      <c r="J202" s="23">
        <v>-48251</v>
      </c>
      <c r="K202" t="s">
        <v>17</v>
      </c>
    </row>
    <row r="203" spans="1:11" ht="15" customHeight="1" x14ac:dyDescent="0.3">
      <c r="A203" t="s">
        <v>18</v>
      </c>
      <c r="B203" t="s">
        <v>11</v>
      </c>
      <c r="C203" t="s">
        <v>12</v>
      </c>
      <c r="D203" t="s">
        <v>28</v>
      </c>
      <c r="E203">
        <v>5</v>
      </c>
      <c r="F203" t="s">
        <v>39</v>
      </c>
      <c r="G203" t="s">
        <v>15</v>
      </c>
      <c r="H203" t="s">
        <v>16</v>
      </c>
      <c r="I203">
        <v>0</v>
      </c>
      <c r="J203" s="23">
        <v>-1158</v>
      </c>
      <c r="K203" t="s">
        <v>17</v>
      </c>
    </row>
    <row r="204" spans="1:11" ht="15" customHeight="1" x14ac:dyDescent="0.3">
      <c r="A204" t="s">
        <v>10</v>
      </c>
      <c r="B204" t="s">
        <v>11</v>
      </c>
      <c r="C204" t="s">
        <v>24</v>
      </c>
      <c r="D204" t="s">
        <v>25</v>
      </c>
      <c r="E204">
        <v>3</v>
      </c>
      <c r="F204" t="s">
        <v>42</v>
      </c>
      <c r="G204" t="s">
        <v>15</v>
      </c>
      <c r="H204" t="s">
        <v>16</v>
      </c>
      <c r="I204">
        <v>0</v>
      </c>
      <c r="J204" s="23">
        <v>30248</v>
      </c>
      <c r="K204">
        <v>90744</v>
      </c>
    </row>
    <row r="205" spans="1:11" ht="15" customHeight="1" x14ac:dyDescent="0.3">
      <c r="A205" t="s">
        <v>10</v>
      </c>
      <c r="B205" t="s">
        <v>19</v>
      </c>
      <c r="C205" t="s">
        <v>12</v>
      </c>
      <c r="D205" t="s">
        <v>20</v>
      </c>
      <c r="E205">
        <v>55</v>
      </c>
      <c r="F205"/>
      <c r="G205" t="s">
        <v>15</v>
      </c>
      <c r="H205" t="s">
        <v>16</v>
      </c>
      <c r="I205">
        <v>0</v>
      </c>
      <c r="J205" s="23">
        <v>-800</v>
      </c>
      <c r="K205" t="s">
        <v>17</v>
      </c>
    </row>
    <row r="206" spans="1:11" ht="15" customHeight="1" x14ac:dyDescent="0.3">
      <c r="A206" t="s">
        <v>10</v>
      </c>
      <c r="B206" t="s">
        <v>11</v>
      </c>
      <c r="C206" t="s">
        <v>24</v>
      </c>
      <c r="D206" t="s">
        <v>28</v>
      </c>
      <c r="E206">
        <v>7</v>
      </c>
      <c r="F206" t="s">
        <v>37</v>
      </c>
      <c r="G206" t="s">
        <v>15</v>
      </c>
      <c r="H206" t="s">
        <v>16</v>
      </c>
      <c r="I206">
        <v>0</v>
      </c>
      <c r="J206" s="23">
        <v>246889</v>
      </c>
      <c r="K206">
        <v>1728223</v>
      </c>
    </row>
    <row r="207" spans="1:11" ht="15" customHeight="1" x14ac:dyDescent="0.3">
      <c r="A207" t="s">
        <v>18</v>
      </c>
      <c r="B207" t="s">
        <v>11</v>
      </c>
      <c r="C207" t="s">
        <v>12</v>
      </c>
      <c r="D207" t="s">
        <v>25</v>
      </c>
      <c r="E207">
        <v>1</v>
      </c>
      <c r="F207" t="s">
        <v>30</v>
      </c>
      <c r="G207" t="s">
        <v>15</v>
      </c>
      <c r="H207" t="s">
        <v>16</v>
      </c>
      <c r="I207">
        <v>0</v>
      </c>
      <c r="J207" s="23">
        <v>-17552</v>
      </c>
      <c r="K207" t="s">
        <v>17</v>
      </c>
    </row>
    <row r="208" spans="1:11" ht="15" customHeight="1" x14ac:dyDescent="0.3">
      <c r="A208" t="s">
        <v>22</v>
      </c>
      <c r="B208" t="s">
        <v>19</v>
      </c>
      <c r="C208" t="s">
        <v>24</v>
      </c>
      <c r="D208" t="s">
        <v>20</v>
      </c>
      <c r="E208">
        <v>33</v>
      </c>
      <c r="F208"/>
      <c r="G208" t="s">
        <v>15</v>
      </c>
      <c r="H208" t="s">
        <v>16</v>
      </c>
      <c r="I208">
        <v>0</v>
      </c>
      <c r="J208" s="23">
        <v>7070727</v>
      </c>
      <c r="K208">
        <v>233333991</v>
      </c>
    </row>
    <row r="209" spans="1:11" ht="15" customHeight="1" x14ac:dyDescent="0.3">
      <c r="A209" t="s">
        <v>18</v>
      </c>
      <c r="B209" t="s">
        <v>11</v>
      </c>
      <c r="C209" t="s">
        <v>12</v>
      </c>
      <c r="D209" t="s">
        <v>25</v>
      </c>
      <c r="E209">
        <v>8</v>
      </c>
      <c r="F209" t="s">
        <v>39</v>
      </c>
      <c r="G209" t="s">
        <v>15</v>
      </c>
      <c r="H209" t="s">
        <v>16</v>
      </c>
      <c r="I209">
        <v>0</v>
      </c>
      <c r="J209" s="23">
        <v>-4101</v>
      </c>
      <c r="K209" t="s">
        <v>17</v>
      </c>
    </row>
    <row r="210" spans="1:11" ht="15" customHeight="1" x14ac:dyDescent="0.3">
      <c r="A210" t="s">
        <v>10</v>
      </c>
      <c r="B210" t="s">
        <v>11</v>
      </c>
      <c r="C210" t="s">
        <v>12</v>
      </c>
      <c r="D210" t="s">
        <v>25</v>
      </c>
      <c r="E210">
        <v>1</v>
      </c>
      <c r="F210" t="s">
        <v>30</v>
      </c>
      <c r="G210" t="s">
        <v>15</v>
      </c>
      <c r="H210" t="s">
        <v>16</v>
      </c>
      <c r="I210">
        <v>0</v>
      </c>
      <c r="J210" s="23">
        <v>-3954</v>
      </c>
      <c r="K210" t="s">
        <v>17</v>
      </c>
    </row>
    <row r="211" spans="1:11" ht="15" customHeight="1" x14ac:dyDescent="0.3">
      <c r="A211" t="s">
        <v>18</v>
      </c>
      <c r="B211" t="s">
        <v>19</v>
      </c>
      <c r="C211" t="s">
        <v>24</v>
      </c>
      <c r="D211" t="s">
        <v>20</v>
      </c>
      <c r="E211">
        <v>19</v>
      </c>
      <c r="F211"/>
      <c r="G211" t="s">
        <v>15</v>
      </c>
      <c r="H211" t="s">
        <v>16</v>
      </c>
      <c r="I211">
        <v>0</v>
      </c>
      <c r="J211" s="23">
        <v>448585651</v>
      </c>
      <c r="K211">
        <v>8523127369</v>
      </c>
    </row>
    <row r="212" spans="1:11" ht="15" customHeight="1" x14ac:dyDescent="0.3">
      <c r="A212" t="s">
        <v>18</v>
      </c>
      <c r="B212" t="s">
        <v>11</v>
      </c>
      <c r="C212" t="s">
        <v>12</v>
      </c>
      <c r="D212" t="s">
        <v>13</v>
      </c>
      <c r="E212">
        <v>4</v>
      </c>
      <c r="F212" t="s">
        <v>39</v>
      </c>
      <c r="G212" t="s">
        <v>15</v>
      </c>
      <c r="H212" t="s">
        <v>16</v>
      </c>
      <c r="I212">
        <v>0</v>
      </c>
      <c r="J212" s="23">
        <v>-23927</v>
      </c>
      <c r="K212" t="s">
        <v>17</v>
      </c>
    </row>
    <row r="213" spans="1:11" ht="15" customHeight="1" x14ac:dyDescent="0.3">
      <c r="A213" t="s">
        <v>18</v>
      </c>
      <c r="B213" t="s">
        <v>19</v>
      </c>
      <c r="C213" t="s">
        <v>24</v>
      </c>
      <c r="D213" t="s">
        <v>28</v>
      </c>
      <c r="E213">
        <v>37</v>
      </c>
      <c r="F213"/>
      <c r="G213" t="s">
        <v>15</v>
      </c>
      <c r="H213" t="s">
        <v>16</v>
      </c>
      <c r="I213">
        <v>0</v>
      </c>
      <c r="J213" s="23">
        <v>123184</v>
      </c>
      <c r="K213">
        <v>4557808</v>
      </c>
    </row>
    <row r="214" spans="1:11" ht="15" customHeight="1" x14ac:dyDescent="0.3">
      <c r="A214" t="s">
        <v>22</v>
      </c>
      <c r="B214" t="s">
        <v>11</v>
      </c>
      <c r="C214" t="s">
        <v>24</v>
      </c>
      <c r="D214" t="s">
        <v>28</v>
      </c>
      <c r="E214">
        <v>-4</v>
      </c>
      <c r="F214" t="s">
        <v>39</v>
      </c>
      <c r="G214" t="s">
        <v>15</v>
      </c>
      <c r="H214" t="s">
        <v>16</v>
      </c>
      <c r="I214">
        <v>0</v>
      </c>
      <c r="J214" s="23">
        <v>1149095</v>
      </c>
      <c r="K214" t="s">
        <v>17</v>
      </c>
    </row>
    <row r="215" spans="1:11" ht="15" customHeight="1" x14ac:dyDescent="0.3">
      <c r="A215" t="s">
        <v>22</v>
      </c>
      <c r="B215" t="s">
        <v>19</v>
      </c>
      <c r="C215" t="s">
        <v>24</v>
      </c>
      <c r="D215" t="s">
        <v>20</v>
      </c>
      <c r="E215">
        <v>22</v>
      </c>
      <c r="F215"/>
      <c r="G215" t="s">
        <v>15</v>
      </c>
      <c r="H215" t="s">
        <v>32</v>
      </c>
      <c r="I215">
        <v>1</v>
      </c>
      <c r="J215" s="23">
        <v>238684</v>
      </c>
      <c r="K215">
        <v>5251048</v>
      </c>
    </row>
    <row r="216" spans="1:11" ht="15" customHeight="1" x14ac:dyDescent="0.3">
      <c r="A216" t="s">
        <v>10</v>
      </c>
      <c r="B216" t="s">
        <v>11</v>
      </c>
      <c r="C216" t="s">
        <v>24</v>
      </c>
      <c r="D216" t="s">
        <v>28</v>
      </c>
      <c r="E216">
        <v>15</v>
      </c>
      <c r="F216" t="s">
        <v>34</v>
      </c>
      <c r="G216" t="s">
        <v>15</v>
      </c>
      <c r="H216" t="s">
        <v>16</v>
      </c>
      <c r="I216">
        <v>0</v>
      </c>
      <c r="J216" s="23">
        <v>761942</v>
      </c>
      <c r="K216">
        <v>11429130</v>
      </c>
    </row>
    <row r="217" spans="1:11" ht="15" customHeight="1" x14ac:dyDescent="0.3">
      <c r="A217" t="s">
        <v>10</v>
      </c>
      <c r="B217" t="s">
        <v>19</v>
      </c>
      <c r="C217" t="s">
        <v>12</v>
      </c>
      <c r="D217" t="s">
        <v>28</v>
      </c>
      <c r="E217">
        <v>6</v>
      </c>
      <c r="F217"/>
      <c r="G217" t="s">
        <v>15</v>
      </c>
      <c r="H217" t="s">
        <v>32</v>
      </c>
      <c r="I217">
        <v>1</v>
      </c>
      <c r="J217" s="23">
        <v>-1396</v>
      </c>
      <c r="K217" t="s">
        <v>17</v>
      </c>
    </row>
    <row r="218" spans="1:11" ht="15" customHeight="1" x14ac:dyDescent="0.3">
      <c r="A218" t="s">
        <v>18</v>
      </c>
      <c r="B218" t="s">
        <v>19</v>
      </c>
      <c r="C218" t="s">
        <v>24</v>
      </c>
      <c r="D218" t="s">
        <v>20</v>
      </c>
      <c r="E218">
        <v>8</v>
      </c>
      <c r="F218"/>
      <c r="G218" t="s">
        <v>31</v>
      </c>
      <c r="H218" t="s">
        <v>32</v>
      </c>
      <c r="I218">
        <v>1</v>
      </c>
      <c r="J218" s="23">
        <v>121931</v>
      </c>
      <c r="K218">
        <v>975448</v>
      </c>
    </row>
    <row r="219" spans="1:11" ht="15" customHeight="1" x14ac:dyDescent="0.3">
      <c r="A219" t="s">
        <v>18</v>
      </c>
      <c r="B219" t="s">
        <v>11</v>
      </c>
      <c r="C219" t="s">
        <v>12</v>
      </c>
      <c r="D219" t="s">
        <v>28</v>
      </c>
      <c r="E219">
        <v>10</v>
      </c>
      <c r="F219" t="s">
        <v>40</v>
      </c>
      <c r="G219" t="s">
        <v>15</v>
      </c>
      <c r="H219" t="s">
        <v>16</v>
      </c>
      <c r="I219">
        <v>0</v>
      </c>
      <c r="J219" s="23">
        <v>-241</v>
      </c>
      <c r="K219" t="s">
        <v>17</v>
      </c>
    </row>
    <row r="220" spans="1:11" ht="15" customHeight="1" x14ac:dyDescent="0.3">
      <c r="A220" t="s">
        <v>10</v>
      </c>
      <c r="B220" t="s">
        <v>19</v>
      </c>
      <c r="C220" t="s">
        <v>12</v>
      </c>
      <c r="D220" t="s">
        <v>20</v>
      </c>
      <c r="E220">
        <v>39</v>
      </c>
      <c r="F220"/>
      <c r="G220" t="s">
        <v>15</v>
      </c>
      <c r="H220" t="s">
        <v>16</v>
      </c>
      <c r="I220">
        <v>0</v>
      </c>
      <c r="J220" s="23">
        <v>-789463</v>
      </c>
      <c r="K220" t="s">
        <v>17</v>
      </c>
    </row>
    <row r="221" spans="1:11" ht="15" customHeight="1" x14ac:dyDescent="0.3">
      <c r="A221" t="s">
        <v>10</v>
      </c>
      <c r="B221" t="s">
        <v>11</v>
      </c>
      <c r="C221" t="s">
        <v>24</v>
      </c>
      <c r="D221" t="s">
        <v>28</v>
      </c>
      <c r="E221">
        <v>1</v>
      </c>
      <c r="F221" t="s">
        <v>23</v>
      </c>
      <c r="G221" t="s">
        <v>15</v>
      </c>
      <c r="H221" t="s">
        <v>16</v>
      </c>
      <c r="I221">
        <v>0</v>
      </c>
      <c r="J221" s="23">
        <v>377819</v>
      </c>
      <c r="K221">
        <v>377819</v>
      </c>
    </row>
    <row r="222" spans="1:11" ht="15" customHeight="1" x14ac:dyDescent="0.3">
      <c r="A222" t="s">
        <v>18</v>
      </c>
      <c r="B222" t="s">
        <v>11</v>
      </c>
      <c r="C222" t="s">
        <v>24</v>
      </c>
      <c r="D222" t="s">
        <v>28</v>
      </c>
      <c r="E222">
        <v>9</v>
      </c>
      <c r="F222" t="s">
        <v>34</v>
      </c>
      <c r="G222" t="s">
        <v>31</v>
      </c>
      <c r="H222" t="s">
        <v>16</v>
      </c>
      <c r="I222">
        <v>1</v>
      </c>
      <c r="J222" s="23">
        <v>687647</v>
      </c>
      <c r="K222">
        <v>6188823</v>
      </c>
    </row>
    <row r="223" spans="1:11" ht="15" customHeight="1" x14ac:dyDescent="0.3">
      <c r="A223" t="s">
        <v>22</v>
      </c>
      <c r="B223" t="s">
        <v>11</v>
      </c>
      <c r="C223" t="s">
        <v>12</v>
      </c>
      <c r="D223" t="s">
        <v>25</v>
      </c>
      <c r="E223">
        <v>-4</v>
      </c>
      <c r="F223" t="s">
        <v>27</v>
      </c>
      <c r="G223" t="s">
        <v>15</v>
      </c>
      <c r="H223" t="s">
        <v>16</v>
      </c>
      <c r="I223">
        <v>0</v>
      </c>
      <c r="J223" s="23">
        <v>-3403</v>
      </c>
      <c r="K223" t="s">
        <v>17</v>
      </c>
    </row>
    <row r="224" spans="1:11" ht="15" customHeight="1" x14ac:dyDescent="0.3">
      <c r="A224" t="s">
        <v>10</v>
      </c>
      <c r="B224" t="s">
        <v>11</v>
      </c>
      <c r="C224" t="s">
        <v>24</v>
      </c>
      <c r="D224" t="s">
        <v>13</v>
      </c>
      <c r="E224">
        <v>2</v>
      </c>
      <c r="F224" t="s">
        <v>21</v>
      </c>
      <c r="G224" t="s">
        <v>15</v>
      </c>
      <c r="H224" t="s">
        <v>16</v>
      </c>
      <c r="I224">
        <v>0</v>
      </c>
      <c r="J224" s="23">
        <v>8471993</v>
      </c>
      <c r="K224">
        <v>16943986</v>
      </c>
    </row>
    <row r="225" spans="1:11" ht="15" customHeight="1" x14ac:dyDescent="0.3">
      <c r="A225" t="s">
        <v>10</v>
      </c>
      <c r="B225" t="s">
        <v>11</v>
      </c>
      <c r="C225" t="s">
        <v>24</v>
      </c>
      <c r="D225" t="s">
        <v>28</v>
      </c>
      <c r="E225">
        <v>10</v>
      </c>
      <c r="F225" t="s">
        <v>30</v>
      </c>
      <c r="G225" t="s">
        <v>15</v>
      </c>
      <c r="H225" t="s">
        <v>16</v>
      </c>
      <c r="I225">
        <v>0</v>
      </c>
      <c r="J225" s="23">
        <v>157458</v>
      </c>
      <c r="K225">
        <v>1574580</v>
      </c>
    </row>
    <row r="226" spans="1:11" ht="15" customHeight="1" x14ac:dyDescent="0.3">
      <c r="A226" t="s">
        <v>18</v>
      </c>
      <c r="B226" t="s">
        <v>11</v>
      </c>
      <c r="C226" t="s">
        <v>24</v>
      </c>
      <c r="D226" t="s">
        <v>28</v>
      </c>
      <c r="E226">
        <v>12</v>
      </c>
      <c r="F226" t="s">
        <v>35</v>
      </c>
      <c r="G226" t="s">
        <v>15</v>
      </c>
      <c r="H226" t="s">
        <v>16</v>
      </c>
      <c r="I226">
        <v>0</v>
      </c>
      <c r="J226" s="23">
        <v>420091</v>
      </c>
      <c r="K226">
        <v>5041092</v>
      </c>
    </row>
    <row r="227" spans="1:11" ht="15" customHeight="1" x14ac:dyDescent="0.3">
      <c r="A227"/>
      <c r="B227" t="s">
        <v>11</v>
      </c>
      <c r="C227" t="s">
        <v>24</v>
      </c>
      <c r="D227" t="s">
        <v>17</v>
      </c>
      <c r="E227">
        <v>-3</v>
      </c>
      <c r="F227" t="s">
        <v>29</v>
      </c>
      <c r="G227" t="s">
        <v>15</v>
      </c>
      <c r="H227" t="s">
        <v>16</v>
      </c>
      <c r="I227">
        <v>0</v>
      </c>
      <c r="J227" s="23">
        <v>35578</v>
      </c>
      <c r="K227" t="s">
        <v>17</v>
      </c>
    </row>
    <row r="228" spans="1:11" ht="15" customHeight="1" x14ac:dyDescent="0.3">
      <c r="A228" t="s">
        <v>10</v>
      </c>
      <c r="B228" t="s">
        <v>11</v>
      </c>
      <c r="C228" t="s">
        <v>24</v>
      </c>
      <c r="D228" t="s">
        <v>13</v>
      </c>
      <c r="E228">
        <v>3</v>
      </c>
      <c r="F228" t="s">
        <v>42</v>
      </c>
      <c r="G228" t="s">
        <v>15</v>
      </c>
      <c r="H228" t="s">
        <v>16</v>
      </c>
      <c r="I228">
        <v>0</v>
      </c>
      <c r="J228" s="23">
        <v>1120617</v>
      </c>
      <c r="K228">
        <v>3361851</v>
      </c>
    </row>
    <row r="229" spans="1:11" ht="15" customHeight="1" x14ac:dyDescent="0.3">
      <c r="A229" t="s">
        <v>10</v>
      </c>
      <c r="B229" t="s">
        <v>11</v>
      </c>
      <c r="C229" t="s">
        <v>24</v>
      </c>
      <c r="D229" t="s">
        <v>28</v>
      </c>
      <c r="E229">
        <v>6</v>
      </c>
      <c r="F229" t="s">
        <v>42</v>
      </c>
      <c r="G229" t="s">
        <v>15</v>
      </c>
      <c r="H229" t="s">
        <v>16</v>
      </c>
      <c r="I229">
        <v>0</v>
      </c>
      <c r="J229" s="23">
        <v>800658</v>
      </c>
      <c r="K229">
        <v>4803948</v>
      </c>
    </row>
    <row r="230" spans="1:11" ht="15" customHeight="1" x14ac:dyDescent="0.3">
      <c r="A230" t="s">
        <v>18</v>
      </c>
      <c r="B230" t="s">
        <v>11</v>
      </c>
      <c r="C230" t="s">
        <v>12</v>
      </c>
      <c r="D230" t="s">
        <v>13</v>
      </c>
      <c r="E230">
        <v>1</v>
      </c>
      <c r="F230" t="s">
        <v>27</v>
      </c>
      <c r="G230" t="s">
        <v>15</v>
      </c>
      <c r="H230" t="s">
        <v>16</v>
      </c>
      <c r="I230">
        <v>0</v>
      </c>
      <c r="J230" s="23">
        <v>-5694</v>
      </c>
      <c r="K230" t="s">
        <v>17</v>
      </c>
    </row>
    <row r="231" spans="1:11" ht="15" customHeight="1" x14ac:dyDescent="0.3">
      <c r="A231" t="s">
        <v>22</v>
      </c>
      <c r="B231" t="s">
        <v>19</v>
      </c>
      <c r="C231" t="s">
        <v>24</v>
      </c>
      <c r="D231" t="s">
        <v>28</v>
      </c>
      <c r="E231">
        <v>16</v>
      </c>
      <c r="F231"/>
      <c r="G231" t="s">
        <v>15</v>
      </c>
      <c r="H231" t="s">
        <v>16</v>
      </c>
      <c r="I231">
        <v>0</v>
      </c>
      <c r="J231" s="23">
        <v>21865</v>
      </c>
      <c r="K231">
        <v>349840</v>
      </c>
    </row>
    <row r="232" spans="1:11" ht="15" customHeight="1" x14ac:dyDescent="0.3">
      <c r="A232" t="s">
        <v>18</v>
      </c>
      <c r="B232" t="s">
        <v>11</v>
      </c>
      <c r="C232" t="s">
        <v>12</v>
      </c>
      <c r="D232" t="s">
        <v>13</v>
      </c>
      <c r="E232">
        <v>2</v>
      </c>
      <c r="F232" t="s">
        <v>33</v>
      </c>
      <c r="G232" t="s">
        <v>15</v>
      </c>
      <c r="H232" t="s">
        <v>16</v>
      </c>
      <c r="I232">
        <v>0</v>
      </c>
      <c r="J232" s="23">
        <v>-41176</v>
      </c>
      <c r="K232" t="s">
        <v>17</v>
      </c>
    </row>
    <row r="233" spans="1:11" ht="15" customHeight="1" x14ac:dyDescent="0.3">
      <c r="A233" t="s">
        <v>18</v>
      </c>
      <c r="B233" t="s">
        <v>11</v>
      </c>
      <c r="C233" t="s">
        <v>12</v>
      </c>
      <c r="D233" t="s">
        <v>13</v>
      </c>
      <c r="E233">
        <v>14</v>
      </c>
      <c r="F233" t="s">
        <v>30</v>
      </c>
      <c r="G233" t="s">
        <v>15</v>
      </c>
      <c r="H233" t="s">
        <v>16</v>
      </c>
      <c r="I233">
        <v>0</v>
      </c>
      <c r="J233" s="23">
        <v>-17994</v>
      </c>
      <c r="K233" t="s">
        <v>17</v>
      </c>
    </row>
    <row r="234" spans="1:11" ht="15" customHeight="1" x14ac:dyDescent="0.3">
      <c r="A234" t="s">
        <v>18</v>
      </c>
      <c r="B234" t="s">
        <v>11</v>
      </c>
      <c r="C234" t="s">
        <v>12</v>
      </c>
      <c r="D234" t="s">
        <v>28</v>
      </c>
      <c r="E234">
        <v>7</v>
      </c>
      <c r="F234" t="s">
        <v>14</v>
      </c>
      <c r="G234" t="s">
        <v>15</v>
      </c>
      <c r="H234" t="s">
        <v>16</v>
      </c>
      <c r="I234">
        <v>0</v>
      </c>
      <c r="J234" s="23">
        <v>-7307</v>
      </c>
      <c r="K234" t="s">
        <v>17</v>
      </c>
    </row>
    <row r="235" spans="1:11" ht="15" customHeight="1" x14ac:dyDescent="0.3">
      <c r="A235" t="s">
        <v>10</v>
      </c>
      <c r="B235" t="s">
        <v>11</v>
      </c>
      <c r="C235" t="s">
        <v>24</v>
      </c>
      <c r="D235" t="s">
        <v>28</v>
      </c>
      <c r="E235">
        <v>10</v>
      </c>
      <c r="F235" t="s">
        <v>29</v>
      </c>
      <c r="G235" t="s">
        <v>15</v>
      </c>
      <c r="H235" t="s">
        <v>32</v>
      </c>
      <c r="I235">
        <v>1</v>
      </c>
      <c r="J235" s="23">
        <v>548180</v>
      </c>
      <c r="K235">
        <v>5481800</v>
      </c>
    </row>
    <row r="236" spans="1:11" ht="15" customHeight="1" x14ac:dyDescent="0.3">
      <c r="A236" t="s">
        <v>22</v>
      </c>
      <c r="B236" t="s">
        <v>11</v>
      </c>
      <c r="C236" t="s">
        <v>24</v>
      </c>
      <c r="D236" t="s">
        <v>25</v>
      </c>
      <c r="E236">
        <v>4</v>
      </c>
      <c r="F236" t="s">
        <v>26</v>
      </c>
      <c r="G236" t="s">
        <v>15</v>
      </c>
      <c r="H236" t="s">
        <v>16</v>
      </c>
      <c r="I236">
        <v>0</v>
      </c>
      <c r="J236" s="23">
        <v>42971</v>
      </c>
      <c r="K236">
        <v>171884</v>
      </c>
    </row>
    <row r="237" spans="1:11" ht="15" customHeight="1" x14ac:dyDescent="0.3">
      <c r="A237" t="s">
        <v>10</v>
      </c>
      <c r="B237" t="s">
        <v>11</v>
      </c>
      <c r="C237" t="s">
        <v>12</v>
      </c>
      <c r="D237" t="s">
        <v>13</v>
      </c>
      <c r="E237">
        <v>5</v>
      </c>
      <c r="F237" t="s">
        <v>29</v>
      </c>
      <c r="G237" t="s">
        <v>15</v>
      </c>
      <c r="H237" t="s">
        <v>16</v>
      </c>
      <c r="I237">
        <v>0</v>
      </c>
      <c r="J237" s="23">
        <v>-449931</v>
      </c>
      <c r="K237" t="s">
        <v>17</v>
      </c>
    </row>
    <row r="238" spans="1:11" ht="15" customHeight="1" x14ac:dyDescent="0.3">
      <c r="A238" t="s">
        <v>10</v>
      </c>
      <c r="B238" t="s">
        <v>11</v>
      </c>
      <c r="C238" t="s">
        <v>24</v>
      </c>
      <c r="D238" t="s">
        <v>13</v>
      </c>
      <c r="E238">
        <v>4</v>
      </c>
      <c r="F238" t="s">
        <v>27</v>
      </c>
      <c r="G238" t="s">
        <v>15</v>
      </c>
      <c r="H238" t="s">
        <v>16</v>
      </c>
      <c r="I238">
        <v>0</v>
      </c>
      <c r="J238" s="23">
        <v>412049</v>
      </c>
      <c r="K238">
        <v>1648196</v>
      </c>
    </row>
    <row r="239" spans="1:11" ht="15" customHeight="1" x14ac:dyDescent="0.3">
      <c r="A239" t="s">
        <v>18</v>
      </c>
      <c r="B239" t="s">
        <v>11</v>
      </c>
      <c r="C239" t="s">
        <v>12</v>
      </c>
      <c r="D239" t="s">
        <v>28</v>
      </c>
      <c r="E239">
        <v>10</v>
      </c>
      <c r="F239" t="s">
        <v>26</v>
      </c>
      <c r="G239" t="s">
        <v>31</v>
      </c>
      <c r="H239" t="s">
        <v>16</v>
      </c>
      <c r="I239">
        <v>1</v>
      </c>
      <c r="J239" s="23">
        <v>-929</v>
      </c>
      <c r="K239" t="s">
        <v>17</v>
      </c>
    </row>
    <row r="240" spans="1:11" ht="15" customHeight="1" x14ac:dyDescent="0.3">
      <c r="A240" t="s">
        <v>22</v>
      </c>
      <c r="B240" t="s">
        <v>19</v>
      </c>
      <c r="C240" t="s">
        <v>12</v>
      </c>
      <c r="D240" t="s">
        <v>20</v>
      </c>
      <c r="E240">
        <v>19</v>
      </c>
      <c r="F240"/>
      <c r="G240" t="s">
        <v>15</v>
      </c>
      <c r="H240" t="s">
        <v>32</v>
      </c>
      <c r="I240">
        <v>1</v>
      </c>
      <c r="J240" s="23">
        <v>-53852</v>
      </c>
      <c r="K240" t="s">
        <v>17</v>
      </c>
    </row>
    <row r="241" spans="1:11" ht="15" customHeight="1" x14ac:dyDescent="0.3">
      <c r="A241" t="s">
        <v>10</v>
      </c>
      <c r="B241" t="s">
        <v>11</v>
      </c>
      <c r="C241" t="s">
        <v>24</v>
      </c>
      <c r="D241" t="s">
        <v>25</v>
      </c>
      <c r="E241">
        <v>6</v>
      </c>
      <c r="F241" t="s">
        <v>14</v>
      </c>
      <c r="G241" t="s">
        <v>15</v>
      </c>
      <c r="H241" t="s">
        <v>16</v>
      </c>
      <c r="I241">
        <v>0</v>
      </c>
      <c r="J241" s="23">
        <v>504176</v>
      </c>
      <c r="K241">
        <v>3025056</v>
      </c>
    </row>
    <row r="242" spans="1:11" ht="15" customHeight="1" x14ac:dyDescent="0.3">
      <c r="A242" t="s">
        <v>18</v>
      </c>
      <c r="B242" t="s">
        <v>19</v>
      </c>
      <c r="C242" t="s">
        <v>24</v>
      </c>
      <c r="D242" t="s">
        <v>20</v>
      </c>
      <c r="E242">
        <v>33</v>
      </c>
      <c r="F242"/>
      <c r="G242" t="s">
        <v>15</v>
      </c>
      <c r="H242" t="s">
        <v>32</v>
      </c>
      <c r="I242">
        <v>1</v>
      </c>
      <c r="J242" s="23">
        <v>2312442</v>
      </c>
      <c r="K242">
        <v>76310586</v>
      </c>
    </row>
    <row r="243" spans="1:11" ht="15" customHeight="1" x14ac:dyDescent="0.3">
      <c r="A243" t="s">
        <v>18</v>
      </c>
      <c r="B243" t="s">
        <v>11</v>
      </c>
      <c r="C243" t="s">
        <v>24</v>
      </c>
      <c r="D243" t="s">
        <v>28</v>
      </c>
      <c r="E243">
        <v>5</v>
      </c>
      <c r="F243" t="s">
        <v>34</v>
      </c>
      <c r="G243" t="s">
        <v>15</v>
      </c>
      <c r="H243" t="s">
        <v>32</v>
      </c>
      <c r="I243">
        <v>1</v>
      </c>
      <c r="J243" s="23">
        <v>375826</v>
      </c>
      <c r="K243">
        <v>1879130</v>
      </c>
    </row>
    <row r="244" spans="1:11" ht="15" customHeight="1" x14ac:dyDescent="0.3">
      <c r="A244" t="s">
        <v>22</v>
      </c>
      <c r="B244" t="s">
        <v>19</v>
      </c>
      <c r="C244" t="s">
        <v>12</v>
      </c>
      <c r="D244" t="s">
        <v>20</v>
      </c>
      <c r="E244">
        <v>29</v>
      </c>
      <c r="F244"/>
      <c r="G244" t="s">
        <v>15</v>
      </c>
      <c r="H244" t="s">
        <v>16</v>
      </c>
      <c r="I244">
        <v>0</v>
      </c>
      <c r="J244" s="23">
        <v>-2945548</v>
      </c>
      <c r="K244" t="s">
        <v>17</v>
      </c>
    </row>
    <row r="245" spans="1:11" ht="15" customHeight="1" x14ac:dyDescent="0.3">
      <c r="A245" t="s">
        <v>18</v>
      </c>
      <c r="B245" t="s">
        <v>11</v>
      </c>
      <c r="C245" t="s">
        <v>12</v>
      </c>
      <c r="D245" t="s">
        <v>25</v>
      </c>
      <c r="E245">
        <v>-1</v>
      </c>
      <c r="F245" t="s">
        <v>23</v>
      </c>
      <c r="G245" t="s">
        <v>15</v>
      </c>
      <c r="H245" t="s">
        <v>16</v>
      </c>
      <c r="I245">
        <v>0</v>
      </c>
      <c r="J245" s="23">
        <v>-5065</v>
      </c>
      <c r="K245" t="s">
        <v>17</v>
      </c>
    </row>
    <row r="246" spans="1:11" ht="15" customHeight="1" x14ac:dyDescent="0.3">
      <c r="A246" t="s">
        <v>22</v>
      </c>
      <c r="B246" t="s">
        <v>19</v>
      </c>
      <c r="C246" t="s">
        <v>12</v>
      </c>
      <c r="D246" t="s">
        <v>20</v>
      </c>
      <c r="E246">
        <v>17</v>
      </c>
      <c r="F246"/>
      <c r="G246" t="s">
        <v>15</v>
      </c>
      <c r="H246" t="s">
        <v>32</v>
      </c>
      <c r="I246">
        <v>1</v>
      </c>
      <c r="J246" s="23">
        <v>-40322</v>
      </c>
      <c r="K246" t="s">
        <v>17</v>
      </c>
    </row>
    <row r="247" spans="1:11" ht="15" customHeight="1" x14ac:dyDescent="0.3">
      <c r="A247" t="s">
        <v>18</v>
      </c>
      <c r="B247" t="s">
        <v>11</v>
      </c>
      <c r="C247" t="s">
        <v>12</v>
      </c>
      <c r="D247" t="s">
        <v>28</v>
      </c>
      <c r="E247">
        <v>2</v>
      </c>
      <c r="F247" t="s">
        <v>34</v>
      </c>
      <c r="G247" t="s">
        <v>15</v>
      </c>
      <c r="H247" t="s">
        <v>32</v>
      </c>
      <c r="I247">
        <v>1</v>
      </c>
      <c r="J247" s="23">
        <v>-1167</v>
      </c>
      <c r="K247" t="s">
        <v>17</v>
      </c>
    </row>
    <row r="248" spans="1:11" ht="15" customHeight="1" x14ac:dyDescent="0.3">
      <c r="A248" t="s">
        <v>10</v>
      </c>
      <c r="B248" t="s">
        <v>11</v>
      </c>
      <c r="C248" t="s">
        <v>24</v>
      </c>
      <c r="D248" t="s">
        <v>25</v>
      </c>
      <c r="E248">
        <v>0</v>
      </c>
      <c r="F248" t="s">
        <v>29</v>
      </c>
      <c r="G248" t="s">
        <v>15</v>
      </c>
      <c r="H248" t="s">
        <v>16</v>
      </c>
      <c r="I248">
        <v>0</v>
      </c>
      <c r="J248" s="23">
        <v>260638</v>
      </c>
      <c r="K248" t="s">
        <v>17</v>
      </c>
    </row>
    <row r="249" spans="1:11" ht="15" customHeight="1" x14ac:dyDescent="0.3">
      <c r="A249" t="s">
        <v>18</v>
      </c>
      <c r="B249" t="s">
        <v>11</v>
      </c>
      <c r="C249" t="s">
        <v>12</v>
      </c>
      <c r="D249" t="s">
        <v>28</v>
      </c>
      <c r="E249">
        <v>3</v>
      </c>
      <c r="F249" t="s">
        <v>34</v>
      </c>
      <c r="G249" t="s">
        <v>15</v>
      </c>
      <c r="H249" t="s">
        <v>16</v>
      </c>
      <c r="I249">
        <v>0</v>
      </c>
      <c r="J249" s="23">
        <v>-10132</v>
      </c>
      <c r="K249" t="s">
        <v>17</v>
      </c>
    </row>
    <row r="250" spans="1:11" ht="15" customHeight="1" x14ac:dyDescent="0.3">
      <c r="A250" t="s">
        <v>10</v>
      </c>
      <c r="B250" t="s">
        <v>11</v>
      </c>
      <c r="C250" t="s">
        <v>24</v>
      </c>
      <c r="D250" t="s">
        <v>28</v>
      </c>
      <c r="E250">
        <v>1</v>
      </c>
      <c r="F250" t="s">
        <v>34</v>
      </c>
      <c r="G250" t="s">
        <v>15</v>
      </c>
      <c r="H250" t="s">
        <v>16</v>
      </c>
      <c r="I250">
        <v>0</v>
      </c>
      <c r="J250" s="23">
        <v>973981</v>
      </c>
      <c r="K250">
        <v>973981</v>
      </c>
    </row>
    <row r="251" spans="1:11" ht="15" customHeight="1" x14ac:dyDescent="0.3">
      <c r="A251" t="s">
        <v>18</v>
      </c>
      <c r="B251" t="s">
        <v>11</v>
      </c>
      <c r="C251" t="s">
        <v>24</v>
      </c>
      <c r="D251" t="s">
        <v>28</v>
      </c>
      <c r="E251">
        <v>9</v>
      </c>
      <c r="F251" t="s">
        <v>39</v>
      </c>
      <c r="G251" t="s">
        <v>15</v>
      </c>
      <c r="H251" t="s">
        <v>16</v>
      </c>
      <c r="I251">
        <v>0</v>
      </c>
      <c r="J251" s="23">
        <v>7547191</v>
      </c>
      <c r="K251">
        <v>67924719</v>
      </c>
    </row>
    <row r="252" spans="1:11" ht="15" customHeight="1" x14ac:dyDescent="0.3">
      <c r="A252" t="s">
        <v>10</v>
      </c>
      <c r="B252" t="s">
        <v>11</v>
      </c>
      <c r="C252" t="s">
        <v>24</v>
      </c>
      <c r="D252" t="s">
        <v>28</v>
      </c>
      <c r="E252">
        <v>15</v>
      </c>
      <c r="F252" t="s">
        <v>23</v>
      </c>
      <c r="G252" t="s">
        <v>15</v>
      </c>
      <c r="H252" t="s">
        <v>16</v>
      </c>
      <c r="I252">
        <v>0</v>
      </c>
      <c r="J252" s="23">
        <v>741079</v>
      </c>
      <c r="K252">
        <v>11116185</v>
      </c>
    </row>
    <row r="253" spans="1:11" ht="15" customHeight="1" x14ac:dyDescent="0.3">
      <c r="A253" t="s">
        <v>10</v>
      </c>
      <c r="B253" t="s">
        <v>11</v>
      </c>
      <c r="C253" t="s">
        <v>12</v>
      </c>
      <c r="D253" t="s">
        <v>25</v>
      </c>
      <c r="E253">
        <v>-1</v>
      </c>
      <c r="F253" t="s">
        <v>23</v>
      </c>
      <c r="G253" t="s">
        <v>15</v>
      </c>
      <c r="H253" t="s">
        <v>16</v>
      </c>
      <c r="I253">
        <v>0</v>
      </c>
      <c r="J253" s="23">
        <v>-7148</v>
      </c>
      <c r="K253" t="s">
        <v>17</v>
      </c>
    </row>
    <row r="254" spans="1:11" ht="15" customHeight="1" x14ac:dyDescent="0.3">
      <c r="A254" t="s">
        <v>10</v>
      </c>
      <c r="B254" t="s">
        <v>11</v>
      </c>
      <c r="C254" t="s">
        <v>12</v>
      </c>
      <c r="D254" t="s">
        <v>25</v>
      </c>
      <c r="E254">
        <v>-4</v>
      </c>
      <c r="F254" t="s">
        <v>38</v>
      </c>
      <c r="G254" t="s">
        <v>15</v>
      </c>
      <c r="H254" t="s">
        <v>16</v>
      </c>
      <c r="I254">
        <v>0</v>
      </c>
      <c r="J254" s="23">
        <v>-2</v>
      </c>
      <c r="K254" t="s">
        <v>17</v>
      </c>
    </row>
    <row r="255" spans="1:11" ht="15" customHeight="1" x14ac:dyDescent="0.3">
      <c r="A255" t="s">
        <v>10</v>
      </c>
      <c r="B255" t="s">
        <v>44</v>
      </c>
      <c r="C255" t="s">
        <v>12</v>
      </c>
      <c r="D255" t="s">
        <v>28</v>
      </c>
      <c r="E255">
        <v>5</v>
      </c>
      <c r="F255" t="s">
        <v>38</v>
      </c>
      <c r="G255" t="s">
        <v>15</v>
      </c>
      <c r="H255" t="s">
        <v>16</v>
      </c>
      <c r="I255">
        <v>0</v>
      </c>
      <c r="J255" s="23">
        <v>-2755</v>
      </c>
      <c r="K255" t="s">
        <v>17</v>
      </c>
    </row>
    <row r="256" spans="1:11" ht="15" customHeight="1" x14ac:dyDescent="0.3">
      <c r="A256" t="s">
        <v>18</v>
      </c>
      <c r="B256" t="s">
        <v>11</v>
      </c>
      <c r="C256" t="s">
        <v>24</v>
      </c>
      <c r="D256" t="s">
        <v>28</v>
      </c>
      <c r="E256">
        <v>1</v>
      </c>
      <c r="F256" t="s">
        <v>34</v>
      </c>
      <c r="G256" t="s">
        <v>15</v>
      </c>
      <c r="H256" t="s">
        <v>16</v>
      </c>
      <c r="I256">
        <v>0</v>
      </c>
      <c r="J256" s="23">
        <v>3276107</v>
      </c>
      <c r="K256">
        <v>3276107</v>
      </c>
    </row>
    <row r="257" spans="1:11" ht="15" customHeight="1" x14ac:dyDescent="0.3">
      <c r="A257" t="s">
        <v>18</v>
      </c>
      <c r="B257" t="s">
        <v>11</v>
      </c>
      <c r="C257" t="s">
        <v>24</v>
      </c>
      <c r="D257" t="s">
        <v>25</v>
      </c>
      <c r="E257">
        <v>5</v>
      </c>
      <c r="F257" t="s">
        <v>14</v>
      </c>
      <c r="G257" t="s">
        <v>15</v>
      </c>
      <c r="H257" t="s">
        <v>16</v>
      </c>
      <c r="I257">
        <v>0</v>
      </c>
      <c r="J257" s="23">
        <v>3598200</v>
      </c>
      <c r="K257">
        <v>17991000</v>
      </c>
    </row>
    <row r="258" spans="1:11" ht="15" customHeight="1" x14ac:dyDescent="0.3">
      <c r="A258" t="s">
        <v>18</v>
      </c>
      <c r="B258" t="s">
        <v>11</v>
      </c>
      <c r="C258" t="s">
        <v>24</v>
      </c>
      <c r="D258" t="s">
        <v>25</v>
      </c>
      <c r="E258">
        <v>1</v>
      </c>
      <c r="F258" t="s">
        <v>33</v>
      </c>
      <c r="G258" t="s">
        <v>15</v>
      </c>
      <c r="H258" t="s">
        <v>16</v>
      </c>
      <c r="I258">
        <v>0</v>
      </c>
      <c r="J258" s="23">
        <v>1651616</v>
      </c>
      <c r="K258">
        <v>1651616</v>
      </c>
    </row>
    <row r="259" spans="1:11" ht="15" customHeight="1" x14ac:dyDescent="0.3">
      <c r="A259" t="s">
        <v>10</v>
      </c>
      <c r="B259" t="s">
        <v>19</v>
      </c>
      <c r="C259" t="s">
        <v>24</v>
      </c>
      <c r="D259" t="s">
        <v>20</v>
      </c>
      <c r="E259">
        <v>26</v>
      </c>
      <c r="F259"/>
      <c r="G259" t="s">
        <v>15</v>
      </c>
      <c r="H259" t="s">
        <v>16</v>
      </c>
      <c r="I259">
        <v>0</v>
      </c>
      <c r="J259" s="23">
        <v>51820139</v>
      </c>
      <c r="K259">
        <v>1347323614</v>
      </c>
    </row>
    <row r="260" spans="1:11" ht="15" customHeight="1" x14ac:dyDescent="0.3">
      <c r="A260" t="s">
        <v>22</v>
      </c>
      <c r="B260" t="s">
        <v>19</v>
      </c>
      <c r="C260" t="s">
        <v>12</v>
      </c>
      <c r="D260" t="s">
        <v>20</v>
      </c>
      <c r="E260">
        <v>12</v>
      </c>
      <c r="F260"/>
      <c r="G260" t="s">
        <v>15</v>
      </c>
      <c r="H260" t="s">
        <v>32</v>
      </c>
      <c r="I260">
        <v>1</v>
      </c>
      <c r="J260" s="23">
        <v>-10767</v>
      </c>
      <c r="K260" t="s">
        <v>17</v>
      </c>
    </row>
    <row r="261" spans="1:11" ht="15" customHeight="1" x14ac:dyDescent="0.3">
      <c r="A261" t="s">
        <v>18</v>
      </c>
      <c r="B261" t="s">
        <v>11</v>
      </c>
      <c r="C261" t="s">
        <v>12</v>
      </c>
      <c r="D261" t="s">
        <v>25</v>
      </c>
      <c r="E261">
        <v>4</v>
      </c>
      <c r="F261" t="s">
        <v>29</v>
      </c>
      <c r="G261" t="s">
        <v>15</v>
      </c>
      <c r="H261" t="s">
        <v>16</v>
      </c>
      <c r="I261">
        <v>0</v>
      </c>
      <c r="J261" s="23">
        <v>-36795</v>
      </c>
      <c r="K261" t="s">
        <v>17</v>
      </c>
    </row>
    <row r="262" spans="1:11" ht="15" customHeight="1" x14ac:dyDescent="0.3">
      <c r="A262" t="s">
        <v>22</v>
      </c>
      <c r="B262" t="s">
        <v>11</v>
      </c>
      <c r="C262" t="s">
        <v>12</v>
      </c>
      <c r="D262" t="s">
        <v>13</v>
      </c>
      <c r="E262">
        <v>3</v>
      </c>
      <c r="F262" t="s">
        <v>35</v>
      </c>
      <c r="G262" t="s">
        <v>15</v>
      </c>
      <c r="H262" t="s">
        <v>16</v>
      </c>
      <c r="I262">
        <v>0</v>
      </c>
      <c r="J262" s="23">
        <v>-145230</v>
      </c>
      <c r="K262" t="s">
        <v>17</v>
      </c>
    </row>
    <row r="263" spans="1:11" ht="15" customHeight="1" x14ac:dyDescent="0.3">
      <c r="A263" t="s">
        <v>10</v>
      </c>
      <c r="B263" t="s">
        <v>11</v>
      </c>
      <c r="C263" t="s">
        <v>24</v>
      </c>
      <c r="D263" t="s">
        <v>28</v>
      </c>
      <c r="E263">
        <v>5</v>
      </c>
      <c r="F263" t="s">
        <v>34</v>
      </c>
      <c r="G263" t="s">
        <v>15</v>
      </c>
      <c r="H263" t="s">
        <v>32</v>
      </c>
      <c r="I263">
        <v>1</v>
      </c>
      <c r="J263" s="23">
        <v>46190</v>
      </c>
      <c r="K263">
        <v>230950</v>
      </c>
    </row>
    <row r="264" spans="1:11" ht="15" customHeight="1" x14ac:dyDescent="0.3">
      <c r="A264" t="s">
        <v>10</v>
      </c>
      <c r="B264" t="s">
        <v>11</v>
      </c>
      <c r="C264" t="s">
        <v>12</v>
      </c>
      <c r="D264" t="s">
        <v>28</v>
      </c>
      <c r="E264">
        <v>1</v>
      </c>
      <c r="F264" t="s">
        <v>39</v>
      </c>
      <c r="G264" t="s">
        <v>15</v>
      </c>
      <c r="H264" t="s">
        <v>16</v>
      </c>
      <c r="I264">
        <v>0</v>
      </c>
      <c r="J264" s="23">
        <v>-4554</v>
      </c>
      <c r="K264" t="s">
        <v>17</v>
      </c>
    </row>
    <row r="265" spans="1:11" ht="15" customHeight="1" x14ac:dyDescent="0.3">
      <c r="A265" t="s">
        <v>10</v>
      </c>
      <c r="B265" t="s">
        <v>19</v>
      </c>
      <c r="C265" t="s">
        <v>24</v>
      </c>
      <c r="D265" t="s">
        <v>20</v>
      </c>
      <c r="E265">
        <v>34</v>
      </c>
      <c r="F265"/>
      <c r="G265" t="s">
        <v>15</v>
      </c>
      <c r="H265" t="s">
        <v>16</v>
      </c>
      <c r="I265">
        <v>0</v>
      </c>
      <c r="J265" s="23">
        <v>64275706</v>
      </c>
      <c r="K265">
        <v>2185374004</v>
      </c>
    </row>
    <row r="266" spans="1:11" ht="15" customHeight="1" x14ac:dyDescent="0.3">
      <c r="A266" t="s">
        <v>18</v>
      </c>
      <c r="B266" t="s">
        <v>11</v>
      </c>
      <c r="C266" t="s">
        <v>24</v>
      </c>
      <c r="D266" t="s">
        <v>25</v>
      </c>
      <c r="E266">
        <v>3</v>
      </c>
      <c r="F266" t="s">
        <v>35</v>
      </c>
      <c r="G266" t="s">
        <v>15</v>
      </c>
      <c r="H266" t="s">
        <v>16</v>
      </c>
      <c r="I266">
        <v>0</v>
      </c>
      <c r="J266" s="23">
        <v>2461201</v>
      </c>
      <c r="K266">
        <v>7383603</v>
      </c>
    </row>
    <row r="267" spans="1:11" ht="15" customHeight="1" x14ac:dyDescent="0.3">
      <c r="A267" t="s">
        <v>18</v>
      </c>
      <c r="B267" t="s">
        <v>11</v>
      </c>
      <c r="C267" t="s">
        <v>12</v>
      </c>
      <c r="D267" t="s">
        <v>28</v>
      </c>
      <c r="E267">
        <v>18</v>
      </c>
      <c r="F267" t="s">
        <v>26</v>
      </c>
      <c r="G267" t="s">
        <v>15</v>
      </c>
      <c r="H267" t="s">
        <v>16</v>
      </c>
      <c r="I267">
        <v>0</v>
      </c>
      <c r="J267" s="23">
        <v>-1441</v>
      </c>
      <c r="K267" t="s">
        <v>17</v>
      </c>
    </row>
    <row r="268" spans="1:11" ht="15" customHeight="1" x14ac:dyDescent="0.3">
      <c r="A268" t="s">
        <v>10</v>
      </c>
      <c r="B268" t="s">
        <v>11</v>
      </c>
      <c r="C268" t="s">
        <v>12</v>
      </c>
      <c r="D268" t="s">
        <v>28</v>
      </c>
      <c r="E268">
        <v>8</v>
      </c>
      <c r="F268" t="s">
        <v>23</v>
      </c>
      <c r="G268" t="s">
        <v>15</v>
      </c>
      <c r="H268" t="s">
        <v>16</v>
      </c>
      <c r="I268">
        <v>0</v>
      </c>
      <c r="J268" s="23">
        <v>-40030</v>
      </c>
      <c r="K268" t="s">
        <v>17</v>
      </c>
    </row>
    <row r="269" spans="1:11" ht="15" customHeight="1" x14ac:dyDescent="0.3">
      <c r="A269" t="s">
        <v>10</v>
      </c>
      <c r="B269" t="s">
        <v>11</v>
      </c>
      <c r="C269" t="s">
        <v>12</v>
      </c>
      <c r="D269" t="s">
        <v>13</v>
      </c>
      <c r="E269">
        <v>2</v>
      </c>
      <c r="F269" t="s">
        <v>27</v>
      </c>
      <c r="G269" t="s">
        <v>15</v>
      </c>
      <c r="H269" t="s">
        <v>16</v>
      </c>
      <c r="I269">
        <v>0</v>
      </c>
      <c r="J269" s="23">
        <v>-59314</v>
      </c>
      <c r="K269" t="s">
        <v>17</v>
      </c>
    </row>
    <row r="270" spans="1:11" ht="15" customHeight="1" x14ac:dyDescent="0.3">
      <c r="A270" t="s">
        <v>10</v>
      </c>
      <c r="B270" t="s">
        <v>11</v>
      </c>
      <c r="C270" t="s">
        <v>12</v>
      </c>
      <c r="D270" t="s">
        <v>25</v>
      </c>
      <c r="E270">
        <v>5</v>
      </c>
      <c r="F270" t="s">
        <v>27</v>
      </c>
      <c r="G270" t="s">
        <v>15</v>
      </c>
      <c r="H270" t="s">
        <v>16</v>
      </c>
      <c r="I270">
        <v>0</v>
      </c>
      <c r="J270" s="23">
        <v>-13544</v>
      </c>
      <c r="K270" t="s">
        <v>17</v>
      </c>
    </row>
    <row r="271" spans="1:11" ht="15" customHeight="1" x14ac:dyDescent="0.3">
      <c r="A271" t="s">
        <v>18</v>
      </c>
      <c r="B271" t="s">
        <v>19</v>
      </c>
      <c r="C271" t="s">
        <v>24</v>
      </c>
      <c r="D271" t="s">
        <v>20</v>
      </c>
      <c r="E271">
        <v>11</v>
      </c>
      <c r="F271"/>
      <c r="G271" t="s">
        <v>31</v>
      </c>
      <c r="H271" t="s">
        <v>32</v>
      </c>
      <c r="I271">
        <v>1</v>
      </c>
      <c r="J271" s="23">
        <v>107122</v>
      </c>
      <c r="K271">
        <v>1178342</v>
      </c>
    </row>
    <row r="272" spans="1:11" ht="15" customHeight="1" x14ac:dyDescent="0.3">
      <c r="A272" t="s">
        <v>18</v>
      </c>
      <c r="B272" t="s">
        <v>11</v>
      </c>
      <c r="C272" t="s">
        <v>12</v>
      </c>
      <c r="D272" t="s">
        <v>25</v>
      </c>
      <c r="E272">
        <v>5</v>
      </c>
      <c r="F272" t="s">
        <v>30</v>
      </c>
      <c r="G272" t="s">
        <v>15</v>
      </c>
      <c r="H272" t="s">
        <v>16</v>
      </c>
      <c r="I272">
        <v>0</v>
      </c>
      <c r="J272" s="23">
        <v>-8874</v>
      </c>
      <c r="K272" t="s">
        <v>17</v>
      </c>
    </row>
    <row r="273" spans="1:11" ht="15" customHeight="1" x14ac:dyDescent="0.3">
      <c r="A273" t="s">
        <v>22</v>
      </c>
      <c r="B273" t="s">
        <v>11</v>
      </c>
      <c r="C273" t="s">
        <v>24</v>
      </c>
      <c r="D273" t="s">
        <v>28</v>
      </c>
      <c r="E273">
        <v>6</v>
      </c>
      <c r="F273" t="s">
        <v>21</v>
      </c>
      <c r="G273" t="s">
        <v>15</v>
      </c>
      <c r="H273" t="s">
        <v>16</v>
      </c>
      <c r="I273">
        <v>0</v>
      </c>
      <c r="J273" s="23">
        <v>169548</v>
      </c>
      <c r="K273">
        <v>1017288</v>
      </c>
    </row>
    <row r="274" spans="1:11" ht="15" customHeight="1" x14ac:dyDescent="0.3">
      <c r="A274" t="s">
        <v>10</v>
      </c>
      <c r="B274" t="s">
        <v>11</v>
      </c>
      <c r="C274" t="s">
        <v>24</v>
      </c>
      <c r="D274" t="s">
        <v>28</v>
      </c>
      <c r="E274">
        <v>-4</v>
      </c>
      <c r="F274" t="s">
        <v>21</v>
      </c>
      <c r="G274" t="s">
        <v>15</v>
      </c>
      <c r="H274" t="s">
        <v>16</v>
      </c>
      <c r="I274">
        <v>0</v>
      </c>
      <c r="J274" s="23">
        <v>60932</v>
      </c>
      <c r="K274" t="s">
        <v>17</v>
      </c>
    </row>
    <row r="275" spans="1:11" ht="15" customHeight="1" x14ac:dyDescent="0.3">
      <c r="A275" t="s">
        <v>10</v>
      </c>
      <c r="B275" t="s">
        <v>19</v>
      </c>
      <c r="C275" t="s">
        <v>24</v>
      </c>
      <c r="D275" t="s">
        <v>28</v>
      </c>
      <c r="E275">
        <v>6</v>
      </c>
      <c r="F275"/>
      <c r="G275" t="s">
        <v>15</v>
      </c>
      <c r="H275" t="s">
        <v>32</v>
      </c>
      <c r="I275">
        <v>1</v>
      </c>
      <c r="J275" s="23">
        <v>41989</v>
      </c>
      <c r="K275">
        <v>251934</v>
      </c>
    </row>
    <row r="276" spans="1:11" ht="15" customHeight="1" x14ac:dyDescent="0.3">
      <c r="A276" t="s">
        <v>22</v>
      </c>
      <c r="B276" t="s">
        <v>11</v>
      </c>
      <c r="C276" t="s">
        <v>24</v>
      </c>
      <c r="D276" t="s">
        <v>13</v>
      </c>
      <c r="E276">
        <v>0</v>
      </c>
      <c r="F276" t="s">
        <v>21</v>
      </c>
      <c r="G276" t="s">
        <v>15</v>
      </c>
      <c r="H276" t="s">
        <v>16</v>
      </c>
      <c r="I276">
        <v>0</v>
      </c>
      <c r="J276" s="23">
        <v>707341</v>
      </c>
      <c r="K276" t="s">
        <v>17</v>
      </c>
    </row>
    <row r="277" spans="1:11" ht="15" customHeight="1" x14ac:dyDescent="0.3">
      <c r="A277" t="s">
        <v>18</v>
      </c>
      <c r="B277" t="s">
        <v>11</v>
      </c>
      <c r="C277" t="s">
        <v>24</v>
      </c>
      <c r="D277" t="s">
        <v>28</v>
      </c>
      <c r="E277">
        <v>16</v>
      </c>
      <c r="F277" t="s">
        <v>34</v>
      </c>
      <c r="G277" t="s">
        <v>15</v>
      </c>
      <c r="H277" t="s">
        <v>16</v>
      </c>
      <c r="I277">
        <v>0</v>
      </c>
      <c r="J277" s="23">
        <v>1154600</v>
      </c>
      <c r="K277">
        <v>18473600</v>
      </c>
    </row>
    <row r="278" spans="1:11" ht="15" customHeight="1" x14ac:dyDescent="0.3">
      <c r="A278" t="s">
        <v>10</v>
      </c>
      <c r="B278" t="s">
        <v>11</v>
      </c>
      <c r="C278" t="s">
        <v>24</v>
      </c>
      <c r="D278" t="s">
        <v>25</v>
      </c>
      <c r="E278">
        <v>4</v>
      </c>
      <c r="F278" t="s">
        <v>14</v>
      </c>
      <c r="G278" t="s">
        <v>15</v>
      </c>
      <c r="H278" t="s">
        <v>16</v>
      </c>
      <c r="I278">
        <v>0</v>
      </c>
      <c r="J278" s="23">
        <v>674732</v>
      </c>
      <c r="K278">
        <v>2698928</v>
      </c>
    </row>
    <row r="279" spans="1:11" ht="15" customHeight="1" x14ac:dyDescent="0.3">
      <c r="A279" t="s">
        <v>18</v>
      </c>
      <c r="B279" t="s">
        <v>11</v>
      </c>
      <c r="C279" t="s">
        <v>12</v>
      </c>
      <c r="D279" t="s">
        <v>28</v>
      </c>
      <c r="E279">
        <v>-1</v>
      </c>
      <c r="F279" t="s">
        <v>29</v>
      </c>
      <c r="G279" t="s">
        <v>15</v>
      </c>
      <c r="H279" t="s">
        <v>16</v>
      </c>
      <c r="I279">
        <v>0</v>
      </c>
      <c r="J279" s="23">
        <v>-12016</v>
      </c>
      <c r="K279" t="s">
        <v>17</v>
      </c>
    </row>
    <row r="280" spans="1:11" ht="15" customHeight="1" x14ac:dyDescent="0.3">
      <c r="A280" t="s">
        <v>18</v>
      </c>
      <c r="B280" t="s">
        <v>11</v>
      </c>
      <c r="C280" t="s">
        <v>24</v>
      </c>
      <c r="D280" t="s">
        <v>28</v>
      </c>
      <c r="E280">
        <v>10</v>
      </c>
      <c r="F280" t="s">
        <v>29</v>
      </c>
      <c r="G280" t="s">
        <v>15</v>
      </c>
      <c r="H280" t="s">
        <v>32</v>
      </c>
      <c r="I280">
        <v>1</v>
      </c>
      <c r="J280" s="23">
        <v>5035839</v>
      </c>
      <c r="K280">
        <v>50358390</v>
      </c>
    </row>
    <row r="281" spans="1:11" ht="15" customHeight="1" x14ac:dyDescent="0.3">
      <c r="A281" t="s">
        <v>18</v>
      </c>
      <c r="B281" t="s">
        <v>19</v>
      </c>
      <c r="C281" t="s">
        <v>24</v>
      </c>
      <c r="D281" t="s">
        <v>20</v>
      </c>
      <c r="E281">
        <v>27</v>
      </c>
      <c r="F281"/>
      <c r="G281" t="s">
        <v>15</v>
      </c>
      <c r="H281" t="s">
        <v>16</v>
      </c>
      <c r="I281">
        <v>0</v>
      </c>
      <c r="J281" s="23">
        <v>769473179</v>
      </c>
      <c r="K281">
        <v>20775775833</v>
      </c>
    </row>
    <row r="282" spans="1:11" ht="15" customHeight="1" x14ac:dyDescent="0.3">
      <c r="A282" t="s">
        <v>18</v>
      </c>
      <c r="B282" t="s">
        <v>11</v>
      </c>
      <c r="C282" t="s">
        <v>24</v>
      </c>
      <c r="D282" t="s">
        <v>13</v>
      </c>
      <c r="E282">
        <v>7</v>
      </c>
      <c r="F282" t="s">
        <v>14</v>
      </c>
      <c r="G282" t="s">
        <v>15</v>
      </c>
      <c r="H282" t="s">
        <v>16</v>
      </c>
      <c r="I282">
        <v>0</v>
      </c>
      <c r="J282" s="23">
        <v>428461</v>
      </c>
      <c r="K282">
        <v>2999227</v>
      </c>
    </row>
    <row r="283" spans="1:11" ht="15" customHeight="1" x14ac:dyDescent="0.3">
      <c r="A283" t="s">
        <v>18</v>
      </c>
      <c r="B283" t="s">
        <v>11</v>
      </c>
      <c r="C283" t="s">
        <v>24</v>
      </c>
      <c r="D283" t="s">
        <v>28</v>
      </c>
      <c r="E283">
        <v>8</v>
      </c>
      <c r="F283" t="s">
        <v>27</v>
      </c>
      <c r="G283" t="s">
        <v>15</v>
      </c>
      <c r="H283" t="s">
        <v>16</v>
      </c>
      <c r="I283">
        <v>0</v>
      </c>
      <c r="J283" s="23">
        <v>666753</v>
      </c>
      <c r="K283">
        <v>5334024</v>
      </c>
    </row>
    <row r="284" spans="1:11" ht="15" customHeight="1" x14ac:dyDescent="0.3">
      <c r="A284" t="s">
        <v>22</v>
      </c>
      <c r="B284" t="s">
        <v>11</v>
      </c>
      <c r="C284" t="s">
        <v>24</v>
      </c>
      <c r="D284" t="s">
        <v>13</v>
      </c>
      <c r="E284">
        <v>5</v>
      </c>
      <c r="F284" t="s">
        <v>30</v>
      </c>
      <c r="G284" t="s">
        <v>15</v>
      </c>
      <c r="H284" t="s">
        <v>16</v>
      </c>
      <c r="I284">
        <v>0</v>
      </c>
      <c r="J284" s="23">
        <v>362370</v>
      </c>
      <c r="K284">
        <v>1811850</v>
      </c>
    </row>
    <row r="285" spans="1:11" ht="15" customHeight="1" x14ac:dyDescent="0.3">
      <c r="A285" t="s">
        <v>18</v>
      </c>
      <c r="B285" t="s">
        <v>11</v>
      </c>
      <c r="C285" t="s">
        <v>12</v>
      </c>
      <c r="D285" t="s">
        <v>25</v>
      </c>
      <c r="E285">
        <v>4</v>
      </c>
      <c r="F285" t="s">
        <v>27</v>
      </c>
      <c r="G285" t="s">
        <v>15</v>
      </c>
      <c r="H285" t="s">
        <v>16</v>
      </c>
      <c r="I285">
        <v>0</v>
      </c>
      <c r="J285" s="23">
        <v>-1358</v>
      </c>
      <c r="K285" t="s">
        <v>17</v>
      </c>
    </row>
    <row r="286" spans="1:11" ht="15" customHeight="1" x14ac:dyDescent="0.3">
      <c r="A286" t="s">
        <v>18</v>
      </c>
      <c r="B286" t="s">
        <v>11</v>
      </c>
      <c r="C286" t="s">
        <v>24</v>
      </c>
      <c r="D286" t="s">
        <v>25</v>
      </c>
      <c r="E286">
        <v>1</v>
      </c>
      <c r="F286" t="s">
        <v>14</v>
      </c>
      <c r="G286" t="s">
        <v>15</v>
      </c>
      <c r="H286" t="s">
        <v>16</v>
      </c>
      <c r="I286">
        <v>0</v>
      </c>
      <c r="J286" s="23">
        <v>1805735</v>
      </c>
      <c r="K286">
        <v>1805735</v>
      </c>
    </row>
    <row r="287" spans="1:11" ht="15" customHeight="1" x14ac:dyDescent="0.3">
      <c r="A287" t="s">
        <v>10</v>
      </c>
      <c r="B287" t="s">
        <v>19</v>
      </c>
      <c r="C287" t="s">
        <v>24</v>
      </c>
      <c r="D287" t="s">
        <v>20</v>
      </c>
      <c r="E287">
        <v>30</v>
      </c>
      <c r="F287"/>
      <c r="G287" t="s">
        <v>31</v>
      </c>
      <c r="H287" t="s">
        <v>16</v>
      </c>
      <c r="I287">
        <v>1</v>
      </c>
      <c r="J287" s="23">
        <v>512376</v>
      </c>
      <c r="K287">
        <v>15371280</v>
      </c>
    </row>
    <row r="288" spans="1:11" ht="15" customHeight="1" x14ac:dyDescent="0.3">
      <c r="A288" t="s">
        <v>10</v>
      </c>
      <c r="B288" t="s">
        <v>19</v>
      </c>
      <c r="C288" t="s">
        <v>12</v>
      </c>
      <c r="D288" t="s">
        <v>28</v>
      </c>
      <c r="E288">
        <v>-4</v>
      </c>
      <c r="F288"/>
      <c r="G288" t="s">
        <v>15</v>
      </c>
      <c r="H288" t="s">
        <v>16</v>
      </c>
      <c r="I288">
        <v>0</v>
      </c>
      <c r="J288" s="23">
        <v>-38485</v>
      </c>
      <c r="K288" t="s">
        <v>17</v>
      </c>
    </row>
    <row r="289" spans="1:11" ht="15" customHeight="1" x14ac:dyDescent="0.3">
      <c r="A289" t="s">
        <v>18</v>
      </c>
      <c r="B289" t="s">
        <v>11</v>
      </c>
      <c r="C289" t="s">
        <v>24</v>
      </c>
      <c r="D289" t="s">
        <v>25</v>
      </c>
      <c r="E289">
        <v>6</v>
      </c>
      <c r="F289" t="s">
        <v>23</v>
      </c>
      <c r="G289" t="s">
        <v>15</v>
      </c>
      <c r="H289" t="s">
        <v>16</v>
      </c>
      <c r="I289">
        <v>0</v>
      </c>
      <c r="J289" s="23">
        <v>605689</v>
      </c>
      <c r="K289">
        <v>3634134</v>
      </c>
    </row>
    <row r="290" spans="1:11" ht="15" customHeight="1" x14ac:dyDescent="0.3">
      <c r="A290" t="s">
        <v>18</v>
      </c>
      <c r="B290" t="s">
        <v>11</v>
      </c>
      <c r="C290" t="s">
        <v>12</v>
      </c>
      <c r="D290" t="s">
        <v>25</v>
      </c>
      <c r="E290">
        <v>3</v>
      </c>
      <c r="F290" t="s">
        <v>30</v>
      </c>
      <c r="G290" t="s">
        <v>15</v>
      </c>
      <c r="H290" t="s">
        <v>16</v>
      </c>
      <c r="I290">
        <v>0</v>
      </c>
      <c r="J290" s="23">
        <v>-10024</v>
      </c>
      <c r="K290" t="s">
        <v>17</v>
      </c>
    </row>
    <row r="291" spans="1:11" ht="15" customHeight="1" x14ac:dyDescent="0.3">
      <c r="A291" t="s">
        <v>18</v>
      </c>
      <c r="B291" t="s">
        <v>11</v>
      </c>
      <c r="C291" t="s">
        <v>24</v>
      </c>
      <c r="D291" t="s">
        <v>13</v>
      </c>
      <c r="E291">
        <v>0</v>
      </c>
      <c r="F291" t="s">
        <v>41</v>
      </c>
      <c r="G291" t="s">
        <v>15</v>
      </c>
      <c r="H291" t="s">
        <v>16</v>
      </c>
      <c r="I291">
        <v>0</v>
      </c>
      <c r="J291" s="23">
        <v>2399525</v>
      </c>
      <c r="K291" t="s">
        <v>17</v>
      </c>
    </row>
    <row r="292" spans="1:11" ht="15" customHeight="1" x14ac:dyDescent="0.3">
      <c r="A292" t="s">
        <v>18</v>
      </c>
      <c r="B292" t="s">
        <v>11</v>
      </c>
      <c r="C292" t="s">
        <v>24</v>
      </c>
      <c r="D292" t="s">
        <v>13</v>
      </c>
      <c r="E292">
        <v>6</v>
      </c>
      <c r="F292" t="s">
        <v>26</v>
      </c>
      <c r="G292" t="s">
        <v>15</v>
      </c>
      <c r="H292" t="s">
        <v>16</v>
      </c>
      <c r="I292">
        <v>0</v>
      </c>
      <c r="J292" s="23">
        <v>19606944</v>
      </c>
      <c r="K292">
        <v>117641664</v>
      </c>
    </row>
    <row r="293" spans="1:11" ht="15" customHeight="1" x14ac:dyDescent="0.3">
      <c r="A293" t="s">
        <v>10</v>
      </c>
      <c r="B293" t="s">
        <v>11</v>
      </c>
      <c r="C293" t="s">
        <v>24</v>
      </c>
      <c r="D293" t="s">
        <v>25</v>
      </c>
      <c r="E293">
        <v>7</v>
      </c>
      <c r="F293" t="s">
        <v>23</v>
      </c>
      <c r="G293" t="s">
        <v>15</v>
      </c>
      <c r="H293" t="s">
        <v>16</v>
      </c>
      <c r="I293">
        <v>0</v>
      </c>
      <c r="J293" s="23">
        <v>73604</v>
      </c>
      <c r="K293">
        <v>515228</v>
      </c>
    </row>
    <row r="294" spans="1:11" ht="15" customHeight="1" x14ac:dyDescent="0.3">
      <c r="A294" t="s">
        <v>10</v>
      </c>
      <c r="B294" t="s">
        <v>11</v>
      </c>
      <c r="C294" t="s">
        <v>24</v>
      </c>
      <c r="D294" t="s">
        <v>13</v>
      </c>
      <c r="E294">
        <v>-4</v>
      </c>
      <c r="F294" t="s">
        <v>40</v>
      </c>
      <c r="G294" t="s">
        <v>15</v>
      </c>
      <c r="H294" t="s">
        <v>16</v>
      </c>
      <c r="I294">
        <v>0</v>
      </c>
      <c r="J294" s="23">
        <v>75751</v>
      </c>
      <c r="K294" t="s">
        <v>17</v>
      </c>
    </row>
    <row r="295" spans="1:11" ht="15" customHeight="1" x14ac:dyDescent="0.3">
      <c r="A295" t="s">
        <v>18</v>
      </c>
      <c r="B295" t="s">
        <v>11</v>
      </c>
      <c r="C295" t="s">
        <v>24</v>
      </c>
      <c r="D295" t="s">
        <v>28</v>
      </c>
      <c r="E295">
        <v>9</v>
      </c>
      <c r="F295" t="s">
        <v>29</v>
      </c>
      <c r="G295" t="s">
        <v>31</v>
      </c>
      <c r="H295" t="s">
        <v>32</v>
      </c>
      <c r="I295">
        <v>1</v>
      </c>
      <c r="J295" s="23">
        <v>326560</v>
      </c>
      <c r="K295">
        <v>2939040</v>
      </c>
    </row>
    <row r="296" spans="1:11" ht="15" customHeight="1" x14ac:dyDescent="0.3">
      <c r="A296" t="s">
        <v>22</v>
      </c>
      <c r="B296" t="s">
        <v>19</v>
      </c>
      <c r="C296" t="s">
        <v>12</v>
      </c>
      <c r="D296" t="s">
        <v>20</v>
      </c>
      <c r="E296">
        <v>41</v>
      </c>
      <c r="F296"/>
      <c r="G296" t="s">
        <v>31</v>
      </c>
      <c r="H296" t="s">
        <v>16</v>
      </c>
      <c r="I296">
        <v>1</v>
      </c>
      <c r="J296" s="23">
        <v>-28552</v>
      </c>
      <c r="K296" t="s">
        <v>17</v>
      </c>
    </row>
    <row r="297" spans="1:11" ht="15" customHeight="1" x14ac:dyDescent="0.3">
      <c r="A297" t="s">
        <v>10</v>
      </c>
      <c r="B297" t="s">
        <v>11</v>
      </c>
      <c r="C297" t="s">
        <v>12</v>
      </c>
      <c r="D297" t="s">
        <v>13</v>
      </c>
      <c r="E297">
        <v>-4</v>
      </c>
      <c r="F297" t="s">
        <v>21</v>
      </c>
      <c r="G297" t="s">
        <v>15</v>
      </c>
      <c r="H297" t="s">
        <v>16</v>
      </c>
      <c r="I297">
        <v>0</v>
      </c>
      <c r="J297" s="23">
        <v>-5863</v>
      </c>
      <c r="K297" t="s">
        <v>17</v>
      </c>
    </row>
    <row r="298" spans="1:11" ht="15" customHeight="1" x14ac:dyDescent="0.3">
      <c r="A298" t="s">
        <v>18</v>
      </c>
      <c r="B298" t="s">
        <v>11</v>
      </c>
      <c r="C298" t="s">
        <v>12</v>
      </c>
      <c r="D298" t="s">
        <v>28</v>
      </c>
      <c r="E298">
        <v>11</v>
      </c>
      <c r="F298" t="s">
        <v>35</v>
      </c>
      <c r="G298" t="s">
        <v>15</v>
      </c>
      <c r="H298" t="s">
        <v>16</v>
      </c>
      <c r="I298">
        <v>0</v>
      </c>
      <c r="J298" s="23">
        <v>-1084</v>
      </c>
      <c r="K298" t="s">
        <v>17</v>
      </c>
    </row>
    <row r="299" spans="1:11" ht="15" customHeight="1" x14ac:dyDescent="0.3">
      <c r="A299" t="s">
        <v>10</v>
      </c>
      <c r="B299" t="s">
        <v>11</v>
      </c>
      <c r="C299" t="s">
        <v>12</v>
      </c>
      <c r="D299" t="s">
        <v>25</v>
      </c>
      <c r="E299">
        <v>0</v>
      </c>
      <c r="F299" t="s">
        <v>33</v>
      </c>
      <c r="G299" t="s">
        <v>15</v>
      </c>
      <c r="H299" t="s">
        <v>16</v>
      </c>
      <c r="I299">
        <v>0</v>
      </c>
      <c r="J299" s="23">
        <v>-1009</v>
      </c>
      <c r="K299" t="s">
        <v>17</v>
      </c>
    </row>
    <row r="300" spans="1:11" ht="15" customHeight="1" x14ac:dyDescent="0.3">
      <c r="A300" t="s">
        <v>18</v>
      </c>
      <c r="B300" t="s">
        <v>11</v>
      </c>
      <c r="C300" t="s">
        <v>24</v>
      </c>
      <c r="D300" t="s">
        <v>13</v>
      </c>
      <c r="E300">
        <v>11</v>
      </c>
      <c r="F300" t="s">
        <v>21</v>
      </c>
      <c r="G300" t="s">
        <v>15</v>
      </c>
      <c r="H300" t="s">
        <v>16</v>
      </c>
      <c r="I300">
        <v>0</v>
      </c>
      <c r="J300" s="23">
        <v>32603217</v>
      </c>
      <c r="K300">
        <v>358635387</v>
      </c>
    </row>
    <row r="301" spans="1:11" ht="15" customHeight="1" x14ac:dyDescent="0.3">
      <c r="A301" t="s">
        <v>18</v>
      </c>
      <c r="B301" t="s">
        <v>11</v>
      </c>
      <c r="C301" t="s">
        <v>12</v>
      </c>
      <c r="D301" t="s">
        <v>28</v>
      </c>
      <c r="E301">
        <v>8</v>
      </c>
      <c r="F301" t="s">
        <v>21</v>
      </c>
      <c r="G301" t="s">
        <v>15</v>
      </c>
      <c r="H301" t="s">
        <v>16</v>
      </c>
      <c r="I301">
        <v>0</v>
      </c>
      <c r="J301" s="23">
        <v>-6296</v>
      </c>
      <c r="K301" t="s">
        <v>17</v>
      </c>
    </row>
    <row r="302" spans="1:11" ht="15" customHeight="1" x14ac:dyDescent="0.3">
      <c r="A302" t="s">
        <v>18</v>
      </c>
      <c r="B302" t="s">
        <v>19</v>
      </c>
      <c r="C302" t="s">
        <v>12</v>
      </c>
      <c r="D302" t="s">
        <v>28</v>
      </c>
      <c r="E302">
        <v>24</v>
      </c>
      <c r="F302"/>
      <c r="G302" t="s">
        <v>15</v>
      </c>
      <c r="H302" t="s">
        <v>16</v>
      </c>
      <c r="I302">
        <v>0</v>
      </c>
      <c r="J302" s="23">
        <v>-2992</v>
      </c>
      <c r="K302" t="s">
        <v>17</v>
      </c>
    </row>
    <row r="303" spans="1:11" ht="15" customHeight="1" x14ac:dyDescent="0.3">
      <c r="A303" t="s">
        <v>10</v>
      </c>
      <c r="B303" t="s">
        <v>11</v>
      </c>
      <c r="C303" t="s">
        <v>12</v>
      </c>
      <c r="D303" t="s">
        <v>28</v>
      </c>
      <c r="E303">
        <v>12</v>
      </c>
      <c r="F303" t="s">
        <v>34</v>
      </c>
      <c r="G303" t="s">
        <v>15</v>
      </c>
      <c r="H303" t="s">
        <v>32</v>
      </c>
      <c r="I303">
        <v>1</v>
      </c>
      <c r="J303" s="23">
        <v>-13019</v>
      </c>
      <c r="K303" t="s">
        <v>17</v>
      </c>
    </row>
    <row r="304" spans="1:11" ht="15" customHeight="1" x14ac:dyDescent="0.3">
      <c r="A304" t="s">
        <v>10</v>
      </c>
      <c r="B304" t="s">
        <v>11</v>
      </c>
      <c r="C304" t="s">
        <v>24</v>
      </c>
      <c r="D304" t="s">
        <v>25</v>
      </c>
      <c r="E304">
        <v>2</v>
      </c>
      <c r="F304" t="s">
        <v>42</v>
      </c>
      <c r="G304" t="s">
        <v>15</v>
      </c>
      <c r="H304" t="s">
        <v>16</v>
      </c>
      <c r="I304">
        <v>0</v>
      </c>
      <c r="J304" s="23">
        <v>6953</v>
      </c>
      <c r="K304">
        <v>13906</v>
      </c>
    </row>
    <row r="305" spans="1:11" ht="15" customHeight="1" x14ac:dyDescent="0.3">
      <c r="A305" t="s">
        <v>10</v>
      </c>
      <c r="B305" t="s">
        <v>11</v>
      </c>
      <c r="C305" t="s">
        <v>12</v>
      </c>
      <c r="D305" t="s">
        <v>13</v>
      </c>
      <c r="E305">
        <v>-1</v>
      </c>
      <c r="F305" t="s">
        <v>34</v>
      </c>
      <c r="G305" t="s">
        <v>15</v>
      </c>
      <c r="H305" t="s">
        <v>16</v>
      </c>
      <c r="I305">
        <v>0</v>
      </c>
      <c r="J305" s="23">
        <v>-3711558</v>
      </c>
      <c r="K305" t="s">
        <v>17</v>
      </c>
    </row>
    <row r="306" spans="1:11" ht="15" customHeight="1" x14ac:dyDescent="0.3">
      <c r="A306" t="s">
        <v>18</v>
      </c>
      <c r="B306" t="s">
        <v>11</v>
      </c>
      <c r="C306" t="s">
        <v>24</v>
      </c>
      <c r="D306" t="s">
        <v>13</v>
      </c>
      <c r="E306">
        <v>11</v>
      </c>
      <c r="F306" t="s">
        <v>36</v>
      </c>
      <c r="G306" t="s">
        <v>15</v>
      </c>
      <c r="H306" t="s">
        <v>16</v>
      </c>
      <c r="I306">
        <v>0</v>
      </c>
      <c r="J306" s="23">
        <v>34489109</v>
      </c>
      <c r="K306">
        <v>379380199</v>
      </c>
    </row>
    <row r="307" spans="1:11" ht="15" customHeight="1" x14ac:dyDescent="0.3">
      <c r="A307" t="s">
        <v>18</v>
      </c>
      <c r="B307" t="s">
        <v>19</v>
      </c>
      <c r="C307" t="s">
        <v>24</v>
      </c>
      <c r="D307" t="s">
        <v>20</v>
      </c>
      <c r="E307">
        <v>6</v>
      </c>
      <c r="F307"/>
      <c r="G307" t="s">
        <v>31</v>
      </c>
      <c r="H307" t="s">
        <v>32</v>
      </c>
      <c r="I307">
        <v>1</v>
      </c>
      <c r="J307" s="23">
        <v>26268</v>
      </c>
      <c r="K307">
        <v>157608</v>
      </c>
    </row>
    <row r="308" spans="1:11" ht="15" customHeight="1" x14ac:dyDescent="0.3">
      <c r="A308" t="s">
        <v>18</v>
      </c>
      <c r="B308" t="s">
        <v>11</v>
      </c>
      <c r="C308" t="s">
        <v>24</v>
      </c>
      <c r="D308" t="s">
        <v>28</v>
      </c>
      <c r="E308">
        <v>6</v>
      </c>
      <c r="F308" t="s">
        <v>26</v>
      </c>
      <c r="G308" t="s">
        <v>15</v>
      </c>
      <c r="H308" t="s">
        <v>16</v>
      </c>
      <c r="I308">
        <v>0</v>
      </c>
      <c r="J308" s="23">
        <v>42239684</v>
      </c>
      <c r="K308">
        <v>253438104</v>
      </c>
    </row>
    <row r="309" spans="1:11" ht="15" customHeight="1" x14ac:dyDescent="0.3">
      <c r="A309" t="s">
        <v>18</v>
      </c>
      <c r="B309" t="s">
        <v>11</v>
      </c>
      <c r="C309" t="s">
        <v>24</v>
      </c>
      <c r="D309" t="s">
        <v>13</v>
      </c>
      <c r="E309">
        <v>2</v>
      </c>
      <c r="F309" t="s">
        <v>29</v>
      </c>
      <c r="G309" t="s">
        <v>15</v>
      </c>
      <c r="H309" t="s">
        <v>16</v>
      </c>
      <c r="I309">
        <v>0</v>
      </c>
      <c r="J309" s="23">
        <v>127803732</v>
      </c>
      <c r="K309">
        <v>255607464</v>
      </c>
    </row>
    <row r="310" spans="1:11" ht="15" customHeight="1" x14ac:dyDescent="0.3">
      <c r="A310" t="s">
        <v>22</v>
      </c>
      <c r="B310" t="s">
        <v>11</v>
      </c>
      <c r="C310" t="s">
        <v>12</v>
      </c>
      <c r="D310" t="s">
        <v>13</v>
      </c>
      <c r="E310">
        <v>3</v>
      </c>
      <c r="F310" t="s">
        <v>21</v>
      </c>
      <c r="G310" t="s">
        <v>15</v>
      </c>
      <c r="H310" t="s">
        <v>16</v>
      </c>
      <c r="I310">
        <v>0</v>
      </c>
      <c r="J310" s="23">
        <v>-2713319</v>
      </c>
      <c r="K310" t="s">
        <v>17</v>
      </c>
    </row>
    <row r="311" spans="1:11" ht="15" customHeight="1" x14ac:dyDescent="0.3">
      <c r="A311" t="s">
        <v>18</v>
      </c>
      <c r="B311" t="s">
        <v>11</v>
      </c>
      <c r="C311" t="s">
        <v>12</v>
      </c>
      <c r="D311" t="s">
        <v>25</v>
      </c>
      <c r="E311">
        <v>-4</v>
      </c>
      <c r="F311" t="s">
        <v>34</v>
      </c>
      <c r="G311" t="s">
        <v>15</v>
      </c>
      <c r="H311" t="s">
        <v>16</v>
      </c>
      <c r="I311">
        <v>0</v>
      </c>
      <c r="J311" s="23">
        <v>-8</v>
      </c>
      <c r="K311" t="s">
        <v>17</v>
      </c>
    </row>
    <row r="312" spans="1:11" ht="15" customHeight="1" x14ac:dyDescent="0.3">
      <c r="A312" t="s">
        <v>10</v>
      </c>
      <c r="B312" t="s">
        <v>11</v>
      </c>
      <c r="C312" t="s">
        <v>24</v>
      </c>
      <c r="D312" t="s">
        <v>25</v>
      </c>
      <c r="E312">
        <v>4</v>
      </c>
      <c r="F312" t="s">
        <v>29</v>
      </c>
      <c r="G312" t="s">
        <v>15</v>
      </c>
      <c r="H312" t="s">
        <v>16</v>
      </c>
      <c r="I312">
        <v>0</v>
      </c>
      <c r="J312" s="23">
        <v>3422004</v>
      </c>
      <c r="K312">
        <v>13688016</v>
      </c>
    </row>
    <row r="313" spans="1:11" ht="15" customHeight="1" x14ac:dyDescent="0.3">
      <c r="A313" t="s">
        <v>18</v>
      </c>
      <c r="B313" t="s">
        <v>11</v>
      </c>
      <c r="C313" t="s">
        <v>24</v>
      </c>
      <c r="D313" t="s">
        <v>25</v>
      </c>
      <c r="E313">
        <v>3</v>
      </c>
      <c r="F313" t="s">
        <v>21</v>
      </c>
      <c r="G313" t="s">
        <v>15</v>
      </c>
      <c r="H313" t="s">
        <v>16</v>
      </c>
      <c r="I313">
        <v>0</v>
      </c>
      <c r="J313" s="23">
        <v>8091303</v>
      </c>
      <c r="K313">
        <v>24273909</v>
      </c>
    </row>
    <row r="314" spans="1:11" ht="15" customHeight="1" x14ac:dyDescent="0.3">
      <c r="A314" t="s">
        <v>10</v>
      </c>
      <c r="B314" t="s">
        <v>11</v>
      </c>
      <c r="C314" t="s">
        <v>12</v>
      </c>
      <c r="D314" t="s">
        <v>25</v>
      </c>
      <c r="E314">
        <v>3</v>
      </c>
      <c r="F314" t="s">
        <v>14</v>
      </c>
      <c r="G314" t="s">
        <v>15</v>
      </c>
      <c r="H314" t="s">
        <v>16</v>
      </c>
      <c r="I314">
        <v>0</v>
      </c>
      <c r="J314" s="23">
        <v>-53492</v>
      </c>
      <c r="K314" t="s">
        <v>17</v>
      </c>
    </row>
    <row r="315" spans="1:11" ht="15" customHeight="1" x14ac:dyDescent="0.3">
      <c r="A315" t="s">
        <v>10</v>
      </c>
      <c r="B315" t="s">
        <v>11</v>
      </c>
      <c r="C315" t="s">
        <v>12</v>
      </c>
      <c r="D315" t="s">
        <v>13</v>
      </c>
      <c r="E315">
        <v>1</v>
      </c>
      <c r="F315" t="s">
        <v>30</v>
      </c>
      <c r="G315" t="s">
        <v>15</v>
      </c>
      <c r="H315" t="s">
        <v>16</v>
      </c>
      <c r="I315">
        <v>0</v>
      </c>
      <c r="J315" s="23">
        <v>-95885</v>
      </c>
      <c r="K315" t="s">
        <v>17</v>
      </c>
    </row>
    <row r="316" spans="1:11" ht="15" customHeight="1" x14ac:dyDescent="0.3">
      <c r="A316" t="s">
        <v>10</v>
      </c>
      <c r="B316" t="s">
        <v>11</v>
      </c>
      <c r="C316" t="s">
        <v>12</v>
      </c>
      <c r="D316" t="s">
        <v>28</v>
      </c>
      <c r="E316">
        <v>-4</v>
      </c>
      <c r="F316" t="s">
        <v>30</v>
      </c>
      <c r="G316" t="s">
        <v>15</v>
      </c>
      <c r="H316" t="s">
        <v>16</v>
      </c>
      <c r="I316">
        <v>0</v>
      </c>
      <c r="J316" s="23">
        <v>-19</v>
      </c>
      <c r="K316" t="s">
        <v>17</v>
      </c>
    </row>
    <row r="317" spans="1:11" ht="15" customHeight="1" x14ac:dyDescent="0.3">
      <c r="A317" t="s">
        <v>18</v>
      </c>
      <c r="B317" t="s">
        <v>11</v>
      </c>
      <c r="C317" t="s">
        <v>12</v>
      </c>
      <c r="D317" t="s">
        <v>25</v>
      </c>
      <c r="E317">
        <v>7</v>
      </c>
      <c r="F317" t="s">
        <v>34</v>
      </c>
      <c r="G317" t="s">
        <v>15</v>
      </c>
      <c r="H317" t="s">
        <v>16</v>
      </c>
      <c r="I317">
        <v>0</v>
      </c>
      <c r="J317" s="23">
        <v>-2886</v>
      </c>
      <c r="K317" t="s">
        <v>17</v>
      </c>
    </row>
    <row r="318" spans="1:11" ht="15" customHeight="1" x14ac:dyDescent="0.3">
      <c r="A318" t="s">
        <v>18</v>
      </c>
      <c r="B318" t="s">
        <v>19</v>
      </c>
      <c r="C318" t="s">
        <v>24</v>
      </c>
      <c r="D318" t="s">
        <v>20</v>
      </c>
      <c r="E318">
        <v>5</v>
      </c>
      <c r="F318"/>
      <c r="G318" t="s">
        <v>15</v>
      </c>
      <c r="H318" t="s">
        <v>32</v>
      </c>
      <c r="I318">
        <v>1</v>
      </c>
      <c r="J318" s="23">
        <v>384660</v>
      </c>
      <c r="K318">
        <v>1923300</v>
      </c>
    </row>
    <row r="319" spans="1:11" ht="15" customHeight="1" x14ac:dyDescent="0.3">
      <c r="A319" t="s">
        <v>18</v>
      </c>
      <c r="B319" t="s">
        <v>11</v>
      </c>
      <c r="C319" t="s">
        <v>24</v>
      </c>
      <c r="D319" t="s">
        <v>13</v>
      </c>
      <c r="E319">
        <v>3</v>
      </c>
      <c r="F319" t="s">
        <v>38</v>
      </c>
      <c r="G319" t="s">
        <v>15</v>
      </c>
      <c r="H319" t="s">
        <v>16</v>
      </c>
      <c r="I319">
        <v>0</v>
      </c>
      <c r="J319" s="23">
        <v>107423</v>
      </c>
      <c r="K319">
        <v>322269</v>
      </c>
    </row>
    <row r="320" spans="1:11" ht="15" customHeight="1" x14ac:dyDescent="0.3">
      <c r="A320" t="s">
        <v>10</v>
      </c>
      <c r="B320" t="s">
        <v>11</v>
      </c>
      <c r="C320" t="s">
        <v>12</v>
      </c>
      <c r="D320" t="s">
        <v>25</v>
      </c>
      <c r="E320">
        <v>4</v>
      </c>
      <c r="F320" t="s">
        <v>14</v>
      </c>
      <c r="G320" t="s">
        <v>15</v>
      </c>
      <c r="H320" t="s">
        <v>16</v>
      </c>
      <c r="I320">
        <v>0</v>
      </c>
      <c r="J320" s="23">
        <v>-67757</v>
      </c>
      <c r="K320" t="s">
        <v>17</v>
      </c>
    </row>
    <row r="321" spans="1:11" ht="15" customHeight="1" x14ac:dyDescent="0.3">
      <c r="A321" t="s">
        <v>18</v>
      </c>
      <c r="B321" t="s">
        <v>11</v>
      </c>
      <c r="C321" t="s">
        <v>12</v>
      </c>
      <c r="D321" t="s">
        <v>28</v>
      </c>
      <c r="E321">
        <v>12</v>
      </c>
      <c r="F321" t="s">
        <v>23</v>
      </c>
      <c r="G321" t="s">
        <v>15</v>
      </c>
      <c r="H321" t="s">
        <v>16</v>
      </c>
      <c r="I321">
        <v>0</v>
      </c>
      <c r="J321" s="23">
        <v>-681337</v>
      </c>
      <c r="K321" t="s">
        <v>17</v>
      </c>
    </row>
    <row r="322" spans="1:11" ht="15" customHeight="1" x14ac:dyDescent="0.3">
      <c r="A322" t="s">
        <v>22</v>
      </c>
      <c r="B322" t="s">
        <v>11</v>
      </c>
      <c r="C322" t="s">
        <v>24</v>
      </c>
      <c r="D322" t="s">
        <v>28</v>
      </c>
      <c r="E322">
        <v>3</v>
      </c>
      <c r="F322" t="s">
        <v>42</v>
      </c>
      <c r="G322" t="s">
        <v>15</v>
      </c>
      <c r="H322" t="s">
        <v>16</v>
      </c>
      <c r="I322">
        <v>0</v>
      </c>
      <c r="J322" s="23">
        <v>80790</v>
      </c>
      <c r="K322">
        <v>242370</v>
      </c>
    </row>
    <row r="323" spans="1:11" ht="15" customHeight="1" x14ac:dyDescent="0.3">
      <c r="A323" t="s">
        <v>22</v>
      </c>
      <c r="B323" t="s">
        <v>11</v>
      </c>
      <c r="C323" t="s">
        <v>12</v>
      </c>
      <c r="D323" t="s">
        <v>13</v>
      </c>
      <c r="E323">
        <v>11</v>
      </c>
      <c r="F323" t="s">
        <v>35</v>
      </c>
      <c r="G323" t="s">
        <v>15</v>
      </c>
      <c r="H323" t="s">
        <v>16</v>
      </c>
      <c r="I323">
        <v>0</v>
      </c>
      <c r="J323" s="23">
        <v>-29981</v>
      </c>
      <c r="K323" t="s">
        <v>17</v>
      </c>
    </row>
    <row r="324" spans="1:11" ht="15" customHeight="1" x14ac:dyDescent="0.3">
      <c r="A324" t="s">
        <v>18</v>
      </c>
      <c r="B324" t="s">
        <v>11</v>
      </c>
      <c r="C324" t="s">
        <v>24</v>
      </c>
      <c r="D324" t="s">
        <v>13</v>
      </c>
      <c r="E324">
        <v>7</v>
      </c>
      <c r="F324" t="s">
        <v>27</v>
      </c>
      <c r="G324" t="s">
        <v>15</v>
      </c>
      <c r="H324" t="s">
        <v>16</v>
      </c>
      <c r="I324">
        <v>0</v>
      </c>
      <c r="J324" s="23">
        <v>600623</v>
      </c>
      <c r="K324">
        <v>4204361</v>
      </c>
    </row>
    <row r="325" spans="1:11" ht="15" customHeight="1" x14ac:dyDescent="0.3">
      <c r="A325" t="s">
        <v>18</v>
      </c>
      <c r="B325" t="s">
        <v>11</v>
      </c>
      <c r="C325" t="s">
        <v>12</v>
      </c>
      <c r="D325" t="s">
        <v>13</v>
      </c>
      <c r="E325">
        <v>5</v>
      </c>
      <c r="F325" t="s">
        <v>30</v>
      </c>
      <c r="G325" t="s">
        <v>15</v>
      </c>
      <c r="H325" t="s">
        <v>16</v>
      </c>
      <c r="I325">
        <v>0</v>
      </c>
      <c r="J325" s="23">
        <v>-171699</v>
      </c>
      <c r="K325" t="s">
        <v>17</v>
      </c>
    </row>
    <row r="326" spans="1:11" ht="15" customHeight="1" x14ac:dyDescent="0.3">
      <c r="A326" t="s">
        <v>22</v>
      </c>
      <c r="B326" t="s">
        <v>11</v>
      </c>
      <c r="C326" t="s">
        <v>12</v>
      </c>
      <c r="D326" t="s">
        <v>13</v>
      </c>
      <c r="E326">
        <v>6</v>
      </c>
      <c r="F326" t="s">
        <v>23</v>
      </c>
      <c r="G326" t="s">
        <v>15</v>
      </c>
      <c r="H326" t="s">
        <v>16</v>
      </c>
      <c r="I326">
        <v>0</v>
      </c>
      <c r="J326" s="23">
        <v>-364881</v>
      </c>
      <c r="K326" t="s">
        <v>17</v>
      </c>
    </row>
    <row r="327" spans="1:11" ht="15" customHeight="1" x14ac:dyDescent="0.3">
      <c r="A327" t="s">
        <v>10</v>
      </c>
      <c r="B327" t="s">
        <v>11</v>
      </c>
      <c r="C327" t="s">
        <v>12</v>
      </c>
      <c r="D327" t="s">
        <v>28</v>
      </c>
      <c r="E327">
        <v>-4</v>
      </c>
      <c r="F327" t="s">
        <v>27</v>
      </c>
      <c r="G327" t="s">
        <v>15</v>
      </c>
      <c r="H327" t="s">
        <v>16</v>
      </c>
      <c r="I327">
        <v>0</v>
      </c>
      <c r="J327" s="23">
        <v>-1</v>
      </c>
      <c r="K327" t="s">
        <v>17</v>
      </c>
    </row>
    <row r="328" spans="1:11" ht="15" customHeight="1" x14ac:dyDescent="0.3">
      <c r="A328" t="s">
        <v>18</v>
      </c>
      <c r="B328" t="s">
        <v>11</v>
      </c>
      <c r="C328" t="s">
        <v>24</v>
      </c>
      <c r="D328" t="s">
        <v>13</v>
      </c>
      <c r="E328">
        <v>2</v>
      </c>
      <c r="F328" t="s">
        <v>27</v>
      </c>
      <c r="G328" t="s">
        <v>15</v>
      </c>
      <c r="H328" t="s">
        <v>16</v>
      </c>
      <c r="I328">
        <v>0</v>
      </c>
      <c r="J328" s="23">
        <v>3637635</v>
      </c>
      <c r="K328">
        <v>7275270</v>
      </c>
    </row>
    <row r="329" spans="1:11" ht="15" customHeight="1" x14ac:dyDescent="0.3">
      <c r="A329" t="s">
        <v>22</v>
      </c>
      <c r="B329" t="s">
        <v>11</v>
      </c>
      <c r="C329" t="s">
        <v>24</v>
      </c>
      <c r="D329" t="s">
        <v>28</v>
      </c>
      <c r="E329">
        <v>1</v>
      </c>
      <c r="F329" t="s">
        <v>29</v>
      </c>
      <c r="G329" t="s">
        <v>15</v>
      </c>
      <c r="H329" t="s">
        <v>32</v>
      </c>
      <c r="I329">
        <v>1</v>
      </c>
      <c r="J329" s="23">
        <v>742603</v>
      </c>
      <c r="K329">
        <v>742603</v>
      </c>
    </row>
    <row r="330" spans="1:11" ht="15" customHeight="1" x14ac:dyDescent="0.3">
      <c r="A330" t="s">
        <v>22</v>
      </c>
      <c r="B330" t="s">
        <v>11</v>
      </c>
      <c r="C330" t="s">
        <v>12</v>
      </c>
      <c r="D330" t="s">
        <v>28</v>
      </c>
      <c r="E330">
        <v>-4</v>
      </c>
      <c r="F330" t="s">
        <v>26</v>
      </c>
      <c r="G330" t="s">
        <v>31</v>
      </c>
      <c r="H330" t="s">
        <v>16</v>
      </c>
      <c r="I330">
        <v>1</v>
      </c>
      <c r="J330" s="23">
        <v>-12381628</v>
      </c>
      <c r="K330" t="s">
        <v>17</v>
      </c>
    </row>
    <row r="331" spans="1:11" ht="15" customHeight="1" x14ac:dyDescent="0.3">
      <c r="A331" t="s">
        <v>18</v>
      </c>
      <c r="B331" t="s">
        <v>11</v>
      </c>
      <c r="C331" t="s">
        <v>12</v>
      </c>
      <c r="D331" t="s">
        <v>25</v>
      </c>
      <c r="E331">
        <v>0</v>
      </c>
      <c r="F331" t="s">
        <v>27</v>
      </c>
      <c r="G331" t="s">
        <v>15</v>
      </c>
      <c r="H331" t="s">
        <v>16</v>
      </c>
      <c r="I331">
        <v>0</v>
      </c>
      <c r="J331" s="23">
        <v>-9</v>
      </c>
      <c r="K331" t="s">
        <v>17</v>
      </c>
    </row>
    <row r="332" spans="1:11" ht="15" customHeight="1" x14ac:dyDescent="0.3">
      <c r="A332" t="s">
        <v>22</v>
      </c>
      <c r="B332" t="s">
        <v>11</v>
      </c>
      <c r="C332" t="s">
        <v>12</v>
      </c>
      <c r="D332" t="s">
        <v>13</v>
      </c>
      <c r="E332">
        <v>6</v>
      </c>
      <c r="F332" t="s">
        <v>34</v>
      </c>
      <c r="G332" t="s">
        <v>15</v>
      </c>
      <c r="H332" t="s">
        <v>16</v>
      </c>
      <c r="I332">
        <v>0</v>
      </c>
      <c r="J332" s="23">
        <v>-900141</v>
      </c>
      <c r="K332" t="s">
        <v>17</v>
      </c>
    </row>
    <row r="333" spans="1:11" ht="15" customHeight="1" x14ac:dyDescent="0.3">
      <c r="A333" t="s">
        <v>18</v>
      </c>
      <c r="B333" t="s">
        <v>11</v>
      </c>
      <c r="C333" t="s">
        <v>24</v>
      </c>
      <c r="D333" t="s">
        <v>25</v>
      </c>
      <c r="E333">
        <v>5</v>
      </c>
      <c r="F333" t="s">
        <v>30</v>
      </c>
      <c r="G333" t="s">
        <v>15</v>
      </c>
      <c r="H333" t="s">
        <v>16</v>
      </c>
      <c r="I333">
        <v>0</v>
      </c>
      <c r="J333" s="23">
        <v>3233829</v>
      </c>
      <c r="K333">
        <v>16169145</v>
      </c>
    </row>
    <row r="334" spans="1:11" ht="15" customHeight="1" x14ac:dyDescent="0.3">
      <c r="A334" t="s">
        <v>10</v>
      </c>
      <c r="B334" t="s">
        <v>11</v>
      </c>
      <c r="C334" t="s">
        <v>24</v>
      </c>
      <c r="D334" t="s">
        <v>28</v>
      </c>
      <c r="E334">
        <v>9</v>
      </c>
      <c r="F334" t="s">
        <v>37</v>
      </c>
      <c r="G334" t="s">
        <v>15</v>
      </c>
      <c r="H334" t="s">
        <v>16</v>
      </c>
      <c r="I334">
        <v>0</v>
      </c>
      <c r="J334" s="23">
        <v>326673</v>
      </c>
      <c r="K334">
        <v>2940057</v>
      </c>
    </row>
    <row r="335" spans="1:11" ht="15" customHeight="1" x14ac:dyDescent="0.3">
      <c r="A335" t="s">
        <v>10</v>
      </c>
      <c r="B335" t="s">
        <v>11</v>
      </c>
      <c r="C335" t="s">
        <v>12</v>
      </c>
      <c r="D335" t="s">
        <v>28</v>
      </c>
      <c r="E335">
        <v>1</v>
      </c>
      <c r="F335" t="s">
        <v>26</v>
      </c>
      <c r="G335" t="s">
        <v>15</v>
      </c>
      <c r="H335" t="s">
        <v>16</v>
      </c>
      <c r="I335">
        <v>0</v>
      </c>
      <c r="J335" s="23">
        <v>-9758</v>
      </c>
      <c r="K335" t="s">
        <v>17</v>
      </c>
    </row>
    <row r="336" spans="1:11" ht="15" customHeight="1" x14ac:dyDescent="0.3">
      <c r="A336" t="s">
        <v>18</v>
      </c>
      <c r="B336" t="s">
        <v>11</v>
      </c>
      <c r="C336" t="s">
        <v>12</v>
      </c>
      <c r="D336" t="s">
        <v>28</v>
      </c>
      <c r="E336">
        <v>1</v>
      </c>
      <c r="F336" t="s">
        <v>30</v>
      </c>
      <c r="G336" t="s">
        <v>15</v>
      </c>
      <c r="H336" t="s">
        <v>16</v>
      </c>
      <c r="I336">
        <v>0</v>
      </c>
      <c r="J336" s="23">
        <v>-2173</v>
      </c>
      <c r="K336" t="s">
        <v>17</v>
      </c>
    </row>
    <row r="337" spans="1:11" ht="15" customHeight="1" x14ac:dyDescent="0.3">
      <c r="A337" t="s">
        <v>18</v>
      </c>
      <c r="B337" t="s">
        <v>11</v>
      </c>
      <c r="C337" t="s">
        <v>12</v>
      </c>
      <c r="D337" t="s">
        <v>25</v>
      </c>
      <c r="E337">
        <v>2</v>
      </c>
      <c r="F337" t="s">
        <v>34</v>
      </c>
      <c r="G337" t="s">
        <v>15</v>
      </c>
      <c r="H337" t="s">
        <v>16</v>
      </c>
      <c r="I337">
        <v>0</v>
      </c>
      <c r="J337" s="23">
        <v>-17136</v>
      </c>
      <c r="K337" t="s">
        <v>17</v>
      </c>
    </row>
    <row r="338" spans="1:11" ht="15" customHeight="1" x14ac:dyDescent="0.3">
      <c r="A338" t="s">
        <v>18</v>
      </c>
      <c r="B338" t="s">
        <v>11</v>
      </c>
      <c r="C338" t="s">
        <v>12</v>
      </c>
      <c r="D338" t="s">
        <v>28</v>
      </c>
      <c r="E338">
        <v>2</v>
      </c>
      <c r="F338" t="s">
        <v>21</v>
      </c>
      <c r="G338" t="s">
        <v>31</v>
      </c>
      <c r="H338" t="s">
        <v>32</v>
      </c>
      <c r="I338">
        <v>1</v>
      </c>
      <c r="J338" s="23">
        <v>-27</v>
      </c>
      <c r="K338" t="s">
        <v>17</v>
      </c>
    </row>
    <row r="339" spans="1:11" ht="15" customHeight="1" x14ac:dyDescent="0.3">
      <c r="A339" t="s">
        <v>10</v>
      </c>
      <c r="B339" t="s">
        <v>19</v>
      </c>
      <c r="C339" t="s">
        <v>24</v>
      </c>
      <c r="D339" t="s">
        <v>28</v>
      </c>
      <c r="E339">
        <v>11</v>
      </c>
      <c r="F339"/>
      <c r="G339" t="s">
        <v>31</v>
      </c>
      <c r="H339" t="s">
        <v>32</v>
      </c>
      <c r="I339">
        <v>1</v>
      </c>
      <c r="J339" s="23">
        <v>23658</v>
      </c>
      <c r="K339">
        <v>260238</v>
      </c>
    </row>
    <row r="340" spans="1:11" ht="15" customHeight="1" x14ac:dyDescent="0.3">
      <c r="A340" t="s">
        <v>18</v>
      </c>
      <c r="B340" t="s">
        <v>44</v>
      </c>
      <c r="C340" t="s">
        <v>24</v>
      </c>
      <c r="D340" t="s">
        <v>28</v>
      </c>
      <c r="E340">
        <v>12</v>
      </c>
      <c r="F340" t="s">
        <v>26</v>
      </c>
      <c r="G340" t="s">
        <v>15</v>
      </c>
      <c r="H340" t="s">
        <v>16</v>
      </c>
      <c r="I340">
        <v>0</v>
      </c>
      <c r="J340" s="23">
        <v>14087542</v>
      </c>
      <c r="K340">
        <v>169050504</v>
      </c>
    </row>
    <row r="341" spans="1:11" ht="15" customHeight="1" x14ac:dyDescent="0.3">
      <c r="A341" t="s">
        <v>10</v>
      </c>
      <c r="B341" t="s">
        <v>11</v>
      </c>
      <c r="C341" t="s">
        <v>24</v>
      </c>
      <c r="D341" t="s">
        <v>28</v>
      </c>
      <c r="E341">
        <v>9</v>
      </c>
      <c r="F341" t="s">
        <v>26</v>
      </c>
      <c r="G341" t="s">
        <v>15</v>
      </c>
      <c r="H341" t="s">
        <v>16</v>
      </c>
      <c r="I341">
        <v>0</v>
      </c>
      <c r="J341" s="23">
        <v>4510746</v>
      </c>
      <c r="K341">
        <v>40596714</v>
      </c>
    </row>
    <row r="342" spans="1:11" ht="15" customHeight="1" x14ac:dyDescent="0.3">
      <c r="A342" t="s">
        <v>22</v>
      </c>
      <c r="B342" t="s">
        <v>11</v>
      </c>
      <c r="C342" t="s">
        <v>12</v>
      </c>
      <c r="D342" t="s">
        <v>28</v>
      </c>
      <c r="E342">
        <v>1</v>
      </c>
      <c r="F342" t="s">
        <v>23</v>
      </c>
      <c r="G342" t="s">
        <v>15</v>
      </c>
      <c r="H342" t="s">
        <v>16</v>
      </c>
      <c r="I342">
        <v>0</v>
      </c>
      <c r="J342" s="23">
        <v>-28222</v>
      </c>
      <c r="K342" t="s">
        <v>17</v>
      </c>
    </row>
    <row r="343" spans="1:11" ht="15" customHeight="1" x14ac:dyDescent="0.3">
      <c r="A343" t="s">
        <v>18</v>
      </c>
      <c r="B343" t="s">
        <v>11</v>
      </c>
      <c r="C343" t="s">
        <v>12</v>
      </c>
      <c r="D343" t="s">
        <v>13</v>
      </c>
      <c r="E343">
        <v>10</v>
      </c>
      <c r="F343" t="s">
        <v>21</v>
      </c>
      <c r="G343" t="s">
        <v>15</v>
      </c>
      <c r="H343" t="s">
        <v>16</v>
      </c>
      <c r="I343">
        <v>0</v>
      </c>
      <c r="J343" s="23">
        <v>-1533</v>
      </c>
      <c r="K343" t="s">
        <v>17</v>
      </c>
    </row>
    <row r="344" spans="1:11" ht="15" customHeight="1" x14ac:dyDescent="0.3">
      <c r="A344" t="s">
        <v>18</v>
      </c>
      <c r="B344" t="s">
        <v>11</v>
      </c>
      <c r="C344" t="s">
        <v>24</v>
      </c>
      <c r="D344" t="s">
        <v>28</v>
      </c>
      <c r="E344">
        <v>8</v>
      </c>
      <c r="F344" t="s">
        <v>33</v>
      </c>
      <c r="G344" t="s">
        <v>15</v>
      </c>
      <c r="H344" t="s">
        <v>16</v>
      </c>
      <c r="I344">
        <v>0</v>
      </c>
      <c r="J344" s="23">
        <v>725015</v>
      </c>
      <c r="K344">
        <v>5800120</v>
      </c>
    </row>
    <row r="345" spans="1:11" ht="15" customHeight="1" x14ac:dyDescent="0.3">
      <c r="A345" t="s">
        <v>10</v>
      </c>
      <c r="B345" t="s">
        <v>19</v>
      </c>
      <c r="C345" t="s">
        <v>12</v>
      </c>
      <c r="D345" t="s">
        <v>20</v>
      </c>
      <c r="E345">
        <v>3</v>
      </c>
      <c r="F345"/>
      <c r="G345" t="s">
        <v>15</v>
      </c>
      <c r="H345" t="s">
        <v>16</v>
      </c>
      <c r="I345">
        <v>0</v>
      </c>
      <c r="J345" s="23">
        <v>-123693</v>
      </c>
      <c r="K345" t="s">
        <v>17</v>
      </c>
    </row>
    <row r="346" spans="1:11" ht="15" customHeight="1" x14ac:dyDescent="0.3">
      <c r="A346" t="s">
        <v>10</v>
      </c>
      <c r="B346" t="s">
        <v>11</v>
      </c>
      <c r="C346" t="s">
        <v>12</v>
      </c>
      <c r="D346" t="s">
        <v>13</v>
      </c>
      <c r="E346">
        <v>1</v>
      </c>
      <c r="F346" t="s">
        <v>29</v>
      </c>
      <c r="G346" t="s">
        <v>15</v>
      </c>
      <c r="H346" t="s">
        <v>16</v>
      </c>
      <c r="I346">
        <v>0</v>
      </c>
      <c r="J346" s="23">
        <v>-1681630</v>
      </c>
      <c r="K346" t="s">
        <v>17</v>
      </c>
    </row>
    <row r="347" spans="1:11" ht="15" customHeight="1" x14ac:dyDescent="0.3">
      <c r="A347" t="s">
        <v>22</v>
      </c>
      <c r="B347" t="s">
        <v>11</v>
      </c>
      <c r="C347" t="s">
        <v>12</v>
      </c>
      <c r="D347" t="s">
        <v>28</v>
      </c>
      <c r="E347">
        <v>5</v>
      </c>
      <c r="F347" t="s">
        <v>39</v>
      </c>
      <c r="G347" t="s">
        <v>15</v>
      </c>
      <c r="H347" t="s">
        <v>16</v>
      </c>
      <c r="I347">
        <v>0</v>
      </c>
      <c r="J347" s="23">
        <v>-208033</v>
      </c>
      <c r="K347" t="s">
        <v>17</v>
      </c>
    </row>
    <row r="348" spans="1:11" ht="15" customHeight="1" x14ac:dyDescent="0.3">
      <c r="A348" t="s">
        <v>18</v>
      </c>
      <c r="B348" t="s">
        <v>11</v>
      </c>
      <c r="C348" t="s">
        <v>24</v>
      </c>
      <c r="D348" t="s">
        <v>28</v>
      </c>
      <c r="E348">
        <v>11</v>
      </c>
      <c r="F348" t="s">
        <v>21</v>
      </c>
      <c r="G348" t="s">
        <v>15</v>
      </c>
      <c r="H348" t="s">
        <v>16</v>
      </c>
      <c r="I348">
        <v>0</v>
      </c>
      <c r="J348" s="23">
        <v>8308313</v>
      </c>
      <c r="K348">
        <v>91391443</v>
      </c>
    </row>
    <row r="349" spans="1:11" ht="15" customHeight="1" x14ac:dyDescent="0.3">
      <c r="A349" t="s">
        <v>10</v>
      </c>
      <c r="B349" t="s">
        <v>11</v>
      </c>
      <c r="C349" t="s">
        <v>24</v>
      </c>
      <c r="D349" t="s">
        <v>13</v>
      </c>
      <c r="E349">
        <v>11</v>
      </c>
      <c r="F349" t="s">
        <v>34</v>
      </c>
      <c r="G349" t="s">
        <v>15</v>
      </c>
      <c r="H349" t="s">
        <v>16</v>
      </c>
      <c r="I349">
        <v>0</v>
      </c>
      <c r="J349" s="23">
        <v>1906766</v>
      </c>
      <c r="K349">
        <v>20974426</v>
      </c>
    </row>
    <row r="350" spans="1:11" ht="15" customHeight="1" x14ac:dyDescent="0.3">
      <c r="A350" t="s">
        <v>18</v>
      </c>
      <c r="B350" t="s">
        <v>19</v>
      </c>
      <c r="C350" t="s">
        <v>12</v>
      </c>
      <c r="D350" t="s">
        <v>20</v>
      </c>
      <c r="E350">
        <v>47</v>
      </c>
      <c r="F350"/>
      <c r="G350" t="s">
        <v>15</v>
      </c>
      <c r="H350" t="s">
        <v>16</v>
      </c>
      <c r="I350">
        <v>0</v>
      </c>
      <c r="J350" s="23">
        <v>-15</v>
      </c>
      <c r="K350" t="s">
        <v>17</v>
      </c>
    </row>
    <row r="351" spans="1:11" ht="15" customHeight="1" x14ac:dyDescent="0.3">
      <c r="A351" t="s">
        <v>22</v>
      </c>
      <c r="B351" t="s">
        <v>11</v>
      </c>
      <c r="C351" t="s">
        <v>12</v>
      </c>
      <c r="D351" t="s">
        <v>25</v>
      </c>
      <c r="E351">
        <v>3</v>
      </c>
      <c r="F351" t="s">
        <v>29</v>
      </c>
      <c r="G351" t="s">
        <v>15</v>
      </c>
      <c r="H351" t="s">
        <v>16</v>
      </c>
      <c r="I351">
        <v>0</v>
      </c>
      <c r="J351" s="23">
        <v>-271470</v>
      </c>
      <c r="K351" t="s">
        <v>17</v>
      </c>
    </row>
    <row r="352" spans="1:11" ht="15" customHeight="1" x14ac:dyDescent="0.3">
      <c r="A352" t="s">
        <v>10</v>
      </c>
      <c r="B352" t="s">
        <v>11</v>
      </c>
      <c r="C352" t="s">
        <v>24</v>
      </c>
      <c r="D352" t="s">
        <v>13</v>
      </c>
      <c r="E352">
        <v>4</v>
      </c>
      <c r="F352" t="s">
        <v>45</v>
      </c>
      <c r="G352" t="s">
        <v>15</v>
      </c>
      <c r="H352" t="s">
        <v>16</v>
      </c>
      <c r="I352">
        <v>0</v>
      </c>
      <c r="J352" s="23">
        <v>447669</v>
      </c>
      <c r="K352">
        <v>1790676</v>
      </c>
    </row>
    <row r="353" spans="1:11" ht="15" customHeight="1" x14ac:dyDescent="0.3">
      <c r="A353" t="s">
        <v>10</v>
      </c>
      <c r="B353" t="s">
        <v>11</v>
      </c>
      <c r="C353" t="s">
        <v>12</v>
      </c>
      <c r="D353" t="s">
        <v>28</v>
      </c>
      <c r="E353">
        <v>0</v>
      </c>
      <c r="F353" t="s">
        <v>26</v>
      </c>
      <c r="G353" t="s">
        <v>15</v>
      </c>
      <c r="H353" t="s">
        <v>16</v>
      </c>
      <c r="I353">
        <v>0</v>
      </c>
      <c r="J353" s="23">
        <v>-19988</v>
      </c>
      <c r="K353" t="s">
        <v>17</v>
      </c>
    </row>
    <row r="354" spans="1:11" ht="15" customHeight="1" x14ac:dyDescent="0.3">
      <c r="A354" t="s">
        <v>10</v>
      </c>
      <c r="B354" t="s">
        <v>11</v>
      </c>
      <c r="C354" t="s">
        <v>12</v>
      </c>
      <c r="D354" t="s">
        <v>28</v>
      </c>
      <c r="E354">
        <v>9</v>
      </c>
      <c r="F354" t="s">
        <v>29</v>
      </c>
      <c r="G354" t="s">
        <v>15</v>
      </c>
      <c r="H354" t="s">
        <v>16</v>
      </c>
      <c r="I354">
        <v>0</v>
      </c>
      <c r="J354" s="23">
        <v>-139065</v>
      </c>
      <c r="K354" t="s">
        <v>17</v>
      </c>
    </row>
    <row r="355" spans="1:11" ht="15" customHeight="1" x14ac:dyDescent="0.3">
      <c r="A355" t="s">
        <v>18</v>
      </c>
      <c r="B355" t="s">
        <v>44</v>
      </c>
      <c r="C355" t="s">
        <v>24</v>
      </c>
      <c r="D355" t="s">
        <v>28</v>
      </c>
      <c r="E355">
        <v>13</v>
      </c>
      <c r="F355" t="s">
        <v>38</v>
      </c>
      <c r="G355" t="s">
        <v>15</v>
      </c>
      <c r="H355" t="s">
        <v>16</v>
      </c>
      <c r="I355">
        <v>0</v>
      </c>
      <c r="J355" s="23">
        <v>279728</v>
      </c>
      <c r="K355">
        <v>3636464</v>
      </c>
    </row>
    <row r="356" spans="1:11" ht="15" customHeight="1" x14ac:dyDescent="0.3">
      <c r="A356" t="s">
        <v>18</v>
      </c>
      <c r="B356" t="s">
        <v>19</v>
      </c>
      <c r="C356" t="s">
        <v>12</v>
      </c>
      <c r="D356" t="s">
        <v>28</v>
      </c>
      <c r="E356">
        <v>20</v>
      </c>
      <c r="F356"/>
      <c r="G356" t="s">
        <v>15</v>
      </c>
      <c r="H356" t="s">
        <v>16</v>
      </c>
      <c r="I356">
        <v>0</v>
      </c>
      <c r="J356" s="23">
        <v>-1312</v>
      </c>
      <c r="K356" t="s">
        <v>17</v>
      </c>
    </row>
    <row r="357" spans="1:11" ht="15" customHeight="1" x14ac:dyDescent="0.3">
      <c r="A357" t="s">
        <v>18</v>
      </c>
      <c r="B357" t="s">
        <v>19</v>
      </c>
      <c r="C357" t="s">
        <v>24</v>
      </c>
      <c r="D357" t="s">
        <v>20</v>
      </c>
      <c r="E357">
        <v>29</v>
      </c>
      <c r="F357"/>
      <c r="G357" t="s">
        <v>15</v>
      </c>
      <c r="H357" t="s">
        <v>32</v>
      </c>
      <c r="I357">
        <v>1</v>
      </c>
      <c r="J357" s="23">
        <v>1724958</v>
      </c>
      <c r="K357">
        <v>50023782</v>
      </c>
    </row>
    <row r="358" spans="1:11" ht="15" customHeight="1" x14ac:dyDescent="0.3">
      <c r="A358" t="s">
        <v>18</v>
      </c>
      <c r="B358" t="s">
        <v>11</v>
      </c>
      <c r="C358" t="s">
        <v>24</v>
      </c>
      <c r="D358" t="s">
        <v>28</v>
      </c>
      <c r="E358">
        <v>12</v>
      </c>
      <c r="F358" t="s">
        <v>37</v>
      </c>
      <c r="G358" t="s">
        <v>15</v>
      </c>
      <c r="H358" t="s">
        <v>16</v>
      </c>
      <c r="I358">
        <v>0</v>
      </c>
      <c r="J358" s="23">
        <v>411506</v>
      </c>
      <c r="K358">
        <v>4938072</v>
      </c>
    </row>
    <row r="359" spans="1:11" ht="15" customHeight="1" x14ac:dyDescent="0.3">
      <c r="A359" t="s">
        <v>18</v>
      </c>
      <c r="B359" t="s">
        <v>11</v>
      </c>
      <c r="C359" t="s">
        <v>12</v>
      </c>
      <c r="D359" t="s">
        <v>28</v>
      </c>
      <c r="E359">
        <v>5</v>
      </c>
      <c r="F359" t="s">
        <v>34</v>
      </c>
      <c r="G359" t="s">
        <v>15</v>
      </c>
      <c r="H359" t="s">
        <v>32</v>
      </c>
      <c r="I359">
        <v>1</v>
      </c>
      <c r="J359" s="23">
        <v>-496</v>
      </c>
      <c r="K359" t="s">
        <v>17</v>
      </c>
    </row>
    <row r="360" spans="1:11" ht="15" customHeight="1" x14ac:dyDescent="0.3">
      <c r="A360" t="s">
        <v>18</v>
      </c>
      <c r="B360" t="s">
        <v>19</v>
      </c>
      <c r="C360" t="s">
        <v>24</v>
      </c>
      <c r="D360" t="s">
        <v>28</v>
      </c>
      <c r="E360">
        <v>33</v>
      </c>
      <c r="F360"/>
      <c r="G360" t="s">
        <v>15</v>
      </c>
      <c r="H360" t="s">
        <v>16</v>
      </c>
      <c r="I360">
        <v>0</v>
      </c>
      <c r="J360" s="23">
        <v>242518</v>
      </c>
      <c r="K360">
        <v>8003094</v>
      </c>
    </row>
    <row r="361" spans="1:11" ht="15" customHeight="1" x14ac:dyDescent="0.3">
      <c r="A361" t="s">
        <v>18</v>
      </c>
      <c r="B361" t="s">
        <v>44</v>
      </c>
      <c r="C361" t="s">
        <v>12</v>
      </c>
      <c r="D361" t="s">
        <v>28</v>
      </c>
      <c r="E361">
        <v>4</v>
      </c>
      <c r="F361" t="s">
        <v>26</v>
      </c>
      <c r="G361" t="s">
        <v>15</v>
      </c>
      <c r="H361" t="s">
        <v>16</v>
      </c>
      <c r="I361">
        <v>0</v>
      </c>
      <c r="J361" s="23">
        <v>-908</v>
      </c>
      <c r="K361" t="s">
        <v>17</v>
      </c>
    </row>
    <row r="362" spans="1:11" ht="15" customHeight="1" x14ac:dyDescent="0.3">
      <c r="A362" t="s">
        <v>22</v>
      </c>
      <c r="B362" t="s">
        <v>11</v>
      </c>
      <c r="C362" t="s">
        <v>12</v>
      </c>
      <c r="D362" t="s">
        <v>13</v>
      </c>
      <c r="E362">
        <v>-1</v>
      </c>
      <c r="F362" t="s">
        <v>29</v>
      </c>
      <c r="G362" t="s">
        <v>15</v>
      </c>
      <c r="H362" t="s">
        <v>16</v>
      </c>
      <c r="I362">
        <v>0</v>
      </c>
      <c r="J362" s="23">
        <v>-5493845</v>
      </c>
      <c r="K362" t="s">
        <v>17</v>
      </c>
    </row>
    <row r="363" spans="1:11" ht="15" customHeight="1" x14ac:dyDescent="0.3">
      <c r="A363" t="s">
        <v>22</v>
      </c>
      <c r="B363" t="s">
        <v>19</v>
      </c>
      <c r="C363" t="s">
        <v>12</v>
      </c>
      <c r="D363" t="s">
        <v>28</v>
      </c>
      <c r="E363">
        <v>29</v>
      </c>
      <c r="F363"/>
      <c r="G363" t="s">
        <v>15</v>
      </c>
      <c r="H363" t="s">
        <v>16</v>
      </c>
      <c r="I363">
        <v>0</v>
      </c>
      <c r="J363" s="23">
        <v>-50857</v>
      </c>
      <c r="K363" t="s">
        <v>17</v>
      </c>
    </row>
    <row r="364" spans="1:11" ht="15" customHeight="1" x14ac:dyDescent="0.3">
      <c r="A364" t="s">
        <v>18</v>
      </c>
      <c r="B364" t="s">
        <v>11</v>
      </c>
      <c r="C364" t="s">
        <v>12</v>
      </c>
      <c r="D364" t="s">
        <v>13</v>
      </c>
      <c r="E364">
        <v>0</v>
      </c>
      <c r="F364" t="s">
        <v>39</v>
      </c>
      <c r="G364" t="s">
        <v>15</v>
      </c>
      <c r="H364" t="s">
        <v>16</v>
      </c>
      <c r="I364">
        <v>0</v>
      </c>
      <c r="J364" s="23">
        <v>-78761</v>
      </c>
      <c r="K364" t="s">
        <v>17</v>
      </c>
    </row>
    <row r="365" spans="1:11" ht="15" customHeight="1" x14ac:dyDescent="0.3">
      <c r="A365" t="s">
        <v>10</v>
      </c>
      <c r="B365" t="s">
        <v>11</v>
      </c>
      <c r="C365" t="s">
        <v>24</v>
      </c>
      <c r="D365" t="s">
        <v>13</v>
      </c>
      <c r="E365">
        <v>5</v>
      </c>
      <c r="F365" t="s">
        <v>40</v>
      </c>
      <c r="G365" t="s">
        <v>15</v>
      </c>
      <c r="H365" t="s">
        <v>16</v>
      </c>
      <c r="I365">
        <v>0</v>
      </c>
      <c r="J365" s="23">
        <v>1285985</v>
      </c>
      <c r="K365">
        <v>6429925</v>
      </c>
    </row>
    <row r="366" spans="1:11" ht="15" customHeight="1" x14ac:dyDescent="0.3">
      <c r="A366" t="s">
        <v>18</v>
      </c>
      <c r="B366" t="s">
        <v>19</v>
      </c>
      <c r="C366" t="s">
        <v>24</v>
      </c>
      <c r="D366" t="s">
        <v>20</v>
      </c>
      <c r="E366">
        <v>33</v>
      </c>
      <c r="F366"/>
      <c r="G366" t="s">
        <v>15</v>
      </c>
      <c r="H366" t="s">
        <v>16</v>
      </c>
      <c r="I366">
        <v>0</v>
      </c>
      <c r="J366" s="23">
        <v>1040501842</v>
      </c>
      <c r="K366">
        <v>34336560786</v>
      </c>
    </row>
    <row r="367" spans="1:11" ht="15" customHeight="1" x14ac:dyDescent="0.3">
      <c r="A367" t="s">
        <v>18</v>
      </c>
      <c r="B367" t="s">
        <v>19</v>
      </c>
      <c r="C367" t="s">
        <v>12</v>
      </c>
      <c r="D367" t="s">
        <v>20</v>
      </c>
      <c r="E367">
        <v>36</v>
      </c>
      <c r="F367"/>
      <c r="G367" t="s">
        <v>31</v>
      </c>
      <c r="H367" t="s">
        <v>16</v>
      </c>
      <c r="I367">
        <v>1</v>
      </c>
      <c r="J367" s="23">
        <v>-8942</v>
      </c>
      <c r="K367" t="s">
        <v>17</v>
      </c>
    </row>
    <row r="368" spans="1:11" ht="15" customHeight="1" x14ac:dyDescent="0.3">
      <c r="A368" t="s">
        <v>18</v>
      </c>
      <c r="B368" t="s">
        <v>11</v>
      </c>
      <c r="C368" t="s">
        <v>12</v>
      </c>
      <c r="D368" t="s">
        <v>13</v>
      </c>
      <c r="E368">
        <v>-1</v>
      </c>
      <c r="F368" t="s">
        <v>46</v>
      </c>
      <c r="G368" t="s">
        <v>15</v>
      </c>
      <c r="H368" t="s">
        <v>16</v>
      </c>
      <c r="I368">
        <v>0</v>
      </c>
      <c r="J368" s="23">
        <v>-2</v>
      </c>
      <c r="K368" t="s">
        <v>17</v>
      </c>
    </row>
    <row r="369" spans="1:11" ht="15" customHeight="1" x14ac:dyDescent="0.3">
      <c r="A369" t="s">
        <v>18</v>
      </c>
      <c r="B369" t="s">
        <v>19</v>
      </c>
      <c r="C369" t="s">
        <v>24</v>
      </c>
      <c r="D369" t="s">
        <v>28</v>
      </c>
      <c r="E369">
        <v>18</v>
      </c>
      <c r="F369"/>
      <c r="G369" t="s">
        <v>31</v>
      </c>
      <c r="H369" t="s">
        <v>16</v>
      </c>
      <c r="I369">
        <v>1</v>
      </c>
      <c r="J369" s="23">
        <v>25730</v>
      </c>
      <c r="K369">
        <v>463140</v>
      </c>
    </row>
    <row r="370" spans="1:11" ht="15" customHeight="1" x14ac:dyDescent="0.3">
      <c r="A370" t="s">
        <v>10</v>
      </c>
      <c r="B370" t="s">
        <v>11</v>
      </c>
      <c r="C370" t="s">
        <v>12</v>
      </c>
      <c r="D370" t="s">
        <v>28</v>
      </c>
      <c r="E370">
        <v>2</v>
      </c>
      <c r="F370" t="s">
        <v>27</v>
      </c>
      <c r="G370" t="s">
        <v>15</v>
      </c>
      <c r="H370" t="s">
        <v>16</v>
      </c>
      <c r="I370">
        <v>0</v>
      </c>
      <c r="J370" s="23">
        <v>-22328</v>
      </c>
      <c r="K370" t="s">
        <v>17</v>
      </c>
    </row>
    <row r="371" spans="1:11" ht="15" customHeight="1" x14ac:dyDescent="0.3">
      <c r="A371" t="s">
        <v>18</v>
      </c>
      <c r="B371" t="s">
        <v>11</v>
      </c>
      <c r="C371" t="s">
        <v>12</v>
      </c>
      <c r="D371" t="s">
        <v>28</v>
      </c>
      <c r="E371">
        <v>7</v>
      </c>
      <c r="F371" t="s">
        <v>23</v>
      </c>
      <c r="G371" t="s">
        <v>15</v>
      </c>
      <c r="H371" t="s">
        <v>16</v>
      </c>
      <c r="I371">
        <v>0</v>
      </c>
      <c r="J371" s="23">
        <v>-73925</v>
      </c>
      <c r="K371" t="s">
        <v>17</v>
      </c>
    </row>
    <row r="372" spans="1:11" ht="15" customHeight="1" x14ac:dyDescent="0.3">
      <c r="A372" t="s">
        <v>10</v>
      </c>
      <c r="B372" t="s">
        <v>19</v>
      </c>
      <c r="C372" t="s">
        <v>24</v>
      </c>
      <c r="D372" t="s">
        <v>28</v>
      </c>
      <c r="E372">
        <v>8</v>
      </c>
      <c r="F372"/>
      <c r="G372" t="s">
        <v>15</v>
      </c>
      <c r="H372" t="s">
        <v>32</v>
      </c>
      <c r="I372">
        <v>1</v>
      </c>
      <c r="J372" s="23">
        <v>126138</v>
      </c>
      <c r="K372">
        <v>1009104</v>
      </c>
    </row>
    <row r="373" spans="1:11" ht="15" customHeight="1" x14ac:dyDescent="0.3">
      <c r="A373" t="s">
        <v>18</v>
      </c>
      <c r="B373" t="s">
        <v>11</v>
      </c>
      <c r="C373" t="s">
        <v>12</v>
      </c>
      <c r="D373" t="s">
        <v>13</v>
      </c>
      <c r="E373">
        <v>4</v>
      </c>
      <c r="F373" t="s">
        <v>21</v>
      </c>
      <c r="G373" t="s">
        <v>15</v>
      </c>
      <c r="H373" t="s">
        <v>16</v>
      </c>
      <c r="I373">
        <v>0</v>
      </c>
      <c r="J373" s="23">
        <v>-84803</v>
      </c>
      <c r="K373" t="s">
        <v>17</v>
      </c>
    </row>
    <row r="374" spans="1:11" ht="15" customHeight="1" x14ac:dyDescent="0.3">
      <c r="A374" t="s">
        <v>22</v>
      </c>
      <c r="B374" t="s">
        <v>11</v>
      </c>
      <c r="C374" t="s">
        <v>12</v>
      </c>
      <c r="D374" t="s">
        <v>25</v>
      </c>
      <c r="E374">
        <v>3</v>
      </c>
      <c r="F374" t="s">
        <v>27</v>
      </c>
      <c r="G374" t="s">
        <v>15</v>
      </c>
      <c r="H374" t="s">
        <v>16</v>
      </c>
      <c r="I374">
        <v>0</v>
      </c>
      <c r="J374" s="23">
        <v>-31663</v>
      </c>
      <c r="K374" t="s">
        <v>17</v>
      </c>
    </row>
    <row r="375" spans="1:11" ht="15" customHeight="1" x14ac:dyDescent="0.3">
      <c r="A375" t="s">
        <v>10</v>
      </c>
      <c r="B375" t="s">
        <v>11</v>
      </c>
      <c r="C375" t="s">
        <v>24</v>
      </c>
      <c r="D375" t="s">
        <v>28</v>
      </c>
      <c r="E375">
        <v>6</v>
      </c>
      <c r="F375" t="s">
        <v>21</v>
      </c>
      <c r="G375" t="s">
        <v>15</v>
      </c>
      <c r="H375" t="s">
        <v>16</v>
      </c>
      <c r="I375">
        <v>0</v>
      </c>
      <c r="J375" s="23">
        <v>1423852</v>
      </c>
      <c r="K375">
        <v>8543112</v>
      </c>
    </row>
    <row r="376" spans="1:11" ht="15" customHeight="1" x14ac:dyDescent="0.3">
      <c r="A376" t="s">
        <v>10</v>
      </c>
      <c r="B376" t="s">
        <v>11</v>
      </c>
      <c r="C376" t="s">
        <v>24</v>
      </c>
      <c r="D376" t="s">
        <v>13</v>
      </c>
      <c r="E376">
        <v>3</v>
      </c>
      <c r="F376" t="s">
        <v>21</v>
      </c>
      <c r="G376" t="s">
        <v>15</v>
      </c>
      <c r="H376" t="s">
        <v>16</v>
      </c>
      <c r="I376">
        <v>0</v>
      </c>
      <c r="J376" s="23">
        <v>18551652</v>
      </c>
      <c r="K376">
        <v>55654956</v>
      </c>
    </row>
    <row r="377" spans="1:11" ht="15" customHeight="1" x14ac:dyDescent="0.3">
      <c r="A377" t="s">
        <v>18</v>
      </c>
      <c r="B377" t="s">
        <v>11</v>
      </c>
      <c r="C377" t="s">
        <v>24</v>
      </c>
      <c r="D377" t="s">
        <v>25</v>
      </c>
      <c r="E377">
        <v>12</v>
      </c>
      <c r="F377" t="s">
        <v>23</v>
      </c>
      <c r="G377" t="s">
        <v>15</v>
      </c>
      <c r="H377" t="s">
        <v>16</v>
      </c>
      <c r="I377">
        <v>0</v>
      </c>
      <c r="J377" s="23">
        <v>911367</v>
      </c>
      <c r="K377">
        <v>10936404</v>
      </c>
    </row>
    <row r="378" spans="1:11" ht="15" customHeight="1" x14ac:dyDescent="0.3">
      <c r="A378" t="s">
        <v>10</v>
      </c>
      <c r="B378" t="s">
        <v>19</v>
      </c>
      <c r="C378" t="s">
        <v>24</v>
      </c>
      <c r="D378" t="s">
        <v>20</v>
      </c>
      <c r="E378">
        <v>12</v>
      </c>
      <c r="F378"/>
      <c r="G378" t="s">
        <v>15</v>
      </c>
      <c r="H378" t="s">
        <v>16</v>
      </c>
      <c r="I378">
        <v>0</v>
      </c>
      <c r="J378" s="23">
        <v>16808052</v>
      </c>
      <c r="K378">
        <v>201696624</v>
      </c>
    </row>
    <row r="379" spans="1:11" ht="15" customHeight="1" x14ac:dyDescent="0.3">
      <c r="A379" t="s">
        <v>18</v>
      </c>
      <c r="B379" t="s">
        <v>11</v>
      </c>
      <c r="C379" t="s">
        <v>24</v>
      </c>
      <c r="D379" t="s">
        <v>13</v>
      </c>
      <c r="E379">
        <v>-4</v>
      </c>
      <c r="F379" t="s">
        <v>34</v>
      </c>
      <c r="G379" t="s">
        <v>15</v>
      </c>
      <c r="H379" t="s">
        <v>16</v>
      </c>
      <c r="I379">
        <v>0</v>
      </c>
      <c r="J379" s="23">
        <v>17853</v>
      </c>
      <c r="K379" t="s">
        <v>17</v>
      </c>
    </row>
    <row r="380" spans="1:11" ht="15" customHeight="1" x14ac:dyDescent="0.3">
      <c r="A380" t="s">
        <v>22</v>
      </c>
      <c r="B380" t="s">
        <v>44</v>
      </c>
      <c r="C380" t="s">
        <v>24</v>
      </c>
      <c r="D380" t="s">
        <v>28</v>
      </c>
      <c r="E380">
        <v>-1</v>
      </c>
      <c r="F380" t="s">
        <v>37</v>
      </c>
      <c r="G380" t="s">
        <v>15</v>
      </c>
      <c r="H380" t="s">
        <v>16</v>
      </c>
      <c r="I380">
        <v>0</v>
      </c>
      <c r="J380" s="23">
        <v>2903188</v>
      </c>
      <c r="K380" t="s">
        <v>17</v>
      </c>
    </row>
    <row r="381" spans="1:11" ht="15" customHeight="1" x14ac:dyDescent="0.3">
      <c r="A381" t="s">
        <v>22</v>
      </c>
      <c r="B381" t="s">
        <v>11</v>
      </c>
      <c r="C381" t="s">
        <v>24</v>
      </c>
      <c r="D381" t="s">
        <v>28</v>
      </c>
      <c r="E381">
        <v>5</v>
      </c>
      <c r="F381" t="s">
        <v>34</v>
      </c>
      <c r="G381" t="s">
        <v>15</v>
      </c>
      <c r="H381" t="s">
        <v>32</v>
      </c>
      <c r="I381">
        <v>1</v>
      </c>
      <c r="J381" s="23">
        <v>71691</v>
      </c>
      <c r="K381">
        <v>358455</v>
      </c>
    </row>
    <row r="382" spans="1:11" ht="15" customHeight="1" x14ac:dyDescent="0.3">
      <c r="A382" t="s">
        <v>18</v>
      </c>
      <c r="B382" t="s">
        <v>19</v>
      </c>
      <c r="C382" t="s">
        <v>12</v>
      </c>
      <c r="D382" t="s">
        <v>20</v>
      </c>
      <c r="E382">
        <v>21</v>
      </c>
      <c r="F382"/>
      <c r="G382" t="s">
        <v>15</v>
      </c>
      <c r="H382" t="s">
        <v>32</v>
      </c>
      <c r="I382">
        <v>1</v>
      </c>
      <c r="J382" s="23">
        <v>-4289</v>
      </c>
      <c r="K382" t="s">
        <v>17</v>
      </c>
    </row>
    <row r="383" spans="1:11" ht="15" customHeight="1" x14ac:dyDescent="0.3">
      <c r="A383" t="s">
        <v>22</v>
      </c>
      <c r="B383" t="s">
        <v>11</v>
      </c>
      <c r="C383" t="s">
        <v>12</v>
      </c>
      <c r="D383" t="s">
        <v>13</v>
      </c>
      <c r="E383">
        <v>0</v>
      </c>
      <c r="F383" t="s">
        <v>37</v>
      </c>
      <c r="G383" t="s">
        <v>15</v>
      </c>
      <c r="H383" t="s">
        <v>16</v>
      </c>
      <c r="I383">
        <v>0</v>
      </c>
      <c r="J383" s="23">
        <v>-25462</v>
      </c>
      <c r="K383" t="s">
        <v>17</v>
      </c>
    </row>
    <row r="384" spans="1:11" ht="15" customHeight="1" x14ac:dyDescent="0.3">
      <c r="A384" t="s">
        <v>10</v>
      </c>
      <c r="B384" t="s">
        <v>19</v>
      </c>
      <c r="C384" t="s">
        <v>12</v>
      </c>
      <c r="D384" t="s">
        <v>20</v>
      </c>
      <c r="E384">
        <v>29</v>
      </c>
      <c r="F384"/>
      <c r="G384" t="s">
        <v>15</v>
      </c>
      <c r="H384" t="s">
        <v>32</v>
      </c>
      <c r="I384">
        <v>1</v>
      </c>
      <c r="J384" s="23">
        <v>-1103</v>
      </c>
      <c r="K384" t="s">
        <v>17</v>
      </c>
    </row>
    <row r="385" spans="1:11" ht="15" customHeight="1" x14ac:dyDescent="0.3">
      <c r="A385" t="s">
        <v>18</v>
      </c>
      <c r="B385" t="s">
        <v>19</v>
      </c>
      <c r="C385" t="s">
        <v>12</v>
      </c>
      <c r="D385" t="s">
        <v>28</v>
      </c>
      <c r="E385">
        <v>6</v>
      </c>
      <c r="F385"/>
      <c r="G385" t="s">
        <v>15</v>
      </c>
      <c r="H385" t="s">
        <v>32</v>
      </c>
      <c r="I385">
        <v>1</v>
      </c>
      <c r="J385" s="23">
        <v>-750</v>
      </c>
      <c r="K385" t="s">
        <v>17</v>
      </c>
    </row>
    <row r="386" spans="1:11" ht="15" customHeight="1" x14ac:dyDescent="0.3">
      <c r="A386" t="s">
        <v>22</v>
      </c>
      <c r="B386" t="s">
        <v>11</v>
      </c>
      <c r="C386" t="s">
        <v>12</v>
      </c>
      <c r="D386" t="s">
        <v>13</v>
      </c>
      <c r="E386">
        <v>-1</v>
      </c>
      <c r="F386" t="s">
        <v>27</v>
      </c>
      <c r="G386" t="s">
        <v>15</v>
      </c>
      <c r="H386" t="s">
        <v>16</v>
      </c>
      <c r="I386">
        <v>0</v>
      </c>
      <c r="J386" s="23">
        <v>-416802</v>
      </c>
      <c r="K386" t="s">
        <v>17</v>
      </c>
    </row>
    <row r="387" spans="1:11" ht="15" customHeight="1" x14ac:dyDescent="0.3">
      <c r="A387" t="s">
        <v>10</v>
      </c>
      <c r="B387" t="s">
        <v>19</v>
      </c>
      <c r="C387" t="s">
        <v>12</v>
      </c>
      <c r="D387" t="s">
        <v>20</v>
      </c>
      <c r="E387">
        <v>17</v>
      </c>
      <c r="F387"/>
      <c r="G387" t="s">
        <v>15</v>
      </c>
      <c r="H387" t="s">
        <v>16</v>
      </c>
      <c r="I387">
        <v>0</v>
      </c>
      <c r="J387" s="23">
        <v>-617246</v>
      </c>
      <c r="K387" t="s">
        <v>17</v>
      </c>
    </row>
    <row r="388" spans="1:11" ht="15" customHeight="1" x14ac:dyDescent="0.3">
      <c r="A388" t="s">
        <v>10</v>
      </c>
      <c r="B388" t="s">
        <v>11</v>
      </c>
      <c r="C388" t="s">
        <v>24</v>
      </c>
      <c r="D388" t="s">
        <v>13</v>
      </c>
      <c r="E388">
        <v>11</v>
      </c>
      <c r="F388" t="s">
        <v>23</v>
      </c>
      <c r="G388" t="s">
        <v>15</v>
      </c>
      <c r="H388" t="s">
        <v>16</v>
      </c>
      <c r="I388">
        <v>0</v>
      </c>
      <c r="J388" s="23">
        <v>98611</v>
      </c>
      <c r="K388">
        <v>1084721</v>
      </c>
    </row>
    <row r="389" spans="1:11" ht="15" customHeight="1" x14ac:dyDescent="0.3">
      <c r="A389" t="s">
        <v>18</v>
      </c>
      <c r="B389" t="s">
        <v>11</v>
      </c>
      <c r="C389" t="s">
        <v>12</v>
      </c>
      <c r="D389" t="s">
        <v>28</v>
      </c>
      <c r="E389">
        <v>5</v>
      </c>
      <c r="F389" t="s">
        <v>21</v>
      </c>
      <c r="G389" t="s">
        <v>15</v>
      </c>
      <c r="H389" t="s">
        <v>16</v>
      </c>
      <c r="I389">
        <v>0</v>
      </c>
      <c r="J389" s="23">
        <v>-73204</v>
      </c>
      <c r="K389" t="s">
        <v>17</v>
      </c>
    </row>
    <row r="390" spans="1:11" ht="15" customHeight="1" x14ac:dyDescent="0.3">
      <c r="A390" t="s">
        <v>10</v>
      </c>
      <c r="B390" t="s">
        <v>19</v>
      </c>
      <c r="C390" t="s">
        <v>12</v>
      </c>
      <c r="D390" t="s">
        <v>28</v>
      </c>
      <c r="E390">
        <v>22</v>
      </c>
      <c r="F390"/>
      <c r="G390" t="s">
        <v>15</v>
      </c>
      <c r="H390" t="s">
        <v>16</v>
      </c>
      <c r="I390">
        <v>0</v>
      </c>
      <c r="J390" s="23">
        <v>-36863</v>
      </c>
      <c r="K390" t="s">
        <v>17</v>
      </c>
    </row>
    <row r="391" spans="1:11" ht="15" customHeight="1" x14ac:dyDescent="0.3">
      <c r="A391" t="s">
        <v>18</v>
      </c>
      <c r="B391" t="s">
        <v>11</v>
      </c>
      <c r="C391" t="s">
        <v>24</v>
      </c>
      <c r="D391" t="s">
        <v>25</v>
      </c>
      <c r="E391">
        <v>2</v>
      </c>
      <c r="F391" t="s">
        <v>39</v>
      </c>
      <c r="G391" t="s">
        <v>15</v>
      </c>
      <c r="H391" t="s">
        <v>16</v>
      </c>
      <c r="I391">
        <v>0</v>
      </c>
      <c r="J391" s="23">
        <v>12030046</v>
      </c>
      <c r="K391">
        <v>24060092</v>
      </c>
    </row>
    <row r="392" spans="1:11" ht="15" customHeight="1" x14ac:dyDescent="0.3">
      <c r="A392" t="s">
        <v>10</v>
      </c>
      <c r="B392" t="s">
        <v>11</v>
      </c>
      <c r="C392" t="s">
        <v>24</v>
      </c>
      <c r="D392" t="s">
        <v>13</v>
      </c>
      <c r="E392">
        <v>2</v>
      </c>
      <c r="F392" t="s">
        <v>26</v>
      </c>
      <c r="G392" t="s">
        <v>15</v>
      </c>
      <c r="H392" t="s">
        <v>16</v>
      </c>
      <c r="I392">
        <v>0</v>
      </c>
      <c r="J392" s="23">
        <v>2943552</v>
      </c>
      <c r="K392">
        <v>5887104</v>
      </c>
    </row>
    <row r="393" spans="1:11" ht="15" customHeight="1" x14ac:dyDescent="0.3">
      <c r="A393" t="s">
        <v>22</v>
      </c>
      <c r="B393" t="s">
        <v>19</v>
      </c>
      <c r="C393" t="s">
        <v>12</v>
      </c>
      <c r="D393" t="s">
        <v>28</v>
      </c>
      <c r="E393">
        <v>-1</v>
      </c>
      <c r="F393"/>
      <c r="G393" t="s">
        <v>15</v>
      </c>
      <c r="H393" t="s">
        <v>16</v>
      </c>
      <c r="I393">
        <v>0</v>
      </c>
      <c r="J393" s="23">
        <v>-11</v>
      </c>
      <c r="K393" t="s">
        <v>17</v>
      </c>
    </row>
    <row r="394" spans="1:11" ht="15" customHeight="1" x14ac:dyDescent="0.3">
      <c r="A394" t="s">
        <v>10</v>
      </c>
      <c r="B394" t="s">
        <v>11</v>
      </c>
      <c r="C394" t="s">
        <v>24</v>
      </c>
      <c r="D394" t="s">
        <v>28</v>
      </c>
      <c r="E394">
        <v>16</v>
      </c>
      <c r="F394" t="s">
        <v>29</v>
      </c>
      <c r="G394" t="s">
        <v>15</v>
      </c>
      <c r="H394" t="s">
        <v>32</v>
      </c>
      <c r="I394">
        <v>1</v>
      </c>
      <c r="J394" s="23">
        <v>478576</v>
      </c>
      <c r="K394">
        <v>7657216</v>
      </c>
    </row>
    <row r="395" spans="1:11" ht="15" customHeight="1" x14ac:dyDescent="0.3">
      <c r="A395" t="s">
        <v>22</v>
      </c>
      <c r="B395" t="s">
        <v>11</v>
      </c>
      <c r="C395" t="s">
        <v>24</v>
      </c>
      <c r="D395" t="s">
        <v>28</v>
      </c>
      <c r="E395">
        <v>9</v>
      </c>
      <c r="F395" t="s">
        <v>26</v>
      </c>
      <c r="G395" t="s">
        <v>15</v>
      </c>
      <c r="H395" t="s">
        <v>16</v>
      </c>
      <c r="I395">
        <v>0</v>
      </c>
      <c r="J395" s="23">
        <v>27607</v>
      </c>
      <c r="K395">
        <v>248463</v>
      </c>
    </row>
    <row r="396" spans="1:11" ht="15" customHeight="1" x14ac:dyDescent="0.3">
      <c r="A396" t="s">
        <v>18</v>
      </c>
      <c r="B396" t="s">
        <v>11</v>
      </c>
      <c r="C396" t="s">
        <v>24</v>
      </c>
      <c r="D396" t="s">
        <v>13</v>
      </c>
      <c r="E396">
        <v>1</v>
      </c>
      <c r="F396" t="s">
        <v>35</v>
      </c>
      <c r="G396" t="s">
        <v>15</v>
      </c>
      <c r="H396" t="s">
        <v>16</v>
      </c>
      <c r="I396">
        <v>0</v>
      </c>
      <c r="J396" s="23">
        <v>5975321</v>
      </c>
      <c r="K396">
        <v>5975321</v>
      </c>
    </row>
    <row r="397" spans="1:11" ht="15" customHeight="1" x14ac:dyDescent="0.3">
      <c r="A397" t="s">
        <v>18</v>
      </c>
      <c r="B397" t="s">
        <v>11</v>
      </c>
      <c r="C397" t="s">
        <v>24</v>
      </c>
      <c r="D397" t="s">
        <v>28</v>
      </c>
      <c r="E397">
        <v>4</v>
      </c>
      <c r="F397" t="s">
        <v>29</v>
      </c>
      <c r="G397" t="s">
        <v>15</v>
      </c>
      <c r="H397" t="s">
        <v>16</v>
      </c>
      <c r="I397">
        <v>0</v>
      </c>
      <c r="J397" s="23">
        <v>2545313</v>
      </c>
      <c r="K397">
        <v>10181252</v>
      </c>
    </row>
    <row r="398" spans="1:11" ht="15" customHeight="1" x14ac:dyDescent="0.3">
      <c r="A398" t="s">
        <v>22</v>
      </c>
      <c r="B398" t="s">
        <v>19</v>
      </c>
      <c r="C398" t="s">
        <v>24</v>
      </c>
      <c r="D398" t="s">
        <v>20</v>
      </c>
      <c r="E398">
        <v>28</v>
      </c>
      <c r="F398"/>
      <c r="G398" t="s">
        <v>31</v>
      </c>
      <c r="H398" t="s">
        <v>16</v>
      </c>
      <c r="I398">
        <v>1</v>
      </c>
      <c r="J398" s="23">
        <v>110233</v>
      </c>
      <c r="K398">
        <v>3086524</v>
      </c>
    </row>
    <row r="399" spans="1:11" ht="15" customHeight="1" x14ac:dyDescent="0.3">
      <c r="A399" t="s">
        <v>18</v>
      </c>
      <c r="B399" t="s">
        <v>11</v>
      </c>
      <c r="C399" t="s">
        <v>12</v>
      </c>
      <c r="D399" t="s">
        <v>28</v>
      </c>
      <c r="E399">
        <v>13</v>
      </c>
      <c r="F399" t="s">
        <v>29</v>
      </c>
      <c r="G399" t="s">
        <v>15</v>
      </c>
      <c r="H399" t="s">
        <v>16</v>
      </c>
      <c r="I399">
        <v>0</v>
      </c>
      <c r="J399" s="23">
        <v>-714</v>
      </c>
      <c r="K399" t="s">
        <v>17</v>
      </c>
    </row>
    <row r="400" spans="1:11" ht="15" customHeight="1" x14ac:dyDescent="0.3">
      <c r="A400" t="s">
        <v>10</v>
      </c>
      <c r="B400" t="s">
        <v>11</v>
      </c>
      <c r="C400" t="s">
        <v>24</v>
      </c>
      <c r="D400" t="s">
        <v>25</v>
      </c>
      <c r="E400">
        <v>-4</v>
      </c>
      <c r="F400" t="s">
        <v>42</v>
      </c>
      <c r="G400" t="s">
        <v>15</v>
      </c>
      <c r="H400" t="s">
        <v>16</v>
      </c>
      <c r="I400">
        <v>0</v>
      </c>
      <c r="J400" s="23">
        <v>48</v>
      </c>
      <c r="K400" t="s">
        <v>17</v>
      </c>
    </row>
    <row r="401" spans="1:11" ht="15" customHeight="1" x14ac:dyDescent="0.3">
      <c r="A401" t="s">
        <v>10</v>
      </c>
      <c r="B401" t="s">
        <v>11</v>
      </c>
      <c r="C401" t="s">
        <v>12</v>
      </c>
      <c r="D401" t="s">
        <v>25</v>
      </c>
      <c r="E401">
        <v>1</v>
      </c>
      <c r="F401" t="s">
        <v>45</v>
      </c>
      <c r="G401" t="s">
        <v>15</v>
      </c>
      <c r="H401" t="s">
        <v>16</v>
      </c>
      <c r="I401">
        <v>0</v>
      </c>
      <c r="J401" s="23">
        <v>-2071</v>
      </c>
      <c r="K401" t="s">
        <v>17</v>
      </c>
    </row>
    <row r="402" spans="1:11" ht="15" customHeight="1" x14ac:dyDescent="0.3">
      <c r="A402" t="s">
        <v>10</v>
      </c>
      <c r="B402" t="s">
        <v>19</v>
      </c>
      <c r="C402" t="s">
        <v>12</v>
      </c>
      <c r="D402" t="s">
        <v>20</v>
      </c>
      <c r="E402">
        <v>36</v>
      </c>
      <c r="F402"/>
      <c r="G402" t="s">
        <v>31</v>
      </c>
      <c r="H402" t="s">
        <v>16</v>
      </c>
      <c r="I402">
        <v>1</v>
      </c>
      <c r="J402" s="23">
        <v>-77332</v>
      </c>
      <c r="K402" t="s">
        <v>17</v>
      </c>
    </row>
    <row r="403" spans="1:11" ht="15" customHeight="1" x14ac:dyDescent="0.3">
      <c r="A403" t="s">
        <v>18</v>
      </c>
      <c r="B403" t="s">
        <v>19</v>
      </c>
      <c r="C403" t="s">
        <v>24</v>
      </c>
      <c r="D403" t="s">
        <v>20</v>
      </c>
      <c r="E403">
        <v>26</v>
      </c>
      <c r="F403"/>
      <c r="G403" t="s">
        <v>31</v>
      </c>
      <c r="H403" t="s">
        <v>32</v>
      </c>
      <c r="I403">
        <v>1</v>
      </c>
      <c r="J403" s="23">
        <v>315329</v>
      </c>
      <c r="K403">
        <v>8198554</v>
      </c>
    </row>
    <row r="404" spans="1:11" ht="15" customHeight="1" x14ac:dyDescent="0.3">
      <c r="A404" t="s">
        <v>22</v>
      </c>
      <c r="B404" t="s">
        <v>19</v>
      </c>
      <c r="C404" t="s">
        <v>12</v>
      </c>
      <c r="D404" t="s">
        <v>28</v>
      </c>
      <c r="E404">
        <v>10</v>
      </c>
      <c r="F404"/>
      <c r="G404" t="s">
        <v>15</v>
      </c>
      <c r="H404" t="s">
        <v>16</v>
      </c>
      <c r="I404">
        <v>0</v>
      </c>
      <c r="J404" s="23">
        <v>-6714</v>
      </c>
      <c r="K404" t="s">
        <v>17</v>
      </c>
    </row>
    <row r="405" spans="1:11" ht="15" customHeight="1" x14ac:dyDescent="0.3">
      <c r="A405" t="s">
        <v>18</v>
      </c>
      <c r="B405" t="s">
        <v>11</v>
      </c>
      <c r="C405" t="s">
        <v>12</v>
      </c>
      <c r="D405" t="s">
        <v>25</v>
      </c>
      <c r="E405">
        <v>1</v>
      </c>
      <c r="F405" t="s">
        <v>45</v>
      </c>
      <c r="G405" t="s">
        <v>15</v>
      </c>
      <c r="H405" t="s">
        <v>16</v>
      </c>
      <c r="I405">
        <v>0</v>
      </c>
      <c r="J405" s="23">
        <v>-417</v>
      </c>
      <c r="K405" t="s">
        <v>17</v>
      </c>
    </row>
    <row r="406" spans="1:11" ht="15" customHeight="1" x14ac:dyDescent="0.3">
      <c r="A406" t="s">
        <v>10</v>
      </c>
      <c r="B406" t="s">
        <v>11</v>
      </c>
      <c r="C406" t="s">
        <v>24</v>
      </c>
      <c r="D406" t="s">
        <v>13</v>
      </c>
      <c r="E406">
        <v>4</v>
      </c>
      <c r="F406" t="s">
        <v>23</v>
      </c>
      <c r="G406" t="s">
        <v>15</v>
      </c>
      <c r="H406" t="s">
        <v>16</v>
      </c>
      <c r="I406">
        <v>0</v>
      </c>
      <c r="J406" s="23">
        <v>2945576</v>
      </c>
      <c r="K406">
        <v>11782304</v>
      </c>
    </row>
    <row r="407" spans="1:11" ht="15" customHeight="1" x14ac:dyDescent="0.3">
      <c r="A407" t="s">
        <v>18</v>
      </c>
      <c r="B407" t="s">
        <v>11</v>
      </c>
      <c r="C407" t="s">
        <v>24</v>
      </c>
      <c r="D407" t="s">
        <v>28</v>
      </c>
      <c r="E407">
        <v>0</v>
      </c>
      <c r="F407" t="s">
        <v>42</v>
      </c>
      <c r="G407" t="s">
        <v>15</v>
      </c>
      <c r="H407" t="s">
        <v>16</v>
      </c>
      <c r="I407">
        <v>0</v>
      </c>
      <c r="J407" s="23">
        <v>18765</v>
      </c>
      <c r="K407" t="s">
        <v>17</v>
      </c>
    </row>
    <row r="408" spans="1:11" ht="15" customHeight="1" x14ac:dyDescent="0.3">
      <c r="A408" t="s">
        <v>22</v>
      </c>
      <c r="B408" t="s">
        <v>11</v>
      </c>
      <c r="C408" t="s">
        <v>12</v>
      </c>
      <c r="D408" t="s">
        <v>25</v>
      </c>
      <c r="E408">
        <v>0</v>
      </c>
      <c r="F408" t="s">
        <v>29</v>
      </c>
      <c r="G408" t="s">
        <v>15</v>
      </c>
      <c r="H408" t="s">
        <v>16</v>
      </c>
      <c r="I408">
        <v>0</v>
      </c>
      <c r="J408" s="23">
        <v>-50484</v>
      </c>
      <c r="K408" t="s">
        <v>17</v>
      </c>
    </row>
    <row r="409" spans="1:11" ht="15" customHeight="1" x14ac:dyDescent="0.3">
      <c r="A409" t="s">
        <v>18</v>
      </c>
      <c r="B409" t="s">
        <v>11</v>
      </c>
      <c r="C409" t="s">
        <v>12</v>
      </c>
      <c r="D409" t="s">
        <v>13</v>
      </c>
      <c r="E409">
        <v>-1</v>
      </c>
      <c r="F409" t="s">
        <v>30</v>
      </c>
      <c r="G409" t="s">
        <v>15</v>
      </c>
      <c r="H409" t="s">
        <v>16</v>
      </c>
      <c r="I409">
        <v>0</v>
      </c>
      <c r="J409" s="23">
        <v>-360969</v>
      </c>
      <c r="K409" t="s">
        <v>17</v>
      </c>
    </row>
    <row r="410" spans="1:11" ht="15" customHeight="1" x14ac:dyDescent="0.3">
      <c r="A410" t="s">
        <v>10</v>
      </c>
      <c r="B410" t="s">
        <v>11</v>
      </c>
      <c r="C410" t="s">
        <v>24</v>
      </c>
      <c r="D410" t="s">
        <v>13</v>
      </c>
      <c r="E410">
        <v>-1</v>
      </c>
      <c r="F410" t="s">
        <v>21</v>
      </c>
      <c r="G410" t="s">
        <v>15</v>
      </c>
      <c r="H410" t="s">
        <v>16</v>
      </c>
      <c r="I410">
        <v>0</v>
      </c>
      <c r="J410" s="23">
        <v>21614242</v>
      </c>
      <c r="K410" t="s">
        <v>17</v>
      </c>
    </row>
    <row r="411" spans="1:11" ht="15" customHeight="1" x14ac:dyDescent="0.3">
      <c r="A411" t="s">
        <v>18</v>
      </c>
      <c r="B411" t="s">
        <v>11</v>
      </c>
      <c r="C411" t="s">
        <v>12</v>
      </c>
      <c r="D411" t="s">
        <v>28</v>
      </c>
      <c r="E411">
        <v>3</v>
      </c>
      <c r="F411" t="s">
        <v>30</v>
      </c>
      <c r="G411" t="s">
        <v>15</v>
      </c>
      <c r="H411" t="s">
        <v>16</v>
      </c>
      <c r="I411">
        <v>0</v>
      </c>
      <c r="J411" s="23">
        <v>-2287</v>
      </c>
      <c r="K411" t="s">
        <v>17</v>
      </c>
    </row>
    <row r="412" spans="1:11" ht="15" customHeight="1" x14ac:dyDescent="0.3">
      <c r="A412" t="s">
        <v>18</v>
      </c>
      <c r="B412" t="s">
        <v>11</v>
      </c>
      <c r="C412" t="s">
        <v>12</v>
      </c>
      <c r="D412" t="s">
        <v>28</v>
      </c>
      <c r="E412">
        <v>7</v>
      </c>
      <c r="F412" t="s">
        <v>14</v>
      </c>
      <c r="G412" t="s">
        <v>31</v>
      </c>
      <c r="H412" t="s">
        <v>16</v>
      </c>
      <c r="I412">
        <v>1</v>
      </c>
      <c r="J412" s="23">
        <v>-86</v>
      </c>
      <c r="K412" t="s">
        <v>17</v>
      </c>
    </row>
    <row r="413" spans="1:11" ht="15" customHeight="1" x14ac:dyDescent="0.3">
      <c r="A413" t="s">
        <v>10</v>
      </c>
      <c r="B413" t="s">
        <v>11</v>
      </c>
      <c r="C413" t="s">
        <v>24</v>
      </c>
      <c r="D413" t="s">
        <v>25</v>
      </c>
      <c r="E413">
        <v>0</v>
      </c>
      <c r="F413" t="s">
        <v>23</v>
      </c>
      <c r="G413" t="s">
        <v>15</v>
      </c>
      <c r="H413" t="s">
        <v>16</v>
      </c>
      <c r="I413">
        <v>0</v>
      </c>
      <c r="J413" s="23">
        <v>10473</v>
      </c>
      <c r="K413" t="s">
        <v>17</v>
      </c>
    </row>
    <row r="414" spans="1:11" ht="15" customHeight="1" x14ac:dyDescent="0.3">
      <c r="A414" t="s">
        <v>18</v>
      </c>
      <c r="B414" t="s">
        <v>19</v>
      </c>
      <c r="C414" t="s">
        <v>12</v>
      </c>
      <c r="D414" t="s">
        <v>28</v>
      </c>
      <c r="E414">
        <v>33</v>
      </c>
      <c r="F414"/>
      <c r="G414" t="s">
        <v>15</v>
      </c>
      <c r="H414" t="s">
        <v>16</v>
      </c>
      <c r="I414">
        <v>0</v>
      </c>
      <c r="J414" s="23">
        <v>-118</v>
      </c>
      <c r="K414" t="s">
        <v>17</v>
      </c>
    </row>
    <row r="415" spans="1:11" ht="15" customHeight="1" x14ac:dyDescent="0.3">
      <c r="A415" t="s">
        <v>10</v>
      </c>
      <c r="B415" t="s">
        <v>11</v>
      </c>
      <c r="C415" t="s">
        <v>12</v>
      </c>
      <c r="D415" t="s">
        <v>25</v>
      </c>
      <c r="E415">
        <v>-1</v>
      </c>
      <c r="F415" t="s">
        <v>29</v>
      </c>
      <c r="G415" t="s">
        <v>15</v>
      </c>
      <c r="H415" t="s">
        <v>16</v>
      </c>
      <c r="I415">
        <v>0</v>
      </c>
      <c r="J415" s="23">
        <v>-26361</v>
      </c>
      <c r="K415" t="s">
        <v>17</v>
      </c>
    </row>
    <row r="416" spans="1:11" ht="15" customHeight="1" x14ac:dyDescent="0.3">
      <c r="A416" t="s">
        <v>10</v>
      </c>
      <c r="B416" t="s">
        <v>11</v>
      </c>
      <c r="C416" t="s">
        <v>24</v>
      </c>
      <c r="D416" t="s">
        <v>13</v>
      </c>
      <c r="E416">
        <v>7</v>
      </c>
      <c r="F416" t="s">
        <v>37</v>
      </c>
      <c r="G416" t="s">
        <v>15</v>
      </c>
      <c r="H416" t="s">
        <v>16</v>
      </c>
      <c r="I416">
        <v>0</v>
      </c>
      <c r="J416" s="23">
        <v>22386</v>
      </c>
      <c r="K416">
        <v>156702</v>
      </c>
    </row>
    <row r="417" spans="1:11" ht="15" customHeight="1" x14ac:dyDescent="0.3">
      <c r="A417" t="s">
        <v>10</v>
      </c>
      <c r="B417" t="s">
        <v>11</v>
      </c>
      <c r="C417" t="s">
        <v>12</v>
      </c>
      <c r="D417" t="s">
        <v>13</v>
      </c>
      <c r="E417">
        <v>6</v>
      </c>
      <c r="F417" t="s">
        <v>14</v>
      </c>
      <c r="G417" t="s">
        <v>15</v>
      </c>
      <c r="H417" t="s">
        <v>16</v>
      </c>
      <c r="I417">
        <v>0</v>
      </c>
      <c r="J417" s="23">
        <v>-310690</v>
      </c>
      <c r="K417" t="s">
        <v>17</v>
      </c>
    </row>
    <row r="418" spans="1:11" ht="15" customHeight="1" x14ac:dyDescent="0.3">
      <c r="A418" t="s">
        <v>10</v>
      </c>
      <c r="B418" t="s">
        <v>11</v>
      </c>
      <c r="C418" t="s">
        <v>24</v>
      </c>
      <c r="D418" t="s">
        <v>25</v>
      </c>
      <c r="E418">
        <v>1</v>
      </c>
      <c r="F418" t="s">
        <v>29</v>
      </c>
      <c r="G418" t="s">
        <v>15</v>
      </c>
      <c r="H418" t="s">
        <v>16</v>
      </c>
      <c r="I418">
        <v>0</v>
      </c>
      <c r="J418" s="23">
        <v>1454423</v>
      </c>
      <c r="K418">
        <v>1454423</v>
      </c>
    </row>
    <row r="419" spans="1:11" ht="15" customHeight="1" x14ac:dyDescent="0.3">
      <c r="A419" t="s">
        <v>10</v>
      </c>
      <c r="B419" t="s">
        <v>11</v>
      </c>
      <c r="C419" t="s">
        <v>24</v>
      </c>
      <c r="D419" t="s">
        <v>28</v>
      </c>
      <c r="E419">
        <v>1</v>
      </c>
      <c r="F419" t="s">
        <v>30</v>
      </c>
      <c r="G419" t="s">
        <v>15</v>
      </c>
      <c r="H419" t="s">
        <v>16</v>
      </c>
      <c r="I419">
        <v>0</v>
      </c>
      <c r="J419" s="23">
        <v>577254</v>
      </c>
      <c r="K419">
        <v>577254</v>
      </c>
    </row>
    <row r="420" spans="1:11" ht="15" customHeight="1" x14ac:dyDescent="0.3">
      <c r="A420" t="s">
        <v>18</v>
      </c>
      <c r="B420" t="s">
        <v>11</v>
      </c>
      <c r="C420" t="s">
        <v>24</v>
      </c>
      <c r="D420" t="s">
        <v>28</v>
      </c>
      <c r="E420">
        <v>11</v>
      </c>
      <c r="F420" t="s">
        <v>29</v>
      </c>
      <c r="G420" t="s">
        <v>31</v>
      </c>
      <c r="H420" t="s">
        <v>16</v>
      </c>
      <c r="I420">
        <v>1</v>
      </c>
      <c r="J420" s="23">
        <v>1558351</v>
      </c>
      <c r="K420">
        <v>17141861</v>
      </c>
    </row>
    <row r="421" spans="1:11" ht="15" customHeight="1" x14ac:dyDescent="0.3">
      <c r="A421" t="s">
        <v>10</v>
      </c>
      <c r="B421" t="s">
        <v>11</v>
      </c>
      <c r="C421" t="s">
        <v>12</v>
      </c>
      <c r="D421" t="s">
        <v>28</v>
      </c>
      <c r="E421">
        <v>3</v>
      </c>
      <c r="F421" t="s">
        <v>33</v>
      </c>
      <c r="G421" t="s">
        <v>15</v>
      </c>
      <c r="H421" t="s">
        <v>32</v>
      </c>
      <c r="I421">
        <v>1</v>
      </c>
      <c r="J421" s="23">
        <v>-2118</v>
      </c>
      <c r="K421" t="s">
        <v>17</v>
      </c>
    </row>
    <row r="422" spans="1:11" ht="15" customHeight="1" x14ac:dyDescent="0.3">
      <c r="A422" t="s">
        <v>10</v>
      </c>
      <c r="B422" t="s">
        <v>19</v>
      </c>
      <c r="C422" t="s">
        <v>24</v>
      </c>
      <c r="D422" t="s">
        <v>28</v>
      </c>
      <c r="E422">
        <v>-1</v>
      </c>
      <c r="F422"/>
      <c r="G422" t="s">
        <v>15</v>
      </c>
      <c r="H422" t="s">
        <v>16</v>
      </c>
      <c r="I422">
        <v>0</v>
      </c>
      <c r="J422" s="23">
        <v>10834</v>
      </c>
      <c r="K422" t="s">
        <v>17</v>
      </c>
    </row>
    <row r="423" spans="1:11" ht="15" customHeight="1" x14ac:dyDescent="0.3">
      <c r="A423" t="s">
        <v>10</v>
      </c>
      <c r="B423" t="s">
        <v>11</v>
      </c>
      <c r="C423" t="s">
        <v>12</v>
      </c>
      <c r="D423" t="s">
        <v>28</v>
      </c>
      <c r="E423">
        <v>5</v>
      </c>
      <c r="F423" t="s">
        <v>23</v>
      </c>
      <c r="G423" t="s">
        <v>15</v>
      </c>
      <c r="H423" t="s">
        <v>16</v>
      </c>
      <c r="I423">
        <v>0</v>
      </c>
      <c r="J423" s="23">
        <v>-224218</v>
      </c>
      <c r="K423" t="s">
        <v>17</v>
      </c>
    </row>
    <row r="424" spans="1:11" ht="15" customHeight="1" x14ac:dyDescent="0.3">
      <c r="A424" t="s">
        <v>18</v>
      </c>
      <c r="B424" t="s">
        <v>11</v>
      </c>
      <c r="C424" t="s">
        <v>24</v>
      </c>
      <c r="D424" t="s">
        <v>28</v>
      </c>
      <c r="E424">
        <v>-4</v>
      </c>
      <c r="F424" t="s">
        <v>26</v>
      </c>
      <c r="G424" t="s">
        <v>15</v>
      </c>
      <c r="H424" t="s">
        <v>16</v>
      </c>
      <c r="I424">
        <v>0</v>
      </c>
      <c r="J424" s="23">
        <v>373679</v>
      </c>
      <c r="K424" t="s">
        <v>17</v>
      </c>
    </row>
    <row r="425" spans="1:11" ht="15" customHeight="1" x14ac:dyDescent="0.3">
      <c r="A425" t="s">
        <v>18</v>
      </c>
      <c r="B425" t="s">
        <v>11</v>
      </c>
      <c r="C425" t="s">
        <v>12</v>
      </c>
      <c r="D425" t="s">
        <v>28</v>
      </c>
      <c r="E425">
        <v>0</v>
      </c>
      <c r="F425" t="s">
        <v>14</v>
      </c>
      <c r="G425" t="s">
        <v>15</v>
      </c>
      <c r="H425" t="s">
        <v>16</v>
      </c>
      <c r="I425">
        <v>0</v>
      </c>
      <c r="J425" s="23">
        <v>-263</v>
      </c>
      <c r="K425" t="s">
        <v>17</v>
      </c>
    </row>
    <row r="426" spans="1:11" ht="15" customHeight="1" x14ac:dyDescent="0.3">
      <c r="A426" t="s">
        <v>18</v>
      </c>
      <c r="B426" t="s">
        <v>11</v>
      </c>
      <c r="C426" t="s">
        <v>24</v>
      </c>
      <c r="D426" t="s">
        <v>25</v>
      </c>
      <c r="E426">
        <v>5</v>
      </c>
      <c r="F426" t="s">
        <v>45</v>
      </c>
      <c r="G426" t="s">
        <v>15</v>
      </c>
      <c r="H426" t="s">
        <v>16</v>
      </c>
      <c r="I426">
        <v>0</v>
      </c>
      <c r="J426" s="23">
        <v>61094</v>
      </c>
      <c r="K426">
        <v>305470</v>
      </c>
    </row>
    <row r="427" spans="1:11" ht="15" customHeight="1" x14ac:dyDescent="0.3">
      <c r="A427" t="s">
        <v>22</v>
      </c>
      <c r="B427" t="s">
        <v>19</v>
      </c>
      <c r="C427" t="s">
        <v>24</v>
      </c>
      <c r="D427" t="s">
        <v>20</v>
      </c>
      <c r="E427">
        <v>32</v>
      </c>
      <c r="F427"/>
      <c r="G427" t="s">
        <v>15</v>
      </c>
      <c r="H427" t="s">
        <v>16</v>
      </c>
      <c r="I427">
        <v>0</v>
      </c>
      <c r="J427" s="23">
        <v>7945856</v>
      </c>
      <c r="K427">
        <v>254267392</v>
      </c>
    </row>
    <row r="428" spans="1:11" ht="15" customHeight="1" x14ac:dyDescent="0.3">
      <c r="A428" t="s">
        <v>22</v>
      </c>
      <c r="B428" t="s">
        <v>11</v>
      </c>
      <c r="C428" t="s">
        <v>24</v>
      </c>
      <c r="D428" t="s">
        <v>28</v>
      </c>
      <c r="E428">
        <v>19</v>
      </c>
      <c r="F428" t="s">
        <v>37</v>
      </c>
      <c r="G428" t="s">
        <v>15</v>
      </c>
      <c r="H428" t="s">
        <v>16</v>
      </c>
      <c r="I428">
        <v>0</v>
      </c>
      <c r="J428" s="23">
        <v>2898833</v>
      </c>
      <c r="K428">
        <v>55077827</v>
      </c>
    </row>
    <row r="429" spans="1:11" ht="15" customHeight="1" x14ac:dyDescent="0.3">
      <c r="A429" t="s">
        <v>18</v>
      </c>
      <c r="B429" t="s">
        <v>19</v>
      </c>
      <c r="C429" t="s">
        <v>24</v>
      </c>
      <c r="D429" t="s">
        <v>28</v>
      </c>
      <c r="E429">
        <v>18</v>
      </c>
      <c r="F429"/>
      <c r="G429" t="s">
        <v>15</v>
      </c>
      <c r="H429" t="s">
        <v>16</v>
      </c>
      <c r="I429">
        <v>0</v>
      </c>
      <c r="J429" s="23">
        <v>279834</v>
      </c>
      <c r="K429">
        <v>5037012</v>
      </c>
    </row>
    <row r="430" spans="1:11" ht="15" customHeight="1" x14ac:dyDescent="0.3">
      <c r="A430" t="s">
        <v>18</v>
      </c>
      <c r="B430" t="s">
        <v>47</v>
      </c>
      <c r="C430" t="s">
        <v>24</v>
      </c>
      <c r="D430" t="s">
        <v>28</v>
      </c>
      <c r="E430">
        <v>3</v>
      </c>
      <c r="F430" t="s">
        <v>46</v>
      </c>
      <c r="G430" t="s">
        <v>15</v>
      </c>
      <c r="H430" t="s">
        <v>16</v>
      </c>
      <c r="I430">
        <v>0</v>
      </c>
      <c r="J430" s="23">
        <v>80639</v>
      </c>
      <c r="K430">
        <v>241917</v>
      </c>
    </row>
    <row r="431" spans="1:11" ht="15" customHeight="1" x14ac:dyDescent="0.3">
      <c r="A431" t="s">
        <v>22</v>
      </c>
      <c r="B431" t="s">
        <v>11</v>
      </c>
      <c r="C431" t="s">
        <v>12</v>
      </c>
      <c r="D431" t="s">
        <v>28</v>
      </c>
      <c r="E431">
        <v>-4</v>
      </c>
      <c r="F431" t="s">
        <v>29</v>
      </c>
      <c r="G431" t="s">
        <v>15</v>
      </c>
      <c r="H431" t="s">
        <v>32</v>
      </c>
      <c r="I431">
        <v>1</v>
      </c>
      <c r="J431" s="23">
        <v>-1076870</v>
      </c>
      <c r="K431" t="s">
        <v>17</v>
      </c>
    </row>
    <row r="432" spans="1:11" ht="15" customHeight="1" x14ac:dyDescent="0.3">
      <c r="A432" t="s">
        <v>18</v>
      </c>
      <c r="B432" t="s">
        <v>11</v>
      </c>
      <c r="C432" t="s">
        <v>12</v>
      </c>
      <c r="D432" t="s">
        <v>28</v>
      </c>
      <c r="E432">
        <v>11</v>
      </c>
      <c r="F432" t="s">
        <v>29</v>
      </c>
      <c r="G432" t="s">
        <v>15</v>
      </c>
      <c r="H432" t="s">
        <v>32</v>
      </c>
      <c r="I432">
        <v>1</v>
      </c>
      <c r="J432" s="23">
        <v>-10587</v>
      </c>
      <c r="K432" t="s">
        <v>17</v>
      </c>
    </row>
    <row r="433" spans="1:11" ht="15" customHeight="1" x14ac:dyDescent="0.3">
      <c r="A433" t="s">
        <v>22</v>
      </c>
      <c r="B433" t="s">
        <v>19</v>
      </c>
      <c r="C433" t="s">
        <v>24</v>
      </c>
      <c r="D433" t="s">
        <v>20</v>
      </c>
      <c r="E433">
        <v>13</v>
      </c>
      <c r="F433"/>
      <c r="G433" t="s">
        <v>15</v>
      </c>
      <c r="H433" t="s">
        <v>32</v>
      </c>
      <c r="I433">
        <v>1</v>
      </c>
      <c r="J433" s="23">
        <v>12598</v>
      </c>
      <c r="K433">
        <v>163774</v>
      </c>
    </row>
    <row r="434" spans="1:11" ht="15" customHeight="1" x14ac:dyDescent="0.3">
      <c r="A434" t="s">
        <v>18</v>
      </c>
      <c r="B434" t="s">
        <v>11</v>
      </c>
      <c r="C434" t="s">
        <v>12</v>
      </c>
      <c r="D434" t="s">
        <v>25</v>
      </c>
      <c r="E434">
        <v>2</v>
      </c>
      <c r="F434" t="s">
        <v>14</v>
      </c>
      <c r="G434" t="s">
        <v>15</v>
      </c>
      <c r="H434" t="s">
        <v>16</v>
      </c>
      <c r="I434">
        <v>0</v>
      </c>
      <c r="J434" s="23">
        <v>-8355</v>
      </c>
      <c r="K434" t="s">
        <v>17</v>
      </c>
    </row>
    <row r="435" spans="1:11" ht="15" customHeight="1" x14ac:dyDescent="0.3">
      <c r="A435" t="s">
        <v>18</v>
      </c>
      <c r="B435" t="s">
        <v>11</v>
      </c>
      <c r="C435" t="s">
        <v>24</v>
      </c>
      <c r="D435" t="s">
        <v>28</v>
      </c>
      <c r="E435">
        <v>13</v>
      </c>
      <c r="F435" t="s">
        <v>29</v>
      </c>
      <c r="G435" t="s">
        <v>15</v>
      </c>
      <c r="H435" t="s">
        <v>16</v>
      </c>
      <c r="I435">
        <v>0</v>
      </c>
      <c r="J435" s="23">
        <v>516904</v>
      </c>
      <c r="K435">
        <v>6719752</v>
      </c>
    </row>
    <row r="436" spans="1:11" ht="15" customHeight="1" x14ac:dyDescent="0.3">
      <c r="A436" t="s">
        <v>18</v>
      </c>
      <c r="B436" t="s">
        <v>11</v>
      </c>
      <c r="C436" t="s">
        <v>12</v>
      </c>
      <c r="D436" t="s">
        <v>13</v>
      </c>
      <c r="E436">
        <v>3</v>
      </c>
      <c r="F436" t="s">
        <v>41</v>
      </c>
      <c r="G436" t="s">
        <v>15</v>
      </c>
      <c r="H436" t="s">
        <v>16</v>
      </c>
      <c r="I436">
        <v>0</v>
      </c>
      <c r="J436" s="23">
        <v>-3457</v>
      </c>
      <c r="K436" t="s">
        <v>17</v>
      </c>
    </row>
    <row r="437" spans="1:11" ht="15" customHeight="1" x14ac:dyDescent="0.3">
      <c r="A437" t="s">
        <v>18</v>
      </c>
      <c r="B437" t="s">
        <v>11</v>
      </c>
      <c r="C437" t="s">
        <v>12</v>
      </c>
      <c r="D437" t="s">
        <v>25</v>
      </c>
      <c r="E437">
        <v>6</v>
      </c>
      <c r="F437" t="s">
        <v>14</v>
      </c>
      <c r="G437" t="s">
        <v>15</v>
      </c>
      <c r="H437" t="s">
        <v>16</v>
      </c>
      <c r="I437">
        <v>0</v>
      </c>
      <c r="J437" s="23">
        <v>-3796</v>
      </c>
      <c r="K437" t="s">
        <v>17</v>
      </c>
    </row>
    <row r="438" spans="1:11" ht="15" customHeight="1" x14ac:dyDescent="0.3">
      <c r="A438" t="s">
        <v>18</v>
      </c>
      <c r="B438" t="s">
        <v>11</v>
      </c>
      <c r="C438" t="s">
        <v>12</v>
      </c>
      <c r="D438" t="s">
        <v>25</v>
      </c>
      <c r="E438">
        <v>7</v>
      </c>
      <c r="F438" t="s">
        <v>33</v>
      </c>
      <c r="G438" t="s">
        <v>15</v>
      </c>
      <c r="H438" t="s">
        <v>16</v>
      </c>
      <c r="I438">
        <v>0</v>
      </c>
      <c r="J438" s="23">
        <v>-3563</v>
      </c>
      <c r="K438" t="s">
        <v>17</v>
      </c>
    </row>
    <row r="439" spans="1:11" ht="15" customHeight="1" x14ac:dyDescent="0.3">
      <c r="A439" t="s">
        <v>18</v>
      </c>
      <c r="B439" t="s">
        <v>11</v>
      </c>
      <c r="C439" t="s">
        <v>24</v>
      </c>
      <c r="D439" t="s">
        <v>13</v>
      </c>
      <c r="E439">
        <v>6</v>
      </c>
      <c r="F439" t="s">
        <v>40</v>
      </c>
      <c r="G439" t="s">
        <v>15</v>
      </c>
      <c r="H439" t="s">
        <v>16</v>
      </c>
      <c r="I439">
        <v>0</v>
      </c>
      <c r="J439" s="23">
        <v>797043</v>
      </c>
      <c r="K439">
        <v>4782258</v>
      </c>
    </row>
    <row r="440" spans="1:11" ht="15" customHeight="1" x14ac:dyDescent="0.3">
      <c r="A440" t="s">
        <v>22</v>
      </c>
      <c r="B440" t="s">
        <v>11</v>
      </c>
      <c r="C440" t="s">
        <v>12</v>
      </c>
      <c r="D440" t="s">
        <v>28</v>
      </c>
      <c r="E440">
        <v>20</v>
      </c>
      <c r="F440" t="s">
        <v>39</v>
      </c>
      <c r="G440" t="s">
        <v>15</v>
      </c>
      <c r="H440" t="s">
        <v>16</v>
      </c>
      <c r="I440">
        <v>0</v>
      </c>
      <c r="J440" s="23">
        <v>-131884</v>
      </c>
      <c r="K440" t="s">
        <v>17</v>
      </c>
    </row>
    <row r="441" spans="1:11" ht="15" customHeight="1" x14ac:dyDescent="0.3">
      <c r="A441" t="s">
        <v>10</v>
      </c>
      <c r="B441" t="s">
        <v>19</v>
      </c>
      <c r="C441" t="s">
        <v>24</v>
      </c>
      <c r="D441" t="s">
        <v>20</v>
      </c>
      <c r="E441">
        <v>17</v>
      </c>
      <c r="F441"/>
      <c r="G441" t="s">
        <v>15</v>
      </c>
      <c r="H441" t="s">
        <v>32</v>
      </c>
      <c r="I441">
        <v>1</v>
      </c>
      <c r="J441" s="23">
        <v>213877</v>
      </c>
      <c r="K441">
        <v>3635909</v>
      </c>
    </row>
    <row r="442" spans="1:11" ht="15" customHeight="1" x14ac:dyDescent="0.3">
      <c r="A442" t="s">
        <v>22</v>
      </c>
      <c r="B442" t="s">
        <v>11</v>
      </c>
      <c r="C442" t="s">
        <v>12</v>
      </c>
      <c r="D442" t="s">
        <v>13</v>
      </c>
      <c r="E442">
        <v>6</v>
      </c>
      <c r="F442" t="s">
        <v>14</v>
      </c>
      <c r="G442" t="s">
        <v>15</v>
      </c>
      <c r="H442" t="s">
        <v>16</v>
      </c>
      <c r="I442">
        <v>0</v>
      </c>
      <c r="J442" s="23">
        <v>-27587</v>
      </c>
      <c r="K442" t="s">
        <v>17</v>
      </c>
    </row>
    <row r="443" spans="1:11" ht="15" customHeight="1" x14ac:dyDescent="0.3">
      <c r="A443" t="s">
        <v>22</v>
      </c>
      <c r="B443" t="s">
        <v>11</v>
      </c>
      <c r="C443" t="s">
        <v>12</v>
      </c>
      <c r="D443" t="s">
        <v>25</v>
      </c>
      <c r="E443">
        <v>1</v>
      </c>
      <c r="F443" t="s">
        <v>29</v>
      </c>
      <c r="G443" t="s">
        <v>15</v>
      </c>
      <c r="H443" t="s">
        <v>16</v>
      </c>
      <c r="I443">
        <v>0</v>
      </c>
      <c r="J443" s="23">
        <v>-318650</v>
      </c>
      <c r="K443" t="s">
        <v>17</v>
      </c>
    </row>
    <row r="444" spans="1:11" ht="15" customHeight="1" x14ac:dyDescent="0.3">
      <c r="A444" t="s">
        <v>18</v>
      </c>
      <c r="B444" t="s">
        <v>11</v>
      </c>
      <c r="C444" t="s">
        <v>12</v>
      </c>
      <c r="D444" t="s">
        <v>28</v>
      </c>
      <c r="E444">
        <v>12</v>
      </c>
      <c r="F444" t="s">
        <v>14</v>
      </c>
      <c r="G444" t="s">
        <v>15</v>
      </c>
      <c r="H444" t="s">
        <v>16</v>
      </c>
      <c r="I444">
        <v>0</v>
      </c>
      <c r="J444" s="23">
        <v>-32984</v>
      </c>
      <c r="K444" t="s">
        <v>17</v>
      </c>
    </row>
    <row r="445" spans="1:11" ht="15" customHeight="1" x14ac:dyDescent="0.3">
      <c r="A445" t="s">
        <v>10</v>
      </c>
      <c r="B445" t="s">
        <v>11</v>
      </c>
      <c r="C445" t="s">
        <v>12</v>
      </c>
      <c r="D445" t="s">
        <v>25</v>
      </c>
      <c r="E445">
        <v>6</v>
      </c>
      <c r="F445" t="s">
        <v>14</v>
      </c>
      <c r="G445" t="s">
        <v>15</v>
      </c>
      <c r="H445" t="s">
        <v>16</v>
      </c>
      <c r="I445">
        <v>0</v>
      </c>
      <c r="J445" s="23">
        <v>-26502</v>
      </c>
      <c r="K445" t="s">
        <v>17</v>
      </c>
    </row>
    <row r="446" spans="1:11" ht="15" customHeight="1" x14ac:dyDescent="0.3">
      <c r="A446" t="s">
        <v>10</v>
      </c>
      <c r="B446" t="s">
        <v>11</v>
      </c>
      <c r="C446" t="s">
        <v>24</v>
      </c>
      <c r="D446" t="s">
        <v>28</v>
      </c>
      <c r="E446">
        <v>12</v>
      </c>
      <c r="F446" t="s">
        <v>42</v>
      </c>
      <c r="G446" t="s">
        <v>15</v>
      </c>
      <c r="H446" t="s">
        <v>16</v>
      </c>
      <c r="I446">
        <v>0</v>
      </c>
      <c r="J446" s="23">
        <v>159273</v>
      </c>
      <c r="K446">
        <v>1911276</v>
      </c>
    </row>
    <row r="447" spans="1:11" ht="15" customHeight="1" x14ac:dyDescent="0.3">
      <c r="A447" t="s">
        <v>10</v>
      </c>
      <c r="B447" t="s">
        <v>11</v>
      </c>
      <c r="C447" t="s">
        <v>12</v>
      </c>
      <c r="D447" t="s">
        <v>28</v>
      </c>
      <c r="E447">
        <v>8</v>
      </c>
      <c r="F447" t="s">
        <v>29</v>
      </c>
      <c r="G447" t="s">
        <v>15</v>
      </c>
      <c r="H447" t="s">
        <v>16</v>
      </c>
      <c r="I447">
        <v>0</v>
      </c>
      <c r="J447" s="23">
        <v>-47032</v>
      </c>
      <c r="K447" t="s">
        <v>17</v>
      </c>
    </row>
    <row r="448" spans="1:11" ht="15" customHeight="1" x14ac:dyDescent="0.3">
      <c r="A448" t="s">
        <v>10</v>
      </c>
      <c r="B448" t="s">
        <v>11</v>
      </c>
      <c r="C448" t="s">
        <v>24</v>
      </c>
      <c r="D448" t="s">
        <v>28</v>
      </c>
      <c r="E448">
        <v>2</v>
      </c>
      <c r="F448" t="s">
        <v>23</v>
      </c>
      <c r="G448" t="s">
        <v>15</v>
      </c>
      <c r="H448" t="s">
        <v>16</v>
      </c>
      <c r="I448">
        <v>0</v>
      </c>
      <c r="J448" s="23">
        <v>838530</v>
      </c>
      <c r="K448">
        <v>1677060</v>
      </c>
    </row>
    <row r="449" spans="1:11" ht="15" customHeight="1" x14ac:dyDescent="0.3">
      <c r="A449" t="s">
        <v>18</v>
      </c>
      <c r="B449" t="s">
        <v>11</v>
      </c>
      <c r="C449" t="s">
        <v>24</v>
      </c>
      <c r="D449" t="s">
        <v>28</v>
      </c>
      <c r="E449">
        <v>16</v>
      </c>
      <c r="F449" t="s">
        <v>27</v>
      </c>
      <c r="G449" t="s">
        <v>15</v>
      </c>
      <c r="H449" t="s">
        <v>16</v>
      </c>
      <c r="I449">
        <v>0</v>
      </c>
      <c r="J449" s="23">
        <v>1609851</v>
      </c>
      <c r="K449">
        <v>25757616</v>
      </c>
    </row>
    <row r="450" spans="1:11" ht="15" customHeight="1" x14ac:dyDescent="0.3">
      <c r="A450" t="s">
        <v>18</v>
      </c>
      <c r="B450" t="s">
        <v>11</v>
      </c>
      <c r="C450" t="s">
        <v>12</v>
      </c>
      <c r="D450" t="s">
        <v>25</v>
      </c>
      <c r="E450">
        <v>-4</v>
      </c>
      <c r="F450" t="s">
        <v>33</v>
      </c>
      <c r="G450" t="s">
        <v>15</v>
      </c>
      <c r="H450" t="s">
        <v>16</v>
      </c>
      <c r="I450">
        <v>0</v>
      </c>
      <c r="J450" s="23">
        <v>-1</v>
      </c>
      <c r="K450" t="s">
        <v>17</v>
      </c>
    </row>
    <row r="451" spans="1:11" ht="15" customHeight="1" x14ac:dyDescent="0.3">
      <c r="A451" t="s">
        <v>18</v>
      </c>
      <c r="B451" t="s">
        <v>11</v>
      </c>
      <c r="C451" t="s">
        <v>24</v>
      </c>
      <c r="D451" t="s">
        <v>28</v>
      </c>
      <c r="E451">
        <v>8</v>
      </c>
      <c r="F451" t="s">
        <v>34</v>
      </c>
      <c r="G451" t="s">
        <v>15</v>
      </c>
      <c r="H451" t="s">
        <v>32</v>
      </c>
      <c r="I451">
        <v>1</v>
      </c>
      <c r="J451" s="23">
        <v>346914</v>
      </c>
      <c r="K451">
        <v>2775312</v>
      </c>
    </row>
    <row r="452" spans="1:11" ht="15" customHeight="1" x14ac:dyDescent="0.3">
      <c r="A452" t="s">
        <v>22</v>
      </c>
      <c r="B452" t="s">
        <v>11</v>
      </c>
      <c r="C452" t="s">
        <v>24</v>
      </c>
      <c r="D452" t="s">
        <v>13</v>
      </c>
      <c r="E452">
        <v>6</v>
      </c>
      <c r="F452" t="s">
        <v>26</v>
      </c>
      <c r="G452" t="s">
        <v>15</v>
      </c>
      <c r="H452" t="s">
        <v>16</v>
      </c>
      <c r="I452">
        <v>0</v>
      </c>
      <c r="J452" s="23">
        <v>85065</v>
      </c>
      <c r="K452">
        <v>510390</v>
      </c>
    </row>
    <row r="453" spans="1:11" ht="15" customHeight="1" x14ac:dyDescent="0.3">
      <c r="A453" t="s">
        <v>18</v>
      </c>
      <c r="B453" t="s">
        <v>11</v>
      </c>
      <c r="C453" t="s">
        <v>24</v>
      </c>
      <c r="D453" t="s">
        <v>28</v>
      </c>
      <c r="E453">
        <v>15</v>
      </c>
      <c r="F453" t="s">
        <v>30</v>
      </c>
      <c r="G453" t="s">
        <v>15</v>
      </c>
      <c r="H453" t="s">
        <v>16</v>
      </c>
      <c r="I453">
        <v>0</v>
      </c>
      <c r="J453" s="23">
        <v>3456961</v>
      </c>
      <c r="K453">
        <v>51854415</v>
      </c>
    </row>
    <row r="454" spans="1:11" ht="15" customHeight="1" x14ac:dyDescent="0.3">
      <c r="A454" t="s">
        <v>22</v>
      </c>
      <c r="B454" t="s">
        <v>11</v>
      </c>
      <c r="C454" t="s">
        <v>24</v>
      </c>
      <c r="D454" t="s">
        <v>13</v>
      </c>
      <c r="E454">
        <v>-1</v>
      </c>
      <c r="F454" t="s">
        <v>49</v>
      </c>
      <c r="G454" t="s">
        <v>15</v>
      </c>
      <c r="H454" t="s">
        <v>16</v>
      </c>
      <c r="I454">
        <v>0</v>
      </c>
      <c r="J454" s="23">
        <v>0</v>
      </c>
      <c r="K454" t="s">
        <v>17</v>
      </c>
    </row>
    <row r="455" spans="1:11" ht="15" customHeight="1" x14ac:dyDescent="0.3">
      <c r="A455" t="s">
        <v>18</v>
      </c>
      <c r="B455" t="s">
        <v>11</v>
      </c>
      <c r="C455" t="s">
        <v>12</v>
      </c>
      <c r="D455" t="s">
        <v>25</v>
      </c>
      <c r="E455">
        <v>0</v>
      </c>
      <c r="F455" t="s">
        <v>38</v>
      </c>
      <c r="G455" t="s">
        <v>15</v>
      </c>
      <c r="H455" t="s">
        <v>16</v>
      </c>
      <c r="I455">
        <v>0</v>
      </c>
      <c r="J455" s="23">
        <v>-50</v>
      </c>
      <c r="K455" t="s">
        <v>17</v>
      </c>
    </row>
    <row r="456" spans="1:11" ht="15" customHeight="1" x14ac:dyDescent="0.3">
      <c r="A456" t="s">
        <v>18</v>
      </c>
      <c r="B456" t="s">
        <v>11</v>
      </c>
      <c r="C456" t="s">
        <v>24</v>
      </c>
      <c r="D456" t="s">
        <v>25</v>
      </c>
      <c r="E456">
        <v>3</v>
      </c>
      <c r="F456" t="s">
        <v>39</v>
      </c>
      <c r="G456" t="s">
        <v>15</v>
      </c>
      <c r="H456" t="s">
        <v>16</v>
      </c>
      <c r="I456">
        <v>0</v>
      </c>
      <c r="J456" s="23">
        <v>12283935</v>
      </c>
      <c r="K456">
        <v>36851805</v>
      </c>
    </row>
    <row r="457" spans="1:11" ht="15" customHeight="1" x14ac:dyDescent="0.3">
      <c r="A457" t="s">
        <v>18</v>
      </c>
      <c r="B457" t="s">
        <v>11</v>
      </c>
      <c r="C457" t="s">
        <v>12</v>
      </c>
      <c r="D457" t="s">
        <v>25</v>
      </c>
      <c r="E457">
        <v>2</v>
      </c>
      <c r="F457" t="s">
        <v>33</v>
      </c>
      <c r="G457" t="s">
        <v>15</v>
      </c>
      <c r="H457" t="s">
        <v>16</v>
      </c>
      <c r="I457">
        <v>0</v>
      </c>
      <c r="J457" s="23">
        <v>-3940</v>
      </c>
      <c r="K457" t="s">
        <v>17</v>
      </c>
    </row>
    <row r="458" spans="1:11" ht="15" customHeight="1" x14ac:dyDescent="0.3">
      <c r="A458" t="s">
        <v>10</v>
      </c>
      <c r="B458" t="s">
        <v>11</v>
      </c>
      <c r="C458" t="s">
        <v>12</v>
      </c>
      <c r="D458" t="s">
        <v>13</v>
      </c>
      <c r="E458">
        <v>8</v>
      </c>
      <c r="F458" t="s">
        <v>29</v>
      </c>
      <c r="G458" t="s">
        <v>15</v>
      </c>
      <c r="H458" t="s">
        <v>16</v>
      </c>
      <c r="I458">
        <v>0</v>
      </c>
      <c r="J458" s="23">
        <v>-141975</v>
      </c>
      <c r="K458" t="s">
        <v>17</v>
      </c>
    </row>
    <row r="459" spans="1:11" ht="15" customHeight="1" x14ac:dyDescent="0.3">
      <c r="A459" t="s">
        <v>18</v>
      </c>
      <c r="B459" t="s">
        <v>19</v>
      </c>
      <c r="C459" t="s">
        <v>12</v>
      </c>
      <c r="D459" t="s">
        <v>20</v>
      </c>
      <c r="E459">
        <v>12</v>
      </c>
      <c r="F459"/>
      <c r="G459" t="s">
        <v>15</v>
      </c>
      <c r="H459" t="s">
        <v>16</v>
      </c>
      <c r="I459">
        <v>0</v>
      </c>
      <c r="J459" s="23">
        <v>-81847</v>
      </c>
      <c r="K459" t="s">
        <v>17</v>
      </c>
    </row>
    <row r="460" spans="1:11" ht="15" customHeight="1" x14ac:dyDescent="0.3">
      <c r="A460" t="s">
        <v>18</v>
      </c>
      <c r="B460" t="s">
        <v>11</v>
      </c>
      <c r="C460" t="s">
        <v>12</v>
      </c>
      <c r="D460" t="s">
        <v>25</v>
      </c>
      <c r="E460">
        <v>6</v>
      </c>
      <c r="F460" t="s">
        <v>33</v>
      </c>
      <c r="G460" t="s">
        <v>15</v>
      </c>
      <c r="H460" t="s">
        <v>16</v>
      </c>
      <c r="I460">
        <v>0</v>
      </c>
      <c r="J460" s="23">
        <v>-703</v>
      </c>
      <c r="K460" t="s">
        <v>17</v>
      </c>
    </row>
    <row r="461" spans="1:11" ht="15" customHeight="1" x14ac:dyDescent="0.3">
      <c r="A461" t="s">
        <v>22</v>
      </c>
      <c r="B461" t="s">
        <v>11</v>
      </c>
      <c r="C461" t="s">
        <v>12</v>
      </c>
      <c r="D461" t="s">
        <v>28</v>
      </c>
      <c r="E461">
        <v>-1</v>
      </c>
      <c r="F461" t="s">
        <v>29</v>
      </c>
      <c r="G461" t="s">
        <v>15</v>
      </c>
      <c r="H461" t="s">
        <v>16</v>
      </c>
      <c r="I461">
        <v>0</v>
      </c>
      <c r="J461" s="23">
        <v>-1680694</v>
      </c>
      <c r="K461" t="s">
        <v>17</v>
      </c>
    </row>
    <row r="462" spans="1:11" ht="15" customHeight="1" x14ac:dyDescent="0.3">
      <c r="A462" t="s">
        <v>18</v>
      </c>
      <c r="B462" t="s">
        <v>19</v>
      </c>
      <c r="C462" t="s">
        <v>24</v>
      </c>
      <c r="D462" t="s">
        <v>20</v>
      </c>
      <c r="E462">
        <v>21</v>
      </c>
      <c r="F462"/>
      <c r="G462" t="s">
        <v>15</v>
      </c>
      <c r="H462" t="s">
        <v>32</v>
      </c>
      <c r="I462">
        <v>1</v>
      </c>
      <c r="J462" s="23">
        <v>3011862</v>
      </c>
      <c r="K462">
        <v>63249102</v>
      </c>
    </row>
    <row r="463" spans="1:11" ht="15" customHeight="1" x14ac:dyDescent="0.3">
      <c r="A463" t="s">
        <v>10</v>
      </c>
      <c r="B463" t="s">
        <v>11</v>
      </c>
      <c r="C463" t="s">
        <v>12</v>
      </c>
      <c r="D463" t="s">
        <v>25</v>
      </c>
      <c r="E463">
        <v>6</v>
      </c>
      <c r="F463" t="s">
        <v>33</v>
      </c>
      <c r="G463" t="s">
        <v>15</v>
      </c>
      <c r="H463" t="s">
        <v>16</v>
      </c>
      <c r="I463">
        <v>0</v>
      </c>
      <c r="J463" s="23">
        <v>-4773</v>
      </c>
      <c r="K463" t="s">
        <v>17</v>
      </c>
    </row>
    <row r="464" spans="1:11" ht="15" customHeight="1" x14ac:dyDescent="0.3">
      <c r="A464" t="s">
        <v>18</v>
      </c>
      <c r="B464" t="s">
        <v>11</v>
      </c>
      <c r="C464" t="s">
        <v>24</v>
      </c>
      <c r="D464" t="s">
        <v>13</v>
      </c>
      <c r="E464">
        <v>0</v>
      </c>
      <c r="F464" t="s">
        <v>40</v>
      </c>
      <c r="G464" t="s">
        <v>15</v>
      </c>
      <c r="H464" t="s">
        <v>16</v>
      </c>
      <c r="I464">
        <v>0</v>
      </c>
      <c r="J464" s="23">
        <v>276248888</v>
      </c>
      <c r="K464" t="s">
        <v>17</v>
      </c>
    </row>
    <row r="465" spans="1:11" ht="15" customHeight="1" x14ac:dyDescent="0.3">
      <c r="A465" t="s">
        <v>22</v>
      </c>
      <c r="B465" t="s">
        <v>11</v>
      </c>
      <c r="C465" t="s">
        <v>12</v>
      </c>
      <c r="D465" t="s">
        <v>13</v>
      </c>
      <c r="E465">
        <v>5</v>
      </c>
      <c r="F465" t="s">
        <v>34</v>
      </c>
      <c r="G465" t="s">
        <v>15</v>
      </c>
      <c r="H465" t="s">
        <v>16</v>
      </c>
      <c r="I465">
        <v>0</v>
      </c>
      <c r="J465" s="23">
        <v>-1275231</v>
      </c>
      <c r="K465" t="s">
        <v>17</v>
      </c>
    </row>
    <row r="466" spans="1:11" ht="15" customHeight="1" x14ac:dyDescent="0.3">
      <c r="A466" t="s">
        <v>18</v>
      </c>
      <c r="B466" t="s">
        <v>11</v>
      </c>
      <c r="C466" t="s">
        <v>24</v>
      </c>
      <c r="D466" t="s">
        <v>13</v>
      </c>
      <c r="E466">
        <v>2</v>
      </c>
      <c r="F466" t="s">
        <v>49</v>
      </c>
      <c r="G466" t="s">
        <v>15</v>
      </c>
      <c r="H466" t="s">
        <v>16</v>
      </c>
      <c r="I466">
        <v>0</v>
      </c>
      <c r="J466" s="23">
        <v>113065</v>
      </c>
      <c r="K466">
        <v>226130</v>
      </c>
    </row>
    <row r="467" spans="1:11" ht="15" customHeight="1" x14ac:dyDescent="0.3">
      <c r="A467" t="s">
        <v>18</v>
      </c>
      <c r="B467" t="s">
        <v>11</v>
      </c>
      <c r="C467" t="s">
        <v>12</v>
      </c>
      <c r="D467" t="s">
        <v>25</v>
      </c>
      <c r="E467">
        <v>3</v>
      </c>
      <c r="F467" t="s">
        <v>34</v>
      </c>
      <c r="G467" t="s">
        <v>15</v>
      </c>
      <c r="H467" t="s">
        <v>16</v>
      </c>
      <c r="I467">
        <v>0</v>
      </c>
      <c r="J467" s="23">
        <v>-27884</v>
      </c>
      <c r="K467" t="s">
        <v>17</v>
      </c>
    </row>
    <row r="468" spans="1:11" ht="15" customHeight="1" x14ac:dyDescent="0.3">
      <c r="A468" t="s">
        <v>18</v>
      </c>
      <c r="B468" t="s">
        <v>19</v>
      </c>
      <c r="C468" t="s">
        <v>24</v>
      </c>
      <c r="D468" t="s">
        <v>20</v>
      </c>
      <c r="E468">
        <v>25</v>
      </c>
      <c r="F468"/>
      <c r="G468" t="s">
        <v>31</v>
      </c>
      <c r="H468" t="s">
        <v>32</v>
      </c>
      <c r="I468">
        <v>1</v>
      </c>
      <c r="J468" s="23">
        <v>336587</v>
      </c>
      <c r="K468">
        <v>8414675</v>
      </c>
    </row>
    <row r="469" spans="1:11" ht="15" customHeight="1" x14ac:dyDescent="0.3">
      <c r="A469" t="s">
        <v>22</v>
      </c>
      <c r="B469" t="s">
        <v>11</v>
      </c>
      <c r="C469" t="s">
        <v>12</v>
      </c>
      <c r="D469" t="s">
        <v>13</v>
      </c>
      <c r="E469">
        <v>3</v>
      </c>
      <c r="F469" t="s">
        <v>42</v>
      </c>
      <c r="G469" t="s">
        <v>15</v>
      </c>
      <c r="H469" t="s">
        <v>16</v>
      </c>
      <c r="I469">
        <v>0</v>
      </c>
      <c r="J469" s="23">
        <v>-31216</v>
      </c>
      <c r="K469" t="s">
        <v>17</v>
      </c>
    </row>
    <row r="470" spans="1:11" ht="15" customHeight="1" x14ac:dyDescent="0.3">
      <c r="A470" t="s">
        <v>10</v>
      </c>
      <c r="B470" t="s">
        <v>11</v>
      </c>
      <c r="C470" t="s">
        <v>12</v>
      </c>
      <c r="D470" t="s">
        <v>28</v>
      </c>
      <c r="E470">
        <v>15</v>
      </c>
      <c r="F470" t="s">
        <v>26</v>
      </c>
      <c r="G470" t="s">
        <v>15</v>
      </c>
      <c r="H470" t="s">
        <v>16</v>
      </c>
      <c r="I470">
        <v>0</v>
      </c>
      <c r="J470" s="23">
        <v>-290496</v>
      </c>
      <c r="K470" t="s">
        <v>17</v>
      </c>
    </row>
    <row r="471" spans="1:11" ht="15" customHeight="1" x14ac:dyDescent="0.3">
      <c r="A471" t="s">
        <v>18</v>
      </c>
      <c r="B471" t="s">
        <v>19</v>
      </c>
      <c r="C471" t="s">
        <v>12</v>
      </c>
      <c r="D471" t="s">
        <v>20</v>
      </c>
      <c r="E471">
        <v>2</v>
      </c>
      <c r="F471"/>
      <c r="G471" t="s">
        <v>15</v>
      </c>
      <c r="H471" t="s">
        <v>32</v>
      </c>
      <c r="I471">
        <v>1</v>
      </c>
      <c r="J471" s="23">
        <v>-52</v>
      </c>
      <c r="K471" t="s">
        <v>17</v>
      </c>
    </row>
    <row r="472" spans="1:11" ht="15" customHeight="1" x14ac:dyDescent="0.3">
      <c r="A472" t="s">
        <v>18</v>
      </c>
      <c r="B472" t="s">
        <v>11</v>
      </c>
      <c r="C472" t="s">
        <v>12</v>
      </c>
      <c r="D472" t="s">
        <v>28</v>
      </c>
      <c r="E472">
        <v>8</v>
      </c>
      <c r="F472" t="s">
        <v>29</v>
      </c>
      <c r="G472" t="s">
        <v>15</v>
      </c>
      <c r="H472" t="s">
        <v>32</v>
      </c>
      <c r="I472">
        <v>1</v>
      </c>
      <c r="J472" s="23">
        <v>-22715</v>
      </c>
      <c r="K472" t="s">
        <v>17</v>
      </c>
    </row>
    <row r="473" spans="1:11" ht="15" customHeight="1" x14ac:dyDescent="0.3">
      <c r="A473" t="s">
        <v>10</v>
      </c>
      <c r="B473" t="s">
        <v>11</v>
      </c>
      <c r="C473" t="s">
        <v>24</v>
      </c>
      <c r="D473" t="s">
        <v>25</v>
      </c>
      <c r="E473">
        <v>2</v>
      </c>
      <c r="F473" t="s">
        <v>36</v>
      </c>
      <c r="G473" t="s">
        <v>15</v>
      </c>
      <c r="H473" t="s">
        <v>16</v>
      </c>
      <c r="I473">
        <v>0</v>
      </c>
      <c r="J473" s="23">
        <v>61100</v>
      </c>
      <c r="K473">
        <v>122200</v>
      </c>
    </row>
    <row r="474" spans="1:11" ht="15" customHeight="1" x14ac:dyDescent="0.3">
      <c r="A474" t="s">
        <v>10</v>
      </c>
      <c r="B474" t="s">
        <v>11</v>
      </c>
      <c r="C474" t="s">
        <v>12</v>
      </c>
      <c r="D474" t="s">
        <v>28</v>
      </c>
      <c r="E474">
        <v>7</v>
      </c>
      <c r="F474" t="s">
        <v>21</v>
      </c>
      <c r="G474" t="s">
        <v>31</v>
      </c>
      <c r="H474" t="s">
        <v>32</v>
      </c>
      <c r="I474">
        <v>1</v>
      </c>
      <c r="J474" s="23">
        <v>-11477</v>
      </c>
      <c r="K474" t="s">
        <v>17</v>
      </c>
    </row>
    <row r="475" spans="1:11" ht="15" customHeight="1" x14ac:dyDescent="0.3">
      <c r="A475" t="s">
        <v>10</v>
      </c>
      <c r="B475" t="s">
        <v>11</v>
      </c>
      <c r="C475" t="s">
        <v>12</v>
      </c>
      <c r="D475" t="s">
        <v>13</v>
      </c>
      <c r="E475">
        <v>-1</v>
      </c>
      <c r="F475" t="s">
        <v>27</v>
      </c>
      <c r="G475" t="s">
        <v>15</v>
      </c>
      <c r="H475" t="s">
        <v>16</v>
      </c>
      <c r="I475">
        <v>0</v>
      </c>
      <c r="J475" s="23">
        <v>-100550</v>
      </c>
      <c r="K475" t="s">
        <v>17</v>
      </c>
    </row>
    <row r="476" spans="1:11" ht="15" customHeight="1" x14ac:dyDescent="0.3">
      <c r="A476" t="s">
        <v>18</v>
      </c>
      <c r="B476" t="s">
        <v>11</v>
      </c>
      <c r="C476" t="s">
        <v>12</v>
      </c>
      <c r="D476" t="s">
        <v>13</v>
      </c>
      <c r="E476">
        <v>6</v>
      </c>
      <c r="F476" t="s">
        <v>33</v>
      </c>
      <c r="G476" t="s">
        <v>15</v>
      </c>
      <c r="H476" t="s">
        <v>16</v>
      </c>
      <c r="I476">
        <v>0</v>
      </c>
      <c r="J476" s="23">
        <v>-12324</v>
      </c>
      <c r="K476" t="s">
        <v>17</v>
      </c>
    </row>
    <row r="477" spans="1:11" ht="15" customHeight="1" x14ac:dyDescent="0.3">
      <c r="A477" t="s">
        <v>22</v>
      </c>
      <c r="B477" t="s">
        <v>11</v>
      </c>
      <c r="C477" t="s">
        <v>24</v>
      </c>
      <c r="D477" t="s">
        <v>28</v>
      </c>
      <c r="E477">
        <v>8</v>
      </c>
      <c r="F477" t="s">
        <v>29</v>
      </c>
      <c r="G477" t="s">
        <v>15</v>
      </c>
      <c r="H477" t="s">
        <v>16</v>
      </c>
      <c r="I477">
        <v>0</v>
      </c>
      <c r="J477" s="23">
        <v>561933</v>
      </c>
      <c r="K477">
        <v>4495464</v>
      </c>
    </row>
    <row r="478" spans="1:11" ht="15" customHeight="1" x14ac:dyDescent="0.3">
      <c r="A478" t="s">
        <v>18</v>
      </c>
      <c r="B478" t="s">
        <v>19</v>
      </c>
      <c r="C478" t="s">
        <v>24</v>
      </c>
      <c r="D478" t="s">
        <v>20</v>
      </c>
      <c r="E478">
        <v>23</v>
      </c>
      <c r="F478"/>
      <c r="G478" t="s">
        <v>31</v>
      </c>
      <c r="H478" t="s">
        <v>32</v>
      </c>
      <c r="I478">
        <v>1</v>
      </c>
      <c r="J478" s="23">
        <v>67782</v>
      </c>
      <c r="K478">
        <v>1558986</v>
      </c>
    </row>
    <row r="479" spans="1:11" ht="15" customHeight="1" x14ac:dyDescent="0.3">
      <c r="A479" t="s">
        <v>22</v>
      </c>
      <c r="B479" t="s">
        <v>11</v>
      </c>
      <c r="C479" t="s">
        <v>12</v>
      </c>
      <c r="D479" t="s">
        <v>28</v>
      </c>
      <c r="E479">
        <v>8</v>
      </c>
      <c r="F479" t="s">
        <v>34</v>
      </c>
      <c r="G479" t="s">
        <v>15</v>
      </c>
      <c r="H479" t="s">
        <v>32</v>
      </c>
      <c r="I479">
        <v>1</v>
      </c>
      <c r="J479" s="23">
        <v>-405480</v>
      </c>
      <c r="K479" t="s">
        <v>17</v>
      </c>
    </row>
    <row r="480" spans="1:11" ht="15" customHeight="1" x14ac:dyDescent="0.3">
      <c r="A480" t="s">
        <v>10</v>
      </c>
      <c r="B480" t="s">
        <v>11</v>
      </c>
      <c r="C480" t="s">
        <v>24</v>
      </c>
      <c r="D480" t="s">
        <v>28</v>
      </c>
      <c r="E480">
        <v>0</v>
      </c>
      <c r="F480" t="s">
        <v>26</v>
      </c>
      <c r="G480" t="s">
        <v>15</v>
      </c>
      <c r="H480" t="s">
        <v>16</v>
      </c>
      <c r="I480">
        <v>0</v>
      </c>
      <c r="J480" s="23">
        <v>705573</v>
      </c>
      <c r="K480" t="s">
        <v>17</v>
      </c>
    </row>
    <row r="481" spans="1:11" ht="15" customHeight="1" x14ac:dyDescent="0.3">
      <c r="A481" t="s">
        <v>18</v>
      </c>
      <c r="B481" t="s">
        <v>19</v>
      </c>
      <c r="C481" t="s">
        <v>12</v>
      </c>
      <c r="D481" t="s">
        <v>20</v>
      </c>
      <c r="E481">
        <v>8</v>
      </c>
      <c r="F481"/>
      <c r="G481" t="s">
        <v>15</v>
      </c>
      <c r="H481" t="s">
        <v>16</v>
      </c>
      <c r="I481">
        <v>0</v>
      </c>
      <c r="J481" s="23">
        <v>-65285</v>
      </c>
      <c r="K481" t="s">
        <v>17</v>
      </c>
    </row>
    <row r="482" spans="1:11" ht="15" customHeight="1" x14ac:dyDescent="0.3">
      <c r="A482" t="s">
        <v>22</v>
      </c>
      <c r="B482" t="s">
        <v>11</v>
      </c>
      <c r="C482" t="s">
        <v>24</v>
      </c>
      <c r="D482" t="s">
        <v>25</v>
      </c>
      <c r="E482">
        <v>1</v>
      </c>
      <c r="F482" t="s">
        <v>26</v>
      </c>
      <c r="G482" t="s">
        <v>15</v>
      </c>
      <c r="H482" t="s">
        <v>16</v>
      </c>
      <c r="I482">
        <v>0</v>
      </c>
      <c r="J482" s="23">
        <v>10320</v>
      </c>
      <c r="K482">
        <v>10320</v>
      </c>
    </row>
    <row r="483" spans="1:11" ht="15" customHeight="1" x14ac:dyDescent="0.3">
      <c r="A483" t="s">
        <v>22</v>
      </c>
      <c r="B483" t="s">
        <v>11</v>
      </c>
      <c r="C483" t="s">
        <v>24</v>
      </c>
      <c r="D483" t="s">
        <v>13</v>
      </c>
      <c r="E483">
        <v>5</v>
      </c>
      <c r="F483" t="s">
        <v>45</v>
      </c>
      <c r="G483" t="s">
        <v>15</v>
      </c>
      <c r="H483" t="s">
        <v>16</v>
      </c>
      <c r="I483">
        <v>0</v>
      </c>
      <c r="J483" s="23">
        <v>23149</v>
      </c>
      <c r="K483">
        <v>115745</v>
      </c>
    </row>
    <row r="484" spans="1:11" ht="15" customHeight="1" x14ac:dyDescent="0.3">
      <c r="A484" t="s">
        <v>18</v>
      </c>
      <c r="B484" t="s">
        <v>19</v>
      </c>
      <c r="C484" t="s">
        <v>12</v>
      </c>
      <c r="D484" t="s">
        <v>20</v>
      </c>
      <c r="E484">
        <v>15</v>
      </c>
      <c r="F484"/>
      <c r="G484" t="s">
        <v>15</v>
      </c>
      <c r="H484" t="s">
        <v>32</v>
      </c>
      <c r="I484">
        <v>1</v>
      </c>
      <c r="J484" s="23">
        <v>-535</v>
      </c>
      <c r="K484" t="s">
        <v>17</v>
      </c>
    </row>
    <row r="485" spans="1:11" ht="15" customHeight="1" x14ac:dyDescent="0.3">
      <c r="A485" t="s">
        <v>18</v>
      </c>
      <c r="B485" t="s">
        <v>11</v>
      </c>
      <c r="C485" t="s">
        <v>24</v>
      </c>
      <c r="D485" t="s">
        <v>25</v>
      </c>
      <c r="E485">
        <v>3</v>
      </c>
      <c r="F485" t="s">
        <v>26</v>
      </c>
      <c r="G485" t="s">
        <v>15</v>
      </c>
      <c r="H485" t="s">
        <v>16</v>
      </c>
      <c r="I485">
        <v>0</v>
      </c>
      <c r="J485" s="23">
        <v>3398553</v>
      </c>
      <c r="K485">
        <v>10195659</v>
      </c>
    </row>
    <row r="486" spans="1:11" ht="15" customHeight="1" x14ac:dyDescent="0.3">
      <c r="A486" t="s">
        <v>10</v>
      </c>
      <c r="B486" t="s">
        <v>11</v>
      </c>
      <c r="C486" t="s">
        <v>24</v>
      </c>
      <c r="D486" t="s">
        <v>25</v>
      </c>
      <c r="E486">
        <v>-1</v>
      </c>
      <c r="F486" t="s">
        <v>35</v>
      </c>
      <c r="G486" t="s">
        <v>15</v>
      </c>
      <c r="H486" t="s">
        <v>16</v>
      </c>
      <c r="I486">
        <v>0</v>
      </c>
      <c r="J486" s="23">
        <v>130059</v>
      </c>
      <c r="K486" t="s">
        <v>17</v>
      </c>
    </row>
    <row r="487" spans="1:11" ht="15" customHeight="1" x14ac:dyDescent="0.3">
      <c r="A487" t="s">
        <v>18</v>
      </c>
      <c r="B487" t="s">
        <v>11</v>
      </c>
      <c r="C487" t="s">
        <v>12</v>
      </c>
      <c r="D487" t="s">
        <v>28</v>
      </c>
      <c r="E487">
        <v>8</v>
      </c>
      <c r="F487" t="s">
        <v>39</v>
      </c>
      <c r="G487" t="s">
        <v>15</v>
      </c>
      <c r="H487" t="s">
        <v>16</v>
      </c>
      <c r="I487">
        <v>0</v>
      </c>
      <c r="J487" s="23">
        <v>-2899</v>
      </c>
      <c r="K487" t="s">
        <v>17</v>
      </c>
    </row>
    <row r="488" spans="1:11" ht="15" customHeight="1" x14ac:dyDescent="0.3">
      <c r="A488" t="s">
        <v>10</v>
      </c>
      <c r="B488" t="s">
        <v>19</v>
      </c>
      <c r="C488" t="s">
        <v>12</v>
      </c>
      <c r="D488" t="s">
        <v>28</v>
      </c>
      <c r="E488">
        <v>9</v>
      </c>
      <c r="F488"/>
      <c r="G488" t="s">
        <v>15</v>
      </c>
      <c r="H488" t="s">
        <v>32</v>
      </c>
      <c r="I488">
        <v>1</v>
      </c>
      <c r="J488" s="23">
        <v>-3505</v>
      </c>
      <c r="K488" t="s">
        <v>17</v>
      </c>
    </row>
    <row r="489" spans="1:11" ht="15" customHeight="1" x14ac:dyDescent="0.3">
      <c r="A489" t="s">
        <v>18</v>
      </c>
      <c r="B489" t="s">
        <v>11</v>
      </c>
      <c r="C489" t="s">
        <v>12</v>
      </c>
      <c r="D489" t="s">
        <v>28</v>
      </c>
      <c r="E489">
        <v>1</v>
      </c>
      <c r="F489" t="s">
        <v>23</v>
      </c>
      <c r="G489" t="s">
        <v>15</v>
      </c>
      <c r="H489" t="s">
        <v>16</v>
      </c>
      <c r="I489">
        <v>0</v>
      </c>
      <c r="J489" s="23">
        <v>-23399</v>
      </c>
      <c r="K489" t="s">
        <v>17</v>
      </c>
    </row>
    <row r="490" spans="1:11" ht="15" customHeight="1" x14ac:dyDescent="0.3">
      <c r="A490" t="s">
        <v>18</v>
      </c>
      <c r="B490" t="s">
        <v>11</v>
      </c>
      <c r="C490" t="s">
        <v>24</v>
      </c>
      <c r="D490" t="s">
        <v>13</v>
      </c>
      <c r="E490">
        <v>2</v>
      </c>
      <c r="F490" t="s">
        <v>23</v>
      </c>
      <c r="G490" t="s">
        <v>15</v>
      </c>
      <c r="H490" t="s">
        <v>16</v>
      </c>
      <c r="I490">
        <v>0</v>
      </c>
      <c r="J490" s="23">
        <v>34336844</v>
      </c>
      <c r="K490">
        <v>68673688</v>
      </c>
    </row>
    <row r="491" spans="1:11" ht="15" customHeight="1" x14ac:dyDescent="0.3">
      <c r="A491" t="s">
        <v>10</v>
      </c>
      <c r="B491" t="s">
        <v>11</v>
      </c>
      <c r="C491" t="s">
        <v>12</v>
      </c>
      <c r="D491" t="s">
        <v>28</v>
      </c>
      <c r="E491">
        <v>11</v>
      </c>
      <c r="F491" t="s">
        <v>29</v>
      </c>
      <c r="G491" t="s">
        <v>15</v>
      </c>
      <c r="H491" t="s">
        <v>16</v>
      </c>
      <c r="I491">
        <v>0</v>
      </c>
      <c r="J491" s="23">
        <v>-148514</v>
      </c>
      <c r="K491" t="s">
        <v>17</v>
      </c>
    </row>
    <row r="492" spans="1:11" ht="15" customHeight="1" x14ac:dyDescent="0.3">
      <c r="A492" t="s">
        <v>22</v>
      </c>
      <c r="B492" t="s">
        <v>11</v>
      </c>
      <c r="C492" t="s">
        <v>24</v>
      </c>
      <c r="D492" t="s">
        <v>13</v>
      </c>
      <c r="E492">
        <v>6</v>
      </c>
      <c r="F492" t="s">
        <v>39</v>
      </c>
      <c r="G492" t="s">
        <v>15</v>
      </c>
      <c r="H492" t="s">
        <v>16</v>
      </c>
      <c r="I492">
        <v>0</v>
      </c>
      <c r="J492" s="23">
        <v>18128</v>
      </c>
      <c r="K492">
        <v>108768</v>
      </c>
    </row>
    <row r="493" spans="1:11" ht="15" customHeight="1" x14ac:dyDescent="0.3">
      <c r="A493" t="s">
        <v>10</v>
      </c>
      <c r="B493" t="s">
        <v>11</v>
      </c>
      <c r="C493" t="s">
        <v>12</v>
      </c>
      <c r="D493" t="s">
        <v>25</v>
      </c>
      <c r="E493">
        <v>-4</v>
      </c>
      <c r="F493" t="s">
        <v>30</v>
      </c>
      <c r="G493" t="s">
        <v>15</v>
      </c>
      <c r="H493" t="s">
        <v>16</v>
      </c>
      <c r="I493">
        <v>0</v>
      </c>
      <c r="J493" s="23">
        <v>-363</v>
      </c>
      <c r="K493" t="s">
        <v>17</v>
      </c>
    </row>
    <row r="494" spans="1:11" ht="15" customHeight="1" x14ac:dyDescent="0.3">
      <c r="A494" t="s">
        <v>22</v>
      </c>
      <c r="B494" t="s">
        <v>11</v>
      </c>
      <c r="C494" t="s">
        <v>24</v>
      </c>
      <c r="D494" t="s">
        <v>28</v>
      </c>
      <c r="E494">
        <v>16</v>
      </c>
      <c r="F494" t="s">
        <v>34</v>
      </c>
      <c r="G494" t="s">
        <v>15</v>
      </c>
      <c r="H494" t="s">
        <v>16</v>
      </c>
      <c r="I494">
        <v>0</v>
      </c>
      <c r="J494" s="23">
        <v>236471</v>
      </c>
      <c r="K494">
        <v>3783536</v>
      </c>
    </row>
    <row r="495" spans="1:11" ht="15" customHeight="1" x14ac:dyDescent="0.3">
      <c r="A495" t="s">
        <v>18</v>
      </c>
      <c r="B495" t="s">
        <v>11</v>
      </c>
      <c r="C495" t="s">
        <v>12</v>
      </c>
      <c r="D495" t="s">
        <v>25</v>
      </c>
      <c r="E495">
        <v>7</v>
      </c>
      <c r="F495" t="s">
        <v>30</v>
      </c>
      <c r="G495" t="s">
        <v>15</v>
      </c>
      <c r="H495" t="s">
        <v>16</v>
      </c>
      <c r="I495">
        <v>0</v>
      </c>
      <c r="J495" s="23">
        <v>-1502</v>
      </c>
      <c r="K495" t="s">
        <v>17</v>
      </c>
    </row>
    <row r="496" spans="1:11" ht="15" customHeight="1" x14ac:dyDescent="0.3">
      <c r="A496" t="s">
        <v>10</v>
      </c>
      <c r="B496" t="s">
        <v>11</v>
      </c>
      <c r="C496" t="s">
        <v>12</v>
      </c>
      <c r="D496" t="s">
        <v>28</v>
      </c>
      <c r="E496">
        <v>-4</v>
      </c>
      <c r="F496" t="s">
        <v>34</v>
      </c>
      <c r="G496" t="s">
        <v>15</v>
      </c>
      <c r="H496" t="s">
        <v>16</v>
      </c>
      <c r="I496">
        <v>0</v>
      </c>
      <c r="J496" s="23">
        <v>-408</v>
      </c>
      <c r="K496" t="s">
        <v>17</v>
      </c>
    </row>
    <row r="497" spans="1:11" ht="15" customHeight="1" x14ac:dyDescent="0.3">
      <c r="A497" t="s">
        <v>18</v>
      </c>
      <c r="B497" t="s">
        <v>11</v>
      </c>
      <c r="C497" t="s">
        <v>24</v>
      </c>
      <c r="D497" t="s">
        <v>13</v>
      </c>
      <c r="E497">
        <v>5</v>
      </c>
      <c r="F497" t="s">
        <v>14</v>
      </c>
      <c r="G497" t="s">
        <v>15</v>
      </c>
      <c r="H497" t="s">
        <v>16</v>
      </c>
      <c r="I497">
        <v>0</v>
      </c>
      <c r="J497" s="23">
        <v>4587404</v>
      </c>
      <c r="K497">
        <v>22937020</v>
      </c>
    </row>
    <row r="498" spans="1:11" ht="15" customHeight="1" x14ac:dyDescent="0.3">
      <c r="A498" t="s">
        <v>10</v>
      </c>
      <c r="B498" t="s">
        <v>19</v>
      </c>
      <c r="C498" t="s">
        <v>24</v>
      </c>
      <c r="D498" t="s">
        <v>20</v>
      </c>
      <c r="E498">
        <v>34</v>
      </c>
      <c r="F498"/>
      <c r="G498" t="s">
        <v>15</v>
      </c>
      <c r="H498" t="s">
        <v>32</v>
      </c>
      <c r="I498">
        <v>1</v>
      </c>
      <c r="J498" s="23">
        <v>245249</v>
      </c>
      <c r="K498">
        <v>8338466</v>
      </c>
    </row>
    <row r="499" spans="1:11" ht="15" customHeight="1" x14ac:dyDescent="0.3">
      <c r="A499" t="s">
        <v>18</v>
      </c>
      <c r="B499" t="s">
        <v>19</v>
      </c>
      <c r="C499" t="s">
        <v>12</v>
      </c>
      <c r="D499" t="s">
        <v>20</v>
      </c>
      <c r="E499">
        <v>6</v>
      </c>
      <c r="F499"/>
      <c r="G499" t="s">
        <v>31</v>
      </c>
      <c r="H499" t="s">
        <v>16</v>
      </c>
      <c r="I499">
        <v>1</v>
      </c>
      <c r="J499" s="23">
        <v>-740</v>
      </c>
      <c r="K499" t="s">
        <v>17</v>
      </c>
    </row>
    <row r="500" spans="1:11" ht="15" customHeight="1" x14ac:dyDescent="0.3">
      <c r="A500" t="s">
        <v>18</v>
      </c>
      <c r="B500" t="s">
        <v>11</v>
      </c>
      <c r="C500" t="s">
        <v>24</v>
      </c>
      <c r="D500" t="s">
        <v>25</v>
      </c>
      <c r="E500">
        <v>1</v>
      </c>
      <c r="F500" t="s">
        <v>34</v>
      </c>
      <c r="G500" t="s">
        <v>15</v>
      </c>
      <c r="H500" t="s">
        <v>16</v>
      </c>
      <c r="I500">
        <v>0</v>
      </c>
      <c r="J500" s="23">
        <v>4352637</v>
      </c>
      <c r="K500">
        <v>4352637</v>
      </c>
    </row>
    <row r="501" spans="1:11" ht="15" customHeight="1" x14ac:dyDescent="0.3">
      <c r="A501" t="s">
        <v>22</v>
      </c>
      <c r="B501" t="s">
        <v>19</v>
      </c>
      <c r="C501" t="s">
        <v>24</v>
      </c>
      <c r="D501" t="s">
        <v>20</v>
      </c>
      <c r="E501">
        <v>2</v>
      </c>
      <c r="F501"/>
      <c r="G501" t="s">
        <v>15</v>
      </c>
      <c r="H501" t="s">
        <v>16</v>
      </c>
      <c r="I501">
        <v>0</v>
      </c>
      <c r="J501" s="23">
        <v>292839</v>
      </c>
      <c r="K501">
        <v>585678</v>
      </c>
    </row>
    <row r="502" spans="1:11" ht="15" customHeight="1" x14ac:dyDescent="0.3">
      <c r="A502" t="s">
        <v>10</v>
      </c>
      <c r="B502" t="s">
        <v>11</v>
      </c>
      <c r="C502" t="s">
        <v>12</v>
      </c>
      <c r="D502" t="s">
        <v>13</v>
      </c>
      <c r="E502">
        <v>1</v>
      </c>
      <c r="F502" t="s">
        <v>23</v>
      </c>
      <c r="G502" t="s">
        <v>15</v>
      </c>
      <c r="H502" t="s">
        <v>16</v>
      </c>
      <c r="I502">
        <v>0</v>
      </c>
      <c r="J502" s="23">
        <v>-236147</v>
      </c>
      <c r="K502" t="s">
        <v>17</v>
      </c>
    </row>
    <row r="503" spans="1:11" ht="15" customHeight="1" x14ac:dyDescent="0.3">
      <c r="A503" t="s">
        <v>22</v>
      </c>
      <c r="B503" t="s">
        <v>11</v>
      </c>
      <c r="C503" t="s">
        <v>24</v>
      </c>
      <c r="D503" t="s">
        <v>25</v>
      </c>
      <c r="E503">
        <v>5</v>
      </c>
      <c r="F503" t="s">
        <v>26</v>
      </c>
      <c r="G503" t="s">
        <v>15</v>
      </c>
      <c r="H503" t="s">
        <v>16</v>
      </c>
      <c r="I503">
        <v>0</v>
      </c>
      <c r="J503" s="23">
        <v>46263</v>
      </c>
      <c r="K503">
        <v>231315</v>
      </c>
    </row>
    <row r="504" spans="1:11" ht="15" customHeight="1" x14ac:dyDescent="0.3">
      <c r="A504" t="s">
        <v>10</v>
      </c>
      <c r="B504" t="s">
        <v>11</v>
      </c>
      <c r="C504" t="s">
        <v>24</v>
      </c>
      <c r="D504" t="s">
        <v>28</v>
      </c>
      <c r="E504">
        <v>14</v>
      </c>
      <c r="F504" t="s">
        <v>26</v>
      </c>
      <c r="G504" t="s">
        <v>15</v>
      </c>
      <c r="H504" t="s">
        <v>16</v>
      </c>
      <c r="I504">
        <v>0</v>
      </c>
      <c r="J504" s="23">
        <v>5708213</v>
      </c>
      <c r="K504">
        <v>79914982</v>
      </c>
    </row>
    <row r="505" spans="1:11" ht="15" customHeight="1" x14ac:dyDescent="0.3">
      <c r="A505" t="s">
        <v>10</v>
      </c>
      <c r="B505" t="s">
        <v>19</v>
      </c>
      <c r="C505" t="s">
        <v>12</v>
      </c>
      <c r="D505" t="s">
        <v>28</v>
      </c>
      <c r="E505">
        <v>5</v>
      </c>
      <c r="F505"/>
      <c r="G505" t="s">
        <v>15</v>
      </c>
      <c r="H505" t="s">
        <v>16</v>
      </c>
      <c r="I505">
        <v>0</v>
      </c>
      <c r="J505" s="23">
        <v>-79403</v>
      </c>
      <c r="K505" t="s">
        <v>17</v>
      </c>
    </row>
    <row r="506" spans="1:11" ht="15" customHeight="1" x14ac:dyDescent="0.3">
      <c r="A506" t="s">
        <v>18</v>
      </c>
      <c r="B506" t="s">
        <v>11</v>
      </c>
      <c r="C506" t="s">
        <v>12</v>
      </c>
      <c r="D506" t="s">
        <v>13</v>
      </c>
      <c r="E506">
        <v>10</v>
      </c>
      <c r="F506" t="s">
        <v>26</v>
      </c>
      <c r="G506" t="s">
        <v>15</v>
      </c>
      <c r="H506" t="s">
        <v>16</v>
      </c>
      <c r="I506">
        <v>0</v>
      </c>
      <c r="J506" s="23">
        <v>-4384</v>
      </c>
      <c r="K506" t="s">
        <v>17</v>
      </c>
    </row>
    <row r="507" spans="1:11" ht="15" customHeight="1" x14ac:dyDescent="0.3">
      <c r="A507" t="s">
        <v>10</v>
      </c>
      <c r="B507" t="s">
        <v>11</v>
      </c>
      <c r="C507" t="s">
        <v>24</v>
      </c>
      <c r="D507" t="s">
        <v>28</v>
      </c>
      <c r="E507">
        <v>9</v>
      </c>
      <c r="F507" t="s">
        <v>21</v>
      </c>
      <c r="G507" t="s">
        <v>15</v>
      </c>
      <c r="H507" t="s">
        <v>16</v>
      </c>
      <c r="I507">
        <v>0</v>
      </c>
      <c r="J507" s="23">
        <v>1581126</v>
      </c>
      <c r="K507">
        <v>14230134</v>
      </c>
    </row>
    <row r="508" spans="1:11" ht="15" customHeight="1" x14ac:dyDescent="0.3">
      <c r="A508" t="s">
        <v>18</v>
      </c>
      <c r="B508" t="s">
        <v>11</v>
      </c>
      <c r="C508" t="s">
        <v>24</v>
      </c>
      <c r="D508" t="s">
        <v>13</v>
      </c>
      <c r="E508">
        <v>3</v>
      </c>
      <c r="F508" t="s">
        <v>46</v>
      </c>
      <c r="G508" t="s">
        <v>15</v>
      </c>
      <c r="H508" t="s">
        <v>16</v>
      </c>
      <c r="I508">
        <v>0</v>
      </c>
      <c r="J508" s="23">
        <v>73104</v>
      </c>
      <c r="K508">
        <v>219312</v>
      </c>
    </row>
    <row r="509" spans="1:11" ht="15" customHeight="1" x14ac:dyDescent="0.3">
      <c r="A509" t="s">
        <v>22</v>
      </c>
      <c r="B509" t="s">
        <v>19</v>
      </c>
      <c r="C509" t="s">
        <v>24</v>
      </c>
      <c r="D509" t="s">
        <v>20</v>
      </c>
      <c r="E509">
        <v>21</v>
      </c>
      <c r="F509"/>
      <c r="G509" t="s">
        <v>15</v>
      </c>
      <c r="H509" t="s">
        <v>16</v>
      </c>
      <c r="I509">
        <v>0</v>
      </c>
      <c r="J509" s="23">
        <v>8970998</v>
      </c>
      <c r="K509">
        <v>188390958</v>
      </c>
    </row>
    <row r="510" spans="1:11" ht="15" customHeight="1" x14ac:dyDescent="0.3">
      <c r="A510" t="s">
        <v>22</v>
      </c>
      <c r="B510" t="s">
        <v>11</v>
      </c>
      <c r="C510" t="s">
        <v>24</v>
      </c>
      <c r="D510" t="s">
        <v>28</v>
      </c>
      <c r="E510">
        <v>1</v>
      </c>
      <c r="F510" t="s">
        <v>23</v>
      </c>
      <c r="G510" t="s">
        <v>15</v>
      </c>
      <c r="H510" t="s">
        <v>16</v>
      </c>
      <c r="I510">
        <v>0</v>
      </c>
      <c r="J510" s="23">
        <v>70715</v>
      </c>
      <c r="K510">
        <v>70715</v>
      </c>
    </row>
    <row r="511" spans="1:11" ht="15" customHeight="1" x14ac:dyDescent="0.3">
      <c r="A511" t="s">
        <v>10</v>
      </c>
      <c r="B511" t="s">
        <v>11</v>
      </c>
      <c r="C511" t="s">
        <v>12</v>
      </c>
      <c r="D511" t="s">
        <v>28</v>
      </c>
      <c r="E511">
        <v>11</v>
      </c>
      <c r="F511" t="s">
        <v>27</v>
      </c>
      <c r="G511" t="s">
        <v>15</v>
      </c>
      <c r="H511" t="s">
        <v>16</v>
      </c>
      <c r="I511">
        <v>0</v>
      </c>
      <c r="J511" s="23">
        <v>-2693</v>
      </c>
      <c r="K511" t="s">
        <v>17</v>
      </c>
    </row>
    <row r="512" spans="1:11" ht="15" customHeight="1" x14ac:dyDescent="0.3">
      <c r="A512" t="s">
        <v>18</v>
      </c>
      <c r="B512" t="s">
        <v>11</v>
      </c>
      <c r="C512" t="s">
        <v>12</v>
      </c>
      <c r="D512" t="s">
        <v>28</v>
      </c>
      <c r="E512">
        <v>11</v>
      </c>
      <c r="F512" t="s">
        <v>37</v>
      </c>
      <c r="G512" t="s">
        <v>15</v>
      </c>
      <c r="H512" t="s">
        <v>16</v>
      </c>
      <c r="I512">
        <v>0</v>
      </c>
      <c r="J512" s="23">
        <v>-203</v>
      </c>
      <c r="K512" t="s">
        <v>17</v>
      </c>
    </row>
    <row r="513" spans="1:11" ht="15" customHeight="1" x14ac:dyDescent="0.3">
      <c r="A513" t="s">
        <v>18</v>
      </c>
      <c r="B513" t="s">
        <v>19</v>
      </c>
      <c r="C513" t="s">
        <v>12</v>
      </c>
      <c r="D513" t="s">
        <v>28</v>
      </c>
      <c r="E513">
        <v>25</v>
      </c>
      <c r="F513"/>
      <c r="G513" t="s">
        <v>15</v>
      </c>
      <c r="H513" t="s">
        <v>16</v>
      </c>
      <c r="I513">
        <v>0</v>
      </c>
      <c r="J513" s="23">
        <v>-192</v>
      </c>
      <c r="K513" t="s">
        <v>17</v>
      </c>
    </row>
    <row r="514" spans="1:11" ht="15" customHeight="1" x14ac:dyDescent="0.3">
      <c r="A514" t="s">
        <v>18</v>
      </c>
      <c r="B514" t="s">
        <v>11</v>
      </c>
      <c r="C514" t="s">
        <v>12</v>
      </c>
      <c r="D514" t="s">
        <v>28</v>
      </c>
      <c r="E514">
        <v>12</v>
      </c>
      <c r="F514" t="s">
        <v>30</v>
      </c>
      <c r="G514" t="s">
        <v>15</v>
      </c>
      <c r="H514" t="s">
        <v>16</v>
      </c>
      <c r="I514">
        <v>0</v>
      </c>
      <c r="J514" s="23">
        <v>-7219</v>
      </c>
      <c r="K514" t="s">
        <v>17</v>
      </c>
    </row>
    <row r="515" spans="1:11" ht="15" customHeight="1" x14ac:dyDescent="0.3">
      <c r="A515" t="s">
        <v>22</v>
      </c>
      <c r="B515" t="s">
        <v>11</v>
      </c>
      <c r="C515" t="s">
        <v>24</v>
      </c>
      <c r="D515" t="s">
        <v>25</v>
      </c>
      <c r="E515">
        <v>-4</v>
      </c>
      <c r="F515" t="s">
        <v>33</v>
      </c>
      <c r="G515" t="s">
        <v>15</v>
      </c>
      <c r="H515" t="s">
        <v>16</v>
      </c>
      <c r="I515">
        <v>0</v>
      </c>
      <c r="J515" s="23">
        <v>60770</v>
      </c>
      <c r="K515" t="s">
        <v>17</v>
      </c>
    </row>
    <row r="516" spans="1:11" ht="15" customHeight="1" x14ac:dyDescent="0.3">
      <c r="A516" t="s">
        <v>22</v>
      </c>
      <c r="B516" t="s">
        <v>11</v>
      </c>
      <c r="C516" t="s">
        <v>24</v>
      </c>
      <c r="D516" t="s">
        <v>25</v>
      </c>
      <c r="E516">
        <v>1</v>
      </c>
      <c r="F516" t="s">
        <v>41</v>
      </c>
      <c r="G516" t="s">
        <v>15</v>
      </c>
      <c r="H516" t="s">
        <v>16</v>
      </c>
      <c r="I516">
        <v>0</v>
      </c>
      <c r="J516" s="23">
        <v>71154</v>
      </c>
      <c r="K516">
        <v>71154</v>
      </c>
    </row>
    <row r="517" spans="1:11" ht="15" customHeight="1" x14ac:dyDescent="0.3">
      <c r="A517" t="s">
        <v>18</v>
      </c>
      <c r="B517" t="s">
        <v>11</v>
      </c>
      <c r="C517" t="s">
        <v>24</v>
      </c>
      <c r="D517" t="s">
        <v>13</v>
      </c>
      <c r="E517">
        <v>14</v>
      </c>
      <c r="F517" t="s">
        <v>26</v>
      </c>
      <c r="G517" t="s">
        <v>15</v>
      </c>
      <c r="H517" t="s">
        <v>16</v>
      </c>
      <c r="I517">
        <v>0</v>
      </c>
      <c r="J517" s="23">
        <v>130326</v>
      </c>
      <c r="K517">
        <v>1824564</v>
      </c>
    </row>
    <row r="518" spans="1:11" ht="15" customHeight="1" x14ac:dyDescent="0.3">
      <c r="A518" t="s">
        <v>10</v>
      </c>
      <c r="B518" t="s">
        <v>11</v>
      </c>
      <c r="C518" t="s">
        <v>24</v>
      </c>
      <c r="D518" t="s">
        <v>13</v>
      </c>
      <c r="E518">
        <v>6</v>
      </c>
      <c r="F518" t="s">
        <v>26</v>
      </c>
      <c r="G518" t="s">
        <v>15</v>
      </c>
      <c r="H518" t="s">
        <v>16</v>
      </c>
      <c r="I518">
        <v>0</v>
      </c>
      <c r="J518" s="23">
        <v>85496</v>
      </c>
      <c r="K518">
        <v>512976</v>
      </c>
    </row>
    <row r="519" spans="1:11" ht="15" customHeight="1" x14ac:dyDescent="0.3">
      <c r="A519" t="s">
        <v>10</v>
      </c>
      <c r="B519" t="s">
        <v>11</v>
      </c>
      <c r="C519" t="s">
        <v>24</v>
      </c>
      <c r="D519" t="s">
        <v>13</v>
      </c>
      <c r="E519">
        <v>8</v>
      </c>
      <c r="F519" t="s">
        <v>33</v>
      </c>
      <c r="G519" t="s">
        <v>15</v>
      </c>
      <c r="H519" t="s">
        <v>16</v>
      </c>
      <c r="I519">
        <v>0</v>
      </c>
      <c r="J519" s="23">
        <v>373794</v>
      </c>
      <c r="K519">
        <v>2990352</v>
      </c>
    </row>
    <row r="520" spans="1:11" ht="15" customHeight="1" x14ac:dyDescent="0.3">
      <c r="A520" t="s">
        <v>18</v>
      </c>
      <c r="B520" t="s">
        <v>11</v>
      </c>
      <c r="C520" t="s">
        <v>24</v>
      </c>
      <c r="D520" t="s">
        <v>28</v>
      </c>
      <c r="E520">
        <v>4</v>
      </c>
      <c r="F520" t="s">
        <v>39</v>
      </c>
      <c r="G520" t="s">
        <v>15</v>
      </c>
      <c r="H520" t="s">
        <v>16</v>
      </c>
      <c r="I520">
        <v>0</v>
      </c>
      <c r="J520" s="23">
        <v>964865</v>
      </c>
      <c r="K520">
        <v>3859460</v>
      </c>
    </row>
    <row r="521" spans="1:11" ht="15" customHeight="1" x14ac:dyDescent="0.3">
      <c r="A521" t="s">
        <v>18</v>
      </c>
      <c r="B521" t="s">
        <v>11</v>
      </c>
      <c r="C521" t="s">
        <v>12</v>
      </c>
      <c r="D521" t="s">
        <v>13</v>
      </c>
      <c r="E521">
        <v>7</v>
      </c>
      <c r="F521" t="s">
        <v>14</v>
      </c>
      <c r="G521" t="s">
        <v>15</v>
      </c>
      <c r="H521" t="s">
        <v>16</v>
      </c>
      <c r="I521">
        <v>0</v>
      </c>
      <c r="J521" s="23">
        <v>-2853</v>
      </c>
      <c r="K521" t="s">
        <v>17</v>
      </c>
    </row>
    <row r="522" spans="1:11" ht="15" customHeight="1" x14ac:dyDescent="0.3">
      <c r="A522" t="s">
        <v>22</v>
      </c>
      <c r="B522" t="s">
        <v>11</v>
      </c>
      <c r="C522" t="s">
        <v>12</v>
      </c>
      <c r="D522" t="s">
        <v>25</v>
      </c>
      <c r="E522">
        <v>0</v>
      </c>
      <c r="F522" t="s">
        <v>42</v>
      </c>
      <c r="G522" t="s">
        <v>15</v>
      </c>
      <c r="H522" t="s">
        <v>16</v>
      </c>
      <c r="I522">
        <v>0</v>
      </c>
      <c r="J522" s="23">
        <v>-3734</v>
      </c>
      <c r="K522" t="s">
        <v>17</v>
      </c>
    </row>
    <row r="523" spans="1:11" ht="15" customHeight="1" x14ac:dyDescent="0.3">
      <c r="A523" t="s">
        <v>18</v>
      </c>
      <c r="B523" t="s">
        <v>11</v>
      </c>
      <c r="C523" t="s">
        <v>24</v>
      </c>
      <c r="D523" t="s">
        <v>28</v>
      </c>
      <c r="E523">
        <v>11</v>
      </c>
      <c r="F523" t="s">
        <v>34</v>
      </c>
      <c r="G523" t="s">
        <v>15</v>
      </c>
      <c r="H523" t="s">
        <v>32</v>
      </c>
      <c r="I523">
        <v>1</v>
      </c>
      <c r="J523" s="23">
        <v>1144475</v>
      </c>
      <c r="K523">
        <v>12589225</v>
      </c>
    </row>
    <row r="524" spans="1:11" ht="15" customHeight="1" x14ac:dyDescent="0.3">
      <c r="A524" t="s">
        <v>22</v>
      </c>
      <c r="B524" t="s">
        <v>19</v>
      </c>
      <c r="C524" t="s">
        <v>24</v>
      </c>
      <c r="D524" t="s">
        <v>28</v>
      </c>
      <c r="E524">
        <v>22</v>
      </c>
      <c r="F524"/>
      <c r="G524" t="s">
        <v>15</v>
      </c>
      <c r="H524" t="s">
        <v>16</v>
      </c>
      <c r="I524">
        <v>0</v>
      </c>
      <c r="J524" s="23">
        <v>155682</v>
      </c>
      <c r="K524">
        <v>3425004</v>
      </c>
    </row>
    <row r="525" spans="1:11" ht="15" customHeight="1" x14ac:dyDescent="0.3">
      <c r="A525" t="s">
        <v>10</v>
      </c>
      <c r="B525" t="s">
        <v>11</v>
      </c>
      <c r="C525" t="s">
        <v>12</v>
      </c>
      <c r="D525" t="s">
        <v>28</v>
      </c>
      <c r="E525">
        <v>16</v>
      </c>
      <c r="F525" t="s">
        <v>21</v>
      </c>
      <c r="G525" t="s">
        <v>15</v>
      </c>
      <c r="H525" t="s">
        <v>16</v>
      </c>
      <c r="I525">
        <v>0</v>
      </c>
      <c r="J525" s="23">
        <v>-13443</v>
      </c>
      <c r="K525" t="s">
        <v>17</v>
      </c>
    </row>
    <row r="526" spans="1:11" ht="15" customHeight="1" x14ac:dyDescent="0.3">
      <c r="A526" t="s">
        <v>10</v>
      </c>
      <c r="B526" t="s">
        <v>11</v>
      </c>
      <c r="C526" t="s">
        <v>24</v>
      </c>
      <c r="D526" t="s">
        <v>28</v>
      </c>
      <c r="E526">
        <v>3</v>
      </c>
      <c r="F526" t="s">
        <v>27</v>
      </c>
      <c r="G526" t="s">
        <v>15</v>
      </c>
      <c r="H526" t="s">
        <v>16</v>
      </c>
      <c r="I526">
        <v>0</v>
      </c>
      <c r="J526" s="23">
        <v>253312</v>
      </c>
      <c r="K526">
        <v>759936</v>
      </c>
    </row>
    <row r="527" spans="1:11" ht="15" customHeight="1" x14ac:dyDescent="0.3">
      <c r="A527" t="s">
        <v>10</v>
      </c>
      <c r="B527" t="s">
        <v>11</v>
      </c>
      <c r="C527" t="s">
        <v>12</v>
      </c>
      <c r="D527" t="s">
        <v>13</v>
      </c>
      <c r="E527">
        <v>6</v>
      </c>
      <c r="F527" t="s">
        <v>37</v>
      </c>
      <c r="G527" t="s">
        <v>15</v>
      </c>
      <c r="H527" t="s">
        <v>16</v>
      </c>
      <c r="I527">
        <v>0</v>
      </c>
      <c r="J527" s="23">
        <v>-773</v>
      </c>
      <c r="K527" t="s">
        <v>17</v>
      </c>
    </row>
    <row r="528" spans="1:11" ht="15" customHeight="1" x14ac:dyDescent="0.3">
      <c r="A528" t="s">
        <v>18</v>
      </c>
      <c r="B528" t="s">
        <v>11</v>
      </c>
      <c r="C528" t="s">
        <v>24</v>
      </c>
      <c r="D528" t="s">
        <v>28</v>
      </c>
      <c r="E528">
        <v>-4</v>
      </c>
      <c r="F528" t="s">
        <v>14</v>
      </c>
      <c r="G528" t="s">
        <v>15</v>
      </c>
      <c r="H528" t="s">
        <v>16</v>
      </c>
      <c r="I528">
        <v>0</v>
      </c>
      <c r="J528" s="23">
        <v>5713</v>
      </c>
      <c r="K528" t="s">
        <v>17</v>
      </c>
    </row>
    <row r="529" spans="1:11" ht="15" customHeight="1" x14ac:dyDescent="0.3">
      <c r="A529" t="s">
        <v>10</v>
      </c>
      <c r="B529" t="s">
        <v>11</v>
      </c>
      <c r="C529" t="s">
        <v>12</v>
      </c>
      <c r="D529" t="s">
        <v>28</v>
      </c>
      <c r="E529">
        <v>13</v>
      </c>
      <c r="F529" t="s">
        <v>14</v>
      </c>
      <c r="G529" t="s">
        <v>15</v>
      </c>
      <c r="H529" t="s">
        <v>16</v>
      </c>
      <c r="I529">
        <v>0</v>
      </c>
      <c r="J529" s="23">
        <v>-9985</v>
      </c>
      <c r="K529" t="s">
        <v>17</v>
      </c>
    </row>
    <row r="530" spans="1:11" ht="15" customHeight="1" x14ac:dyDescent="0.3">
      <c r="A530" t="s">
        <v>18</v>
      </c>
      <c r="B530" t="s">
        <v>11</v>
      </c>
      <c r="C530" t="s">
        <v>12</v>
      </c>
      <c r="D530" t="s">
        <v>28</v>
      </c>
      <c r="E530">
        <v>3</v>
      </c>
      <c r="F530" t="s">
        <v>39</v>
      </c>
      <c r="G530" t="s">
        <v>15</v>
      </c>
      <c r="H530" t="s">
        <v>16</v>
      </c>
      <c r="I530">
        <v>0</v>
      </c>
      <c r="J530" s="23">
        <v>-148</v>
      </c>
      <c r="K530" t="s">
        <v>17</v>
      </c>
    </row>
    <row r="531" spans="1:11" ht="15" customHeight="1" x14ac:dyDescent="0.3">
      <c r="A531" t="s">
        <v>18</v>
      </c>
      <c r="B531" t="s">
        <v>11</v>
      </c>
      <c r="C531" t="s">
        <v>24</v>
      </c>
      <c r="D531" t="s">
        <v>25</v>
      </c>
      <c r="E531">
        <v>4</v>
      </c>
      <c r="F531" t="s">
        <v>39</v>
      </c>
      <c r="G531" t="s">
        <v>15</v>
      </c>
      <c r="H531" t="s">
        <v>16</v>
      </c>
      <c r="I531">
        <v>0</v>
      </c>
      <c r="J531" s="23">
        <v>11067200</v>
      </c>
      <c r="K531">
        <v>44268800</v>
      </c>
    </row>
    <row r="532" spans="1:11" ht="15" customHeight="1" x14ac:dyDescent="0.3">
      <c r="A532" t="s">
        <v>22</v>
      </c>
      <c r="B532" t="s">
        <v>11</v>
      </c>
      <c r="C532" t="s">
        <v>12</v>
      </c>
      <c r="D532" t="s">
        <v>13</v>
      </c>
      <c r="E532">
        <v>7</v>
      </c>
      <c r="F532" t="s">
        <v>30</v>
      </c>
      <c r="G532" t="s">
        <v>15</v>
      </c>
      <c r="H532" t="s">
        <v>16</v>
      </c>
      <c r="I532">
        <v>0</v>
      </c>
      <c r="J532" s="23">
        <v>-153288</v>
      </c>
      <c r="K532" t="s">
        <v>17</v>
      </c>
    </row>
    <row r="533" spans="1:11" ht="15" customHeight="1" x14ac:dyDescent="0.3">
      <c r="A533" t="s">
        <v>10</v>
      </c>
      <c r="B533" t="s">
        <v>19</v>
      </c>
      <c r="C533" t="s">
        <v>24</v>
      </c>
      <c r="D533" t="s">
        <v>20</v>
      </c>
      <c r="E533">
        <v>1</v>
      </c>
      <c r="F533"/>
      <c r="G533" t="s">
        <v>31</v>
      </c>
      <c r="H533" t="s">
        <v>16</v>
      </c>
      <c r="I533">
        <v>1</v>
      </c>
      <c r="J533" s="23">
        <v>10251</v>
      </c>
      <c r="K533">
        <v>10251</v>
      </c>
    </row>
    <row r="534" spans="1:11" ht="15" customHeight="1" x14ac:dyDescent="0.3">
      <c r="A534" t="s">
        <v>18</v>
      </c>
      <c r="B534" t="s">
        <v>11</v>
      </c>
      <c r="C534" t="s">
        <v>24</v>
      </c>
      <c r="D534" t="s">
        <v>28</v>
      </c>
      <c r="E534">
        <v>9</v>
      </c>
      <c r="F534" t="s">
        <v>23</v>
      </c>
      <c r="G534" t="s">
        <v>15</v>
      </c>
      <c r="H534" t="s">
        <v>16</v>
      </c>
      <c r="I534">
        <v>0</v>
      </c>
      <c r="J534" s="23">
        <v>32961158</v>
      </c>
      <c r="K534">
        <v>296650422</v>
      </c>
    </row>
    <row r="535" spans="1:11" ht="15" customHeight="1" x14ac:dyDescent="0.3">
      <c r="A535" t="s">
        <v>22</v>
      </c>
      <c r="B535" t="s">
        <v>11</v>
      </c>
      <c r="C535" t="s">
        <v>12</v>
      </c>
      <c r="D535" t="s">
        <v>13</v>
      </c>
      <c r="E535">
        <v>1</v>
      </c>
      <c r="F535" t="s">
        <v>21</v>
      </c>
      <c r="G535" t="s">
        <v>15</v>
      </c>
      <c r="H535" t="s">
        <v>16</v>
      </c>
      <c r="I535">
        <v>0</v>
      </c>
      <c r="J535" s="23">
        <v>-811616</v>
      </c>
      <c r="K535" t="s">
        <v>17</v>
      </c>
    </row>
    <row r="536" spans="1:11" ht="15" customHeight="1" x14ac:dyDescent="0.3">
      <c r="A536" t="s">
        <v>18</v>
      </c>
      <c r="B536" t="s">
        <v>11</v>
      </c>
      <c r="C536" t="s">
        <v>24</v>
      </c>
      <c r="D536" t="s">
        <v>28</v>
      </c>
      <c r="E536">
        <v>1</v>
      </c>
      <c r="F536" t="s">
        <v>29</v>
      </c>
      <c r="G536" t="s">
        <v>31</v>
      </c>
      <c r="H536" t="s">
        <v>32</v>
      </c>
      <c r="I536">
        <v>1</v>
      </c>
      <c r="J536" s="23">
        <v>2013031</v>
      </c>
      <c r="K536">
        <v>2013031</v>
      </c>
    </row>
    <row r="537" spans="1:11" ht="15" customHeight="1" x14ac:dyDescent="0.3">
      <c r="A537" t="s">
        <v>10</v>
      </c>
      <c r="B537" t="s">
        <v>19</v>
      </c>
      <c r="C537" t="s">
        <v>24</v>
      </c>
      <c r="D537" t="s">
        <v>28</v>
      </c>
      <c r="E537">
        <v>10</v>
      </c>
      <c r="F537"/>
      <c r="G537" t="s">
        <v>15</v>
      </c>
      <c r="H537" t="s">
        <v>32</v>
      </c>
      <c r="I537">
        <v>1</v>
      </c>
      <c r="J537" s="23">
        <v>82278</v>
      </c>
      <c r="K537">
        <v>822780</v>
      </c>
    </row>
    <row r="538" spans="1:11" ht="15" customHeight="1" x14ac:dyDescent="0.3">
      <c r="A538" t="s">
        <v>10</v>
      </c>
      <c r="B538" t="s">
        <v>19</v>
      </c>
      <c r="C538" t="s">
        <v>12</v>
      </c>
      <c r="D538" t="s">
        <v>20</v>
      </c>
      <c r="E538">
        <v>17</v>
      </c>
      <c r="F538"/>
      <c r="G538" t="s">
        <v>31</v>
      </c>
      <c r="H538" t="s">
        <v>16</v>
      </c>
      <c r="I538">
        <v>1</v>
      </c>
      <c r="J538" s="23">
        <v>-5172</v>
      </c>
      <c r="K538" t="s">
        <v>17</v>
      </c>
    </row>
    <row r="539" spans="1:11" ht="15" customHeight="1" x14ac:dyDescent="0.3">
      <c r="A539" t="s">
        <v>18</v>
      </c>
      <c r="B539" t="s">
        <v>19</v>
      </c>
      <c r="C539" t="s">
        <v>24</v>
      </c>
      <c r="D539" t="s">
        <v>20</v>
      </c>
      <c r="E539">
        <v>2</v>
      </c>
      <c r="F539"/>
      <c r="G539" t="s">
        <v>31</v>
      </c>
      <c r="H539" t="s">
        <v>32</v>
      </c>
      <c r="I539">
        <v>1</v>
      </c>
      <c r="J539" s="23">
        <v>6153</v>
      </c>
      <c r="K539">
        <v>12306</v>
      </c>
    </row>
    <row r="540" spans="1:11" ht="15" customHeight="1" x14ac:dyDescent="0.3">
      <c r="A540" t="s">
        <v>18</v>
      </c>
      <c r="B540" t="s">
        <v>19</v>
      </c>
      <c r="C540" t="s">
        <v>24</v>
      </c>
      <c r="D540" t="s">
        <v>20</v>
      </c>
      <c r="E540">
        <v>1</v>
      </c>
      <c r="F540"/>
      <c r="G540" t="s">
        <v>15</v>
      </c>
      <c r="H540" t="s">
        <v>16</v>
      </c>
      <c r="I540">
        <v>0</v>
      </c>
      <c r="J540" s="23">
        <v>11744589</v>
      </c>
      <c r="K540">
        <v>11744589</v>
      </c>
    </row>
    <row r="541" spans="1:11" ht="15" customHeight="1" x14ac:dyDescent="0.3">
      <c r="A541" t="s">
        <v>18</v>
      </c>
      <c r="B541" t="s">
        <v>19</v>
      </c>
      <c r="C541" t="s">
        <v>12</v>
      </c>
      <c r="D541" t="s">
        <v>20</v>
      </c>
      <c r="E541">
        <v>32</v>
      </c>
      <c r="F541"/>
      <c r="G541" t="s">
        <v>15</v>
      </c>
      <c r="H541" t="s">
        <v>16</v>
      </c>
      <c r="I541">
        <v>0</v>
      </c>
      <c r="J541" s="23">
        <v>-367549</v>
      </c>
      <c r="K541" t="s">
        <v>17</v>
      </c>
    </row>
    <row r="542" spans="1:11" ht="15" customHeight="1" x14ac:dyDescent="0.3">
      <c r="A542" t="s">
        <v>10</v>
      </c>
      <c r="B542" t="s">
        <v>11</v>
      </c>
      <c r="C542" t="s">
        <v>24</v>
      </c>
      <c r="D542" t="s">
        <v>13</v>
      </c>
      <c r="E542">
        <v>0</v>
      </c>
      <c r="F542" t="s">
        <v>26</v>
      </c>
      <c r="G542" t="s">
        <v>15</v>
      </c>
      <c r="H542" t="s">
        <v>16</v>
      </c>
      <c r="I542">
        <v>0</v>
      </c>
      <c r="J542" s="23">
        <v>1224355</v>
      </c>
      <c r="K542" t="s">
        <v>17</v>
      </c>
    </row>
    <row r="543" spans="1:11" ht="15" customHeight="1" x14ac:dyDescent="0.3">
      <c r="A543" t="s">
        <v>22</v>
      </c>
      <c r="B543" t="s">
        <v>11</v>
      </c>
      <c r="C543" t="s">
        <v>24</v>
      </c>
      <c r="D543" t="s">
        <v>28</v>
      </c>
      <c r="E543">
        <v>-4</v>
      </c>
      <c r="F543" t="s">
        <v>34</v>
      </c>
      <c r="G543" t="s">
        <v>15</v>
      </c>
      <c r="H543" t="s">
        <v>16</v>
      </c>
      <c r="I543">
        <v>0</v>
      </c>
      <c r="J543" s="23">
        <v>225343</v>
      </c>
      <c r="K543" t="s">
        <v>17</v>
      </c>
    </row>
    <row r="544" spans="1:11" ht="15" customHeight="1" x14ac:dyDescent="0.3">
      <c r="A544" t="s">
        <v>22</v>
      </c>
      <c r="B544" t="s">
        <v>19</v>
      </c>
      <c r="C544" t="s">
        <v>12</v>
      </c>
      <c r="D544" t="s">
        <v>20</v>
      </c>
      <c r="E544">
        <v>17</v>
      </c>
      <c r="F544"/>
      <c r="G544" t="s">
        <v>31</v>
      </c>
      <c r="H544" t="s">
        <v>16</v>
      </c>
      <c r="I544">
        <v>1</v>
      </c>
      <c r="J544" s="23">
        <v>-10168</v>
      </c>
      <c r="K544" t="s">
        <v>17</v>
      </c>
    </row>
    <row r="545" spans="1:11" ht="15" customHeight="1" x14ac:dyDescent="0.3">
      <c r="A545" t="s">
        <v>18</v>
      </c>
      <c r="B545" t="s">
        <v>11</v>
      </c>
      <c r="C545" t="s">
        <v>24</v>
      </c>
      <c r="D545" t="s">
        <v>25</v>
      </c>
      <c r="E545">
        <v>-1</v>
      </c>
      <c r="F545" t="s">
        <v>29</v>
      </c>
      <c r="G545" t="s">
        <v>15</v>
      </c>
      <c r="H545" t="s">
        <v>16</v>
      </c>
      <c r="I545">
        <v>0</v>
      </c>
      <c r="J545" s="23">
        <v>8423028</v>
      </c>
      <c r="K545" t="s">
        <v>17</v>
      </c>
    </row>
    <row r="546" spans="1:11" ht="15" customHeight="1" x14ac:dyDescent="0.3">
      <c r="A546" t="s">
        <v>10</v>
      </c>
      <c r="B546" t="s">
        <v>19</v>
      </c>
      <c r="C546" t="s">
        <v>24</v>
      </c>
      <c r="D546" t="s">
        <v>20</v>
      </c>
      <c r="E546">
        <v>33</v>
      </c>
      <c r="F546"/>
      <c r="G546" t="s">
        <v>15</v>
      </c>
      <c r="H546" t="s">
        <v>16</v>
      </c>
      <c r="I546">
        <v>0</v>
      </c>
      <c r="J546" s="23">
        <v>51830491</v>
      </c>
      <c r="K546">
        <v>1710406203</v>
      </c>
    </row>
    <row r="547" spans="1:11" ht="15" customHeight="1" x14ac:dyDescent="0.3">
      <c r="A547" t="s">
        <v>18</v>
      </c>
      <c r="B547" t="s">
        <v>11</v>
      </c>
      <c r="C547" t="s">
        <v>24</v>
      </c>
      <c r="D547" t="s">
        <v>28</v>
      </c>
      <c r="E547">
        <v>0</v>
      </c>
      <c r="F547" t="s">
        <v>30</v>
      </c>
      <c r="G547" t="s">
        <v>15</v>
      </c>
      <c r="H547" t="s">
        <v>16</v>
      </c>
      <c r="I547">
        <v>0</v>
      </c>
      <c r="J547" s="23">
        <v>5170269</v>
      </c>
      <c r="K547" t="s">
        <v>17</v>
      </c>
    </row>
    <row r="548" spans="1:11" ht="15" customHeight="1" x14ac:dyDescent="0.3">
      <c r="A548" t="s">
        <v>22</v>
      </c>
      <c r="B548" t="s">
        <v>11</v>
      </c>
      <c r="C548" t="s">
        <v>12</v>
      </c>
      <c r="D548" t="s">
        <v>25</v>
      </c>
      <c r="E548">
        <v>4</v>
      </c>
      <c r="F548" t="s">
        <v>37</v>
      </c>
      <c r="G548" t="s">
        <v>15</v>
      </c>
      <c r="H548" t="s">
        <v>16</v>
      </c>
      <c r="I548">
        <v>0</v>
      </c>
      <c r="J548" s="23">
        <v>-42039</v>
      </c>
      <c r="K548" t="s">
        <v>17</v>
      </c>
    </row>
    <row r="549" spans="1:11" ht="15" customHeight="1" x14ac:dyDescent="0.3">
      <c r="A549" t="s">
        <v>18</v>
      </c>
      <c r="B549" t="s">
        <v>11</v>
      </c>
      <c r="C549" t="s">
        <v>12</v>
      </c>
      <c r="D549" t="s">
        <v>13</v>
      </c>
      <c r="E549">
        <v>-1</v>
      </c>
      <c r="F549" t="s">
        <v>42</v>
      </c>
      <c r="G549" t="s">
        <v>15</v>
      </c>
      <c r="H549" t="s">
        <v>16</v>
      </c>
      <c r="I549">
        <v>0</v>
      </c>
      <c r="J549" s="23">
        <v>-24764</v>
      </c>
      <c r="K549" t="s">
        <v>17</v>
      </c>
    </row>
    <row r="550" spans="1:11" ht="15" customHeight="1" x14ac:dyDescent="0.3">
      <c r="A550" t="s">
        <v>10</v>
      </c>
      <c r="B550" t="s">
        <v>11</v>
      </c>
      <c r="C550" t="s">
        <v>24</v>
      </c>
      <c r="D550" t="s">
        <v>28</v>
      </c>
      <c r="E550">
        <v>3</v>
      </c>
      <c r="F550" t="s">
        <v>29</v>
      </c>
      <c r="G550" t="s">
        <v>15</v>
      </c>
      <c r="H550" t="s">
        <v>16</v>
      </c>
      <c r="I550">
        <v>0</v>
      </c>
      <c r="J550" s="23">
        <v>80121</v>
      </c>
      <c r="K550">
        <v>240363</v>
      </c>
    </row>
    <row r="551" spans="1:11" ht="15" customHeight="1" x14ac:dyDescent="0.3">
      <c r="A551" t="s">
        <v>10</v>
      </c>
      <c r="B551" t="s">
        <v>19</v>
      </c>
      <c r="C551" t="s">
        <v>24</v>
      </c>
      <c r="D551" t="s">
        <v>20</v>
      </c>
      <c r="E551">
        <v>35</v>
      </c>
      <c r="F551"/>
      <c r="G551" t="s">
        <v>31</v>
      </c>
      <c r="H551" t="s">
        <v>16</v>
      </c>
      <c r="I551">
        <v>1</v>
      </c>
      <c r="J551" s="23">
        <v>1388530</v>
      </c>
      <c r="K551">
        <v>48598550</v>
      </c>
    </row>
    <row r="552" spans="1:11" ht="15" customHeight="1" x14ac:dyDescent="0.3">
      <c r="A552" t="s">
        <v>18</v>
      </c>
      <c r="B552" t="s">
        <v>11</v>
      </c>
      <c r="C552" t="s">
        <v>12</v>
      </c>
      <c r="D552" t="s">
        <v>28</v>
      </c>
      <c r="E552">
        <v>9</v>
      </c>
      <c r="F552" t="s">
        <v>27</v>
      </c>
      <c r="G552" t="s">
        <v>15</v>
      </c>
      <c r="H552" t="s">
        <v>16</v>
      </c>
      <c r="I552">
        <v>0</v>
      </c>
      <c r="J552" s="23">
        <v>-779</v>
      </c>
      <c r="K552" t="s">
        <v>17</v>
      </c>
    </row>
    <row r="553" spans="1:11" ht="15" customHeight="1" x14ac:dyDescent="0.3">
      <c r="A553" t="s">
        <v>22</v>
      </c>
      <c r="B553" t="s">
        <v>11</v>
      </c>
      <c r="C553" t="s">
        <v>24</v>
      </c>
      <c r="D553" t="s">
        <v>28</v>
      </c>
      <c r="E553">
        <v>17</v>
      </c>
      <c r="F553" t="s">
        <v>37</v>
      </c>
      <c r="G553" t="s">
        <v>15</v>
      </c>
      <c r="H553" t="s">
        <v>16</v>
      </c>
      <c r="I553">
        <v>0</v>
      </c>
      <c r="J553" s="23">
        <v>285437</v>
      </c>
      <c r="K553">
        <v>4852429</v>
      </c>
    </row>
    <row r="554" spans="1:11" ht="15" customHeight="1" x14ac:dyDescent="0.3">
      <c r="A554" t="s">
        <v>18</v>
      </c>
      <c r="B554" t="s">
        <v>19</v>
      </c>
      <c r="C554" t="s">
        <v>12</v>
      </c>
      <c r="D554" t="s">
        <v>20</v>
      </c>
      <c r="E554">
        <v>38</v>
      </c>
      <c r="F554"/>
      <c r="G554" t="s">
        <v>31</v>
      </c>
      <c r="H554" t="s">
        <v>32</v>
      </c>
      <c r="I554">
        <v>1</v>
      </c>
      <c r="J554" s="23">
        <v>-42</v>
      </c>
      <c r="K554" t="s">
        <v>17</v>
      </c>
    </row>
    <row r="555" spans="1:11" ht="15" customHeight="1" x14ac:dyDescent="0.3">
      <c r="A555" t="s">
        <v>18</v>
      </c>
      <c r="B555" t="s">
        <v>11</v>
      </c>
      <c r="C555" t="s">
        <v>12</v>
      </c>
      <c r="D555" t="s">
        <v>13</v>
      </c>
      <c r="E555">
        <v>2</v>
      </c>
      <c r="F555" t="s">
        <v>40</v>
      </c>
      <c r="G555" t="s">
        <v>15</v>
      </c>
      <c r="H555" t="s">
        <v>16</v>
      </c>
      <c r="I555">
        <v>0</v>
      </c>
      <c r="J555" s="23">
        <v>-110450</v>
      </c>
      <c r="K555" t="s">
        <v>17</v>
      </c>
    </row>
    <row r="556" spans="1:11" ht="15" customHeight="1" x14ac:dyDescent="0.3">
      <c r="A556" t="s">
        <v>22</v>
      </c>
      <c r="B556" t="s">
        <v>11</v>
      </c>
      <c r="C556" t="s">
        <v>12</v>
      </c>
      <c r="D556" t="s">
        <v>25</v>
      </c>
      <c r="E556">
        <v>3</v>
      </c>
      <c r="F556" t="s">
        <v>26</v>
      </c>
      <c r="G556" t="s">
        <v>15</v>
      </c>
      <c r="H556" t="s">
        <v>16</v>
      </c>
      <c r="I556">
        <v>0</v>
      </c>
      <c r="J556" s="23">
        <v>-23595</v>
      </c>
      <c r="K556" t="s">
        <v>17</v>
      </c>
    </row>
    <row r="557" spans="1:11" ht="15" customHeight="1" x14ac:dyDescent="0.3">
      <c r="A557" t="s">
        <v>18</v>
      </c>
      <c r="B557" t="s">
        <v>19</v>
      </c>
      <c r="C557" t="s">
        <v>24</v>
      </c>
      <c r="D557" t="s">
        <v>20</v>
      </c>
      <c r="E557">
        <v>12</v>
      </c>
      <c r="F557"/>
      <c r="G557" t="s">
        <v>15</v>
      </c>
      <c r="H557" t="s">
        <v>16</v>
      </c>
      <c r="I557">
        <v>0</v>
      </c>
      <c r="J557" s="23">
        <v>189524316</v>
      </c>
      <c r="K557">
        <v>2274291792</v>
      </c>
    </row>
    <row r="558" spans="1:11" ht="15" customHeight="1" x14ac:dyDescent="0.3">
      <c r="A558" t="s">
        <v>18</v>
      </c>
      <c r="B558" t="s">
        <v>11</v>
      </c>
      <c r="C558" t="s">
        <v>12</v>
      </c>
      <c r="D558" t="s">
        <v>28</v>
      </c>
      <c r="E558">
        <v>2</v>
      </c>
      <c r="F558" t="s">
        <v>30</v>
      </c>
      <c r="G558" t="s">
        <v>15</v>
      </c>
      <c r="H558" t="s">
        <v>16</v>
      </c>
      <c r="I558">
        <v>0</v>
      </c>
      <c r="J558" s="23">
        <v>-5518</v>
      </c>
      <c r="K558" t="s">
        <v>17</v>
      </c>
    </row>
    <row r="559" spans="1:11" ht="15" customHeight="1" x14ac:dyDescent="0.3">
      <c r="A559" t="s">
        <v>10</v>
      </c>
      <c r="B559" t="s">
        <v>11</v>
      </c>
      <c r="C559" t="s">
        <v>12</v>
      </c>
      <c r="D559" t="s">
        <v>13</v>
      </c>
      <c r="E559">
        <v>3</v>
      </c>
      <c r="F559" t="s">
        <v>14</v>
      </c>
      <c r="G559" t="s">
        <v>15</v>
      </c>
      <c r="H559" t="s">
        <v>16</v>
      </c>
      <c r="I559">
        <v>0</v>
      </c>
      <c r="J559" s="23">
        <v>-194287</v>
      </c>
      <c r="K559" t="s">
        <v>17</v>
      </c>
    </row>
    <row r="560" spans="1:11" ht="15" customHeight="1" x14ac:dyDescent="0.3">
      <c r="A560" t="s">
        <v>22</v>
      </c>
      <c r="B560" t="s">
        <v>11</v>
      </c>
      <c r="C560" t="s">
        <v>12</v>
      </c>
      <c r="D560" t="s">
        <v>13</v>
      </c>
      <c r="E560">
        <v>-1</v>
      </c>
      <c r="F560" t="s">
        <v>42</v>
      </c>
      <c r="G560" t="s">
        <v>15</v>
      </c>
      <c r="H560" t="s">
        <v>16</v>
      </c>
      <c r="I560">
        <v>0</v>
      </c>
      <c r="J560" s="23">
        <v>-178866</v>
      </c>
      <c r="K560" t="s">
        <v>17</v>
      </c>
    </row>
    <row r="561" spans="1:11" ht="15" customHeight="1" x14ac:dyDescent="0.3">
      <c r="A561" t="s">
        <v>22</v>
      </c>
      <c r="B561" t="s">
        <v>11</v>
      </c>
      <c r="C561" t="s">
        <v>24</v>
      </c>
      <c r="D561" t="s">
        <v>28</v>
      </c>
      <c r="E561">
        <v>9</v>
      </c>
      <c r="F561" t="s">
        <v>30</v>
      </c>
      <c r="G561" t="s">
        <v>15</v>
      </c>
      <c r="H561" t="s">
        <v>16</v>
      </c>
      <c r="I561">
        <v>0</v>
      </c>
      <c r="J561" s="23">
        <v>486869</v>
      </c>
      <c r="K561">
        <v>4381821</v>
      </c>
    </row>
    <row r="562" spans="1:11" ht="15" customHeight="1" x14ac:dyDescent="0.3">
      <c r="A562" t="s">
        <v>22</v>
      </c>
      <c r="B562" t="s">
        <v>11</v>
      </c>
      <c r="C562" t="s">
        <v>12</v>
      </c>
      <c r="D562" t="s">
        <v>13</v>
      </c>
      <c r="E562">
        <v>-4</v>
      </c>
      <c r="F562" t="s">
        <v>27</v>
      </c>
      <c r="G562" t="s">
        <v>15</v>
      </c>
      <c r="H562" t="s">
        <v>16</v>
      </c>
      <c r="I562">
        <v>0</v>
      </c>
      <c r="J562" s="23">
        <v>-301323</v>
      </c>
      <c r="K562" t="s">
        <v>17</v>
      </c>
    </row>
    <row r="563" spans="1:11" ht="15" customHeight="1" x14ac:dyDescent="0.3">
      <c r="A563" t="s">
        <v>18</v>
      </c>
      <c r="B563" t="s">
        <v>11</v>
      </c>
      <c r="C563" t="s">
        <v>24</v>
      </c>
      <c r="D563" t="s">
        <v>25</v>
      </c>
      <c r="E563">
        <v>2</v>
      </c>
      <c r="F563" t="s">
        <v>46</v>
      </c>
      <c r="G563" t="s">
        <v>15</v>
      </c>
      <c r="H563" t="s">
        <v>16</v>
      </c>
      <c r="I563">
        <v>0</v>
      </c>
      <c r="J563" s="23">
        <v>13185</v>
      </c>
      <c r="K563">
        <v>26370</v>
      </c>
    </row>
    <row r="564" spans="1:11" ht="15" customHeight="1" x14ac:dyDescent="0.3">
      <c r="A564" t="s">
        <v>10</v>
      </c>
      <c r="B564" t="s">
        <v>11</v>
      </c>
      <c r="C564" t="s">
        <v>24</v>
      </c>
      <c r="D564" t="s">
        <v>28</v>
      </c>
      <c r="E564">
        <v>10</v>
      </c>
      <c r="F564" t="s">
        <v>21</v>
      </c>
      <c r="G564" t="s">
        <v>15</v>
      </c>
      <c r="H564" t="s">
        <v>16</v>
      </c>
      <c r="I564">
        <v>0</v>
      </c>
      <c r="J564" s="23">
        <v>888029</v>
      </c>
      <c r="K564">
        <v>8880290</v>
      </c>
    </row>
    <row r="565" spans="1:11" ht="15" customHeight="1" x14ac:dyDescent="0.3">
      <c r="A565" t="s">
        <v>10</v>
      </c>
      <c r="B565" t="s">
        <v>11</v>
      </c>
      <c r="C565" t="s">
        <v>24</v>
      </c>
      <c r="D565" t="s">
        <v>25</v>
      </c>
      <c r="E565">
        <v>5</v>
      </c>
      <c r="F565" t="s">
        <v>41</v>
      </c>
      <c r="G565" t="s">
        <v>15</v>
      </c>
      <c r="H565" t="s">
        <v>16</v>
      </c>
      <c r="I565">
        <v>0</v>
      </c>
      <c r="J565" s="23">
        <v>151553</v>
      </c>
      <c r="K565">
        <v>757765</v>
      </c>
    </row>
    <row r="566" spans="1:11" ht="15" customHeight="1" x14ac:dyDescent="0.3">
      <c r="A566" t="s">
        <v>22</v>
      </c>
      <c r="B566" t="s">
        <v>11</v>
      </c>
      <c r="C566" t="s">
        <v>12</v>
      </c>
      <c r="D566" t="s">
        <v>25</v>
      </c>
      <c r="E566">
        <v>6</v>
      </c>
      <c r="F566" t="s">
        <v>40</v>
      </c>
      <c r="G566" t="s">
        <v>15</v>
      </c>
      <c r="H566" t="s">
        <v>16</v>
      </c>
      <c r="I566">
        <v>0</v>
      </c>
      <c r="J566" s="23">
        <v>-4164338</v>
      </c>
      <c r="K566" t="s">
        <v>17</v>
      </c>
    </row>
    <row r="567" spans="1:11" ht="15" customHeight="1" x14ac:dyDescent="0.3">
      <c r="A567" t="s">
        <v>10</v>
      </c>
      <c r="B567" t="s">
        <v>11</v>
      </c>
      <c r="C567" t="s">
        <v>24</v>
      </c>
      <c r="D567" t="s">
        <v>28</v>
      </c>
      <c r="E567">
        <v>3</v>
      </c>
      <c r="F567" t="s">
        <v>33</v>
      </c>
      <c r="G567" t="s">
        <v>15</v>
      </c>
      <c r="H567" t="s">
        <v>16</v>
      </c>
      <c r="I567">
        <v>0</v>
      </c>
      <c r="J567" s="23">
        <v>315210</v>
      </c>
      <c r="K567">
        <v>945630</v>
      </c>
    </row>
    <row r="568" spans="1:11" ht="15" customHeight="1" x14ac:dyDescent="0.3">
      <c r="A568" t="s">
        <v>10</v>
      </c>
      <c r="B568" t="s">
        <v>11</v>
      </c>
      <c r="C568" t="s">
        <v>24</v>
      </c>
      <c r="D568" t="s">
        <v>13</v>
      </c>
      <c r="E568">
        <v>2</v>
      </c>
      <c r="F568" t="s">
        <v>27</v>
      </c>
      <c r="G568" t="s">
        <v>15</v>
      </c>
      <c r="H568" t="s">
        <v>16</v>
      </c>
      <c r="I568">
        <v>0</v>
      </c>
      <c r="J568" s="23">
        <v>823346</v>
      </c>
      <c r="K568">
        <v>1646692</v>
      </c>
    </row>
    <row r="569" spans="1:11" ht="15" customHeight="1" x14ac:dyDescent="0.3">
      <c r="A569" t="s">
        <v>10</v>
      </c>
      <c r="B569" t="s">
        <v>11</v>
      </c>
      <c r="C569" t="s">
        <v>12</v>
      </c>
      <c r="D569" t="s">
        <v>28</v>
      </c>
      <c r="E569">
        <v>2</v>
      </c>
      <c r="F569" t="s">
        <v>42</v>
      </c>
      <c r="G569" t="s">
        <v>15</v>
      </c>
      <c r="H569" t="s">
        <v>16</v>
      </c>
      <c r="I569">
        <v>0</v>
      </c>
      <c r="J569" s="23">
        <v>-3313</v>
      </c>
      <c r="K569" t="s">
        <v>17</v>
      </c>
    </row>
    <row r="570" spans="1:11" ht="15" customHeight="1" x14ac:dyDescent="0.3">
      <c r="A570" t="s">
        <v>10</v>
      </c>
      <c r="B570" t="s">
        <v>11</v>
      </c>
      <c r="C570" t="s">
        <v>12</v>
      </c>
      <c r="D570" t="s">
        <v>25</v>
      </c>
      <c r="E570">
        <v>1</v>
      </c>
      <c r="F570" t="s">
        <v>36</v>
      </c>
      <c r="G570" t="s">
        <v>15</v>
      </c>
      <c r="H570" t="s">
        <v>16</v>
      </c>
      <c r="I570">
        <v>0</v>
      </c>
      <c r="J570" s="23">
        <v>-1274</v>
      </c>
      <c r="K570" t="s">
        <v>17</v>
      </c>
    </row>
    <row r="571" spans="1:11" ht="15" customHeight="1" x14ac:dyDescent="0.3">
      <c r="A571" t="s">
        <v>10</v>
      </c>
      <c r="B571" t="s">
        <v>11</v>
      </c>
      <c r="C571" t="s">
        <v>24</v>
      </c>
      <c r="D571" t="s">
        <v>13</v>
      </c>
      <c r="E571">
        <v>0</v>
      </c>
      <c r="F571" t="s">
        <v>39</v>
      </c>
      <c r="G571" t="s">
        <v>15</v>
      </c>
      <c r="H571" t="s">
        <v>16</v>
      </c>
      <c r="I571">
        <v>0</v>
      </c>
      <c r="J571" s="23">
        <v>1146083</v>
      </c>
      <c r="K571" t="s">
        <v>17</v>
      </c>
    </row>
    <row r="572" spans="1:11" ht="15" customHeight="1" x14ac:dyDescent="0.3">
      <c r="A572" t="s">
        <v>22</v>
      </c>
      <c r="B572" t="s">
        <v>11</v>
      </c>
      <c r="C572" t="s">
        <v>12</v>
      </c>
      <c r="D572" t="s">
        <v>13</v>
      </c>
      <c r="E572">
        <v>7</v>
      </c>
      <c r="F572" t="s">
        <v>33</v>
      </c>
      <c r="G572" t="s">
        <v>15</v>
      </c>
      <c r="H572" t="s">
        <v>16</v>
      </c>
      <c r="I572">
        <v>0</v>
      </c>
      <c r="J572" s="23">
        <v>-35797</v>
      </c>
      <c r="K572" t="s">
        <v>17</v>
      </c>
    </row>
    <row r="573" spans="1:11" ht="15" customHeight="1" x14ac:dyDescent="0.3">
      <c r="A573" t="s">
        <v>22</v>
      </c>
      <c r="B573" t="s">
        <v>19</v>
      </c>
      <c r="C573" t="s">
        <v>12</v>
      </c>
      <c r="D573" t="s">
        <v>20</v>
      </c>
      <c r="E573">
        <v>25</v>
      </c>
      <c r="F573"/>
      <c r="G573" t="s">
        <v>31</v>
      </c>
      <c r="H573" t="s">
        <v>16</v>
      </c>
      <c r="I573">
        <v>1</v>
      </c>
      <c r="J573" s="23">
        <v>-19887</v>
      </c>
      <c r="K573" t="s">
        <v>17</v>
      </c>
    </row>
    <row r="574" spans="1:11" ht="15" customHeight="1" x14ac:dyDescent="0.3">
      <c r="A574" t="s">
        <v>18</v>
      </c>
      <c r="B574" t="s">
        <v>11</v>
      </c>
      <c r="C574" t="s">
        <v>12</v>
      </c>
      <c r="D574" t="s">
        <v>13</v>
      </c>
      <c r="E574">
        <v>1</v>
      </c>
      <c r="F574" t="s">
        <v>21</v>
      </c>
      <c r="G574" t="s">
        <v>15</v>
      </c>
      <c r="H574" t="s">
        <v>16</v>
      </c>
      <c r="I574">
        <v>0</v>
      </c>
      <c r="J574" s="23">
        <v>-148944</v>
      </c>
      <c r="K574" t="s">
        <v>17</v>
      </c>
    </row>
    <row r="575" spans="1:11" ht="15" customHeight="1" x14ac:dyDescent="0.3">
      <c r="A575" t="s">
        <v>18</v>
      </c>
      <c r="B575" t="s">
        <v>11</v>
      </c>
      <c r="C575" t="s">
        <v>12</v>
      </c>
      <c r="D575" t="s">
        <v>25</v>
      </c>
      <c r="E575">
        <v>-1</v>
      </c>
      <c r="F575" t="s">
        <v>26</v>
      </c>
      <c r="G575" t="s">
        <v>15</v>
      </c>
      <c r="H575" t="s">
        <v>16</v>
      </c>
      <c r="I575">
        <v>0</v>
      </c>
      <c r="J575" s="23">
        <v>-9286</v>
      </c>
      <c r="K575" t="s">
        <v>17</v>
      </c>
    </row>
    <row r="576" spans="1:11" ht="15" customHeight="1" x14ac:dyDescent="0.3">
      <c r="A576" t="s">
        <v>22</v>
      </c>
      <c r="B576" t="s">
        <v>19</v>
      </c>
      <c r="C576" t="s">
        <v>12</v>
      </c>
      <c r="D576" t="s">
        <v>20</v>
      </c>
      <c r="E576">
        <v>11</v>
      </c>
      <c r="F576"/>
      <c r="G576" t="s">
        <v>31</v>
      </c>
      <c r="H576" t="s">
        <v>32</v>
      </c>
      <c r="I576">
        <v>1</v>
      </c>
      <c r="J576" s="23">
        <v>-7554</v>
      </c>
      <c r="K576" t="s">
        <v>17</v>
      </c>
    </row>
    <row r="577" spans="1:11" ht="15" customHeight="1" x14ac:dyDescent="0.3">
      <c r="A577" t="s">
        <v>10</v>
      </c>
      <c r="B577" t="s">
        <v>19</v>
      </c>
      <c r="C577" t="s">
        <v>12</v>
      </c>
      <c r="D577" t="s">
        <v>20</v>
      </c>
      <c r="E577">
        <v>32</v>
      </c>
      <c r="F577"/>
      <c r="G577" t="s">
        <v>15</v>
      </c>
      <c r="H577" t="s">
        <v>16</v>
      </c>
      <c r="I577">
        <v>0</v>
      </c>
      <c r="J577" s="23">
        <v>-1288384</v>
      </c>
      <c r="K577" t="s">
        <v>17</v>
      </c>
    </row>
    <row r="578" spans="1:11" ht="15" customHeight="1" x14ac:dyDescent="0.3">
      <c r="A578" t="s">
        <v>18</v>
      </c>
      <c r="B578" t="s">
        <v>11</v>
      </c>
      <c r="C578" t="s">
        <v>12</v>
      </c>
      <c r="D578" t="s">
        <v>13</v>
      </c>
      <c r="E578">
        <v>0</v>
      </c>
      <c r="F578" t="s">
        <v>30</v>
      </c>
      <c r="G578" t="s">
        <v>15</v>
      </c>
      <c r="H578" t="s">
        <v>16</v>
      </c>
      <c r="I578">
        <v>0</v>
      </c>
      <c r="J578" s="23">
        <v>-482253</v>
      </c>
      <c r="K578" t="s">
        <v>17</v>
      </c>
    </row>
    <row r="579" spans="1:11" ht="15" customHeight="1" x14ac:dyDescent="0.3">
      <c r="A579" t="s">
        <v>18</v>
      </c>
      <c r="B579" t="s">
        <v>11</v>
      </c>
      <c r="C579" t="s">
        <v>24</v>
      </c>
      <c r="D579" t="s">
        <v>28</v>
      </c>
      <c r="E579">
        <v>9</v>
      </c>
      <c r="F579" t="s">
        <v>26</v>
      </c>
      <c r="G579" t="s">
        <v>31</v>
      </c>
      <c r="H579" t="s">
        <v>16</v>
      </c>
      <c r="I579">
        <v>1</v>
      </c>
      <c r="J579" s="23">
        <v>282141</v>
      </c>
      <c r="K579">
        <v>2539269</v>
      </c>
    </row>
    <row r="580" spans="1:11" ht="15" customHeight="1" x14ac:dyDescent="0.3">
      <c r="A580" t="s">
        <v>18</v>
      </c>
      <c r="B580" t="s">
        <v>11</v>
      </c>
      <c r="C580" t="s">
        <v>12</v>
      </c>
      <c r="D580" t="s">
        <v>28</v>
      </c>
      <c r="E580">
        <v>10</v>
      </c>
      <c r="F580" t="s">
        <v>29</v>
      </c>
      <c r="G580" t="s">
        <v>15</v>
      </c>
      <c r="H580" t="s">
        <v>16</v>
      </c>
      <c r="I580">
        <v>0</v>
      </c>
      <c r="J580" s="23">
        <v>-5173</v>
      </c>
      <c r="K580" t="s">
        <v>17</v>
      </c>
    </row>
    <row r="581" spans="1:11" ht="15" customHeight="1" x14ac:dyDescent="0.3">
      <c r="A581" t="s">
        <v>18</v>
      </c>
      <c r="B581" t="s">
        <v>19</v>
      </c>
      <c r="C581" t="s">
        <v>12</v>
      </c>
      <c r="D581" t="s">
        <v>20</v>
      </c>
      <c r="E581">
        <v>17</v>
      </c>
      <c r="F581"/>
      <c r="G581" t="s">
        <v>31</v>
      </c>
      <c r="H581" t="s">
        <v>16</v>
      </c>
      <c r="I581">
        <v>1</v>
      </c>
      <c r="J581" s="23">
        <v>-2097</v>
      </c>
      <c r="K581" t="s">
        <v>17</v>
      </c>
    </row>
    <row r="582" spans="1:11" ht="15" customHeight="1" x14ac:dyDescent="0.3">
      <c r="A582" t="s">
        <v>18</v>
      </c>
      <c r="B582" t="s">
        <v>19</v>
      </c>
      <c r="C582" t="s">
        <v>12</v>
      </c>
      <c r="D582" t="s">
        <v>20</v>
      </c>
      <c r="E582">
        <v>40</v>
      </c>
      <c r="F582"/>
      <c r="G582" t="s">
        <v>15</v>
      </c>
      <c r="H582" t="s">
        <v>32</v>
      </c>
      <c r="I582">
        <v>1</v>
      </c>
      <c r="J582" s="23">
        <v>-642</v>
      </c>
      <c r="K582" t="s">
        <v>17</v>
      </c>
    </row>
    <row r="583" spans="1:11" ht="15" customHeight="1" x14ac:dyDescent="0.3">
      <c r="A583" t="s">
        <v>22</v>
      </c>
      <c r="B583" t="s">
        <v>11</v>
      </c>
      <c r="C583" t="s">
        <v>12</v>
      </c>
      <c r="D583" t="s">
        <v>13</v>
      </c>
      <c r="E583">
        <v>0</v>
      </c>
      <c r="F583" t="s">
        <v>33</v>
      </c>
      <c r="G583" t="s">
        <v>15</v>
      </c>
      <c r="H583" t="s">
        <v>16</v>
      </c>
      <c r="I583">
        <v>0</v>
      </c>
      <c r="J583" s="23">
        <v>-86057</v>
      </c>
      <c r="K583" t="s">
        <v>17</v>
      </c>
    </row>
    <row r="584" spans="1:11" ht="15" customHeight="1" x14ac:dyDescent="0.3">
      <c r="A584" t="s">
        <v>10</v>
      </c>
      <c r="B584" t="s">
        <v>11</v>
      </c>
      <c r="C584" t="s">
        <v>12</v>
      </c>
      <c r="D584" t="s">
        <v>25</v>
      </c>
      <c r="E584">
        <v>1</v>
      </c>
      <c r="F584" t="s">
        <v>35</v>
      </c>
      <c r="G584" t="s">
        <v>15</v>
      </c>
      <c r="H584" t="s">
        <v>16</v>
      </c>
      <c r="I584">
        <v>0</v>
      </c>
      <c r="J584" s="23">
        <v>-5773</v>
      </c>
      <c r="K584" t="s">
        <v>17</v>
      </c>
    </row>
    <row r="585" spans="1:11" ht="15" customHeight="1" x14ac:dyDescent="0.3">
      <c r="A585" t="s">
        <v>10</v>
      </c>
      <c r="B585" t="s">
        <v>11</v>
      </c>
      <c r="C585" t="s">
        <v>24</v>
      </c>
      <c r="D585" t="s">
        <v>13</v>
      </c>
      <c r="E585">
        <v>4</v>
      </c>
      <c r="F585" t="s">
        <v>21</v>
      </c>
      <c r="G585" t="s">
        <v>15</v>
      </c>
      <c r="H585" t="s">
        <v>16</v>
      </c>
      <c r="I585">
        <v>0</v>
      </c>
      <c r="J585" s="23">
        <v>5663844</v>
      </c>
      <c r="K585">
        <v>22655376</v>
      </c>
    </row>
    <row r="586" spans="1:11" ht="15" customHeight="1" x14ac:dyDescent="0.3">
      <c r="A586" t="s">
        <v>10</v>
      </c>
      <c r="B586" t="s">
        <v>19</v>
      </c>
      <c r="C586" t="s">
        <v>24</v>
      </c>
      <c r="D586" t="s">
        <v>20</v>
      </c>
      <c r="E586">
        <v>0</v>
      </c>
      <c r="F586"/>
      <c r="G586" t="s">
        <v>31</v>
      </c>
      <c r="H586" t="s">
        <v>16</v>
      </c>
      <c r="I586">
        <v>1</v>
      </c>
      <c r="J586" s="23">
        <v>5860</v>
      </c>
      <c r="K586" t="s">
        <v>17</v>
      </c>
    </row>
    <row r="587" spans="1:11" ht="15" customHeight="1" x14ac:dyDescent="0.3">
      <c r="A587" t="s">
        <v>18</v>
      </c>
      <c r="B587" t="s">
        <v>11</v>
      </c>
      <c r="C587" t="s">
        <v>12</v>
      </c>
      <c r="D587" t="s">
        <v>28</v>
      </c>
      <c r="E587">
        <v>10</v>
      </c>
      <c r="F587" t="s">
        <v>30</v>
      </c>
      <c r="G587" t="s">
        <v>15</v>
      </c>
      <c r="H587" t="s">
        <v>16</v>
      </c>
      <c r="I587">
        <v>0</v>
      </c>
      <c r="J587" s="23">
        <v>-7041</v>
      </c>
      <c r="K587" t="s">
        <v>17</v>
      </c>
    </row>
    <row r="588" spans="1:11" ht="15" customHeight="1" x14ac:dyDescent="0.3">
      <c r="A588" t="s">
        <v>18</v>
      </c>
      <c r="B588" t="s">
        <v>11</v>
      </c>
      <c r="C588" t="s">
        <v>24</v>
      </c>
      <c r="D588" t="s">
        <v>28</v>
      </c>
      <c r="E588">
        <v>4</v>
      </c>
      <c r="F588" t="s">
        <v>37</v>
      </c>
      <c r="G588" t="s">
        <v>15</v>
      </c>
      <c r="H588" t="s">
        <v>16</v>
      </c>
      <c r="I588">
        <v>0</v>
      </c>
      <c r="J588" s="23">
        <v>29744</v>
      </c>
      <c r="K588">
        <v>118976</v>
      </c>
    </row>
    <row r="589" spans="1:11" ht="15" customHeight="1" x14ac:dyDescent="0.3">
      <c r="A589" t="s">
        <v>18</v>
      </c>
      <c r="B589" t="s">
        <v>19</v>
      </c>
      <c r="C589" t="s">
        <v>24</v>
      </c>
      <c r="D589" t="s">
        <v>28</v>
      </c>
      <c r="E589">
        <v>14</v>
      </c>
      <c r="F589"/>
      <c r="G589" t="s">
        <v>15</v>
      </c>
      <c r="H589" t="s">
        <v>16</v>
      </c>
      <c r="I589">
        <v>0</v>
      </c>
      <c r="J589" s="23">
        <v>1180717</v>
      </c>
      <c r="K589">
        <v>16530038</v>
      </c>
    </row>
    <row r="590" spans="1:11" ht="15" customHeight="1" x14ac:dyDescent="0.3">
      <c r="A590" t="s">
        <v>22</v>
      </c>
      <c r="B590" t="s">
        <v>11</v>
      </c>
      <c r="C590" t="s">
        <v>12</v>
      </c>
      <c r="D590" t="s">
        <v>28</v>
      </c>
      <c r="E590">
        <v>19</v>
      </c>
      <c r="F590" t="s">
        <v>37</v>
      </c>
      <c r="G590" t="s">
        <v>15</v>
      </c>
      <c r="H590" t="s">
        <v>16</v>
      </c>
      <c r="I590">
        <v>0</v>
      </c>
      <c r="J590" s="23">
        <v>-2148615</v>
      </c>
      <c r="K590" t="s">
        <v>17</v>
      </c>
    </row>
    <row r="591" spans="1:11" ht="15" customHeight="1" x14ac:dyDescent="0.3">
      <c r="A591" t="s">
        <v>18</v>
      </c>
      <c r="B591" t="s">
        <v>19</v>
      </c>
      <c r="C591" t="s">
        <v>24</v>
      </c>
      <c r="D591" t="s">
        <v>20</v>
      </c>
      <c r="E591">
        <v>30</v>
      </c>
      <c r="F591"/>
      <c r="G591" t="s">
        <v>31</v>
      </c>
      <c r="H591" t="s">
        <v>32</v>
      </c>
      <c r="I591">
        <v>1</v>
      </c>
      <c r="J591" s="23">
        <v>238830</v>
      </c>
      <c r="K591">
        <v>7164900</v>
      </c>
    </row>
    <row r="592" spans="1:11" ht="15" customHeight="1" x14ac:dyDescent="0.3">
      <c r="A592" t="s">
        <v>10</v>
      </c>
      <c r="B592" t="s">
        <v>11</v>
      </c>
      <c r="C592" t="s">
        <v>24</v>
      </c>
      <c r="D592" t="s">
        <v>13</v>
      </c>
      <c r="E592">
        <v>8</v>
      </c>
      <c r="F592" t="s">
        <v>29</v>
      </c>
      <c r="G592" t="s">
        <v>15</v>
      </c>
      <c r="H592" t="s">
        <v>16</v>
      </c>
      <c r="I592">
        <v>0</v>
      </c>
      <c r="J592" s="23">
        <v>1863498</v>
      </c>
      <c r="K592">
        <v>14907984</v>
      </c>
    </row>
    <row r="593" spans="1:11" ht="15" customHeight="1" x14ac:dyDescent="0.3">
      <c r="A593" t="s">
        <v>18</v>
      </c>
      <c r="B593" t="s">
        <v>11</v>
      </c>
      <c r="C593" t="s">
        <v>12</v>
      </c>
      <c r="D593" t="s">
        <v>28</v>
      </c>
      <c r="E593">
        <v>10</v>
      </c>
      <c r="F593" t="s">
        <v>27</v>
      </c>
      <c r="G593" t="s">
        <v>15</v>
      </c>
      <c r="H593" t="s">
        <v>16</v>
      </c>
      <c r="I593">
        <v>0</v>
      </c>
      <c r="J593" s="23">
        <v>-4393</v>
      </c>
      <c r="K593" t="s">
        <v>17</v>
      </c>
    </row>
    <row r="594" spans="1:11" ht="15" customHeight="1" x14ac:dyDescent="0.3">
      <c r="A594" t="s">
        <v>18</v>
      </c>
      <c r="B594" t="s">
        <v>11</v>
      </c>
      <c r="C594" t="s">
        <v>24</v>
      </c>
      <c r="D594" t="s">
        <v>28</v>
      </c>
      <c r="E594">
        <v>-4</v>
      </c>
      <c r="F594" t="s">
        <v>30</v>
      </c>
      <c r="G594" t="s">
        <v>15</v>
      </c>
      <c r="H594" t="s">
        <v>16</v>
      </c>
      <c r="I594">
        <v>0</v>
      </c>
      <c r="J594" s="23">
        <v>8</v>
      </c>
      <c r="K594" t="s">
        <v>17</v>
      </c>
    </row>
    <row r="595" spans="1:11" ht="15" customHeight="1" x14ac:dyDescent="0.3">
      <c r="A595" t="s">
        <v>18</v>
      </c>
      <c r="B595" t="s">
        <v>11</v>
      </c>
      <c r="C595" t="s">
        <v>24</v>
      </c>
      <c r="D595" t="s">
        <v>28</v>
      </c>
      <c r="E595">
        <v>0</v>
      </c>
      <c r="F595" t="s">
        <v>21</v>
      </c>
      <c r="G595" t="s">
        <v>31</v>
      </c>
      <c r="H595" t="s">
        <v>16</v>
      </c>
      <c r="I595">
        <v>1</v>
      </c>
      <c r="J595" s="23">
        <v>198705</v>
      </c>
      <c r="K595" t="s">
        <v>17</v>
      </c>
    </row>
    <row r="596" spans="1:11" ht="15" customHeight="1" x14ac:dyDescent="0.3">
      <c r="A596" t="s">
        <v>10</v>
      </c>
      <c r="B596" t="s">
        <v>11</v>
      </c>
      <c r="C596" t="s">
        <v>24</v>
      </c>
      <c r="D596" t="s">
        <v>28</v>
      </c>
      <c r="E596">
        <v>-4</v>
      </c>
      <c r="F596" t="s">
        <v>30</v>
      </c>
      <c r="G596" t="s">
        <v>15</v>
      </c>
      <c r="H596" t="s">
        <v>16</v>
      </c>
      <c r="I596">
        <v>0</v>
      </c>
      <c r="J596" s="23">
        <v>368</v>
      </c>
      <c r="K596" t="s">
        <v>17</v>
      </c>
    </row>
    <row r="597" spans="1:11" ht="15" customHeight="1" x14ac:dyDescent="0.3">
      <c r="A597" t="s">
        <v>10</v>
      </c>
      <c r="B597" t="s">
        <v>19</v>
      </c>
      <c r="C597" t="s">
        <v>12</v>
      </c>
      <c r="D597" t="s">
        <v>28</v>
      </c>
      <c r="E597">
        <v>11</v>
      </c>
      <c r="F597"/>
      <c r="G597" t="s">
        <v>15</v>
      </c>
      <c r="H597" t="s">
        <v>16</v>
      </c>
      <c r="I597">
        <v>0</v>
      </c>
      <c r="J597" s="23">
        <v>-55574</v>
      </c>
      <c r="K597" t="s">
        <v>17</v>
      </c>
    </row>
    <row r="598" spans="1:11" ht="15" customHeight="1" x14ac:dyDescent="0.3">
      <c r="A598" t="s">
        <v>10</v>
      </c>
      <c r="B598" t="s">
        <v>11</v>
      </c>
      <c r="C598" t="s">
        <v>12</v>
      </c>
      <c r="D598" t="s">
        <v>13</v>
      </c>
      <c r="E598">
        <v>8</v>
      </c>
      <c r="F598" t="s">
        <v>26</v>
      </c>
      <c r="G598" t="s">
        <v>15</v>
      </c>
      <c r="H598" t="s">
        <v>16</v>
      </c>
      <c r="I598">
        <v>0</v>
      </c>
      <c r="J598" s="23">
        <v>-2355</v>
      </c>
      <c r="K598" t="s">
        <v>17</v>
      </c>
    </row>
    <row r="599" spans="1:11" ht="15" customHeight="1" x14ac:dyDescent="0.3">
      <c r="A599" t="s">
        <v>10</v>
      </c>
      <c r="B599" t="s">
        <v>19</v>
      </c>
      <c r="C599" t="s">
        <v>12</v>
      </c>
      <c r="D599" t="s">
        <v>20</v>
      </c>
      <c r="E599">
        <v>37</v>
      </c>
      <c r="F599"/>
      <c r="G599" t="s">
        <v>15</v>
      </c>
      <c r="H599" t="s">
        <v>16</v>
      </c>
      <c r="I599">
        <v>0</v>
      </c>
      <c r="J599" s="23">
        <v>-2094701</v>
      </c>
      <c r="K599" t="s">
        <v>17</v>
      </c>
    </row>
    <row r="600" spans="1:11" ht="15" customHeight="1" x14ac:dyDescent="0.3">
      <c r="A600" t="s">
        <v>10</v>
      </c>
      <c r="B600" t="s">
        <v>11</v>
      </c>
      <c r="C600" t="s">
        <v>24</v>
      </c>
      <c r="D600" t="s">
        <v>28</v>
      </c>
      <c r="E600">
        <v>14</v>
      </c>
      <c r="F600" t="s">
        <v>14</v>
      </c>
      <c r="G600" t="s">
        <v>15</v>
      </c>
      <c r="H600" t="s">
        <v>16</v>
      </c>
      <c r="I600">
        <v>0</v>
      </c>
      <c r="J600" s="23">
        <v>286379</v>
      </c>
      <c r="K600">
        <v>4009306</v>
      </c>
    </row>
    <row r="601" spans="1:11" ht="15" customHeight="1" x14ac:dyDescent="0.3">
      <c r="A601" t="s">
        <v>10</v>
      </c>
      <c r="B601" t="s">
        <v>11</v>
      </c>
      <c r="C601" t="s">
        <v>12</v>
      </c>
      <c r="D601" t="s">
        <v>28</v>
      </c>
      <c r="E601">
        <v>15</v>
      </c>
      <c r="F601" t="s">
        <v>29</v>
      </c>
      <c r="G601" t="s">
        <v>15</v>
      </c>
      <c r="H601" t="s">
        <v>16</v>
      </c>
      <c r="I601">
        <v>0</v>
      </c>
      <c r="J601" s="23">
        <v>-6278</v>
      </c>
      <c r="K601" t="s">
        <v>17</v>
      </c>
    </row>
    <row r="602" spans="1:11" ht="15" customHeight="1" x14ac:dyDescent="0.3">
      <c r="A602" t="s">
        <v>18</v>
      </c>
      <c r="B602" t="s">
        <v>11</v>
      </c>
      <c r="C602" t="s">
        <v>24</v>
      </c>
      <c r="D602" t="s">
        <v>13</v>
      </c>
      <c r="E602">
        <v>0</v>
      </c>
      <c r="F602" t="s">
        <v>34</v>
      </c>
      <c r="G602" t="s">
        <v>15</v>
      </c>
      <c r="H602" t="s">
        <v>16</v>
      </c>
      <c r="I602">
        <v>0</v>
      </c>
      <c r="J602" s="23">
        <v>683909987</v>
      </c>
      <c r="K602" t="s">
        <v>17</v>
      </c>
    </row>
    <row r="603" spans="1:11" ht="15" customHeight="1" x14ac:dyDescent="0.3">
      <c r="A603" t="s">
        <v>10</v>
      </c>
      <c r="B603" t="s">
        <v>11</v>
      </c>
      <c r="C603" t="s">
        <v>12</v>
      </c>
      <c r="D603" t="s">
        <v>25</v>
      </c>
      <c r="E603">
        <v>5</v>
      </c>
      <c r="F603" t="s">
        <v>21</v>
      </c>
      <c r="G603" t="s">
        <v>15</v>
      </c>
      <c r="H603" t="s">
        <v>16</v>
      </c>
      <c r="I603">
        <v>0</v>
      </c>
      <c r="J603" s="23">
        <v>-106402</v>
      </c>
      <c r="K603" t="s">
        <v>17</v>
      </c>
    </row>
    <row r="604" spans="1:11" ht="15" customHeight="1" x14ac:dyDescent="0.3">
      <c r="A604" t="s">
        <v>22</v>
      </c>
      <c r="B604" t="s">
        <v>11</v>
      </c>
      <c r="C604" t="s">
        <v>12</v>
      </c>
      <c r="D604" t="s">
        <v>28</v>
      </c>
      <c r="E604">
        <v>-4</v>
      </c>
      <c r="F604" t="s">
        <v>14</v>
      </c>
      <c r="G604" t="s">
        <v>15</v>
      </c>
      <c r="H604" t="s">
        <v>16</v>
      </c>
      <c r="I604">
        <v>0</v>
      </c>
      <c r="J604" s="23">
        <v>-44203</v>
      </c>
      <c r="K604" t="s">
        <v>17</v>
      </c>
    </row>
    <row r="605" spans="1:11" ht="15" customHeight="1" x14ac:dyDescent="0.3">
      <c r="A605" t="s">
        <v>18</v>
      </c>
      <c r="B605" t="s">
        <v>11</v>
      </c>
      <c r="C605" t="s">
        <v>24</v>
      </c>
      <c r="D605" t="s">
        <v>13</v>
      </c>
      <c r="E605">
        <v>8</v>
      </c>
      <c r="F605" t="s">
        <v>36</v>
      </c>
      <c r="G605" t="s">
        <v>15</v>
      </c>
      <c r="H605" t="s">
        <v>16</v>
      </c>
      <c r="I605">
        <v>0</v>
      </c>
      <c r="J605" s="23">
        <v>230644</v>
      </c>
      <c r="K605">
        <v>1845152</v>
      </c>
    </row>
    <row r="606" spans="1:11" ht="15" customHeight="1" x14ac:dyDescent="0.3">
      <c r="A606" t="s">
        <v>18</v>
      </c>
      <c r="B606" t="s">
        <v>11</v>
      </c>
      <c r="C606" t="s">
        <v>24</v>
      </c>
      <c r="D606" t="s">
        <v>25</v>
      </c>
      <c r="E606">
        <v>1</v>
      </c>
      <c r="F606" t="s">
        <v>35</v>
      </c>
      <c r="G606" t="s">
        <v>15</v>
      </c>
      <c r="H606" t="s">
        <v>16</v>
      </c>
      <c r="I606">
        <v>0</v>
      </c>
      <c r="J606" s="23">
        <v>678006</v>
      </c>
      <c r="K606">
        <v>678006</v>
      </c>
    </row>
    <row r="607" spans="1:11" ht="15" customHeight="1" x14ac:dyDescent="0.3">
      <c r="A607" t="s">
        <v>18</v>
      </c>
      <c r="B607" t="s">
        <v>11</v>
      </c>
      <c r="C607" t="s">
        <v>12</v>
      </c>
      <c r="D607" t="s">
        <v>13</v>
      </c>
      <c r="E607">
        <v>3</v>
      </c>
      <c r="F607" t="s">
        <v>29</v>
      </c>
      <c r="G607" t="s">
        <v>15</v>
      </c>
      <c r="H607" t="s">
        <v>16</v>
      </c>
      <c r="I607">
        <v>0</v>
      </c>
      <c r="J607" s="23">
        <v>-329229</v>
      </c>
      <c r="K607" t="s">
        <v>17</v>
      </c>
    </row>
    <row r="608" spans="1:11" ht="15" customHeight="1" x14ac:dyDescent="0.3">
      <c r="A608" t="s">
        <v>18</v>
      </c>
      <c r="B608" t="s">
        <v>11</v>
      </c>
      <c r="C608" t="s">
        <v>24</v>
      </c>
      <c r="D608" t="s">
        <v>13</v>
      </c>
      <c r="E608">
        <v>6</v>
      </c>
      <c r="F608" t="s">
        <v>23</v>
      </c>
      <c r="G608" t="s">
        <v>15</v>
      </c>
      <c r="H608" t="s">
        <v>16</v>
      </c>
      <c r="I608">
        <v>0</v>
      </c>
      <c r="J608" s="23">
        <v>3967367</v>
      </c>
      <c r="K608">
        <v>23804202</v>
      </c>
    </row>
    <row r="609" spans="1:11" ht="15" customHeight="1" x14ac:dyDescent="0.3">
      <c r="A609" t="s">
        <v>10</v>
      </c>
      <c r="B609" t="s">
        <v>11</v>
      </c>
      <c r="C609" t="s">
        <v>24</v>
      </c>
      <c r="D609" t="s">
        <v>13</v>
      </c>
      <c r="E609">
        <v>1</v>
      </c>
      <c r="F609" t="s">
        <v>41</v>
      </c>
      <c r="G609" t="s">
        <v>15</v>
      </c>
      <c r="H609" t="s">
        <v>16</v>
      </c>
      <c r="I609">
        <v>0</v>
      </c>
      <c r="J609" s="23">
        <v>68943</v>
      </c>
      <c r="K609">
        <v>68943</v>
      </c>
    </row>
    <row r="610" spans="1:11" ht="15" customHeight="1" x14ac:dyDescent="0.3">
      <c r="A610" t="s">
        <v>22</v>
      </c>
      <c r="B610" t="s">
        <v>11</v>
      </c>
      <c r="C610" t="s">
        <v>12</v>
      </c>
      <c r="D610" t="s">
        <v>28</v>
      </c>
      <c r="E610">
        <v>8</v>
      </c>
      <c r="F610" t="s">
        <v>34</v>
      </c>
      <c r="G610" t="s">
        <v>15</v>
      </c>
      <c r="H610" t="s">
        <v>16</v>
      </c>
      <c r="I610">
        <v>0</v>
      </c>
      <c r="J610" s="23">
        <v>-52966</v>
      </c>
      <c r="K610" t="s">
        <v>17</v>
      </c>
    </row>
    <row r="611" spans="1:11" ht="15" customHeight="1" x14ac:dyDescent="0.3">
      <c r="A611" t="s">
        <v>22</v>
      </c>
      <c r="B611" t="s">
        <v>11</v>
      </c>
      <c r="C611" t="s">
        <v>24</v>
      </c>
      <c r="D611" t="s">
        <v>13</v>
      </c>
      <c r="E611">
        <v>6</v>
      </c>
      <c r="F611" t="s">
        <v>29</v>
      </c>
      <c r="G611" t="s">
        <v>15</v>
      </c>
      <c r="H611" t="s">
        <v>16</v>
      </c>
      <c r="I611">
        <v>0</v>
      </c>
      <c r="J611" s="23">
        <v>1489957</v>
      </c>
      <c r="K611">
        <v>8939742</v>
      </c>
    </row>
    <row r="612" spans="1:11" ht="15" customHeight="1" x14ac:dyDescent="0.3">
      <c r="A612" t="s">
        <v>18</v>
      </c>
      <c r="B612" t="s">
        <v>11</v>
      </c>
      <c r="C612" t="s">
        <v>24</v>
      </c>
      <c r="D612" t="s">
        <v>28</v>
      </c>
      <c r="E612">
        <v>9</v>
      </c>
      <c r="F612" t="s">
        <v>21</v>
      </c>
      <c r="G612" t="s">
        <v>31</v>
      </c>
      <c r="H612" t="s">
        <v>32</v>
      </c>
      <c r="I612">
        <v>1</v>
      </c>
      <c r="J612" s="23">
        <v>223177</v>
      </c>
      <c r="K612">
        <v>2008593</v>
      </c>
    </row>
    <row r="613" spans="1:11" ht="15" customHeight="1" x14ac:dyDescent="0.3">
      <c r="A613" t="s">
        <v>10</v>
      </c>
      <c r="B613" t="s">
        <v>11</v>
      </c>
      <c r="C613" t="s">
        <v>12</v>
      </c>
      <c r="D613" t="s">
        <v>28</v>
      </c>
      <c r="E613">
        <v>11</v>
      </c>
      <c r="F613" t="s">
        <v>39</v>
      </c>
      <c r="G613" t="s">
        <v>15</v>
      </c>
      <c r="H613" t="s">
        <v>16</v>
      </c>
      <c r="I613">
        <v>0</v>
      </c>
      <c r="J613" s="23">
        <v>-7831284</v>
      </c>
      <c r="K613" t="s">
        <v>17</v>
      </c>
    </row>
    <row r="614" spans="1:11" ht="15" customHeight="1" x14ac:dyDescent="0.3">
      <c r="A614" t="s">
        <v>10</v>
      </c>
      <c r="B614" t="s">
        <v>11</v>
      </c>
      <c r="C614" t="s">
        <v>12</v>
      </c>
      <c r="D614" t="s">
        <v>13</v>
      </c>
      <c r="E614">
        <v>-4</v>
      </c>
      <c r="F614" t="s">
        <v>29</v>
      </c>
      <c r="G614" t="s">
        <v>15</v>
      </c>
      <c r="H614" t="s">
        <v>16</v>
      </c>
      <c r="I614">
        <v>0</v>
      </c>
      <c r="J614" s="23">
        <v>-38654</v>
      </c>
      <c r="K614" t="s">
        <v>17</v>
      </c>
    </row>
    <row r="615" spans="1:11" ht="15" customHeight="1" x14ac:dyDescent="0.3">
      <c r="A615" t="s">
        <v>10</v>
      </c>
      <c r="B615" t="s">
        <v>11</v>
      </c>
      <c r="C615" t="s">
        <v>12</v>
      </c>
      <c r="D615" t="s">
        <v>13</v>
      </c>
      <c r="E615">
        <v>0</v>
      </c>
      <c r="F615" t="s">
        <v>33</v>
      </c>
      <c r="G615" t="s">
        <v>15</v>
      </c>
      <c r="H615" t="s">
        <v>16</v>
      </c>
      <c r="I615">
        <v>0</v>
      </c>
      <c r="J615" s="23">
        <v>-28807</v>
      </c>
      <c r="K615" t="s">
        <v>17</v>
      </c>
    </row>
    <row r="616" spans="1:11" ht="15" customHeight="1" x14ac:dyDescent="0.3">
      <c r="A616" t="s">
        <v>10</v>
      </c>
      <c r="B616" t="s">
        <v>11</v>
      </c>
      <c r="C616" t="s">
        <v>24</v>
      </c>
      <c r="D616" t="s">
        <v>28</v>
      </c>
      <c r="E616">
        <v>5</v>
      </c>
      <c r="F616" t="s">
        <v>26</v>
      </c>
      <c r="G616" t="s">
        <v>15</v>
      </c>
      <c r="H616" t="s">
        <v>16</v>
      </c>
      <c r="I616">
        <v>0</v>
      </c>
      <c r="J616" s="23">
        <v>6292801</v>
      </c>
      <c r="K616">
        <v>31464005</v>
      </c>
    </row>
    <row r="617" spans="1:11" ht="15" customHeight="1" x14ac:dyDescent="0.3">
      <c r="A617" t="s">
        <v>18</v>
      </c>
      <c r="B617" t="s">
        <v>11</v>
      </c>
      <c r="C617" t="s">
        <v>12</v>
      </c>
      <c r="D617" t="s">
        <v>13</v>
      </c>
      <c r="E617">
        <v>6</v>
      </c>
      <c r="F617" t="s">
        <v>37</v>
      </c>
      <c r="G617" t="s">
        <v>15</v>
      </c>
      <c r="H617" t="s">
        <v>16</v>
      </c>
      <c r="I617">
        <v>0</v>
      </c>
      <c r="J617" s="23">
        <v>-13665</v>
      </c>
      <c r="K617" t="s">
        <v>17</v>
      </c>
    </row>
    <row r="618" spans="1:11" ht="15" customHeight="1" x14ac:dyDescent="0.3">
      <c r="A618" t="s">
        <v>10</v>
      </c>
      <c r="B618" t="s">
        <v>11</v>
      </c>
      <c r="C618" t="s">
        <v>24</v>
      </c>
      <c r="D618" t="s">
        <v>13</v>
      </c>
      <c r="E618">
        <v>-4</v>
      </c>
      <c r="F618" t="s">
        <v>29</v>
      </c>
      <c r="G618" t="s">
        <v>15</v>
      </c>
      <c r="H618" t="s">
        <v>16</v>
      </c>
      <c r="I618">
        <v>0</v>
      </c>
      <c r="J618" s="23">
        <v>494023</v>
      </c>
      <c r="K618" t="s">
        <v>17</v>
      </c>
    </row>
    <row r="619" spans="1:11" ht="15" customHeight="1" x14ac:dyDescent="0.3">
      <c r="A619" t="s">
        <v>18</v>
      </c>
      <c r="B619" t="s">
        <v>11</v>
      </c>
      <c r="C619" t="s">
        <v>24</v>
      </c>
      <c r="D619" t="s">
        <v>13</v>
      </c>
      <c r="E619">
        <v>10</v>
      </c>
      <c r="F619" t="s">
        <v>23</v>
      </c>
      <c r="G619" t="s">
        <v>15</v>
      </c>
      <c r="H619" t="s">
        <v>16</v>
      </c>
      <c r="I619">
        <v>0</v>
      </c>
      <c r="J619" s="23">
        <v>4511743</v>
      </c>
      <c r="K619">
        <v>45117430</v>
      </c>
    </row>
    <row r="620" spans="1:11" ht="15" customHeight="1" x14ac:dyDescent="0.3">
      <c r="A620" t="s">
        <v>18</v>
      </c>
      <c r="B620" t="s">
        <v>11</v>
      </c>
      <c r="C620" t="s">
        <v>24</v>
      </c>
      <c r="D620" t="s">
        <v>28</v>
      </c>
      <c r="E620">
        <v>-1</v>
      </c>
      <c r="F620" t="s">
        <v>29</v>
      </c>
      <c r="G620" t="s">
        <v>15</v>
      </c>
      <c r="H620" t="s">
        <v>16</v>
      </c>
      <c r="I620">
        <v>0</v>
      </c>
      <c r="J620" s="23">
        <v>1170999</v>
      </c>
      <c r="K620" t="s">
        <v>17</v>
      </c>
    </row>
    <row r="621" spans="1:11" ht="15" customHeight="1" x14ac:dyDescent="0.3">
      <c r="A621" t="s">
        <v>18</v>
      </c>
      <c r="B621" t="s">
        <v>11</v>
      </c>
      <c r="C621" t="s">
        <v>24</v>
      </c>
      <c r="D621" t="s">
        <v>13</v>
      </c>
      <c r="E621">
        <v>6</v>
      </c>
      <c r="F621" t="s">
        <v>34</v>
      </c>
      <c r="G621" t="s">
        <v>15</v>
      </c>
      <c r="H621" t="s">
        <v>16</v>
      </c>
      <c r="I621">
        <v>0</v>
      </c>
      <c r="J621" s="23">
        <v>14768368</v>
      </c>
      <c r="K621">
        <v>88610208</v>
      </c>
    </row>
    <row r="622" spans="1:11" ht="15" customHeight="1" x14ac:dyDescent="0.3">
      <c r="A622" t="s">
        <v>18</v>
      </c>
      <c r="B622" t="s">
        <v>11</v>
      </c>
      <c r="C622" t="s">
        <v>24</v>
      </c>
      <c r="D622" t="s">
        <v>25</v>
      </c>
      <c r="E622">
        <v>1</v>
      </c>
      <c r="F622" t="s">
        <v>36</v>
      </c>
      <c r="G622" t="s">
        <v>15</v>
      </c>
      <c r="H622" t="s">
        <v>16</v>
      </c>
      <c r="I622">
        <v>0</v>
      </c>
      <c r="J622" s="23">
        <v>237925</v>
      </c>
      <c r="K622">
        <v>237925</v>
      </c>
    </row>
    <row r="623" spans="1:11" ht="15" customHeight="1" x14ac:dyDescent="0.3">
      <c r="A623" t="s">
        <v>10</v>
      </c>
      <c r="B623" t="s">
        <v>11</v>
      </c>
      <c r="C623" t="s">
        <v>12</v>
      </c>
      <c r="D623" t="s">
        <v>28</v>
      </c>
      <c r="E623">
        <v>8</v>
      </c>
      <c r="F623" t="s">
        <v>26</v>
      </c>
      <c r="G623" t="s">
        <v>15</v>
      </c>
      <c r="H623" t="s">
        <v>16</v>
      </c>
      <c r="I623">
        <v>0</v>
      </c>
      <c r="J623" s="23">
        <v>-595529</v>
      </c>
      <c r="K623" t="s">
        <v>17</v>
      </c>
    </row>
    <row r="624" spans="1:11" ht="15" customHeight="1" x14ac:dyDescent="0.3">
      <c r="A624" t="s">
        <v>10</v>
      </c>
      <c r="B624" t="s">
        <v>19</v>
      </c>
      <c r="C624" t="s">
        <v>24</v>
      </c>
      <c r="D624" t="s">
        <v>20</v>
      </c>
      <c r="E624">
        <v>2</v>
      </c>
      <c r="F624"/>
      <c r="G624" t="s">
        <v>15</v>
      </c>
      <c r="H624" t="s">
        <v>32</v>
      </c>
      <c r="I624">
        <v>1</v>
      </c>
      <c r="J624" s="23">
        <v>50097</v>
      </c>
      <c r="K624">
        <v>100194</v>
      </c>
    </row>
    <row r="625" spans="1:11" ht="15" customHeight="1" x14ac:dyDescent="0.3">
      <c r="A625" t="s">
        <v>18</v>
      </c>
      <c r="B625" t="s">
        <v>11</v>
      </c>
      <c r="C625" t="s">
        <v>24</v>
      </c>
      <c r="D625" t="s">
        <v>13</v>
      </c>
      <c r="E625">
        <v>2</v>
      </c>
      <c r="F625" t="s">
        <v>35</v>
      </c>
      <c r="G625" t="s">
        <v>15</v>
      </c>
      <c r="H625" t="s">
        <v>16</v>
      </c>
      <c r="I625">
        <v>0</v>
      </c>
      <c r="J625" s="23">
        <v>5891620</v>
      </c>
      <c r="K625">
        <v>11783240</v>
      </c>
    </row>
    <row r="626" spans="1:11" ht="15" customHeight="1" x14ac:dyDescent="0.3">
      <c r="A626" t="s">
        <v>22</v>
      </c>
      <c r="B626" t="s">
        <v>11</v>
      </c>
      <c r="C626" t="s">
        <v>12</v>
      </c>
      <c r="D626" t="s">
        <v>13</v>
      </c>
      <c r="E626">
        <v>10</v>
      </c>
      <c r="F626" t="s">
        <v>29</v>
      </c>
      <c r="G626" t="s">
        <v>15</v>
      </c>
      <c r="H626" t="s">
        <v>16</v>
      </c>
      <c r="I626">
        <v>0</v>
      </c>
      <c r="J626" s="23">
        <v>-1885828</v>
      </c>
      <c r="K626" t="s">
        <v>17</v>
      </c>
    </row>
    <row r="627" spans="1:11" ht="15" customHeight="1" x14ac:dyDescent="0.3">
      <c r="A627" t="s">
        <v>18</v>
      </c>
      <c r="B627" t="s">
        <v>11</v>
      </c>
      <c r="C627" t="s">
        <v>24</v>
      </c>
      <c r="D627" t="s">
        <v>28</v>
      </c>
      <c r="E627">
        <v>13</v>
      </c>
      <c r="F627" t="s">
        <v>37</v>
      </c>
      <c r="G627" t="s">
        <v>15</v>
      </c>
      <c r="H627" t="s">
        <v>16</v>
      </c>
      <c r="I627">
        <v>0</v>
      </c>
      <c r="J627" s="23">
        <v>14007976</v>
      </c>
      <c r="K627">
        <v>182103688</v>
      </c>
    </row>
    <row r="628" spans="1:11" ht="15" customHeight="1" x14ac:dyDescent="0.3">
      <c r="A628" t="s">
        <v>10</v>
      </c>
      <c r="B628" t="s">
        <v>11</v>
      </c>
      <c r="C628" t="s">
        <v>12</v>
      </c>
      <c r="D628" t="s">
        <v>25</v>
      </c>
      <c r="E628">
        <v>0</v>
      </c>
      <c r="F628" t="s">
        <v>35</v>
      </c>
      <c r="G628" t="s">
        <v>15</v>
      </c>
      <c r="H628" t="s">
        <v>16</v>
      </c>
      <c r="I628">
        <v>0</v>
      </c>
      <c r="J628" s="23">
        <v>-35</v>
      </c>
      <c r="K628" t="s">
        <v>17</v>
      </c>
    </row>
    <row r="629" spans="1:11" ht="15" customHeight="1" x14ac:dyDescent="0.3">
      <c r="A629" t="s">
        <v>18</v>
      </c>
      <c r="B629" t="s">
        <v>11</v>
      </c>
      <c r="C629" t="s">
        <v>12</v>
      </c>
      <c r="D629" t="s">
        <v>25</v>
      </c>
      <c r="E629">
        <v>5</v>
      </c>
      <c r="F629" t="s">
        <v>40</v>
      </c>
      <c r="G629" t="s">
        <v>15</v>
      </c>
      <c r="H629" t="s">
        <v>16</v>
      </c>
      <c r="I629">
        <v>0</v>
      </c>
      <c r="J629" s="23">
        <v>-59730</v>
      </c>
      <c r="K629" t="s">
        <v>17</v>
      </c>
    </row>
    <row r="630" spans="1:11" ht="15" customHeight="1" x14ac:dyDescent="0.3">
      <c r="A630" t="s">
        <v>18</v>
      </c>
      <c r="B630" t="s">
        <v>11</v>
      </c>
      <c r="C630" t="s">
        <v>24</v>
      </c>
      <c r="D630" t="s">
        <v>28</v>
      </c>
      <c r="E630">
        <v>7</v>
      </c>
      <c r="F630" t="s">
        <v>45</v>
      </c>
      <c r="G630" t="s">
        <v>15</v>
      </c>
      <c r="H630" t="s">
        <v>16</v>
      </c>
      <c r="I630">
        <v>0</v>
      </c>
      <c r="J630" s="23">
        <v>140944</v>
      </c>
      <c r="K630">
        <v>986608</v>
      </c>
    </row>
    <row r="631" spans="1:11" ht="15" customHeight="1" x14ac:dyDescent="0.3">
      <c r="A631" t="s">
        <v>18</v>
      </c>
      <c r="B631" t="s">
        <v>19</v>
      </c>
      <c r="C631" t="s">
        <v>24</v>
      </c>
      <c r="D631" t="s">
        <v>28</v>
      </c>
      <c r="E631">
        <v>32</v>
      </c>
      <c r="F631"/>
      <c r="G631" t="s">
        <v>15</v>
      </c>
      <c r="H631" t="s">
        <v>16</v>
      </c>
      <c r="I631">
        <v>0</v>
      </c>
      <c r="J631" s="23">
        <v>356359</v>
      </c>
      <c r="K631">
        <v>11403488</v>
      </c>
    </row>
    <row r="632" spans="1:11" ht="15" customHeight="1" x14ac:dyDescent="0.3">
      <c r="A632" t="s">
        <v>10</v>
      </c>
      <c r="B632" t="s">
        <v>11</v>
      </c>
      <c r="C632" t="s">
        <v>12</v>
      </c>
      <c r="D632" t="s">
        <v>25</v>
      </c>
      <c r="E632">
        <v>-4</v>
      </c>
      <c r="F632" t="s">
        <v>42</v>
      </c>
      <c r="G632" t="s">
        <v>15</v>
      </c>
      <c r="H632" t="s">
        <v>16</v>
      </c>
      <c r="I632">
        <v>0</v>
      </c>
      <c r="J632" s="23">
        <v>-9</v>
      </c>
      <c r="K632" t="s">
        <v>17</v>
      </c>
    </row>
    <row r="633" spans="1:11" ht="15" customHeight="1" x14ac:dyDescent="0.3">
      <c r="A633" t="s">
        <v>18</v>
      </c>
      <c r="B633" t="s">
        <v>44</v>
      </c>
      <c r="C633" t="s">
        <v>12</v>
      </c>
      <c r="D633" t="s">
        <v>28</v>
      </c>
      <c r="E633">
        <v>10</v>
      </c>
      <c r="F633" t="s">
        <v>38</v>
      </c>
      <c r="G633" t="s">
        <v>15</v>
      </c>
      <c r="H633" t="s">
        <v>16</v>
      </c>
      <c r="I633">
        <v>0</v>
      </c>
      <c r="J633" s="23">
        <v>-130</v>
      </c>
      <c r="K633" t="s">
        <v>17</v>
      </c>
    </row>
    <row r="634" spans="1:11" ht="15" customHeight="1" x14ac:dyDescent="0.3">
      <c r="A634" t="s">
        <v>10</v>
      </c>
      <c r="B634" t="s">
        <v>19</v>
      </c>
      <c r="C634" t="s">
        <v>12</v>
      </c>
      <c r="D634" t="s">
        <v>20</v>
      </c>
      <c r="E634">
        <v>6</v>
      </c>
      <c r="F634"/>
      <c r="G634" t="s">
        <v>15</v>
      </c>
      <c r="H634" t="s">
        <v>16</v>
      </c>
      <c r="I634">
        <v>0</v>
      </c>
      <c r="J634" s="23">
        <v>-263951</v>
      </c>
      <c r="K634" t="s">
        <v>17</v>
      </c>
    </row>
    <row r="635" spans="1:11" ht="15" customHeight="1" x14ac:dyDescent="0.3">
      <c r="A635" t="s">
        <v>22</v>
      </c>
      <c r="B635" t="s">
        <v>19</v>
      </c>
      <c r="C635" t="s">
        <v>12</v>
      </c>
      <c r="D635" t="s">
        <v>20</v>
      </c>
      <c r="E635">
        <v>28</v>
      </c>
      <c r="F635"/>
      <c r="G635" t="s">
        <v>15</v>
      </c>
      <c r="H635" t="s">
        <v>16</v>
      </c>
      <c r="I635">
        <v>0</v>
      </c>
      <c r="J635" s="23">
        <v>-2987373</v>
      </c>
      <c r="K635" t="s">
        <v>17</v>
      </c>
    </row>
    <row r="636" spans="1:11" ht="15" customHeight="1" x14ac:dyDescent="0.3">
      <c r="A636" t="s">
        <v>18</v>
      </c>
      <c r="B636" t="s">
        <v>11</v>
      </c>
      <c r="C636" t="s">
        <v>24</v>
      </c>
      <c r="D636" t="s">
        <v>28</v>
      </c>
      <c r="E636">
        <v>10</v>
      </c>
      <c r="F636" t="s">
        <v>21</v>
      </c>
      <c r="G636" t="s">
        <v>15</v>
      </c>
      <c r="H636" t="s">
        <v>16</v>
      </c>
      <c r="I636">
        <v>0</v>
      </c>
      <c r="J636" s="23">
        <v>13052976</v>
      </c>
      <c r="K636">
        <v>130529760</v>
      </c>
    </row>
    <row r="637" spans="1:11" ht="15" customHeight="1" x14ac:dyDescent="0.3">
      <c r="A637" t="s">
        <v>18</v>
      </c>
      <c r="B637" t="s">
        <v>11</v>
      </c>
      <c r="C637" t="s">
        <v>12</v>
      </c>
      <c r="D637" t="s">
        <v>28</v>
      </c>
      <c r="E637">
        <v>8</v>
      </c>
      <c r="F637" t="s">
        <v>27</v>
      </c>
      <c r="G637" t="s">
        <v>15</v>
      </c>
      <c r="H637" t="s">
        <v>16</v>
      </c>
      <c r="I637">
        <v>0</v>
      </c>
      <c r="J637" s="23">
        <v>-943</v>
      </c>
      <c r="K637" t="s">
        <v>17</v>
      </c>
    </row>
    <row r="638" spans="1:11" ht="15" customHeight="1" x14ac:dyDescent="0.3">
      <c r="A638" t="s">
        <v>10</v>
      </c>
      <c r="B638" t="s">
        <v>19</v>
      </c>
      <c r="C638" t="s">
        <v>12</v>
      </c>
      <c r="D638" t="s">
        <v>20</v>
      </c>
      <c r="E638">
        <v>5</v>
      </c>
      <c r="F638"/>
      <c r="G638" t="s">
        <v>15</v>
      </c>
      <c r="H638" t="s">
        <v>32</v>
      </c>
      <c r="I638">
        <v>1</v>
      </c>
      <c r="J638" s="23">
        <v>-581</v>
      </c>
      <c r="K638" t="s">
        <v>17</v>
      </c>
    </row>
    <row r="639" spans="1:11" ht="15" customHeight="1" x14ac:dyDescent="0.3">
      <c r="A639" t="s">
        <v>18</v>
      </c>
      <c r="B639" t="s">
        <v>11</v>
      </c>
      <c r="C639" t="s">
        <v>24</v>
      </c>
      <c r="D639" t="s">
        <v>28</v>
      </c>
      <c r="E639">
        <v>10</v>
      </c>
      <c r="F639" t="s">
        <v>21</v>
      </c>
      <c r="G639" t="s">
        <v>15</v>
      </c>
      <c r="H639" t="s">
        <v>32</v>
      </c>
      <c r="I639">
        <v>1</v>
      </c>
      <c r="J639" s="23">
        <v>57413</v>
      </c>
      <c r="K639">
        <v>574130</v>
      </c>
    </row>
    <row r="640" spans="1:11" ht="15" customHeight="1" x14ac:dyDescent="0.3">
      <c r="A640" t="s">
        <v>10</v>
      </c>
      <c r="B640" t="s">
        <v>11</v>
      </c>
      <c r="C640" t="s">
        <v>12</v>
      </c>
      <c r="D640" t="s">
        <v>13</v>
      </c>
      <c r="E640">
        <v>0</v>
      </c>
      <c r="F640" t="s">
        <v>14</v>
      </c>
      <c r="G640" t="s">
        <v>15</v>
      </c>
      <c r="H640" t="s">
        <v>16</v>
      </c>
      <c r="I640">
        <v>0</v>
      </c>
      <c r="J640" s="23">
        <v>-22149</v>
      </c>
      <c r="K640" t="s">
        <v>17</v>
      </c>
    </row>
    <row r="641" spans="1:11" ht="15" customHeight="1" x14ac:dyDescent="0.3">
      <c r="A641" t="s">
        <v>18</v>
      </c>
      <c r="B641" t="s">
        <v>11</v>
      </c>
      <c r="C641" t="s">
        <v>12</v>
      </c>
      <c r="D641" t="s">
        <v>28</v>
      </c>
      <c r="E641">
        <v>-1</v>
      </c>
      <c r="F641" t="s">
        <v>21</v>
      </c>
      <c r="G641" t="s">
        <v>15</v>
      </c>
      <c r="H641" t="s">
        <v>16</v>
      </c>
      <c r="I641">
        <v>0</v>
      </c>
      <c r="J641" s="23">
        <v>-12927</v>
      </c>
      <c r="K641" t="s">
        <v>17</v>
      </c>
    </row>
    <row r="642" spans="1:11" ht="15" customHeight="1" x14ac:dyDescent="0.3">
      <c r="A642" t="s">
        <v>22</v>
      </c>
      <c r="B642" t="s">
        <v>11</v>
      </c>
      <c r="C642" t="s">
        <v>12</v>
      </c>
      <c r="D642" t="s">
        <v>13</v>
      </c>
      <c r="E642">
        <v>3</v>
      </c>
      <c r="F642" t="s">
        <v>14</v>
      </c>
      <c r="G642" t="s">
        <v>15</v>
      </c>
      <c r="H642" t="s">
        <v>16</v>
      </c>
      <c r="I642">
        <v>0</v>
      </c>
      <c r="J642" s="23">
        <v>-48465</v>
      </c>
      <c r="K642" t="s">
        <v>17</v>
      </c>
    </row>
    <row r="643" spans="1:11" ht="15" customHeight="1" x14ac:dyDescent="0.3">
      <c r="A643" t="s">
        <v>10</v>
      </c>
      <c r="B643" t="s">
        <v>19</v>
      </c>
      <c r="C643" t="s">
        <v>24</v>
      </c>
      <c r="D643" t="s">
        <v>20</v>
      </c>
      <c r="E643">
        <v>21</v>
      </c>
      <c r="F643"/>
      <c r="G643" t="s">
        <v>15</v>
      </c>
      <c r="H643" t="s">
        <v>32</v>
      </c>
      <c r="I643">
        <v>1</v>
      </c>
      <c r="J643" s="23">
        <v>425482</v>
      </c>
      <c r="K643">
        <v>8935122</v>
      </c>
    </row>
    <row r="644" spans="1:11" ht="15" customHeight="1" x14ac:dyDescent="0.3">
      <c r="A644" t="s">
        <v>18</v>
      </c>
      <c r="B644" t="s">
        <v>11</v>
      </c>
      <c r="C644" t="s">
        <v>24</v>
      </c>
      <c r="D644" t="s">
        <v>25</v>
      </c>
      <c r="E644">
        <v>8</v>
      </c>
      <c r="F644" t="s">
        <v>40</v>
      </c>
      <c r="G644" t="s">
        <v>15</v>
      </c>
      <c r="H644" t="s">
        <v>16</v>
      </c>
      <c r="I644">
        <v>0</v>
      </c>
      <c r="J644" s="23">
        <v>9560733</v>
      </c>
      <c r="K644">
        <v>76485864</v>
      </c>
    </row>
    <row r="645" spans="1:11" ht="15" customHeight="1" x14ac:dyDescent="0.3">
      <c r="A645" t="s">
        <v>18</v>
      </c>
      <c r="B645" t="s">
        <v>19</v>
      </c>
      <c r="C645" t="s">
        <v>12</v>
      </c>
      <c r="D645" t="s">
        <v>28</v>
      </c>
      <c r="E645">
        <v>30</v>
      </c>
      <c r="F645"/>
      <c r="G645" t="s">
        <v>15</v>
      </c>
      <c r="H645" t="s">
        <v>16</v>
      </c>
      <c r="I645">
        <v>0</v>
      </c>
      <c r="J645" s="23">
        <v>-496</v>
      </c>
      <c r="K645" t="s">
        <v>17</v>
      </c>
    </row>
    <row r="646" spans="1:11" ht="15" customHeight="1" x14ac:dyDescent="0.3">
      <c r="A646" t="s">
        <v>18</v>
      </c>
      <c r="B646" t="s">
        <v>19</v>
      </c>
      <c r="C646" t="s">
        <v>24</v>
      </c>
      <c r="D646" t="s">
        <v>28</v>
      </c>
      <c r="E646">
        <v>7</v>
      </c>
      <c r="F646"/>
      <c r="G646" t="s">
        <v>15</v>
      </c>
      <c r="H646" t="s">
        <v>16</v>
      </c>
      <c r="I646">
        <v>0</v>
      </c>
      <c r="J646" s="23">
        <v>3788044</v>
      </c>
      <c r="K646">
        <v>26516308</v>
      </c>
    </row>
    <row r="647" spans="1:11" ht="15" customHeight="1" x14ac:dyDescent="0.3">
      <c r="A647" t="s">
        <v>10</v>
      </c>
      <c r="B647" t="s">
        <v>11</v>
      </c>
      <c r="C647" t="s">
        <v>12</v>
      </c>
      <c r="D647" t="s">
        <v>13</v>
      </c>
      <c r="E647">
        <v>0</v>
      </c>
      <c r="F647" t="s">
        <v>27</v>
      </c>
      <c r="G647" t="s">
        <v>15</v>
      </c>
      <c r="H647" t="s">
        <v>16</v>
      </c>
      <c r="I647">
        <v>0</v>
      </c>
      <c r="J647" s="23">
        <v>-2038</v>
      </c>
      <c r="K647" t="s">
        <v>17</v>
      </c>
    </row>
    <row r="648" spans="1:11" ht="15" customHeight="1" x14ac:dyDescent="0.3">
      <c r="A648" t="s">
        <v>18</v>
      </c>
      <c r="B648" t="s">
        <v>11</v>
      </c>
      <c r="C648" t="s">
        <v>12</v>
      </c>
      <c r="D648" t="s">
        <v>25</v>
      </c>
      <c r="E648">
        <v>-4</v>
      </c>
      <c r="F648" t="s">
        <v>37</v>
      </c>
      <c r="G648" t="s">
        <v>15</v>
      </c>
      <c r="H648" t="s">
        <v>16</v>
      </c>
      <c r="I648">
        <v>0</v>
      </c>
      <c r="J648" s="23">
        <v>0</v>
      </c>
      <c r="K648" t="s">
        <v>17</v>
      </c>
    </row>
    <row r="649" spans="1:11" ht="15" customHeight="1" x14ac:dyDescent="0.3">
      <c r="A649" t="s">
        <v>10</v>
      </c>
      <c r="B649" t="s">
        <v>19</v>
      </c>
      <c r="C649" t="s">
        <v>12</v>
      </c>
      <c r="D649" t="s">
        <v>20</v>
      </c>
      <c r="E649">
        <v>4</v>
      </c>
      <c r="F649"/>
      <c r="G649" t="s">
        <v>15</v>
      </c>
      <c r="H649" t="s">
        <v>16</v>
      </c>
      <c r="I649">
        <v>0</v>
      </c>
      <c r="J649" s="23">
        <v>-106066</v>
      </c>
      <c r="K649" t="s">
        <v>17</v>
      </c>
    </row>
    <row r="650" spans="1:11" ht="15" customHeight="1" x14ac:dyDescent="0.3">
      <c r="A650" t="s">
        <v>18</v>
      </c>
      <c r="B650" t="s">
        <v>11</v>
      </c>
      <c r="C650" t="s">
        <v>24</v>
      </c>
      <c r="D650" t="s">
        <v>25</v>
      </c>
      <c r="E650">
        <v>0</v>
      </c>
      <c r="F650" t="s">
        <v>37</v>
      </c>
      <c r="G650" t="s">
        <v>15</v>
      </c>
      <c r="H650" t="s">
        <v>16</v>
      </c>
      <c r="I650">
        <v>0</v>
      </c>
      <c r="J650" s="23">
        <v>8064</v>
      </c>
      <c r="K650" t="s">
        <v>17</v>
      </c>
    </row>
    <row r="651" spans="1:11" ht="15" customHeight="1" x14ac:dyDescent="0.3">
      <c r="A651" t="s">
        <v>10</v>
      </c>
      <c r="B651" t="s">
        <v>19</v>
      </c>
      <c r="C651" t="s">
        <v>12</v>
      </c>
      <c r="D651" t="s">
        <v>20</v>
      </c>
      <c r="E651">
        <v>24</v>
      </c>
      <c r="F651"/>
      <c r="G651" t="s">
        <v>15</v>
      </c>
      <c r="H651" t="s">
        <v>32</v>
      </c>
      <c r="I651">
        <v>1</v>
      </c>
      <c r="J651" s="23">
        <v>-7273</v>
      </c>
      <c r="K651" t="s">
        <v>17</v>
      </c>
    </row>
    <row r="652" spans="1:11" ht="15" customHeight="1" x14ac:dyDescent="0.3">
      <c r="A652" t="s">
        <v>22</v>
      </c>
      <c r="B652" t="s">
        <v>19</v>
      </c>
      <c r="C652" t="s">
        <v>12</v>
      </c>
      <c r="D652" t="s">
        <v>20</v>
      </c>
      <c r="E652">
        <v>4</v>
      </c>
      <c r="F652"/>
      <c r="G652" t="s">
        <v>15</v>
      </c>
      <c r="H652" t="s">
        <v>16</v>
      </c>
      <c r="I652">
        <v>0</v>
      </c>
      <c r="J652" s="23">
        <v>-404454</v>
      </c>
      <c r="K652" t="s">
        <v>17</v>
      </c>
    </row>
    <row r="653" spans="1:11" ht="15" customHeight="1" x14ac:dyDescent="0.3">
      <c r="A653" t="s">
        <v>22</v>
      </c>
      <c r="B653" t="s">
        <v>11</v>
      </c>
      <c r="C653" t="s">
        <v>12</v>
      </c>
      <c r="D653" t="s">
        <v>13</v>
      </c>
      <c r="E653">
        <v>20</v>
      </c>
      <c r="F653" t="s">
        <v>39</v>
      </c>
      <c r="G653" t="s">
        <v>15</v>
      </c>
      <c r="H653" t="s">
        <v>16</v>
      </c>
      <c r="I653">
        <v>0</v>
      </c>
      <c r="J653" s="23">
        <v>-36972</v>
      </c>
      <c r="K653" t="s">
        <v>17</v>
      </c>
    </row>
    <row r="654" spans="1:11" ht="15" customHeight="1" x14ac:dyDescent="0.3">
      <c r="A654" t="s">
        <v>10</v>
      </c>
      <c r="B654" t="s">
        <v>11</v>
      </c>
      <c r="C654" t="s">
        <v>12</v>
      </c>
      <c r="D654" t="s">
        <v>28</v>
      </c>
      <c r="E654">
        <v>1</v>
      </c>
      <c r="F654" t="s">
        <v>23</v>
      </c>
      <c r="G654" t="s">
        <v>15</v>
      </c>
      <c r="H654" t="s">
        <v>16</v>
      </c>
      <c r="I654">
        <v>0</v>
      </c>
      <c r="J654" s="23">
        <v>-3070</v>
      </c>
      <c r="K654" t="s">
        <v>17</v>
      </c>
    </row>
    <row r="655" spans="1:11" ht="15" customHeight="1" x14ac:dyDescent="0.3">
      <c r="A655" t="s">
        <v>18</v>
      </c>
      <c r="B655" t="s">
        <v>11</v>
      </c>
      <c r="C655" t="s">
        <v>12</v>
      </c>
      <c r="D655" t="s">
        <v>28</v>
      </c>
      <c r="E655">
        <v>1</v>
      </c>
      <c r="F655" t="s">
        <v>40</v>
      </c>
      <c r="G655" t="s">
        <v>15</v>
      </c>
      <c r="H655" t="s">
        <v>16</v>
      </c>
      <c r="I655">
        <v>0</v>
      </c>
      <c r="J655" s="23">
        <v>-488</v>
      </c>
      <c r="K655" t="s">
        <v>17</v>
      </c>
    </row>
    <row r="656" spans="1:11" ht="15" customHeight="1" x14ac:dyDescent="0.3">
      <c r="A656" t="s">
        <v>10</v>
      </c>
      <c r="B656" t="s">
        <v>11</v>
      </c>
      <c r="C656" t="s">
        <v>12</v>
      </c>
      <c r="D656" t="s">
        <v>28</v>
      </c>
      <c r="E656">
        <v>15</v>
      </c>
      <c r="F656" t="s">
        <v>14</v>
      </c>
      <c r="G656" t="s">
        <v>15</v>
      </c>
      <c r="H656" t="s">
        <v>16</v>
      </c>
      <c r="I656">
        <v>0</v>
      </c>
      <c r="J656" s="23">
        <v>-17414</v>
      </c>
      <c r="K656" t="s">
        <v>17</v>
      </c>
    </row>
    <row r="657" spans="1:11" ht="15" customHeight="1" x14ac:dyDescent="0.3">
      <c r="A657" t="s">
        <v>10</v>
      </c>
      <c r="B657" t="s">
        <v>11</v>
      </c>
      <c r="C657" t="s">
        <v>12</v>
      </c>
      <c r="D657" t="s">
        <v>25</v>
      </c>
      <c r="E657">
        <v>0</v>
      </c>
      <c r="F657" t="s">
        <v>40</v>
      </c>
      <c r="G657" t="s">
        <v>15</v>
      </c>
      <c r="H657" t="s">
        <v>16</v>
      </c>
      <c r="I657">
        <v>0</v>
      </c>
      <c r="J657" s="23">
        <v>-9725</v>
      </c>
      <c r="K657" t="s">
        <v>17</v>
      </c>
    </row>
    <row r="658" spans="1:11" ht="15" customHeight="1" x14ac:dyDescent="0.3">
      <c r="A658" t="s">
        <v>10</v>
      </c>
      <c r="B658" t="s">
        <v>11</v>
      </c>
      <c r="C658" t="s">
        <v>12</v>
      </c>
      <c r="D658" t="s">
        <v>13</v>
      </c>
      <c r="E658">
        <v>7</v>
      </c>
      <c r="F658" t="s">
        <v>29</v>
      </c>
      <c r="G658" t="s">
        <v>15</v>
      </c>
      <c r="H658" t="s">
        <v>16</v>
      </c>
      <c r="I658">
        <v>0</v>
      </c>
      <c r="J658" s="23">
        <v>-175528</v>
      </c>
      <c r="K658" t="s">
        <v>17</v>
      </c>
    </row>
    <row r="659" spans="1:11" ht="15" customHeight="1" x14ac:dyDescent="0.3">
      <c r="A659" t="s">
        <v>18</v>
      </c>
      <c r="B659" t="s">
        <v>11</v>
      </c>
      <c r="C659" t="s">
        <v>24</v>
      </c>
      <c r="D659" t="s">
        <v>13</v>
      </c>
      <c r="E659">
        <v>2</v>
      </c>
      <c r="F659" t="s">
        <v>40</v>
      </c>
      <c r="G659" t="s">
        <v>15</v>
      </c>
      <c r="H659" t="s">
        <v>16</v>
      </c>
      <c r="I659">
        <v>0</v>
      </c>
      <c r="J659" s="23">
        <v>30402507</v>
      </c>
      <c r="K659">
        <v>60805014</v>
      </c>
    </row>
    <row r="660" spans="1:11" ht="15" customHeight="1" x14ac:dyDescent="0.3">
      <c r="A660" t="s">
        <v>18</v>
      </c>
      <c r="B660" t="s">
        <v>19</v>
      </c>
      <c r="C660" t="s">
        <v>24</v>
      </c>
      <c r="D660" t="s">
        <v>20</v>
      </c>
      <c r="E660">
        <v>34</v>
      </c>
      <c r="F660"/>
      <c r="G660" t="s">
        <v>15</v>
      </c>
      <c r="H660" t="s">
        <v>32</v>
      </c>
      <c r="I660">
        <v>1</v>
      </c>
      <c r="J660" s="23">
        <v>1696775</v>
      </c>
      <c r="K660">
        <v>57690350</v>
      </c>
    </row>
    <row r="661" spans="1:11" ht="15" customHeight="1" x14ac:dyDescent="0.3">
      <c r="A661" t="s">
        <v>10</v>
      </c>
      <c r="B661" t="s">
        <v>19</v>
      </c>
      <c r="C661" t="s">
        <v>12</v>
      </c>
      <c r="D661" t="s">
        <v>20</v>
      </c>
      <c r="E661">
        <v>22</v>
      </c>
      <c r="F661"/>
      <c r="G661" t="s">
        <v>15</v>
      </c>
      <c r="H661" t="s">
        <v>16</v>
      </c>
      <c r="I661">
        <v>0</v>
      </c>
      <c r="J661" s="23">
        <v>-1458221</v>
      </c>
      <c r="K661" t="s">
        <v>17</v>
      </c>
    </row>
    <row r="662" spans="1:11" ht="15" customHeight="1" x14ac:dyDescent="0.3">
      <c r="A662" t="s">
        <v>18</v>
      </c>
      <c r="B662" t="s">
        <v>19</v>
      </c>
      <c r="C662" t="s">
        <v>24</v>
      </c>
      <c r="D662" t="s">
        <v>20</v>
      </c>
      <c r="E662">
        <v>26</v>
      </c>
      <c r="F662"/>
      <c r="G662" t="s">
        <v>15</v>
      </c>
      <c r="H662" t="s">
        <v>32</v>
      </c>
      <c r="I662">
        <v>1</v>
      </c>
      <c r="J662" s="23">
        <v>2323189</v>
      </c>
      <c r="K662">
        <v>60402914</v>
      </c>
    </row>
    <row r="663" spans="1:11" ht="15" customHeight="1" x14ac:dyDescent="0.3">
      <c r="A663" t="s">
        <v>18</v>
      </c>
      <c r="B663" t="s">
        <v>11</v>
      </c>
      <c r="C663" t="s">
        <v>24</v>
      </c>
      <c r="D663" t="s">
        <v>13</v>
      </c>
      <c r="E663">
        <v>4</v>
      </c>
      <c r="F663" t="s">
        <v>27</v>
      </c>
      <c r="G663" t="s">
        <v>15</v>
      </c>
      <c r="H663" t="s">
        <v>16</v>
      </c>
      <c r="I663">
        <v>0</v>
      </c>
      <c r="J663" s="23">
        <v>2000638</v>
      </c>
      <c r="K663">
        <v>8002552</v>
      </c>
    </row>
    <row r="664" spans="1:11" ht="15" customHeight="1" x14ac:dyDescent="0.3">
      <c r="A664" t="s">
        <v>10</v>
      </c>
      <c r="B664" t="s">
        <v>11</v>
      </c>
      <c r="C664" t="s">
        <v>24</v>
      </c>
      <c r="D664" t="s">
        <v>28</v>
      </c>
      <c r="E664">
        <v>9</v>
      </c>
      <c r="F664" t="s">
        <v>23</v>
      </c>
      <c r="G664" t="s">
        <v>15</v>
      </c>
      <c r="H664" t="s">
        <v>16</v>
      </c>
      <c r="I664">
        <v>0</v>
      </c>
      <c r="J664" s="23">
        <v>3949275</v>
      </c>
      <c r="K664">
        <v>35543475</v>
      </c>
    </row>
    <row r="665" spans="1:11" ht="15" customHeight="1" x14ac:dyDescent="0.3">
      <c r="A665" t="s">
        <v>18</v>
      </c>
      <c r="B665" t="s">
        <v>11</v>
      </c>
      <c r="C665" t="s">
        <v>12</v>
      </c>
      <c r="D665" t="s">
        <v>28</v>
      </c>
      <c r="E665">
        <v>6</v>
      </c>
      <c r="F665" t="s">
        <v>21</v>
      </c>
      <c r="G665" t="s">
        <v>15</v>
      </c>
      <c r="H665" t="s">
        <v>16</v>
      </c>
      <c r="I665">
        <v>0</v>
      </c>
      <c r="J665" s="23">
        <v>-4791</v>
      </c>
      <c r="K665" t="s">
        <v>17</v>
      </c>
    </row>
    <row r="666" spans="1:11" ht="15" customHeight="1" x14ac:dyDescent="0.3">
      <c r="A666" t="s">
        <v>10</v>
      </c>
      <c r="B666" t="s">
        <v>11</v>
      </c>
      <c r="C666" t="s">
        <v>24</v>
      </c>
      <c r="D666" t="s">
        <v>13</v>
      </c>
      <c r="E666">
        <v>-4</v>
      </c>
      <c r="F666" t="s">
        <v>33</v>
      </c>
      <c r="G666" t="s">
        <v>15</v>
      </c>
      <c r="H666" t="s">
        <v>16</v>
      </c>
      <c r="I666">
        <v>0</v>
      </c>
      <c r="J666" s="23">
        <v>1784</v>
      </c>
      <c r="K666" t="s">
        <v>17</v>
      </c>
    </row>
    <row r="667" spans="1:11" ht="15" customHeight="1" x14ac:dyDescent="0.3">
      <c r="A667" t="s">
        <v>22</v>
      </c>
      <c r="B667" t="s">
        <v>19</v>
      </c>
      <c r="C667" t="s">
        <v>24</v>
      </c>
      <c r="D667" t="s">
        <v>28</v>
      </c>
      <c r="E667">
        <v>21</v>
      </c>
      <c r="F667"/>
      <c r="G667" t="s">
        <v>15</v>
      </c>
      <c r="H667" t="s">
        <v>16</v>
      </c>
      <c r="I667">
        <v>0</v>
      </c>
      <c r="J667" s="23">
        <v>526186</v>
      </c>
      <c r="K667">
        <v>11049906</v>
      </c>
    </row>
    <row r="668" spans="1:11" ht="15" customHeight="1" x14ac:dyDescent="0.3">
      <c r="A668" t="s">
        <v>22</v>
      </c>
      <c r="B668" t="s">
        <v>11</v>
      </c>
      <c r="C668" t="s">
        <v>24</v>
      </c>
      <c r="D668" t="s">
        <v>25</v>
      </c>
      <c r="E668">
        <v>5</v>
      </c>
      <c r="F668" t="s">
        <v>29</v>
      </c>
      <c r="G668" t="s">
        <v>15</v>
      </c>
      <c r="H668" t="s">
        <v>16</v>
      </c>
      <c r="I668">
        <v>0</v>
      </c>
      <c r="J668" s="23">
        <v>101288</v>
      </c>
      <c r="K668">
        <v>506440</v>
      </c>
    </row>
    <row r="669" spans="1:11" ht="15" customHeight="1" x14ac:dyDescent="0.3">
      <c r="A669" t="s">
        <v>22</v>
      </c>
      <c r="B669" t="s">
        <v>11</v>
      </c>
      <c r="C669" t="s">
        <v>24</v>
      </c>
      <c r="D669" t="s">
        <v>13</v>
      </c>
      <c r="E669">
        <v>10</v>
      </c>
      <c r="F669" t="s">
        <v>33</v>
      </c>
      <c r="G669" t="s">
        <v>15</v>
      </c>
      <c r="H669" t="s">
        <v>16</v>
      </c>
      <c r="I669">
        <v>0</v>
      </c>
      <c r="J669" s="23">
        <v>8934</v>
      </c>
      <c r="K669">
        <v>89340</v>
      </c>
    </row>
    <row r="670" spans="1:11" ht="15" customHeight="1" x14ac:dyDescent="0.3">
      <c r="A670" t="s">
        <v>22</v>
      </c>
      <c r="B670" t="s">
        <v>19</v>
      </c>
      <c r="C670" t="s">
        <v>24</v>
      </c>
      <c r="D670" t="s">
        <v>20</v>
      </c>
      <c r="E670">
        <v>8</v>
      </c>
      <c r="F670"/>
      <c r="G670" t="s">
        <v>15</v>
      </c>
      <c r="H670" t="s">
        <v>32</v>
      </c>
      <c r="I670">
        <v>1</v>
      </c>
      <c r="J670" s="23">
        <v>13534</v>
      </c>
      <c r="K670">
        <v>108272</v>
      </c>
    </row>
    <row r="671" spans="1:11" ht="15" customHeight="1" x14ac:dyDescent="0.3">
      <c r="A671" t="s">
        <v>10</v>
      </c>
      <c r="B671" t="s">
        <v>19</v>
      </c>
      <c r="C671" t="s">
        <v>12</v>
      </c>
      <c r="D671" t="s">
        <v>20</v>
      </c>
      <c r="E671">
        <v>23</v>
      </c>
      <c r="F671"/>
      <c r="G671" t="s">
        <v>31</v>
      </c>
      <c r="H671" t="s">
        <v>32</v>
      </c>
      <c r="I671">
        <v>1</v>
      </c>
      <c r="J671" s="23">
        <v>-3304</v>
      </c>
      <c r="K671" t="s">
        <v>17</v>
      </c>
    </row>
    <row r="672" spans="1:11" ht="15" customHeight="1" x14ac:dyDescent="0.3">
      <c r="A672" t="s">
        <v>10</v>
      </c>
      <c r="B672" t="s">
        <v>11</v>
      </c>
      <c r="C672" t="s">
        <v>12</v>
      </c>
      <c r="D672" t="s">
        <v>28</v>
      </c>
      <c r="E672">
        <v>12</v>
      </c>
      <c r="F672" t="s">
        <v>27</v>
      </c>
      <c r="G672" t="s">
        <v>15</v>
      </c>
      <c r="H672" t="s">
        <v>16</v>
      </c>
      <c r="I672">
        <v>0</v>
      </c>
      <c r="J672" s="23">
        <v>-8050</v>
      </c>
      <c r="K672" t="s">
        <v>17</v>
      </c>
    </row>
    <row r="673" spans="1:11" ht="15" customHeight="1" x14ac:dyDescent="0.3">
      <c r="A673" t="s">
        <v>10</v>
      </c>
      <c r="B673" t="s">
        <v>11</v>
      </c>
      <c r="C673" t="s">
        <v>12</v>
      </c>
      <c r="D673" t="s">
        <v>25</v>
      </c>
      <c r="E673">
        <v>4</v>
      </c>
      <c r="F673" t="s">
        <v>35</v>
      </c>
      <c r="G673" t="s">
        <v>15</v>
      </c>
      <c r="H673" t="s">
        <v>16</v>
      </c>
      <c r="I673">
        <v>0</v>
      </c>
      <c r="J673" s="23">
        <v>-12925</v>
      </c>
      <c r="K673" t="s">
        <v>17</v>
      </c>
    </row>
    <row r="674" spans="1:11" ht="15" customHeight="1" x14ac:dyDescent="0.3">
      <c r="A674" t="s">
        <v>18</v>
      </c>
      <c r="B674" t="s">
        <v>19</v>
      </c>
      <c r="C674" t="s">
        <v>12</v>
      </c>
      <c r="D674" t="s">
        <v>20</v>
      </c>
      <c r="E674">
        <v>33</v>
      </c>
      <c r="F674"/>
      <c r="G674" t="s">
        <v>15</v>
      </c>
      <c r="H674" t="s">
        <v>16</v>
      </c>
      <c r="I674">
        <v>0</v>
      </c>
      <c r="J674" s="23">
        <v>-470911</v>
      </c>
      <c r="K674" t="s">
        <v>17</v>
      </c>
    </row>
    <row r="675" spans="1:11" ht="15" customHeight="1" x14ac:dyDescent="0.3">
      <c r="A675" t="s">
        <v>18</v>
      </c>
      <c r="B675" t="s">
        <v>11</v>
      </c>
      <c r="C675" t="s">
        <v>24</v>
      </c>
      <c r="D675" t="s">
        <v>28</v>
      </c>
      <c r="E675">
        <v>3</v>
      </c>
      <c r="F675" t="s">
        <v>27</v>
      </c>
      <c r="G675" t="s">
        <v>15</v>
      </c>
      <c r="H675" t="s">
        <v>16</v>
      </c>
      <c r="I675">
        <v>0</v>
      </c>
      <c r="J675" s="23">
        <v>43329</v>
      </c>
      <c r="K675">
        <v>129987</v>
      </c>
    </row>
    <row r="676" spans="1:11" ht="15" customHeight="1" x14ac:dyDescent="0.3">
      <c r="A676" t="s">
        <v>18</v>
      </c>
      <c r="B676" t="s">
        <v>11</v>
      </c>
      <c r="C676" t="s">
        <v>24</v>
      </c>
      <c r="D676" t="s">
        <v>25</v>
      </c>
      <c r="E676">
        <v>1</v>
      </c>
      <c r="F676" t="s">
        <v>40</v>
      </c>
      <c r="G676" t="s">
        <v>15</v>
      </c>
      <c r="H676" t="s">
        <v>16</v>
      </c>
      <c r="I676">
        <v>0</v>
      </c>
      <c r="J676" s="23">
        <v>7032249</v>
      </c>
      <c r="K676">
        <v>7032249</v>
      </c>
    </row>
    <row r="677" spans="1:11" ht="15" customHeight="1" x14ac:dyDescent="0.3">
      <c r="A677" t="s">
        <v>22</v>
      </c>
      <c r="B677" t="s">
        <v>19</v>
      </c>
      <c r="C677" t="s">
        <v>24</v>
      </c>
      <c r="D677" t="s">
        <v>20</v>
      </c>
      <c r="E677">
        <v>2</v>
      </c>
      <c r="F677"/>
      <c r="G677" t="s">
        <v>31</v>
      </c>
      <c r="H677" t="s">
        <v>16</v>
      </c>
      <c r="I677">
        <v>1</v>
      </c>
      <c r="J677" s="23">
        <v>7430</v>
      </c>
      <c r="K677">
        <v>14860</v>
      </c>
    </row>
    <row r="678" spans="1:11" ht="15" customHeight="1" x14ac:dyDescent="0.3">
      <c r="A678" t="s">
        <v>18</v>
      </c>
      <c r="B678" t="s">
        <v>11</v>
      </c>
      <c r="C678" t="s">
        <v>24</v>
      </c>
      <c r="D678" t="s">
        <v>28</v>
      </c>
      <c r="E678">
        <v>10</v>
      </c>
      <c r="F678" t="s">
        <v>35</v>
      </c>
      <c r="G678" t="s">
        <v>15</v>
      </c>
      <c r="H678" t="s">
        <v>16</v>
      </c>
      <c r="I678">
        <v>0</v>
      </c>
      <c r="J678" s="23">
        <v>733569</v>
      </c>
      <c r="K678">
        <v>7335690</v>
      </c>
    </row>
    <row r="679" spans="1:11" ht="15" customHeight="1" x14ac:dyDescent="0.3">
      <c r="A679" t="s">
        <v>10</v>
      </c>
      <c r="B679" t="s">
        <v>19</v>
      </c>
      <c r="C679" t="s">
        <v>24</v>
      </c>
      <c r="D679" t="s">
        <v>20</v>
      </c>
      <c r="E679">
        <v>45</v>
      </c>
      <c r="F679"/>
      <c r="G679" t="s">
        <v>15</v>
      </c>
      <c r="H679" t="s">
        <v>16</v>
      </c>
      <c r="I679">
        <v>0</v>
      </c>
      <c r="J679" s="23">
        <v>430536</v>
      </c>
      <c r="K679">
        <v>19374120</v>
      </c>
    </row>
    <row r="680" spans="1:11" ht="15" customHeight="1" x14ac:dyDescent="0.3">
      <c r="A680" t="s">
        <v>10</v>
      </c>
      <c r="B680" t="s">
        <v>11</v>
      </c>
      <c r="C680" t="s">
        <v>12</v>
      </c>
      <c r="D680" t="s">
        <v>25</v>
      </c>
      <c r="E680">
        <v>6</v>
      </c>
      <c r="F680" t="s">
        <v>26</v>
      </c>
      <c r="G680" t="s">
        <v>15</v>
      </c>
      <c r="H680" t="s">
        <v>16</v>
      </c>
      <c r="I680">
        <v>0</v>
      </c>
      <c r="J680" s="23">
        <v>-11716</v>
      </c>
      <c r="K680" t="s">
        <v>17</v>
      </c>
    </row>
    <row r="681" spans="1:11" ht="15" customHeight="1" x14ac:dyDescent="0.3">
      <c r="A681" t="s">
        <v>10</v>
      </c>
      <c r="B681" t="s">
        <v>11</v>
      </c>
      <c r="C681" t="s">
        <v>12</v>
      </c>
      <c r="D681" t="s">
        <v>25</v>
      </c>
      <c r="E681">
        <v>5</v>
      </c>
      <c r="F681" t="s">
        <v>36</v>
      </c>
      <c r="G681" t="s">
        <v>15</v>
      </c>
      <c r="H681" t="s">
        <v>16</v>
      </c>
      <c r="I681">
        <v>0</v>
      </c>
      <c r="J681" s="23">
        <v>-6874</v>
      </c>
      <c r="K681" t="s">
        <v>17</v>
      </c>
    </row>
    <row r="682" spans="1:11" ht="15" customHeight="1" x14ac:dyDescent="0.3">
      <c r="A682" t="s">
        <v>22</v>
      </c>
      <c r="B682" t="s">
        <v>11</v>
      </c>
      <c r="C682" t="s">
        <v>24</v>
      </c>
      <c r="D682" t="s">
        <v>25</v>
      </c>
      <c r="E682">
        <v>3</v>
      </c>
      <c r="F682" t="s">
        <v>40</v>
      </c>
      <c r="G682" t="s">
        <v>15</v>
      </c>
      <c r="H682" t="s">
        <v>16</v>
      </c>
      <c r="I682">
        <v>0</v>
      </c>
      <c r="J682" s="23">
        <v>159205</v>
      </c>
      <c r="K682">
        <v>477615</v>
      </c>
    </row>
    <row r="683" spans="1:11" ht="15" customHeight="1" x14ac:dyDescent="0.3">
      <c r="A683" t="s">
        <v>10</v>
      </c>
      <c r="B683" t="s">
        <v>11</v>
      </c>
      <c r="C683" t="s">
        <v>24</v>
      </c>
      <c r="D683" t="s">
        <v>28</v>
      </c>
      <c r="E683">
        <v>4</v>
      </c>
      <c r="F683" t="s">
        <v>39</v>
      </c>
      <c r="G683" t="s">
        <v>15</v>
      </c>
      <c r="H683" t="s">
        <v>16</v>
      </c>
      <c r="I683">
        <v>0</v>
      </c>
      <c r="J683" s="23">
        <v>41439</v>
      </c>
      <c r="K683">
        <v>165756</v>
      </c>
    </row>
    <row r="684" spans="1:11" ht="15" customHeight="1" x14ac:dyDescent="0.3">
      <c r="A684" t="s">
        <v>22</v>
      </c>
      <c r="B684" t="s">
        <v>11</v>
      </c>
      <c r="C684" t="s">
        <v>24</v>
      </c>
      <c r="D684" t="s">
        <v>25</v>
      </c>
      <c r="E684">
        <v>1</v>
      </c>
      <c r="F684" t="s">
        <v>29</v>
      </c>
      <c r="G684" t="s">
        <v>15</v>
      </c>
      <c r="H684" t="s">
        <v>16</v>
      </c>
      <c r="I684">
        <v>0</v>
      </c>
      <c r="J684" s="23">
        <v>415773</v>
      </c>
      <c r="K684">
        <v>415773</v>
      </c>
    </row>
    <row r="685" spans="1:11" ht="15" customHeight="1" x14ac:dyDescent="0.3">
      <c r="A685" t="s">
        <v>10</v>
      </c>
      <c r="B685" t="s">
        <v>11</v>
      </c>
      <c r="C685" t="s">
        <v>24</v>
      </c>
      <c r="D685" t="s">
        <v>13</v>
      </c>
      <c r="E685">
        <v>-4</v>
      </c>
      <c r="F685" t="s">
        <v>14</v>
      </c>
      <c r="G685" t="s">
        <v>15</v>
      </c>
      <c r="H685" t="s">
        <v>16</v>
      </c>
      <c r="I685">
        <v>0</v>
      </c>
      <c r="J685" s="23">
        <v>2551</v>
      </c>
      <c r="K685" t="s">
        <v>17</v>
      </c>
    </row>
    <row r="686" spans="1:11" ht="15" customHeight="1" x14ac:dyDescent="0.3">
      <c r="A686" t="s">
        <v>18</v>
      </c>
      <c r="B686" t="s">
        <v>19</v>
      </c>
      <c r="C686" t="s">
        <v>12</v>
      </c>
      <c r="D686" t="s">
        <v>20</v>
      </c>
      <c r="E686">
        <v>37</v>
      </c>
      <c r="F686"/>
      <c r="G686" t="s">
        <v>15</v>
      </c>
      <c r="H686" t="s">
        <v>16</v>
      </c>
      <c r="I686">
        <v>0</v>
      </c>
      <c r="J686" s="23">
        <v>-750973</v>
      </c>
      <c r="K686" t="s">
        <v>17</v>
      </c>
    </row>
    <row r="687" spans="1:11" ht="15" customHeight="1" x14ac:dyDescent="0.3">
      <c r="A687" t="s">
        <v>10</v>
      </c>
      <c r="B687" t="s">
        <v>11</v>
      </c>
      <c r="C687" t="s">
        <v>24</v>
      </c>
      <c r="D687" t="s">
        <v>28</v>
      </c>
      <c r="E687">
        <v>0</v>
      </c>
      <c r="F687" t="s">
        <v>29</v>
      </c>
      <c r="G687" t="s">
        <v>15</v>
      </c>
      <c r="H687" t="s">
        <v>32</v>
      </c>
      <c r="I687">
        <v>1</v>
      </c>
      <c r="J687" s="23">
        <v>22264</v>
      </c>
      <c r="K687" t="s">
        <v>17</v>
      </c>
    </row>
    <row r="688" spans="1:11" ht="15" customHeight="1" x14ac:dyDescent="0.3">
      <c r="A688" t="s">
        <v>10</v>
      </c>
      <c r="B688" t="s">
        <v>11</v>
      </c>
      <c r="C688" t="s">
        <v>24</v>
      </c>
      <c r="D688" t="s">
        <v>25</v>
      </c>
      <c r="E688">
        <v>1</v>
      </c>
      <c r="F688" t="s">
        <v>35</v>
      </c>
      <c r="G688" t="s">
        <v>15</v>
      </c>
      <c r="H688" t="s">
        <v>16</v>
      </c>
      <c r="I688">
        <v>0</v>
      </c>
      <c r="J688" s="23">
        <v>34811</v>
      </c>
      <c r="K688">
        <v>34811</v>
      </c>
    </row>
    <row r="689" spans="1:11" ht="15" customHeight="1" x14ac:dyDescent="0.3">
      <c r="A689" t="s">
        <v>10</v>
      </c>
      <c r="B689" t="s">
        <v>11</v>
      </c>
      <c r="C689" t="s">
        <v>24</v>
      </c>
      <c r="D689" t="s">
        <v>13</v>
      </c>
      <c r="E689">
        <v>5</v>
      </c>
      <c r="F689" t="s">
        <v>30</v>
      </c>
      <c r="G689" t="s">
        <v>15</v>
      </c>
      <c r="H689" t="s">
        <v>16</v>
      </c>
      <c r="I689">
        <v>0</v>
      </c>
      <c r="J689" s="23">
        <v>13188990</v>
      </c>
      <c r="K689">
        <v>65944950</v>
      </c>
    </row>
    <row r="690" spans="1:11" ht="15" customHeight="1" x14ac:dyDescent="0.3">
      <c r="A690" t="s">
        <v>18</v>
      </c>
      <c r="B690" t="s">
        <v>11</v>
      </c>
      <c r="C690" t="s">
        <v>24</v>
      </c>
      <c r="D690" t="s">
        <v>13</v>
      </c>
      <c r="E690">
        <v>1</v>
      </c>
      <c r="F690" t="s">
        <v>27</v>
      </c>
      <c r="G690" t="s">
        <v>15</v>
      </c>
      <c r="H690" t="s">
        <v>16</v>
      </c>
      <c r="I690">
        <v>0</v>
      </c>
      <c r="J690" s="23">
        <v>3276923</v>
      </c>
      <c r="K690">
        <v>3276923</v>
      </c>
    </row>
    <row r="691" spans="1:11" ht="15" customHeight="1" x14ac:dyDescent="0.3">
      <c r="A691" t="s">
        <v>18</v>
      </c>
      <c r="B691" t="s">
        <v>19</v>
      </c>
      <c r="C691" t="s">
        <v>12</v>
      </c>
      <c r="D691" t="s">
        <v>20</v>
      </c>
      <c r="E691">
        <v>31</v>
      </c>
      <c r="F691"/>
      <c r="G691" t="s">
        <v>31</v>
      </c>
      <c r="H691" t="s">
        <v>16</v>
      </c>
      <c r="I691">
        <v>1</v>
      </c>
      <c r="J691" s="23">
        <v>-5785</v>
      </c>
      <c r="K691" t="s">
        <v>17</v>
      </c>
    </row>
    <row r="692" spans="1:11" ht="15" customHeight="1" x14ac:dyDescent="0.3">
      <c r="A692" t="s">
        <v>10</v>
      </c>
      <c r="B692" t="s">
        <v>11</v>
      </c>
      <c r="C692" t="s">
        <v>24</v>
      </c>
      <c r="D692" t="s">
        <v>28</v>
      </c>
      <c r="E692">
        <v>15</v>
      </c>
      <c r="F692" t="s">
        <v>35</v>
      </c>
      <c r="G692" t="s">
        <v>15</v>
      </c>
      <c r="H692" t="s">
        <v>16</v>
      </c>
      <c r="I692">
        <v>0</v>
      </c>
      <c r="J692" s="23">
        <v>55605</v>
      </c>
      <c r="K692">
        <v>834075</v>
      </c>
    </row>
    <row r="693" spans="1:11" ht="15" customHeight="1" x14ac:dyDescent="0.3">
      <c r="A693" t="s">
        <v>10</v>
      </c>
      <c r="B693" t="s">
        <v>19</v>
      </c>
      <c r="C693" t="s">
        <v>24</v>
      </c>
      <c r="D693" t="s">
        <v>20</v>
      </c>
      <c r="E693">
        <v>22</v>
      </c>
      <c r="F693"/>
      <c r="G693" t="s">
        <v>15</v>
      </c>
      <c r="H693" t="s">
        <v>16</v>
      </c>
      <c r="I693">
        <v>0</v>
      </c>
      <c r="J693" s="23">
        <v>54650207</v>
      </c>
      <c r="K693">
        <v>1202304554</v>
      </c>
    </row>
    <row r="694" spans="1:11" ht="15" customHeight="1" x14ac:dyDescent="0.3">
      <c r="A694" t="s">
        <v>22</v>
      </c>
      <c r="B694" t="s">
        <v>11</v>
      </c>
      <c r="C694" t="s">
        <v>24</v>
      </c>
      <c r="D694" t="s">
        <v>28</v>
      </c>
      <c r="E694">
        <v>-4</v>
      </c>
      <c r="F694" t="s">
        <v>29</v>
      </c>
      <c r="G694" t="s">
        <v>15</v>
      </c>
      <c r="H694" t="s">
        <v>32</v>
      </c>
      <c r="I694">
        <v>1</v>
      </c>
      <c r="J694" s="23">
        <v>1208000</v>
      </c>
      <c r="K694" t="s">
        <v>17</v>
      </c>
    </row>
    <row r="695" spans="1:11" ht="15" customHeight="1" x14ac:dyDescent="0.3">
      <c r="A695" t="s">
        <v>10</v>
      </c>
      <c r="B695" t="s">
        <v>11</v>
      </c>
      <c r="C695" t="s">
        <v>24</v>
      </c>
      <c r="D695" t="s">
        <v>13</v>
      </c>
      <c r="E695">
        <v>3</v>
      </c>
      <c r="F695" t="s">
        <v>29</v>
      </c>
      <c r="G695" t="s">
        <v>15</v>
      </c>
      <c r="H695" t="s">
        <v>16</v>
      </c>
      <c r="I695">
        <v>0</v>
      </c>
      <c r="J695" s="23">
        <v>37332934</v>
      </c>
      <c r="K695">
        <v>111998802</v>
      </c>
    </row>
    <row r="696" spans="1:11" ht="15" customHeight="1" x14ac:dyDescent="0.3">
      <c r="A696" t="s">
        <v>18</v>
      </c>
      <c r="B696" t="s">
        <v>11</v>
      </c>
      <c r="C696" t="s">
        <v>24</v>
      </c>
      <c r="D696" t="s">
        <v>25</v>
      </c>
      <c r="E696">
        <v>-1</v>
      </c>
      <c r="F696" t="s">
        <v>34</v>
      </c>
      <c r="G696" t="s">
        <v>15</v>
      </c>
      <c r="H696" t="s">
        <v>16</v>
      </c>
      <c r="I696">
        <v>0</v>
      </c>
      <c r="J696" s="23">
        <v>9402730</v>
      </c>
      <c r="K696" t="s">
        <v>17</v>
      </c>
    </row>
    <row r="697" spans="1:11" ht="15" customHeight="1" x14ac:dyDescent="0.3">
      <c r="A697" t="s">
        <v>22</v>
      </c>
      <c r="B697" t="s">
        <v>11</v>
      </c>
      <c r="C697" t="s">
        <v>24</v>
      </c>
      <c r="D697" t="s">
        <v>25</v>
      </c>
      <c r="E697">
        <v>2</v>
      </c>
      <c r="F697" t="s">
        <v>41</v>
      </c>
      <c r="G697" t="s">
        <v>15</v>
      </c>
      <c r="H697" t="s">
        <v>16</v>
      </c>
      <c r="I697">
        <v>0</v>
      </c>
      <c r="J697" s="23">
        <v>301095</v>
      </c>
      <c r="K697">
        <v>602190</v>
      </c>
    </row>
    <row r="698" spans="1:11" ht="15" customHeight="1" x14ac:dyDescent="0.3">
      <c r="A698" t="s">
        <v>18</v>
      </c>
      <c r="B698" t="s">
        <v>11</v>
      </c>
      <c r="C698" t="s">
        <v>12</v>
      </c>
      <c r="D698" t="s">
        <v>13</v>
      </c>
      <c r="E698">
        <v>-1</v>
      </c>
      <c r="F698" t="s">
        <v>48</v>
      </c>
      <c r="G698" t="s">
        <v>15</v>
      </c>
      <c r="H698" t="s">
        <v>16</v>
      </c>
      <c r="I698">
        <v>0</v>
      </c>
      <c r="J698" s="23">
        <v>-801</v>
      </c>
      <c r="K698" t="s">
        <v>17</v>
      </c>
    </row>
    <row r="699" spans="1:11" ht="15" customHeight="1" x14ac:dyDescent="0.3">
      <c r="A699" t="s">
        <v>18</v>
      </c>
      <c r="B699" t="s">
        <v>19</v>
      </c>
      <c r="C699" t="s">
        <v>24</v>
      </c>
      <c r="D699" t="s">
        <v>20</v>
      </c>
      <c r="E699">
        <v>11</v>
      </c>
      <c r="F699"/>
      <c r="G699" t="s">
        <v>15</v>
      </c>
      <c r="H699" t="s">
        <v>32</v>
      </c>
      <c r="I699">
        <v>1</v>
      </c>
      <c r="J699" s="23">
        <v>735110</v>
      </c>
      <c r="K699">
        <v>8086210</v>
      </c>
    </row>
    <row r="700" spans="1:11" ht="15" customHeight="1" x14ac:dyDescent="0.3">
      <c r="A700" t="s">
        <v>10</v>
      </c>
      <c r="B700" t="s">
        <v>11</v>
      </c>
      <c r="C700" t="s">
        <v>24</v>
      </c>
      <c r="D700" t="s">
        <v>13</v>
      </c>
      <c r="E700">
        <v>5</v>
      </c>
      <c r="F700" t="s">
        <v>27</v>
      </c>
      <c r="G700" t="s">
        <v>15</v>
      </c>
      <c r="H700" t="s">
        <v>16</v>
      </c>
      <c r="I700">
        <v>0</v>
      </c>
      <c r="J700" s="23">
        <v>274987</v>
      </c>
      <c r="K700">
        <v>1374935</v>
      </c>
    </row>
    <row r="701" spans="1:11" ht="15" customHeight="1" x14ac:dyDescent="0.3">
      <c r="A701" t="s">
        <v>22</v>
      </c>
      <c r="B701" t="s">
        <v>11</v>
      </c>
      <c r="C701" t="s">
        <v>24</v>
      </c>
      <c r="D701" t="s">
        <v>13</v>
      </c>
      <c r="E701">
        <v>-4</v>
      </c>
      <c r="F701" t="s">
        <v>40</v>
      </c>
      <c r="G701" t="s">
        <v>15</v>
      </c>
      <c r="H701" t="s">
        <v>16</v>
      </c>
      <c r="I701">
        <v>0</v>
      </c>
      <c r="J701" s="23">
        <v>1723692</v>
      </c>
      <c r="K701" t="s">
        <v>17</v>
      </c>
    </row>
    <row r="702" spans="1:11" ht="15" customHeight="1" x14ac:dyDescent="0.3">
      <c r="A702" t="s">
        <v>10</v>
      </c>
      <c r="B702" t="s">
        <v>44</v>
      </c>
      <c r="C702" t="s">
        <v>12</v>
      </c>
      <c r="D702" t="s">
        <v>28</v>
      </c>
      <c r="E702">
        <v>6</v>
      </c>
      <c r="F702" t="s">
        <v>38</v>
      </c>
      <c r="G702" t="s">
        <v>15</v>
      </c>
      <c r="H702" t="s">
        <v>16</v>
      </c>
      <c r="I702">
        <v>0</v>
      </c>
      <c r="J702" s="23">
        <v>-480</v>
      </c>
      <c r="K702" t="s">
        <v>17</v>
      </c>
    </row>
    <row r="703" spans="1:11" ht="15" customHeight="1" x14ac:dyDescent="0.3">
      <c r="A703" t="s">
        <v>22</v>
      </c>
      <c r="B703" t="s">
        <v>11</v>
      </c>
      <c r="C703" t="s">
        <v>12</v>
      </c>
      <c r="D703" t="s">
        <v>13</v>
      </c>
      <c r="E703">
        <v>2</v>
      </c>
      <c r="F703" t="s">
        <v>39</v>
      </c>
      <c r="G703" t="s">
        <v>15</v>
      </c>
      <c r="H703" t="s">
        <v>16</v>
      </c>
      <c r="I703">
        <v>0</v>
      </c>
      <c r="J703" s="23">
        <v>-291849</v>
      </c>
      <c r="K703" t="s">
        <v>17</v>
      </c>
    </row>
    <row r="704" spans="1:11" ht="15" customHeight="1" x14ac:dyDescent="0.3">
      <c r="A704" t="s">
        <v>10</v>
      </c>
      <c r="B704" t="s">
        <v>19</v>
      </c>
      <c r="C704" t="s">
        <v>12</v>
      </c>
      <c r="D704" t="s">
        <v>20</v>
      </c>
      <c r="E704">
        <v>21</v>
      </c>
      <c r="F704"/>
      <c r="G704" t="s">
        <v>31</v>
      </c>
      <c r="H704" t="s">
        <v>16</v>
      </c>
      <c r="I704">
        <v>1</v>
      </c>
      <c r="J704" s="23">
        <v>-6775</v>
      </c>
      <c r="K704" t="s">
        <v>17</v>
      </c>
    </row>
    <row r="705" spans="1:11" ht="15" customHeight="1" x14ac:dyDescent="0.3">
      <c r="A705" t="s">
        <v>10</v>
      </c>
      <c r="B705" t="s">
        <v>19</v>
      </c>
      <c r="C705" t="s">
        <v>12</v>
      </c>
      <c r="D705" t="s">
        <v>28</v>
      </c>
      <c r="E705">
        <v>2</v>
      </c>
      <c r="F705"/>
      <c r="G705" t="s">
        <v>31</v>
      </c>
      <c r="H705" t="s">
        <v>16</v>
      </c>
      <c r="I705">
        <v>1</v>
      </c>
      <c r="J705" s="23">
        <v>-195</v>
      </c>
      <c r="K705" t="s">
        <v>17</v>
      </c>
    </row>
    <row r="706" spans="1:11" ht="15" customHeight="1" x14ac:dyDescent="0.3">
      <c r="A706" t="s">
        <v>10</v>
      </c>
      <c r="B706" t="s">
        <v>11</v>
      </c>
      <c r="C706" t="s">
        <v>12</v>
      </c>
      <c r="D706" t="s">
        <v>28</v>
      </c>
      <c r="E706">
        <v>19</v>
      </c>
      <c r="F706" t="s">
        <v>14</v>
      </c>
      <c r="G706" t="s">
        <v>15</v>
      </c>
      <c r="H706" t="s">
        <v>16</v>
      </c>
      <c r="I706">
        <v>0</v>
      </c>
      <c r="J706" s="23">
        <v>-31588</v>
      </c>
      <c r="K706" t="s">
        <v>17</v>
      </c>
    </row>
    <row r="707" spans="1:11" ht="15" customHeight="1" x14ac:dyDescent="0.3">
      <c r="A707" t="s">
        <v>18</v>
      </c>
      <c r="B707" t="s">
        <v>11</v>
      </c>
      <c r="C707" t="s">
        <v>12</v>
      </c>
      <c r="D707" t="s">
        <v>28</v>
      </c>
      <c r="E707">
        <v>22</v>
      </c>
      <c r="F707" t="s">
        <v>14</v>
      </c>
      <c r="G707" t="s">
        <v>15</v>
      </c>
      <c r="H707" t="s">
        <v>16</v>
      </c>
      <c r="I707">
        <v>0</v>
      </c>
      <c r="J707" s="23">
        <v>-90</v>
      </c>
      <c r="K707" t="s">
        <v>17</v>
      </c>
    </row>
    <row r="708" spans="1:11" ht="15" customHeight="1" x14ac:dyDescent="0.3">
      <c r="A708" t="s">
        <v>22</v>
      </c>
      <c r="B708" t="s">
        <v>19</v>
      </c>
      <c r="C708" t="s">
        <v>24</v>
      </c>
      <c r="D708" t="s">
        <v>20</v>
      </c>
      <c r="E708">
        <v>35</v>
      </c>
      <c r="F708"/>
      <c r="G708" t="s">
        <v>15</v>
      </c>
      <c r="H708" t="s">
        <v>16</v>
      </c>
      <c r="I708">
        <v>0</v>
      </c>
      <c r="J708" s="23">
        <v>8358018</v>
      </c>
      <c r="K708">
        <v>292530630</v>
      </c>
    </row>
    <row r="709" spans="1:11" ht="15" customHeight="1" x14ac:dyDescent="0.3">
      <c r="A709" t="s">
        <v>22</v>
      </c>
      <c r="B709" t="s">
        <v>11</v>
      </c>
      <c r="C709" t="s">
        <v>12</v>
      </c>
      <c r="D709" t="s">
        <v>28</v>
      </c>
      <c r="E709">
        <v>0</v>
      </c>
      <c r="F709" t="s">
        <v>21</v>
      </c>
      <c r="G709" t="s">
        <v>31</v>
      </c>
      <c r="H709" t="s">
        <v>16</v>
      </c>
      <c r="I709">
        <v>1</v>
      </c>
      <c r="J709" s="23">
        <v>-13374</v>
      </c>
      <c r="K709" t="s">
        <v>17</v>
      </c>
    </row>
    <row r="710" spans="1:11" ht="15" customHeight="1" x14ac:dyDescent="0.3">
      <c r="A710" t="s">
        <v>22</v>
      </c>
      <c r="B710" t="s">
        <v>11</v>
      </c>
      <c r="C710" t="s">
        <v>12</v>
      </c>
      <c r="D710" t="s">
        <v>25</v>
      </c>
      <c r="E710">
        <v>-4</v>
      </c>
      <c r="F710" t="s">
        <v>42</v>
      </c>
      <c r="G710" t="s">
        <v>15</v>
      </c>
      <c r="H710" t="s">
        <v>16</v>
      </c>
      <c r="I710">
        <v>0</v>
      </c>
      <c r="J710" s="23">
        <v>-7347</v>
      </c>
      <c r="K710" t="s">
        <v>17</v>
      </c>
    </row>
    <row r="711" spans="1:11" ht="15" customHeight="1" x14ac:dyDescent="0.3">
      <c r="A711" t="s">
        <v>18</v>
      </c>
      <c r="B711" t="s">
        <v>11</v>
      </c>
      <c r="C711" t="s">
        <v>12</v>
      </c>
      <c r="D711" t="s">
        <v>28</v>
      </c>
      <c r="E711">
        <v>2</v>
      </c>
      <c r="F711" t="s">
        <v>34</v>
      </c>
      <c r="G711" t="s">
        <v>15</v>
      </c>
      <c r="H711" t="s">
        <v>16</v>
      </c>
      <c r="I711">
        <v>0</v>
      </c>
      <c r="J711" s="23">
        <v>-4007</v>
      </c>
      <c r="K711" t="s">
        <v>17</v>
      </c>
    </row>
    <row r="712" spans="1:11" ht="15" customHeight="1" x14ac:dyDescent="0.3">
      <c r="A712" t="s">
        <v>18</v>
      </c>
      <c r="B712" t="s">
        <v>11</v>
      </c>
      <c r="C712" t="s">
        <v>12</v>
      </c>
      <c r="D712" t="s">
        <v>13</v>
      </c>
      <c r="E712">
        <v>8</v>
      </c>
      <c r="F712" t="s">
        <v>40</v>
      </c>
      <c r="G712" t="s">
        <v>15</v>
      </c>
      <c r="H712" t="s">
        <v>16</v>
      </c>
      <c r="I712">
        <v>0</v>
      </c>
      <c r="J712" s="23">
        <v>-159803</v>
      </c>
      <c r="K712" t="s">
        <v>17</v>
      </c>
    </row>
    <row r="713" spans="1:11" ht="15" customHeight="1" x14ac:dyDescent="0.3">
      <c r="A713" t="s">
        <v>10</v>
      </c>
      <c r="B713" t="s">
        <v>11</v>
      </c>
      <c r="C713" t="s">
        <v>24</v>
      </c>
      <c r="D713" t="s">
        <v>13</v>
      </c>
      <c r="E713">
        <v>3</v>
      </c>
      <c r="F713" t="s">
        <v>27</v>
      </c>
      <c r="G713" t="s">
        <v>15</v>
      </c>
      <c r="H713" t="s">
        <v>16</v>
      </c>
      <c r="I713">
        <v>0</v>
      </c>
      <c r="J713" s="23">
        <v>927731</v>
      </c>
      <c r="K713">
        <v>2783193</v>
      </c>
    </row>
    <row r="714" spans="1:11" ht="15" customHeight="1" x14ac:dyDescent="0.3">
      <c r="A714" t="s">
        <v>18</v>
      </c>
      <c r="B714" t="s">
        <v>11</v>
      </c>
      <c r="C714" t="s">
        <v>12</v>
      </c>
      <c r="D714" t="s">
        <v>28</v>
      </c>
      <c r="E714">
        <v>13</v>
      </c>
      <c r="F714" t="s">
        <v>34</v>
      </c>
      <c r="G714" t="s">
        <v>15</v>
      </c>
      <c r="H714" t="s">
        <v>32</v>
      </c>
      <c r="I714">
        <v>1</v>
      </c>
      <c r="J714" s="23">
        <v>-43</v>
      </c>
      <c r="K714" t="s">
        <v>17</v>
      </c>
    </row>
    <row r="715" spans="1:11" ht="15" customHeight="1" x14ac:dyDescent="0.3">
      <c r="A715" t="s">
        <v>18</v>
      </c>
      <c r="B715" t="s">
        <v>19</v>
      </c>
      <c r="C715" t="s">
        <v>24</v>
      </c>
      <c r="D715" t="s">
        <v>20</v>
      </c>
      <c r="E715">
        <v>19</v>
      </c>
      <c r="F715"/>
      <c r="G715" t="s">
        <v>31</v>
      </c>
      <c r="H715" t="s">
        <v>16</v>
      </c>
      <c r="I715">
        <v>1</v>
      </c>
      <c r="J715" s="23">
        <v>5351904</v>
      </c>
      <c r="K715">
        <v>101686176</v>
      </c>
    </row>
    <row r="716" spans="1:11" ht="15" customHeight="1" x14ac:dyDescent="0.3">
      <c r="A716" t="s">
        <v>10</v>
      </c>
      <c r="B716" t="s">
        <v>11</v>
      </c>
      <c r="C716" t="s">
        <v>24</v>
      </c>
      <c r="D716" t="s">
        <v>13</v>
      </c>
      <c r="E716">
        <v>-1</v>
      </c>
      <c r="F716" t="s">
        <v>46</v>
      </c>
      <c r="G716" t="s">
        <v>15</v>
      </c>
      <c r="H716" t="s">
        <v>16</v>
      </c>
      <c r="I716">
        <v>0</v>
      </c>
      <c r="J716" s="23">
        <v>2389</v>
      </c>
      <c r="K716" t="s">
        <v>17</v>
      </c>
    </row>
    <row r="717" spans="1:11" ht="15" customHeight="1" x14ac:dyDescent="0.3">
      <c r="A717" t="s">
        <v>18</v>
      </c>
      <c r="B717" t="s">
        <v>11</v>
      </c>
      <c r="C717" t="s">
        <v>12</v>
      </c>
      <c r="D717" t="s">
        <v>13</v>
      </c>
      <c r="E717">
        <v>-1</v>
      </c>
      <c r="F717" t="s">
        <v>36</v>
      </c>
      <c r="G717" t="s">
        <v>15</v>
      </c>
      <c r="H717" t="s">
        <v>16</v>
      </c>
      <c r="I717">
        <v>0</v>
      </c>
      <c r="J717" s="23">
        <v>-2269</v>
      </c>
      <c r="K717" t="s">
        <v>17</v>
      </c>
    </row>
    <row r="718" spans="1:11" ht="15" customHeight="1" x14ac:dyDescent="0.3">
      <c r="A718" t="s">
        <v>18</v>
      </c>
      <c r="B718" t="s">
        <v>11</v>
      </c>
      <c r="C718" t="s">
        <v>24</v>
      </c>
      <c r="D718" t="s">
        <v>28</v>
      </c>
      <c r="E718">
        <v>14</v>
      </c>
      <c r="F718" t="s">
        <v>23</v>
      </c>
      <c r="G718" t="s">
        <v>15</v>
      </c>
      <c r="H718" t="s">
        <v>16</v>
      </c>
      <c r="I718">
        <v>0</v>
      </c>
      <c r="J718" s="23">
        <v>83588608</v>
      </c>
      <c r="K718">
        <v>1170240512</v>
      </c>
    </row>
    <row r="719" spans="1:11" ht="15" customHeight="1" x14ac:dyDescent="0.3">
      <c r="A719" t="s">
        <v>10</v>
      </c>
      <c r="B719" t="s">
        <v>11</v>
      </c>
      <c r="C719" t="s">
        <v>24</v>
      </c>
      <c r="D719" t="s">
        <v>28</v>
      </c>
      <c r="E719">
        <v>1</v>
      </c>
      <c r="F719" t="s">
        <v>35</v>
      </c>
      <c r="G719" t="s">
        <v>15</v>
      </c>
      <c r="H719" t="s">
        <v>16</v>
      </c>
      <c r="I719">
        <v>0</v>
      </c>
      <c r="J719" s="23">
        <v>12776</v>
      </c>
      <c r="K719">
        <v>12776</v>
      </c>
    </row>
    <row r="720" spans="1:11" ht="15" customHeight="1" x14ac:dyDescent="0.3">
      <c r="A720" t="s">
        <v>10</v>
      </c>
      <c r="B720" t="s">
        <v>11</v>
      </c>
      <c r="C720" t="s">
        <v>12</v>
      </c>
      <c r="D720" t="s">
        <v>13</v>
      </c>
      <c r="E720">
        <v>12</v>
      </c>
      <c r="F720" t="s">
        <v>30</v>
      </c>
      <c r="G720" t="s">
        <v>15</v>
      </c>
      <c r="H720" t="s">
        <v>16</v>
      </c>
      <c r="I720">
        <v>0</v>
      </c>
      <c r="J720" s="23">
        <v>-151158</v>
      </c>
      <c r="K720" t="s">
        <v>17</v>
      </c>
    </row>
    <row r="721" spans="1:11" ht="15" customHeight="1" x14ac:dyDescent="0.3">
      <c r="A721" t="s">
        <v>22</v>
      </c>
      <c r="B721" t="s">
        <v>19</v>
      </c>
      <c r="C721" t="s">
        <v>24</v>
      </c>
      <c r="D721" t="s">
        <v>20</v>
      </c>
      <c r="E721">
        <v>1</v>
      </c>
      <c r="F721"/>
      <c r="G721" t="s">
        <v>15</v>
      </c>
      <c r="H721" t="s">
        <v>16</v>
      </c>
      <c r="I721">
        <v>0</v>
      </c>
      <c r="J721" s="23">
        <v>468023</v>
      </c>
      <c r="K721">
        <v>468023</v>
      </c>
    </row>
    <row r="722" spans="1:11" ht="15" customHeight="1" x14ac:dyDescent="0.3">
      <c r="A722" t="s">
        <v>10</v>
      </c>
      <c r="B722" t="s">
        <v>11</v>
      </c>
      <c r="C722" t="s">
        <v>24</v>
      </c>
      <c r="D722" t="s">
        <v>13</v>
      </c>
      <c r="E722">
        <v>5</v>
      </c>
      <c r="F722" t="s">
        <v>29</v>
      </c>
      <c r="G722" t="s">
        <v>15</v>
      </c>
      <c r="H722" t="s">
        <v>16</v>
      </c>
      <c r="I722">
        <v>0</v>
      </c>
      <c r="J722" s="23">
        <v>8307438</v>
      </c>
      <c r="K722">
        <v>41537190</v>
      </c>
    </row>
    <row r="723" spans="1:11" ht="15" customHeight="1" x14ac:dyDescent="0.3">
      <c r="A723" t="s">
        <v>22</v>
      </c>
      <c r="B723" t="s">
        <v>11</v>
      </c>
      <c r="C723" t="s">
        <v>12</v>
      </c>
      <c r="D723" t="s">
        <v>28</v>
      </c>
      <c r="E723">
        <v>9</v>
      </c>
      <c r="F723" t="s">
        <v>29</v>
      </c>
      <c r="G723" t="s">
        <v>15</v>
      </c>
      <c r="H723" t="s">
        <v>16</v>
      </c>
      <c r="I723">
        <v>0</v>
      </c>
      <c r="J723" s="23">
        <v>-5125</v>
      </c>
      <c r="K723" t="s">
        <v>17</v>
      </c>
    </row>
    <row r="724" spans="1:11" ht="15" customHeight="1" x14ac:dyDescent="0.3">
      <c r="A724" t="s">
        <v>18</v>
      </c>
      <c r="B724" t="s">
        <v>11</v>
      </c>
      <c r="C724" t="s">
        <v>12</v>
      </c>
      <c r="D724" t="s">
        <v>28</v>
      </c>
      <c r="E724">
        <v>3</v>
      </c>
      <c r="F724" t="s">
        <v>35</v>
      </c>
      <c r="G724" t="s">
        <v>15</v>
      </c>
      <c r="H724" t="s">
        <v>16</v>
      </c>
      <c r="I724">
        <v>0</v>
      </c>
      <c r="J724" s="23">
        <v>-762</v>
      </c>
      <c r="K724" t="s">
        <v>17</v>
      </c>
    </row>
    <row r="725" spans="1:11" ht="15" customHeight="1" x14ac:dyDescent="0.3">
      <c r="A725" t="s">
        <v>18</v>
      </c>
      <c r="B725" t="s">
        <v>11</v>
      </c>
      <c r="C725" t="s">
        <v>24</v>
      </c>
      <c r="D725" t="s">
        <v>25</v>
      </c>
      <c r="E725">
        <v>4</v>
      </c>
      <c r="F725" t="s">
        <v>35</v>
      </c>
      <c r="G725" t="s">
        <v>15</v>
      </c>
      <c r="H725" t="s">
        <v>16</v>
      </c>
      <c r="I725">
        <v>0</v>
      </c>
      <c r="J725" s="23">
        <v>1121997</v>
      </c>
      <c r="K725">
        <v>4487988</v>
      </c>
    </row>
    <row r="726" spans="1:11" ht="15" customHeight="1" x14ac:dyDescent="0.3">
      <c r="A726" t="s">
        <v>18</v>
      </c>
      <c r="B726" t="s">
        <v>11</v>
      </c>
      <c r="C726" t="s">
        <v>12</v>
      </c>
      <c r="D726" t="s">
        <v>25</v>
      </c>
      <c r="E726">
        <v>-1</v>
      </c>
      <c r="F726" t="s">
        <v>36</v>
      </c>
      <c r="G726" t="s">
        <v>15</v>
      </c>
      <c r="H726" t="s">
        <v>16</v>
      </c>
      <c r="I726">
        <v>0</v>
      </c>
      <c r="J726" s="23">
        <v>-1031</v>
      </c>
      <c r="K726" t="s">
        <v>17</v>
      </c>
    </row>
    <row r="727" spans="1:11" ht="15" customHeight="1" x14ac:dyDescent="0.3">
      <c r="A727" t="s">
        <v>10</v>
      </c>
      <c r="B727" t="s">
        <v>11</v>
      </c>
      <c r="C727" t="s">
        <v>12</v>
      </c>
      <c r="D727" t="s">
        <v>28</v>
      </c>
      <c r="E727">
        <v>5</v>
      </c>
      <c r="F727" t="s">
        <v>42</v>
      </c>
      <c r="G727" t="s">
        <v>15</v>
      </c>
      <c r="H727" t="s">
        <v>16</v>
      </c>
      <c r="I727">
        <v>0</v>
      </c>
      <c r="J727" s="23">
        <v>-7699</v>
      </c>
      <c r="K727" t="s">
        <v>17</v>
      </c>
    </row>
    <row r="728" spans="1:11" ht="15" customHeight="1" x14ac:dyDescent="0.3">
      <c r="A728" t="s">
        <v>22</v>
      </c>
      <c r="B728" t="s">
        <v>11</v>
      </c>
      <c r="C728" t="s">
        <v>12</v>
      </c>
      <c r="D728" t="s">
        <v>13</v>
      </c>
      <c r="E728">
        <v>-1</v>
      </c>
      <c r="F728" t="s">
        <v>21</v>
      </c>
      <c r="G728" t="s">
        <v>15</v>
      </c>
      <c r="H728" t="s">
        <v>16</v>
      </c>
      <c r="I728">
        <v>0</v>
      </c>
      <c r="J728" s="23">
        <v>-4704190</v>
      </c>
      <c r="K728" t="s">
        <v>17</v>
      </c>
    </row>
    <row r="729" spans="1:11" ht="15" customHeight="1" x14ac:dyDescent="0.3">
      <c r="A729" t="s">
        <v>18</v>
      </c>
      <c r="B729" t="s">
        <v>19</v>
      </c>
      <c r="C729" t="s">
        <v>24</v>
      </c>
      <c r="D729" t="s">
        <v>28</v>
      </c>
      <c r="E729">
        <v>34</v>
      </c>
      <c r="F729"/>
      <c r="G729" t="s">
        <v>15</v>
      </c>
      <c r="H729" t="s">
        <v>16</v>
      </c>
      <c r="I729">
        <v>0</v>
      </c>
      <c r="J729" s="23">
        <v>119066</v>
      </c>
      <c r="K729">
        <v>4048244</v>
      </c>
    </row>
    <row r="730" spans="1:11" ht="15" customHeight="1" x14ac:dyDescent="0.3">
      <c r="A730" t="s">
        <v>22</v>
      </c>
      <c r="B730" t="s">
        <v>11</v>
      </c>
      <c r="C730" t="s">
        <v>12</v>
      </c>
      <c r="D730" t="s">
        <v>13</v>
      </c>
      <c r="E730">
        <v>7</v>
      </c>
      <c r="F730" t="s">
        <v>23</v>
      </c>
      <c r="G730" t="s">
        <v>15</v>
      </c>
      <c r="H730" t="s">
        <v>16</v>
      </c>
      <c r="I730">
        <v>0</v>
      </c>
      <c r="J730" s="23">
        <v>-78453</v>
      </c>
      <c r="K730" t="s">
        <v>17</v>
      </c>
    </row>
    <row r="731" spans="1:11" ht="15" customHeight="1" x14ac:dyDescent="0.3">
      <c r="A731" t="s">
        <v>22</v>
      </c>
      <c r="B731" t="s">
        <v>11</v>
      </c>
      <c r="C731" t="s">
        <v>24</v>
      </c>
      <c r="D731" t="s">
        <v>28</v>
      </c>
      <c r="E731">
        <v>4</v>
      </c>
      <c r="F731" t="s">
        <v>26</v>
      </c>
      <c r="G731" t="s">
        <v>15</v>
      </c>
      <c r="H731" t="s">
        <v>16</v>
      </c>
      <c r="I731">
        <v>0</v>
      </c>
      <c r="J731" s="23">
        <v>4021542</v>
      </c>
      <c r="K731">
        <v>16086168</v>
      </c>
    </row>
    <row r="732" spans="1:11" ht="15" customHeight="1" x14ac:dyDescent="0.3">
      <c r="A732" t="s">
        <v>22</v>
      </c>
      <c r="B732" t="s">
        <v>11</v>
      </c>
      <c r="C732" t="s">
        <v>12</v>
      </c>
      <c r="D732" t="s">
        <v>13</v>
      </c>
      <c r="E732">
        <v>-4</v>
      </c>
      <c r="F732" t="s">
        <v>45</v>
      </c>
      <c r="G732" t="s">
        <v>15</v>
      </c>
      <c r="H732" t="s">
        <v>16</v>
      </c>
      <c r="I732">
        <v>0</v>
      </c>
      <c r="J732" s="23">
        <v>-53742</v>
      </c>
      <c r="K732" t="s">
        <v>17</v>
      </c>
    </row>
    <row r="733" spans="1:11" ht="15" customHeight="1" x14ac:dyDescent="0.3">
      <c r="A733" t="s">
        <v>18</v>
      </c>
      <c r="B733" t="s">
        <v>11</v>
      </c>
      <c r="C733" t="s">
        <v>12</v>
      </c>
      <c r="D733" t="s">
        <v>28</v>
      </c>
      <c r="E733">
        <v>3</v>
      </c>
      <c r="F733" t="s">
        <v>40</v>
      </c>
      <c r="G733" t="s">
        <v>15</v>
      </c>
      <c r="H733" t="s">
        <v>16</v>
      </c>
      <c r="I733">
        <v>0</v>
      </c>
      <c r="J733" s="23">
        <v>-382</v>
      </c>
      <c r="K733" t="s">
        <v>17</v>
      </c>
    </row>
    <row r="734" spans="1:11" ht="15" customHeight="1" x14ac:dyDescent="0.3">
      <c r="A734" t="s">
        <v>10</v>
      </c>
      <c r="B734" t="s">
        <v>11</v>
      </c>
      <c r="C734" t="s">
        <v>12</v>
      </c>
      <c r="D734" t="s">
        <v>25</v>
      </c>
      <c r="E734">
        <v>1</v>
      </c>
      <c r="F734" t="s">
        <v>39</v>
      </c>
      <c r="G734" t="s">
        <v>15</v>
      </c>
      <c r="H734" t="s">
        <v>16</v>
      </c>
      <c r="I734">
        <v>0</v>
      </c>
      <c r="J734" s="23">
        <v>-25557</v>
      </c>
      <c r="K734" t="s">
        <v>17</v>
      </c>
    </row>
    <row r="735" spans="1:11" ht="15" customHeight="1" x14ac:dyDescent="0.3">
      <c r="A735" t="s">
        <v>22</v>
      </c>
      <c r="B735" t="s">
        <v>11</v>
      </c>
      <c r="C735" t="s">
        <v>24</v>
      </c>
      <c r="D735" t="s">
        <v>28</v>
      </c>
      <c r="E735">
        <v>4</v>
      </c>
      <c r="F735" t="s">
        <v>23</v>
      </c>
      <c r="G735" t="s">
        <v>31</v>
      </c>
      <c r="H735" t="s">
        <v>16</v>
      </c>
      <c r="I735">
        <v>1</v>
      </c>
      <c r="J735" s="23">
        <v>6475</v>
      </c>
      <c r="K735">
        <v>25900</v>
      </c>
    </row>
    <row r="736" spans="1:11" ht="15" customHeight="1" x14ac:dyDescent="0.3">
      <c r="A736" t="s">
        <v>10</v>
      </c>
      <c r="B736" t="s">
        <v>11</v>
      </c>
      <c r="C736" t="s">
        <v>12</v>
      </c>
      <c r="D736" t="s">
        <v>28</v>
      </c>
      <c r="E736">
        <v>10</v>
      </c>
      <c r="F736" t="s">
        <v>40</v>
      </c>
      <c r="G736" t="s">
        <v>15</v>
      </c>
      <c r="H736" t="s">
        <v>16</v>
      </c>
      <c r="I736">
        <v>0</v>
      </c>
      <c r="J736" s="23">
        <v>-13480</v>
      </c>
      <c r="K736" t="s">
        <v>17</v>
      </c>
    </row>
    <row r="737" spans="1:11" ht="15" customHeight="1" x14ac:dyDescent="0.3">
      <c r="A737" t="s">
        <v>10</v>
      </c>
      <c r="B737" t="s">
        <v>11</v>
      </c>
      <c r="C737" t="s">
        <v>24</v>
      </c>
      <c r="D737" t="s">
        <v>25</v>
      </c>
      <c r="E737">
        <v>-4</v>
      </c>
      <c r="F737" t="s">
        <v>45</v>
      </c>
      <c r="G737" t="s">
        <v>15</v>
      </c>
      <c r="H737" t="s">
        <v>16</v>
      </c>
      <c r="I737">
        <v>0</v>
      </c>
      <c r="J737" s="23">
        <v>71</v>
      </c>
      <c r="K737" t="s">
        <v>17</v>
      </c>
    </row>
    <row r="738" spans="1:11" ht="15" customHeight="1" x14ac:dyDescent="0.3">
      <c r="A738" t="s">
        <v>18</v>
      </c>
      <c r="B738" t="s">
        <v>11</v>
      </c>
      <c r="C738" t="s">
        <v>24</v>
      </c>
      <c r="D738" t="s">
        <v>28</v>
      </c>
      <c r="E738">
        <v>9</v>
      </c>
      <c r="F738" t="s">
        <v>33</v>
      </c>
      <c r="G738" t="s">
        <v>15</v>
      </c>
      <c r="H738" t="s">
        <v>32</v>
      </c>
      <c r="I738">
        <v>1</v>
      </c>
      <c r="J738" s="23">
        <v>2868878</v>
      </c>
      <c r="K738">
        <v>25819902</v>
      </c>
    </row>
    <row r="739" spans="1:11" ht="15" customHeight="1" x14ac:dyDescent="0.3">
      <c r="A739" t="s">
        <v>18</v>
      </c>
      <c r="B739" t="s">
        <v>11</v>
      </c>
      <c r="C739" t="s">
        <v>12</v>
      </c>
      <c r="D739" t="s">
        <v>25</v>
      </c>
      <c r="E739">
        <v>1</v>
      </c>
      <c r="F739" t="s">
        <v>39</v>
      </c>
      <c r="G739" t="s">
        <v>15</v>
      </c>
      <c r="H739" t="s">
        <v>16</v>
      </c>
      <c r="I739">
        <v>0</v>
      </c>
      <c r="J739" s="23">
        <v>-31316</v>
      </c>
      <c r="K739" t="s">
        <v>17</v>
      </c>
    </row>
    <row r="740" spans="1:11" ht="15" customHeight="1" x14ac:dyDescent="0.3">
      <c r="A740" t="s">
        <v>18</v>
      </c>
      <c r="B740" t="s">
        <v>11</v>
      </c>
      <c r="C740" t="s">
        <v>24</v>
      </c>
      <c r="D740" t="s">
        <v>25</v>
      </c>
      <c r="E740">
        <v>2</v>
      </c>
      <c r="F740" t="s">
        <v>45</v>
      </c>
      <c r="G740" t="s">
        <v>15</v>
      </c>
      <c r="H740" t="s">
        <v>16</v>
      </c>
      <c r="I740">
        <v>0</v>
      </c>
      <c r="J740" s="23">
        <v>180561</v>
      </c>
      <c r="K740">
        <v>361122</v>
      </c>
    </row>
    <row r="741" spans="1:11" ht="15" customHeight="1" x14ac:dyDescent="0.3">
      <c r="A741" t="s">
        <v>18</v>
      </c>
      <c r="B741" t="s">
        <v>19</v>
      </c>
      <c r="C741" t="s">
        <v>24</v>
      </c>
      <c r="D741" t="s">
        <v>28</v>
      </c>
      <c r="E741">
        <v>11</v>
      </c>
      <c r="F741"/>
      <c r="G741" t="s">
        <v>31</v>
      </c>
      <c r="H741" t="s">
        <v>32</v>
      </c>
      <c r="I741">
        <v>1</v>
      </c>
      <c r="J741" s="23">
        <v>18923</v>
      </c>
      <c r="K741">
        <v>208153</v>
      </c>
    </row>
    <row r="742" spans="1:11" ht="15" customHeight="1" x14ac:dyDescent="0.3">
      <c r="A742" t="s">
        <v>22</v>
      </c>
      <c r="B742" t="s">
        <v>11</v>
      </c>
      <c r="C742" t="s">
        <v>24</v>
      </c>
      <c r="D742" t="s">
        <v>28</v>
      </c>
      <c r="E742">
        <v>-4</v>
      </c>
      <c r="F742" t="s">
        <v>14</v>
      </c>
      <c r="G742" t="s">
        <v>15</v>
      </c>
      <c r="H742" t="s">
        <v>16</v>
      </c>
      <c r="I742">
        <v>0</v>
      </c>
      <c r="J742" s="23">
        <v>45655</v>
      </c>
      <c r="K742" t="s">
        <v>17</v>
      </c>
    </row>
    <row r="743" spans="1:11" ht="15" customHeight="1" x14ac:dyDescent="0.3">
      <c r="A743" t="s">
        <v>18</v>
      </c>
      <c r="B743" t="s">
        <v>11</v>
      </c>
      <c r="C743" t="s">
        <v>12</v>
      </c>
      <c r="D743" t="s">
        <v>13</v>
      </c>
      <c r="E743">
        <v>1</v>
      </c>
      <c r="F743" t="s">
        <v>37</v>
      </c>
      <c r="G743" t="s">
        <v>15</v>
      </c>
      <c r="H743" t="s">
        <v>16</v>
      </c>
      <c r="I743">
        <v>0</v>
      </c>
      <c r="J743" s="23">
        <v>-9799</v>
      </c>
      <c r="K743" t="s">
        <v>17</v>
      </c>
    </row>
    <row r="744" spans="1:11" ht="15" customHeight="1" x14ac:dyDescent="0.3">
      <c r="A744" t="s">
        <v>10</v>
      </c>
      <c r="B744" t="s">
        <v>11</v>
      </c>
      <c r="C744" t="s">
        <v>24</v>
      </c>
      <c r="D744" t="s">
        <v>25</v>
      </c>
      <c r="E744">
        <v>0</v>
      </c>
      <c r="F744" t="s">
        <v>37</v>
      </c>
      <c r="G744" t="s">
        <v>15</v>
      </c>
      <c r="H744" t="s">
        <v>16</v>
      </c>
      <c r="I744">
        <v>0</v>
      </c>
      <c r="J744" s="23">
        <v>6310</v>
      </c>
      <c r="K744" t="s">
        <v>17</v>
      </c>
    </row>
    <row r="745" spans="1:11" ht="15" customHeight="1" x14ac:dyDescent="0.3">
      <c r="A745" t="s">
        <v>18</v>
      </c>
      <c r="B745" t="s">
        <v>11</v>
      </c>
      <c r="C745" t="s">
        <v>12</v>
      </c>
      <c r="D745" t="s">
        <v>13</v>
      </c>
      <c r="E745">
        <v>4</v>
      </c>
      <c r="F745" t="s">
        <v>14</v>
      </c>
      <c r="G745" t="s">
        <v>15</v>
      </c>
      <c r="H745" t="s">
        <v>16</v>
      </c>
      <c r="I745">
        <v>0</v>
      </c>
      <c r="J745" s="23">
        <v>-17810</v>
      </c>
      <c r="K745" t="s">
        <v>17</v>
      </c>
    </row>
    <row r="746" spans="1:11" ht="15" customHeight="1" x14ac:dyDescent="0.3">
      <c r="A746" t="s">
        <v>22</v>
      </c>
      <c r="B746" t="s">
        <v>11</v>
      </c>
      <c r="C746" t="s">
        <v>12</v>
      </c>
      <c r="D746" t="s">
        <v>13</v>
      </c>
      <c r="E746">
        <v>4</v>
      </c>
      <c r="F746" t="s">
        <v>27</v>
      </c>
      <c r="G746" t="s">
        <v>15</v>
      </c>
      <c r="H746" t="s">
        <v>16</v>
      </c>
      <c r="I746">
        <v>0</v>
      </c>
      <c r="J746" s="23">
        <v>-22938</v>
      </c>
      <c r="K746" t="s">
        <v>17</v>
      </c>
    </row>
    <row r="747" spans="1:11" ht="15" customHeight="1" x14ac:dyDescent="0.3">
      <c r="A747" t="s">
        <v>10</v>
      </c>
      <c r="B747" t="s">
        <v>11</v>
      </c>
      <c r="C747" t="s">
        <v>24</v>
      </c>
      <c r="D747" t="s">
        <v>13</v>
      </c>
      <c r="E747">
        <v>6</v>
      </c>
      <c r="F747" t="s">
        <v>35</v>
      </c>
      <c r="G747" t="s">
        <v>15</v>
      </c>
      <c r="H747" t="s">
        <v>16</v>
      </c>
      <c r="I747">
        <v>0</v>
      </c>
      <c r="J747" s="23">
        <v>249257</v>
      </c>
      <c r="K747">
        <v>1495542</v>
      </c>
    </row>
    <row r="748" spans="1:11" ht="15" customHeight="1" x14ac:dyDescent="0.3">
      <c r="A748" t="s">
        <v>22</v>
      </c>
      <c r="B748" t="s">
        <v>11</v>
      </c>
      <c r="C748" t="s">
        <v>12</v>
      </c>
      <c r="D748" t="s">
        <v>28</v>
      </c>
      <c r="E748">
        <v>3</v>
      </c>
      <c r="F748" t="s">
        <v>33</v>
      </c>
      <c r="G748" t="s">
        <v>15</v>
      </c>
      <c r="H748" t="s">
        <v>32</v>
      </c>
      <c r="I748">
        <v>1</v>
      </c>
      <c r="J748" s="23">
        <v>-33710</v>
      </c>
      <c r="K748" t="s">
        <v>17</v>
      </c>
    </row>
    <row r="749" spans="1:11" ht="15" customHeight="1" x14ac:dyDescent="0.3">
      <c r="A749" t="s">
        <v>22</v>
      </c>
      <c r="B749" t="s">
        <v>11</v>
      </c>
      <c r="C749" t="s">
        <v>24</v>
      </c>
      <c r="D749" t="s">
        <v>13</v>
      </c>
      <c r="E749">
        <v>-4</v>
      </c>
      <c r="F749" t="s">
        <v>36</v>
      </c>
      <c r="G749" t="s">
        <v>15</v>
      </c>
      <c r="H749" t="s">
        <v>16</v>
      </c>
      <c r="I749">
        <v>0</v>
      </c>
      <c r="J749" s="23">
        <v>52976</v>
      </c>
      <c r="K749" t="s">
        <v>17</v>
      </c>
    </row>
    <row r="750" spans="1:11" ht="15" customHeight="1" x14ac:dyDescent="0.3">
      <c r="A750" t="s">
        <v>18</v>
      </c>
      <c r="B750" t="s">
        <v>11</v>
      </c>
      <c r="C750" t="s">
        <v>12</v>
      </c>
      <c r="D750" t="s">
        <v>25</v>
      </c>
      <c r="E750">
        <v>1</v>
      </c>
      <c r="F750" t="s">
        <v>42</v>
      </c>
      <c r="G750" t="s">
        <v>15</v>
      </c>
      <c r="H750" t="s">
        <v>16</v>
      </c>
      <c r="I750">
        <v>0</v>
      </c>
      <c r="J750" s="23">
        <v>-272</v>
      </c>
      <c r="K750" t="s">
        <v>17</v>
      </c>
    </row>
    <row r="751" spans="1:11" ht="15" customHeight="1" x14ac:dyDescent="0.3">
      <c r="A751" t="s">
        <v>22</v>
      </c>
      <c r="B751" t="s">
        <v>11</v>
      </c>
      <c r="C751" t="s">
        <v>24</v>
      </c>
      <c r="D751" t="s">
        <v>28</v>
      </c>
      <c r="E751">
        <v>5</v>
      </c>
      <c r="F751" t="s">
        <v>39</v>
      </c>
      <c r="G751" t="s">
        <v>15</v>
      </c>
      <c r="H751" t="s">
        <v>16</v>
      </c>
      <c r="I751">
        <v>0</v>
      </c>
      <c r="J751" s="23">
        <v>208033</v>
      </c>
      <c r="K751">
        <v>1040165</v>
      </c>
    </row>
    <row r="752" spans="1:11" ht="15" customHeight="1" x14ac:dyDescent="0.3">
      <c r="A752" t="s">
        <v>22</v>
      </c>
      <c r="B752" t="s">
        <v>11</v>
      </c>
      <c r="C752" t="s">
        <v>12</v>
      </c>
      <c r="D752" t="s">
        <v>25</v>
      </c>
      <c r="E752">
        <v>5</v>
      </c>
      <c r="F752" t="s">
        <v>35</v>
      </c>
      <c r="G752" t="s">
        <v>15</v>
      </c>
      <c r="H752" t="s">
        <v>16</v>
      </c>
      <c r="I752">
        <v>0</v>
      </c>
      <c r="J752" s="23">
        <v>-13661</v>
      </c>
      <c r="K752" t="s">
        <v>17</v>
      </c>
    </row>
    <row r="753" spans="1:11" ht="15" customHeight="1" x14ac:dyDescent="0.3">
      <c r="A753"/>
      <c r="B753" t="s">
        <v>11</v>
      </c>
      <c r="C753" t="s">
        <v>24</v>
      </c>
      <c r="D753" t="s">
        <v>17</v>
      </c>
      <c r="E753">
        <v>-3</v>
      </c>
      <c r="F753" t="s">
        <v>26</v>
      </c>
      <c r="G753" t="s">
        <v>15</v>
      </c>
      <c r="H753" t="s">
        <v>16</v>
      </c>
      <c r="I753">
        <v>0</v>
      </c>
      <c r="J753" s="23">
        <v>131176</v>
      </c>
      <c r="K753" t="s">
        <v>17</v>
      </c>
    </row>
    <row r="754" spans="1:11" ht="15" customHeight="1" x14ac:dyDescent="0.3">
      <c r="A754" t="s">
        <v>18</v>
      </c>
      <c r="B754" t="s">
        <v>19</v>
      </c>
      <c r="C754" t="s">
        <v>12</v>
      </c>
      <c r="D754" t="s">
        <v>20</v>
      </c>
      <c r="E754">
        <v>21</v>
      </c>
      <c r="F754"/>
      <c r="G754" t="s">
        <v>31</v>
      </c>
      <c r="H754" t="s">
        <v>16</v>
      </c>
      <c r="I754">
        <v>1</v>
      </c>
      <c r="J754" s="23">
        <v>-7902</v>
      </c>
      <c r="K754" t="s">
        <v>17</v>
      </c>
    </row>
    <row r="755" spans="1:11" ht="15" customHeight="1" x14ac:dyDescent="0.3">
      <c r="A755" t="s">
        <v>22</v>
      </c>
      <c r="B755" t="s">
        <v>11</v>
      </c>
      <c r="C755" t="s">
        <v>12</v>
      </c>
      <c r="D755" t="s">
        <v>28</v>
      </c>
      <c r="E755">
        <v>14</v>
      </c>
      <c r="F755" t="s">
        <v>39</v>
      </c>
      <c r="G755" t="s">
        <v>15</v>
      </c>
      <c r="H755" t="s">
        <v>16</v>
      </c>
      <c r="I755">
        <v>0</v>
      </c>
      <c r="J755" s="23">
        <v>-48073</v>
      </c>
      <c r="K755" t="s">
        <v>17</v>
      </c>
    </row>
    <row r="756" spans="1:11" ht="15" customHeight="1" x14ac:dyDescent="0.3">
      <c r="A756" t="s">
        <v>18</v>
      </c>
      <c r="B756" t="s">
        <v>11</v>
      </c>
      <c r="C756" t="s">
        <v>12</v>
      </c>
      <c r="D756" t="s">
        <v>28</v>
      </c>
      <c r="E756">
        <v>5</v>
      </c>
      <c r="F756" t="s">
        <v>29</v>
      </c>
      <c r="G756" t="s">
        <v>15</v>
      </c>
      <c r="H756" t="s">
        <v>16</v>
      </c>
      <c r="I756">
        <v>0</v>
      </c>
      <c r="J756" s="23">
        <v>-17248</v>
      </c>
      <c r="K756" t="s">
        <v>17</v>
      </c>
    </row>
    <row r="757" spans="1:11" ht="15" customHeight="1" x14ac:dyDescent="0.3">
      <c r="A757" t="s">
        <v>10</v>
      </c>
      <c r="B757" t="s">
        <v>19</v>
      </c>
      <c r="C757" t="s">
        <v>24</v>
      </c>
      <c r="D757" t="s">
        <v>20</v>
      </c>
      <c r="E757">
        <v>36</v>
      </c>
      <c r="F757"/>
      <c r="G757" t="s">
        <v>31</v>
      </c>
      <c r="H757" t="s">
        <v>16</v>
      </c>
      <c r="I757">
        <v>1</v>
      </c>
      <c r="J757" s="23">
        <v>1999176</v>
      </c>
      <c r="K757">
        <v>71970336</v>
      </c>
    </row>
    <row r="758" spans="1:11" ht="15" customHeight="1" x14ac:dyDescent="0.3">
      <c r="A758" t="s">
        <v>18</v>
      </c>
      <c r="B758" t="s">
        <v>11</v>
      </c>
      <c r="C758" t="s">
        <v>12</v>
      </c>
      <c r="D758" t="s">
        <v>28</v>
      </c>
      <c r="E758">
        <v>16</v>
      </c>
      <c r="F758" t="s">
        <v>14</v>
      </c>
      <c r="G758" t="s">
        <v>15</v>
      </c>
      <c r="H758" t="s">
        <v>16</v>
      </c>
      <c r="I758">
        <v>0</v>
      </c>
      <c r="J758" s="23">
        <v>-4255</v>
      </c>
      <c r="K758" t="s">
        <v>17</v>
      </c>
    </row>
    <row r="759" spans="1:11" ht="15" customHeight="1" x14ac:dyDescent="0.3">
      <c r="A759" t="s">
        <v>10</v>
      </c>
      <c r="B759" t="s">
        <v>19</v>
      </c>
      <c r="C759" t="s">
        <v>24</v>
      </c>
      <c r="D759" t="s">
        <v>20</v>
      </c>
      <c r="E759">
        <v>4</v>
      </c>
      <c r="F759"/>
      <c r="G759" t="s">
        <v>31</v>
      </c>
      <c r="H759" t="s">
        <v>32</v>
      </c>
      <c r="I759">
        <v>1</v>
      </c>
      <c r="J759" s="23">
        <v>12336</v>
      </c>
      <c r="K759">
        <v>49344</v>
      </c>
    </row>
    <row r="760" spans="1:11" ht="15" customHeight="1" x14ac:dyDescent="0.3">
      <c r="A760" t="s">
        <v>22</v>
      </c>
      <c r="B760" t="s">
        <v>19</v>
      </c>
      <c r="C760" t="s">
        <v>12</v>
      </c>
      <c r="D760" t="s">
        <v>20</v>
      </c>
      <c r="E760">
        <v>40</v>
      </c>
      <c r="F760"/>
      <c r="G760" t="s">
        <v>15</v>
      </c>
      <c r="H760" t="s">
        <v>16</v>
      </c>
      <c r="I760">
        <v>0</v>
      </c>
      <c r="J760" s="23">
        <v>-315670</v>
      </c>
      <c r="K760" t="s">
        <v>17</v>
      </c>
    </row>
    <row r="761" spans="1:11" ht="15" customHeight="1" x14ac:dyDescent="0.3">
      <c r="A761" t="s">
        <v>18</v>
      </c>
      <c r="B761" t="s">
        <v>11</v>
      </c>
      <c r="C761" t="s">
        <v>12</v>
      </c>
      <c r="D761" t="s">
        <v>28</v>
      </c>
      <c r="E761">
        <v>13</v>
      </c>
      <c r="F761" t="s">
        <v>21</v>
      </c>
      <c r="G761" t="s">
        <v>15</v>
      </c>
      <c r="H761" t="s">
        <v>16</v>
      </c>
      <c r="I761">
        <v>0</v>
      </c>
      <c r="J761" s="23">
        <v>-27321</v>
      </c>
      <c r="K761" t="s">
        <v>17</v>
      </c>
    </row>
    <row r="762" spans="1:11" ht="15" customHeight="1" x14ac:dyDescent="0.3">
      <c r="A762" t="s">
        <v>10</v>
      </c>
      <c r="B762" t="s">
        <v>11</v>
      </c>
      <c r="C762" t="s">
        <v>12</v>
      </c>
      <c r="D762" t="s">
        <v>25</v>
      </c>
      <c r="E762">
        <v>10</v>
      </c>
      <c r="F762" t="s">
        <v>30</v>
      </c>
      <c r="G762" t="s">
        <v>15</v>
      </c>
      <c r="H762" t="s">
        <v>16</v>
      </c>
      <c r="I762">
        <v>0</v>
      </c>
      <c r="J762" s="23">
        <v>-487</v>
      </c>
      <c r="K762" t="s">
        <v>17</v>
      </c>
    </row>
    <row r="763" spans="1:11" ht="15" customHeight="1" x14ac:dyDescent="0.3">
      <c r="A763" t="s">
        <v>22</v>
      </c>
      <c r="B763" t="s">
        <v>11</v>
      </c>
      <c r="C763" t="s">
        <v>12</v>
      </c>
      <c r="D763" t="s">
        <v>13</v>
      </c>
      <c r="E763">
        <v>8</v>
      </c>
      <c r="F763" t="s">
        <v>21</v>
      </c>
      <c r="G763" t="s">
        <v>15</v>
      </c>
      <c r="H763" t="s">
        <v>16</v>
      </c>
      <c r="I763">
        <v>0</v>
      </c>
      <c r="J763" s="23">
        <v>-835040</v>
      </c>
      <c r="K763" t="s">
        <v>17</v>
      </c>
    </row>
    <row r="764" spans="1:11" ht="15" customHeight="1" x14ac:dyDescent="0.3">
      <c r="A764" t="s">
        <v>22</v>
      </c>
      <c r="B764" t="s">
        <v>11</v>
      </c>
      <c r="C764" t="s">
        <v>24</v>
      </c>
      <c r="D764" t="s">
        <v>13</v>
      </c>
      <c r="E764">
        <v>1</v>
      </c>
      <c r="F764" t="s">
        <v>45</v>
      </c>
      <c r="G764" t="s">
        <v>15</v>
      </c>
      <c r="H764" t="s">
        <v>16</v>
      </c>
      <c r="I764">
        <v>0</v>
      </c>
      <c r="J764" s="23">
        <v>4731</v>
      </c>
      <c r="K764">
        <v>4731</v>
      </c>
    </row>
    <row r="765" spans="1:11" ht="15" customHeight="1" x14ac:dyDescent="0.3">
      <c r="A765" t="s">
        <v>18</v>
      </c>
      <c r="B765" t="s">
        <v>11</v>
      </c>
      <c r="C765" t="s">
        <v>12</v>
      </c>
      <c r="D765" t="s">
        <v>13</v>
      </c>
      <c r="E765">
        <v>4</v>
      </c>
      <c r="F765" t="s">
        <v>33</v>
      </c>
      <c r="G765" t="s">
        <v>15</v>
      </c>
      <c r="H765" t="s">
        <v>16</v>
      </c>
      <c r="I765">
        <v>0</v>
      </c>
      <c r="J765" s="23">
        <v>-31559</v>
      </c>
      <c r="K765" t="s">
        <v>17</v>
      </c>
    </row>
    <row r="766" spans="1:11" ht="15" customHeight="1" x14ac:dyDescent="0.3">
      <c r="A766" t="s">
        <v>10</v>
      </c>
      <c r="B766" t="s">
        <v>11</v>
      </c>
      <c r="C766" t="s">
        <v>24</v>
      </c>
      <c r="D766" t="s">
        <v>13</v>
      </c>
      <c r="E766">
        <v>3</v>
      </c>
      <c r="F766" t="s">
        <v>33</v>
      </c>
      <c r="G766" t="s">
        <v>15</v>
      </c>
      <c r="H766" t="s">
        <v>16</v>
      </c>
      <c r="I766">
        <v>0</v>
      </c>
      <c r="J766" s="23">
        <v>5149114</v>
      </c>
      <c r="K766">
        <v>15447342</v>
      </c>
    </row>
    <row r="767" spans="1:11" ht="15" customHeight="1" x14ac:dyDescent="0.3">
      <c r="A767" t="s">
        <v>22</v>
      </c>
      <c r="B767" t="s">
        <v>11</v>
      </c>
      <c r="C767" t="s">
        <v>12</v>
      </c>
      <c r="D767" t="s">
        <v>25</v>
      </c>
      <c r="E767">
        <v>2</v>
      </c>
      <c r="F767" t="s">
        <v>26</v>
      </c>
      <c r="G767" t="s">
        <v>15</v>
      </c>
      <c r="H767" t="s">
        <v>16</v>
      </c>
      <c r="I767">
        <v>0</v>
      </c>
      <c r="J767" s="23">
        <v>-20457</v>
      </c>
      <c r="K767" t="s">
        <v>17</v>
      </c>
    </row>
    <row r="768" spans="1:11" ht="15" customHeight="1" x14ac:dyDescent="0.3">
      <c r="A768" t="s">
        <v>18</v>
      </c>
      <c r="B768" t="s">
        <v>11</v>
      </c>
      <c r="C768" t="s">
        <v>12</v>
      </c>
      <c r="D768" t="s">
        <v>13</v>
      </c>
      <c r="E768">
        <v>1</v>
      </c>
      <c r="F768" t="s">
        <v>41</v>
      </c>
      <c r="G768" t="s">
        <v>15</v>
      </c>
      <c r="H768" t="s">
        <v>16</v>
      </c>
      <c r="I768">
        <v>0</v>
      </c>
      <c r="J768" s="23">
        <v>-1698</v>
      </c>
      <c r="K768" t="s">
        <v>17</v>
      </c>
    </row>
    <row r="769" spans="1:11" ht="15" customHeight="1" x14ac:dyDescent="0.3">
      <c r="A769" t="s">
        <v>10</v>
      </c>
      <c r="B769" t="s">
        <v>19</v>
      </c>
      <c r="C769" t="s">
        <v>24</v>
      </c>
      <c r="D769" t="s">
        <v>28</v>
      </c>
      <c r="E769">
        <v>4</v>
      </c>
      <c r="F769"/>
      <c r="G769" t="s">
        <v>15</v>
      </c>
      <c r="H769" t="s">
        <v>16</v>
      </c>
      <c r="I769">
        <v>0</v>
      </c>
      <c r="J769" s="23">
        <v>405075</v>
      </c>
      <c r="K769">
        <v>1620300</v>
      </c>
    </row>
    <row r="770" spans="1:11" ht="15" customHeight="1" x14ac:dyDescent="0.3">
      <c r="A770" t="s">
        <v>18</v>
      </c>
      <c r="B770" t="s">
        <v>11</v>
      </c>
      <c r="C770" t="s">
        <v>12</v>
      </c>
      <c r="D770" t="s">
        <v>13</v>
      </c>
      <c r="E770">
        <v>2</v>
      </c>
      <c r="F770" t="s">
        <v>42</v>
      </c>
      <c r="G770" t="s">
        <v>15</v>
      </c>
      <c r="H770" t="s">
        <v>16</v>
      </c>
      <c r="I770">
        <v>0</v>
      </c>
      <c r="J770" s="23">
        <v>-11420</v>
      </c>
      <c r="K770" t="s">
        <v>17</v>
      </c>
    </row>
    <row r="771" spans="1:11" ht="15" customHeight="1" x14ac:dyDescent="0.3">
      <c r="A771" t="s">
        <v>18</v>
      </c>
      <c r="B771" t="s">
        <v>11</v>
      </c>
      <c r="C771" t="s">
        <v>12</v>
      </c>
      <c r="D771" t="s">
        <v>28</v>
      </c>
      <c r="E771">
        <v>14</v>
      </c>
      <c r="F771" t="s">
        <v>34</v>
      </c>
      <c r="G771" t="s">
        <v>15</v>
      </c>
      <c r="H771" t="s">
        <v>32</v>
      </c>
      <c r="I771">
        <v>1</v>
      </c>
      <c r="J771" s="23">
        <v>-855</v>
      </c>
      <c r="K771" t="s">
        <v>17</v>
      </c>
    </row>
    <row r="772" spans="1:11" ht="15" customHeight="1" x14ac:dyDescent="0.3">
      <c r="A772" t="s">
        <v>18</v>
      </c>
      <c r="B772" t="s">
        <v>19</v>
      </c>
      <c r="C772" t="s">
        <v>12</v>
      </c>
      <c r="D772" t="s">
        <v>28</v>
      </c>
      <c r="E772">
        <v>12</v>
      </c>
      <c r="F772"/>
      <c r="G772" t="s">
        <v>15</v>
      </c>
      <c r="H772" t="s">
        <v>16</v>
      </c>
      <c r="I772">
        <v>0</v>
      </c>
      <c r="J772" s="23">
        <v>-11570</v>
      </c>
      <c r="K772" t="s">
        <v>17</v>
      </c>
    </row>
    <row r="773" spans="1:11" ht="15" customHeight="1" x14ac:dyDescent="0.3">
      <c r="A773" t="s">
        <v>22</v>
      </c>
      <c r="B773" t="s">
        <v>19</v>
      </c>
      <c r="C773" t="s">
        <v>24</v>
      </c>
      <c r="D773" t="s">
        <v>20</v>
      </c>
      <c r="E773">
        <v>0</v>
      </c>
      <c r="F773"/>
      <c r="G773" t="s">
        <v>15</v>
      </c>
      <c r="H773" t="s">
        <v>16</v>
      </c>
      <c r="I773">
        <v>0</v>
      </c>
      <c r="J773" s="23">
        <v>138132</v>
      </c>
      <c r="K773" t="s">
        <v>17</v>
      </c>
    </row>
    <row r="774" spans="1:11" ht="15" customHeight="1" x14ac:dyDescent="0.3">
      <c r="A774" t="s">
        <v>18</v>
      </c>
      <c r="B774" t="s">
        <v>11</v>
      </c>
      <c r="C774" t="s">
        <v>12</v>
      </c>
      <c r="D774" t="s">
        <v>25</v>
      </c>
      <c r="E774">
        <v>11</v>
      </c>
      <c r="F774" t="s">
        <v>26</v>
      </c>
      <c r="G774" t="s">
        <v>15</v>
      </c>
      <c r="H774" t="s">
        <v>16</v>
      </c>
      <c r="I774">
        <v>0</v>
      </c>
      <c r="J774" s="23">
        <v>-464</v>
      </c>
      <c r="K774" t="s">
        <v>17</v>
      </c>
    </row>
    <row r="775" spans="1:11" ht="15" customHeight="1" x14ac:dyDescent="0.3">
      <c r="A775" t="s">
        <v>10</v>
      </c>
      <c r="B775" t="s">
        <v>11</v>
      </c>
      <c r="C775" t="s">
        <v>24</v>
      </c>
      <c r="D775" t="s">
        <v>13</v>
      </c>
      <c r="E775">
        <v>-4</v>
      </c>
      <c r="F775" t="s">
        <v>34</v>
      </c>
      <c r="G775" t="s">
        <v>15</v>
      </c>
      <c r="H775" t="s">
        <v>16</v>
      </c>
      <c r="I775">
        <v>0</v>
      </c>
      <c r="J775" s="23">
        <v>325052</v>
      </c>
      <c r="K775" t="s">
        <v>17</v>
      </c>
    </row>
    <row r="776" spans="1:11" ht="15" customHeight="1" x14ac:dyDescent="0.3">
      <c r="A776" t="s">
        <v>22</v>
      </c>
      <c r="B776" t="s">
        <v>19</v>
      </c>
      <c r="C776" t="s">
        <v>12</v>
      </c>
      <c r="D776" t="s">
        <v>20</v>
      </c>
      <c r="E776">
        <v>24</v>
      </c>
      <c r="F776"/>
      <c r="G776" t="s">
        <v>15</v>
      </c>
      <c r="H776" t="s">
        <v>16</v>
      </c>
      <c r="I776">
        <v>0</v>
      </c>
      <c r="J776" s="23">
        <v>-1939726</v>
      </c>
      <c r="K776" t="s">
        <v>17</v>
      </c>
    </row>
    <row r="777" spans="1:11" ht="15" customHeight="1" x14ac:dyDescent="0.3">
      <c r="A777" t="s">
        <v>10</v>
      </c>
      <c r="B777" t="s">
        <v>11</v>
      </c>
      <c r="C777" t="s">
        <v>12</v>
      </c>
      <c r="D777" t="s">
        <v>28</v>
      </c>
      <c r="E777">
        <v>6</v>
      </c>
      <c r="F777" t="s">
        <v>33</v>
      </c>
      <c r="G777" t="s">
        <v>15</v>
      </c>
      <c r="H777" t="s">
        <v>16</v>
      </c>
      <c r="I777">
        <v>0</v>
      </c>
      <c r="J777" s="23">
        <v>-10462</v>
      </c>
      <c r="K777" t="s">
        <v>17</v>
      </c>
    </row>
    <row r="778" spans="1:11" ht="15" customHeight="1" x14ac:dyDescent="0.3">
      <c r="A778" t="s">
        <v>18</v>
      </c>
      <c r="B778" t="s">
        <v>11</v>
      </c>
      <c r="C778" t="s">
        <v>12</v>
      </c>
      <c r="D778" t="s">
        <v>25</v>
      </c>
      <c r="E778">
        <v>4</v>
      </c>
      <c r="F778" t="s">
        <v>41</v>
      </c>
      <c r="G778" t="s">
        <v>15</v>
      </c>
      <c r="H778" t="s">
        <v>16</v>
      </c>
      <c r="I778">
        <v>0</v>
      </c>
      <c r="J778" s="23">
        <v>-1543</v>
      </c>
      <c r="K778" t="s">
        <v>17</v>
      </c>
    </row>
    <row r="779" spans="1:11" ht="15" customHeight="1" x14ac:dyDescent="0.3">
      <c r="A779" t="s">
        <v>10</v>
      </c>
      <c r="B779" t="s">
        <v>11</v>
      </c>
      <c r="C779" t="s">
        <v>12</v>
      </c>
      <c r="D779" t="s">
        <v>25</v>
      </c>
      <c r="E779">
        <v>2</v>
      </c>
      <c r="F779" t="s">
        <v>36</v>
      </c>
      <c r="G779" t="s">
        <v>15</v>
      </c>
      <c r="H779" t="s">
        <v>16</v>
      </c>
      <c r="I779">
        <v>0</v>
      </c>
      <c r="J779" s="23">
        <v>-2215</v>
      </c>
      <c r="K779" t="s">
        <v>17</v>
      </c>
    </row>
    <row r="780" spans="1:11" ht="15" customHeight="1" x14ac:dyDescent="0.3">
      <c r="A780" t="s">
        <v>10</v>
      </c>
      <c r="B780" t="s">
        <v>11</v>
      </c>
      <c r="C780" t="s">
        <v>12</v>
      </c>
      <c r="D780" t="s">
        <v>28</v>
      </c>
      <c r="E780">
        <v>8</v>
      </c>
      <c r="F780" t="s">
        <v>40</v>
      </c>
      <c r="G780" t="s">
        <v>15</v>
      </c>
      <c r="H780" t="s">
        <v>16</v>
      </c>
      <c r="I780">
        <v>0</v>
      </c>
      <c r="J780" s="23">
        <v>-8732</v>
      </c>
      <c r="K780" t="s">
        <v>17</v>
      </c>
    </row>
    <row r="781" spans="1:11" ht="15" customHeight="1" x14ac:dyDescent="0.3">
      <c r="A781" t="s">
        <v>10</v>
      </c>
      <c r="B781" t="s">
        <v>11</v>
      </c>
      <c r="C781" t="s">
        <v>24</v>
      </c>
      <c r="D781" t="s">
        <v>28</v>
      </c>
      <c r="E781">
        <v>11</v>
      </c>
      <c r="F781" t="s">
        <v>14</v>
      </c>
      <c r="G781" t="s">
        <v>15</v>
      </c>
      <c r="H781" t="s">
        <v>16</v>
      </c>
      <c r="I781">
        <v>0</v>
      </c>
      <c r="J781" s="23">
        <v>2336635</v>
      </c>
      <c r="K781">
        <v>25702985</v>
      </c>
    </row>
    <row r="782" spans="1:11" ht="15" customHeight="1" x14ac:dyDescent="0.3">
      <c r="A782" t="s">
        <v>10</v>
      </c>
      <c r="B782" t="s">
        <v>11</v>
      </c>
      <c r="C782" t="s">
        <v>12</v>
      </c>
      <c r="D782" t="s">
        <v>13</v>
      </c>
      <c r="E782">
        <v>2</v>
      </c>
      <c r="F782" t="s">
        <v>37</v>
      </c>
      <c r="G782" t="s">
        <v>15</v>
      </c>
      <c r="H782" t="s">
        <v>16</v>
      </c>
      <c r="I782">
        <v>0</v>
      </c>
      <c r="J782" s="23">
        <v>-58172</v>
      </c>
      <c r="K782" t="s">
        <v>17</v>
      </c>
    </row>
    <row r="783" spans="1:11" ht="15" customHeight="1" x14ac:dyDescent="0.3">
      <c r="A783" t="s">
        <v>18</v>
      </c>
      <c r="B783" t="s">
        <v>11</v>
      </c>
      <c r="C783" t="s">
        <v>12</v>
      </c>
      <c r="D783" t="s">
        <v>28</v>
      </c>
      <c r="E783">
        <v>1</v>
      </c>
      <c r="F783" t="s">
        <v>39</v>
      </c>
      <c r="G783" t="s">
        <v>15</v>
      </c>
      <c r="H783" t="s">
        <v>16</v>
      </c>
      <c r="I783">
        <v>0</v>
      </c>
      <c r="J783" s="23">
        <v>-231</v>
      </c>
      <c r="K783" t="s">
        <v>17</v>
      </c>
    </row>
    <row r="784" spans="1:11" ht="15" customHeight="1" x14ac:dyDescent="0.3">
      <c r="A784" t="s">
        <v>22</v>
      </c>
      <c r="B784" t="s">
        <v>19</v>
      </c>
      <c r="C784" t="s">
        <v>12</v>
      </c>
      <c r="D784" t="s">
        <v>20</v>
      </c>
      <c r="E784">
        <v>4</v>
      </c>
      <c r="F784"/>
      <c r="G784" t="s">
        <v>15</v>
      </c>
      <c r="H784" t="s">
        <v>32</v>
      </c>
      <c r="I784">
        <v>1</v>
      </c>
      <c r="J784" s="23">
        <v>-6153</v>
      </c>
      <c r="K784" t="s">
        <v>17</v>
      </c>
    </row>
    <row r="785" spans="1:11" ht="15" customHeight="1" x14ac:dyDescent="0.3">
      <c r="A785" t="s">
        <v>10</v>
      </c>
      <c r="B785" t="s">
        <v>19</v>
      </c>
      <c r="C785" t="s">
        <v>12</v>
      </c>
      <c r="D785" t="s">
        <v>20</v>
      </c>
      <c r="E785">
        <v>20</v>
      </c>
      <c r="F785"/>
      <c r="G785" t="s">
        <v>15</v>
      </c>
      <c r="H785" t="s">
        <v>32</v>
      </c>
      <c r="I785">
        <v>1</v>
      </c>
      <c r="J785" s="23">
        <v>-8787</v>
      </c>
      <c r="K785" t="s">
        <v>17</v>
      </c>
    </row>
    <row r="786" spans="1:11" ht="15" customHeight="1" x14ac:dyDescent="0.3">
      <c r="A786" t="s">
        <v>10</v>
      </c>
      <c r="B786" t="s">
        <v>11</v>
      </c>
      <c r="C786" t="s">
        <v>12</v>
      </c>
      <c r="D786" t="s">
        <v>13</v>
      </c>
      <c r="E786">
        <v>-4</v>
      </c>
      <c r="F786" t="s">
        <v>23</v>
      </c>
      <c r="G786" t="s">
        <v>15</v>
      </c>
      <c r="H786" t="s">
        <v>16</v>
      </c>
      <c r="I786">
        <v>0</v>
      </c>
      <c r="J786" s="23">
        <v>-4</v>
      </c>
      <c r="K786" t="s">
        <v>17</v>
      </c>
    </row>
    <row r="787" spans="1:11" ht="15" customHeight="1" x14ac:dyDescent="0.3">
      <c r="A787" t="s">
        <v>18</v>
      </c>
      <c r="B787" t="s">
        <v>19</v>
      </c>
      <c r="C787" t="s">
        <v>12</v>
      </c>
      <c r="D787" t="s">
        <v>20</v>
      </c>
      <c r="E787">
        <v>28</v>
      </c>
      <c r="F787"/>
      <c r="G787" t="s">
        <v>15</v>
      </c>
      <c r="H787" t="s">
        <v>32</v>
      </c>
      <c r="I787">
        <v>1</v>
      </c>
      <c r="J787" s="23">
        <v>-1738</v>
      </c>
      <c r="K787" t="s">
        <v>17</v>
      </c>
    </row>
    <row r="788" spans="1:11" ht="15" customHeight="1" x14ac:dyDescent="0.3">
      <c r="A788" t="s">
        <v>18</v>
      </c>
      <c r="B788" t="s">
        <v>44</v>
      </c>
      <c r="C788" t="s">
        <v>24</v>
      </c>
      <c r="D788" t="s">
        <v>28</v>
      </c>
      <c r="E788">
        <v>4</v>
      </c>
      <c r="F788" t="s">
        <v>26</v>
      </c>
      <c r="G788" t="s">
        <v>15</v>
      </c>
      <c r="H788" t="s">
        <v>16</v>
      </c>
      <c r="I788">
        <v>0</v>
      </c>
      <c r="J788" s="23">
        <v>1283115</v>
      </c>
      <c r="K788">
        <v>5132460</v>
      </c>
    </row>
    <row r="789" spans="1:11" ht="15" customHeight="1" x14ac:dyDescent="0.3">
      <c r="A789" t="s">
        <v>18</v>
      </c>
      <c r="B789" t="s">
        <v>11</v>
      </c>
      <c r="C789" t="s">
        <v>24</v>
      </c>
      <c r="D789" t="s">
        <v>13</v>
      </c>
      <c r="E789">
        <v>11</v>
      </c>
      <c r="F789" t="s">
        <v>23</v>
      </c>
      <c r="G789" t="s">
        <v>15</v>
      </c>
      <c r="H789" t="s">
        <v>16</v>
      </c>
      <c r="I789">
        <v>0</v>
      </c>
      <c r="J789" s="23">
        <v>2522493</v>
      </c>
      <c r="K789">
        <v>27747423</v>
      </c>
    </row>
    <row r="790" spans="1:11" ht="15" customHeight="1" x14ac:dyDescent="0.3">
      <c r="A790" t="s">
        <v>18</v>
      </c>
      <c r="B790" t="s">
        <v>19</v>
      </c>
      <c r="C790" t="s">
        <v>24</v>
      </c>
      <c r="D790" t="s">
        <v>20</v>
      </c>
      <c r="E790">
        <v>27</v>
      </c>
      <c r="F790"/>
      <c r="G790" t="s">
        <v>31</v>
      </c>
      <c r="H790" t="s">
        <v>16</v>
      </c>
      <c r="I790">
        <v>1</v>
      </c>
      <c r="J790" s="23">
        <v>9837658</v>
      </c>
      <c r="K790">
        <v>265616766</v>
      </c>
    </row>
    <row r="791" spans="1:11" ht="15" customHeight="1" x14ac:dyDescent="0.3">
      <c r="A791" t="s">
        <v>18</v>
      </c>
      <c r="B791" t="s">
        <v>11</v>
      </c>
      <c r="C791" t="s">
        <v>24</v>
      </c>
      <c r="D791" t="s">
        <v>28</v>
      </c>
      <c r="E791">
        <v>3</v>
      </c>
      <c r="F791" t="s">
        <v>45</v>
      </c>
      <c r="G791" t="s">
        <v>15</v>
      </c>
      <c r="H791" t="s">
        <v>16</v>
      </c>
      <c r="I791">
        <v>0</v>
      </c>
      <c r="J791" s="23">
        <v>32066</v>
      </c>
      <c r="K791">
        <v>96198</v>
      </c>
    </row>
    <row r="792" spans="1:11" ht="15" customHeight="1" x14ac:dyDescent="0.3">
      <c r="A792" t="s">
        <v>10</v>
      </c>
      <c r="B792" t="s">
        <v>11</v>
      </c>
      <c r="C792" t="s">
        <v>12</v>
      </c>
      <c r="D792" t="s">
        <v>28</v>
      </c>
      <c r="E792">
        <v>4</v>
      </c>
      <c r="F792" t="s">
        <v>26</v>
      </c>
      <c r="G792" t="s">
        <v>15</v>
      </c>
      <c r="H792" t="s">
        <v>16</v>
      </c>
      <c r="I792">
        <v>0</v>
      </c>
      <c r="J792" s="23">
        <v>-268796</v>
      </c>
      <c r="K792" t="s">
        <v>17</v>
      </c>
    </row>
    <row r="793" spans="1:11" ht="15" customHeight="1" x14ac:dyDescent="0.3">
      <c r="A793" t="s">
        <v>10</v>
      </c>
      <c r="B793" t="s">
        <v>19</v>
      </c>
      <c r="C793" t="s">
        <v>12</v>
      </c>
      <c r="D793" t="s">
        <v>20</v>
      </c>
      <c r="E793">
        <v>10</v>
      </c>
      <c r="F793"/>
      <c r="G793" t="s">
        <v>31</v>
      </c>
      <c r="H793" t="s">
        <v>16</v>
      </c>
      <c r="I793">
        <v>1</v>
      </c>
      <c r="J793" s="23">
        <v>-5930</v>
      </c>
      <c r="K793" t="s">
        <v>17</v>
      </c>
    </row>
    <row r="794" spans="1:11" ht="15" customHeight="1" x14ac:dyDescent="0.3">
      <c r="A794" t="s">
        <v>18</v>
      </c>
      <c r="B794" t="s">
        <v>19</v>
      </c>
      <c r="C794" t="s">
        <v>12</v>
      </c>
      <c r="D794" t="s">
        <v>20</v>
      </c>
      <c r="E794">
        <v>30</v>
      </c>
      <c r="F794"/>
      <c r="G794" t="s">
        <v>15</v>
      </c>
      <c r="H794" t="s">
        <v>32</v>
      </c>
      <c r="I794">
        <v>1</v>
      </c>
      <c r="J794" s="23">
        <v>-1430</v>
      </c>
      <c r="K794" t="s">
        <v>17</v>
      </c>
    </row>
    <row r="795" spans="1:11" ht="15" customHeight="1" x14ac:dyDescent="0.3">
      <c r="A795" t="s">
        <v>22</v>
      </c>
      <c r="B795" t="s">
        <v>44</v>
      </c>
      <c r="C795" t="s">
        <v>12</v>
      </c>
      <c r="D795" t="s">
        <v>28</v>
      </c>
      <c r="E795">
        <v>9</v>
      </c>
      <c r="F795" t="s">
        <v>34</v>
      </c>
      <c r="G795" t="s">
        <v>15</v>
      </c>
      <c r="H795" t="s">
        <v>16</v>
      </c>
      <c r="I795">
        <v>0</v>
      </c>
      <c r="J795" s="23">
        <v>-976067</v>
      </c>
      <c r="K795" t="s">
        <v>17</v>
      </c>
    </row>
    <row r="796" spans="1:11" ht="15" customHeight="1" x14ac:dyDescent="0.3">
      <c r="A796" t="s">
        <v>10</v>
      </c>
      <c r="B796" t="s">
        <v>44</v>
      </c>
      <c r="C796" t="s">
        <v>24</v>
      </c>
      <c r="D796" t="s">
        <v>28</v>
      </c>
      <c r="E796">
        <v>6</v>
      </c>
      <c r="F796" t="s">
        <v>38</v>
      </c>
      <c r="G796" t="s">
        <v>15</v>
      </c>
      <c r="H796" t="s">
        <v>16</v>
      </c>
      <c r="I796">
        <v>0</v>
      </c>
      <c r="J796" s="23">
        <v>33625</v>
      </c>
      <c r="K796">
        <v>201750</v>
      </c>
    </row>
    <row r="797" spans="1:11" ht="15" customHeight="1" x14ac:dyDescent="0.3">
      <c r="A797" t="s">
        <v>22</v>
      </c>
      <c r="B797" t="s">
        <v>11</v>
      </c>
      <c r="C797" t="s">
        <v>12</v>
      </c>
      <c r="D797" t="s">
        <v>28</v>
      </c>
      <c r="E797">
        <v>4</v>
      </c>
      <c r="F797" t="s">
        <v>23</v>
      </c>
      <c r="G797" t="s">
        <v>15</v>
      </c>
      <c r="H797" t="s">
        <v>16</v>
      </c>
      <c r="I797">
        <v>0</v>
      </c>
      <c r="J797" s="23">
        <v>-270871</v>
      </c>
      <c r="K797" t="s">
        <v>17</v>
      </c>
    </row>
    <row r="798" spans="1:11" ht="15" customHeight="1" x14ac:dyDescent="0.3">
      <c r="A798" t="s">
        <v>10</v>
      </c>
      <c r="B798" t="s">
        <v>19</v>
      </c>
      <c r="C798" t="s">
        <v>24</v>
      </c>
      <c r="D798" t="s">
        <v>20</v>
      </c>
      <c r="E798">
        <v>32</v>
      </c>
      <c r="F798"/>
      <c r="G798" t="s">
        <v>15</v>
      </c>
      <c r="H798" t="s">
        <v>16</v>
      </c>
      <c r="I798">
        <v>0</v>
      </c>
      <c r="J798" s="23">
        <v>43933438</v>
      </c>
      <c r="K798">
        <v>1405870016</v>
      </c>
    </row>
    <row r="799" spans="1:11" ht="15" customHeight="1" x14ac:dyDescent="0.3">
      <c r="A799" t="s">
        <v>10</v>
      </c>
      <c r="B799" t="s">
        <v>11</v>
      </c>
      <c r="C799" t="s">
        <v>12</v>
      </c>
      <c r="D799" t="s">
        <v>13</v>
      </c>
      <c r="E799">
        <v>-1</v>
      </c>
      <c r="F799" t="s">
        <v>48</v>
      </c>
      <c r="G799" t="s">
        <v>15</v>
      </c>
      <c r="H799" t="s">
        <v>16</v>
      </c>
      <c r="I799">
        <v>0</v>
      </c>
      <c r="J799" s="23">
        <v>-4</v>
      </c>
      <c r="K799" t="s">
        <v>17</v>
      </c>
    </row>
    <row r="800" spans="1:11" ht="15" customHeight="1" x14ac:dyDescent="0.3">
      <c r="A800" t="s">
        <v>10</v>
      </c>
      <c r="B800" t="s">
        <v>11</v>
      </c>
      <c r="C800" t="s">
        <v>24</v>
      </c>
      <c r="D800" t="s">
        <v>25</v>
      </c>
      <c r="E800">
        <v>2</v>
      </c>
      <c r="F800" t="s">
        <v>29</v>
      </c>
      <c r="G800" t="s">
        <v>15</v>
      </c>
      <c r="H800" t="s">
        <v>16</v>
      </c>
      <c r="I800">
        <v>0</v>
      </c>
      <c r="J800" s="23">
        <v>2505918</v>
      </c>
      <c r="K800">
        <v>5011836</v>
      </c>
    </row>
    <row r="801" spans="1:11" ht="15" customHeight="1" x14ac:dyDescent="0.3">
      <c r="A801" t="s">
        <v>18</v>
      </c>
      <c r="B801" t="s">
        <v>11</v>
      </c>
      <c r="C801" t="s">
        <v>24</v>
      </c>
      <c r="D801" t="s">
        <v>28</v>
      </c>
      <c r="E801">
        <v>13</v>
      </c>
      <c r="F801" t="s">
        <v>40</v>
      </c>
      <c r="G801" t="s">
        <v>15</v>
      </c>
      <c r="H801" t="s">
        <v>16</v>
      </c>
      <c r="I801">
        <v>0</v>
      </c>
      <c r="J801" s="23">
        <v>511824</v>
      </c>
      <c r="K801">
        <v>6653712</v>
      </c>
    </row>
    <row r="802" spans="1:11" ht="15" customHeight="1" x14ac:dyDescent="0.3">
      <c r="A802" t="s">
        <v>10</v>
      </c>
      <c r="B802" t="s">
        <v>19</v>
      </c>
      <c r="C802" t="s">
        <v>12</v>
      </c>
      <c r="D802" t="s">
        <v>20</v>
      </c>
      <c r="E802">
        <v>2</v>
      </c>
      <c r="F802"/>
      <c r="G802" t="s">
        <v>31</v>
      </c>
      <c r="H802" t="s">
        <v>16</v>
      </c>
      <c r="I802">
        <v>1</v>
      </c>
      <c r="J802" s="23">
        <v>-290</v>
      </c>
      <c r="K802" t="s">
        <v>17</v>
      </c>
    </row>
    <row r="803" spans="1:11" ht="15" customHeight="1" x14ac:dyDescent="0.3">
      <c r="A803" t="s">
        <v>18</v>
      </c>
      <c r="B803" t="s">
        <v>19</v>
      </c>
      <c r="C803" t="s">
        <v>24</v>
      </c>
      <c r="D803" t="s">
        <v>28</v>
      </c>
      <c r="E803">
        <v>12</v>
      </c>
      <c r="F803"/>
      <c r="G803" t="s">
        <v>15</v>
      </c>
      <c r="H803" t="s">
        <v>32</v>
      </c>
      <c r="I803">
        <v>1</v>
      </c>
      <c r="J803" s="23">
        <v>574631</v>
      </c>
      <c r="K803">
        <v>6895572</v>
      </c>
    </row>
    <row r="804" spans="1:11" ht="15" customHeight="1" x14ac:dyDescent="0.3">
      <c r="A804" t="s">
        <v>18</v>
      </c>
      <c r="B804" t="s">
        <v>19</v>
      </c>
      <c r="C804" t="s">
        <v>12</v>
      </c>
      <c r="D804" t="s">
        <v>20</v>
      </c>
      <c r="E804">
        <v>33</v>
      </c>
      <c r="F804"/>
      <c r="G804" t="s">
        <v>15</v>
      </c>
      <c r="H804" t="s">
        <v>32</v>
      </c>
      <c r="I804">
        <v>1</v>
      </c>
      <c r="J804" s="23">
        <v>-615</v>
      </c>
      <c r="K804" t="s">
        <v>17</v>
      </c>
    </row>
    <row r="805" spans="1:11" ht="15" customHeight="1" x14ac:dyDescent="0.3">
      <c r="A805" t="s">
        <v>22</v>
      </c>
      <c r="B805" t="s">
        <v>11</v>
      </c>
      <c r="C805" t="s">
        <v>24</v>
      </c>
      <c r="D805" t="s">
        <v>25</v>
      </c>
      <c r="E805">
        <v>1</v>
      </c>
      <c r="F805" t="s">
        <v>45</v>
      </c>
      <c r="G805" t="s">
        <v>15</v>
      </c>
      <c r="H805" t="s">
        <v>16</v>
      </c>
      <c r="I805">
        <v>0</v>
      </c>
      <c r="J805" s="23">
        <v>1996</v>
      </c>
      <c r="K805">
        <v>1996</v>
      </c>
    </row>
    <row r="806" spans="1:11" ht="15" customHeight="1" x14ac:dyDescent="0.3">
      <c r="A806" t="s">
        <v>10</v>
      </c>
      <c r="B806" t="s">
        <v>19</v>
      </c>
      <c r="C806" t="s">
        <v>12</v>
      </c>
      <c r="D806" t="s">
        <v>20</v>
      </c>
      <c r="E806">
        <v>41</v>
      </c>
      <c r="F806"/>
      <c r="G806" t="s">
        <v>15</v>
      </c>
      <c r="H806" t="s">
        <v>16</v>
      </c>
      <c r="I806">
        <v>0</v>
      </c>
      <c r="J806" s="23">
        <v>-135826</v>
      </c>
      <c r="K806" t="s">
        <v>17</v>
      </c>
    </row>
    <row r="807" spans="1:11" ht="15" customHeight="1" x14ac:dyDescent="0.3">
      <c r="A807" t="s">
        <v>18</v>
      </c>
      <c r="B807" t="s">
        <v>11</v>
      </c>
      <c r="C807" t="s">
        <v>12</v>
      </c>
      <c r="D807" t="s">
        <v>25</v>
      </c>
      <c r="E807">
        <v>6</v>
      </c>
      <c r="F807" t="s">
        <v>35</v>
      </c>
      <c r="G807" t="s">
        <v>15</v>
      </c>
      <c r="H807" t="s">
        <v>16</v>
      </c>
      <c r="I807">
        <v>0</v>
      </c>
      <c r="J807" s="23">
        <v>-250</v>
      </c>
      <c r="K807" t="s">
        <v>17</v>
      </c>
    </row>
    <row r="808" spans="1:11" ht="15" customHeight="1" x14ac:dyDescent="0.3">
      <c r="A808" t="s">
        <v>18</v>
      </c>
      <c r="B808" t="s">
        <v>11</v>
      </c>
      <c r="C808" t="s">
        <v>24</v>
      </c>
      <c r="D808" t="s">
        <v>13</v>
      </c>
      <c r="E808">
        <v>3</v>
      </c>
      <c r="F808" t="s">
        <v>40</v>
      </c>
      <c r="G808" t="s">
        <v>15</v>
      </c>
      <c r="H808" t="s">
        <v>16</v>
      </c>
      <c r="I808">
        <v>0</v>
      </c>
      <c r="J808" s="23">
        <v>18827605</v>
      </c>
      <c r="K808">
        <v>56482815</v>
      </c>
    </row>
    <row r="809" spans="1:11" ht="15" customHeight="1" x14ac:dyDescent="0.3">
      <c r="A809" t="s">
        <v>22</v>
      </c>
      <c r="B809" t="s">
        <v>11</v>
      </c>
      <c r="C809" t="s">
        <v>24</v>
      </c>
      <c r="D809" t="s">
        <v>28</v>
      </c>
      <c r="E809">
        <v>20</v>
      </c>
      <c r="F809" t="s">
        <v>39</v>
      </c>
      <c r="G809" t="s">
        <v>15</v>
      </c>
      <c r="H809" t="s">
        <v>16</v>
      </c>
      <c r="I809">
        <v>0</v>
      </c>
      <c r="J809" s="23">
        <v>131884</v>
      </c>
      <c r="K809">
        <v>2637680</v>
      </c>
    </row>
    <row r="810" spans="1:11" ht="15" customHeight="1" x14ac:dyDescent="0.3">
      <c r="A810" t="s">
        <v>22</v>
      </c>
      <c r="B810" t="s">
        <v>11</v>
      </c>
      <c r="C810" t="s">
        <v>12</v>
      </c>
      <c r="D810" t="s">
        <v>13</v>
      </c>
      <c r="E810">
        <v>5</v>
      </c>
      <c r="F810" t="s">
        <v>26</v>
      </c>
      <c r="G810" t="s">
        <v>15</v>
      </c>
      <c r="H810" t="s">
        <v>16</v>
      </c>
      <c r="I810">
        <v>0</v>
      </c>
      <c r="J810" s="23">
        <v>-119093</v>
      </c>
      <c r="K810" t="s">
        <v>17</v>
      </c>
    </row>
    <row r="811" spans="1:11" ht="15" customHeight="1" x14ac:dyDescent="0.3">
      <c r="A811" t="s">
        <v>10</v>
      </c>
      <c r="B811" t="s">
        <v>11</v>
      </c>
      <c r="C811" t="s">
        <v>12</v>
      </c>
      <c r="D811" t="s">
        <v>25</v>
      </c>
      <c r="E811">
        <v>4</v>
      </c>
      <c r="F811" t="s">
        <v>37</v>
      </c>
      <c r="G811" t="s">
        <v>15</v>
      </c>
      <c r="H811" t="s">
        <v>16</v>
      </c>
      <c r="I811">
        <v>0</v>
      </c>
      <c r="J811" s="23">
        <v>-14995</v>
      </c>
      <c r="K811" t="s">
        <v>17</v>
      </c>
    </row>
    <row r="812" spans="1:11" ht="15" customHeight="1" x14ac:dyDescent="0.3">
      <c r="A812" t="s">
        <v>22</v>
      </c>
      <c r="B812" t="s">
        <v>11</v>
      </c>
      <c r="C812" t="s">
        <v>12</v>
      </c>
      <c r="D812" t="s">
        <v>28</v>
      </c>
      <c r="E812">
        <v>4</v>
      </c>
      <c r="F812" t="s">
        <v>34</v>
      </c>
      <c r="G812" t="s">
        <v>15</v>
      </c>
      <c r="H812" t="s">
        <v>16</v>
      </c>
      <c r="I812">
        <v>0</v>
      </c>
      <c r="J812" s="23">
        <v>-5969426</v>
      </c>
      <c r="K812" t="s">
        <v>17</v>
      </c>
    </row>
    <row r="813" spans="1:11" ht="15" customHeight="1" x14ac:dyDescent="0.3">
      <c r="A813" t="s">
        <v>18</v>
      </c>
      <c r="B813" t="s">
        <v>11</v>
      </c>
      <c r="C813" t="s">
        <v>24</v>
      </c>
      <c r="D813" t="s">
        <v>25</v>
      </c>
      <c r="E813">
        <v>6</v>
      </c>
      <c r="F813" t="s">
        <v>40</v>
      </c>
      <c r="G813" t="s">
        <v>15</v>
      </c>
      <c r="H813" t="s">
        <v>16</v>
      </c>
      <c r="I813">
        <v>0</v>
      </c>
      <c r="J813" s="23">
        <v>1402838</v>
      </c>
      <c r="K813">
        <v>8417028</v>
      </c>
    </row>
    <row r="814" spans="1:11" ht="15" customHeight="1" x14ac:dyDescent="0.3">
      <c r="A814" t="s">
        <v>10</v>
      </c>
      <c r="B814" t="s">
        <v>11</v>
      </c>
      <c r="C814" t="s">
        <v>12</v>
      </c>
      <c r="D814" t="s">
        <v>25</v>
      </c>
      <c r="E814">
        <v>3</v>
      </c>
      <c r="F814" t="s">
        <v>37</v>
      </c>
      <c r="G814" t="s">
        <v>15</v>
      </c>
      <c r="H814" t="s">
        <v>16</v>
      </c>
      <c r="I814">
        <v>0</v>
      </c>
      <c r="J814" s="23">
        <v>-13120</v>
      </c>
      <c r="K814" t="s">
        <v>17</v>
      </c>
    </row>
    <row r="815" spans="1:11" ht="15" customHeight="1" x14ac:dyDescent="0.3">
      <c r="A815" t="s">
        <v>18</v>
      </c>
      <c r="B815" t="s">
        <v>11</v>
      </c>
      <c r="C815" t="s">
        <v>24</v>
      </c>
      <c r="D815" t="s">
        <v>13</v>
      </c>
      <c r="E815">
        <v>6</v>
      </c>
      <c r="F815" t="s">
        <v>30</v>
      </c>
      <c r="G815" t="s">
        <v>15</v>
      </c>
      <c r="H815" t="s">
        <v>16</v>
      </c>
      <c r="I815">
        <v>0</v>
      </c>
      <c r="J815" s="23">
        <v>23471596</v>
      </c>
      <c r="K815">
        <v>140829576</v>
      </c>
    </row>
    <row r="816" spans="1:11" ht="15" customHeight="1" x14ac:dyDescent="0.3">
      <c r="A816" t="s">
        <v>10</v>
      </c>
      <c r="B816" t="s">
        <v>11</v>
      </c>
      <c r="C816" t="s">
        <v>24</v>
      </c>
      <c r="D816" t="s">
        <v>28</v>
      </c>
      <c r="E816">
        <v>9</v>
      </c>
      <c r="F816" t="s">
        <v>33</v>
      </c>
      <c r="G816" t="s">
        <v>15</v>
      </c>
      <c r="H816" t="s">
        <v>32</v>
      </c>
      <c r="I816">
        <v>1</v>
      </c>
      <c r="J816" s="23">
        <v>553379</v>
      </c>
      <c r="K816">
        <v>4980411</v>
      </c>
    </row>
    <row r="817" spans="1:11" ht="15" customHeight="1" x14ac:dyDescent="0.3">
      <c r="A817" t="s">
        <v>18</v>
      </c>
      <c r="B817" t="s">
        <v>11</v>
      </c>
      <c r="C817" t="s">
        <v>12</v>
      </c>
      <c r="D817" t="s">
        <v>28</v>
      </c>
      <c r="E817">
        <v>6</v>
      </c>
      <c r="F817" t="s">
        <v>39</v>
      </c>
      <c r="G817" t="s">
        <v>15</v>
      </c>
      <c r="H817" t="s">
        <v>16</v>
      </c>
      <c r="I817">
        <v>0</v>
      </c>
      <c r="J817" s="23">
        <v>-8788</v>
      </c>
      <c r="K817" t="s">
        <v>17</v>
      </c>
    </row>
    <row r="818" spans="1:11" ht="15" customHeight="1" x14ac:dyDescent="0.3">
      <c r="A818" t="s">
        <v>10</v>
      </c>
      <c r="B818" t="s">
        <v>11</v>
      </c>
      <c r="C818" t="s">
        <v>24</v>
      </c>
      <c r="D818" t="s">
        <v>25</v>
      </c>
      <c r="E818">
        <v>2</v>
      </c>
      <c r="F818" t="s">
        <v>27</v>
      </c>
      <c r="G818" t="s">
        <v>15</v>
      </c>
      <c r="H818" t="s">
        <v>16</v>
      </c>
      <c r="I818">
        <v>0</v>
      </c>
      <c r="J818" s="23">
        <v>88202</v>
      </c>
      <c r="K818">
        <v>176404</v>
      </c>
    </row>
    <row r="819" spans="1:11" ht="15" customHeight="1" x14ac:dyDescent="0.3">
      <c r="A819" t="s">
        <v>22</v>
      </c>
      <c r="B819" t="s">
        <v>19</v>
      </c>
      <c r="C819" t="s">
        <v>24</v>
      </c>
      <c r="D819" t="s">
        <v>28</v>
      </c>
      <c r="E819">
        <v>34</v>
      </c>
      <c r="F819"/>
      <c r="G819" t="s">
        <v>15</v>
      </c>
      <c r="H819" t="s">
        <v>16</v>
      </c>
      <c r="I819">
        <v>0</v>
      </c>
      <c r="J819" s="23">
        <v>32484</v>
      </c>
      <c r="K819">
        <v>1104456</v>
      </c>
    </row>
    <row r="820" spans="1:11" ht="15" customHeight="1" x14ac:dyDescent="0.3">
      <c r="A820" t="s">
        <v>10</v>
      </c>
      <c r="B820" t="s">
        <v>19</v>
      </c>
      <c r="C820" t="s">
        <v>24</v>
      </c>
      <c r="D820" t="s">
        <v>20</v>
      </c>
      <c r="E820">
        <v>40</v>
      </c>
      <c r="F820"/>
      <c r="G820" t="s">
        <v>31</v>
      </c>
      <c r="H820" t="s">
        <v>16</v>
      </c>
      <c r="I820">
        <v>1</v>
      </c>
      <c r="J820" s="23">
        <v>953897</v>
      </c>
      <c r="K820">
        <v>38155880</v>
      </c>
    </row>
    <row r="821" spans="1:11" ht="15" customHeight="1" x14ac:dyDescent="0.3">
      <c r="A821" t="s">
        <v>22</v>
      </c>
      <c r="B821" t="s">
        <v>11</v>
      </c>
      <c r="C821" t="s">
        <v>24</v>
      </c>
      <c r="D821" t="s">
        <v>25</v>
      </c>
      <c r="E821">
        <v>6</v>
      </c>
      <c r="F821" t="s">
        <v>29</v>
      </c>
      <c r="G821" t="s">
        <v>15</v>
      </c>
      <c r="H821" t="s">
        <v>16</v>
      </c>
      <c r="I821">
        <v>0</v>
      </c>
      <c r="J821" s="23">
        <v>248018</v>
      </c>
      <c r="K821">
        <v>1488108</v>
      </c>
    </row>
    <row r="822" spans="1:11" ht="15" customHeight="1" x14ac:dyDescent="0.3">
      <c r="A822" t="s">
        <v>10</v>
      </c>
      <c r="B822" t="s">
        <v>11</v>
      </c>
      <c r="C822" t="s">
        <v>12</v>
      </c>
      <c r="D822" t="s">
        <v>13</v>
      </c>
      <c r="E822">
        <v>0</v>
      </c>
      <c r="F822" t="s">
        <v>45</v>
      </c>
      <c r="G822" t="s">
        <v>15</v>
      </c>
      <c r="H822" t="s">
        <v>16</v>
      </c>
      <c r="I822">
        <v>0</v>
      </c>
      <c r="J822" s="23">
        <v>-3928</v>
      </c>
      <c r="K822" t="s">
        <v>17</v>
      </c>
    </row>
    <row r="823" spans="1:11" ht="15" customHeight="1" x14ac:dyDescent="0.3">
      <c r="A823" t="s">
        <v>10</v>
      </c>
      <c r="B823" t="s">
        <v>19</v>
      </c>
      <c r="C823" t="s">
        <v>12</v>
      </c>
      <c r="D823" t="s">
        <v>20</v>
      </c>
      <c r="E823">
        <v>45</v>
      </c>
      <c r="F823"/>
      <c r="G823" t="s">
        <v>15</v>
      </c>
      <c r="H823" t="s">
        <v>16</v>
      </c>
      <c r="I823">
        <v>0</v>
      </c>
      <c r="J823" s="23">
        <v>-9744</v>
      </c>
      <c r="K823" t="s">
        <v>17</v>
      </c>
    </row>
    <row r="824" spans="1:11" ht="15" customHeight="1" x14ac:dyDescent="0.3">
      <c r="A824" t="s">
        <v>18</v>
      </c>
      <c r="B824" t="s">
        <v>11</v>
      </c>
      <c r="C824" t="s">
        <v>12</v>
      </c>
      <c r="D824" t="s">
        <v>28</v>
      </c>
      <c r="E824">
        <v>8</v>
      </c>
      <c r="F824" t="s">
        <v>34</v>
      </c>
      <c r="G824" t="s">
        <v>15</v>
      </c>
      <c r="H824" t="s">
        <v>16</v>
      </c>
      <c r="I824">
        <v>0</v>
      </c>
      <c r="J824" s="23">
        <v>-26876</v>
      </c>
      <c r="K824" t="s">
        <v>17</v>
      </c>
    </row>
    <row r="825" spans="1:11" ht="15" customHeight="1" x14ac:dyDescent="0.3">
      <c r="A825" t="s">
        <v>18</v>
      </c>
      <c r="B825" t="s">
        <v>19</v>
      </c>
      <c r="C825" t="s">
        <v>12</v>
      </c>
      <c r="D825" t="s">
        <v>28</v>
      </c>
      <c r="E825">
        <v>4</v>
      </c>
      <c r="F825"/>
      <c r="G825" t="s">
        <v>15</v>
      </c>
      <c r="H825" t="s">
        <v>16</v>
      </c>
      <c r="I825">
        <v>0</v>
      </c>
      <c r="J825" s="23">
        <v>-21747</v>
      </c>
      <c r="K825" t="s">
        <v>17</v>
      </c>
    </row>
    <row r="826" spans="1:11" ht="15" customHeight="1" x14ac:dyDescent="0.3">
      <c r="A826" t="s">
        <v>10</v>
      </c>
      <c r="B826" t="s">
        <v>11</v>
      </c>
      <c r="C826" t="s">
        <v>12</v>
      </c>
      <c r="D826" t="s">
        <v>25</v>
      </c>
      <c r="E826">
        <v>0</v>
      </c>
      <c r="F826" t="s">
        <v>41</v>
      </c>
      <c r="G826" t="s">
        <v>15</v>
      </c>
      <c r="H826" t="s">
        <v>16</v>
      </c>
      <c r="I826">
        <v>0</v>
      </c>
      <c r="J826" s="23">
        <v>-41</v>
      </c>
      <c r="K826" t="s">
        <v>17</v>
      </c>
    </row>
    <row r="827" spans="1:11" ht="15" customHeight="1" x14ac:dyDescent="0.3">
      <c r="A827" t="s">
        <v>18</v>
      </c>
      <c r="B827" t="s">
        <v>19</v>
      </c>
      <c r="C827" t="s">
        <v>12</v>
      </c>
      <c r="D827" t="s">
        <v>20</v>
      </c>
      <c r="E827">
        <v>45</v>
      </c>
      <c r="F827"/>
      <c r="G827" t="s">
        <v>15</v>
      </c>
      <c r="H827" t="s">
        <v>16</v>
      </c>
      <c r="I827">
        <v>0</v>
      </c>
      <c r="J827" s="23">
        <v>-1812</v>
      </c>
      <c r="K827" t="s">
        <v>17</v>
      </c>
    </row>
    <row r="828" spans="1:11" ht="15" customHeight="1" x14ac:dyDescent="0.3">
      <c r="A828" t="s">
        <v>22</v>
      </c>
      <c r="B828" t="s">
        <v>11</v>
      </c>
      <c r="C828" t="s">
        <v>24</v>
      </c>
      <c r="D828" t="s">
        <v>13</v>
      </c>
      <c r="E828">
        <v>2</v>
      </c>
      <c r="F828" t="s">
        <v>40</v>
      </c>
      <c r="G828" t="s">
        <v>15</v>
      </c>
      <c r="H828" t="s">
        <v>16</v>
      </c>
      <c r="I828">
        <v>0</v>
      </c>
      <c r="J828" s="23">
        <v>3761340</v>
      </c>
      <c r="K828">
        <v>7522680</v>
      </c>
    </row>
    <row r="829" spans="1:11" ht="15" customHeight="1" x14ac:dyDescent="0.3">
      <c r="A829" t="s">
        <v>18</v>
      </c>
      <c r="B829" t="s">
        <v>11</v>
      </c>
      <c r="C829" t="s">
        <v>12</v>
      </c>
      <c r="D829" t="s">
        <v>25</v>
      </c>
      <c r="E829">
        <v>-4</v>
      </c>
      <c r="F829" t="s">
        <v>21</v>
      </c>
      <c r="G829" t="s">
        <v>15</v>
      </c>
      <c r="H829" t="s">
        <v>16</v>
      </c>
      <c r="I829">
        <v>0</v>
      </c>
      <c r="J829" s="23">
        <v>-2</v>
      </c>
      <c r="K829" t="s">
        <v>17</v>
      </c>
    </row>
    <row r="830" spans="1:11" ht="15" customHeight="1" x14ac:dyDescent="0.3">
      <c r="A830" t="s">
        <v>10</v>
      </c>
      <c r="B830" t="s">
        <v>11</v>
      </c>
      <c r="C830" t="s">
        <v>12</v>
      </c>
      <c r="D830" t="s">
        <v>28</v>
      </c>
      <c r="E830">
        <v>1</v>
      </c>
      <c r="F830" t="s">
        <v>29</v>
      </c>
      <c r="G830" t="s">
        <v>15</v>
      </c>
      <c r="H830" t="s">
        <v>16</v>
      </c>
      <c r="I830">
        <v>0</v>
      </c>
      <c r="J830" s="23">
        <v>-2595</v>
      </c>
      <c r="K830" t="s">
        <v>17</v>
      </c>
    </row>
    <row r="831" spans="1:11" ht="15" customHeight="1" x14ac:dyDescent="0.3">
      <c r="A831" t="s">
        <v>10</v>
      </c>
      <c r="B831" t="s">
        <v>11</v>
      </c>
      <c r="C831" t="s">
        <v>12</v>
      </c>
      <c r="D831" t="s">
        <v>13</v>
      </c>
      <c r="E831">
        <v>0</v>
      </c>
      <c r="F831" t="s">
        <v>34</v>
      </c>
      <c r="G831" t="s">
        <v>15</v>
      </c>
      <c r="H831" t="s">
        <v>16</v>
      </c>
      <c r="I831">
        <v>0</v>
      </c>
      <c r="J831" s="23">
        <v>-1221168</v>
      </c>
      <c r="K831" t="s">
        <v>17</v>
      </c>
    </row>
    <row r="832" spans="1:11" ht="15" customHeight="1" x14ac:dyDescent="0.3">
      <c r="A832" t="s">
        <v>10</v>
      </c>
      <c r="B832" t="s">
        <v>19</v>
      </c>
      <c r="C832" t="s">
        <v>24</v>
      </c>
      <c r="D832" t="s">
        <v>20</v>
      </c>
      <c r="E832">
        <v>17</v>
      </c>
      <c r="F832"/>
      <c r="G832" t="s">
        <v>31</v>
      </c>
      <c r="H832" t="s">
        <v>16</v>
      </c>
      <c r="I832">
        <v>1</v>
      </c>
      <c r="J832" s="23">
        <v>556607</v>
      </c>
      <c r="K832">
        <v>9462319</v>
      </c>
    </row>
    <row r="833" spans="1:11" ht="15" customHeight="1" x14ac:dyDescent="0.3">
      <c r="A833" t="s">
        <v>18</v>
      </c>
      <c r="B833" t="s">
        <v>11</v>
      </c>
      <c r="C833" t="s">
        <v>24</v>
      </c>
      <c r="D833" t="s">
        <v>28</v>
      </c>
      <c r="E833">
        <v>7</v>
      </c>
      <c r="F833" t="s">
        <v>27</v>
      </c>
      <c r="G833" t="s">
        <v>15</v>
      </c>
      <c r="H833" t="s">
        <v>16</v>
      </c>
      <c r="I833">
        <v>0</v>
      </c>
      <c r="J833" s="23">
        <v>115838</v>
      </c>
      <c r="K833">
        <v>810866</v>
      </c>
    </row>
    <row r="834" spans="1:11" ht="15" customHeight="1" x14ac:dyDescent="0.3">
      <c r="A834" t="s">
        <v>10</v>
      </c>
      <c r="B834" t="s">
        <v>11</v>
      </c>
      <c r="C834" t="s">
        <v>12</v>
      </c>
      <c r="D834" t="s">
        <v>13</v>
      </c>
      <c r="E834">
        <v>1</v>
      </c>
      <c r="F834" t="s">
        <v>26</v>
      </c>
      <c r="G834" t="s">
        <v>15</v>
      </c>
      <c r="H834" t="s">
        <v>16</v>
      </c>
      <c r="I834">
        <v>0</v>
      </c>
      <c r="J834" s="23">
        <v>-57797</v>
      </c>
      <c r="K834" t="s">
        <v>17</v>
      </c>
    </row>
    <row r="835" spans="1:11" ht="15" customHeight="1" x14ac:dyDescent="0.3">
      <c r="A835" t="s">
        <v>18</v>
      </c>
      <c r="B835" t="s">
        <v>11</v>
      </c>
      <c r="C835" t="s">
        <v>12</v>
      </c>
      <c r="D835" t="s">
        <v>13</v>
      </c>
      <c r="E835">
        <v>10</v>
      </c>
      <c r="F835" t="s">
        <v>23</v>
      </c>
      <c r="G835" t="s">
        <v>15</v>
      </c>
      <c r="H835" t="s">
        <v>16</v>
      </c>
      <c r="I835">
        <v>0</v>
      </c>
      <c r="J835" s="23">
        <v>-4348</v>
      </c>
      <c r="K835" t="s">
        <v>17</v>
      </c>
    </row>
    <row r="836" spans="1:11" ht="15" customHeight="1" x14ac:dyDescent="0.3">
      <c r="A836" t="s">
        <v>18</v>
      </c>
      <c r="B836" t="s">
        <v>19</v>
      </c>
      <c r="C836" t="s">
        <v>24</v>
      </c>
      <c r="D836" t="s">
        <v>28</v>
      </c>
      <c r="E836">
        <v>20</v>
      </c>
      <c r="F836"/>
      <c r="G836" t="s">
        <v>15</v>
      </c>
      <c r="H836" t="s">
        <v>16</v>
      </c>
      <c r="I836">
        <v>0</v>
      </c>
      <c r="J836" s="23">
        <v>836814</v>
      </c>
      <c r="K836">
        <v>16736280</v>
      </c>
    </row>
    <row r="837" spans="1:11" ht="15" customHeight="1" x14ac:dyDescent="0.3">
      <c r="A837" t="s">
        <v>10</v>
      </c>
      <c r="B837" t="s">
        <v>11</v>
      </c>
      <c r="C837" t="s">
        <v>24</v>
      </c>
      <c r="D837" t="s">
        <v>28</v>
      </c>
      <c r="E837">
        <v>11</v>
      </c>
      <c r="F837" t="s">
        <v>29</v>
      </c>
      <c r="G837" t="s">
        <v>15</v>
      </c>
      <c r="H837" t="s">
        <v>32</v>
      </c>
      <c r="I837">
        <v>1</v>
      </c>
      <c r="J837" s="23">
        <v>1326129</v>
      </c>
      <c r="K837">
        <v>14587419</v>
      </c>
    </row>
    <row r="838" spans="1:11" ht="15" customHeight="1" x14ac:dyDescent="0.3">
      <c r="A838" t="s">
        <v>18</v>
      </c>
      <c r="B838" t="s">
        <v>11</v>
      </c>
      <c r="C838" t="s">
        <v>24</v>
      </c>
      <c r="D838" t="s">
        <v>13</v>
      </c>
      <c r="E838">
        <v>3</v>
      </c>
      <c r="F838" t="s">
        <v>35</v>
      </c>
      <c r="G838" t="s">
        <v>15</v>
      </c>
      <c r="H838" t="s">
        <v>16</v>
      </c>
      <c r="I838">
        <v>0</v>
      </c>
      <c r="J838" s="23">
        <v>23534880</v>
      </c>
      <c r="K838">
        <v>70604640</v>
      </c>
    </row>
    <row r="839" spans="1:11" ht="15" customHeight="1" x14ac:dyDescent="0.3">
      <c r="A839" t="s">
        <v>22</v>
      </c>
      <c r="B839" t="s">
        <v>11</v>
      </c>
      <c r="C839" t="s">
        <v>12</v>
      </c>
      <c r="D839" t="s">
        <v>28</v>
      </c>
      <c r="E839">
        <v>-4</v>
      </c>
      <c r="F839" t="s">
        <v>29</v>
      </c>
      <c r="G839" t="s">
        <v>31</v>
      </c>
      <c r="H839" t="s">
        <v>16</v>
      </c>
      <c r="I839">
        <v>1</v>
      </c>
      <c r="J839" s="23">
        <v>-20650</v>
      </c>
      <c r="K839" t="s">
        <v>17</v>
      </c>
    </row>
    <row r="840" spans="1:11" ht="15" customHeight="1" x14ac:dyDescent="0.3">
      <c r="A840" t="s">
        <v>10</v>
      </c>
      <c r="B840" t="s">
        <v>11</v>
      </c>
      <c r="C840" t="s">
        <v>12</v>
      </c>
      <c r="D840" t="s">
        <v>28</v>
      </c>
      <c r="E840">
        <v>12</v>
      </c>
      <c r="F840" t="s">
        <v>23</v>
      </c>
      <c r="G840" t="s">
        <v>15</v>
      </c>
      <c r="H840" t="s">
        <v>16</v>
      </c>
      <c r="I840">
        <v>0</v>
      </c>
      <c r="J840" s="23">
        <v>-60569</v>
      </c>
      <c r="K840" t="s">
        <v>17</v>
      </c>
    </row>
    <row r="841" spans="1:11" ht="15" customHeight="1" x14ac:dyDescent="0.3">
      <c r="A841" t="s">
        <v>22</v>
      </c>
      <c r="B841" t="s">
        <v>11</v>
      </c>
      <c r="C841" t="s">
        <v>24</v>
      </c>
      <c r="D841" t="s">
        <v>25</v>
      </c>
      <c r="E841">
        <v>0</v>
      </c>
      <c r="F841" t="s">
        <v>30</v>
      </c>
      <c r="G841" t="s">
        <v>15</v>
      </c>
      <c r="H841" t="s">
        <v>16</v>
      </c>
      <c r="I841">
        <v>0</v>
      </c>
      <c r="J841" s="23">
        <v>26367</v>
      </c>
      <c r="K841" t="s">
        <v>17</v>
      </c>
    </row>
    <row r="842" spans="1:11" ht="15" customHeight="1" x14ac:dyDescent="0.3">
      <c r="A842" t="s">
        <v>18</v>
      </c>
      <c r="B842" t="s">
        <v>11</v>
      </c>
      <c r="C842" t="s">
        <v>24</v>
      </c>
      <c r="D842" t="s">
        <v>13</v>
      </c>
      <c r="E842">
        <v>0</v>
      </c>
      <c r="F842" t="s">
        <v>33</v>
      </c>
      <c r="G842" t="s">
        <v>15</v>
      </c>
      <c r="H842" t="s">
        <v>16</v>
      </c>
      <c r="I842">
        <v>0</v>
      </c>
      <c r="J842" s="23">
        <v>47244992</v>
      </c>
      <c r="K842" t="s">
        <v>17</v>
      </c>
    </row>
    <row r="843" spans="1:11" ht="15" customHeight="1" x14ac:dyDescent="0.3">
      <c r="A843" t="s">
        <v>18</v>
      </c>
      <c r="B843" t="s">
        <v>11</v>
      </c>
      <c r="C843" t="s">
        <v>24</v>
      </c>
      <c r="D843" t="s">
        <v>13</v>
      </c>
      <c r="E843">
        <v>-1</v>
      </c>
      <c r="F843" t="s">
        <v>40</v>
      </c>
      <c r="G843" t="s">
        <v>15</v>
      </c>
      <c r="H843" t="s">
        <v>16</v>
      </c>
      <c r="I843">
        <v>0</v>
      </c>
      <c r="J843" s="23">
        <v>47178656</v>
      </c>
      <c r="K843" t="s">
        <v>17</v>
      </c>
    </row>
    <row r="844" spans="1:11" ht="15" customHeight="1" x14ac:dyDescent="0.3">
      <c r="A844" t="s">
        <v>18</v>
      </c>
      <c r="B844" t="s">
        <v>11</v>
      </c>
      <c r="C844" t="s">
        <v>12</v>
      </c>
      <c r="D844" t="s">
        <v>25</v>
      </c>
      <c r="E844">
        <v>6</v>
      </c>
      <c r="F844" t="s">
        <v>40</v>
      </c>
      <c r="G844" t="s">
        <v>15</v>
      </c>
      <c r="H844" t="s">
        <v>16</v>
      </c>
      <c r="I844">
        <v>0</v>
      </c>
      <c r="J844" s="23">
        <v>-5831</v>
      </c>
      <c r="K844" t="s">
        <v>17</v>
      </c>
    </row>
    <row r="845" spans="1:11" ht="15" customHeight="1" x14ac:dyDescent="0.3">
      <c r="A845" t="s">
        <v>18</v>
      </c>
      <c r="B845" t="s">
        <v>11</v>
      </c>
      <c r="C845" t="s">
        <v>24</v>
      </c>
      <c r="D845" t="s">
        <v>25</v>
      </c>
      <c r="E845">
        <v>1</v>
      </c>
      <c r="F845" t="s">
        <v>37</v>
      </c>
      <c r="G845" t="s">
        <v>15</v>
      </c>
      <c r="H845" t="s">
        <v>16</v>
      </c>
      <c r="I845">
        <v>0</v>
      </c>
      <c r="J845" s="23">
        <v>205819</v>
      </c>
      <c r="K845">
        <v>205819</v>
      </c>
    </row>
    <row r="846" spans="1:11" ht="15" customHeight="1" x14ac:dyDescent="0.3">
      <c r="A846" t="s">
        <v>10</v>
      </c>
      <c r="B846" t="s">
        <v>19</v>
      </c>
      <c r="C846" t="s">
        <v>12</v>
      </c>
      <c r="D846" t="s">
        <v>28</v>
      </c>
      <c r="E846">
        <v>29</v>
      </c>
      <c r="F846"/>
      <c r="G846" t="s">
        <v>15</v>
      </c>
      <c r="H846" t="s">
        <v>16</v>
      </c>
      <c r="I846">
        <v>0</v>
      </c>
      <c r="J846" s="23">
        <v>-88584</v>
      </c>
      <c r="K846" t="s">
        <v>17</v>
      </c>
    </row>
    <row r="847" spans="1:11" ht="15" customHeight="1" x14ac:dyDescent="0.3">
      <c r="A847" t="s">
        <v>10</v>
      </c>
      <c r="B847" t="s">
        <v>11</v>
      </c>
      <c r="C847" t="s">
        <v>12</v>
      </c>
      <c r="D847" t="s">
        <v>25</v>
      </c>
      <c r="E847">
        <v>5</v>
      </c>
      <c r="F847" t="s">
        <v>39</v>
      </c>
      <c r="G847" t="s">
        <v>15</v>
      </c>
      <c r="H847" t="s">
        <v>16</v>
      </c>
      <c r="I847">
        <v>0</v>
      </c>
      <c r="J847" s="23">
        <v>-21388</v>
      </c>
      <c r="K847" t="s">
        <v>17</v>
      </c>
    </row>
    <row r="848" spans="1:11" ht="15" customHeight="1" x14ac:dyDescent="0.3">
      <c r="A848" t="s">
        <v>18</v>
      </c>
      <c r="B848" t="s">
        <v>11</v>
      </c>
      <c r="C848" t="s">
        <v>12</v>
      </c>
      <c r="D848" t="s">
        <v>28</v>
      </c>
      <c r="E848">
        <v>1</v>
      </c>
      <c r="F848" t="s">
        <v>33</v>
      </c>
      <c r="G848" t="s">
        <v>15</v>
      </c>
      <c r="H848" t="s">
        <v>32</v>
      </c>
      <c r="I848">
        <v>1</v>
      </c>
      <c r="J848" s="23">
        <v>-1874</v>
      </c>
      <c r="K848" t="s">
        <v>17</v>
      </c>
    </row>
    <row r="849" spans="1:11" ht="15" customHeight="1" x14ac:dyDescent="0.3">
      <c r="A849" t="s">
        <v>10</v>
      </c>
      <c r="B849" t="s">
        <v>11</v>
      </c>
      <c r="C849" t="s">
        <v>12</v>
      </c>
      <c r="D849" t="s">
        <v>28</v>
      </c>
      <c r="E849">
        <v>15</v>
      </c>
      <c r="F849" t="s">
        <v>38</v>
      </c>
      <c r="G849" t="s">
        <v>15</v>
      </c>
      <c r="H849" t="s">
        <v>16</v>
      </c>
      <c r="I849">
        <v>0</v>
      </c>
      <c r="J849" s="23">
        <v>-5753</v>
      </c>
      <c r="K849" t="s">
        <v>17</v>
      </c>
    </row>
    <row r="850" spans="1:11" ht="15" customHeight="1" x14ac:dyDescent="0.3">
      <c r="A850" t="s">
        <v>18</v>
      </c>
      <c r="B850" t="s">
        <v>19</v>
      </c>
      <c r="C850" t="s">
        <v>12</v>
      </c>
      <c r="D850" t="s">
        <v>20</v>
      </c>
      <c r="E850">
        <v>2</v>
      </c>
      <c r="F850"/>
      <c r="G850" t="s">
        <v>31</v>
      </c>
      <c r="H850" t="s">
        <v>16</v>
      </c>
      <c r="I850">
        <v>1</v>
      </c>
      <c r="J850" s="23">
        <v>-129</v>
      </c>
      <c r="K850" t="s">
        <v>17</v>
      </c>
    </row>
    <row r="851" spans="1:11" ht="15" customHeight="1" x14ac:dyDescent="0.3">
      <c r="A851" t="s">
        <v>22</v>
      </c>
      <c r="B851" t="s">
        <v>11</v>
      </c>
      <c r="C851" t="s">
        <v>24</v>
      </c>
      <c r="D851" t="s">
        <v>28</v>
      </c>
      <c r="E851">
        <v>-1</v>
      </c>
      <c r="F851" t="s">
        <v>29</v>
      </c>
      <c r="G851" t="s">
        <v>15</v>
      </c>
      <c r="H851" t="s">
        <v>32</v>
      </c>
      <c r="I851">
        <v>1</v>
      </c>
      <c r="J851" s="23">
        <v>317</v>
      </c>
      <c r="K851" t="s">
        <v>17</v>
      </c>
    </row>
    <row r="852" spans="1:11" ht="15" customHeight="1" x14ac:dyDescent="0.3">
      <c r="A852" t="s">
        <v>18</v>
      </c>
      <c r="B852" t="s">
        <v>11</v>
      </c>
      <c r="C852" t="s">
        <v>12</v>
      </c>
      <c r="D852" t="s">
        <v>28</v>
      </c>
      <c r="E852">
        <v>1</v>
      </c>
      <c r="F852" t="s">
        <v>37</v>
      </c>
      <c r="G852" t="s">
        <v>15</v>
      </c>
      <c r="H852" t="s">
        <v>16</v>
      </c>
      <c r="I852">
        <v>0</v>
      </c>
      <c r="J852" s="23">
        <v>-25</v>
      </c>
      <c r="K852" t="s">
        <v>17</v>
      </c>
    </row>
    <row r="853" spans="1:11" ht="15" customHeight="1" x14ac:dyDescent="0.3">
      <c r="A853" t="s">
        <v>22</v>
      </c>
      <c r="B853" t="s">
        <v>11</v>
      </c>
      <c r="C853" t="s">
        <v>24</v>
      </c>
      <c r="D853" t="s">
        <v>28</v>
      </c>
      <c r="E853">
        <v>-1</v>
      </c>
      <c r="F853" t="s">
        <v>29</v>
      </c>
      <c r="G853" t="s">
        <v>15</v>
      </c>
      <c r="H853" t="s">
        <v>16</v>
      </c>
      <c r="I853">
        <v>0</v>
      </c>
      <c r="J853" s="23">
        <v>1781928</v>
      </c>
      <c r="K853" t="s">
        <v>17</v>
      </c>
    </row>
    <row r="854" spans="1:11" ht="15" customHeight="1" x14ac:dyDescent="0.3">
      <c r="A854" t="s">
        <v>18</v>
      </c>
      <c r="B854" t="s">
        <v>47</v>
      </c>
      <c r="C854" t="s">
        <v>12</v>
      </c>
      <c r="D854" t="s">
        <v>28</v>
      </c>
      <c r="E854">
        <v>3</v>
      </c>
      <c r="F854" t="s">
        <v>46</v>
      </c>
      <c r="G854" t="s">
        <v>15</v>
      </c>
      <c r="H854" t="s">
        <v>16</v>
      </c>
      <c r="I854">
        <v>0</v>
      </c>
      <c r="J854" s="23">
        <v>-16</v>
      </c>
      <c r="K854" t="s">
        <v>17</v>
      </c>
    </row>
    <row r="855" spans="1:11" ht="15" customHeight="1" x14ac:dyDescent="0.3">
      <c r="A855" t="s">
        <v>10</v>
      </c>
      <c r="B855" t="s">
        <v>11</v>
      </c>
      <c r="C855" t="s">
        <v>24</v>
      </c>
      <c r="D855" t="s">
        <v>25</v>
      </c>
      <c r="E855">
        <v>-1</v>
      </c>
      <c r="F855" t="s">
        <v>14</v>
      </c>
      <c r="G855" t="s">
        <v>15</v>
      </c>
      <c r="H855" t="s">
        <v>16</v>
      </c>
      <c r="I855">
        <v>0</v>
      </c>
      <c r="J855" s="23">
        <v>15016</v>
      </c>
      <c r="K855" t="s">
        <v>17</v>
      </c>
    </row>
    <row r="856" spans="1:11" ht="15" customHeight="1" x14ac:dyDescent="0.3">
      <c r="A856" t="s">
        <v>10</v>
      </c>
      <c r="B856" t="s">
        <v>11</v>
      </c>
      <c r="C856" t="s">
        <v>12</v>
      </c>
      <c r="D856" t="s">
        <v>13</v>
      </c>
      <c r="E856">
        <v>2</v>
      </c>
      <c r="F856" t="s">
        <v>39</v>
      </c>
      <c r="G856" t="s">
        <v>15</v>
      </c>
      <c r="H856" t="s">
        <v>16</v>
      </c>
      <c r="I856">
        <v>0</v>
      </c>
      <c r="J856" s="23">
        <v>-219536</v>
      </c>
      <c r="K856" t="s">
        <v>17</v>
      </c>
    </row>
    <row r="857" spans="1:11" ht="15" customHeight="1" x14ac:dyDescent="0.3">
      <c r="A857" t="s">
        <v>18</v>
      </c>
      <c r="B857" t="s">
        <v>11</v>
      </c>
      <c r="C857" t="s">
        <v>24</v>
      </c>
      <c r="D857" t="s">
        <v>28</v>
      </c>
      <c r="E857">
        <v>7</v>
      </c>
      <c r="F857" t="s">
        <v>29</v>
      </c>
      <c r="G857" t="s">
        <v>15</v>
      </c>
      <c r="H857" t="s">
        <v>16</v>
      </c>
      <c r="I857">
        <v>0</v>
      </c>
      <c r="J857" s="23">
        <v>797637</v>
      </c>
      <c r="K857">
        <v>5583459</v>
      </c>
    </row>
    <row r="858" spans="1:11" ht="15" customHeight="1" x14ac:dyDescent="0.3">
      <c r="A858" t="s">
        <v>10</v>
      </c>
      <c r="B858" t="s">
        <v>11</v>
      </c>
      <c r="C858" t="s">
        <v>24</v>
      </c>
      <c r="D858" t="s">
        <v>28</v>
      </c>
      <c r="E858">
        <v>0</v>
      </c>
      <c r="F858" t="s">
        <v>23</v>
      </c>
      <c r="G858" t="s">
        <v>15</v>
      </c>
      <c r="H858" t="s">
        <v>16</v>
      </c>
      <c r="I858">
        <v>0</v>
      </c>
      <c r="J858" s="23">
        <v>91048</v>
      </c>
      <c r="K858" t="s">
        <v>17</v>
      </c>
    </row>
    <row r="859" spans="1:11" ht="15" customHeight="1" x14ac:dyDescent="0.3">
      <c r="A859" t="s">
        <v>10</v>
      </c>
      <c r="B859" t="s">
        <v>19</v>
      </c>
      <c r="C859" t="s">
        <v>24</v>
      </c>
      <c r="D859" t="s">
        <v>20</v>
      </c>
      <c r="E859">
        <v>21</v>
      </c>
      <c r="F859"/>
      <c r="G859" t="s">
        <v>15</v>
      </c>
      <c r="H859" t="s">
        <v>16</v>
      </c>
      <c r="I859">
        <v>0</v>
      </c>
      <c r="J859" s="23">
        <v>51377066</v>
      </c>
      <c r="K859">
        <v>1078918386</v>
      </c>
    </row>
    <row r="860" spans="1:11" ht="15" customHeight="1" x14ac:dyDescent="0.3">
      <c r="A860" t="s">
        <v>18</v>
      </c>
      <c r="B860" t="s">
        <v>11</v>
      </c>
      <c r="C860" t="s">
        <v>24</v>
      </c>
      <c r="D860" t="s">
        <v>13</v>
      </c>
      <c r="E860">
        <v>4</v>
      </c>
      <c r="F860" t="s">
        <v>23</v>
      </c>
      <c r="G860" t="s">
        <v>15</v>
      </c>
      <c r="H860" t="s">
        <v>16</v>
      </c>
      <c r="I860">
        <v>0</v>
      </c>
      <c r="J860" s="23">
        <v>30617432</v>
      </c>
      <c r="K860">
        <v>122469728</v>
      </c>
    </row>
    <row r="861" spans="1:11" ht="15" customHeight="1" x14ac:dyDescent="0.3">
      <c r="A861" t="s">
        <v>18</v>
      </c>
      <c r="B861" t="s">
        <v>19</v>
      </c>
      <c r="C861" t="s">
        <v>12</v>
      </c>
      <c r="D861" t="s">
        <v>20</v>
      </c>
      <c r="E861">
        <v>10</v>
      </c>
      <c r="F861"/>
      <c r="G861" t="s">
        <v>31</v>
      </c>
      <c r="H861" t="s">
        <v>16</v>
      </c>
      <c r="I861">
        <v>1</v>
      </c>
      <c r="J861" s="23">
        <v>-928</v>
      </c>
      <c r="K861" t="s">
        <v>17</v>
      </c>
    </row>
    <row r="862" spans="1:11" ht="15" customHeight="1" x14ac:dyDescent="0.3">
      <c r="A862" t="s">
        <v>18</v>
      </c>
      <c r="B862" t="s">
        <v>19</v>
      </c>
      <c r="C862" t="s">
        <v>24</v>
      </c>
      <c r="D862" t="s">
        <v>20</v>
      </c>
      <c r="E862">
        <v>21</v>
      </c>
      <c r="F862"/>
      <c r="G862" t="s">
        <v>31</v>
      </c>
      <c r="H862" t="s">
        <v>16</v>
      </c>
      <c r="I862">
        <v>1</v>
      </c>
      <c r="J862" s="23">
        <v>9732859</v>
      </c>
      <c r="K862">
        <v>204390039</v>
      </c>
    </row>
    <row r="863" spans="1:11" ht="15" customHeight="1" x14ac:dyDescent="0.3">
      <c r="A863" t="s">
        <v>18</v>
      </c>
      <c r="B863" t="s">
        <v>19</v>
      </c>
      <c r="C863" t="s">
        <v>12</v>
      </c>
      <c r="D863" t="s">
        <v>20</v>
      </c>
      <c r="E863">
        <v>0</v>
      </c>
      <c r="F863"/>
      <c r="G863" t="s">
        <v>15</v>
      </c>
      <c r="H863" t="s">
        <v>32</v>
      </c>
      <c r="I863">
        <v>1</v>
      </c>
      <c r="J863" s="23">
        <v>-19</v>
      </c>
      <c r="K863" t="s">
        <v>17</v>
      </c>
    </row>
    <row r="864" spans="1:11" ht="15" customHeight="1" x14ac:dyDescent="0.3">
      <c r="A864" t="s">
        <v>18</v>
      </c>
      <c r="B864" t="s">
        <v>11</v>
      </c>
      <c r="C864" t="s">
        <v>12</v>
      </c>
      <c r="D864" t="s">
        <v>13</v>
      </c>
      <c r="E864">
        <v>12</v>
      </c>
      <c r="F864" t="s">
        <v>33</v>
      </c>
      <c r="G864" t="s">
        <v>15</v>
      </c>
      <c r="H864" t="s">
        <v>16</v>
      </c>
      <c r="I864">
        <v>0</v>
      </c>
      <c r="J864" s="23">
        <v>-7544</v>
      </c>
      <c r="K864" t="s">
        <v>17</v>
      </c>
    </row>
    <row r="865" spans="1:11" ht="15" customHeight="1" x14ac:dyDescent="0.3">
      <c r="A865" t="s">
        <v>18</v>
      </c>
      <c r="B865" t="s">
        <v>11</v>
      </c>
      <c r="C865" t="s">
        <v>12</v>
      </c>
      <c r="D865" t="s">
        <v>28</v>
      </c>
      <c r="E865">
        <v>1</v>
      </c>
      <c r="F865" t="s">
        <v>26</v>
      </c>
      <c r="G865" t="s">
        <v>15</v>
      </c>
      <c r="H865" t="s">
        <v>16</v>
      </c>
      <c r="I865">
        <v>0</v>
      </c>
      <c r="J865" s="23">
        <v>-126262</v>
      </c>
      <c r="K865" t="s">
        <v>17</v>
      </c>
    </row>
    <row r="866" spans="1:11" ht="15" customHeight="1" x14ac:dyDescent="0.3">
      <c r="A866" t="s">
        <v>10</v>
      </c>
      <c r="B866" t="s">
        <v>11</v>
      </c>
      <c r="C866" t="s">
        <v>12</v>
      </c>
      <c r="D866" t="s">
        <v>13</v>
      </c>
      <c r="E866">
        <v>-1</v>
      </c>
      <c r="F866" t="s">
        <v>40</v>
      </c>
      <c r="G866" t="s">
        <v>15</v>
      </c>
      <c r="H866" t="s">
        <v>16</v>
      </c>
      <c r="I866">
        <v>0</v>
      </c>
      <c r="J866" s="23">
        <v>-525336</v>
      </c>
      <c r="K866" t="s">
        <v>17</v>
      </c>
    </row>
    <row r="867" spans="1:11" ht="15" customHeight="1" x14ac:dyDescent="0.3">
      <c r="A867" t="s">
        <v>22</v>
      </c>
      <c r="B867" t="s">
        <v>11</v>
      </c>
      <c r="C867" t="s">
        <v>24</v>
      </c>
      <c r="D867" t="s">
        <v>13</v>
      </c>
      <c r="E867">
        <v>9</v>
      </c>
      <c r="F867" t="s">
        <v>41</v>
      </c>
      <c r="G867" t="s">
        <v>15</v>
      </c>
      <c r="H867" t="s">
        <v>16</v>
      </c>
      <c r="I867">
        <v>0</v>
      </c>
      <c r="J867" s="23">
        <v>177956</v>
      </c>
      <c r="K867">
        <v>1601604</v>
      </c>
    </row>
    <row r="868" spans="1:11" ht="15" customHeight="1" x14ac:dyDescent="0.3">
      <c r="A868" t="s">
        <v>10</v>
      </c>
      <c r="B868" t="s">
        <v>19</v>
      </c>
      <c r="C868" t="s">
        <v>12</v>
      </c>
      <c r="D868" t="s">
        <v>20</v>
      </c>
      <c r="E868">
        <v>15</v>
      </c>
      <c r="F868"/>
      <c r="G868" t="s">
        <v>31</v>
      </c>
      <c r="H868" t="s">
        <v>16</v>
      </c>
      <c r="I868">
        <v>1</v>
      </c>
      <c r="J868" s="23">
        <v>-9730</v>
      </c>
      <c r="K868" t="s">
        <v>17</v>
      </c>
    </row>
    <row r="869" spans="1:11" ht="15" customHeight="1" x14ac:dyDescent="0.3">
      <c r="A869" t="s">
        <v>18</v>
      </c>
      <c r="B869" t="s">
        <v>11</v>
      </c>
      <c r="C869" t="s">
        <v>24</v>
      </c>
      <c r="D869" t="s">
        <v>28</v>
      </c>
      <c r="E869">
        <v>6</v>
      </c>
      <c r="F869" t="s">
        <v>29</v>
      </c>
      <c r="G869" t="s">
        <v>15</v>
      </c>
      <c r="H869" t="s">
        <v>32</v>
      </c>
      <c r="I869">
        <v>1</v>
      </c>
      <c r="J869" s="23">
        <v>4705806</v>
      </c>
      <c r="K869">
        <v>28234836</v>
      </c>
    </row>
    <row r="870" spans="1:11" ht="15" customHeight="1" x14ac:dyDescent="0.3">
      <c r="A870" t="s">
        <v>10</v>
      </c>
      <c r="B870" t="s">
        <v>19</v>
      </c>
      <c r="C870" t="s">
        <v>12</v>
      </c>
      <c r="D870" t="s">
        <v>20</v>
      </c>
      <c r="E870">
        <v>16</v>
      </c>
      <c r="F870"/>
      <c r="G870" t="s">
        <v>15</v>
      </c>
      <c r="H870" t="s">
        <v>16</v>
      </c>
      <c r="I870">
        <v>0</v>
      </c>
      <c r="J870" s="23">
        <v>-652240</v>
      </c>
      <c r="K870" t="s">
        <v>17</v>
      </c>
    </row>
    <row r="871" spans="1:11" ht="15" customHeight="1" x14ac:dyDescent="0.3">
      <c r="A871" t="s">
        <v>10</v>
      </c>
      <c r="B871" t="s">
        <v>11</v>
      </c>
      <c r="C871" t="s">
        <v>24</v>
      </c>
      <c r="D871" t="s">
        <v>28</v>
      </c>
      <c r="E871">
        <v>9</v>
      </c>
      <c r="F871" t="s">
        <v>30</v>
      </c>
      <c r="G871" t="s">
        <v>15</v>
      </c>
      <c r="H871" t="s">
        <v>16</v>
      </c>
      <c r="I871">
        <v>0</v>
      </c>
      <c r="J871" s="23">
        <v>1114877</v>
      </c>
      <c r="K871">
        <v>10033893</v>
      </c>
    </row>
    <row r="872" spans="1:11" ht="15" customHeight="1" x14ac:dyDescent="0.3">
      <c r="A872" t="s">
        <v>18</v>
      </c>
      <c r="B872" t="s">
        <v>19</v>
      </c>
      <c r="C872" t="s">
        <v>12</v>
      </c>
      <c r="D872" t="s">
        <v>28</v>
      </c>
      <c r="E872">
        <v>0</v>
      </c>
      <c r="F872"/>
      <c r="G872" t="s">
        <v>15</v>
      </c>
      <c r="H872" t="s">
        <v>16</v>
      </c>
      <c r="I872">
        <v>0</v>
      </c>
      <c r="J872" s="23">
        <v>-714</v>
      </c>
      <c r="K872" t="s">
        <v>17</v>
      </c>
    </row>
    <row r="873" spans="1:11" ht="15" customHeight="1" x14ac:dyDescent="0.3">
      <c r="A873" t="s">
        <v>10</v>
      </c>
      <c r="B873" t="s">
        <v>19</v>
      </c>
      <c r="C873" t="s">
        <v>12</v>
      </c>
      <c r="D873" t="s">
        <v>20</v>
      </c>
      <c r="E873">
        <v>6</v>
      </c>
      <c r="F873"/>
      <c r="G873" t="s">
        <v>15</v>
      </c>
      <c r="H873" t="s">
        <v>32</v>
      </c>
      <c r="I873">
        <v>1</v>
      </c>
      <c r="J873" s="23">
        <v>-7280</v>
      </c>
      <c r="K873" t="s">
        <v>17</v>
      </c>
    </row>
    <row r="874" spans="1:11" ht="15" customHeight="1" x14ac:dyDescent="0.3">
      <c r="A874" t="s">
        <v>10</v>
      </c>
      <c r="B874" t="s">
        <v>11</v>
      </c>
      <c r="C874" t="s">
        <v>12</v>
      </c>
      <c r="D874" t="s">
        <v>13</v>
      </c>
      <c r="E874">
        <v>1</v>
      </c>
      <c r="F874" t="s">
        <v>41</v>
      </c>
      <c r="G874" t="s">
        <v>15</v>
      </c>
      <c r="H874" t="s">
        <v>16</v>
      </c>
      <c r="I874">
        <v>0</v>
      </c>
      <c r="J874" s="23">
        <v>-1128</v>
      </c>
      <c r="K874" t="s">
        <v>17</v>
      </c>
    </row>
    <row r="875" spans="1:11" ht="15" customHeight="1" x14ac:dyDescent="0.3">
      <c r="A875" t="s">
        <v>22</v>
      </c>
      <c r="B875" t="s">
        <v>11</v>
      </c>
      <c r="C875" t="s">
        <v>24</v>
      </c>
      <c r="D875" t="s">
        <v>13</v>
      </c>
      <c r="E875">
        <v>-1</v>
      </c>
      <c r="F875" t="s">
        <v>37</v>
      </c>
      <c r="G875" t="s">
        <v>15</v>
      </c>
      <c r="H875" t="s">
        <v>16</v>
      </c>
      <c r="I875">
        <v>0</v>
      </c>
      <c r="J875" s="23">
        <v>276680</v>
      </c>
      <c r="K875" t="s">
        <v>17</v>
      </c>
    </row>
    <row r="876" spans="1:11" ht="15" customHeight="1" x14ac:dyDescent="0.3">
      <c r="A876" t="s">
        <v>18</v>
      </c>
      <c r="B876" t="s">
        <v>11</v>
      </c>
      <c r="C876" t="s">
        <v>12</v>
      </c>
      <c r="D876" t="s">
        <v>28</v>
      </c>
      <c r="E876">
        <v>-4</v>
      </c>
      <c r="F876" t="s">
        <v>29</v>
      </c>
      <c r="G876" t="s">
        <v>15</v>
      </c>
      <c r="H876" t="s">
        <v>16</v>
      </c>
      <c r="I876">
        <v>0</v>
      </c>
      <c r="J876" s="23">
        <v>0</v>
      </c>
      <c r="K876" t="s">
        <v>17</v>
      </c>
    </row>
    <row r="877" spans="1:11" ht="15" customHeight="1" x14ac:dyDescent="0.3">
      <c r="A877" t="s">
        <v>18</v>
      </c>
      <c r="B877" t="s">
        <v>11</v>
      </c>
      <c r="C877" t="s">
        <v>12</v>
      </c>
      <c r="D877" t="s">
        <v>13</v>
      </c>
      <c r="E877">
        <v>2</v>
      </c>
      <c r="F877" t="s">
        <v>27</v>
      </c>
      <c r="G877" t="s">
        <v>15</v>
      </c>
      <c r="H877" t="s">
        <v>16</v>
      </c>
      <c r="I877">
        <v>0</v>
      </c>
      <c r="J877" s="23">
        <v>-15900</v>
      </c>
      <c r="K877" t="s">
        <v>17</v>
      </c>
    </row>
    <row r="878" spans="1:11" ht="15" customHeight="1" x14ac:dyDescent="0.3">
      <c r="A878" t="s">
        <v>22</v>
      </c>
      <c r="B878" t="s">
        <v>11</v>
      </c>
      <c r="C878" t="s">
        <v>12</v>
      </c>
      <c r="D878" t="s">
        <v>28</v>
      </c>
      <c r="E878">
        <v>7</v>
      </c>
      <c r="F878" t="s">
        <v>23</v>
      </c>
      <c r="G878" t="s">
        <v>15</v>
      </c>
      <c r="H878" t="s">
        <v>16</v>
      </c>
      <c r="I878">
        <v>0</v>
      </c>
      <c r="J878" s="23">
        <v>-118464</v>
      </c>
      <c r="K878" t="s">
        <v>17</v>
      </c>
    </row>
    <row r="879" spans="1:11" ht="15" customHeight="1" x14ac:dyDescent="0.3">
      <c r="A879" t="s">
        <v>10</v>
      </c>
      <c r="B879" t="s">
        <v>11</v>
      </c>
      <c r="C879" t="s">
        <v>24</v>
      </c>
      <c r="D879" t="s">
        <v>13</v>
      </c>
      <c r="E879">
        <v>5</v>
      </c>
      <c r="F879" t="s">
        <v>26</v>
      </c>
      <c r="G879" t="s">
        <v>15</v>
      </c>
      <c r="H879" t="s">
        <v>16</v>
      </c>
      <c r="I879">
        <v>0</v>
      </c>
      <c r="J879" s="23">
        <v>269296</v>
      </c>
      <c r="K879">
        <v>1346480</v>
      </c>
    </row>
    <row r="880" spans="1:11" ht="15" customHeight="1" x14ac:dyDescent="0.3">
      <c r="A880" t="s">
        <v>22</v>
      </c>
      <c r="B880" t="s">
        <v>19</v>
      </c>
      <c r="C880" t="s">
        <v>24</v>
      </c>
      <c r="D880" t="s">
        <v>20</v>
      </c>
      <c r="E880">
        <v>14</v>
      </c>
      <c r="F880"/>
      <c r="G880" t="s">
        <v>15</v>
      </c>
      <c r="H880" t="s">
        <v>16</v>
      </c>
      <c r="I880">
        <v>0</v>
      </c>
      <c r="J880" s="23">
        <v>4566592</v>
      </c>
      <c r="K880">
        <v>63932288</v>
      </c>
    </row>
    <row r="881" spans="1:11" ht="15" customHeight="1" x14ac:dyDescent="0.3">
      <c r="A881" t="s">
        <v>10</v>
      </c>
      <c r="B881" t="s">
        <v>19</v>
      </c>
      <c r="C881" t="s">
        <v>12</v>
      </c>
      <c r="D881" t="s">
        <v>20</v>
      </c>
      <c r="E881">
        <v>21</v>
      </c>
      <c r="F881"/>
      <c r="G881" t="s">
        <v>15</v>
      </c>
      <c r="H881" t="s">
        <v>16</v>
      </c>
      <c r="I881">
        <v>0</v>
      </c>
      <c r="J881" s="23">
        <v>-1291583</v>
      </c>
      <c r="K881" t="s">
        <v>17</v>
      </c>
    </row>
    <row r="882" spans="1:11" ht="15" customHeight="1" x14ac:dyDescent="0.3">
      <c r="A882" t="s">
        <v>22</v>
      </c>
      <c r="B882" t="s">
        <v>19</v>
      </c>
      <c r="C882" t="s">
        <v>24</v>
      </c>
      <c r="D882" t="s">
        <v>20</v>
      </c>
      <c r="E882">
        <v>29</v>
      </c>
      <c r="F882"/>
      <c r="G882" t="s">
        <v>15</v>
      </c>
      <c r="H882" t="s">
        <v>32</v>
      </c>
      <c r="I882">
        <v>1</v>
      </c>
      <c r="J882" s="23">
        <v>35192</v>
      </c>
      <c r="K882">
        <v>1020568</v>
      </c>
    </row>
    <row r="883" spans="1:11" ht="15" customHeight="1" x14ac:dyDescent="0.3">
      <c r="A883" t="s">
        <v>22</v>
      </c>
      <c r="B883" t="s">
        <v>11</v>
      </c>
      <c r="C883" t="s">
        <v>24</v>
      </c>
      <c r="D883" t="s">
        <v>28</v>
      </c>
      <c r="E883">
        <v>-4</v>
      </c>
      <c r="F883" t="s">
        <v>41</v>
      </c>
      <c r="G883" t="s">
        <v>15</v>
      </c>
      <c r="H883" t="s">
        <v>32</v>
      </c>
      <c r="I883">
        <v>1</v>
      </c>
      <c r="J883" s="23">
        <v>30666</v>
      </c>
      <c r="K883" t="s">
        <v>17</v>
      </c>
    </row>
    <row r="884" spans="1:11" ht="15" customHeight="1" x14ac:dyDescent="0.3">
      <c r="A884" t="s">
        <v>18</v>
      </c>
      <c r="B884" t="s">
        <v>47</v>
      </c>
      <c r="C884" t="s">
        <v>24</v>
      </c>
      <c r="D884" t="s">
        <v>20</v>
      </c>
      <c r="E884">
        <v>3</v>
      </c>
      <c r="F884" t="s">
        <v>46</v>
      </c>
      <c r="G884" t="s">
        <v>15</v>
      </c>
      <c r="H884" t="s">
        <v>16</v>
      </c>
      <c r="I884">
        <v>0</v>
      </c>
      <c r="J884" s="23">
        <v>43963</v>
      </c>
      <c r="K884">
        <v>131889</v>
      </c>
    </row>
    <row r="885" spans="1:11" ht="15" customHeight="1" x14ac:dyDescent="0.3">
      <c r="A885" t="s">
        <v>22</v>
      </c>
      <c r="B885" t="s">
        <v>11</v>
      </c>
      <c r="C885" t="s">
        <v>12</v>
      </c>
      <c r="D885" t="s">
        <v>28</v>
      </c>
      <c r="E885">
        <v>9</v>
      </c>
      <c r="F885" t="s">
        <v>26</v>
      </c>
      <c r="G885" t="s">
        <v>15</v>
      </c>
      <c r="H885" t="s">
        <v>16</v>
      </c>
      <c r="I885">
        <v>0</v>
      </c>
      <c r="J885" s="23">
        <v>-10858</v>
      </c>
      <c r="K885" t="s">
        <v>17</v>
      </c>
    </row>
    <row r="886" spans="1:11" ht="15" customHeight="1" x14ac:dyDescent="0.3">
      <c r="A886" t="s">
        <v>18</v>
      </c>
      <c r="B886" t="s">
        <v>11</v>
      </c>
      <c r="C886" t="s">
        <v>12</v>
      </c>
      <c r="D886" t="s">
        <v>13</v>
      </c>
      <c r="E886">
        <v>4</v>
      </c>
      <c r="F886" t="s">
        <v>41</v>
      </c>
      <c r="G886" t="s">
        <v>15</v>
      </c>
      <c r="H886" t="s">
        <v>16</v>
      </c>
      <c r="I886">
        <v>0</v>
      </c>
      <c r="J886" s="23">
        <v>-3088</v>
      </c>
      <c r="K886" t="s">
        <v>17</v>
      </c>
    </row>
    <row r="887" spans="1:11" ht="15" customHeight="1" x14ac:dyDescent="0.3">
      <c r="A887" t="s">
        <v>18</v>
      </c>
      <c r="B887" t="s">
        <v>11</v>
      </c>
      <c r="C887" t="s">
        <v>12</v>
      </c>
      <c r="D887" t="s">
        <v>13</v>
      </c>
      <c r="E887">
        <v>1</v>
      </c>
      <c r="F887" t="s">
        <v>33</v>
      </c>
      <c r="G887" t="s">
        <v>15</v>
      </c>
      <c r="H887" t="s">
        <v>16</v>
      </c>
      <c r="I887">
        <v>0</v>
      </c>
      <c r="J887" s="23">
        <v>-29197</v>
      </c>
      <c r="K887" t="s">
        <v>17</v>
      </c>
    </row>
    <row r="888" spans="1:11" ht="15" customHeight="1" x14ac:dyDescent="0.3">
      <c r="A888" t="s">
        <v>10</v>
      </c>
      <c r="B888" t="s">
        <v>11</v>
      </c>
      <c r="C888" t="s">
        <v>24</v>
      </c>
      <c r="D888" t="s">
        <v>28</v>
      </c>
      <c r="E888">
        <v>3</v>
      </c>
      <c r="F888" t="s">
        <v>21</v>
      </c>
      <c r="G888" t="s">
        <v>15</v>
      </c>
      <c r="H888" t="s">
        <v>16</v>
      </c>
      <c r="I888">
        <v>0</v>
      </c>
      <c r="J888" s="23">
        <v>1128622</v>
      </c>
      <c r="K888">
        <v>3385866</v>
      </c>
    </row>
    <row r="889" spans="1:11" ht="15" customHeight="1" x14ac:dyDescent="0.3">
      <c r="A889" t="s">
        <v>18</v>
      </c>
      <c r="B889" t="s">
        <v>11</v>
      </c>
      <c r="C889" t="s">
        <v>12</v>
      </c>
      <c r="D889" t="s">
        <v>28</v>
      </c>
      <c r="E889">
        <v>14</v>
      </c>
      <c r="F889" t="s">
        <v>23</v>
      </c>
      <c r="G889" t="s">
        <v>15</v>
      </c>
      <c r="H889" t="s">
        <v>16</v>
      </c>
      <c r="I889">
        <v>0</v>
      </c>
      <c r="J889" s="23">
        <v>-104358</v>
      </c>
      <c r="K889" t="s">
        <v>17</v>
      </c>
    </row>
    <row r="890" spans="1:11" ht="15" customHeight="1" x14ac:dyDescent="0.3">
      <c r="A890" t="s">
        <v>22</v>
      </c>
      <c r="B890" t="s">
        <v>11</v>
      </c>
      <c r="C890" t="s">
        <v>24</v>
      </c>
      <c r="D890" t="s">
        <v>28</v>
      </c>
      <c r="E890">
        <v>2</v>
      </c>
      <c r="F890" t="s">
        <v>34</v>
      </c>
      <c r="G890" t="s">
        <v>15</v>
      </c>
      <c r="H890" t="s">
        <v>16</v>
      </c>
      <c r="I890">
        <v>0</v>
      </c>
      <c r="J890" s="23">
        <v>78181</v>
      </c>
      <c r="K890">
        <v>156362</v>
      </c>
    </row>
    <row r="891" spans="1:11" ht="15" customHeight="1" x14ac:dyDescent="0.3">
      <c r="A891" t="s">
        <v>18</v>
      </c>
      <c r="B891" t="s">
        <v>11</v>
      </c>
      <c r="C891" t="s">
        <v>12</v>
      </c>
      <c r="D891" t="s">
        <v>28</v>
      </c>
      <c r="E891">
        <v>1</v>
      </c>
      <c r="F891" t="s">
        <v>29</v>
      </c>
      <c r="G891" t="s">
        <v>31</v>
      </c>
      <c r="H891" t="s">
        <v>32</v>
      </c>
      <c r="I891">
        <v>1</v>
      </c>
      <c r="J891" s="23">
        <v>-8395</v>
      </c>
      <c r="K891" t="s">
        <v>17</v>
      </c>
    </row>
    <row r="892" spans="1:11" ht="15" customHeight="1" x14ac:dyDescent="0.3">
      <c r="A892" t="s">
        <v>10</v>
      </c>
      <c r="B892" t="s">
        <v>11</v>
      </c>
      <c r="C892" t="s">
        <v>12</v>
      </c>
      <c r="D892" t="s">
        <v>28</v>
      </c>
      <c r="E892">
        <v>5</v>
      </c>
      <c r="F892" t="s">
        <v>33</v>
      </c>
      <c r="G892" t="s">
        <v>15</v>
      </c>
      <c r="H892" t="s">
        <v>16</v>
      </c>
      <c r="I892">
        <v>0</v>
      </c>
      <c r="J892" s="23">
        <v>-7330</v>
      </c>
      <c r="K892" t="s">
        <v>17</v>
      </c>
    </row>
    <row r="893" spans="1:11" ht="15" customHeight="1" x14ac:dyDescent="0.3">
      <c r="A893" t="s">
        <v>18</v>
      </c>
      <c r="B893" t="s">
        <v>11</v>
      </c>
      <c r="C893" t="s">
        <v>24</v>
      </c>
      <c r="D893" t="s">
        <v>28</v>
      </c>
      <c r="E893">
        <v>18</v>
      </c>
      <c r="F893" t="s">
        <v>40</v>
      </c>
      <c r="G893" t="s">
        <v>15</v>
      </c>
      <c r="H893" t="s">
        <v>16</v>
      </c>
      <c r="I893">
        <v>0</v>
      </c>
      <c r="J893" s="23">
        <v>349653</v>
      </c>
      <c r="K893">
        <v>6293754</v>
      </c>
    </row>
    <row r="894" spans="1:11" ht="15" customHeight="1" x14ac:dyDescent="0.3">
      <c r="A894" t="s">
        <v>18</v>
      </c>
      <c r="B894" t="s">
        <v>11</v>
      </c>
      <c r="C894" t="s">
        <v>24</v>
      </c>
      <c r="D894" t="s">
        <v>28</v>
      </c>
      <c r="E894">
        <v>11</v>
      </c>
      <c r="F894" t="s">
        <v>26</v>
      </c>
      <c r="G894" t="s">
        <v>15</v>
      </c>
      <c r="H894" t="s">
        <v>16</v>
      </c>
      <c r="I894">
        <v>0</v>
      </c>
      <c r="J894" s="23">
        <v>33931548</v>
      </c>
      <c r="K894">
        <v>373247028</v>
      </c>
    </row>
    <row r="895" spans="1:11" ht="15" customHeight="1" x14ac:dyDescent="0.3">
      <c r="A895" t="s">
        <v>18</v>
      </c>
      <c r="B895" t="s">
        <v>11</v>
      </c>
      <c r="C895" t="s">
        <v>12</v>
      </c>
      <c r="D895" t="s">
        <v>28</v>
      </c>
      <c r="E895">
        <v>9</v>
      </c>
      <c r="F895" t="s">
        <v>26</v>
      </c>
      <c r="G895" t="s">
        <v>31</v>
      </c>
      <c r="H895" t="s">
        <v>16</v>
      </c>
      <c r="I895">
        <v>1</v>
      </c>
      <c r="J895" s="23">
        <v>-161</v>
      </c>
      <c r="K895" t="s">
        <v>17</v>
      </c>
    </row>
    <row r="896" spans="1:11" ht="15" customHeight="1" x14ac:dyDescent="0.3">
      <c r="A896" t="s">
        <v>22</v>
      </c>
      <c r="B896" t="s">
        <v>11</v>
      </c>
      <c r="C896" t="s">
        <v>12</v>
      </c>
      <c r="D896" t="s">
        <v>13</v>
      </c>
      <c r="E896">
        <v>4</v>
      </c>
      <c r="F896" t="s">
        <v>42</v>
      </c>
      <c r="G896" t="s">
        <v>15</v>
      </c>
      <c r="H896" t="s">
        <v>16</v>
      </c>
      <c r="I896">
        <v>0</v>
      </c>
      <c r="J896" s="23">
        <v>-108257</v>
      </c>
      <c r="K896" t="s">
        <v>17</v>
      </c>
    </row>
    <row r="897" spans="1:11" ht="15" customHeight="1" x14ac:dyDescent="0.3">
      <c r="A897" t="s">
        <v>18</v>
      </c>
      <c r="B897" t="s">
        <v>11</v>
      </c>
      <c r="C897" t="s">
        <v>24</v>
      </c>
      <c r="D897" t="s">
        <v>28</v>
      </c>
      <c r="E897">
        <v>-4</v>
      </c>
      <c r="F897" t="s">
        <v>35</v>
      </c>
      <c r="G897" t="s">
        <v>15</v>
      </c>
      <c r="H897" t="s">
        <v>16</v>
      </c>
      <c r="I897">
        <v>0</v>
      </c>
      <c r="J897" s="23">
        <v>185725</v>
      </c>
      <c r="K897" t="s">
        <v>17</v>
      </c>
    </row>
    <row r="898" spans="1:11" ht="15" customHeight="1" x14ac:dyDescent="0.3">
      <c r="A898" t="s">
        <v>18</v>
      </c>
      <c r="B898" t="s">
        <v>11</v>
      </c>
      <c r="C898" t="s">
        <v>12</v>
      </c>
      <c r="D898" t="s">
        <v>28</v>
      </c>
      <c r="E898">
        <v>14</v>
      </c>
      <c r="F898" t="s">
        <v>34</v>
      </c>
      <c r="G898" t="s">
        <v>15</v>
      </c>
      <c r="H898" t="s">
        <v>16</v>
      </c>
      <c r="I898">
        <v>0</v>
      </c>
      <c r="J898" s="23">
        <v>-6828</v>
      </c>
      <c r="K898" t="s">
        <v>17</v>
      </c>
    </row>
    <row r="899" spans="1:11" ht="15" customHeight="1" x14ac:dyDescent="0.3">
      <c r="A899" t="s">
        <v>18</v>
      </c>
      <c r="B899" t="s">
        <v>11</v>
      </c>
      <c r="C899" t="s">
        <v>24</v>
      </c>
      <c r="D899" t="s">
        <v>28</v>
      </c>
      <c r="E899">
        <v>0</v>
      </c>
      <c r="F899" t="s">
        <v>21</v>
      </c>
      <c r="G899" t="s">
        <v>15</v>
      </c>
      <c r="H899" t="s">
        <v>16</v>
      </c>
      <c r="I899">
        <v>0</v>
      </c>
      <c r="J899" s="23">
        <v>27032576</v>
      </c>
      <c r="K899" t="s">
        <v>17</v>
      </c>
    </row>
    <row r="900" spans="1:11" ht="15" customHeight="1" x14ac:dyDescent="0.3">
      <c r="A900" t="s">
        <v>22</v>
      </c>
      <c r="B900" t="s">
        <v>11</v>
      </c>
      <c r="C900" t="s">
        <v>12</v>
      </c>
      <c r="D900" t="s">
        <v>28</v>
      </c>
      <c r="E900">
        <v>3</v>
      </c>
      <c r="F900" t="s">
        <v>14</v>
      </c>
      <c r="G900" t="s">
        <v>15</v>
      </c>
      <c r="H900" t="s">
        <v>16</v>
      </c>
      <c r="I900">
        <v>0</v>
      </c>
      <c r="J900" s="23">
        <v>-71568</v>
      </c>
      <c r="K900" t="s">
        <v>17</v>
      </c>
    </row>
    <row r="901" spans="1:11" ht="15" customHeight="1" x14ac:dyDescent="0.3">
      <c r="A901" t="s">
        <v>22</v>
      </c>
      <c r="B901" t="s">
        <v>19</v>
      </c>
      <c r="C901" t="s">
        <v>24</v>
      </c>
      <c r="D901" t="s">
        <v>20</v>
      </c>
      <c r="E901">
        <v>7</v>
      </c>
      <c r="F901"/>
      <c r="G901" t="s">
        <v>15</v>
      </c>
      <c r="H901" t="s">
        <v>16</v>
      </c>
      <c r="I901">
        <v>0</v>
      </c>
      <c r="J901" s="23">
        <v>2394159</v>
      </c>
      <c r="K901">
        <v>16759113</v>
      </c>
    </row>
    <row r="902" spans="1:11" ht="15" customHeight="1" x14ac:dyDescent="0.3">
      <c r="A902" t="s">
        <v>18</v>
      </c>
      <c r="B902" t="s">
        <v>11</v>
      </c>
      <c r="C902" t="s">
        <v>24</v>
      </c>
      <c r="D902" t="s">
        <v>25</v>
      </c>
      <c r="E902">
        <v>2</v>
      </c>
      <c r="F902" t="s">
        <v>21</v>
      </c>
      <c r="G902" t="s">
        <v>15</v>
      </c>
      <c r="H902" t="s">
        <v>16</v>
      </c>
      <c r="I902">
        <v>0</v>
      </c>
      <c r="J902" s="23">
        <v>6970995</v>
      </c>
      <c r="K902">
        <v>13941990</v>
      </c>
    </row>
    <row r="903" spans="1:11" ht="15" customHeight="1" x14ac:dyDescent="0.3">
      <c r="A903" t="s">
        <v>22</v>
      </c>
      <c r="B903" t="s">
        <v>11</v>
      </c>
      <c r="C903" t="s">
        <v>24</v>
      </c>
      <c r="D903" t="s">
        <v>25</v>
      </c>
      <c r="E903">
        <v>-1</v>
      </c>
      <c r="F903" t="s">
        <v>29</v>
      </c>
      <c r="G903" t="s">
        <v>15</v>
      </c>
      <c r="H903" t="s">
        <v>16</v>
      </c>
      <c r="I903">
        <v>0</v>
      </c>
      <c r="J903" s="23">
        <v>250842</v>
      </c>
      <c r="K903" t="s">
        <v>17</v>
      </c>
    </row>
    <row r="904" spans="1:11" ht="15" customHeight="1" x14ac:dyDescent="0.3">
      <c r="A904" t="s">
        <v>10</v>
      </c>
      <c r="B904" t="s">
        <v>11</v>
      </c>
      <c r="C904" t="s">
        <v>24</v>
      </c>
      <c r="D904" t="s">
        <v>25</v>
      </c>
      <c r="E904">
        <v>6</v>
      </c>
      <c r="F904" t="s">
        <v>29</v>
      </c>
      <c r="G904" t="s">
        <v>15</v>
      </c>
      <c r="H904" t="s">
        <v>16</v>
      </c>
      <c r="I904">
        <v>0</v>
      </c>
      <c r="J904" s="23">
        <v>521263</v>
      </c>
      <c r="K904">
        <v>3127578</v>
      </c>
    </row>
    <row r="905" spans="1:11" ht="15" customHeight="1" x14ac:dyDescent="0.3">
      <c r="A905" t="s">
        <v>18</v>
      </c>
      <c r="B905" t="s">
        <v>11</v>
      </c>
      <c r="C905" t="s">
        <v>12</v>
      </c>
      <c r="D905" t="s">
        <v>28</v>
      </c>
      <c r="E905">
        <v>0</v>
      </c>
      <c r="F905" t="s">
        <v>23</v>
      </c>
      <c r="G905" t="s">
        <v>15</v>
      </c>
      <c r="H905" t="s">
        <v>16</v>
      </c>
      <c r="I905">
        <v>0</v>
      </c>
      <c r="J905" s="23">
        <v>-679</v>
      </c>
      <c r="K905" t="s">
        <v>17</v>
      </c>
    </row>
    <row r="906" spans="1:11" ht="15" customHeight="1" x14ac:dyDescent="0.3">
      <c r="A906" t="s">
        <v>10</v>
      </c>
      <c r="B906" t="s">
        <v>11</v>
      </c>
      <c r="C906" t="s">
        <v>12</v>
      </c>
      <c r="D906" t="s">
        <v>28</v>
      </c>
      <c r="E906">
        <v>9</v>
      </c>
      <c r="F906" t="s">
        <v>34</v>
      </c>
      <c r="G906" t="s">
        <v>15</v>
      </c>
      <c r="H906" t="s">
        <v>16</v>
      </c>
      <c r="I906">
        <v>0</v>
      </c>
      <c r="J906" s="23">
        <v>-157233</v>
      </c>
      <c r="K906" t="s">
        <v>17</v>
      </c>
    </row>
    <row r="907" spans="1:11" ht="15" customHeight="1" x14ac:dyDescent="0.3">
      <c r="A907" t="s">
        <v>22</v>
      </c>
      <c r="B907" t="s">
        <v>11</v>
      </c>
      <c r="C907" t="s">
        <v>12</v>
      </c>
      <c r="D907" t="s">
        <v>13</v>
      </c>
      <c r="E907">
        <v>1</v>
      </c>
      <c r="F907" t="s">
        <v>30</v>
      </c>
      <c r="G907" t="s">
        <v>15</v>
      </c>
      <c r="H907" t="s">
        <v>16</v>
      </c>
      <c r="I907">
        <v>0</v>
      </c>
      <c r="J907" s="23">
        <v>-2215794</v>
      </c>
      <c r="K907" t="s">
        <v>17</v>
      </c>
    </row>
    <row r="908" spans="1:11" ht="15" customHeight="1" x14ac:dyDescent="0.3">
      <c r="A908" t="s">
        <v>18</v>
      </c>
      <c r="B908" t="s">
        <v>11</v>
      </c>
      <c r="C908" t="s">
        <v>12</v>
      </c>
      <c r="D908" t="s">
        <v>13</v>
      </c>
      <c r="E908">
        <v>4</v>
      </c>
      <c r="F908" t="s">
        <v>26</v>
      </c>
      <c r="G908" t="s">
        <v>15</v>
      </c>
      <c r="H908" t="s">
        <v>16</v>
      </c>
      <c r="I908">
        <v>0</v>
      </c>
      <c r="J908" s="23">
        <v>-20441</v>
      </c>
      <c r="K908" t="s">
        <v>17</v>
      </c>
    </row>
    <row r="909" spans="1:11" ht="15" customHeight="1" x14ac:dyDescent="0.3">
      <c r="A909" t="s">
        <v>22</v>
      </c>
      <c r="B909" t="s">
        <v>11</v>
      </c>
      <c r="C909" t="s">
        <v>12</v>
      </c>
      <c r="D909" t="s">
        <v>13</v>
      </c>
      <c r="E909">
        <v>7</v>
      </c>
      <c r="F909" t="s">
        <v>40</v>
      </c>
      <c r="G909" t="s">
        <v>15</v>
      </c>
      <c r="H909" t="s">
        <v>16</v>
      </c>
      <c r="I909">
        <v>0</v>
      </c>
      <c r="J909" s="23">
        <v>-2174400</v>
      </c>
      <c r="K909" t="s">
        <v>17</v>
      </c>
    </row>
    <row r="910" spans="1:11" ht="15" customHeight="1" x14ac:dyDescent="0.3">
      <c r="A910" t="s">
        <v>18</v>
      </c>
      <c r="B910" t="s">
        <v>19</v>
      </c>
      <c r="C910" t="s">
        <v>24</v>
      </c>
      <c r="D910" t="s">
        <v>28</v>
      </c>
      <c r="E910">
        <v>13</v>
      </c>
      <c r="F910"/>
      <c r="G910" t="s">
        <v>15</v>
      </c>
      <c r="H910" t="s">
        <v>16</v>
      </c>
      <c r="I910">
        <v>0</v>
      </c>
      <c r="J910" s="23">
        <v>1947405</v>
      </c>
      <c r="K910">
        <v>25316265</v>
      </c>
    </row>
    <row r="911" spans="1:11" ht="15" customHeight="1" x14ac:dyDescent="0.3">
      <c r="A911" t="s">
        <v>10</v>
      </c>
      <c r="B911" t="s">
        <v>11</v>
      </c>
      <c r="C911" t="s">
        <v>12</v>
      </c>
      <c r="D911" t="s">
        <v>28</v>
      </c>
      <c r="E911">
        <v>3</v>
      </c>
      <c r="F911" t="s">
        <v>40</v>
      </c>
      <c r="G911" t="s">
        <v>15</v>
      </c>
      <c r="H911" t="s">
        <v>16</v>
      </c>
      <c r="I911">
        <v>0</v>
      </c>
      <c r="J911" s="23">
        <v>-724</v>
      </c>
      <c r="K911" t="s">
        <v>17</v>
      </c>
    </row>
    <row r="912" spans="1:11" ht="15" customHeight="1" x14ac:dyDescent="0.3">
      <c r="A912" t="s">
        <v>10</v>
      </c>
      <c r="B912" t="s">
        <v>11</v>
      </c>
      <c r="C912" t="s">
        <v>24</v>
      </c>
      <c r="D912" t="s">
        <v>13</v>
      </c>
      <c r="E912">
        <v>3</v>
      </c>
      <c r="F912" t="s">
        <v>39</v>
      </c>
      <c r="G912" t="s">
        <v>15</v>
      </c>
      <c r="H912" t="s">
        <v>16</v>
      </c>
      <c r="I912">
        <v>0</v>
      </c>
      <c r="J912" s="23">
        <v>4475511</v>
      </c>
      <c r="K912">
        <v>13426533</v>
      </c>
    </row>
    <row r="913" spans="1:11" ht="15" customHeight="1" x14ac:dyDescent="0.3">
      <c r="A913" t="s">
        <v>18</v>
      </c>
      <c r="B913" t="s">
        <v>11</v>
      </c>
      <c r="C913" t="s">
        <v>12</v>
      </c>
      <c r="D913" t="s">
        <v>28</v>
      </c>
      <c r="E913">
        <v>5</v>
      </c>
      <c r="F913" t="s">
        <v>33</v>
      </c>
      <c r="G913" t="s">
        <v>15</v>
      </c>
      <c r="H913" t="s">
        <v>32</v>
      </c>
      <c r="I913">
        <v>1</v>
      </c>
      <c r="J913" s="23">
        <v>-33682</v>
      </c>
      <c r="K913" t="s">
        <v>17</v>
      </c>
    </row>
    <row r="914" spans="1:11" ht="15" customHeight="1" x14ac:dyDescent="0.3">
      <c r="A914" t="s">
        <v>22</v>
      </c>
      <c r="B914" t="s">
        <v>11</v>
      </c>
      <c r="C914" t="s">
        <v>12</v>
      </c>
      <c r="D914" t="s">
        <v>28</v>
      </c>
      <c r="E914">
        <v>10</v>
      </c>
      <c r="F914" t="s">
        <v>26</v>
      </c>
      <c r="G914" t="s">
        <v>15</v>
      </c>
      <c r="H914" t="s">
        <v>16</v>
      </c>
      <c r="I914">
        <v>0</v>
      </c>
      <c r="J914" s="23">
        <v>-492084</v>
      </c>
      <c r="K914" t="s">
        <v>17</v>
      </c>
    </row>
    <row r="915" spans="1:11" ht="15" customHeight="1" x14ac:dyDescent="0.3">
      <c r="A915" t="s">
        <v>18</v>
      </c>
      <c r="B915" t="s">
        <v>11</v>
      </c>
      <c r="C915" t="s">
        <v>12</v>
      </c>
      <c r="D915" t="s">
        <v>13</v>
      </c>
      <c r="E915">
        <v>15</v>
      </c>
      <c r="F915" t="s">
        <v>30</v>
      </c>
      <c r="G915" t="s">
        <v>15</v>
      </c>
      <c r="H915" t="s">
        <v>16</v>
      </c>
      <c r="I915">
        <v>0</v>
      </c>
      <c r="J915" s="23">
        <v>-36688</v>
      </c>
      <c r="K915" t="s">
        <v>17</v>
      </c>
    </row>
    <row r="916" spans="1:11" ht="15" customHeight="1" x14ac:dyDescent="0.3">
      <c r="A916" t="s">
        <v>18</v>
      </c>
      <c r="B916" t="s">
        <v>19</v>
      </c>
      <c r="C916" t="s">
        <v>24</v>
      </c>
      <c r="D916" t="s">
        <v>20</v>
      </c>
      <c r="E916">
        <v>43</v>
      </c>
      <c r="F916"/>
      <c r="G916" t="s">
        <v>15</v>
      </c>
      <c r="H916" t="s">
        <v>32</v>
      </c>
      <c r="I916">
        <v>1</v>
      </c>
      <c r="J916" s="23">
        <v>65667</v>
      </c>
      <c r="K916">
        <v>2823681</v>
      </c>
    </row>
    <row r="917" spans="1:11" ht="15" customHeight="1" x14ac:dyDescent="0.3">
      <c r="A917" t="s">
        <v>10</v>
      </c>
      <c r="B917" t="s">
        <v>11</v>
      </c>
      <c r="C917" t="s">
        <v>24</v>
      </c>
      <c r="D917" t="s">
        <v>28</v>
      </c>
      <c r="E917">
        <v>8</v>
      </c>
      <c r="F917" t="s">
        <v>30</v>
      </c>
      <c r="G917" t="s">
        <v>15</v>
      </c>
      <c r="H917" t="s">
        <v>16</v>
      </c>
      <c r="I917">
        <v>0</v>
      </c>
      <c r="J917" s="23">
        <v>538762</v>
      </c>
      <c r="K917">
        <v>4310096</v>
      </c>
    </row>
    <row r="918" spans="1:11" ht="15" customHeight="1" x14ac:dyDescent="0.3">
      <c r="A918" t="s">
        <v>22</v>
      </c>
      <c r="B918" t="s">
        <v>11</v>
      </c>
      <c r="C918" t="s">
        <v>24</v>
      </c>
      <c r="D918" t="s">
        <v>28</v>
      </c>
      <c r="E918">
        <v>5</v>
      </c>
      <c r="F918" t="s">
        <v>14</v>
      </c>
      <c r="G918" t="s">
        <v>15</v>
      </c>
      <c r="H918" t="s">
        <v>16</v>
      </c>
      <c r="I918">
        <v>0</v>
      </c>
      <c r="J918" s="23">
        <v>179041</v>
      </c>
      <c r="K918">
        <v>895205</v>
      </c>
    </row>
    <row r="919" spans="1:11" ht="15" customHeight="1" x14ac:dyDescent="0.3">
      <c r="A919" t="s">
        <v>10</v>
      </c>
      <c r="B919" t="s">
        <v>11</v>
      </c>
      <c r="C919" t="s">
        <v>24</v>
      </c>
      <c r="D919" t="s">
        <v>28</v>
      </c>
      <c r="E919">
        <v>9</v>
      </c>
      <c r="F919" t="s">
        <v>29</v>
      </c>
      <c r="G919" t="s">
        <v>31</v>
      </c>
      <c r="H919" t="s">
        <v>32</v>
      </c>
      <c r="I919">
        <v>1</v>
      </c>
      <c r="J919" s="23">
        <v>144287</v>
      </c>
      <c r="K919">
        <v>1298583</v>
      </c>
    </row>
    <row r="920" spans="1:11" ht="15" customHeight="1" x14ac:dyDescent="0.3">
      <c r="A920" t="s">
        <v>10</v>
      </c>
      <c r="B920" t="s">
        <v>11</v>
      </c>
      <c r="C920" t="s">
        <v>24</v>
      </c>
      <c r="D920" t="s">
        <v>25</v>
      </c>
      <c r="E920">
        <v>1</v>
      </c>
      <c r="F920" t="s">
        <v>34</v>
      </c>
      <c r="G920" t="s">
        <v>15</v>
      </c>
      <c r="H920" t="s">
        <v>16</v>
      </c>
      <c r="I920">
        <v>0</v>
      </c>
      <c r="J920" s="23">
        <v>1057837</v>
      </c>
      <c r="K920">
        <v>1057837</v>
      </c>
    </row>
    <row r="921" spans="1:11" ht="15" customHeight="1" x14ac:dyDescent="0.3">
      <c r="A921" t="s">
        <v>18</v>
      </c>
      <c r="B921" t="s">
        <v>19</v>
      </c>
      <c r="C921" t="s">
        <v>24</v>
      </c>
      <c r="D921" t="s">
        <v>20</v>
      </c>
      <c r="E921">
        <v>3</v>
      </c>
      <c r="F921"/>
      <c r="G921" t="s">
        <v>15</v>
      </c>
      <c r="H921" t="s">
        <v>16</v>
      </c>
      <c r="I921">
        <v>0</v>
      </c>
      <c r="J921" s="23">
        <v>30846848</v>
      </c>
      <c r="K921">
        <v>92540544</v>
      </c>
    </row>
    <row r="922" spans="1:11" ht="15" customHeight="1" x14ac:dyDescent="0.3">
      <c r="A922" t="s">
        <v>22</v>
      </c>
      <c r="B922" t="s">
        <v>11</v>
      </c>
      <c r="C922" t="s">
        <v>12</v>
      </c>
      <c r="D922" t="s">
        <v>13</v>
      </c>
      <c r="E922">
        <v>2</v>
      </c>
      <c r="F922" t="s">
        <v>29</v>
      </c>
      <c r="G922" t="s">
        <v>15</v>
      </c>
      <c r="H922" t="s">
        <v>16</v>
      </c>
      <c r="I922">
        <v>0</v>
      </c>
      <c r="J922" s="23">
        <v>-4923607</v>
      </c>
      <c r="K922" t="s">
        <v>17</v>
      </c>
    </row>
    <row r="923" spans="1:11" ht="15" customHeight="1" x14ac:dyDescent="0.3">
      <c r="A923" t="s">
        <v>10</v>
      </c>
      <c r="B923" t="s">
        <v>19</v>
      </c>
      <c r="C923" t="s">
        <v>12</v>
      </c>
      <c r="D923" t="s">
        <v>20</v>
      </c>
      <c r="E923">
        <v>35</v>
      </c>
      <c r="F923"/>
      <c r="G923" t="s">
        <v>15</v>
      </c>
      <c r="H923" t="s">
        <v>16</v>
      </c>
      <c r="I923">
        <v>0</v>
      </c>
      <c r="J923" s="23">
        <v>-1627101</v>
      </c>
      <c r="K923" t="s">
        <v>17</v>
      </c>
    </row>
    <row r="924" spans="1:11" ht="15" customHeight="1" x14ac:dyDescent="0.3">
      <c r="A924" t="s">
        <v>18</v>
      </c>
      <c r="B924" t="s">
        <v>11</v>
      </c>
      <c r="C924" t="s">
        <v>12</v>
      </c>
      <c r="D924" t="s">
        <v>28</v>
      </c>
      <c r="E924">
        <v>13</v>
      </c>
      <c r="F924" t="s">
        <v>23</v>
      </c>
      <c r="G924" t="s">
        <v>15</v>
      </c>
      <c r="H924" t="s">
        <v>16</v>
      </c>
      <c r="I924">
        <v>0</v>
      </c>
      <c r="J924" s="23">
        <v>-11981</v>
      </c>
      <c r="K924" t="s">
        <v>17</v>
      </c>
    </row>
    <row r="925" spans="1:11" ht="15" customHeight="1" x14ac:dyDescent="0.3">
      <c r="A925" t="s">
        <v>22</v>
      </c>
      <c r="B925" t="s">
        <v>19</v>
      </c>
      <c r="C925" t="s">
        <v>24</v>
      </c>
      <c r="D925" t="s">
        <v>20</v>
      </c>
      <c r="E925">
        <v>11</v>
      </c>
      <c r="F925"/>
      <c r="G925" t="s">
        <v>31</v>
      </c>
      <c r="H925" t="s">
        <v>16</v>
      </c>
      <c r="I925">
        <v>1</v>
      </c>
      <c r="J925" s="23">
        <v>47774</v>
      </c>
      <c r="K925">
        <v>525514</v>
      </c>
    </row>
    <row r="926" spans="1:11" ht="15" customHeight="1" x14ac:dyDescent="0.3">
      <c r="A926" t="s">
        <v>18</v>
      </c>
      <c r="B926" t="s">
        <v>11</v>
      </c>
      <c r="C926" t="s">
        <v>24</v>
      </c>
      <c r="D926" t="s">
        <v>28</v>
      </c>
      <c r="E926">
        <v>4</v>
      </c>
      <c r="F926" t="s">
        <v>23</v>
      </c>
      <c r="G926" t="s">
        <v>15</v>
      </c>
      <c r="H926" t="s">
        <v>16</v>
      </c>
      <c r="I926">
        <v>0</v>
      </c>
      <c r="J926" s="23">
        <v>10460483</v>
      </c>
      <c r="K926">
        <v>41841932</v>
      </c>
    </row>
    <row r="927" spans="1:11" ht="15" customHeight="1" x14ac:dyDescent="0.3">
      <c r="A927" t="s">
        <v>10</v>
      </c>
      <c r="B927" t="s">
        <v>11</v>
      </c>
      <c r="C927" t="s">
        <v>24</v>
      </c>
      <c r="D927" t="s">
        <v>25</v>
      </c>
      <c r="E927">
        <v>5</v>
      </c>
      <c r="F927" t="s">
        <v>23</v>
      </c>
      <c r="G927" t="s">
        <v>15</v>
      </c>
      <c r="H927" t="s">
        <v>16</v>
      </c>
      <c r="I927">
        <v>0</v>
      </c>
      <c r="J927" s="23">
        <v>509902</v>
      </c>
      <c r="K927">
        <v>2549510</v>
      </c>
    </row>
    <row r="928" spans="1:11" ht="15" customHeight="1" x14ac:dyDescent="0.3">
      <c r="A928" t="s">
        <v>10</v>
      </c>
      <c r="B928" t="s">
        <v>11</v>
      </c>
      <c r="C928" t="s">
        <v>24</v>
      </c>
      <c r="D928" t="s">
        <v>13</v>
      </c>
      <c r="E928">
        <v>7</v>
      </c>
      <c r="F928" t="s">
        <v>40</v>
      </c>
      <c r="G928" t="s">
        <v>15</v>
      </c>
      <c r="H928" t="s">
        <v>16</v>
      </c>
      <c r="I928">
        <v>0</v>
      </c>
      <c r="J928" s="23">
        <v>340778</v>
      </c>
      <c r="K928">
        <v>2385446</v>
      </c>
    </row>
    <row r="929" spans="1:11" ht="15" customHeight="1" x14ac:dyDescent="0.3">
      <c r="A929" t="s">
        <v>18</v>
      </c>
      <c r="B929" t="s">
        <v>19</v>
      </c>
      <c r="C929" t="s">
        <v>24</v>
      </c>
      <c r="D929" t="s">
        <v>20</v>
      </c>
      <c r="E929">
        <v>4</v>
      </c>
      <c r="F929"/>
      <c r="G929" t="s">
        <v>31</v>
      </c>
      <c r="H929" t="s">
        <v>32</v>
      </c>
      <c r="I929">
        <v>1</v>
      </c>
      <c r="J929" s="23">
        <v>15182</v>
      </c>
      <c r="K929">
        <v>60728</v>
      </c>
    </row>
    <row r="930" spans="1:11" ht="15" customHeight="1" x14ac:dyDescent="0.3">
      <c r="A930" t="s">
        <v>10</v>
      </c>
      <c r="B930" t="s">
        <v>11</v>
      </c>
      <c r="C930" t="s">
        <v>12</v>
      </c>
      <c r="D930" t="s">
        <v>28</v>
      </c>
      <c r="E930">
        <v>5</v>
      </c>
      <c r="F930" t="s">
        <v>29</v>
      </c>
      <c r="G930" t="s">
        <v>15</v>
      </c>
      <c r="H930" t="s">
        <v>16</v>
      </c>
      <c r="I930">
        <v>0</v>
      </c>
      <c r="J930" s="23">
        <v>-106714</v>
      </c>
      <c r="K930" t="s">
        <v>17</v>
      </c>
    </row>
    <row r="931" spans="1:11" ht="15" customHeight="1" x14ac:dyDescent="0.3">
      <c r="A931" t="s">
        <v>18</v>
      </c>
      <c r="B931" t="s">
        <v>19</v>
      </c>
      <c r="C931" t="s">
        <v>24</v>
      </c>
      <c r="D931" t="s">
        <v>20</v>
      </c>
      <c r="E931">
        <v>25</v>
      </c>
      <c r="F931"/>
      <c r="G931" t="s">
        <v>31</v>
      </c>
      <c r="H931" t="s">
        <v>16</v>
      </c>
      <c r="I931">
        <v>1</v>
      </c>
      <c r="J931" s="23">
        <v>9431013</v>
      </c>
      <c r="K931">
        <v>235775325</v>
      </c>
    </row>
    <row r="932" spans="1:11" ht="15" customHeight="1" x14ac:dyDescent="0.3">
      <c r="A932" t="s">
        <v>18</v>
      </c>
      <c r="B932" t="s">
        <v>19</v>
      </c>
      <c r="C932" t="s">
        <v>12</v>
      </c>
      <c r="D932" t="s">
        <v>20</v>
      </c>
      <c r="E932">
        <v>23</v>
      </c>
      <c r="F932"/>
      <c r="G932" t="s">
        <v>15</v>
      </c>
      <c r="H932" t="s">
        <v>16</v>
      </c>
      <c r="I932">
        <v>0</v>
      </c>
      <c r="J932" s="23">
        <v>-294219</v>
      </c>
      <c r="K932" t="s">
        <v>17</v>
      </c>
    </row>
    <row r="933" spans="1:11" ht="15" customHeight="1" x14ac:dyDescent="0.3">
      <c r="A933" t="s">
        <v>10</v>
      </c>
      <c r="B933" t="s">
        <v>11</v>
      </c>
      <c r="C933" t="s">
        <v>24</v>
      </c>
      <c r="D933" t="s">
        <v>28</v>
      </c>
      <c r="E933">
        <v>10</v>
      </c>
      <c r="F933" t="s">
        <v>29</v>
      </c>
      <c r="G933" t="s">
        <v>15</v>
      </c>
      <c r="H933" t="s">
        <v>16</v>
      </c>
      <c r="I933">
        <v>0</v>
      </c>
      <c r="J933" s="23">
        <v>188245</v>
      </c>
      <c r="K933">
        <v>1882450</v>
      </c>
    </row>
    <row r="934" spans="1:11" ht="15" customHeight="1" x14ac:dyDescent="0.3">
      <c r="A934" t="s">
        <v>22</v>
      </c>
      <c r="B934" t="s">
        <v>11</v>
      </c>
      <c r="C934" t="s">
        <v>24</v>
      </c>
      <c r="D934" t="s">
        <v>28</v>
      </c>
      <c r="E934">
        <v>9</v>
      </c>
      <c r="F934" t="s">
        <v>40</v>
      </c>
      <c r="G934" t="s">
        <v>15</v>
      </c>
      <c r="H934" t="s">
        <v>16</v>
      </c>
      <c r="I934">
        <v>0</v>
      </c>
      <c r="J934" s="23">
        <v>265577</v>
      </c>
      <c r="K934">
        <v>2390193</v>
      </c>
    </row>
    <row r="935" spans="1:11" ht="15" customHeight="1" x14ac:dyDescent="0.3">
      <c r="A935" t="s">
        <v>10</v>
      </c>
      <c r="B935" t="s">
        <v>19</v>
      </c>
      <c r="C935" t="s">
        <v>24</v>
      </c>
      <c r="D935" t="s">
        <v>20</v>
      </c>
      <c r="E935">
        <v>25</v>
      </c>
      <c r="F935"/>
      <c r="G935" t="s">
        <v>15</v>
      </c>
      <c r="H935" t="s">
        <v>16</v>
      </c>
      <c r="I935">
        <v>0</v>
      </c>
      <c r="J935" s="23">
        <v>46691271</v>
      </c>
      <c r="K935">
        <v>1167281775</v>
      </c>
    </row>
    <row r="936" spans="1:11" ht="15" customHeight="1" x14ac:dyDescent="0.3">
      <c r="A936" t="s">
        <v>22</v>
      </c>
      <c r="B936" t="s">
        <v>11</v>
      </c>
      <c r="C936" t="s">
        <v>12</v>
      </c>
      <c r="D936" t="s">
        <v>28</v>
      </c>
      <c r="E936">
        <v>3</v>
      </c>
      <c r="F936" t="s">
        <v>23</v>
      </c>
      <c r="G936" t="s">
        <v>31</v>
      </c>
      <c r="H936" t="s">
        <v>16</v>
      </c>
      <c r="I936">
        <v>1</v>
      </c>
      <c r="J936" s="23">
        <v>-10574</v>
      </c>
      <c r="K936" t="s">
        <v>17</v>
      </c>
    </row>
    <row r="937" spans="1:11" ht="15" customHeight="1" x14ac:dyDescent="0.3">
      <c r="A937" t="s">
        <v>18</v>
      </c>
      <c r="B937" t="s">
        <v>11</v>
      </c>
      <c r="C937" t="s">
        <v>24</v>
      </c>
      <c r="D937" t="s">
        <v>28</v>
      </c>
      <c r="E937">
        <v>4</v>
      </c>
      <c r="F937" t="s">
        <v>34</v>
      </c>
      <c r="G937" t="s">
        <v>15</v>
      </c>
      <c r="H937" t="s">
        <v>32</v>
      </c>
      <c r="I937">
        <v>1</v>
      </c>
      <c r="J937" s="23">
        <v>133407</v>
      </c>
      <c r="K937">
        <v>533628</v>
      </c>
    </row>
    <row r="938" spans="1:11" ht="15" customHeight="1" x14ac:dyDescent="0.3">
      <c r="A938" t="s">
        <v>18</v>
      </c>
      <c r="B938" t="s">
        <v>11</v>
      </c>
      <c r="C938" t="s">
        <v>24</v>
      </c>
      <c r="D938" t="s">
        <v>28</v>
      </c>
      <c r="E938">
        <v>2</v>
      </c>
      <c r="F938" t="s">
        <v>29</v>
      </c>
      <c r="G938" t="s">
        <v>15</v>
      </c>
      <c r="H938" t="s">
        <v>32</v>
      </c>
      <c r="I938">
        <v>1</v>
      </c>
      <c r="J938" s="23">
        <v>2807854</v>
      </c>
      <c r="K938">
        <v>5615708</v>
      </c>
    </row>
    <row r="939" spans="1:11" ht="15" customHeight="1" x14ac:dyDescent="0.3">
      <c r="A939" t="s">
        <v>22</v>
      </c>
      <c r="B939" t="s">
        <v>11</v>
      </c>
      <c r="C939" t="s">
        <v>12</v>
      </c>
      <c r="D939" t="s">
        <v>13</v>
      </c>
      <c r="E939">
        <v>-4</v>
      </c>
      <c r="F939" t="s">
        <v>40</v>
      </c>
      <c r="G939" t="s">
        <v>15</v>
      </c>
      <c r="H939" t="s">
        <v>16</v>
      </c>
      <c r="I939">
        <v>0</v>
      </c>
      <c r="J939" s="23">
        <v>-1299178</v>
      </c>
      <c r="K939" t="s">
        <v>17</v>
      </c>
    </row>
    <row r="940" spans="1:11" ht="15" customHeight="1" x14ac:dyDescent="0.3">
      <c r="A940" t="s">
        <v>18</v>
      </c>
      <c r="B940" t="s">
        <v>11</v>
      </c>
      <c r="C940" t="s">
        <v>24</v>
      </c>
      <c r="D940" t="s">
        <v>28</v>
      </c>
      <c r="E940">
        <v>11</v>
      </c>
      <c r="F940" t="s">
        <v>42</v>
      </c>
      <c r="G940" t="s">
        <v>15</v>
      </c>
      <c r="H940" t="s">
        <v>16</v>
      </c>
      <c r="I940">
        <v>0</v>
      </c>
      <c r="J940" s="23">
        <v>1449107</v>
      </c>
      <c r="K940">
        <v>15940177</v>
      </c>
    </row>
    <row r="941" spans="1:11" ht="15" customHeight="1" x14ac:dyDescent="0.3">
      <c r="A941" t="s">
        <v>22</v>
      </c>
      <c r="B941" t="s">
        <v>11</v>
      </c>
      <c r="C941" t="s">
        <v>24</v>
      </c>
      <c r="D941" t="s">
        <v>25</v>
      </c>
      <c r="E941">
        <v>4</v>
      </c>
      <c r="F941" t="s">
        <v>37</v>
      </c>
      <c r="G941" t="s">
        <v>15</v>
      </c>
      <c r="H941" t="s">
        <v>16</v>
      </c>
      <c r="I941">
        <v>0</v>
      </c>
      <c r="J941" s="23">
        <v>79343</v>
      </c>
      <c r="K941">
        <v>317372</v>
      </c>
    </row>
    <row r="942" spans="1:11" ht="15" customHeight="1" x14ac:dyDescent="0.3">
      <c r="A942" t="s">
        <v>18</v>
      </c>
      <c r="B942" t="s">
        <v>19</v>
      </c>
      <c r="C942" t="s">
        <v>12</v>
      </c>
      <c r="D942" t="s">
        <v>20</v>
      </c>
      <c r="E942">
        <v>20</v>
      </c>
      <c r="F942"/>
      <c r="G942" t="s">
        <v>31</v>
      </c>
      <c r="H942" t="s">
        <v>32</v>
      </c>
      <c r="I942">
        <v>1</v>
      </c>
      <c r="J942" s="23">
        <v>-356</v>
      </c>
      <c r="K942" t="s">
        <v>17</v>
      </c>
    </row>
    <row r="943" spans="1:11" ht="15" customHeight="1" x14ac:dyDescent="0.3">
      <c r="A943" t="s">
        <v>18</v>
      </c>
      <c r="B943" t="s">
        <v>19</v>
      </c>
      <c r="C943" t="s">
        <v>24</v>
      </c>
      <c r="D943" t="s">
        <v>28</v>
      </c>
      <c r="E943">
        <v>4</v>
      </c>
      <c r="F943"/>
      <c r="G943" t="s">
        <v>31</v>
      </c>
      <c r="H943" t="s">
        <v>16</v>
      </c>
      <c r="I943">
        <v>1</v>
      </c>
      <c r="J943" s="23">
        <v>16985</v>
      </c>
      <c r="K943">
        <v>67940</v>
      </c>
    </row>
    <row r="944" spans="1:11" ht="15" customHeight="1" x14ac:dyDescent="0.3">
      <c r="A944" t="s">
        <v>10</v>
      </c>
      <c r="B944" t="s">
        <v>19</v>
      </c>
      <c r="C944" t="s">
        <v>24</v>
      </c>
      <c r="D944" t="s">
        <v>28</v>
      </c>
      <c r="E944">
        <v>5</v>
      </c>
      <c r="F944"/>
      <c r="G944" t="s">
        <v>15</v>
      </c>
      <c r="H944" t="s">
        <v>16</v>
      </c>
      <c r="I944">
        <v>0</v>
      </c>
      <c r="J944" s="23">
        <v>895958</v>
      </c>
      <c r="K944">
        <v>4479790</v>
      </c>
    </row>
    <row r="945" spans="1:11" ht="15" customHeight="1" x14ac:dyDescent="0.3">
      <c r="A945" t="s">
        <v>10</v>
      </c>
      <c r="B945" t="s">
        <v>11</v>
      </c>
      <c r="C945" t="s">
        <v>24</v>
      </c>
      <c r="D945" t="s">
        <v>25</v>
      </c>
      <c r="E945">
        <v>3</v>
      </c>
      <c r="F945" t="s">
        <v>41</v>
      </c>
      <c r="G945" t="s">
        <v>15</v>
      </c>
      <c r="H945" t="s">
        <v>16</v>
      </c>
      <c r="I945">
        <v>0</v>
      </c>
      <c r="J945" s="23">
        <v>177420</v>
      </c>
      <c r="K945">
        <v>532260</v>
      </c>
    </row>
    <row r="946" spans="1:11" ht="15" customHeight="1" x14ac:dyDescent="0.3">
      <c r="A946" t="s">
        <v>10</v>
      </c>
      <c r="B946" t="s">
        <v>11</v>
      </c>
      <c r="C946" t="s">
        <v>12</v>
      </c>
      <c r="D946" t="s">
        <v>28</v>
      </c>
      <c r="E946">
        <v>3</v>
      </c>
      <c r="F946" t="s">
        <v>21</v>
      </c>
      <c r="G946" t="s">
        <v>15</v>
      </c>
      <c r="H946" t="s">
        <v>16</v>
      </c>
      <c r="I946">
        <v>0</v>
      </c>
      <c r="J946" s="23">
        <v>-32398</v>
      </c>
      <c r="K946" t="s">
        <v>17</v>
      </c>
    </row>
    <row r="947" spans="1:11" ht="15" customHeight="1" x14ac:dyDescent="0.3">
      <c r="A947" t="s">
        <v>10</v>
      </c>
      <c r="B947" t="s">
        <v>19</v>
      </c>
      <c r="C947" t="s">
        <v>24</v>
      </c>
      <c r="D947" t="s">
        <v>28</v>
      </c>
      <c r="E947">
        <v>9</v>
      </c>
      <c r="F947"/>
      <c r="G947" t="s">
        <v>15</v>
      </c>
      <c r="H947" t="s">
        <v>32</v>
      </c>
      <c r="I947">
        <v>1</v>
      </c>
      <c r="J947" s="23">
        <v>167099</v>
      </c>
      <c r="K947">
        <v>1503891</v>
      </c>
    </row>
    <row r="948" spans="1:11" ht="15" customHeight="1" x14ac:dyDescent="0.3">
      <c r="A948" t="s">
        <v>10</v>
      </c>
      <c r="B948" t="s">
        <v>19</v>
      </c>
      <c r="C948" t="s">
        <v>12</v>
      </c>
      <c r="D948" t="s">
        <v>28</v>
      </c>
      <c r="E948">
        <v>15</v>
      </c>
      <c r="F948"/>
      <c r="G948" t="s">
        <v>15</v>
      </c>
      <c r="H948" t="s">
        <v>32</v>
      </c>
      <c r="I948">
        <v>1</v>
      </c>
      <c r="J948" s="23">
        <v>-24063</v>
      </c>
      <c r="K948" t="s">
        <v>17</v>
      </c>
    </row>
    <row r="949" spans="1:11" ht="15" customHeight="1" x14ac:dyDescent="0.3">
      <c r="A949" t="s">
        <v>22</v>
      </c>
      <c r="B949" t="s">
        <v>11</v>
      </c>
      <c r="C949" t="s">
        <v>12</v>
      </c>
      <c r="D949" t="s">
        <v>28</v>
      </c>
      <c r="E949">
        <v>2</v>
      </c>
      <c r="F949" t="s">
        <v>42</v>
      </c>
      <c r="G949" t="s">
        <v>15</v>
      </c>
      <c r="H949" t="s">
        <v>16</v>
      </c>
      <c r="I949">
        <v>0</v>
      </c>
      <c r="J949" s="23">
        <v>-15483</v>
      </c>
      <c r="K949" t="s">
        <v>17</v>
      </c>
    </row>
    <row r="950" spans="1:11" ht="15" customHeight="1" x14ac:dyDescent="0.3">
      <c r="A950" t="s">
        <v>18</v>
      </c>
      <c r="B950" t="s">
        <v>11</v>
      </c>
      <c r="C950" t="s">
        <v>12</v>
      </c>
      <c r="D950" t="s">
        <v>13</v>
      </c>
      <c r="E950">
        <v>2</v>
      </c>
      <c r="F950" t="s">
        <v>14</v>
      </c>
      <c r="G950" t="s">
        <v>15</v>
      </c>
      <c r="H950" t="s">
        <v>16</v>
      </c>
      <c r="I950">
        <v>0</v>
      </c>
      <c r="J950" s="23">
        <v>-48750</v>
      </c>
      <c r="K950" t="s">
        <v>17</v>
      </c>
    </row>
    <row r="951" spans="1:11" ht="15" customHeight="1" x14ac:dyDescent="0.3">
      <c r="A951" t="s">
        <v>10</v>
      </c>
      <c r="B951" t="s">
        <v>19</v>
      </c>
      <c r="C951" t="s">
        <v>24</v>
      </c>
      <c r="D951" t="s">
        <v>20</v>
      </c>
      <c r="E951">
        <v>1</v>
      </c>
      <c r="F951"/>
      <c r="G951" t="s">
        <v>15</v>
      </c>
      <c r="H951" t="s">
        <v>32</v>
      </c>
      <c r="I951">
        <v>1</v>
      </c>
      <c r="J951" s="23">
        <v>5379</v>
      </c>
      <c r="K951">
        <v>5379</v>
      </c>
    </row>
    <row r="952" spans="1:11" ht="15" customHeight="1" x14ac:dyDescent="0.3">
      <c r="A952" t="s">
        <v>10</v>
      </c>
      <c r="B952" t="s">
        <v>19</v>
      </c>
      <c r="C952" t="s">
        <v>24</v>
      </c>
      <c r="D952" t="s">
        <v>20</v>
      </c>
      <c r="E952">
        <v>24</v>
      </c>
      <c r="F952"/>
      <c r="G952" t="s">
        <v>31</v>
      </c>
      <c r="H952" t="s">
        <v>16</v>
      </c>
      <c r="I952">
        <v>1</v>
      </c>
      <c r="J952" s="23">
        <v>454777</v>
      </c>
      <c r="K952">
        <v>10914648</v>
      </c>
    </row>
    <row r="953" spans="1:11" ht="15" customHeight="1" x14ac:dyDescent="0.3">
      <c r="A953" t="s">
        <v>10</v>
      </c>
      <c r="B953" t="s">
        <v>11</v>
      </c>
      <c r="C953" t="s">
        <v>24</v>
      </c>
      <c r="D953" t="s">
        <v>28</v>
      </c>
      <c r="E953">
        <v>8</v>
      </c>
      <c r="F953" t="s">
        <v>29</v>
      </c>
      <c r="G953" t="s">
        <v>15</v>
      </c>
      <c r="H953" t="s">
        <v>32</v>
      </c>
      <c r="I953">
        <v>1</v>
      </c>
      <c r="J953" s="23">
        <v>1529333</v>
      </c>
      <c r="K953">
        <v>12234664</v>
      </c>
    </row>
    <row r="954" spans="1:11" ht="15" customHeight="1" x14ac:dyDescent="0.3">
      <c r="A954" t="s">
        <v>18</v>
      </c>
      <c r="B954" t="s">
        <v>11</v>
      </c>
      <c r="C954" t="s">
        <v>12</v>
      </c>
      <c r="D954" t="s">
        <v>28</v>
      </c>
      <c r="E954">
        <v>13</v>
      </c>
      <c r="F954" t="s">
        <v>30</v>
      </c>
      <c r="G954" t="s">
        <v>31</v>
      </c>
      <c r="H954" t="s">
        <v>16</v>
      </c>
      <c r="I954">
        <v>1</v>
      </c>
      <c r="J954" s="23">
        <v>-98</v>
      </c>
      <c r="K954" t="s">
        <v>17</v>
      </c>
    </row>
    <row r="955" spans="1:11" ht="15" customHeight="1" x14ac:dyDescent="0.3">
      <c r="A955" t="s">
        <v>18</v>
      </c>
      <c r="B955" t="s">
        <v>44</v>
      </c>
      <c r="C955" t="s">
        <v>12</v>
      </c>
      <c r="D955" t="s">
        <v>28</v>
      </c>
      <c r="E955">
        <v>-1</v>
      </c>
      <c r="F955" t="s">
        <v>38</v>
      </c>
      <c r="G955" t="s">
        <v>15</v>
      </c>
      <c r="H955" t="s">
        <v>16</v>
      </c>
      <c r="I955">
        <v>0</v>
      </c>
      <c r="J955" s="23">
        <v>-3314</v>
      </c>
      <c r="K955" t="s">
        <v>17</v>
      </c>
    </row>
    <row r="956" spans="1:11" ht="15" customHeight="1" x14ac:dyDescent="0.3">
      <c r="A956" t="s">
        <v>10</v>
      </c>
      <c r="B956" t="s">
        <v>19</v>
      </c>
      <c r="C956" t="s">
        <v>12</v>
      </c>
      <c r="D956" t="s">
        <v>20</v>
      </c>
      <c r="E956">
        <v>17</v>
      </c>
      <c r="F956"/>
      <c r="G956" t="s">
        <v>15</v>
      </c>
      <c r="H956" t="s">
        <v>32</v>
      </c>
      <c r="I956">
        <v>1</v>
      </c>
      <c r="J956" s="23">
        <v>-1741</v>
      </c>
      <c r="K956" t="s">
        <v>17</v>
      </c>
    </row>
    <row r="957" spans="1:11" ht="15" customHeight="1" x14ac:dyDescent="0.3">
      <c r="A957" t="s">
        <v>10</v>
      </c>
      <c r="B957" t="s">
        <v>11</v>
      </c>
      <c r="C957" t="s">
        <v>24</v>
      </c>
      <c r="D957" t="s">
        <v>13</v>
      </c>
      <c r="E957">
        <v>-4</v>
      </c>
      <c r="F957" t="s">
        <v>21</v>
      </c>
      <c r="G957" t="s">
        <v>15</v>
      </c>
      <c r="H957" t="s">
        <v>16</v>
      </c>
      <c r="I957">
        <v>0</v>
      </c>
      <c r="J957" s="23">
        <v>20515</v>
      </c>
      <c r="K957" t="s">
        <v>17</v>
      </c>
    </row>
    <row r="958" spans="1:11" ht="15" customHeight="1" x14ac:dyDescent="0.3">
      <c r="A958" t="s">
        <v>18</v>
      </c>
      <c r="B958" t="s">
        <v>11</v>
      </c>
      <c r="C958" t="s">
        <v>24</v>
      </c>
      <c r="D958" t="s">
        <v>28</v>
      </c>
      <c r="E958">
        <v>1</v>
      </c>
      <c r="F958" t="s">
        <v>34</v>
      </c>
      <c r="G958" t="s">
        <v>15</v>
      </c>
      <c r="H958" t="s">
        <v>32</v>
      </c>
      <c r="I958">
        <v>1</v>
      </c>
      <c r="J958" s="23">
        <v>303232</v>
      </c>
      <c r="K958">
        <v>303232</v>
      </c>
    </row>
    <row r="959" spans="1:11" ht="15" customHeight="1" x14ac:dyDescent="0.3">
      <c r="A959" t="s">
        <v>10</v>
      </c>
      <c r="B959" t="s">
        <v>11</v>
      </c>
      <c r="C959" t="s">
        <v>24</v>
      </c>
      <c r="D959" t="s">
        <v>25</v>
      </c>
      <c r="E959">
        <v>7</v>
      </c>
      <c r="F959" t="s">
        <v>34</v>
      </c>
      <c r="G959" t="s">
        <v>15</v>
      </c>
      <c r="H959" t="s">
        <v>16</v>
      </c>
      <c r="I959">
        <v>0</v>
      </c>
      <c r="J959" s="23">
        <v>384244</v>
      </c>
      <c r="K959">
        <v>2689708</v>
      </c>
    </row>
    <row r="960" spans="1:11" ht="15" customHeight="1" x14ac:dyDescent="0.3">
      <c r="A960" t="s">
        <v>22</v>
      </c>
      <c r="B960" t="s">
        <v>11</v>
      </c>
      <c r="C960" t="s">
        <v>24</v>
      </c>
      <c r="D960" t="s">
        <v>13</v>
      </c>
      <c r="E960">
        <v>2</v>
      </c>
      <c r="F960" t="s">
        <v>45</v>
      </c>
      <c r="G960" t="s">
        <v>15</v>
      </c>
      <c r="H960" t="s">
        <v>16</v>
      </c>
      <c r="I960">
        <v>0</v>
      </c>
      <c r="J960" s="23">
        <v>98479</v>
      </c>
      <c r="K960">
        <v>196958</v>
      </c>
    </row>
    <row r="961" spans="1:11" ht="15" customHeight="1" x14ac:dyDescent="0.3">
      <c r="A961" t="s">
        <v>10</v>
      </c>
      <c r="B961" t="s">
        <v>19</v>
      </c>
      <c r="C961" t="s">
        <v>24</v>
      </c>
      <c r="D961" t="s">
        <v>20</v>
      </c>
      <c r="E961">
        <v>37</v>
      </c>
      <c r="F961"/>
      <c r="G961" t="s">
        <v>15</v>
      </c>
      <c r="H961" t="s">
        <v>32</v>
      </c>
      <c r="I961">
        <v>1</v>
      </c>
      <c r="J961" s="23">
        <v>170486</v>
      </c>
      <c r="K961">
        <v>6307982</v>
      </c>
    </row>
    <row r="962" spans="1:11" ht="15" customHeight="1" x14ac:dyDescent="0.3">
      <c r="A962" t="s">
        <v>22</v>
      </c>
      <c r="B962" t="s">
        <v>19</v>
      </c>
      <c r="C962" t="s">
        <v>12</v>
      </c>
      <c r="D962" t="s">
        <v>20</v>
      </c>
      <c r="E962">
        <v>2</v>
      </c>
      <c r="F962"/>
      <c r="G962" t="s">
        <v>15</v>
      </c>
      <c r="H962" t="s">
        <v>16</v>
      </c>
      <c r="I962">
        <v>0</v>
      </c>
      <c r="J962" s="23">
        <v>-75706</v>
      </c>
      <c r="K962" t="s">
        <v>17</v>
      </c>
    </row>
    <row r="963" spans="1:11" ht="15" customHeight="1" x14ac:dyDescent="0.3">
      <c r="A963" t="s">
        <v>18</v>
      </c>
      <c r="B963" t="s">
        <v>11</v>
      </c>
      <c r="C963" t="s">
        <v>24</v>
      </c>
      <c r="D963" t="s">
        <v>28</v>
      </c>
      <c r="E963">
        <v>6</v>
      </c>
      <c r="F963" t="s">
        <v>34</v>
      </c>
      <c r="G963" t="s">
        <v>31</v>
      </c>
      <c r="H963" t="s">
        <v>16</v>
      </c>
      <c r="I963">
        <v>1</v>
      </c>
      <c r="J963" s="23">
        <v>166662</v>
      </c>
      <c r="K963">
        <v>999972</v>
      </c>
    </row>
    <row r="964" spans="1:11" ht="15" customHeight="1" x14ac:dyDescent="0.3">
      <c r="A964" t="s">
        <v>18</v>
      </c>
      <c r="B964" t="s">
        <v>11</v>
      </c>
      <c r="C964" t="s">
        <v>24</v>
      </c>
      <c r="D964" t="s">
        <v>25</v>
      </c>
      <c r="E964">
        <v>9</v>
      </c>
      <c r="F964" t="s">
        <v>26</v>
      </c>
      <c r="G964" t="s">
        <v>15</v>
      </c>
      <c r="H964" t="s">
        <v>16</v>
      </c>
      <c r="I964">
        <v>0</v>
      </c>
      <c r="J964" s="23">
        <v>1645269</v>
      </c>
      <c r="K964">
        <v>14807421</v>
      </c>
    </row>
    <row r="965" spans="1:11" ht="15" customHeight="1" x14ac:dyDescent="0.3">
      <c r="A965" t="s">
        <v>18</v>
      </c>
      <c r="B965" t="s">
        <v>19</v>
      </c>
      <c r="C965" t="s">
        <v>12</v>
      </c>
      <c r="D965" t="s">
        <v>20</v>
      </c>
      <c r="E965">
        <v>8</v>
      </c>
      <c r="F965"/>
      <c r="G965" t="s">
        <v>15</v>
      </c>
      <c r="H965" t="s">
        <v>32</v>
      </c>
      <c r="I965">
        <v>1</v>
      </c>
      <c r="J965" s="23">
        <v>-620</v>
      </c>
      <c r="K965" t="s">
        <v>17</v>
      </c>
    </row>
    <row r="966" spans="1:11" ht="15" customHeight="1" x14ac:dyDescent="0.3">
      <c r="A966" t="s">
        <v>10</v>
      </c>
      <c r="B966" t="s">
        <v>19</v>
      </c>
      <c r="C966" t="s">
        <v>12</v>
      </c>
      <c r="D966" t="s">
        <v>20</v>
      </c>
      <c r="E966">
        <v>12</v>
      </c>
      <c r="F966"/>
      <c r="G966" t="s">
        <v>15</v>
      </c>
      <c r="H966" t="s">
        <v>32</v>
      </c>
      <c r="I966">
        <v>1</v>
      </c>
      <c r="J966" s="23">
        <v>-2360</v>
      </c>
      <c r="K966" t="s">
        <v>17</v>
      </c>
    </row>
    <row r="967" spans="1:11" ht="15" customHeight="1" x14ac:dyDescent="0.3">
      <c r="A967" t="s">
        <v>10</v>
      </c>
      <c r="B967" t="s">
        <v>11</v>
      </c>
      <c r="C967" t="s">
        <v>12</v>
      </c>
      <c r="D967" t="s">
        <v>13</v>
      </c>
      <c r="E967">
        <v>8</v>
      </c>
      <c r="F967" t="s">
        <v>34</v>
      </c>
      <c r="G967" t="s">
        <v>15</v>
      </c>
      <c r="H967" t="s">
        <v>16</v>
      </c>
      <c r="I967">
        <v>0</v>
      </c>
      <c r="J967" s="23">
        <v>-256369</v>
      </c>
      <c r="K967" t="s">
        <v>17</v>
      </c>
    </row>
    <row r="968" spans="1:11" ht="15" customHeight="1" x14ac:dyDescent="0.3">
      <c r="A968" t="s">
        <v>22</v>
      </c>
      <c r="B968" t="s">
        <v>19</v>
      </c>
      <c r="C968" t="s">
        <v>12</v>
      </c>
      <c r="D968" t="s">
        <v>20</v>
      </c>
      <c r="E968">
        <v>7</v>
      </c>
      <c r="F968"/>
      <c r="G968" t="s">
        <v>31</v>
      </c>
      <c r="H968" t="s">
        <v>16</v>
      </c>
      <c r="I968">
        <v>1</v>
      </c>
      <c r="J968" s="23">
        <v>-1736</v>
      </c>
      <c r="K968" t="s">
        <v>17</v>
      </c>
    </row>
    <row r="969" spans="1:11" ht="15" customHeight="1" x14ac:dyDescent="0.3">
      <c r="A969" t="s">
        <v>10</v>
      </c>
      <c r="B969" t="s">
        <v>19</v>
      </c>
      <c r="C969" t="s">
        <v>12</v>
      </c>
      <c r="D969" t="s">
        <v>20</v>
      </c>
      <c r="E969">
        <v>24</v>
      </c>
      <c r="F969"/>
      <c r="G969" t="s">
        <v>31</v>
      </c>
      <c r="H969" t="s">
        <v>16</v>
      </c>
      <c r="I969">
        <v>1</v>
      </c>
      <c r="J969" s="23">
        <v>-11290</v>
      </c>
      <c r="K969" t="s">
        <v>17</v>
      </c>
    </row>
    <row r="970" spans="1:11" ht="15" customHeight="1" x14ac:dyDescent="0.3">
      <c r="A970" t="s">
        <v>18</v>
      </c>
      <c r="B970" t="s">
        <v>44</v>
      </c>
      <c r="C970" t="s">
        <v>24</v>
      </c>
      <c r="D970" t="s">
        <v>28</v>
      </c>
      <c r="E970">
        <v>2</v>
      </c>
      <c r="F970" t="s">
        <v>23</v>
      </c>
      <c r="G970" t="s">
        <v>15</v>
      </c>
      <c r="H970" t="s">
        <v>16</v>
      </c>
      <c r="I970">
        <v>0</v>
      </c>
      <c r="J970" s="23">
        <v>13594120</v>
      </c>
      <c r="K970">
        <v>27188240</v>
      </c>
    </row>
    <row r="971" spans="1:11" ht="15" customHeight="1" x14ac:dyDescent="0.3">
      <c r="A971" t="s">
        <v>18</v>
      </c>
      <c r="B971" t="s">
        <v>11</v>
      </c>
      <c r="C971" t="s">
        <v>24</v>
      </c>
      <c r="D971" t="s">
        <v>28</v>
      </c>
      <c r="E971">
        <v>7</v>
      </c>
      <c r="F971" t="s">
        <v>34</v>
      </c>
      <c r="G971" t="s">
        <v>31</v>
      </c>
      <c r="H971" t="s">
        <v>16</v>
      </c>
      <c r="I971">
        <v>1</v>
      </c>
      <c r="J971" s="23">
        <v>71745</v>
      </c>
      <c r="K971">
        <v>502215</v>
      </c>
    </row>
    <row r="972" spans="1:11" ht="15" customHeight="1" x14ac:dyDescent="0.3">
      <c r="A972" t="s">
        <v>10</v>
      </c>
      <c r="B972" t="s">
        <v>19</v>
      </c>
      <c r="C972" t="s">
        <v>12</v>
      </c>
      <c r="D972" t="s">
        <v>20</v>
      </c>
      <c r="E972">
        <v>11</v>
      </c>
      <c r="F972"/>
      <c r="G972" t="s">
        <v>15</v>
      </c>
      <c r="H972" t="s">
        <v>16</v>
      </c>
      <c r="I972">
        <v>0</v>
      </c>
      <c r="J972" s="23">
        <v>-302758</v>
      </c>
      <c r="K972" t="s">
        <v>17</v>
      </c>
    </row>
    <row r="973" spans="1:11" ht="15" customHeight="1" x14ac:dyDescent="0.3">
      <c r="A973" t="s">
        <v>10</v>
      </c>
      <c r="B973" t="s">
        <v>11</v>
      </c>
      <c r="C973" t="s">
        <v>12</v>
      </c>
      <c r="D973" t="s">
        <v>28</v>
      </c>
      <c r="E973">
        <v>4</v>
      </c>
      <c r="F973" t="s">
        <v>30</v>
      </c>
      <c r="G973" t="s">
        <v>15</v>
      </c>
      <c r="H973" t="s">
        <v>16</v>
      </c>
      <c r="I973">
        <v>0</v>
      </c>
      <c r="J973" s="23">
        <v>-10707</v>
      </c>
      <c r="K973" t="s">
        <v>17</v>
      </c>
    </row>
    <row r="974" spans="1:11" ht="15" customHeight="1" x14ac:dyDescent="0.3">
      <c r="A974" t="s">
        <v>22</v>
      </c>
      <c r="B974" t="s">
        <v>11</v>
      </c>
      <c r="C974" t="s">
        <v>12</v>
      </c>
      <c r="D974" t="s">
        <v>28</v>
      </c>
      <c r="E974">
        <v>-1</v>
      </c>
      <c r="F974" t="s">
        <v>34</v>
      </c>
      <c r="G974" t="s">
        <v>15</v>
      </c>
      <c r="H974" t="s">
        <v>16</v>
      </c>
      <c r="I974">
        <v>0</v>
      </c>
      <c r="J974" s="23">
        <v>-130174</v>
      </c>
      <c r="K974" t="s">
        <v>17</v>
      </c>
    </row>
    <row r="975" spans="1:11" ht="15" customHeight="1" x14ac:dyDescent="0.3">
      <c r="A975" t="s">
        <v>18</v>
      </c>
      <c r="B975" t="s">
        <v>11</v>
      </c>
      <c r="C975" t="s">
        <v>12</v>
      </c>
      <c r="D975" t="s">
        <v>13</v>
      </c>
      <c r="E975">
        <v>11</v>
      </c>
      <c r="F975" t="s">
        <v>36</v>
      </c>
      <c r="G975" t="s">
        <v>15</v>
      </c>
      <c r="H975" t="s">
        <v>16</v>
      </c>
      <c r="I975">
        <v>0</v>
      </c>
      <c r="J975" s="23">
        <v>-11886</v>
      </c>
      <c r="K975" t="s">
        <v>17</v>
      </c>
    </row>
    <row r="976" spans="1:11" ht="15" customHeight="1" x14ac:dyDescent="0.3">
      <c r="A976" t="s">
        <v>22</v>
      </c>
      <c r="B976" t="s">
        <v>11</v>
      </c>
      <c r="C976" t="s">
        <v>24</v>
      </c>
      <c r="D976" t="s">
        <v>25</v>
      </c>
      <c r="E976">
        <v>-4</v>
      </c>
      <c r="F976" t="s">
        <v>23</v>
      </c>
      <c r="G976" t="s">
        <v>15</v>
      </c>
      <c r="H976" t="s">
        <v>16</v>
      </c>
      <c r="I976">
        <v>0</v>
      </c>
      <c r="J976" s="23">
        <v>153273</v>
      </c>
      <c r="K976" t="s">
        <v>17</v>
      </c>
    </row>
    <row r="977" spans="1:11" ht="15" customHeight="1" x14ac:dyDescent="0.3">
      <c r="A977" t="s">
        <v>18</v>
      </c>
      <c r="B977" t="s">
        <v>11</v>
      </c>
      <c r="C977" t="s">
        <v>24</v>
      </c>
      <c r="D977" t="s">
        <v>13</v>
      </c>
      <c r="E977">
        <v>10</v>
      </c>
      <c r="F977" t="s">
        <v>37</v>
      </c>
      <c r="G977" t="s">
        <v>15</v>
      </c>
      <c r="H977" t="s">
        <v>16</v>
      </c>
      <c r="I977">
        <v>0</v>
      </c>
      <c r="J977" s="23">
        <v>7336701</v>
      </c>
      <c r="K977">
        <v>73367010</v>
      </c>
    </row>
    <row r="978" spans="1:11" ht="15" customHeight="1" x14ac:dyDescent="0.3">
      <c r="A978" t="s">
        <v>10</v>
      </c>
      <c r="B978" t="s">
        <v>19</v>
      </c>
      <c r="C978" t="s">
        <v>24</v>
      </c>
      <c r="D978" t="s">
        <v>28</v>
      </c>
      <c r="E978">
        <v>34</v>
      </c>
      <c r="F978"/>
      <c r="G978" t="s">
        <v>15</v>
      </c>
      <c r="H978" t="s">
        <v>16</v>
      </c>
      <c r="I978">
        <v>0</v>
      </c>
      <c r="J978" s="23">
        <v>77759</v>
      </c>
      <c r="K978">
        <v>2643806</v>
      </c>
    </row>
    <row r="979" spans="1:11" ht="15" customHeight="1" x14ac:dyDescent="0.3">
      <c r="A979" t="s">
        <v>18</v>
      </c>
      <c r="B979" t="s">
        <v>11</v>
      </c>
      <c r="C979" t="s">
        <v>12</v>
      </c>
      <c r="D979" t="s">
        <v>13</v>
      </c>
      <c r="E979">
        <v>5</v>
      </c>
      <c r="F979" t="s">
        <v>33</v>
      </c>
      <c r="G979" t="s">
        <v>15</v>
      </c>
      <c r="H979" t="s">
        <v>16</v>
      </c>
      <c r="I979">
        <v>0</v>
      </c>
      <c r="J979" s="23">
        <v>-12816</v>
      </c>
      <c r="K979" t="s">
        <v>17</v>
      </c>
    </row>
    <row r="980" spans="1:11" ht="15" customHeight="1" x14ac:dyDescent="0.3">
      <c r="A980" t="s">
        <v>10</v>
      </c>
      <c r="B980" t="s">
        <v>11</v>
      </c>
      <c r="C980" t="s">
        <v>12</v>
      </c>
      <c r="D980" t="s">
        <v>25</v>
      </c>
      <c r="E980">
        <v>0</v>
      </c>
      <c r="F980" t="s">
        <v>14</v>
      </c>
      <c r="G980" t="s">
        <v>15</v>
      </c>
      <c r="H980" t="s">
        <v>16</v>
      </c>
      <c r="I980">
        <v>0</v>
      </c>
      <c r="J980" s="23">
        <v>-1530</v>
      </c>
      <c r="K980" t="s">
        <v>17</v>
      </c>
    </row>
    <row r="981" spans="1:11" ht="15" customHeight="1" x14ac:dyDescent="0.3">
      <c r="A981" t="s">
        <v>10</v>
      </c>
      <c r="B981" t="s">
        <v>19</v>
      </c>
      <c r="C981" t="s">
        <v>24</v>
      </c>
      <c r="D981" t="s">
        <v>20</v>
      </c>
      <c r="E981">
        <v>27</v>
      </c>
      <c r="F981"/>
      <c r="G981" t="s">
        <v>31</v>
      </c>
      <c r="H981" t="s">
        <v>16</v>
      </c>
      <c r="I981">
        <v>1</v>
      </c>
      <c r="J981" s="23">
        <v>272074</v>
      </c>
      <c r="K981">
        <v>7345998</v>
      </c>
    </row>
    <row r="982" spans="1:11" ht="15" customHeight="1" x14ac:dyDescent="0.3">
      <c r="A982" t="s">
        <v>10</v>
      </c>
      <c r="B982" t="s">
        <v>11</v>
      </c>
      <c r="C982" t="s">
        <v>12</v>
      </c>
      <c r="D982" t="s">
        <v>28</v>
      </c>
      <c r="E982">
        <v>1</v>
      </c>
      <c r="F982" t="s">
        <v>29</v>
      </c>
      <c r="G982" t="s">
        <v>15</v>
      </c>
      <c r="H982" t="s">
        <v>32</v>
      </c>
      <c r="I982">
        <v>1</v>
      </c>
      <c r="J982" s="23">
        <v>-99065</v>
      </c>
      <c r="K982" t="s">
        <v>17</v>
      </c>
    </row>
    <row r="983" spans="1:11" ht="15" customHeight="1" x14ac:dyDescent="0.3">
      <c r="A983" t="s">
        <v>18</v>
      </c>
      <c r="B983" t="s">
        <v>19</v>
      </c>
      <c r="C983" t="s">
        <v>12</v>
      </c>
      <c r="D983" t="s">
        <v>28</v>
      </c>
      <c r="E983">
        <v>5</v>
      </c>
      <c r="F983"/>
      <c r="G983" t="s">
        <v>15</v>
      </c>
      <c r="H983" t="s">
        <v>16</v>
      </c>
      <c r="I983">
        <v>0</v>
      </c>
      <c r="J983" s="23">
        <v>-27593</v>
      </c>
      <c r="K983" t="s">
        <v>17</v>
      </c>
    </row>
    <row r="984" spans="1:11" ht="15" customHeight="1" x14ac:dyDescent="0.3">
      <c r="A984" t="s">
        <v>18</v>
      </c>
      <c r="B984" t="s">
        <v>11</v>
      </c>
      <c r="C984" t="s">
        <v>24</v>
      </c>
      <c r="D984" t="s">
        <v>13</v>
      </c>
      <c r="E984">
        <v>3</v>
      </c>
      <c r="F984" t="s">
        <v>34</v>
      </c>
      <c r="G984" t="s">
        <v>15</v>
      </c>
      <c r="H984" t="s">
        <v>16</v>
      </c>
      <c r="I984">
        <v>0</v>
      </c>
      <c r="J984" s="23">
        <v>116603098</v>
      </c>
      <c r="K984">
        <v>349809294</v>
      </c>
    </row>
    <row r="985" spans="1:11" ht="15" customHeight="1" x14ac:dyDescent="0.3">
      <c r="A985" t="s">
        <v>18</v>
      </c>
      <c r="B985" t="s">
        <v>11</v>
      </c>
      <c r="C985" t="s">
        <v>12</v>
      </c>
      <c r="D985" t="s">
        <v>28</v>
      </c>
      <c r="E985">
        <v>11</v>
      </c>
      <c r="F985" t="s">
        <v>39</v>
      </c>
      <c r="G985" t="s">
        <v>31</v>
      </c>
      <c r="H985" t="s">
        <v>16</v>
      </c>
      <c r="I985">
        <v>1</v>
      </c>
      <c r="J985" s="23">
        <v>-84</v>
      </c>
      <c r="K985" t="s">
        <v>17</v>
      </c>
    </row>
    <row r="986" spans="1:11" ht="15" customHeight="1" x14ac:dyDescent="0.3">
      <c r="A986" t="s">
        <v>22</v>
      </c>
      <c r="B986" t="s">
        <v>11</v>
      </c>
      <c r="C986" t="s">
        <v>24</v>
      </c>
      <c r="D986" t="s">
        <v>25</v>
      </c>
      <c r="E986">
        <v>-4</v>
      </c>
      <c r="F986" t="s">
        <v>34</v>
      </c>
      <c r="G986" t="s">
        <v>15</v>
      </c>
      <c r="H986" t="s">
        <v>16</v>
      </c>
      <c r="I986">
        <v>0</v>
      </c>
      <c r="J986" s="23">
        <v>554013</v>
      </c>
      <c r="K986" t="s">
        <v>17</v>
      </c>
    </row>
    <row r="987" spans="1:11" ht="15" customHeight="1" x14ac:dyDescent="0.3">
      <c r="A987" t="s">
        <v>18</v>
      </c>
      <c r="B987" t="s">
        <v>11</v>
      </c>
      <c r="C987" t="s">
        <v>12</v>
      </c>
      <c r="D987" t="s">
        <v>28</v>
      </c>
      <c r="E987">
        <v>15</v>
      </c>
      <c r="F987" t="s">
        <v>34</v>
      </c>
      <c r="G987" t="s">
        <v>15</v>
      </c>
      <c r="H987" t="s">
        <v>16</v>
      </c>
      <c r="I987">
        <v>0</v>
      </c>
      <c r="J987" s="23">
        <v>-5435</v>
      </c>
      <c r="K987" t="s">
        <v>17</v>
      </c>
    </row>
    <row r="988" spans="1:11" ht="15" customHeight="1" x14ac:dyDescent="0.3">
      <c r="A988" t="s">
        <v>18</v>
      </c>
      <c r="B988" t="s">
        <v>11</v>
      </c>
      <c r="C988" t="s">
        <v>12</v>
      </c>
      <c r="D988" t="s">
        <v>28</v>
      </c>
      <c r="E988">
        <v>11</v>
      </c>
      <c r="F988" t="s">
        <v>34</v>
      </c>
      <c r="G988" t="s">
        <v>15</v>
      </c>
      <c r="H988" t="s">
        <v>32</v>
      </c>
      <c r="I988">
        <v>1</v>
      </c>
      <c r="J988" s="23">
        <v>-1678</v>
      </c>
      <c r="K988" t="s">
        <v>17</v>
      </c>
    </row>
    <row r="989" spans="1:11" ht="15" customHeight="1" x14ac:dyDescent="0.3">
      <c r="A989" t="s">
        <v>22</v>
      </c>
      <c r="B989" t="s">
        <v>11</v>
      </c>
      <c r="C989" t="s">
        <v>24</v>
      </c>
      <c r="D989" t="s">
        <v>13</v>
      </c>
      <c r="E989">
        <v>0</v>
      </c>
      <c r="F989" t="s">
        <v>40</v>
      </c>
      <c r="G989" t="s">
        <v>15</v>
      </c>
      <c r="H989" t="s">
        <v>16</v>
      </c>
      <c r="I989">
        <v>0</v>
      </c>
      <c r="J989" s="23">
        <v>201877</v>
      </c>
      <c r="K989" t="s">
        <v>17</v>
      </c>
    </row>
    <row r="990" spans="1:11" ht="15" customHeight="1" x14ac:dyDescent="0.3">
      <c r="A990" t="s">
        <v>10</v>
      </c>
      <c r="B990" t="s">
        <v>11</v>
      </c>
      <c r="C990" t="s">
        <v>12</v>
      </c>
      <c r="D990" t="s">
        <v>28</v>
      </c>
      <c r="E990">
        <v>-1</v>
      </c>
      <c r="F990" t="s">
        <v>26</v>
      </c>
      <c r="G990" t="s">
        <v>15</v>
      </c>
      <c r="H990" t="s">
        <v>16</v>
      </c>
      <c r="I990">
        <v>0</v>
      </c>
      <c r="J990" s="23">
        <v>-17742</v>
      </c>
      <c r="K990" t="s">
        <v>17</v>
      </c>
    </row>
    <row r="991" spans="1:11" ht="15" customHeight="1" x14ac:dyDescent="0.3">
      <c r="A991" t="s">
        <v>18</v>
      </c>
      <c r="B991" t="s">
        <v>19</v>
      </c>
      <c r="C991" t="s">
        <v>24</v>
      </c>
      <c r="D991" t="s">
        <v>20</v>
      </c>
      <c r="E991">
        <v>42</v>
      </c>
      <c r="F991"/>
      <c r="G991" t="s">
        <v>15</v>
      </c>
      <c r="H991" t="s">
        <v>16</v>
      </c>
      <c r="I991">
        <v>0</v>
      </c>
      <c r="J991" s="23">
        <v>28520444</v>
      </c>
      <c r="K991">
        <v>1197858648</v>
      </c>
    </row>
    <row r="992" spans="1:11" ht="15" customHeight="1" x14ac:dyDescent="0.3">
      <c r="A992" t="s">
        <v>22</v>
      </c>
      <c r="B992" t="s">
        <v>11</v>
      </c>
      <c r="C992" t="s">
        <v>24</v>
      </c>
      <c r="D992" t="s">
        <v>25</v>
      </c>
      <c r="E992">
        <v>0</v>
      </c>
      <c r="F992" t="s">
        <v>39</v>
      </c>
      <c r="G992" t="s">
        <v>15</v>
      </c>
      <c r="H992" t="s">
        <v>16</v>
      </c>
      <c r="I992">
        <v>0</v>
      </c>
      <c r="J992" s="23">
        <v>21909</v>
      </c>
      <c r="K992" t="s">
        <v>17</v>
      </c>
    </row>
    <row r="993" spans="1:11" ht="15" customHeight="1" x14ac:dyDescent="0.3">
      <c r="A993" t="s">
        <v>18</v>
      </c>
      <c r="B993" t="s">
        <v>19</v>
      </c>
      <c r="C993" t="s">
        <v>24</v>
      </c>
      <c r="D993" t="s">
        <v>20</v>
      </c>
      <c r="E993">
        <v>45</v>
      </c>
      <c r="F993"/>
      <c r="G993" t="s">
        <v>15</v>
      </c>
      <c r="H993" t="s">
        <v>32</v>
      </c>
      <c r="I993">
        <v>1</v>
      </c>
      <c r="J993" s="23">
        <v>141357</v>
      </c>
      <c r="K993">
        <v>6361065</v>
      </c>
    </row>
    <row r="994" spans="1:11" ht="15" customHeight="1" x14ac:dyDescent="0.3">
      <c r="A994" t="s">
        <v>18</v>
      </c>
      <c r="B994" t="s">
        <v>11</v>
      </c>
      <c r="C994" t="s">
        <v>24</v>
      </c>
      <c r="D994" t="s">
        <v>28</v>
      </c>
      <c r="E994">
        <v>15</v>
      </c>
      <c r="F994" t="s">
        <v>34</v>
      </c>
      <c r="G994" t="s">
        <v>15</v>
      </c>
      <c r="H994" t="s">
        <v>16</v>
      </c>
      <c r="I994">
        <v>0</v>
      </c>
      <c r="J994" s="23">
        <v>2798367</v>
      </c>
      <c r="K994">
        <v>41975505</v>
      </c>
    </row>
    <row r="995" spans="1:11" ht="15" customHeight="1" x14ac:dyDescent="0.3">
      <c r="A995" t="s">
        <v>10</v>
      </c>
      <c r="B995" t="s">
        <v>11</v>
      </c>
      <c r="C995" t="s">
        <v>12</v>
      </c>
      <c r="D995" t="s">
        <v>13</v>
      </c>
      <c r="E995">
        <v>1</v>
      </c>
      <c r="F995" t="s">
        <v>46</v>
      </c>
      <c r="G995" t="s">
        <v>15</v>
      </c>
      <c r="H995" t="s">
        <v>16</v>
      </c>
      <c r="I995">
        <v>0</v>
      </c>
      <c r="J995" s="23">
        <v>-201</v>
      </c>
      <c r="K995" t="s">
        <v>17</v>
      </c>
    </row>
    <row r="996" spans="1:11" ht="15" customHeight="1" x14ac:dyDescent="0.3">
      <c r="A996" t="s">
        <v>22</v>
      </c>
      <c r="B996" t="s">
        <v>11</v>
      </c>
      <c r="C996" t="s">
        <v>24</v>
      </c>
      <c r="D996" t="s">
        <v>25</v>
      </c>
      <c r="E996">
        <v>5</v>
      </c>
      <c r="F996" t="s">
        <v>35</v>
      </c>
      <c r="G996" t="s">
        <v>15</v>
      </c>
      <c r="H996" t="s">
        <v>16</v>
      </c>
      <c r="I996">
        <v>0</v>
      </c>
      <c r="J996" s="23">
        <v>25077</v>
      </c>
      <c r="K996">
        <v>125385</v>
      </c>
    </row>
    <row r="997" spans="1:11" ht="15" customHeight="1" x14ac:dyDescent="0.3">
      <c r="A997" t="s">
        <v>10</v>
      </c>
      <c r="B997" t="s">
        <v>19</v>
      </c>
      <c r="C997" t="s">
        <v>24</v>
      </c>
      <c r="D997" t="s">
        <v>20</v>
      </c>
      <c r="E997">
        <v>40</v>
      </c>
      <c r="F997"/>
      <c r="G997" t="s">
        <v>15</v>
      </c>
      <c r="H997" t="s">
        <v>16</v>
      </c>
      <c r="I997">
        <v>0</v>
      </c>
      <c r="J997" s="23">
        <v>9390068</v>
      </c>
      <c r="K997">
        <v>375602720</v>
      </c>
    </row>
    <row r="998" spans="1:11" ht="15" customHeight="1" x14ac:dyDescent="0.3">
      <c r="A998" t="s">
        <v>10</v>
      </c>
      <c r="B998" t="s">
        <v>19</v>
      </c>
      <c r="C998" t="s">
        <v>24</v>
      </c>
      <c r="D998" t="s">
        <v>20</v>
      </c>
      <c r="E998">
        <v>9</v>
      </c>
      <c r="F998"/>
      <c r="G998" t="s">
        <v>31</v>
      </c>
      <c r="H998" t="s">
        <v>32</v>
      </c>
      <c r="I998">
        <v>1</v>
      </c>
      <c r="J998" s="23">
        <v>4073</v>
      </c>
      <c r="K998">
        <v>36657</v>
      </c>
    </row>
    <row r="999" spans="1:11" ht="15" customHeight="1" x14ac:dyDescent="0.3">
      <c r="A999" t="s">
        <v>22</v>
      </c>
      <c r="B999" t="s">
        <v>11</v>
      </c>
      <c r="C999" t="s">
        <v>24</v>
      </c>
      <c r="D999" t="s">
        <v>25</v>
      </c>
      <c r="E999">
        <v>0</v>
      </c>
      <c r="F999" t="s">
        <v>42</v>
      </c>
      <c r="G999" t="s">
        <v>15</v>
      </c>
      <c r="H999" t="s">
        <v>16</v>
      </c>
      <c r="I999">
        <v>0</v>
      </c>
      <c r="J999" s="23">
        <v>5445</v>
      </c>
      <c r="K999" t="s">
        <v>17</v>
      </c>
    </row>
    <row r="1000" spans="1:11" ht="15" customHeight="1" x14ac:dyDescent="0.3">
      <c r="A1000" t="s">
        <v>10</v>
      </c>
      <c r="B1000" t="s">
        <v>11</v>
      </c>
      <c r="C1000" t="s">
        <v>12</v>
      </c>
      <c r="D1000" t="s">
        <v>13</v>
      </c>
      <c r="E1000">
        <v>-1</v>
      </c>
      <c r="F1000" t="s">
        <v>45</v>
      </c>
      <c r="G1000" t="s">
        <v>15</v>
      </c>
      <c r="H1000" t="s">
        <v>16</v>
      </c>
      <c r="I1000">
        <v>0</v>
      </c>
      <c r="J1000" s="23">
        <v>-46663</v>
      </c>
      <c r="K1000" t="s">
        <v>17</v>
      </c>
    </row>
    <row r="1001" spans="1:11" ht="15" customHeight="1" x14ac:dyDescent="0.3">
      <c r="A1001" t="s">
        <v>18</v>
      </c>
      <c r="B1001" t="s">
        <v>11</v>
      </c>
      <c r="C1001" t="s">
        <v>24</v>
      </c>
      <c r="D1001" t="s">
        <v>25</v>
      </c>
      <c r="E1001">
        <v>3</v>
      </c>
      <c r="F1001" t="s">
        <v>36</v>
      </c>
      <c r="G1001" t="s">
        <v>15</v>
      </c>
      <c r="H1001" t="s">
        <v>16</v>
      </c>
      <c r="I1001">
        <v>0</v>
      </c>
      <c r="J1001" s="23">
        <v>3110666</v>
      </c>
      <c r="K1001">
        <v>9331998</v>
      </c>
    </row>
    <row r="1002" spans="1:11" ht="15" customHeight="1" x14ac:dyDescent="0.3">
      <c r="A1002" t="s">
        <v>10</v>
      </c>
      <c r="B1002" t="s">
        <v>11</v>
      </c>
      <c r="C1002" t="s">
        <v>12</v>
      </c>
      <c r="D1002" t="s">
        <v>28</v>
      </c>
      <c r="E1002">
        <v>8</v>
      </c>
      <c r="F1002" t="s">
        <v>34</v>
      </c>
      <c r="G1002" t="s">
        <v>15</v>
      </c>
      <c r="H1002" t="s">
        <v>16</v>
      </c>
      <c r="I1002">
        <v>0</v>
      </c>
      <c r="J1002" s="23">
        <v>-151443</v>
      </c>
      <c r="K1002" t="s">
        <v>17</v>
      </c>
    </row>
    <row r="1003" spans="1:11" ht="15" customHeight="1" x14ac:dyDescent="0.3">
      <c r="A1003" t="s">
        <v>10</v>
      </c>
      <c r="B1003" t="s">
        <v>11</v>
      </c>
      <c r="C1003" t="s">
        <v>24</v>
      </c>
      <c r="D1003" t="s">
        <v>28</v>
      </c>
      <c r="E1003">
        <v>5</v>
      </c>
      <c r="F1003" t="s">
        <v>23</v>
      </c>
      <c r="G1003" t="s">
        <v>15</v>
      </c>
      <c r="H1003" t="s">
        <v>16</v>
      </c>
      <c r="I1003">
        <v>0</v>
      </c>
      <c r="J1003" s="23">
        <v>2834392</v>
      </c>
      <c r="K1003">
        <v>14171960</v>
      </c>
    </row>
    <row r="1004" spans="1:11" ht="15" customHeight="1" x14ac:dyDescent="0.3">
      <c r="A1004" t="s">
        <v>18</v>
      </c>
      <c r="B1004" t="s">
        <v>19</v>
      </c>
      <c r="C1004" t="s">
        <v>12</v>
      </c>
      <c r="D1004" t="s">
        <v>20</v>
      </c>
      <c r="E1004">
        <v>41</v>
      </c>
      <c r="F1004"/>
      <c r="G1004" t="s">
        <v>31</v>
      </c>
      <c r="H1004" t="s">
        <v>16</v>
      </c>
      <c r="I1004">
        <v>1</v>
      </c>
      <c r="J1004" s="23">
        <v>-391</v>
      </c>
      <c r="K1004" t="s">
        <v>17</v>
      </c>
    </row>
    <row r="1005" spans="1:11" ht="15" customHeight="1" x14ac:dyDescent="0.3">
      <c r="A1005" t="s">
        <v>10</v>
      </c>
      <c r="B1005" t="s">
        <v>19</v>
      </c>
      <c r="C1005" t="s">
        <v>24</v>
      </c>
      <c r="D1005" t="s">
        <v>20</v>
      </c>
      <c r="E1005">
        <v>8</v>
      </c>
      <c r="F1005"/>
      <c r="G1005" t="s">
        <v>15</v>
      </c>
      <c r="H1005" t="s">
        <v>32</v>
      </c>
      <c r="I1005">
        <v>1</v>
      </c>
      <c r="J1005" s="23">
        <v>141604</v>
      </c>
      <c r="K1005">
        <v>1132832</v>
      </c>
    </row>
    <row r="1006" spans="1:11" ht="15" customHeight="1" x14ac:dyDescent="0.3">
      <c r="A1006" t="s">
        <v>18</v>
      </c>
      <c r="B1006" t="s">
        <v>11</v>
      </c>
      <c r="C1006" t="s">
        <v>24</v>
      </c>
      <c r="D1006" t="s">
        <v>25</v>
      </c>
      <c r="E1006">
        <v>0</v>
      </c>
      <c r="F1006" t="s">
        <v>34</v>
      </c>
      <c r="G1006" t="s">
        <v>15</v>
      </c>
      <c r="H1006" t="s">
        <v>16</v>
      </c>
      <c r="I1006">
        <v>0</v>
      </c>
      <c r="J1006" s="23">
        <v>1576024</v>
      </c>
      <c r="K1006" t="s">
        <v>17</v>
      </c>
    </row>
    <row r="1007" spans="1:11" ht="15" customHeight="1" x14ac:dyDescent="0.3">
      <c r="A1007" t="s">
        <v>18</v>
      </c>
      <c r="B1007" t="s">
        <v>11</v>
      </c>
      <c r="C1007" t="s">
        <v>24</v>
      </c>
      <c r="D1007" t="s">
        <v>13</v>
      </c>
      <c r="E1007">
        <v>7</v>
      </c>
      <c r="F1007" t="s">
        <v>30</v>
      </c>
      <c r="G1007" t="s">
        <v>15</v>
      </c>
      <c r="H1007" t="s">
        <v>16</v>
      </c>
      <c r="I1007">
        <v>0</v>
      </c>
      <c r="J1007" s="23">
        <v>17009475</v>
      </c>
      <c r="K1007">
        <v>119066325</v>
      </c>
    </row>
    <row r="1008" spans="1:11" ht="15" customHeight="1" x14ac:dyDescent="0.3">
      <c r="A1008" t="s">
        <v>18</v>
      </c>
      <c r="B1008" t="s">
        <v>11</v>
      </c>
      <c r="C1008" t="s">
        <v>24</v>
      </c>
      <c r="D1008" t="s">
        <v>28</v>
      </c>
      <c r="E1008">
        <v>8</v>
      </c>
      <c r="F1008" t="s">
        <v>40</v>
      </c>
      <c r="G1008" t="s">
        <v>31</v>
      </c>
      <c r="H1008" t="s">
        <v>16</v>
      </c>
      <c r="I1008">
        <v>1</v>
      </c>
      <c r="J1008" s="23">
        <v>74909</v>
      </c>
      <c r="K1008">
        <v>599272</v>
      </c>
    </row>
    <row r="1009" spans="1:11" ht="15" customHeight="1" x14ac:dyDescent="0.3">
      <c r="A1009" t="s">
        <v>22</v>
      </c>
      <c r="B1009" t="s">
        <v>11</v>
      </c>
      <c r="C1009" t="s">
        <v>24</v>
      </c>
      <c r="D1009" t="s">
        <v>13</v>
      </c>
      <c r="E1009">
        <v>0</v>
      </c>
      <c r="F1009" t="s">
        <v>35</v>
      </c>
      <c r="G1009" t="s">
        <v>15</v>
      </c>
      <c r="H1009" t="s">
        <v>16</v>
      </c>
      <c r="I1009">
        <v>0</v>
      </c>
      <c r="J1009" s="23">
        <v>147252</v>
      </c>
      <c r="K1009" t="s">
        <v>17</v>
      </c>
    </row>
    <row r="1010" spans="1:11" ht="15" customHeight="1" x14ac:dyDescent="0.3">
      <c r="A1010" t="s">
        <v>22</v>
      </c>
      <c r="B1010" t="s">
        <v>11</v>
      </c>
      <c r="C1010" t="s">
        <v>24</v>
      </c>
      <c r="D1010" t="s">
        <v>25</v>
      </c>
      <c r="E1010">
        <v>1</v>
      </c>
      <c r="F1010" t="s">
        <v>21</v>
      </c>
      <c r="G1010" t="s">
        <v>15</v>
      </c>
      <c r="H1010" t="s">
        <v>16</v>
      </c>
      <c r="I1010">
        <v>0</v>
      </c>
      <c r="J1010" s="23">
        <v>166102</v>
      </c>
      <c r="K1010">
        <v>166102</v>
      </c>
    </row>
    <row r="1011" spans="1:11" ht="15" customHeight="1" x14ac:dyDescent="0.3">
      <c r="A1011" t="s">
        <v>18</v>
      </c>
      <c r="B1011" t="s">
        <v>11</v>
      </c>
      <c r="C1011" t="s">
        <v>24</v>
      </c>
      <c r="D1011" t="s">
        <v>25</v>
      </c>
      <c r="E1011">
        <v>5</v>
      </c>
      <c r="F1011" t="s">
        <v>29</v>
      </c>
      <c r="G1011" t="s">
        <v>15</v>
      </c>
      <c r="H1011" t="s">
        <v>16</v>
      </c>
      <c r="I1011">
        <v>0</v>
      </c>
      <c r="J1011" s="23">
        <v>8023544</v>
      </c>
      <c r="K1011">
        <v>40117720</v>
      </c>
    </row>
    <row r="1012" spans="1:11" ht="15" customHeight="1" x14ac:dyDescent="0.3">
      <c r="A1012" t="s">
        <v>18</v>
      </c>
      <c r="B1012" t="s">
        <v>11</v>
      </c>
      <c r="C1012" t="s">
        <v>24</v>
      </c>
      <c r="D1012" t="s">
        <v>25</v>
      </c>
      <c r="E1012">
        <v>1</v>
      </c>
      <c r="F1012" t="s">
        <v>27</v>
      </c>
      <c r="G1012" t="s">
        <v>15</v>
      </c>
      <c r="H1012" t="s">
        <v>16</v>
      </c>
      <c r="I1012">
        <v>0</v>
      </c>
      <c r="J1012" s="23">
        <v>228895</v>
      </c>
      <c r="K1012">
        <v>228895</v>
      </c>
    </row>
    <row r="1013" spans="1:11" ht="15" customHeight="1" x14ac:dyDescent="0.3">
      <c r="A1013" t="s">
        <v>18</v>
      </c>
      <c r="B1013" t="s">
        <v>19</v>
      </c>
      <c r="C1013" t="s">
        <v>24</v>
      </c>
      <c r="D1013" t="s">
        <v>28</v>
      </c>
      <c r="E1013">
        <v>16</v>
      </c>
      <c r="F1013"/>
      <c r="G1013" t="s">
        <v>15</v>
      </c>
      <c r="H1013" t="s">
        <v>16</v>
      </c>
      <c r="I1013">
        <v>0</v>
      </c>
      <c r="J1013" s="23">
        <v>636160</v>
      </c>
      <c r="K1013">
        <v>10178560</v>
      </c>
    </row>
    <row r="1014" spans="1:11" ht="15" customHeight="1" x14ac:dyDescent="0.3">
      <c r="A1014" t="s">
        <v>10</v>
      </c>
      <c r="B1014" t="s">
        <v>11</v>
      </c>
      <c r="C1014" t="s">
        <v>12</v>
      </c>
      <c r="D1014" t="s">
        <v>13</v>
      </c>
      <c r="E1014">
        <v>4</v>
      </c>
      <c r="F1014" t="s">
        <v>42</v>
      </c>
      <c r="G1014" t="s">
        <v>15</v>
      </c>
      <c r="H1014" t="s">
        <v>16</v>
      </c>
      <c r="I1014">
        <v>0</v>
      </c>
      <c r="J1014" s="23">
        <v>-15136</v>
      </c>
      <c r="K1014" t="s">
        <v>17</v>
      </c>
    </row>
    <row r="1015" spans="1:11" ht="15" customHeight="1" x14ac:dyDescent="0.3">
      <c r="A1015" t="s">
        <v>10</v>
      </c>
      <c r="B1015" t="s">
        <v>11</v>
      </c>
      <c r="C1015" t="s">
        <v>12</v>
      </c>
      <c r="D1015" t="s">
        <v>28</v>
      </c>
      <c r="E1015">
        <v>8</v>
      </c>
      <c r="F1015" t="s">
        <v>21</v>
      </c>
      <c r="G1015" t="s">
        <v>15</v>
      </c>
      <c r="H1015" t="s">
        <v>32</v>
      </c>
      <c r="I1015">
        <v>1</v>
      </c>
      <c r="J1015" s="23">
        <v>-740</v>
      </c>
      <c r="K1015" t="s">
        <v>17</v>
      </c>
    </row>
    <row r="1016" spans="1:11" ht="15" customHeight="1" x14ac:dyDescent="0.3">
      <c r="A1016" t="s">
        <v>18</v>
      </c>
      <c r="B1016" t="s">
        <v>19</v>
      </c>
      <c r="C1016" t="s">
        <v>24</v>
      </c>
      <c r="D1016" t="s">
        <v>20</v>
      </c>
      <c r="E1016">
        <v>35</v>
      </c>
      <c r="F1016"/>
      <c r="G1016" t="s">
        <v>31</v>
      </c>
      <c r="H1016" t="s">
        <v>32</v>
      </c>
      <c r="I1016">
        <v>1</v>
      </c>
      <c r="J1016" s="23">
        <v>186118</v>
      </c>
      <c r="K1016">
        <v>6514130</v>
      </c>
    </row>
    <row r="1017" spans="1:11" ht="15" customHeight="1" x14ac:dyDescent="0.3">
      <c r="A1017" t="s">
        <v>18</v>
      </c>
      <c r="B1017" t="s">
        <v>11</v>
      </c>
      <c r="C1017" t="s">
        <v>12</v>
      </c>
      <c r="D1017" t="s">
        <v>25</v>
      </c>
      <c r="E1017">
        <v>3</v>
      </c>
      <c r="F1017" t="s">
        <v>33</v>
      </c>
      <c r="G1017" t="s">
        <v>15</v>
      </c>
      <c r="H1017" t="s">
        <v>16</v>
      </c>
      <c r="I1017">
        <v>0</v>
      </c>
      <c r="J1017" s="23">
        <v>-5110</v>
      </c>
      <c r="K1017" t="s">
        <v>17</v>
      </c>
    </row>
    <row r="1018" spans="1:11" ht="15" customHeight="1" x14ac:dyDescent="0.3">
      <c r="A1018" t="s">
        <v>18</v>
      </c>
      <c r="B1018" t="s">
        <v>19</v>
      </c>
      <c r="C1018" t="s">
        <v>24</v>
      </c>
      <c r="D1018" t="s">
        <v>20</v>
      </c>
      <c r="E1018">
        <v>10</v>
      </c>
      <c r="F1018"/>
      <c r="G1018" t="s">
        <v>15</v>
      </c>
      <c r="H1018" t="s">
        <v>32</v>
      </c>
      <c r="I1018">
        <v>1</v>
      </c>
      <c r="J1018" s="23">
        <v>750050</v>
      </c>
      <c r="K1018">
        <v>7500500</v>
      </c>
    </row>
    <row r="1019" spans="1:11" ht="15" customHeight="1" x14ac:dyDescent="0.3">
      <c r="A1019" t="s">
        <v>22</v>
      </c>
      <c r="B1019" t="s">
        <v>11</v>
      </c>
      <c r="C1019" t="s">
        <v>24</v>
      </c>
      <c r="D1019" t="s">
        <v>25</v>
      </c>
      <c r="E1019">
        <v>3</v>
      </c>
      <c r="F1019" t="s">
        <v>29</v>
      </c>
      <c r="G1019" t="s">
        <v>15</v>
      </c>
      <c r="H1019" t="s">
        <v>16</v>
      </c>
      <c r="I1019">
        <v>0</v>
      </c>
      <c r="J1019" s="23">
        <v>430808</v>
      </c>
      <c r="K1019">
        <v>1292424</v>
      </c>
    </row>
    <row r="1020" spans="1:11" ht="15" customHeight="1" x14ac:dyDescent="0.3">
      <c r="A1020" t="s">
        <v>22</v>
      </c>
      <c r="B1020" t="s">
        <v>11</v>
      </c>
      <c r="C1020" t="s">
        <v>12</v>
      </c>
      <c r="D1020" t="s">
        <v>13</v>
      </c>
      <c r="E1020">
        <v>-4</v>
      </c>
      <c r="F1020" t="s">
        <v>17</v>
      </c>
      <c r="G1020" t="s">
        <v>15</v>
      </c>
      <c r="H1020" t="s">
        <v>16</v>
      </c>
      <c r="I1020">
        <v>0</v>
      </c>
      <c r="J1020" s="23">
        <v>-213586</v>
      </c>
      <c r="K1020" t="s">
        <v>17</v>
      </c>
    </row>
    <row r="1021" spans="1:11" ht="15" customHeight="1" x14ac:dyDescent="0.3">
      <c r="A1021" t="s">
        <v>18</v>
      </c>
      <c r="B1021" t="s">
        <v>19</v>
      </c>
      <c r="C1021" t="s">
        <v>12</v>
      </c>
      <c r="D1021" t="s">
        <v>20</v>
      </c>
      <c r="E1021">
        <v>32</v>
      </c>
      <c r="F1021"/>
      <c r="G1021" t="s">
        <v>31</v>
      </c>
      <c r="H1021" t="s">
        <v>32</v>
      </c>
      <c r="I1021">
        <v>1</v>
      </c>
      <c r="J1021" s="23">
        <v>-55</v>
      </c>
      <c r="K1021" t="s">
        <v>17</v>
      </c>
    </row>
    <row r="1022" spans="1:11" ht="15" customHeight="1" x14ac:dyDescent="0.3">
      <c r="A1022" t="s">
        <v>22</v>
      </c>
      <c r="B1022" t="s">
        <v>19</v>
      </c>
      <c r="C1022" t="s">
        <v>12</v>
      </c>
      <c r="D1022" t="s">
        <v>20</v>
      </c>
      <c r="E1022">
        <v>15</v>
      </c>
      <c r="F1022"/>
      <c r="G1022" t="s">
        <v>15</v>
      </c>
      <c r="H1022" t="s">
        <v>16</v>
      </c>
      <c r="I1022">
        <v>0</v>
      </c>
      <c r="J1022" s="23">
        <v>-1423144</v>
      </c>
      <c r="K1022" t="s">
        <v>17</v>
      </c>
    </row>
    <row r="1023" spans="1:11" ht="15" customHeight="1" x14ac:dyDescent="0.3">
      <c r="A1023" t="s">
        <v>22</v>
      </c>
      <c r="B1023" t="s">
        <v>19</v>
      </c>
      <c r="C1023" t="s">
        <v>12</v>
      </c>
      <c r="D1023" t="s">
        <v>20</v>
      </c>
      <c r="E1023">
        <v>16</v>
      </c>
      <c r="F1023"/>
      <c r="G1023" t="s">
        <v>31</v>
      </c>
      <c r="H1023" t="s">
        <v>16</v>
      </c>
      <c r="I1023">
        <v>1</v>
      </c>
      <c r="J1023" s="23">
        <v>-56798</v>
      </c>
      <c r="K1023" t="s">
        <v>17</v>
      </c>
    </row>
    <row r="1024" spans="1:11" ht="15" customHeight="1" x14ac:dyDescent="0.3">
      <c r="A1024" t="s">
        <v>10</v>
      </c>
      <c r="B1024" t="s">
        <v>11</v>
      </c>
      <c r="C1024" t="s">
        <v>24</v>
      </c>
      <c r="D1024" t="s">
        <v>28</v>
      </c>
      <c r="E1024">
        <v>0</v>
      </c>
      <c r="F1024" t="s">
        <v>40</v>
      </c>
      <c r="G1024" t="s">
        <v>15</v>
      </c>
      <c r="H1024" t="s">
        <v>16</v>
      </c>
      <c r="I1024">
        <v>0</v>
      </c>
      <c r="J1024" s="23">
        <v>24447</v>
      </c>
      <c r="K1024" t="s">
        <v>17</v>
      </c>
    </row>
    <row r="1025" spans="1:11" ht="15" customHeight="1" x14ac:dyDescent="0.3">
      <c r="A1025" t="s">
        <v>22</v>
      </c>
      <c r="B1025" t="s">
        <v>11</v>
      </c>
      <c r="C1025" t="s">
        <v>24</v>
      </c>
      <c r="D1025" t="s">
        <v>13</v>
      </c>
      <c r="E1025">
        <v>-1</v>
      </c>
      <c r="F1025" t="s">
        <v>30</v>
      </c>
      <c r="G1025" t="s">
        <v>15</v>
      </c>
      <c r="H1025" t="s">
        <v>16</v>
      </c>
      <c r="I1025">
        <v>0</v>
      </c>
      <c r="J1025" s="23">
        <v>2270788</v>
      </c>
      <c r="K1025" t="s">
        <v>17</v>
      </c>
    </row>
    <row r="1026" spans="1:11" ht="15" customHeight="1" x14ac:dyDescent="0.3">
      <c r="A1026" t="s">
        <v>22</v>
      </c>
      <c r="B1026" t="s">
        <v>19</v>
      </c>
      <c r="C1026" t="s">
        <v>24</v>
      </c>
      <c r="D1026" t="s">
        <v>20</v>
      </c>
      <c r="E1026">
        <v>18</v>
      </c>
      <c r="F1026"/>
      <c r="G1026" t="s">
        <v>31</v>
      </c>
      <c r="H1026" t="s">
        <v>32</v>
      </c>
      <c r="I1026">
        <v>1</v>
      </c>
      <c r="J1026" s="23">
        <v>33549</v>
      </c>
      <c r="K1026">
        <v>603882</v>
      </c>
    </row>
    <row r="1027" spans="1:11" ht="15" customHeight="1" x14ac:dyDescent="0.3">
      <c r="A1027" t="s">
        <v>22</v>
      </c>
      <c r="B1027" t="s">
        <v>11</v>
      </c>
      <c r="C1027" t="s">
        <v>24</v>
      </c>
      <c r="D1027" t="s">
        <v>13</v>
      </c>
      <c r="E1027">
        <v>4</v>
      </c>
      <c r="F1027" t="s">
        <v>41</v>
      </c>
      <c r="G1027" t="s">
        <v>15</v>
      </c>
      <c r="H1027" t="s">
        <v>16</v>
      </c>
      <c r="I1027">
        <v>0</v>
      </c>
      <c r="J1027" s="23">
        <v>191128</v>
      </c>
      <c r="K1027">
        <v>764512</v>
      </c>
    </row>
    <row r="1028" spans="1:11" ht="15" customHeight="1" x14ac:dyDescent="0.3">
      <c r="A1028" t="s">
        <v>18</v>
      </c>
      <c r="B1028" t="s">
        <v>11</v>
      </c>
      <c r="C1028" t="s">
        <v>24</v>
      </c>
      <c r="D1028" t="s">
        <v>28</v>
      </c>
      <c r="E1028">
        <v>7</v>
      </c>
      <c r="F1028" t="s">
        <v>41</v>
      </c>
      <c r="G1028" t="s">
        <v>15</v>
      </c>
      <c r="H1028" t="s">
        <v>32</v>
      </c>
      <c r="I1028">
        <v>1</v>
      </c>
      <c r="J1028" s="23">
        <v>534341</v>
      </c>
      <c r="K1028">
        <v>3740387</v>
      </c>
    </row>
    <row r="1029" spans="1:11" ht="15" customHeight="1" x14ac:dyDescent="0.3">
      <c r="A1029" t="s">
        <v>10</v>
      </c>
      <c r="B1029" t="s">
        <v>11</v>
      </c>
      <c r="C1029" t="s">
        <v>12</v>
      </c>
      <c r="D1029" t="s">
        <v>25</v>
      </c>
      <c r="E1029">
        <v>3</v>
      </c>
      <c r="F1029" t="s">
        <v>33</v>
      </c>
      <c r="G1029" t="s">
        <v>15</v>
      </c>
      <c r="H1029" t="s">
        <v>16</v>
      </c>
      <c r="I1029">
        <v>0</v>
      </c>
      <c r="J1029" s="23">
        <v>-36984</v>
      </c>
      <c r="K1029" t="s">
        <v>17</v>
      </c>
    </row>
    <row r="1030" spans="1:11" ht="15" customHeight="1" x14ac:dyDescent="0.3">
      <c r="A1030" t="s">
        <v>10</v>
      </c>
      <c r="B1030" t="s">
        <v>19</v>
      </c>
      <c r="C1030" t="s">
        <v>12</v>
      </c>
      <c r="D1030" t="s">
        <v>20</v>
      </c>
      <c r="E1030">
        <v>50</v>
      </c>
      <c r="F1030"/>
      <c r="G1030" t="s">
        <v>15</v>
      </c>
      <c r="H1030" t="s">
        <v>16</v>
      </c>
      <c r="I1030">
        <v>0</v>
      </c>
      <c r="J1030" s="23">
        <v>-4826</v>
      </c>
      <c r="K1030" t="s">
        <v>17</v>
      </c>
    </row>
    <row r="1031" spans="1:11" ht="15" customHeight="1" x14ac:dyDescent="0.3">
      <c r="A1031" t="s">
        <v>18</v>
      </c>
      <c r="B1031" t="s">
        <v>11</v>
      </c>
      <c r="C1031" t="s">
        <v>24</v>
      </c>
      <c r="D1031" t="s">
        <v>13</v>
      </c>
      <c r="E1031">
        <v>-1</v>
      </c>
      <c r="F1031" t="s">
        <v>34</v>
      </c>
      <c r="G1031" t="s">
        <v>15</v>
      </c>
      <c r="H1031" t="s">
        <v>16</v>
      </c>
      <c r="I1031">
        <v>0</v>
      </c>
      <c r="J1031" s="23">
        <v>178318126</v>
      </c>
      <c r="K1031" t="s">
        <v>17</v>
      </c>
    </row>
    <row r="1032" spans="1:11" ht="15" customHeight="1" x14ac:dyDescent="0.3">
      <c r="A1032" t="s">
        <v>18</v>
      </c>
      <c r="B1032" t="s">
        <v>11</v>
      </c>
      <c r="C1032" t="s">
        <v>12</v>
      </c>
      <c r="D1032" t="s">
        <v>28</v>
      </c>
      <c r="E1032">
        <v>9</v>
      </c>
      <c r="F1032" t="s">
        <v>21</v>
      </c>
      <c r="G1032" t="s">
        <v>31</v>
      </c>
      <c r="H1032" t="s">
        <v>32</v>
      </c>
      <c r="I1032">
        <v>1</v>
      </c>
      <c r="J1032" s="23">
        <v>-684</v>
      </c>
      <c r="K1032" t="s">
        <v>17</v>
      </c>
    </row>
    <row r="1033" spans="1:11" ht="15" customHeight="1" x14ac:dyDescent="0.3">
      <c r="A1033" t="s">
        <v>18</v>
      </c>
      <c r="B1033" t="s">
        <v>11</v>
      </c>
      <c r="C1033" t="s">
        <v>24</v>
      </c>
      <c r="D1033" t="s">
        <v>25</v>
      </c>
      <c r="E1033">
        <v>0</v>
      </c>
      <c r="F1033" t="s">
        <v>23</v>
      </c>
      <c r="G1033" t="s">
        <v>15</v>
      </c>
      <c r="H1033" t="s">
        <v>16</v>
      </c>
      <c r="I1033">
        <v>0</v>
      </c>
      <c r="J1033" s="23">
        <v>203325</v>
      </c>
      <c r="K1033" t="s">
        <v>17</v>
      </c>
    </row>
    <row r="1034" spans="1:11" ht="15" customHeight="1" x14ac:dyDescent="0.3">
      <c r="A1034" t="s">
        <v>10</v>
      </c>
      <c r="B1034" t="s">
        <v>11</v>
      </c>
      <c r="C1034" t="s">
        <v>24</v>
      </c>
      <c r="D1034" t="s">
        <v>28</v>
      </c>
      <c r="E1034">
        <v>2</v>
      </c>
      <c r="F1034" t="s">
        <v>33</v>
      </c>
      <c r="G1034" t="s">
        <v>15</v>
      </c>
      <c r="H1034" t="s">
        <v>32</v>
      </c>
      <c r="I1034">
        <v>1</v>
      </c>
      <c r="J1034" s="23">
        <v>72319</v>
      </c>
      <c r="K1034">
        <v>144638</v>
      </c>
    </row>
    <row r="1035" spans="1:11" ht="15" customHeight="1" x14ac:dyDescent="0.3">
      <c r="A1035" t="s">
        <v>10</v>
      </c>
      <c r="B1035" t="s">
        <v>11</v>
      </c>
      <c r="C1035" t="s">
        <v>12</v>
      </c>
      <c r="D1035" t="s">
        <v>13</v>
      </c>
      <c r="E1035">
        <v>2</v>
      </c>
      <c r="F1035" t="s">
        <v>14</v>
      </c>
      <c r="G1035" t="s">
        <v>15</v>
      </c>
      <c r="H1035" t="s">
        <v>16</v>
      </c>
      <c r="I1035">
        <v>0</v>
      </c>
      <c r="J1035" s="23">
        <v>-164123</v>
      </c>
      <c r="K1035" t="s">
        <v>17</v>
      </c>
    </row>
    <row r="1036" spans="1:11" ht="15" customHeight="1" x14ac:dyDescent="0.3">
      <c r="A1036" t="s">
        <v>10</v>
      </c>
      <c r="B1036" t="s">
        <v>19</v>
      </c>
      <c r="C1036" t="s">
        <v>12</v>
      </c>
      <c r="D1036" t="s">
        <v>20</v>
      </c>
      <c r="E1036">
        <v>8</v>
      </c>
      <c r="F1036"/>
      <c r="G1036" t="s">
        <v>15</v>
      </c>
      <c r="H1036" t="s">
        <v>32</v>
      </c>
      <c r="I1036">
        <v>1</v>
      </c>
      <c r="J1036" s="23">
        <v>-4434</v>
      </c>
      <c r="K1036" t="s">
        <v>17</v>
      </c>
    </row>
    <row r="1037" spans="1:11" ht="15" customHeight="1" x14ac:dyDescent="0.3">
      <c r="A1037" t="s">
        <v>10</v>
      </c>
      <c r="B1037" t="s">
        <v>11</v>
      </c>
      <c r="C1037" t="s">
        <v>24</v>
      </c>
      <c r="D1037" t="s">
        <v>25</v>
      </c>
      <c r="E1037">
        <v>4</v>
      </c>
      <c r="F1037" t="s">
        <v>30</v>
      </c>
      <c r="G1037" t="s">
        <v>15</v>
      </c>
      <c r="H1037" t="s">
        <v>16</v>
      </c>
      <c r="I1037">
        <v>0</v>
      </c>
      <c r="J1037" s="23">
        <v>981515</v>
      </c>
      <c r="K1037">
        <v>3926060</v>
      </c>
    </row>
    <row r="1038" spans="1:11" ht="15" customHeight="1" x14ac:dyDescent="0.3">
      <c r="A1038" t="s">
        <v>18</v>
      </c>
      <c r="B1038" t="s">
        <v>11</v>
      </c>
      <c r="C1038" t="s">
        <v>24</v>
      </c>
      <c r="D1038" t="s">
        <v>28</v>
      </c>
      <c r="E1038">
        <v>6</v>
      </c>
      <c r="F1038" t="s">
        <v>41</v>
      </c>
      <c r="G1038" t="s">
        <v>15</v>
      </c>
      <c r="H1038" t="s">
        <v>32</v>
      </c>
      <c r="I1038">
        <v>1</v>
      </c>
      <c r="J1038" s="23">
        <v>41713</v>
      </c>
      <c r="K1038">
        <v>250278</v>
      </c>
    </row>
    <row r="1039" spans="1:11" ht="15" customHeight="1" x14ac:dyDescent="0.3">
      <c r="A1039" t="s">
        <v>22</v>
      </c>
      <c r="B1039" t="s">
        <v>19</v>
      </c>
      <c r="C1039" t="s">
        <v>24</v>
      </c>
      <c r="D1039" t="s">
        <v>28</v>
      </c>
      <c r="E1039">
        <v>2</v>
      </c>
      <c r="F1039"/>
      <c r="G1039" t="s">
        <v>15</v>
      </c>
      <c r="H1039" t="s">
        <v>16</v>
      </c>
      <c r="I1039">
        <v>0</v>
      </c>
      <c r="J1039" s="23">
        <v>108426</v>
      </c>
      <c r="K1039">
        <v>216852</v>
      </c>
    </row>
    <row r="1040" spans="1:11" ht="15" customHeight="1" x14ac:dyDescent="0.3">
      <c r="A1040" t="s">
        <v>22</v>
      </c>
      <c r="B1040" t="s">
        <v>19</v>
      </c>
      <c r="C1040" t="s">
        <v>12</v>
      </c>
      <c r="D1040" t="s">
        <v>20</v>
      </c>
      <c r="E1040">
        <v>3</v>
      </c>
      <c r="F1040"/>
      <c r="G1040" t="s">
        <v>15</v>
      </c>
      <c r="H1040" t="s">
        <v>16</v>
      </c>
      <c r="I1040">
        <v>0</v>
      </c>
      <c r="J1040" s="23">
        <v>-201947</v>
      </c>
      <c r="K1040" t="s">
        <v>17</v>
      </c>
    </row>
    <row r="1041" spans="1:11" ht="15" customHeight="1" x14ac:dyDescent="0.3">
      <c r="A1041" t="s">
        <v>22</v>
      </c>
      <c r="B1041" t="s">
        <v>11</v>
      </c>
      <c r="C1041" t="s">
        <v>24</v>
      </c>
      <c r="D1041" t="s">
        <v>13</v>
      </c>
      <c r="E1041">
        <v>9</v>
      </c>
      <c r="F1041" t="s">
        <v>29</v>
      </c>
      <c r="G1041" t="s">
        <v>15</v>
      </c>
      <c r="H1041" t="s">
        <v>16</v>
      </c>
      <c r="I1041">
        <v>0</v>
      </c>
      <c r="J1041" s="23">
        <v>1182479</v>
      </c>
      <c r="K1041">
        <v>10642311</v>
      </c>
    </row>
    <row r="1042" spans="1:11" ht="15" customHeight="1" x14ac:dyDescent="0.3">
      <c r="A1042" t="s">
        <v>10</v>
      </c>
      <c r="B1042" t="s">
        <v>11</v>
      </c>
      <c r="C1042" t="s">
        <v>12</v>
      </c>
      <c r="D1042" t="s">
        <v>13</v>
      </c>
      <c r="E1042">
        <v>-1</v>
      </c>
      <c r="F1042" t="s">
        <v>23</v>
      </c>
      <c r="G1042" t="s">
        <v>15</v>
      </c>
      <c r="H1042" t="s">
        <v>16</v>
      </c>
      <c r="I1042">
        <v>0</v>
      </c>
      <c r="J1042" s="23">
        <v>-582273</v>
      </c>
      <c r="K1042" t="s">
        <v>17</v>
      </c>
    </row>
    <row r="1043" spans="1:11" ht="15" customHeight="1" x14ac:dyDescent="0.3">
      <c r="A1043" t="s">
        <v>18</v>
      </c>
      <c r="B1043" t="s">
        <v>11</v>
      </c>
      <c r="C1043" t="s">
        <v>24</v>
      </c>
      <c r="D1043" t="s">
        <v>13</v>
      </c>
      <c r="E1043">
        <v>0</v>
      </c>
      <c r="F1043" t="s">
        <v>42</v>
      </c>
      <c r="G1043" t="s">
        <v>15</v>
      </c>
      <c r="H1043" t="s">
        <v>16</v>
      </c>
      <c r="I1043">
        <v>0</v>
      </c>
      <c r="J1043" s="23">
        <v>553694</v>
      </c>
      <c r="K1043" t="s">
        <v>17</v>
      </c>
    </row>
    <row r="1044" spans="1:11" ht="15" customHeight="1" x14ac:dyDescent="0.3">
      <c r="A1044" t="s">
        <v>10</v>
      </c>
      <c r="B1044" t="s">
        <v>19</v>
      </c>
      <c r="C1044" t="s">
        <v>24</v>
      </c>
      <c r="D1044" t="s">
        <v>20</v>
      </c>
      <c r="E1044">
        <v>2</v>
      </c>
      <c r="F1044"/>
      <c r="G1044" t="s">
        <v>31</v>
      </c>
      <c r="H1044" t="s">
        <v>16</v>
      </c>
      <c r="I1044">
        <v>1</v>
      </c>
      <c r="J1044" s="23">
        <v>74113</v>
      </c>
      <c r="K1044">
        <v>148226</v>
      </c>
    </row>
    <row r="1045" spans="1:11" ht="15" customHeight="1" x14ac:dyDescent="0.3">
      <c r="A1045" t="s">
        <v>18</v>
      </c>
      <c r="B1045" t="s">
        <v>11</v>
      </c>
      <c r="C1045" t="s">
        <v>24</v>
      </c>
      <c r="D1045" t="s">
        <v>28</v>
      </c>
      <c r="E1045">
        <v>1</v>
      </c>
      <c r="F1045" t="s">
        <v>45</v>
      </c>
      <c r="G1045" t="s">
        <v>15</v>
      </c>
      <c r="H1045" t="s">
        <v>16</v>
      </c>
      <c r="I1045">
        <v>0</v>
      </c>
      <c r="J1045" s="23">
        <v>18429</v>
      </c>
      <c r="K1045">
        <v>18429</v>
      </c>
    </row>
    <row r="1046" spans="1:11" ht="15" customHeight="1" x14ac:dyDescent="0.3">
      <c r="A1046" t="s">
        <v>18</v>
      </c>
      <c r="B1046" t="s">
        <v>11</v>
      </c>
      <c r="C1046" t="s">
        <v>12</v>
      </c>
      <c r="D1046" t="s">
        <v>25</v>
      </c>
      <c r="E1046">
        <v>5</v>
      </c>
      <c r="F1046" t="s">
        <v>14</v>
      </c>
      <c r="G1046" t="s">
        <v>15</v>
      </c>
      <c r="H1046" t="s">
        <v>16</v>
      </c>
      <c r="I1046">
        <v>0</v>
      </c>
      <c r="J1046" s="23">
        <v>-10328</v>
      </c>
      <c r="K1046" t="s">
        <v>17</v>
      </c>
    </row>
    <row r="1047" spans="1:11" ht="15" customHeight="1" x14ac:dyDescent="0.3">
      <c r="A1047" t="s">
        <v>22</v>
      </c>
      <c r="B1047" t="s">
        <v>19</v>
      </c>
      <c r="C1047" t="s">
        <v>12</v>
      </c>
      <c r="D1047" t="s">
        <v>20</v>
      </c>
      <c r="E1047">
        <v>14</v>
      </c>
      <c r="F1047"/>
      <c r="G1047" t="s">
        <v>15</v>
      </c>
      <c r="H1047" t="s">
        <v>16</v>
      </c>
      <c r="I1047">
        <v>0</v>
      </c>
      <c r="J1047" s="23">
        <v>-1701871</v>
      </c>
      <c r="K1047" t="s">
        <v>17</v>
      </c>
    </row>
    <row r="1048" spans="1:11" ht="15" customHeight="1" x14ac:dyDescent="0.3">
      <c r="A1048" t="s">
        <v>18</v>
      </c>
      <c r="B1048" t="s">
        <v>11</v>
      </c>
      <c r="C1048" t="s">
        <v>12</v>
      </c>
      <c r="D1048" t="s">
        <v>25</v>
      </c>
      <c r="E1048">
        <v>7</v>
      </c>
      <c r="F1048" t="s">
        <v>23</v>
      </c>
      <c r="G1048" t="s">
        <v>15</v>
      </c>
      <c r="H1048" t="s">
        <v>16</v>
      </c>
      <c r="I1048">
        <v>0</v>
      </c>
      <c r="J1048" s="23">
        <v>-955</v>
      </c>
      <c r="K1048" t="s">
        <v>17</v>
      </c>
    </row>
    <row r="1049" spans="1:11" ht="15" customHeight="1" x14ac:dyDescent="0.3">
      <c r="A1049" t="s">
        <v>18</v>
      </c>
      <c r="B1049" t="s">
        <v>19</v>
      </c>
      <c r="C1049" t="s">
        <v>24</v>
      </c>
      <c r="D1049" t="s">
        <v>20</v>
      </c>
      <c r="E1049">
        <v>20</v>
      </c>
      <c r="F1049"/>
      <c r="G1049" t="s">
        <v>31</v>
      </c>
      <c r="H1049" t="s">
        <v>16</v>
      </c>
      <c r="I1049">
        <v>1</v>
      </c>
      <c r="J1049" s="23">
        <v>7792389</v>
      </c>
      <c r="K1049">
        <v>155847780</v>
      </c>
    </row>
    <row r="1050" spans="1:11" ht="15" customHeight="1" x14ac:dyDescent="0.3">
      <c r="A1050" t="s">
        <v>22</v>
      </c>
      <c r="B1050" t="s">
        <v>11</v>
      </c>
      <c r="C1050" t="s">
        <v>24</v>
      </c>
      <c r="D1050" t="s">
        <v>13</v>
      </c>
      <c r="E1050">
        <v>-4</v>
      </c>
      <c r="F1050" t="s">
        <v>29</v>
      </c>
      <c r="G1050" t="s">
        <v>15</v>
      </c>
      <c r="H1050" t="s">
        <v>16</v>
      </c>
      <c r="I1050">
        <v>0</v>
      </c>
      <c r="J1050" s="23">
        <v>14340784</v>
      </c>
      <c r="K1050" t="s">
        <v>17</v>
      </c>
    </row>
    <row r="1051" spans="1:11" ht="15" customHeight="1" x14ac:dyDescent="0.3">
      <c r="A1051" t="s">
        <v>18</v>
      </c>
      <c r="B1051" t="s">
        <v>11</v>
      </c>
      <c r="C1051" t="s">
        <v>24</v>
      </c>
      <c r="D1051" t="s">
        <v>25</v>
      </c>
      <c r="E1051">
        <v>2</v>
      </c>
      <c r="F1051" t="s">
        <v>41</v>
      </c>
      <c r="G1051" t="s">
        <v>15</v>
      </c>
      <c r="H1051" t="s">
        <v>16</v>
      </c>
      <c r="I1051">
        <v>0</v>
      </c>
      <c r="J1051" s="23">
        <v>685844</v>
      </c>
      <c r="K1051">
        <v>1371688</v>
      </c>
    </row>
    <row r="1052" spans="1:11" ht="15" customHeight="1" x14ac:dyDescent="0.3">
      <c r="A1052" t="s">
        <v>18</v>
      </c>
      <c r="B1052" t="s">
        <v>11</v>
      </c>
      <c r="C1052" t="s">
        <v>24</v>
      </c>
      <c r="D1052" t="s">
        <v>28</v>
      </c>
      <c r="E1052">
        <v>11</v>
      </c>
      <c r="F1052" t="s">
        <v>21</v>
      </c>
      <c r="G1052" t="s">
        <v>15</v>
      </c>
      <c r="H1052" t="s">
        <v>32</v>
      </c>
      <c r="I1052">
        <v>1</v>
      </c>
      <c r="J1052" s="23">
        <v>247245</v>
      </c>
      <c r="K1052">
        <v>2719695</v>
      </c>
    </row>
    <row r="1053" spans="1:11" ht="15" customHeight="1" x14ac:dyDescent="0.3">
      <c r="A1053" t="s">
        <v>10</v>
      </c>
      <c r="B1053" t="s">
        <v>19</v>
      </c>
      <c r="C1053" t="s">
        <v>12</v>
      </c>
      <c r="D1053" t="s">
        <v>28</v>
      </c>
      <c r="E1053">
        <v>11</v>
      </c>
      <c r="F1053"/>
      <c r="G1053" t="s">
        <v>31</v>
      </c>
      <c r="H1053" t="s">
        <v>32</v>
      </c>
      <c r="I1053">
        <v>1</v>
      </c>
      <c r="J1053" s="23">
        <v>-416</v>
      </c>
      <c r="K1053" t="s">
        <v>17</v>
      </c>
    </row>
    <row r="1054" spans="1:11" ht="15" customHeight="1" x14ac:dyDescent="0.3">
      <c r="A1054" t="s">
        <v>22</v>
      </c>
      <c r="B1054" t="s">
        <v>11</v>
      </c>
      <c r="C1054" t="s">
        <v>12</v>
      </c>
      <c r="D1054" t="s">
        <v>13</v>
      </c>
      <c r="E1054">
        <v>2</v>
      </c>
      <c r="F1054" t="s">
        <v>45</v>
      </c>
      <c r="G1054" t="s">
        <v>15</v>
      </c>
      <c r="H1054" t="s">
        <v>16</v>
      </c>
      <c r="I1054">
        <v>0</v>
      </c>
      <c r="J1054" s="23">
        <v>-95350</v>
      </c>
      <c r="K1054" t="s">
        <v>17</v>
      </c>
    </row>
    <row r="1055" spans="1:11" ht="15" customHeight="1" x14ac:dyDescent="0.3">
      <c r="A1055" t="s">
        <v>10</v>
      </c>
      <c r="B1055" t="s">
        <v>11</v>
      </c>
      <c r="C1055" t="s">
        <v>24</v>
      </c>
      <c r="D1055" t="s">
        <v>13</v>
      </c>
      <c r="E1055">
        <v>5</v>
      </c>
      <c r="F1055" t="s">
        <v>21</v>
      </c>
      <c r="G1055" t="s">
        <v>15</v>
      </c>
      <c r="H1055" t="s">
        <v>16</v>
      </c>
      <c r="I1055">
        <v>0</v>
      </c>
      <c r="J1055" s="23">
        <v>1492323</v>
      </c>
      <c r="K1055">
        <v>7461615</v>
      </c>
    </row>
    <row r="1056" spans="1:11" ht="15" customHeight="1" x14ac:dyDescent="0.3">
      <c r="A1056" t="s">
        <v>10</v>
      </c>
      <c r="B1056" t="s">
        <v>19</v>
      </c>
      <c r="C1056" t="s">
        <v>12</v>
      </c>
      <c r="D1056" t="s">
        <v>20</v>
      </c>
      <c r="E1056">
        <v>35</v>
      </c>
      <c r="F1056"/>
      <c r="G1056" t="s">
        <v>15</v>
      </c>
      <c r="H1056" t="s">
        <v>32</v>
      </c>
      <c r="I1056">
        <v>1</v>
      </c>
      <c r="J1056" s="23">
        <v>-735</v>
      </c>
      <c r="K1056" t="s">
        <v>17</v>
      </c>
    </row>
    <row r="1057" spans="1:11" ht="15" customHeight="1" x14ac:dyDescent="0.3">
      <c r="A1057" t="s">
        <v>18</v>
      </c>
      <c r="B1057" t="s">
        <v>11</v>
      </c>
      <c r="C1057" t="s">
        <v>12</v>
      </c>
      <c r="D1057" t="s">
        <v>25</v>
      </c>
      <c r="E1057">
        <v>1</v>
      </c>
      <c r="F1057" t="s">
        <v>23</v>
      </c>
      <c r="G1057" t="s">
        <v>15</v>
      </c>
      <c r="H1057" t="s">
        <v>16</v>
      </c>
      <c r="I1057">
        <v>0</v>
      </c>
      <c r="J1057" s="23">
        <v>-2995</v>
      </c>
      <c r="K1057" t="s">
        <v>17</v>
      </c>
    </row>
    <row r="1058" spans="1:11" ht="15" customHeight="1" x14ac:dyDescent="0.3">
      <c r="A1058" t="s">
        <v>10</v>
      </c>
      <c r="B1058" t="s">
        <v>11</v>
      </c>
      <c r="C1058" t="s">
        <v>24</v>
      </c>
      <c r="D1058" t="s">
        <v>25</v>
      </c>
      <c r="E1058">
        <v>-4</v>
      </c>
      <c r="F1058" t="s">
        <v>41</v>
      </c>
      <c r="G1058" t="s">
        <v>15</v>
      </c>
      <c r="H1058" t="s">
        <v>16</v>
      </c>
      <c r="I1058">
        <v>0</v>
      </c>
      <c r="J1058" s="23">
        <v>529</v>
      </c>
      <c r="K1058" t="s">
        <v>17</v>
      </c>
    </row>
    <row r="1059" spans="1:11" ht="15" customHeight="1" x14ac:dyDescent="0.3">
      <c r="A1059" t="s">
        <v>18</v>
      </c>
      <c r="B1059" t="s">
        <v>11</v>
      </c>
      <c r="C1059" t="s">
        <v>12</v>
      </c>
      <c r="D1059" t="s">
        <v>28</v>
      </c>
      <c r="E1059">
        <v>13</v>
      </c>
      <c r="F1059" t="s">
        <v>14</v>
      </c>
      <c r="G1059" t="s">
        <v>15</v>
      </c>
      <c r="H1059" t="s">
        <v>16</v>
      </c>
      <c r="I1059">
        <v>0</v>
      </c>
      <c r="J1059" s="23">
        <v>-15132</v>
      </c>
      <c r="K1059" t="s">
        <v>17</v>
      </c>
    </row>
    <row r="1060" spans="1:11" ht="15" customHeight="1" x14ac:dyDescent="0.3">
      <c r="A1060" t="s">
        <v>18</v>
      </c>
      <c r="B1060" t="s">
        <v>11</v>
      </c>
      <c r="C1060" t="s">
        <v>12</v>
      </c>
      <c r="D1060" t="s">
        <v>13</v>
      </c>
      <c r="E1060">
        <v>1</v>
      </c>
      <c r="F1060" t="s">
        <v>38</v>
      </c>
      <c r="G1060" t="s">
        <v>15</v>
      </c>
      <c r="H1060" t="s">
        <v>16</v>
      </c>
      <c r="I1060">
        <v>0</v>
      </c>
      <c r="J1060" s="23">
        <v>-218</v>
      </c>
      <c r="K1060" t="s">
        <v>17</v>
      </c>
    </row>
    <row r="1061" spans="1:11" ht="15" customHeight="1" x14ac:dyDescent="0.3">
      <c r="A1061" t="s">
        <v>10</v>
      </c>
      <c r="B1061" t="s">
        <v>11</v>
      </c>
      <c r="C1061" t="s">
        <v>12</v>
      </c>
      <c r="D1061" t="s">
        <v>28</v>
      </c>
      <c r="E1061">
        <v>3</v>
      </c>
      <c r="F1061" t="s">
        <v>39</v>
      </c>
      <c r="G1061" t="s">
        <v>15</v>
      </c>
      <c r="H1061" t="s">
        <v>16</v>
      </c>
      <c r="I1061">
        <v>0</v>
      </c>
      <c r="J1061" s="23">
        <v>-21993</v>
      </c>
      <c r="K1061" t="s">
        <v>17</v>
      </c>
    </row>
    <row r="1062" spans="1:11" ht="15" customHeight="1" x14ac:dyDescent="0.3">
      <c r="A1062" t="s">
        <v>18</v>
      </c>
      <c r="B1062" t="s">
        <v>19</v>
      </c>
      <c r="C1062" t="s">
        <v>24</v>
      </c>
      <c r="D1062" t="s">
        <v>20</v>
      </c>
      <c r="E1062">
        <v>17</v>
      </c>
      <c r="F1062"/>
      <c r="G1062" t="s">
        <v>31</v>
      </c>
      <c r="H1062" t="s">
        <v>32</v>
      </c>
      <c r="I1062">
        <v>1</v>
      </c>
      <c r="J1062" s="23">
        <v>117564</v>
      </c>
      <c r="K1062">
        <v>1998588</v>
      </c>
    </row>
    <row r="1063" spans="1:11" ht="15" customHeight="1" x14ac:dyDescent="0.3">
      <c r="A1063" t="s">
        <v>18</v>
      </c>
      <c r="B1063" t="s">
        <v>11</v>
      </c>
      <c r="C1063" t="s">
        <v>24</v>
      </c>
      <c r="D1063" t="s">
        <v>28</v>
      </c>
      <c r="E1063">
        <v>9</v>
      </c>
      <c r="F1063" t="s">
        <v>40</v>
      </c>
      <c r="G1063" t="s">
        <v>15</v>
      </c>
      <c r="H1063" t="s">
        <v>16</v>
      </c>
      <c r="I1063">
        <v>0</v>
      </c>
      <c r="J1063" s="23">
        <v>384973</v>
      </c>
      <c r="K1063">
        <v>3464757</v>
      </c>
    </row>
    <row r="1064" spans="1:11" ht="15" customHeight="1" x14ac:dyDescent="0.3">
      <c r="A1064" t="s">
        <v>10</v>
      </c>
      <c r="B1064" t="s">
        <v>11</v>
      </c>
      <c r="C1064" t="s">
        <v>24</v>
      </c>
      <c r="D1064" t="s">
        <v>25</v>
      </c>
      <c r="E1064">
        <v>-4</v>
      </c>
      <c r="F1064" t="s">
        <v>26</v>
      </c>
      <c r="G1064" t="s">
        <v>15</v>
      </c>
      <c r="H1064" t="s">
        <v>16</v>
      </c>
      <c r="I1064">
        <v>0</v>
      </c>
      <c r="J1064" s="23">
        <v>1764</v>
      </c>
      <c r="K1064" t="s">
        <v>17</v>
      </c>
    </row>
    <row r="1065" spans="1:11" ht="15" customHeight="1" x14ac:dyDescent="0.3">
      <c r="A1065" t="s">
        <v>18</v>
      </c>
      <c r="B1065" t="s">
        <v>19</v>
      </c>
      <c r="C1065" t="s">
        <v>12</v>
      </c>
      <c r="D1065" t="s">
        <v>20</v>
      </c>
      <c r="E1065">
        <v>23</v>
      </c>
      <c r="F1065"/>
      <c r="G1065" t="s">
        <v>15</v>
      </c>
      <c r="H1065" t="s">
        <v>32</v>
      </c>
      <c r="I1065">
        <v>1</v>
      </c>
      <c r="J1065" s="23">
        <v>-2962</v>
      </c>
      <c r="K1065" t="s">
        <v>17</v>
      </c>
    </row>
    <row r="1066" spans="1:11" ht="15" customHeight="1" x14ac:dyDescent="0.3">
      <c r="A1066" t="s">
        <v>18</v>
      </c>
      <c r="B1066" t="s">
        <v>11</v>
      </c>
      <c r="C1066" t="s">
        <v>24</v>
      </c>
      <c r="D1066" t="s">
        <v>25</v>
      </c>
      <c r="E1066">
        <v>7</v>
      </c>
      <c r="F1066" t="s">
        <v>23</v>
      </c>
      <c r="G1066" t="s">
        <v>15</v>
      </c>
      <c r="H1066" t="s">
        <v>16</v>
      </c>
      <c r="I1066">
        <v>0</v>
      </c>
      <c r="J1066" s="23">
        <v>414744</v>
      </c>
      <c r="K1066">
        <v>2903208</v>
      </c>
    </row>
    <row r="1067" spans="1:11" ht="15" customHeight="1" x14ac:dyDescent="0.3">
      <c r="A1067" t="s">
        <v>10</v>
      </c>
      <c r="B1067" t="s">
        <v>19</v>
      </c>
      <c r="C1067" t="s">
        <v>24</v>
      </c>
      <c r="D1067" t="s">
        <v>28</v>
      </c>
      <c r="E1067">
        <v>22</v>
      </c>
      <c r="F1067"/>
      <c r="G1067" t="s">
        <v>15</v>
      </c>
      <c r="H1067" t="s">
        <v>16</v>
      </c>
      <c r="I1067">
        <v>0</v>
      </c>
      <c r="J1067" s="23">
        <v>191075</v>
      </c>
      <c r="K1067">
        <v>4203650</v>
      </c>
    </row>
    <row r="1068" spans="1:11" ht="15" customHeight="1" x14ac:dyDescent="0.3">
      <c r="A1068" t="s">
        <v>10</v>
      </c>
      <c r="B1068" t="s">
        <v>11</v>
      </c>
      <c r="C1068" t="s">
        <v>24</v>
      </c>
      <c r="D1068" t="s">
        <v>13</v>
      </c>
      <c r="E1068">
        <v>-1</v>
      </c>
      <c r="F1068" t="s">
        <v>36</v>
      </c>
      <c r="G1068" t="s">
        <v>15</v>
      </c>
      <c r="H1068" t="s">
        <v>16</v>
      </c>
      <c r="I1068">
        <v>0</v>
      </c>
      <c r="J1068" s="23">
        <v>257497</v>
      </c>
      <c r="K1068" t="s">
        <v>17</v>
      </c>
    </row>
    <row r="1069" spans="1:11" ht="15" customHeight="1" x14ac:dyDescent="0.3">
      <c r="A1069" t="s">
        <v>22</v>
      </c>
      <c r="B1069" t="s">
        <v>19</v>
      </c>
      <c r="C1069" t="s">
        <v>12</v>
      </c>
      <c r="D1069" t="s">
        <v>20</v>
      </c>
      <c r="E1069">
        <v>18</v>
      </c>
      <c r="F1069"/>
      <c r="G1069" t="s">
        <v>31</v>
      </c>
      <c r="H1069" t="s">
        <v>32</v>
      </c>
      <c r="I1069">
        <v>1</v>
      </c>
      <c r="J1069" s="23">
        <v>-33549</v>
      </c>
      <c r="K1069" t="s">
        <v>17</v>
      </c>
    </row>
    <row r="1070" spans="1:11" ht="15" customHeight="1" x14ac:dyDescent="0.3">
      <c r="A1070" t="s">
        <v>18</v>
      </c>
      <c r="B1070" t="s">
        <v>11</v>
      </c>
      <c r="C1070" t="s">
        <v>24</v>
      </c>
      <c r="D1070" t="s">
        <v>28</v>
      </c>
      <c r="E1070">
        <v>0</v>
      </c>
      <c r="F1070" t="s">
        <v>37</v>
      </c>
      <c r="G1070" t="s">
        <v>15</v>
      </c>
      <c r="H1070" t="s">
        <v>16</v>
      </c>
      <c r="I1070">
        <v>0</v>
      </c>
      <c r="J1070" s="23">
        <v>2499</v>
      </c>
      <c r="K1070" t="s">
        <v>17</v>
      </c>
    </row>
    <row r="1071" spans="1:11" ht="15" customHeight="1" x14ac:dyDescent="0.3">
      <c r="A1071" t="s">
        <v>22</v>
      </c>
      <c r="B1071" t="s">
        <v>11</v>
      </c>
      <c r="C1071" t="s">
        <v>12</v>
      </c>
      <c r="D1071" t="s">
        <v>25</v>
      </c>
      <c r="E1071">
        <v>0</v>
      </c>
      <c r="F1071" t="s">
        <v>33</v>
      </c>
      <c r="G1071" t="s">
        <v>15</v>
      </c>
      <c r="H1071" t="s">
        <v>16</v>
      </c>
      <c r="I1071">
        <v>0</v>
      </c>
      <c r="J1071" s="23">
        <v>-4373</v>
      </c>
      <c r="K1071" t="s">
        <v>17</v>
      </c>
    </row>
    <row r="1072" spans="1:11" ht="15" customHeight="1" x14ac:dyDescent="0.3">
      <c r="A1072" t="s">
        <v>22</v>
      </c>
      <c r="B1072" t="s">
        <v>11</v>
      </c>
      <c r="C1072" t="s">
        <v>24</v>
      </c>
      <c r="D1072" t="s">
        <v>28</v>
      </c>
      <c r="E1072">
        <v>-4</v>
      </c>
      <c r="F1072" t="s">
        <v>21</v>
      </c>
      <c r="G1072" t="s">
        <v>15</v>
      </c>
      <c r="H1072" t="s">
        <v>16</v>
      </c>
      <c r="I1072">
        <v>0</v>
      </c>
      <c r="J1072" s="23">
        <v>769647</v>
      </c>
      <c r="K1072" t="s">
        <v>17</v>
      </c>
    </row>
    <row r="1073" spans="1:11" ht="15" customHeight="1" x14ac:dyDescent="0.3">
      <c r="A1073" t="s">
        <v>10</v>
      </c>
      <c r="B1073" t="s">
        <v>44</v>
      </c>
      <c r="C1073" t="s">
        <v>12</v>
      </c>
      <c r="D1073" t="s">
        <v>28</v>
      </c>
      <c r="E1073">
        <v>-4</v>
      </c>
      <c r="F1073" t="s">
        <v>14</v>
      </c>
      <c r="G1073" t="s">
        <v>15</v>
      </c>
      <c r="H1073" t="s">
        <v>16</v>
      </c>
      <c r="I1073">
        <v>0</v>
      </c>
      <c r="J1073" s="23">
        <v>-1</v>
      </c>
      <c r="K1073" t="s">
        <v>17</v>
      </c>
    </row>
    <row r="1074" spans="1:11" ht="15" customHeight="1" x14ac:dyDescent="0.3">
      <c r="A1074" t="s">
        <v>10</v>
      </c>
      <c r="B1074" t="s">
        <v>11</v>
      </c>
      <c r="C1074" t="s">
        <v>24</v>
      </c>
      <c r="D1074" t="s">
        <v>25</v>
      </c>
      <c r="E1074">
        <v>3</v>
      </c>
      <c r="F1074" t="s">
        <v>36</v>
      </c>
      <c r="G1074" t="s">
        <v>15</v>
      </c>
      <c r="H1074" t="s">
        <v>16</v>
      </c>
      <c r="I1074">
        <v>0</v>
      </c>
      <c r="J1074" s="23">
        <v>23819</v>
      </c>
      <c r="K1074">
        <v>71457</v>
      </c>
    </row>
    <row r="1075" spans="1:11" ht="15" customHeight="1" x14ac:dyDescent="0.3">
      <c r="A1075" t="s">
        <v>22</v>
      </c>
      <c r="B1075" t="s">
        <v>11</v>
      </c>
      <c r="C1075" t="s">
        <v>12</v>
      </c>
      <c r="D1075" t="s">
        <v>13</v>
      </c>
      <c r="E1075">
        <v>0</v>
      </c>
      <c r="F1075" t="s">
        <v>26</v>
      </c>
      <c r="G1075" t="s">
        <v>15</v>
      </c>
      <c r="H1075" t="s">
        <v>16</v>
      </c>
      <c r="I1075">
        <v>0</v>
      </c>
      <c r="J1075" s="23">
        <v>-25483</v>
      </c>
      <c r="K1075" t="s">
        <v>17</v>
      </c>
    </row>
    <row r="1076" spans="1:11" ht="15" customHeight="1" x14ac:dyDescent="0.3">
      <c r="A1076" t="s">
        <v>18</v>
      </c>
      <c r="B1076" t="s">
        <v>11</v>
      </c>
      <c r="C1076" t="s">
        <v>12</v>
      </c>
      <c r="D1076" t="s">
        <v>13</v>
      </c>
      <c r="E1076">
        <v>9</v>
      </c>
      <c r="F1076" t="s">
        <v>29</v>
      </c>
      <c r="G1076" t="s">
        <v>15</v>
      </c>
      <c r="H1076" t="s">
        <v>16</v>
      </c>
      <c r="I1076">
        <v>0</v>
      </c>
      <c r="J1076" s="23">
        <v>-29498</v>
      </c>
      <c r="K1076" t="s">
        <v>17</v>
      </c>
    </row>
    <row r="1077" spans="1:11" ht="15" customHeight="1" x14ac:dyDescent="0.3">
      <c r="A1077" t="s">
        <v>10</v>
      </c>
      <c r="B1077" t="s">
        <v>19</v>
      </c>
      <c r="C1077" t="s">
        <v>12</v>
      </c>
      <c r="D1077" t="s">
        <v>28</v>
      </c>
      <c r="E1077">
        <v>21</v>
      </c>
      <c r="F1077"/>
      <c r="G1077" t="s">
        <v>15</v>
      </c>
      <c r="H1077" t="s">
        <v>16</v>
      </c>
      <c r="I1077">
        <v>0</v>
      </c>
      <c r="J1077" s="23">
        <v>-1895</v>
      </c>
      <c r="K1077" t="s">
        <v>17</v>
      </c>
    </row>
    <row r="1078" spans="1:11" ht="15" customHeight="1" x14ac:dyDescent="0.3">
      <c r="A1078" t="s">
        <v>10</v>
      </c>
      <c r="B1078" t="s">
        <v>11</v>
      </c>
      <c r="C1078" t="s">
        <v>12</v>
      </c>
      <c r="D1078" t="s">
        <v>25</v>
      </c>
      <c r="E1078">
        <v>-1</v>
      </c>
      <c r="F1078" t="s">
        <v>14</v>
      </c>
      <c r="G1078" t="s">
        <v>15</v>
      </c>
      <c r="H1078" t="s">
        <v>16</v>
      </c>
      <c r="I1078">
        <v>0</v>
      </c>
      <c r="J1078" s="23">
        <v>-270</v>
      </c>
      <c r="K1078" t="s">
        <v>17</v>
      </c>
    </row>
    <row r="1079" spans="1:11" ht="15" customHeight="1" x14ac:dyDescent="0.3">
      <c r="A1079" t="s">
        <v>10</v>
      </c>
      <c r="B1079" t="s">
        <v>11</v>
      </c>
      <c r="C1079" t="s">
        <v>24</v>
      </c>
      <c r="D1079" t="s">
        <v>25</v>
      </c>
      <c r="E1079">
        <v>5</v>
      </c>
      <c r="F1079" t="s">
        <v>33</v>
      </c>
      <c r="G1079" t="s">
        <v>15</v>
      </c>
      <c r="H1079" t="s">
        <v>16</v>
      </c>
      <c r="I1079">
        <v>0</v>
      </c>
      <c r="J1079" s="23">
        <v>432795</v>
      </c>
      <c r="K1079">
        <v>2163975</v>
      </c>
    </row>
    <row r="1080" spans="1:11" ht="15" customHeight="1" x14ac:dyDescent="0.3">
      <c r="A1080" t="s">
        <v>10</v>
      </c>
      <c r="B1080" t="s">
        <v>19</v>
      </c>
      <c r="C1080" t="s">
        <v>24</v>
      </c>
      <c r="D1080" t="s">
        <v>20</v>
      </c>
      <c r="E1080">
        <v>25</v>
      </c>
      <c r="F1080"/>
      <c r="G1080" t="s">
        <v>15</v>
      </c>
      <c r="H1080" t="s">
        <v>32</v>
      </c>
      <c r="I1080">
        <v>1</v>
      </c>
      <c r="J1080" s="23">
        <v>450828</v>
      </c>
      <c r="K1080">
        <v>11270700</v>
      </c>
    </row>
    <row r="1081" spans="1:11" ht="15" customHeight="1" x14ac:dyDescent="0.3">
      <c r="A1081" t="s">
        <v>22</v>
      </c>
      <c r="B1081" t="s">
        <v>11</v>
      </c>
      <c r="C1081" t="s">
        <v>24</v>
      </c>
      <c r="D1081" t="s">
        <v>28</v>
      </c>
      <c r="E1081">
        <v>5</v>
      </c>
      <c r="F1081" t="s">
        <v>34</v>
      </c>
      <c r="G1081" t="s">
        <v>15</v>
      </c>
      <c r="H1081" t="s">
        <v>16</v>
      </c>
      <c r="I1081">
        <v>0</v>
      </c>
      <c r="J1081" s="23">
        <v>405683</v>
      </c>
      <c r="K1081">
        <v>2028415</v>
      </c>
    </row>
    <row r="1082" spans="1:11" ht="15" customHeight="1" x14ac:dyDescent="0.3">
      <c r="A1082" t="s">
        <v>22</v>
      </c>
      <c r="B1082" t="s">
        <v>11</v>
      </c>
      <c r="C1082" t="s">
        <v>24</v>
      </c>
      <c r="D1082" t="s">
        <v>13</v>
      </c>
      <c r="E1082">
        <v>-4</v>
      </c>
      <c r="F1082" t="s">
        <v>30</v>
      </c>
      <c r="G1082" t="s">
        <v>15</v>
      </c>
      <c r="H1082" t="s">
        <v>16</v>
      </c>
      <c r="I1082">
        <v>0</v>
      </c>
      <c r="J1082" s="23">
        <v>1257378</v>
      </c>
      <c r="K1082" t="s">
        <v>17</v>
      </c>
    </row>
    <row r="1083" spans="1:11" ht="15" customHeight="1" x14ac:dyDescent="0.3">
      <c r="A1083" t="s">
        <v>10</v>
      </c>
      <c r="B1083" t="s">
        <v>19</v>
      </c>
      <c r="C1083" t="s">
        <v>12</v>
      </c>
      <c r="D1083" t="s">
        <v>20</v>
      </c>
      <c r="E1083">
        <v>16</v>
      </c>
      <c r="F1083"/>
      <c r="G1083" t="s">
        <v>31</v>
      </c>
      <c r="H1083" t="s">
        <v>32</v>
      </c>
      <c r="I1083">
        <v>1</v>
      </c>
      <c r="J1083" s="23">
        <v>-43</v>
      </c>
      <c r="K1083" t="s">
        <v>17</v>
      </c>
    </row>
    <row r="1084" spans="1:11" ht="15" customHeight="1" x14ac:dyDescent="0.3">
      <c r="A1084" t="s">
        <v>18</v>
      </c>
      <c r="B1084" t="s">
        <v>11</v>
      </c>
      <c r="C1084" t="s">
        <v>12</v>
      </c>
      <c r="D1084" t="s">
        <v>13</v>
      </c>
      <c r="E1084">
        <v>0</v>
      </c>
      <c r="F1084" t="s">
        <v>42</v>
      </c>
      <c r="G1084" t="s">
        <v>15</v>
      </c>
      <c r="H1084" t="s">
        <v>16</v>
      </c>
      <c r="I1084">
        <v>0</v>
      </c>
      <c r="J1084" s="23">
        <v>-4363</v>
      </c>
      <c r="K1084" t="s">
        <v>17</v>
      </c>
    </row>
    <row r="1085" spans="1:11" ht="15" customHeight="1" x14ac:dyDescent="0.3">
      <c r="A1085" t="s">
        <v>10</v>
      </c>
      <c r="B1085" t="s">
        <v>11</v>
      </c>
      <c r="C1085" t="s">
        <v>24</v>
      </c>
      <c r="D1085" t="s">
        <v>25</v>
      </c>
      <c r="E1085">
        <v>1</v>
      </c>
      <c r="F1085" t="s">
        <v>14</v>
      </c>
      <c r="G1085" t="s">
        <v>15</v>
      </c>
      <c r="H1085" t="s">
        <v>16</v>
      </c>
      <c r="I1085">
        <v>0</v>
      </c>
      <c r="J1085" s="23">
        <v>324007</v>
      </c>
      <c r="K1085">
        <v>324007</v>
      </c>
    </row>
    <row r="1086" spans="1:11" ht="15" customHeight="1" x14ac:dyDescent="0.3">
      <c r="A1086" t="s">
        <v>18</v>
      </c>
      <c r="B1086" t="s">
        <v>19</v>
      </c>
      <c r="C1086" t="s">
        <v>24</v>
      </c>
      <c r="D1086" t="s">
        <v>20</v>
      </c>
      <c r="E1086">
        <v>12</v>
      </c>
      <c r="F1086"/>
      <c r="G1086" t="s">
        <v>31</v>
      </c>
      <c r="H1086" t="s">
        <v>16</v>
      </c>
      <c r="I1086">
        <v>1</v>
      </c>
      <c r="J1086" s="23">
        <v>3067961</v>
      </c>
      <c r="K1086">
        <v>36815532</v>
      </c>
    </row>
    <row r="1087" spans="1:11" ht="15" customHeight="1" x14ac:dyDescent="0.3">
      <c r="A1087" t="s">
        <v>22</v>
      </c>
      <c r="B1087" t="s">
        <v>11</v>
      </c>
      <c r="C1087" t="s">
        <v>24</v>
      </c>
      <c r="D1087" t="s">
        <v>28</v>
      </c>
      <c r="E1087">
        <v>2</v>
      </c>
      <c r="F1087" t="s">
        <v>29</v>
      </c>
      <c r="G1087" t="s">
        <v>15</v>
      </c>
      <c r="H1087" t="s">
        <v>16</v>
      </c>
      <c r="I1087">
        <v>0</v>
      </c>
      <c r="J1087" s="23">
        <v>3072340</v>
      </c>
      <c r="K1087">
        <v>6144680</v>
      </c>
    </row>
    <row r="1088" spans="1:11" ht="15" customHeight="1" x14ac:dyDescent="0.3">
      <c r="A1088" t="s">
        <v>10</v>
      </c>
      <c r="B1088" t="s">
        <v>19</v>
      </c>
      <c r="C1088" t="s">
        <v>12</v>
      </c>
      <c r="D1088" t="s">
        <v>20</v>
      </c>
      <c r="E1088">
        <v>-4</v>
      </c>
      <c r="F1088"/>
      <c r="G1088" t="s">
        <v>15</v>
      </c>
      <c r="H1088" t="s">
        <v>16</v>
      </c>
      <c r="I1088">
        <v>0</v>
      </c>
      <c r="J1088" s="23">
        <v>-125</v>
      </c>
      <c r="K1088" t="s">
        <v>17</v>
      </c>
    </row>
    <row r="1089" spans="1:11" ht="15" customHeight="1" x14ac:dyDescent="0.3">
      <c r="A1089" t="s">
        <v>18</v>
      </c>
      <c r="B1089" t="s">
        <v>11</v>
      </c>
      <c r="C1089" t="s">
        <v>12</v>
      </c>
      <c r="D1089" t="s">
        <v>13</v>
      </c>
      <c r="E1089">
        <v>8</v>
      </c>
      <c r="F1089" t="s">
        <v>29</v>
      </c>
      <c r="G1089" t="s">
        <v>15</v>
      </c>
      <c r="H1089" t="s">
        <v>16</v>
      </c>
      <c r="I1089">
        <v>0</v>
      </c>
      <c r="J1089" s="23">
        <v>-19806</v>
      </c>
      <c r="K1089" t="s">
        <v>17</v>
      </c>
    </row>
    <row r="1090" spans="1:11" ht="15" customHeight="1" x14ac:dyDescent="0.3">
      <c r="A1090" t="s">
        <v>10</v>
      </c>
      <c r="B1090" t="s">
        <v>11</v>
      </c>
      <c r="C1090" t="s">
        <v>24</v>
      </c>
      <c r="D1090" t="s">
        <v>28</v>
      </c>
      <c r="E1090">
        <v>16</v>
      </c>
      <c r="F1090" t="s">
        <v>33</v>
      </c>
      <c r="G1090" t="s">
        <v>15</v>
      </c>
      <c r="H1090" t="s">
        <v>32</v>
      </c>
      <c r="I1090">
        <v>1</v>
      </c>
      <c r="J1090" s="23">
        <v>486827</v>
      </c>
      <c r="K1090">
        <v>7789232</v>
      </c>
    </row>
    <row r="1091" spans="1:11" ht="15" customHeight="1" x14ac:dyDescent="0.3">
      <c r="A1091" t="s">
        <v>10</v>
      </c>
      <c r="B1091" t="s">
        <v>19</v>
      </c>
      <c r="C1091" t="s">
        <v>12</v>
      </c>
      <c r="D1091" t="s">
        <v>20</v>
      </c>
      <c r="E1091">
        <v>25</v>
      </c>
      <c r="F1091"/>
      <c r="G1091" t="s">
        <v>15</v>
      </c>
      <c r="H1091" t="s">
        <v>16</v>
      </c>
      <c r="I1091">
        <v>0</v>
      </c>
      <c r="J1091" s="23">
        <v>-1231130</v>
      </c>
      <c r="K1091" t="s">
        <v>17</v>
      </c>
    </row>
    <row r="1092" spans="1:11" ht="15" customHeight="1" x14ac:dyDescent="0.3">
      <c r="A1092" t="s">
        <v>22</v>
      </c>
      <c r="B1092" t="s">
        <v>11</v>
      </c>
      <c r="C1092" t="s">
        <v>12</v>
      </c>
      <c r="D1092" t="s">
        <v>13</v>
      </c>
      <c r="E1092">
        <v>0</v>
      </c>
      <c r="F1092" t="s">
        <v>42</v>
      </c>
      <c r="G1092" t="s">
        <v>15</v>
      </c>
      <c r="H1092" t="s">
        <v>16</v>
      </c>
      <c r="I1092">
        <v>0</v>
      </c>
      <c r="J1092" s="23">
        <v>-3101</v>
      </c>
      <c r="K1092" t="s">
        <v>17</v>
      </c>
    </row>
    <row r="1093" spans="1:11" ht="15" customHeight="1" x14ac:dyDescent="0.3">
      <c r="A1093" t="s">
        <v>18</v>
      </c>
      <c r="B1093" t="s">
        <v>11</v>
      </c>
      <c r="C1093" t="s">
        <v>24</v>
      </c>
      <c r="D1093" t="s">
        <v>28</v>
      </c>
      <c r="E1093">
        <v>11</v>
      </c>
      <c r="F1093" t="s">
        <v>35</v>
      </c>
      <c r="G1093" t="s">
        <v>15</v>
      </c>
      <c r="H1093" t="s">
        <v>16</v>
      </c>
      <c r="I1093">
        <v>0</v>
      </c>
      <c r="J1093" s="23">
        <v>581053</v>
      </c>
      <c r="K1093">
        <v>6391583</v>
      </c>
    </row>
    <row r="1094" spans="1:11" ht="15" customHeight="1" x14ac:dyDescent="0.3">
      <c r="A1094" t="s">
        <v>18</v>
      </c>
      <c r="B1094" t="s">
        <v>19</v>
      </c>
      <c r="C1094" t="s">
        <v>24</v>
      </c>
      <c r="D1094" t="s">
        <v>20</v>
      </c>
      <c r="E1094">
        <v>11</v>
      </c>
      <c r="F1094"/>
      <c r="G1094" t="s">
        <v>31</v>
      </c>
      <c r="H1094" t="s">
        <v>16</v>
      </c>
      <c r="I1094">
        <v>1</v>
      </c>
      <c r="J1094" s="23">
        <v>2475609</v>
      </c>
      <c r="K1094">
        <v>27231699</v>
      </c>
    </row>
    <row r="1095" spans="1:11" ht="15" customHeight="1" x14ac:dyDescent="0.3">
      <c r="A1095" t="s">
        <v>10</v>
      </c>
      <c r="B1095" t="s">
        <v>11</v>
      </c>
      <c r="C1095" t="s">
        <v>24</v>
      </c>
      <c r="D1095" t="s">
        <v>25</v>
      </c>
      <c r="E1095">
        <v>5</v>
      </c>
      <c r="F1095" t="s">
        <v>29</v>
      </c>
      <c r="G1095" t="s">
        <v>15</v>
      </c>
      <c r="H1095" t="s">
        <v>16</v>
      </c>
      <c r="I1095">
        <v>0</v>
      </c>
      <c r="J1095" s="23">
        <v>2770837</v>
      </c>
      <c r="K1095">
        <v>13854185</v>
      </c>
    </row>
    <row r="1096" spans="1:11" ht="15" customHeight="1" x14ac:dyDescent="0.3">
      <c r="A1096" t="s">
        <v>10</v>
      </c>
      <c r="B1096" t="s">
        <v>19</v>
      </c>
      <c r="C1096" t="s">
        <v>24</v>
      </c>
      <c r="D1096" t="s">
        <v>20</v>
      </c>
      <c r="E1096">
        <v>32</v>
      </c>
      <c r="F1096"/>
      <c r="G1096" t="s">
        <v>31</v>
      </c>
      <c r="H1096" t="s">
        <v>32</v>
      </c>
      <c r="I1096">
        <v>1</v>
      </c>
      <c r="J1096" s="23">
        <v>6148</v>
      </c>
      <c r="K1096">
        <v>196736</v>
      </c>
    </row>
    <row r="1097" spans="1:11" ht="15" customHeight="1" x14ac:dyDescent="0.3">
      <c r="A1097" t="s">
        <v>22</v>
      </c>
      <c r="B1097" t="s">
        <v>11</v>
      </c>
      <c r="C1097" t="s">
        <v>12</v>
      </c>
      <c r="D1097" t="s">
        <v>13</v>
      </c>
      <c r="E1097">
        <v>1</v>
      </c>
      <c r="F1097" t="s">
        <v>45</v>
      </c>
      <c r="G1097" t="s">
        <v>15</v>
      </c>
      <c r="H1097" t="s">
        <v>16</v>
      </c>
      <c r="I1097">
        <v>0</v>
      </c>
      <c r="J1097" s="23">
        <v>-2817</v>
      </c>
      <c r="K1097" t="s">
        <v>17</v>
      </c>
    </row>
    <row r="1098" spans="1:11" ht="15" customHeight="1" x14ac:dyDescent="0.3">
      <c r="A1098" t="s">
        <v>10</v>
      </c>
      <c r="B1098" t="s">
        <v>11</v>
      </c>
      <c r="C1098" t="s">
        <v>24</v>
      </c>
      <c r="D1098" t="s">
        <v>28</v>
      </c>
      <c r="E1098">
        <v>15</v>
      </c>
      <c r="F1098" t="s">
        <v>30</v>
      </c>
      <c r="G1098" t="s">
        <v>15</v>
      </c>
      <c r="H1098" t="s">
        <v>16</v>
      </c>
      <c r="I1098">
        <v>0</v>
      </c>
      <c r="J1098" s="23">
        <v>342614</v>
      </c>
      <c r="K1098">
        <v>5139210</v>
      </c>
    </row>
    <row r="1099" spans="1:11" ht="15" customHeight="1" x14ac:dyDescent="0.3">
      <c r="A1099" t="s">
        <v>18</v>
      </c>
      <c r="B1099" t="s">
        <v>11</v>
      </c>
      <c r="C1099" t="s">
        <v>24</v>
      </c>
      <c r="D1099" t="s">
        <v>28</v>
      </c>
      <c r="E1099">
        <v>12</v>
      </c>
      <c r="F1099" t="s">
        <v>42</v>
      </c>
      <c r="G1099" t="s">
        <v>15</v>
      </c>
      <c r="H1099" t="s">
        <v>16</v>
      </c>
      <c r="I1099">
        <v>0</v>
      </c>
      <c r="J1099" s="23">
        <v>2426403</v>
      </c>
      <c r="K1099">
        <v>29116836</v>
      </c>
    </row>
    <row r="1100" spans="1:11" ht="15" customHeight="1" x14ac:dyDescent="0.3">
      <c r="A1100" t="s">
        <v>22</v>
      </c>
      <c r="B1100" t="s">
        <v>11</v>
      </c>
      <c r="C1100" t="s">
        <v>12</v>
      </c>
      <c r="D1100" t="s">
        <v>25</v>
      </c>
      <c r="E1100">
        <v>2</v>
      </c>
      <c r="F1100" t="s">
        <v>34</v>
      </c>
      <c r="G1100" t="s">
        <v>15</v>
      </c>
      <c r="H1100" t="s">
        <v>16</v>
      </c>
      <c r="I1100">
        <v>0</v>
      </c>
      <c r="J1100" s="23">
        <v>-46633</v>
      </c>
      <c r="K1100" t="s">
        <v>17</v>
      </c>
    </row>
    <row r="1101" spans="1:11" ht="15" customHeight="1" x14ac:dyDescent="0.3">
      <c r="A1101" t="s">
        <v>22</v>
      </c>
      <c r="B1101" t="s">
        <v>11</v>
      </c>
      <c r="C1101" t="s">
        <v>24</v>
      </c>
      <c r="D1101" t="s">
        <v>28</v>
      </c>
      <c r="E1101">
        <v>4</v>
      </c>
      <c r="F1101" t="s">
        <v>26</v>
      </c>
      <c r="G1101" t="s">
        <v>31</v>
      </c>
      <c r="H1101" t="s">
        <v>16</v>
      </c>
      <c r="I1101">
        <v>1</v>
      </c>
      <c r="J1101" s="23">
        <v>67507</v>
      </c>
      <c r="K1101">
        <v>270028</v>
      </c>
    </row>
    <row r="1102" spans="1:11" ht="15" customHeight="1" x14ac:dyDescent="0.3">
      <c r="A1102" t="s">
        <v>22</v>
      </c>
      <c r="B1102" t="s">
        <v>11</v>
      </c>
      <c r="C1102" t="s">
        <v>12</v>
      </c>
      <c r="D1102" t="s">
        <v>13</v>
      </c>
      <c r="E1102">
        <v>-1</v>
      </c>
      <c r="F1102" t="s">
        <v>33</v>
      </c>
      <c r="G1102" t="s">
        <v>15</v>
      </c>
      <c r="H1102" t="s">
        <v>16</v>
      </c>
      <c r="I1102">
        <v>0</v>
      </c>
      <c r="J1102" s="23">
        <v>-1336769</v>
      </c>
      <c r="K1102" t="s">
        <v>17</v>
      </c>
    </row>
    <row r="1103" spans="1:11" ht="15" customHeight="1" x14ac:dyDescent="0.3">
      <c r="A1103" t="s">
        <v>22</v>
      </c>
      <c r="B1103" t="s">
        <v>11</v>
      </c>
      <c r="C1103" t="s">
        <v>12</v>
      </c>
      <c r="D1103" t="s">
        <v>25</v>
      </c>
      <c r="E1103">
        <v>-4</v>
      </c>
      <c r="F1103" t="s">
        <v>23</v>
      </c>
      <c r="G1103" t="s">
        <v>15</v>
      </c>
      <c r="H1103" t="s">
        <v>16</v>
      </c>
      <c r="I1103">
        <v>0</v>
      </c>
      <c r="J1103" s="23">
        <v>-143024</v>
      </c>
      <c r="K1103" t="s">
        <v>17</v>
      </c>
    </row>
    <row r="1104" spans="1:11" ht="15" customHeight="1" x14ac:dyDescent="0.3">
      <c r="A1104" t="s">
        <v>18</v>
      </c>
      <c r="B1104" t="s">
        <v>11</v>
      </c>
      <c r="C1104" t="s">
        <v>24</v>
      </c>
      <c r="D1104" t="s">
        <v>28</v>
      </c>
      <c r="E1104">
        <v>5</v>
      </c>
      <c r="F1104" t="s">
        <v>30</v>
      </c>
      <c r="G1104" t="s">
        <v>15</v>
      </c>
      <c r="H1104" t="s">
        <v>16</v>
      </c>
      <c r="I1104">
        <v>0</v>
      </c>
      <c r="J1104" s="23">
        <v>10008728</v>
      </c>
      <c r="K1104">
        <v>50043640</v>
      </c>
    </row>
    <row r="1105" spans="1:11" ht="15" customHeight="1" x14ac:dyDescent="0.3">
      <c r="A1105" t="s">
        <v>22</v>
      </c>
      <c r="B1105" t="s">
        <v>11</v>
      </c>
      <c r="C1105" t="s">
        <v>24</v>
      </c>
      <c r="D1105" t="s">
        <v>28</v>
      </c>
      <c r="E1105">
        <v>-4</v>
      </c>
      <c r="F1105" t="s">
        <v>35</v>
      </c>
      <c r="G1105" t="s">
        <v>15</v>
      </c>
      <c r="H1105" t="s">
        <v>16</v>
      </c>
      <c r="I1105">
        <v>0</v>
      </c>
      <c r="J1105" s="23">
        <v>54484</v>
      </c>
      <c r="K1105" t="s">
        <v>17</v>
      </c>
    </row>
    <row r="1106" spans="1:11" ht="15" customHeight="1" x14ac:dyDescent="0.3">
      <c r="A1106" t="s">
        <v>10</v>
      </c>
      <c r="B1106" t="s">
        <v>11</v>
      </c>
      <c r="C1106" t="s">
        <v>24</v>
      </c>
      <c r="D1106" t="s">
        <v>13</v>
      </c>
      <c r="E1106">
        <v>0</v>
      </c>
      <c r="F1106" t="s">
        <v>33</v>
      </c>
      <c r="G1106" t="s">
        <v>15</v>
      </c>
      <c r="H1106" t="s">
        <v>16</v>
      </c>
      <c r="I1106">
        <v>0</v>
      </c>
      <c r="J1106" s="23">
        <v>613236</v>
      </c>
      <c r="K1106" t="s">
        <v>17</v>
      </c>
    </row>
    <row r="1107" spans="1:11" ht="15" customHeight="1" x14ac:dyDescent="0.3">
      <c r="A1107" t="s">
        <v>18</v>
      </c>
      <c r="B1107" t="s">
        <v>11</v>
      </c>
      <c r="C1107" t="s">
        <v>24</v>
      </c>
      <c r="D1107" t="s">
        <v>28</v>
      </c>
      <c r="E1107">
        <v>2</v>
      </c>
      <c r="F1107" t="s">
        <v>23</v>
      </c>
      <c r="G1107" t="s">
        <v>15</v>
      </c>
      <c r="H1107" t="s">
        <v>16</v>
      </c>
      <c r="I1107">
        <v>0</v>
      </c>
      <c r="J1107" s="23">
        <v>51765453</v>
      </c>
      <c r="K1107">
        <v>103530906</v>
      </c>
    </row>
    <row r="1108" spans="1:11" ht="15" customHeight="1" x14ac:dyDescent="0.3">
      <c r="A1108" t="s">
        <v>18</v>
      </c>
      <c r="B1108" t="s">
        <v>44</v>
      </c>
      <c r="C1108" t="s">
        <v>12</v>
      </c>
      <c r="D1108" t="s">
        <v>28</v>
      </c>
      <c r="E1108">
        <v>11</v>
      </c>
      <c r="F1108" t="s">
        <v>26</v>
      </c>
      <c r="G1108" t="s">
        <v>31</v>
      </c>
      <c r="H1108" t="s">
        <v>16</v>
      </c>
      <c r="I1108">
        <v>1</v>
      </c>
      <c r="J1108" s="23">
        <v>-2923</v>
      </c>
      <c r="K1108" t="s">
        <v>17</v>
      </c>
    </row>
    <row r="1109" spans="1:11" ht="15" customHeight="1" x14ac:dyDescent="0.3">
      <c r="A1109" t="s">
        <v>22</v>
      </c>
      <c r="B1109" t="s">
        <v>11</v>
      </c>
      <c r="C1109" t="s">
        <v>12</v>
      </c>
      <c r="D1109" t="s">
        <v>28</v>
      </c>
      <c r="E1109">
        <v>5</v>
      </c>
      <c r="F1109" t="s">
        <v>37</v>
      </c>
      <c r="G1109" t="s">
        <v>15</v>
      </c>
      <c r="H1109" t="s">
        <v>16</v>
      </c>
      <c r="I1109">
        <v>0</v>
      </c>
      <c r="J1109" s="23">
        <v>-87985</v>
      </c>
      <c r="K1109" t="s">
        <v>17</v>
      </c>
    </row>
    <row r="1110" spans="1:11" ht="15" customHeight="1" x14ac:dyDescent="0.3">
      <c r="A1110" t="s">
        <v>10</v>
      </c>
      <c r="B1110" t="s">
        <v>11</v>
      </c>
      <c r="C1110" t="s">
        <v>12</v>
      </c>
      <c r="D1110" t="s">
        <v>28</v>
      </c>
      <c r="E1110">
        <v>10</v>
      </c>
      <c r="F1110" t="s">
        <v>30</v>
      </c>
      <c r="G1110" t="s">
        <v>15</v>
      </c>
      <c r="H1110" t="s">
        <v>16</v>
      </c>
      <c r="I1110">
        <v>0</v>
      </c>
      <c r="J1110" s="23">
        <v>-7871</v>
      </c>
      <c r="K1110" t="s">
        <v>17</v>
      </c>
    </row>
    <row r="1111" spans="1:11" ht="15" customHeight="1" x14ac:dyDescent="0.3">
      <c r="A1111" t="s">
        <v>10</v>
      </c>
      <c r="B1111" t="s">
        <v>11</v>
      </c>
      <c r="C1111" t="s">
        <v>24</v>
      </c>
      <c r="D1111" t="s">
        <v>13</v>
      </c>
      <c r="E1111">
        <v>2</v>
      </c>
      <c r="F1111" t="s">
        <v>41</v>
      </c>
      <c r="G1111" t="s">
        <v>15</v>
      </c>
      <c r="H1111" t="s">
        <v>16</v>
      </c>
      <c r="I1111">
        <v>0</v>
      </c>
      <c r="J1111" s="23">
        <v>109194</v>
      </c>
      <c r="K1111">
        <v>218388</v>
      </c>
    </row>
    <row r="1112" spans="1:11" ht="15" customHeight="1" x14ac:dyDescent="0.3">
      <c r="A1112" t="s">
        <v>22</v>
      </c>
      <c r="B1112" t="s">
        <v>11</v>
      </c>
      <c r="C1112" t="s">
        <v>24</v>
      </c>
      <c r="D1112" t="s">
        <v>25</v>
      </c>
      <c r="E1112">
        <v>4</v>
      </c>
      <c r="F1112" t="s">
        <v>21</v>
      </c>
      <c r="G1112" t="s">
        <v>15</v>
      </c>
      <c r="H1112" t="s">
        <v>16</v>
      </c>
      <c r="I1112">
        <v>0</v>
      </c>
      <c r="J1112" s="23">
        <v>129245</v>
      </c>
      <c r="K1112">
        <v>516980</v>
      </c>
    </row>
    <row r="1113" spans="1:11" ht="15" customHeight="1" x14ac:dyDescent="0.3">
      <c r="A1113" t="s">
        <v>10</v>
      </c>
      <c r="B1113" t="s">
        <v>11</v>
      </c>
      <c r="C1113" t="s">
        <v>12</v>
      </c>
      <c r="D1113" t="s">
        <v>13</v>
      </c>
      <c r="E1113">
        <v>10</v>
      </c>
      <c r="F1113" t="s">
        <v>37</v>
      </c>
      <c r="G1113" t="s">
        <v>15</v>
      </c>
      <c r="H1113" t="s">
        <v>16</v>
      </c>
      <c r="I1113">
        <v>0</v>
      </c>
      <c r="J1113" s="23">
        <v>-236833</v>
      </c>
      <c r="K1113" t="s">
        <v>17</v>
      </c>
    </row>
    <row r="1114" spans="1:11" ht="15" customHeight="1" x14ac:dyDescent="0.3">
      <c r="A1114" t="s">
        <v>18</v>
      </c>
      <c r="B1114" t="s">
        <v>11</v>
      </c>
      <c r="C1114" t="s">
        <v>24</v>
      </c>
      <c r="D1114" t="s">
        <v>25</v>
      </c>
      <c r="E1114">
        <v>4</v>
      </c>
      <c r="F1114" t="s">
        <v>27</v>
      </c>
      <c r="G1114" t="s">
        <v>15</v>
      </c>
      <c r="H1114" t="s">
        <v>16</v>
      </c>
      <c r="I1114">
        <v>0</v>
      </c>
      <c r="J1114" s="23">
        <v>370851</v>
      </c>
      <c r="K1114">
        <v>1483404</v>
      </c>
    </row>
    <row r="1115" spans="1:11" ht="15" customHeight="1" x14ac:dyDescent="0.3">
      <c r="A1115" t="s">
        <v>22</v>
      </c>
      <c r="B1115" t="s">
        <v>19</v>
      </c>
      <c r="C1115" t="s">
        <v>24</v>
      </c>
      <c r="D1115" t="s">
        <v>20</v>
      </c>
      <c r="E1115">
        <v>11</v>
      </c>
      <c r="F1115"/>
      <c r="G1115" t="s">
        <v>31</v>
      </c>
      <c r="H1115" t="s">
        <v>32</v>
      </c>
      <c r="I1115">
        <v>1</v>
      </c>
      <c r="J1115" s="23">
        <v>25875</v>
      </c>
      <c r="K1115">
        <v>284625</v>
      </c>
    </row>
    <row r="1116" spans="1:11" ht="15" customHeight="1" x14ac:dyDescent="0.3">
      <c r="A1116" t="s">
        <v>18</v>
      </c>
      <c r="B1116" t="s">
        <v>11</v>
      </c>
      <c r="C1116" t="s">
        <v>24</v>
      </c>
      <c r="D1116" t="s">
        <v>28</v>
      </c>
      <c r="E1116">
        <v>-1</v>
      </c>
      <c r="F1116" t="s">
        <v>37</v>
      </c>
      <c r="G1116" t="s">
        <v>15</v>
      </c>
      <c r="H1116" t="s">
        <v>16</v>
      </c>
      <c r="I1116">
        <v>0</v>
      </c>
      <c r="J1116" s="23">
        <v>856854</v>
      </c>
      <c r="K1116" t="s">
        <v>17</v>
      </c>
    </row>
    <row r="1117" spans="1:11" ht="15" customHeight="1" x14ac:dyDescent="0.3">
      <c r="A1117" t="s">
        <v>18</v>
      </c>
      <c r="B1117" t="s">
        <v>11</v>
      </c>
      <c r="C1117" t="s">
        <v>12</v>
      </c>
      <c r="D1117" t="s">
        <v>28</v>
      </c>
      <c r="E1117">
        <v>6</v>
      </c>
      <c r="F1117" t="s">
        <v>21</v>
      </c>
      <c r="G1117" t="s">
        <v>15</v>
      </c>
      <c r="H1117" t="s">
        <v>32</v>
      </c>
      <c r="I1117">
        <v>1</v>
      </c>
      <c r="J1117" s="23">
        <v>-807</v>
      </c>
      <c r="K1117" t="s">
        <v>17</v>
      </c>
    </row>
    <row r="1118" spans="1:11" ht="15" customHeight="1" x14ac:dyDescent="0.3">
      <c r="A1118" t="s">
        <v>18</v>
      </c>
      <c r="B1118" t="s">
        <v>19</v>
      </c>
      <c r="C1118" t="s">
        <v>12</v>
      </c>
      <c r="D1118" t="s">
        <v>28</v>
      </c>
      <c r="E1118">
        <v>8</v>
      </c>
      <c r="F1118"/>
      <c r="G1118" t="s">
        <v>15</v>
      </c>
      <c r="H1118" t="s">
        <v>32</v>
      </c>
      <c r="I1118">
        <v>1</v>
      </c>
      <c r="J1118" s="23">
        <v>-537</v>
      </c>
      <c r="K1118" t="s">
        <v>17</v>
      </c>
    </row>
    <row r="1119" spans="1:11" ht="15" customHeight="1" x14ac:dyDescent="0.3">
      <c r="A1119" t="s">
        <v>10</v>
      </c>
      <c r="B1119" t="s">
        <v>11</v>
      </c>
      <c r="C1119" t="s">
        <v>12</v>
      </c>
      <c r="D1119" t="s">
        <v>25</v>
      </c>
      <c r="E1119">
        <v>3</v>
      </c>
      <c r="F1119" t="s">
        <v>23</v>
      </c>
      <c r="G1119" t="s">
        <v>15</v>
      </c>
      <c r="H1119" t="s">
        <v>16</v>
      </c>
      <c r="I1119">
        <v>0</v>
      </c>
      <c r="J1119" s="23">
        <v>-16232</v>
      </c>
      <c r="K1119" t="s">
        <v>17</v>
      </c>
    </row>
    <row r="1120" spans="1:11" ht="15" customHeight="1" x14ac:dyDescent="0.3">
      <c r="A1120" t="s">
        <v>18</v>
      </c>
      <c r="B1120" t="s">
        <v>11</v>
      </c>
      <c r="C1120" t="s">
        <v>24</v>
      </c>
      <c r="D1120" t="s">
        <v>28</v>
      </c>
      <c r="E1120">
        <v>7</v>
      </c>
      <c r="F1120" t="s">
        <v>35</v>
      </c>
      <c r="G1120" t="s">
        <v>15</v>
      </c>
      <c r="H1120" t="s">
        <v>16</v>
      </c>
      <c r="I1120">
        <v>0</v>
      </c>
      <c r="J1120" s="23">
        <v>1905117</v>
      </c>
      <c r="K1120">
        <v>13335819</v>
      </c>
    </row>
    <row r="1121" spans="1:11" ht="15" customHeight="1" x14ac:dyDescent="0.3">
      <c r="A1121" t="s">
        <v>18</v>
      </c>
      <c r="B1121" t="s">
        <v>19</v>
      </c>
      <c r="C1121" t="s">
        <v>24</v>
      </c>
      <c r="D1121" t="s">
        <v>20</v>
      </c>
      <c r="E1121">
        <v>16</v>
      </c>
      <c r="F1121"/>
      <c r="G1121" t="s">
        <v>15</v>
      </c>
      <c r="H1121" t="s">
        <v>32</v>
      </c>
      <c r="I1121">
        <v>1</v>
      </c>
      <c r="J1121" s="23">
        <v>1194785</v>
      </c>
      <c r="K1121">
        <v>19116560</v>
      </c>
    </row>
    <row r="1122" spans="1:11" ht="15" customHeight="1" x14ac:dyDescent="0.3">
      <c r="A1122" t="s">
        <v>22</v>
      </c>
      <c r="B1122" t="s">
        <v>11</v>
      </c>
      <c r="C1122" t="s">
        <v>12</v>
      </c>
      <c r="D1122" t="s">
        <v>28</v>
      </c>
      <c r="E1122">
        <v>6</v>
      </c>
      <c r="F1122" t="s">
        <v>14</v>
      </c>
      <c r="G1122" t="s">
        <v>15</v>
      </c>
      <c r="H1122" t="s">
        <v>16</v>
      </c>
      <c r="I1122">
        <v>0</v>
      </c>
      <c r="J1122" s="23">
        <v>-65229</v>
      </c>
      <c r="K1122" t="s">
        <v>17</v>
      </c>
    </row>
    <row r="1123" spans="1:11" ht="15" customHeight="1" x14ac:dyDescent="0.3">
      <c r="A1123" t="s">
        <v>18</v>
      </c>
      <c r="B1123" t="s">
        <v>11</v>
      </c>
      <c r="C1123" t="s">
        <v>12</v>
      </c>
      <c r="D1123" t="s">
        <v>28</v>
      </c>
      <c r="E1123">
        <v>15</v>
      </c>
      <c r="F1123" t="s">
        <v>29</v>
      </c>
      <c r="G1123" t="s">
        <v>15</v>
      </c>
      <c r="H1123" t="s">
        <v>16</v>
      </c>
      <c r="I1123">
        <v>0</v>
      </c>
      <c r="J1123" s="23">
        <v>-2226</v>
      </c>
      <c r="K1123" t="s">
        <v>17</v>
      </c>
    </row>
    <row r="1124" spans="1:11" ht="15" customHeight="1" x14ac:dyDescent="0.3">
      <c r="A1124" t="s">
        <v>18</v>
      </c>
      <c r="B1124" t="s">
        <v>11</v>
      </c>
      <c r="C1124" t="s">
        <v>24</v>
      </c>
      <c r="D1124" t="s">
        <v>25</v>
      </c>
      <c r="E1124">
        <v>6</v>
      </c>
      <c r="F1124" t="s">
        <v>30</v>
      </c>
      <c r="G1124" t="s">
        <v>15</v>
      </c>
      <c r="H1124" t="s">
        <v>16</v>
      </c>
      <c r="I1124">
        <v>0</v>
      </c>
      <c r="J1124" s="23">
        <v>438133</v>
      </c>
      <c r="K1124">
        <v>2628798</v>
      </c>
    </row>
    <row r="1125" spans="1:11" ht="15" customHeight="1" x14ac:dyDescent="0.3">
      <c r="A1125" t="s">
        <v>18</v>
      </c>
      <c r="B1125" t="s">
        <v>11</v>
      </c>
      <c r="C1125" t="s">
        <v>24</v>
      </c>
      <c r="D1125" t="s">
        <v>28</v>
      </c>
      <c r="E1125">
        <v>13</v>
      </c>
      <c r="F1125" t="s">
        <v>29</v>
      </c>
      <c r="G1125" t="s">
        <v>15</v>
      </c>
      <c r="H1125" t="s">
        <v>32</v>
      </c>
      <c r="I1125">
        <v>1</v>
      </c>
      <c r="J1125" s="23">
        <v>1385637</v>
      </c>
      <c r="K1125">
        <v>18013281</v>
      </c>
    </row>
    <row r="1126" spans="1:11" ht="15" customHeight="1" x14ac:dyDescent="0.3">
      <c r="A1126" t="s">
        <v>10</v>
      </c>
      <c r="B1126" t="s">
        <v>11</v>
      </c>
      <c r="C1126" t="s">
        <v>12</v>
      </c>
      <c r="D1126" t="s">
        <v>25</v>
      </c>
      <c r="E1126">
        <v>5</v>
      </c>
      <c r="F1126" t="s">
        <v>34</v>
      </c>
      <c r="G1126" t="s">
        <v>15</v>
      </c>
      <c r="H1126" t="s">
        <v>16</v>
      </c>
      <c r="I1126">
        <v>0</v>
      </c>
      <c r="J1126" s="23">
        <v>-117765</v>
      </c>
      <c r="K1126" t="s">
        <v>17</v>
      </c>
    </row>
    <row r="1127" spans="1:11" ht="15" customHeight="1" x14ac:dyDescent="0.3">
      <c r="A1127" t="s">
        <v>18</v>
      </c>
      <c r="B1127" t="s">
        <v>11</v>
      </c>
      <c r="C1127" t="s">
        <v>24</v>
      </c>
      <c r="D1127" t="s">
        <v>28</v>
      </c>
      <c r="E1127">
        <v>15</v>
      </c>
      <c r="F1127" t="s">
        <v>29</v>
      </c>
      <c r="G1127" t="s">
        <v>15</v>
      </c>
      <c r="H1127" t="s">
        <v>16</v>
      </c>
      <c r="I1127">
        <v>0</v>
      </c>
      <c r="J1127" s="23">
        <v>526556</v>
      </c>
      <c r="K1127">
        <v>7898340</v>
      </c>
    </row>
    <row r="1128" spans="1:11" ht="15" customHeight="1" x14ac:dyDescent="0.3">
      <c r="A1128" t="s">
        <v>10</v>
      </c>
      <c r="B1128" t="s">
        <v>11</v>
      </c>
      <c r="C1128" t="s">
        <v>24</v>
      </c>
      <c r="D1128" t="s">
        <v>25</v>
      </c>
      <c r="E1128">
        <v>7</v>
      </c>
      <c r="F1128" t="s">
        <v>30</v>
      </c>
      <c r="G1128" t="s">
        <v>15</v>
      </c>
      <c r="H1128" t="s">
        <v>16</v>
      </c>
      <c r="I1128">
        <v>0</v>
      </c>
      <c r="J1128" s="23">
        <v>170983</v>
      </c>
      <c r="K1128">
        <v>1196881</v>
      </c>
    </row>
    <row r="1129" spans="1:11" ht="15" customHeight="1" x14ac:dyDescent="0.3">
      <c r="A1129" t="s">
        <v>18</v>
      </c>
      <c r="B1129" t="s">
        <v>19</v>
      </c>
      <c r="C1129" t="s">
        <v>24</v>
      </c>
      <c r="D1129" t="s">
        <v>20</v>
      </c>
      <c r="E1129">
        <v>5</v>
      </c>
      <c r="F1129"/>
      <c r="G1129" t="s">
        <v>15</v>
      </c>
      <c r="H1129" t="s">
        <v>16</v>
      </c>
      <c r="I1129">
        <v>0</v>
      </c>
      <c r="J1129" s="23">
        <v>92384967</v>
      </c>
      <c r="K1129">
        <v>461924835</v>
      </c>
    </row>
    <row r="1130" spans="1:11" ht="15" customHeight="1" x14ac:dyDescent="0.3">
      <c r="A1130" t="s">
        <v>22</v>
      </c>
      <c r="B1130" t="s">
        <v>11</v>
      </c>
      <c r="C1130" t="s">
        <v>24</v>
      </c>
      <c r="D1130" t="s">
        <v>28</v>
      </c>
      <c r="E1130">
        <v>7</v>
      </c>
      <c r="F1130" t="s">
        <v>26</v>
      </c>
      <c r="G1130" t="s">
        <v>15</v>
      </c>
      <c r="H1130" t="s">
        <v>16</v>
      </c>
      <c r="I1130">
        <v>0</v>
      </c>
      <c r="J1130" s="23">
        <v>3596663</v>
      </c>
      <c r="K1130">
        <v>25176641</v>
      </c>
    </row>
    <row r="1131" spans="1:11" ht="15" customHeight="1" x14ac:dyDescent="0.3">
      <c r="A1131" t="s">
        <v>18</v>
      </c>
      <c r="B1131" t="s">
        <v>11</v>
      </c>
      <c r="C1131" t="s">
        <v>12</v>
      </c>
      <c r="D1131" t="s">
        <v>28</v>
      </c>
      <c r="E1131">
        <v>11</v>
      </c>
      <c r="F1131" t="s">
        <v>39</v>
      </c>
      <c r="G1131" t="s">
        <v>15</v>
      </c>
      <c r="H1131" t="s">
        <v>16</v>
      </c>
      <c r="I1131">
        <v>0</v>
      </c>
      <c r="J1131" s="23">
        <v>-907</v>
      </c>
      <c r="K1131" t="s">
        <v>17</v>
      </c>
    </row>
    <row r="1132" spans="1:11" ht="15" customHeight="1" x14ac:dyDescent="0.3">
      <c r="A1132" t="s">
        <v>18</v>
      </c>
      <c r="B1132" t="s">
        <v>11</v>
      </c>
      <c r="C1132" t="s">
        <v>24</v>
      </c>
      <c r="D1132" t="s">
        <v>13</v>
      </c>
      <c r="E1132">
        <v>3</v>
      </c>
      <c r="F1132" t="s">
        <v>27</v>
      </c>
      <c r="G1132" t="s">
        <v>15</v>
      </c>
      <c r="H1132" t="s">
        <v>16</v>
      </c>
      <c r="I1132">
        <v>0</v>
      </c>
      <c r="J1132" s="23">
        <v>1794781</v>
      </c>
      <c r="K1132">
        <v>5384343</v>
      </c>
    </row>
    <row r="1133" spans="1:11" ht="15" customHeight="1" x14ac:dyDescent="0.3">
      <c r="A1133" t="s">
        <v>22</v>
      </c>
      <c r="B1133" t="s">
        <v>11</v>
      </c>
      <c r="C1133" t="s">
        <v>24</v>
      </c>
      <c r="D1133" t="s">
        <v>25</v>
      </c>
      <c r="E1133">
        <v>-4</v>
      </c>
      <c r="F1133" t="s">
        <v>27</v>
      </c>
      <c r="G1133" t="s">
        <v>15</v>
      </c>
      <c r="H1133" t="s">
        <v>16</v>
      </c>
      <c r="I1133">
        <v>0</v>
      </c>
      <c r="J1133" s="23">
        <v>5353</v>
      </c>
      <c r="K1133" t="s">
        <v>17</v>
      </c>
    </row>
    <row r="1134" spans="1:11" ht="15" customHeight="1" x14ac:dyDescent="0.3">
      <c r="A1134" t="s">
        <v>18</v>
      </c>
      <c r="B1134" t="s">
        <v>19</v>
      </c>
      <c r="C1134" t="s">
        <v>12</v>
      </c>
      <c r="D1134" t="s">
        <v>20</v>
      </c>
      <c r="E1134">
        <v>4</v>
      </c>
      <c r="F1134"/>
      <c r="G1134" t="s">
        <v>31</v>
      </c>
      <c r="H1134" t="s">
        <v>16</v>
      </c>
      <c r="I1134">
        <v>1</v>
      </c>
      <c r="J1134" s="23">
        <v>-546</v>
      </c>
      <c r="K1134" t="s">
        <v>17</v>
      </c>
    </row>
    <row r="1135" spans="1:11" ht="15" customHeight="1" x14ac:dyDescent="0.3">
      <c r="A1135" t="s">
        <v>10</v>
      </c>
      <c r="B1135" t="s">
        <v>11</v>
      </c>
      <c r="C1135" t="s">
        <v>24</v>
      </c>
      <c r="D1135" t="s">
        <v>28</v>
      </c>
      <c r="E1135">
        <v>9</v>
      </c>
      <c r="F1135" t="s">
        <v>35</v>
      </c>
      <c r="G1135" t="s">
        <v>15</v>
      </c>
      <c r="H1135" t="s">
        <v>16</v>
      </c>
      <c r="I1135">
        <v>0</v>
      </c>
      <c r="J1135" s="23">
        <v>830224</v>
      </c>
      <c r="K1135">
        <v>7472016</v>
      </c>
    </row>
    <row r="1136" spans="1:11" ht="15" customHeight="1" x14ac:dyDescent="0.3">
      <c r="A1136" t="s">
        <v>10</v>
      </c>
      <c r="B1136" t="s">
        <v>11</v>
      </c>
      <c r="C1136" t="s">
        <v>12</v>
      </c>
      <c r="D1136" t="s">
        <v>25</v>
      </c>
      <c r="E1136">
        <v>2</v>
      </c>
      <c r="F1136" t="s">
        <v>33</v>
      </c>
      <c r="G1136" t="s">
        <v>15</v>
      </c>
      <c r="H1136" t="s">
        <v>16</v>
      </c>
      <c r="I1136">
        <v>0</v>
      </c>
      <c r="J1136" s="23">
        <v>-17066</v>
      </c>
      <c r="K1136" t="s">
        <v>17</v>
      </c>
    </row>
    <row r="1137" spans="1:11" ht="15" customHeight="1" x14ac:dyDescent="0.3">
      <c r="A1137" t="s">
        <v>18</v>
      </c>
      <c r="B1137" t="s">
        <v>11</v>
      </c>
      <c r="C1137" t="s">
        <v>12</v>
      </c>
      <c r="D1137" t="s">
        <v>13</v>
      </c>
      <c r="E1137">
        <v>3</v>
      </c>
      <c r="F1137" t="s">
        <v>26</v>
      </c>
      <c r="G1137" t="s">
        <v>15</v>
      </c>
      <c r="H1137" t="s">
        <v>16</v>
      </c>
      <c r="I1137">
        <v>0</v>
      </c>
      <c r="J1137" s="23">
        <v>-47065</v>
      </c>
      <c r="K1137" t="s">
        <v>17</v>
      </c>
    </row>
    <row r="1138" spans="1:11" ht="15" customHeight="1" x14ac:dyDescent="0.3">
      <c r="A1138" t="s">
        <v>18</v>
      </c>
      <c r="B1138" t="s">
        <v>11</v>
      </c>
      <c r="C1138" t="s">
        <v>24</v>
      </c>
      <c r="D1138" t="s">
        <v>13</v>
      </c>
      <c r="E1138">
        <v>6</v>
      </c>
      <c r="F1138" t="s">
        <v>21</v>
      </c>
      <c r="G1138" t="s">
        <v>15</v>
      </c>
      <c r="H1138" t="s">
        <v>16</v>
      </c>
      <c r="I1138">
        <v>0</v>
      </c>
      <c r="J1138" s="23">
        <v>259552</v>
      </c>
      <c r="K1138">
        <v>1557312</v>
      </c>
    </row>
    <row r="1139" spans="1:11" ht="15" customHeight="1" x14ac:dyDescent="0.3">
      <c r="A1139" t="s">
        <v>10</v>
      </c>
      <c r="B1139" t="s">
        <v>19</v>
      </c>
      <c r="C1139" t="s">
        <v>24</v>
      </c>
      <c r="D1139" t="s">
        <v>28</v>
      </c>
      <c r="E1139">
        <v>0</v>
      </c>
      <c r="F1139"/>
      <c r="G1139" t="s">
        <v>15</v>
      </c>
      <c r="H1139" t="s">
        <v>16</v>
      </c>
      <c r="I1139">
        <v>0</v>
      </c>
      <c r="J1139" s="23">
        <v>17897</v>
      </c>
      <c r="K1139" t="s">
        <v>17</v>
      </c>
    </row>
    <row r="1140" spans="1:11" ht="15" customHeight="1" x14ac:dyDescent="0.3">
      <c r="A1140" t="s">
        <v>18</v>
      </c>
      <c r="B1140" t="s">
        <v>11</v>
      </c>
      <c r="C1140" t="s">
        <v>12</v>
      </c>
      <c r="D1140" t="s">
        <v>28</v>
      </c>
      <c r="E1140">
        <v>8</v>
      </c>
      <c r="F1140" t="s">
        <v>26</v>
      </c>
      <c r="G1140" t="s">
        <v>15</v>
      </c>
      <c r="H1140" t="s">
        <v>16</v>
      </c>
      <c r="I1140">
        <v>0</v>
      </c>
      <c r="J1140" s="23">
        <v>-81495</v>
      </c>
      <c r="K1140" t="s">
        <v>17</v>
      </c>
    </row>
    <row r="1141" spans="1:11" ht="15" customHeight="1" x14ac:dyDescent="0.3">
      <c r="A1141" t="s">
        <v>10</v>
      </c>
      <c r="B1141" t="s">
        <v>11</v>
      </c>
      <c r="C1141" t="s">
        <v>24</v>
      </c>
      <c r="D1141" t="s">
        <v>28</v>
      </c>
      <c r="E1141">
        <v>2</v>
      </c>
      <c r="F1141" t="s">
        <v>34</v>
      </c>
      <c r="G1141" t="s">
        <v>15</v>
      </c>
      <c r="H1141" t="s">
        <v>16</v>
      </c>
      <c r="I1141">
        <v>0</v>
      </c>
      <c r="J1141" s="23">
        <v>614629</v>
      </c>
      <c r="K1141">
        <v>1229258</v>
      </c>
    </row>
    <row r="1142" spans="1:11" ht="15" customHeight="1" x14ac:dyDescent="0.3">
      <c r="A1142" t="s">
        <v>10</v>
      </c>
      <c r="B1142" t="s">
        <v>19</v>
      </c>
      <c r="C1142" t="s">
        <v>24</v>
      </c>
      <c r="D1142" t="s">
        <v>20</v>
      </c>
      <c r="E1142">
        <v>20</v>
      </c>
      <c r="F1142"/>
      <c r="G1142" t="s">
        <v>15</v>
      </c>
      <c r="H1142" t="s">
        <v>32</v>
      </c>
      <c r="I1142">
        <v>1</v>
      </c>
      <c r="J1142" s="23">
        <v>338586</v>
      </c>
      <c r="K1142">
        <v>6771720</v>
      </c>
    </row>
    <row r="1143" spans="1:11" ht="15" customHeight="1" x14ac:dyDescent="0.3">
      <c r="A1143" t="s">
        <v>22</v>
      </c>
      <c r="B1143" t="s">
        <v>19</v>
      </c>
      <c r="C1143" t="s">
        <v>12</v>
      </c>
      <c r="D1143" t="s">
        <v>28</v>
      </c>
      <c r="E1143">
        <v>19</v>
      </c>
      <c r="F1143"/>
      <c r="G1143" t="s">
        <v>15</v>
      </c>
      <c r="H1143" t="s">
        <v>16</v>
      </c>
      <c r="I1143">
        <v>0</v>
      </c>
      <c r="J1143" s="23">
        <v>-114202</v>
      </c>
      <c r="K1143" t="s">
        <v>17</v>
      </c>
    </row>
    <row r="1144" spans="1:11" ht="15" customHeight="1" x14ac:dyDescent="0.3">
      <c r="A1144" t="s">
        <v>18</v>
      </c>
      <c r="B1144" t="s">
        <v>19</v>
      </c>
      <c r="C1144" t="s">
        <v>12</v>
      </c>
      <c r="D1144" t="s">
        <v>20</v>
      </c>
      <c r="E1144">
        <v>22</v>
      </c>
      <c r="F1144"/>
      <c r="G1144" t="s">
        <v>31</v>
      </c>
      <c r="H1144" t="s">
        <v>16</v>
      </c>
      <c r="I1144">
        <v>1</v>
      </c>
      <c r="J1144" s="23">
        <v>-6177</v>
      </c>
      <c r="K1144" t="s">
        <v>17</v>
      </c>
    </row>
    <row r="1145" spans="1:11" ht="15" customHeight="1" x14ac:dyDescent="0.3">
      <c r="A1145" t="s">
        <v>10</v>
      </c>
      <c r="B1145" t="s">
        <v>11</v>
      </c>
      <c r="C1145" t="s">
        <v>12</v>
      </c>
      <c r="D1145" t="s">
        <v>28</v>
      </c>
      <c r="E1145">
        <v>4</v>
      </c>
      <c r="F1145" t="s">
        <v>23</v>
      </c>
      <c r="G1145" t="s">
        <v>15</v>
      </c>
      <c r="H1145" t="s">
        <v>16</v>
      </c>
      <c r="I1145">
        <v>0</v>
      </c>
      <c r="J1145" s="23">
        <v>-66724</v>
      </c>
      <c r="K1145" t="s">
        <v>17</v>
      </c>
    </row>
    <row r="1146" spans="1:11" ht="15" customHeight="1" x14ac:dyDescent="0.3">
      <c r="A1146" t="s">
        <v>10</v>
      </c>
      <c r="B1146" t="s">
        <v>19</v>
      </c>
      <c r="C1146" t="s">
        <v>12</v>
      </c>
      <c r="D1146" t="s">
        <v>20</v>
      </c>
      <c r="E1146">
        <v>8</v>
      </c>
      <c r="F1146"/>
      <c r="G1146" t="s">
        <v>15</v>
      </c>
      <c r="H1146" t="s">
        <v>16</v>
      </c>
      <c r="I1146">
        <v>0</v>
      </c>
      <c r="J1146" s="23">
        <v>-380932</v>
      </c>
      <c r="K1146" t="s">
        <v>17</v>
      </c>
    </row>
    <row r="1147" spans="1:11" ht="15" customHeight="1" x14ac:dyDescent="0.3">
      <c r="A1147" t="s">
        <v>22</v>
      </c>
      <c r="B1147" t="s">
        <v>11</v>
      </c>
      <c r="C1147" t="s">
        <v>24</v>
      </c>
      <c r="D1147" t="s">
        <v>25</v>
      </c>
      <c r="E1147">
        <v>-4</v>
      </c>
      <c r="F1147" t="s">
        <v>30</v>
      </c>
      <c r="G1147" t="s">
        <v>15</v>
      </c>
      <c r="H1147" t="s">
        <v>16</v>
      </c>
      <c r="I1147">
        <v>0</v>
      </c>
      <c r="J1147" s="23">
        <v>40366</v>
      </c>
      <c r="K1147" t="s">
        <v>17</v>
      </c>
    </row>
    <row r="1148" spans="1:11" ht="15" customHeight="1" x14ac:dyDescent="0.3">
      <c r="A1148" t="s">
        <v>18</v>
      </c>
      <c r="B1148" t="s">
        <v>19</v>
      </c>
      <c r="C1148" t="s">
        <v>24</v>
      </c>
      <c r="D1148" t="s">
        <v>20</v>
      </c>
      <c r="E1148">
        <v>36</v>
      </c>
      <c r="F1148"/>
      <c r="G1148" t="s">
        <v>31</v>
      </c>
      <c r="H1148" t="s">
        <v>32</v>
      </c>
      <c r="I1148">
        <v>1</v>
      </c>
      <c r="J1148" s="23">
        <v>166279</v>
      </c>
      <c r="K1148">
        <v>5986044</v>
      </c>
    </row>
    <row r="1149" spans="1:11" ht="15" customHeight="1" x14ac:dyDescent="0.3">
      <c r="A1149" t="s">
        <v>18</v>
      </c>
      <c r="B1149" t="s">
        <v>11</v>
      </c>
      <c r="C1149" t="s">
        <v>24</v>
      </c>
      <c r="D1149" t="s">
        <v>28</v>
      </c>
      <c r="E1149">
        <v>13</v>
      </c>
      <c r="F1149" t="s">
        <v>30</v>
      </c>
      <c r="G1149" t="s">
        <v>15</v>
      </c>
      <c r="H1149" t="s">
        <v>16</v>
      </c>
      <c r="I1149">
        <v>0</v>
      </c>
      <c r="J1149" s="23">
        <v>2679192</v>
      </c>
      <c r="K1149">
        <v>34829496</v>
      </c>
    </row>
    <row r="1150" spans="1:11" ht="15" customHeight="1" x14ac:dyDescent="0.3">
      <c r="A1150" t="s">
        <v>10</v>
      </c>
      <c r="B1150" t="s">
        <v>11</v>
      </c>
      <c r="C1150" t="s">
        <v>12</v>
      </c>
      <c r="D1150" t="s">
        <v>28</v>
      </c>
      <c r="E1150">
        <v>1</v>
      </c>
      <c r="F1150" t="s">
        <v>34</v>
      </c>
      <c r="G1150" t="s">
        <v>15</v>
      </c>
      <c r="H1150" t="s">
        <v>32</v>
      </c>
      <c r="I1150">
        <v>1</v>
      </c>
      <c r="J1150" s="23">
        <v>-294</v>
      </c>
      <c r="K1150" t="s">
        <v>17</v>
      </c>
    </row>
    <row r="1151" spans="1:11" ht="15" customHeight="1" x14ac:dyDescent="0.3">
      <c r="A1151" t="s">
        <v>22</v>
      </c>
      <c r="B1151" t="s">
        <v>19</v>
      </c>
      <c r="C1151" t="s">
        <v>12</v>
      </c>
      <c r="D1151" t="s">
        <v>20</v>
      </c>
      <c r="E1151">
        <v>8</v>
      </c>
      <c r="F1151"/>
      <c r="G1151" t="s">
        <v>15</v>
      </c>
      <c r="H1151" t="s">
        <v>16</v>
      </c>
      <c r="I1151">
        <v>0</v>
      </c>
      <c r="J1151" s="23">
        <v>-719456</v>
      </c>
      <c r="K1151" t="s">
        <v>17</v>
      </c>
    </row>
    <row r="1152" spans="1:11" ht="15" customHeight="1" x14ac:dyDescent="0.3">
      <c r="A1152" t="s">
        <v>18</v>
      </c>
      <c r="B1152" t="s">
        <v>11</v>
      </c>
      <c r="C1152" t="s">
        <v>12</v>
      </c>
      <c r="D1152" t="s">
        <v>28</v>
      </c>
      <c r="E1152">
        <v>8</v>
      </c>
      <c r="F1152" t="s">
        <v>33</v>
      </c>
      <c r="G1152" t="s">
        <v>15</v>
      </c>
      <c r="H1152" t="s">
        <v>32</v>
      </c>
      <c r="I1152">
        <v>1</v>
      </c>
      <c r="J1152" s="23">
        <v>-7838</v>
      </c>
      <c r="K1152" t="s">
        <v>17</v>
      </c>
    </row>
    <row r="1153" spans="1:11" ht="15" customHeight="1" x14ac:dyDescent="0.3">
      <c r="A1153" t="s">
        <v>10</v>
      </c>
      <c r="B1153" t="s">
        <v>11</v>
      </c>
      <c r="C1153" t="s">
        <v>12</v>
      </c>
      <c r="D1153" t="s">
        <v>28</v>
      </c>
      <c r="E1153">
        <v>-1</v>
      </c>
      <c r="F1153" t="s">
        <v>21</v>
      </c>
      <c r="G1153" t="s">
        <v>15</v>
      </c>
      <c r="H1153" t="s">
        <v>16</v>
      </c>
      <c r="I1153">
        <v>0</v>
      </c>
      <c r="J1153" s="23">
        <v>-17639</v>
      </c>
      <c r="K1153" t="s">
        <v>17</v>
      </c>
    </row>
    <row r="1154" spans="1:11" ht="15" customHeight="1" x14ac:dyDescent="0.3">
      <c r="A1154" t="s">
        <v>18</v>
      </c>
      <c r="B1154" t="s">
        <v>11</v>
      </c>
      <c r="C1154" t="s">
        <v>12</v>
      </c>
      <c r="D1154" t="s">
        <v>25</v>
      </c>
      <c r="E1154">
        <v>-4</v>
      </c>
      <c r="F1154" t="s">
        <v>14</v>
      </c>
      <c r="G1154" t="s">
        <v>15</v>
      </c>
      <c r="H1154" t="s">
        <v>16</v>
      </c>
      <c r="I1154">
        <v>0</v>
      </c>
      <c r="J1154" s="23">
        <v>-3</v>
      </c>
      <c r="K1154" t="s">
        <v>17</v>
      </c>
    </row>
    <row r="1155" spans="1:11" ht="15" customHeight="1" x14ac:dyDescent="0.3">
      <c r="A1155" t="s">
        <v>18</v>
      </c>
      <c r="B1155" t="s">
        <v>11</v>
      </c>
      <c r="C1155" t="s">
        <v>12</v>
      </c>
      <c r="D1155" t="s">
        <v>28</v>
      </c>
      <c r="E1155">
        <v>15</v>
      </c>
      <c r="F1155" t="s">
        <v>30</v>
      </c>
      <c r="G1155" t="s">
        <v>15</v>
      </c>
      <c r="H1155" t="s">
        <v>16</v>
      </c>
      <c r="I1155">
        <v>0</v>
      </c>
      <c r="J1155" s="23">
        <v>-11121</v>
      </c>
      <c r="K1155" t="s">
        <v>17</v>
      </c>
    </row>
    <row r="1156" spans="1:11" ht="15" customHeight="1" x14ac:dyDescent="0.3">
      <c r="A1156" t="s">
        <v>10</v>
      </c>
      <c r="B1156" t="s">
        <v>11</v>
      </c>
      <c r="C1156" t="s">
        <v>12</v>
      </c>
      <c r="D1156" t="s">
        <v>13</v>
      </c>
      <c r="E1156">
        <v>2</v>
      </c>
      <c r="F1156" t="s">
        <v>23</v>
      </c>
      <c r="G1156" t="s">
        <v>15</v>
      </c>
      <c r="H1156" t="s">
        <v>16</v>
      </c>
      <c r="I1156">
        <v>0</v>
      </c>
      <c r="J1156" s="23">
        <v>-392973</v>
      </c>
      <c r="K1156" t="s">
        <v>17</v>
      </c>
    </row>
    <row r="1157" spans="1:11" ht="15" customHeight="1" x14ac:dyDescent="0.3">
      <c r="A1157" t="s">
        <v>18</v>
      </c>
      <c r="B1157" t="s">
        <v>11</v>
      </c>
      <c r="C1157" t="s">
        <v>24</v>
      </c>
      <c r="D1157" t="s">
        <v>25</v>
      </c>
      <c r="E1157">
        <v>6</v>
      </c>
      <c r="F1157" t="s">
        <v>33</v>
      </c>
      <c r="G1157" t="s">
        <v>15</v>
      </c>
      <c r="H1157" t="s">
        <v>16</v>
      </c>
      <c r="I1157">
        <v>0</v>
      </c>
      <c r="J1157" s="23">
        <v>390836</v>
      </c>
      <c r="K1157">
        <v>2345016</v>
      </c>
    </row>
    <row r="1158" spans="1:11" ht="15" customHeight="1" x14ac:dyDescent="0.3">
      <c r="A1158" t="s">
        <v>22</v>
      </c>
      <c r="B1158" t="s">
        <v>11</v>
      </c>
      <c r="C1158" t="s">
        <v>24</v>
      </c>
      <c r="D1158" t="s">
        <v>25</v>
      </c>
      <c r="E1158">
        <v>0</v>
      </c>
      <c r="F1158" t="s">
        <v>21</v>
      </c>
      <c r="G1158" t="s">
        <v>15</v>
      </c>
      <c r="H1158" t="s">
        <v>16</v>
      </c>
      <c r="I1158">
        <v>0</v>
      </c>
      <c r="J1158" s="23">
        <v>141177</v>
      </c>
      <c r="K1158" t="s">
        <v>17</v>
      </c>
    </row>
    <row r="1159" spans="1:11" ht="15" customHeight="1" x14ac:dyDescent="0.3">
      <c r="A1159" t="s">
        <v>18</v>
      </c>
      <c r="B1159" t="s">
        <v>19</v>
      </c>
      <c r="C1159" t="s">
        <v>24</v>
      </c>
      <c r="D1159" t="s">
        <v>20</v>
      </c>
      <c r="E1159">
        <v>32</v>
      </c>
      <c r="F1159"/>
      <c r="G1159" t="s">
        <v>15</v>
      </c>
      <c r="H1159" t="s">
        <v>32</v>
      </c>
      <c r="I1159">
        <v>1</v>
      </c>
      <c r="J1159" s="23">
        <v>1498575</v>
      </c>
      <c r="K1159">
        <v>47954400</v>
      </c>
    </row>
    <row r="1160" spans="1:11" ht="15" customHeight="1" x14ac:dyDescent="0.3">
      <c r="A1160" t="s">
        <v>18</v>
      </c>
      <c r="B1160" t="s">
        <v>11</v>
      </c>
      <c r="C1160" t="s">
        <v>24</v>
      </c>
      <c r="D1160" t="s">
        <v>28</v>
      </c>
      <c r="E1160">
        <v>16</v>
      </c>
      <c r="F1160" t="s">
        <v>33</v>
      </c>
      <c r="G1160" t="s">
        <v>15</v>
      </c>
      <c r="H1160" t="s">
        <v>32</v>
      </c>
      <c r="I1160">
        <v>1</v>
      </c>
      <c r="J1160" s="23">
        <v>907922</v>
      </c>
      <c r="K1160">
        <v>14526752</v>
      </c>
    </row>
    <row r="1161" spans="1:11" ht="15" customHeight="1" x14ac:dyDescent="0.3">
      <c r="A1161" t="s">
        <v>22</v>
      </c>
      <c r="B1161" t="s">
        <v>11</v>
      </c>
      <c r="C1161" t="s">
        <v>24</v>
      </c>
      <c r="D1161" t="s">
        <v>13</v>
      </c>
      <c r="E1161">
        <v>4</v>
      </c>
      <c r="F1161" t="s">
        <v>21</v>
      </c>
      <c r="G1161" t="s">
        <v>15</v>
      </c>
      <c r="H1161" t="s">
        <v>16</v>
      </c>
      <c r="I1161">
        <v>0</v>
      </c>
      <c r="J1161" s="23">
        <v>1136527</v>
      </c>
      <c r="K1161">
        <v>4546108</v>
      </c>
    </row>
    <row r="1162" spans="1:11" ht="15" customHeight="1" x14ac:dyDescent="0.3">
      <c r="A1162" t="s">
        <v>18</v>
      </c>
      <c r="B1162" t="s">
        <v>11</v>
      </c>
      <c r="C1162" t="s">
        <v>24</v>
      </c>
      <c r="D1162" t="s">
        <v>28</v>
      </c>
      <c r="E1162">
        <v>7</v>
      </c>
      <c r="F1162" t="s">
        <v>21</v>
      </c>
      <c r="G1162" t="s">
        <v>15</v>
      </c>
      <c r="H1162" t="s">
        <v>16</v>
      </c>
      <c r="I1162">
        <v>0</v>
      </c>
      <c r="J1162" s="23">
        <v>1359485</v>
      </c>
      <c r="K1162">
        <v>9516395</v>
      </c>
    </row>
    <row r="1163" spans="1:11" ht="15" customHeight="1" x14ac:dyDescent="0.3">
      <c r="A1163" t="s">
        <v>18</v>
      </c>
      <c r="B1163" t="s">
        <v>11</v>
      </c>
      <c r="C1163" t="s">
        <v>24</v>
      </c>
      <c r="D1163" t="s">
        <v>25</v>
      </c>
      <c r="E1163">
        <v>5</v>
      </c>
      <c r="F1163" t="s">
        <v>23</v>
      </c>
      <c r="G1163" t="s">
        <v>15</v>
      </c>
      <c r="H1163" t="s">
        <v>16</v>
      </c>
      <c r="I1163">
        <v>0</v>
      </c>
      <c r="J1163" s="23">
        <v>758092</v>
      </c>
      <c r="K1163">
        <v>3790460</v>
      </c>
    </row>
    <row r="1164" spans="1:11" ht="15" customHeight="1" x14ac:dyDescent="0.3">
      <c r="A1164" t="s">
        <v>10</v>
      </c>
      <c r="B1164" t="s">
        <v>11</v>
      </c>
      <c r="C1164" t="s">
        <v>12</v>
      </c>
      <c r="D1164" t="s">
        <v>25</v>
      </c>
      <c r="E1164">
        <v>-4</v>
      </c>
      <c r="F1164" t="s">
        <v>27</v>
      </c>
      <c r="G1164" t="s">
        <v>15</v>
      </c>
      <c r="H1164" t="s">
        <v>16</v>
      </c>
      <c r="I1164">
        <v>0</v>
      </c>
      <c r="J1164" s="23">
        <v>-57</v>
      </c>
      <c r="K1164" t="s">
        <v>17</v>
      </c>
    </row>
    <row r="1165" spans="1:11" ht="15" customHeight="1" x14ac:dyDescent="0.3">
      <c r="A1165" t="s">
        <v>10</v>
      </c>
      <c r="B1165" t="s">
        <v>11</v>
      </c>
      <c r="C1165" t="s">
        <v>24</v>
      </c>
      <c r="D1165" t="s">
        <v>13</v>
      </c>
      <c r="E1165">
        <v>1</v>
      </c>
      <c r="F1165" t="s">
        <v>14</v>
      </c>
      <c r="G1165" t="s">
        <v>15</v>
      </c>
      <c r="H1165" t="s">
        <v>16</v>
      </c>
      <c r="I1165">
        <v>0</v>
      </c>
      <c r="J1165" s="23">
        <v>1758078</v>
      </c>
      <c r="K1165">
        <v>1758078</v>
      </c>
    </row>
    <row r="1166" spans="1:11" ht="15" customHeight="1" x14ac:dyDescent="0.3">
      <c r="A1166" t="s">
        <v>22</v>
      </c>
      <c r="B1166" t="s">
        <v>11</v>
      </c>
      <c r="C1166" t="s">
        <v>12</v>
      </c>
      <c r="D1166" t="s">
        <v>28</v>
      </c>
      <c r="E1166">
        <v>6</v>
      </c>
      <c r="F1166" t="s">
        <v>29</v>
      </c>
      <c r="G1166" t="s">
        <v>15</v>
      </c>
      <c r="H1166" t="s">
        <v>16</v>
      </c>
      <c r="I1166">
        <v>0</v>
      </c>
      <c r="J1166" s="23">
        <v>-184518</v>
      </c>
      <c r="K1166" t="s">
        <v>17</v>
      </c>
    </row>
    <row r="1167" spans="1:11" ht="15" customHeight="1" x14ac:dyDescent="0.3">
      <c r="A1167" t="s">
        <v>10</v>
      </c>
      <c r="B1167" t="s">
        <v>11</v>
      </c>
      <c r="C1167" t="s">
        <v>24</v>
      </c>
      <c r="D1167" t="s">
        <v>25</v>
      </c>
      <c r="E1167">
        <v>4</v>
      </c>
      <c r="F1167" t="s">
        <v>23</v>
      </c>
      <c r="G1167" t="s">
        <v>15</v>
      </c>
      <c r="H1167" t="s">
        <v>16</v>
      </c>
      <c r="I1167">
        <v>0</v>
      </c>
      <c r="J1167" s="23">
        <v>1148591</v>
      </c>
      <c r="K1167">
        <v>4594364</v>
      </c>
    </row>
    <row r="1168" spans="1:11" ht="15" customHeight="1" x14ac:dyDescent="0.3">
      <c r="A1168" t="s">
        <v>18</v>
      </c>
      <c r="B1168" t="s">
        <v>11</v>
      </c>
      <c r="C1168" t="s">
        <v>12</v>
      </c>
      <c r="D1168" t="s">
        <v>28</v>
      </c>
      <c r="E1168">
        <v>15</v>
      </c>
      <c r="F1168" t="s">
        <v>14</v>
      </c>
      <c r="G1168" t="s">
        <v>15</v>
      </c>
      <c r="H1168" t="s">
        <v>16</v>
      </c>
      <c r="I1168">
        <v>0</v>
      </c>
      <c r="J1168" s="23">
        <v>-11544</v>
      </c>
      <c r="K1168" t="s">
        <v>17</v>
      </c>
    </row>
    <row r="1169" spans="1:11" ht="15" customHeight="1" x14ac:dyDescent="0.3">
      <c r="A1169" t="s">
        <v>18</v>
      </c>
      <c r="B1169" t="s">
        <v>19</v>
      </c>
      <c r="C1169" t="s">
        <v>12</v>
      </c>
      <c r="D1169" t="s">
        <v>20</v>
      </c>
      <c r="E1169">
        <v>42</v>
      </c>
      <c r="F1169"/>
      <c r="G1169" t="s">
        <v>15</v>
      </c>
      <c r="H1169" t="s">
        <v>16</v>
      </c>
      <c r="I1169">
        <v>0</v>
      </c>
      <c r="J1169" s="23">
        <v>-15514</v>
      </c>
      <c r="K1169" t="s">
        <v>17</v>
      </c>
    </row>
    <row r="1170" spans="1:11" ht="15" customHeight="1" x14ac:dyDescent="0.3">
      <c r="A1170" t="s">
        <v>18</v>
      </c>
      <c r="B1170" t="s">
        <v>11</v>
      </c>
      <c r="C1170" t="s">
        <v>24</v>
      </c>
      <c r="D1170" t="s">
        <v>28</v>
      </c>
      <c r="E1170">
        <v>6</v>
      </c>
      <c r="F1170" t="s">
        <v>21</v>
      </c>
      <c r="G1170" t="s">
        <v>15</v>
      </c>
      <c r="H1170" t="s">
        <v>16</v>
      </c>
      <c r="I1170">
        <v>0</v>
      </c>
      <c r="J1170" s="23">
        <v>4230771</v>
      </c>
      <c r="K1170">
        <v>25384626</v>
      </c>
    </row>
    <row r="1171" spans="1:11" ht="15" customHeight="1" x14ac:dyDescent="0.3">
      <c r="A1171" t="s">
        <v>18</v>
      </c>
      <c r="B1171" t="s">
        <v>19</v>
      </c>
      <c r="C1171" t="s">
        <v>24</v>
      </c>
      <c r="D1171" t="s">
        <v>20</v>
      </c>
      <c r="E1171">
        <v>37</v>
      </c>
      <c r="F1171"/>
      <c r="G1171" t="s">
        <v>31</v>
      </c>
      <c r="H1171" t="s">
        <v>16</v>
      </c>
      <c r="I1171">
        <v>1</v>
      </c>
      <c r="J1171" s="23">
        <v>19290394</v>
      </c>
      <c r="K1171">
        <v>713744578</v>
      </c>
    </row>
    <row r="1172" spans="1:11" ht="15" customHeight="1" x14ac:dyDescent="0.3">
      <c r="A1172" t="s">
        <v>10</v>
      </c>
      <c r="B1172" t="s">
        <v>11</v>
      </c>
      <c r="C1172" t="s">
        <v>12</v>
      </c>
      <c r="D1172" t="s">
        <v>28</v>
      </c>
      <c r="E1172">
        <v>4</v>
      </c>
      <c r="F1172" t="s">
        <v>21</v>
      </c>
      <c r="G1172" t="s">
        <v>15</v>
      </c>
      <c r="H1172" t="s">
        <v>32</v>
      </c>
      <c r="I1172">
        <v>1</v>
      </c>
      <c r="J1172" s="23">
        <v>-10564</v>
      </c>
      <c r="K1172" t="s">
        <v>17</v>
      </c>
    </row>
    <row r="1173" spans="1:11" ht="15" customHeight="1" x14ac:dyDescent="0.3">
      <c r="A1173" t="s">
        <v>10</v>
      </c>
      <c r="B1173" t="s">
        <v>11</v>
      </c>
      <c r="C1173" t="s">
        <v>24</v>
      </c>
      <c r="D1173" t="s">
        <v>28</v>
      </c>
      <c r="E1173">
        <v>9</v>
      </c>
      <c r="F1173" t="s">
        <v>40</v>
      </c>
      <c r="G1173" t="s">
        <v>15</v>
      </c>
      <c r="H1173" t="s">
        <v>16</v>
      </c>
      <c r="I1173">
        <v>0</v>
      </c>
      <c r="J1173" s="23">
        <v>1591915</v>
      </c>
      <c r="K1173">
        <v>14327235</v>
      </c>
    </row>
    <row r="1174" spans="1:11" ht="15" customHeight="1" x14ac:dyDescent="0.3">
      <c r="A1174" t="s">
        <v>10</v>
      </c>
      <c r="B1174" t="s">
        <v>11</v>
      </c>
      <c r="C1174" t="s">
        <v>24</v>
      </c>
      <c r="D1174" t="s">
        <v>13</v>
      </c>
      <c r="E1174">
        <v>1</v>
      </c>
      <c r="F1174" t="s">
        <v>46</v>
      </c>
      <c r="G1174" t="s">
        <v>15</v>
      </c>
      <c r="H1174" t="s">
        <v>16</v>
      </c>
      <c r="I1174">
        <v>0</v>
      </c>
      <c r="J1174" s="23">
        <v>29643</v>
      </c>
      <c r="K1174">
        <v>29643</v>
      </c>
    </row>
    <row r="1175" spans="1:11" ht="15" customHeight="1" x14ac:dyDescent="0.3">
      <c r="A1175" t="s">
        <v>10</v>
      </c>
      <c r="B1175" t="s">
        <v>19</v>
      </c>
      <c r="C1175" t="s">
        <v>24</v>
      </c>
      <c r="D1175" t="s">
        <v>20</v>
      </c>
      <c r="E1175">
        <v>22</v>
      </c>
      <c r="F1175"/>
      <c r="G1175" t="s">
        <v>31</v>
      </c>
      <c r="H1175" t="s">
        <v>32</v>
      </c>
      <c r="I1175">
        <v>1</v>
      </c>
      <c r="J1175" s="23">
        <v>58998</v>
      </c>
      <c r="K1175">
        <v>1297956</v>
      </c>
    </row>
    <row r="1176" spans="1:11" ht="15" customHeight="1" x14ac:dyDescent="0.3">
      <c r="A1176" t="s">
        <v>10</v>
      </c>
      <c r="B1176" t="s">
        <v>11</v>
      </c>
      <c r="C1176" t="s">
        <v>24</v>
      </c>
      <c r="D1176" t="s">
        <v>28</v>
      </c>
      <c r="E1176">
        <v>12</v>
      </c>
      <c r="F1176" t="s">
        <v>37</v>
      </c>
      <c r="G1176" t="s">
        <v>15</v>
      </c>
      <c r="H1176" t="s">
        <v>16</v>
      </c>
      <c r="I1176">
        <v>0</v>
      </c>
      <c r="J1176" s="23">
        <v>420614</v>
      </c>
      <c r="K1176">
        <v>5047368</v>
      </c>
    </row>
    <row r="1177" spans="1:11" ht="15" customHeight="1" x14ac:dyDescent="0.3">
      <c r="A1177" t="s">
        <v>10</v>
      </c>
      <c r="B1177" t="s">
        <v>11</v>
      </c>
      <c r="C1177" t="s">
        <v>12</v>
      </c>
      <c r="D1177" t="s">
        <v>25</v>
      </c>
      <c r="E1177">
        <v>0</v>
      </c>
      <c r="F1177" t="s">
        <v>34</v>
      </c>
      <c r="G1177" t="s">
        <v>15</v>
      </c>
      <c r="H1177" t="s">
        <v>16</v>
      </c>
      <c r="I1177">
        <v>0</v>
      </c>
      <c r="J1177" s="23">
        <v>-5095</v>
      </c>
      <c r="K1177" t="s">
        <v>17</v>
      </c>
    </row>
    <row r="1178" spans="1:11" ht="15" customHeight="1" x14ac:dyDescent="0.3">
      <c r="A1178" t="s">
        <v>22</v>
      </c>
      <c r="B1178" t="s">
        <v>44</v>
      </c>
      <c r="C1178" t="s">
        <v>24</v>
      </c>
      <c r="D1178" t="s">
        <v>28</v>
      </c>
      <c r="E1178">
        <v>2</v>
      </c>
      <c r="F1178" t="s">
        <v>34</v>
      </c>
      <c r="G1178" t="s">
        <v>15</v>
      </c>
      <c r="H1178" t="s">
        <v>16</v>
      </c>
      <c r="I1178">
        <v>0</v>
      </c>
      <c r="J1178" s="23">
        <v>552436</v>
      </c>
      <c r="K1178">
        <v>1104872</v>
      </c>
    </row>
    <row r="1179" spans="1:11" ht="15" customHeight="1" x14ac:dyDescent="0.3">
      <c r="A1179" t="s">
        <v>10</v>
      </c>
      <c r="B1179" t="s">
        <v>19</v>
      </c>
      <c r="C1179" t="s">
        <v>12</v>
      </c>
      <c r="D1179" t="s">
        <v>28</v>
      </c>
      <c r="E1179">
        <v>5</v>
      </c>
      <c r="F1179"/>
      <c r="G1179" t="s">
        <v>15</v>
      </c>
      <c r="H1179" t="s">
        <v>32</v>
      </c>
      <c r="I1179">
        <v>1</v>
      </c>
      <c r="J1179" s="23">
        <v>-52</v>
      </c>
      <c r="K1179" t="s">
        <v>17</v>
      </c>
    </row>
    <row r="1180" spans="1:11" ht="15" customHeight="1" x14ac:dyDescent="0.3">
      <c r="A1180" t="s">
        <v>18</v>
      </c>
      <c r="B1180" t="s">
        <v>11</v>
      </c>
      <c r="C1180" t="s">
        <v>12</v>
      </c>
      <c r="D1180" t="s">
        <v>28</v>
      </c>
      <c r="E1180">
        <v>12</v>
      </c>
      <c r="F1180" t="s">
        <v>27</v>
      </c>
      <c r="G1180" t="s">
        <v>15</v>
      </c>
      <c r="H1180" t="s">
        <v>16</v>
      </c>
      <c r="I1180">
        <v>0</v>
      </c>
      <c r="J1180" s="23">
        <v>-1193</v>
      </c>
      <c r="K1180" t="s">
        <v>17</v>
      </c>
    </row>
    <row r="1181" spans="1:11" ht="15" customHeight="1" x14ac:dyDescent="0.3">
      <c r="A1181" t="s">
        <v>18</v>
      </c>
      <c r="B1181" t="s">
        <v>44</v>
      </c>
      <c r="C1181" t="s">
        <v>24</v>
      </c>
      <c r="D1181" t="s">
        <v>28</v>
      </c>
      <c r="E1181">
        <v>0</v>
      </c>
      <c r="F1181" t="s">
        <v>40</v>
      </c>
      <c r="G1181" t="s">
        <v>15</v>
      </c>
      <c r="H1181" t="s">
        <v>16</v>
      </c>
      <c r="I1181">
        <v>0</v>
      </c>
      <c r="J1181" s="23">
        <v>15858</v>
      </c>
      <c r="K1181" t="s">
        <v>17</v>
      </c>
    </row>
    <row r="1182" spans="1:11" ht="15" customHeight="1" x14ac:dyDescent="0.3">
      <c r="A1182" t="s">
        <v>10</v>
      </c>
      <c r="B1182" t="s">
        <v>11</v>
      </c>
      <c r="C1182" t="s">
        <v>12</v>
      </c>
      <c r="D1182" t="s">
        <v>28</v>
      </c>
      <c r="E1182">
        <v>12</v>
      </c>
      <c r="F1182" t="s">
        <v>33</v>
      </c>
      <c r="G1182" t="s">
        <v>15</v>
      </c>
      <c r="H1182" t="s">
        <v>32</v>
      </c>
      <c r="I1182">
        <v>1</v>
      </c>
      <c r="J1182" s="23">
        <v>-923</v>
      </c>
      <c r="K1182" t="s">
        <v>17</v>
      </c>
    </row>
    <row r="1183" spans="1:11" ht="15" customHeight="1" x14ac:dyDescent="0.3">
      <c r="A1183" t="s">
        <v>18</v>
      </c>
      <c r="B1183" t="s">
        <v>11</v>
      </c>
      <c r="C1183" t="s">
        <v>12</v>
      </c>
      <c r="D1183" t="s">
        <v>25</v>
      </c>
      <c r="E1183">
        <v>4</v>
      </c>
      <c r="F1183" t="s">
        <v>38</v>
      </c>
      <c r="G1183" t="s">
        <v>15</v>
      </c>
      <c r="H1183" t="s">
        <v>16</v>
      </c>
      <c r="I1183">
        <v>0</v>
      </c>
      <c r="J1183" s="23">
        <v>-87</v>
      </c>
      <c r="K1183" t="s">
        <v>17</v>
      </c>
    </row>
    <row r="1184" spans="1:11" ht="15" customHeight="1" x14ac:dyDescent="0.3">
      <c r="A1184" t="s">
        <v>18</v>
      </c>
      <c r="B1184" t="s">
        <v>11</v>
      </c>
      <c r="C1184" t="s">
        <v>12</v>
      </c>
      <c r="D1184" t="s">
        <v>25</v>
      </c>
      <c r="E1184">
        <v>0</v>
      </c>
      <c r="F1184" t="s">
        <v>34</v>
      </c>
      <c r="G1184" t="s">
        <v>15</v>
      </c>
      <c r="H1184" t="s">
        <v>16</v>
      </c>
      <c r="I1184">
        <v>0</v>
      </c>
      <c r="J1184" s="23">
        <v>-5954</v>
      </c>
      <c r="K1184" t="s">
        <v>17</v>
      </c>
    </row>
    <row r="1185" spans="1:11" ht="15" customHeight="1" x14ac:dyDescent="0.3">
      <c r="A1185" t="s">
        <v>22</v>
      </c>
      <c r="B1185" t="s">
        <v>11</v>
      </c>
      <c r="C1185" t="s">
        <v>12</v>
      </c>
      <c r="D1185" t="s">
        <v>28</v>
      </c>
      <c r="E1185">
        <v>1</v>
      </c>
      <c r="F1185" t="s">
        <v>29</v>
      </c>
      <c r="G1185" t="s">
        <v>15</v>
      </c>
      <c r="H1185" t="s">
        <v>16</v>
      </c>
      <c r="I1185">
        <v>0</v>
      </c>
      <c r="J1185" s="23">
        <v>-63505</v>
      </c>
      <c r="K1185" t="s">
        <v>17</v>
      </c>
    </row>
    <row r="1186" spans="1:11" ht="15" customHeight="1" x14ac:dyDescent="0.3">
      <c r="A1186" t="s">
        <v>10</v>
      </c>
      <c r="B1186" t="s">
        <v>19</v>
      </c>
      <c r="C1186" t="s">
        <v>24</v>
      </c>
      <c r="D1186" t="s">
        <v>20</v>
      </c>
      <c r="E1186">
        <v>31</v>
      </c>
      <c r="F1186"/>
      <c r="G1186" t="s">
        <v>15</v>
      </c>
      <c r="H1186" t="s">
        <v>32</v>
      </c>
      <c r="I1186">
        <v>1</v>
      </c>
      <c r="J1186" s="23">
        <v>72541</v>
      </c>
      <c r="K1186">
        <v>2248771</v>
      </c>
    </row>
    <row r="1187" spans="1:11" ht="15" customHeight="1" x14ac:dyDescent="0.3">
      <c r="A1187" t="s">
        <v>18</v>
      </c>
      <c r="B1187" t="s">
        <v>11</v>
      </c>
      <c r="C1187" t="s">
        <v>24</v>
      </c>
      <c r="D1187" t="s">
        <v>13</v>
      </c>
      <c r="E1187">
        <v>7</v>
      </c>
      <c r="F1187" t="s">
        <v>23</v>
      </c>
      <c r="G1187" t="s">
        <v>15</v>
      </c>
      <c r="H1187" t="s">
        <v>16</v>
      </c>
      <c r="I1187">
        <v>0</v>
      </c>
      <c r="J1187" s="23">
        <v>4192739</v>
      </c>
      <c r="K1187">
        <v>29349173</v>
      </c>
    </row>
    <row r="1188" spans="1:11" ht="15" customHeight="1" x14ac:dyDescent="0.3">
      <c r="A1188" t="s">
        <v>18</v>
      </c>
      <c r="B1188" t="s">
        <v>11</v>
      </c>
      <c r="C1188" t="s">
        <v>24</v>
      </c>
      <c r="D1188" t="s">
        <v>28</v>
      </c>
      <c r="E1188">
        <v>10</v>
      </c>
      <c r="F1188" t="s">
        <v>26</v>
      </c>
      <c r="G1188" t="s">
        <v>31</v>
      </c>
      <c r="H1188" t="s">
        <v>16</v>
      </c>
      <c r="I1188">
        <v>1</v>
      </c>
      <c r="J1188" s="23">
        <v>263987</v>
      </c>
      <c r="K1188">
        <v>2639870</v>
      </c>
    </row>
    <row r="1189" spans="1:11" ht="15" customHeight="1" x14ac:dyDescent="0.3">
      <c r="A1189" t="s">
        <v>10</v>
      </c>
      <c r="B1189" t="s">
        <v>11</v>
      </c>
      <c r="C1189" t="s">
        <v>12</v>
      </c>
      <c r="D1189" t="s">
        <v>13</v>
      </c>
      <c r="E1189">
        <v>2</v>
      </c>
      <c r="F1189" t="s">
        <v>45</v>
      </c>
      <c r="G1189" t="s">
        <v>15</v>
      </c>
      <c r="H1189" t="s">
        <v>16</v>
      </c>
      <c r="I1189">
        <v>0</v>
      </c>
      <c r="J1189" s="23">
        <v>-15972</v>
      </c>
      <c r="K1189" t="s">
        <v>17</v>
      </c>
    </row>
    <row r="1190" spans="1:11" ht="15" customHeight="1" x14ac:dyDescent="0.3">
      <c r="A1190" t="s">
        <v>18</v>
      </c>
      <c r="B1190" t="s">
        <v>11</v>
      </c>
      <c r="C1190" t="s">
        <v>24</v>
      </c>
      <c r="D1190" t="s">
        <v>13</v>
      </c>
      <c r="E1190">
        <v>0</v>
      </c>
      <c r="F1190" t="s">
        <v>36</v>
      </c>
      <c r="G1190" t="s">
        <v>15</v>
      </c>
      <c r="H1190" t="s">
        <v>16</v>
      </c>
      <c r="I1190">
        <v>0</v>
      </c>
      <c r="J1190" s="23">
        <v>67201038</v>
      </c>
      <c r="K1190" t="s">
        <v>17</v>
      </c>
    </row>
    <row r="1191" spans="1:11" ht="15" customHeight="1" x14ac:dyDescent="0.3">
      <c r="A1191" t="s">
        <v>22</v>
      </c>
      <c r="B1191" t="s">
        <v>11</v>
      </c>
      <c r="C1191" t="s">
        <v>24</v>
      </c>
      <c r="D1191" t="s">
        <v>13</v>
      </c>
      <c r="E1191">
        <v>3</v>
      </c>
      <c r="F1191" t="s">
        <v>45</v>
      </c>
      <c r="G1191" t="s">
        <v>15</v>
      </c>
      <c r="H1191" t="s">
        <v>16</v>
      </c>
      <c r="I1191">
        <v>0</v>
      </c>
      <c r="J1191" s="23">
        <v>335216</v>
      </c>
      <c r="K1191">
        <v>1005648</v>
      </c>
    </row>
    <row r="1192" spans="1:11" ht="15" customHeight="1" x14ac:dyDescent="0.3">
      <c r="A1192" t="s">
        <v>22</v>
      </c>
      <c r="B1192" t="s">
        <v>11</v>
      </c>
      <c r="C1192" t="s">
        <v>24</v>
      </c>
      <c r="D1192" t="s">
        <v>25</v>
      </c>
      <c r="E1192">
        <v>3</v>
      </c>
      <c r="F1192" t="s">
        <v>23</v>
      </c>
      <c r="G1192" t="s">
        <v>15</v>
      </c>
      <c r="H1192" t="s">
        <v>16</v>
      </c>
      <c r="I1192">
        <v>0</v>
      </c>
      <c r="J1192" s="23">
        <v>37252</v>
      </c>
      <c r="K1192">
        <v>111756</v>
      </c>
    </row>
    <row r="1193" spans="1:11" ht="15" customHeight="1" x14ac:dyDescent="0.3">
      <c r="A1193" t="s">
        <v>10</v>
      </c>
      <c r="B1193" t="s">
        <v>11</v>
      </c>
      <c r="C1193" t="s">
        <v>12</v>
      </c>
      <c r="D1193" t="s">
        <v>28</v>
      </c>
      <c r="E1193">
        <v>12</v>
      </c>
      <c r="F1193" t="s">
        <v>26</v>
      </c>
      <c r="G1193" t="s">
        <v>15</v>
      </c>
      <c r="H1193" t="s">
        <v>16</v>
      </c>
      <c r="I1193">
        <v>0</v>
      </c>
      <c r="J1193" s="23">
        <v>-146802</v>
      </c>
      <c r="K1193" t="s">
        <v>17</v>
      </c>
    </row>
    <row r="1194" spans="1:11" ht="15" customHeight="1" x14ac:dyDescent="0.3">
      <c r="A1194" t="s">
        <v>18</v>
      </c>
      <c r="B1194" t="s">
        <v>19</v>
      </c>
      <c r="C1194" t="s">
        <v>24</v>
      </c>
      <c r="D1194" t="s">
        <v>20</v>
      </c>
      <c r="E1194">
        <v>45</v>
      </c>
      <c r="F1194"/>
      <c r="G1194" t="s">
        <v>15</v>
      </c>
      <c r="H1194" t="s">
        <v>16</v>
      </c>
      <c r="I1194">
        <v>0</v>
      </c>
      <c r="J1194" s="23">
        <v>1606622</v>
      </c>
      <c r="K1194">
        <v>72297990</v>
      </c>
    </row>
    <row r="1195" spans="1:11" ht="15" customHeight="1" x14ac:dyDescent="0.3">
      <c r="A1195" t="s">
        <v>18</v>
      </c>
      <c r="B1195" t="s">
        <v>11</v>
      </c>
      <c r="C1195" t="s">
        <v>24</v>
      </c>
      <c r="D1195" t="s">
        <v>13</v>
      </c>
      <c r="E1195">
        <v>-1</v>
      </c>
      <c r="F1195" t="s">
        <v>30</v>
      </c>
      <c r="G1195" t="s">
        <v>15</v>
      </c>
      <c r="H1195" t="s">
        <v>16</v>
      </c>
      <c r="I1195">
        <v>0</v>
      </c>
      <c r="J1195" s="23">
        <v>77134583</v>
      </c>
      <c r="K1195" t="s">
        <v>17</v>
      </c>
    </row>
    <row r="1196" spans="1:11" ht="15" customHeight="1" x14ac:dyDescent="0.3">
      <c r="A1196" t="s">
        <v>22</v>
      </c>
      <c r="B1196" t="s">
        <v>11</v>
      </c>
      <c r="C1196" t="s">
        <v>12</v>
      </c>
      <c r="D1196" t="s">
        <v>28</v>
      </c>
      <c r="E1196">
        <v>12</v>
      </c>
      <c r="F1196" t="s">
        <v>23</v>
      </c>
      <c r="G1196" t="s">
        <v>15</v>
      </c>
      <c r="H1196" t="s">
        <v>16</v>
      </c>
      <c r="I1196">
        <v>0</v>
      </c>
      <c r="J1196" s="23">
        <v>-47500</v>
      </c>
      <c r="K1196" t="s">
        <v>17</v>
      </c>
    </row>
    <row r="1197" spans="1:11" ht="15" customHeight="1" x14ac:dyDescent="0.3">
      <c r="A1197" t="s">
        <v>22</v>
      </c>
      <c r="B1197" t="s">
        <v>11</v>
      </c>
      <c r="C1197" t="s">
        <v>12</v>
      </c>
      <c r="D1197" t="s">
        <v>28</v>
      </c>
      <c r="E1197">
        <v>2</v>
      </c>
      <c r="F1197" t="s">
        <v>34</v>
      </c>
      <c r="G1197" t="s">
        <v>15</v>
      </c>
      <c r="H1197" t="s">
        <v>16</v>
      </c>
      <c r="I1197">
        <v>0</v>
      </c>
      <c r="J1197" s="23">
        <v>-54576</v>
      </c>
      <c r="K1197" t="s">
        <v>17</v>
      </c>
    </row>
    <row r="1198" spans="1:11" ht="15" customHeight="1" x14ac:dyDescent="0.3">
      <c r="A1198" t="s">
        <v>18</v>
      </c>
      <c r="B1198" t="s">
        <v>11</v>
      </c>
      <c r="C1198" t="s">
        <v>12</v>
      </c>
      <c r="D1198" t="s">
        <v>28</v>
      </c>
      <c r="E1198">
        <v>10</v>
      </c>
      <c r="F1198" t="s">
        <v>14</v>
      </c>
      <c r="G1198" t="s">
        <v>15</v>
      </c>
      <c r="H1198" t="s">
        <v>16</v>
      </c>
      <c r="I1198">
        <v>0</v>
      </c>
      <c r="J1198" s="23">
        <v>-21467</v>
      </c>
      <c r="K1198" t="s">
        <v>17</v>
      </c>
    </row>
    <row r="1199" spans="1:11" ht="15" customHeight="1" x14ac:dyDescent="0.3">
      <c r="A1199" t="s">
        <v>18</v>
      </c>
      <c r="B1199" t="s">
        <v>11</v>
      </c>
      <c r="C1199" t="s">
        <v>24</v>
      </c>
      <c r="D1199" t="s">
        <v>28</v>
      </c>
      <c r="E1199">
        <v>0</v>
      </c>
      <c r="F1199" t="s">
        <v>29</v>
      </c>
      <c r="G1199" t="s">
        <v>15</v>
      </c>
      <c r="H1199" t="s">
        <v>16</v>
      </c>
      <c r="I1199">
        <v>0</v>
      </c>
      <c r="J1199" s="23">
        <v>9819426</v>
      </c>
      <c r="K1199" t="s">
        <v>17</v>
      </c>
    </row>
    <row r="1200" spans="1:11" ht="15" customHeight="1" x14ac:dyDescent="0.3">
      <c r="A1200" t="s">
        <v>18</v>
      </c>
      <c r="B1200" t="s">
        <v>11</v>
      </c>
      <c r="C1200" t="s">
        <v>24</v>
      </c>
      <c r="D1200" t="s">
        <v>28</v>
      </c>
      <c r="E1200">
        <v>0</v>
      </c>
      <c r="F1200" t="s">
        <v>29</v>
      </c>
      <c r="G1200" t="s">
        <v>15</v>
      </c>
      <c r="H1200" t="s">
        <v>32</v>
      </c>
      <c r="I1200">
        <v>1</v>
      </c>
      <c r="J1200" s="23">
        <v>268585</v>
      </c>
      <c r="K1200" t="s">
        <v>17</v>
      </c>
    </row>
    <row r="1201" spans="1:11" ht="15" customHeight="1" x14ac:dyDescent="0.3">
      <c r="A1201" t="s">
        <v>22</v>
      </c>
      <c r="B1201" t="s">
        <v>11</v>
      </c>
      <c r="C1201" t="s">
        <v>12</v>
      </c>
      <c r="D1201" t="s">
        <v>25</v>
      </c>
      <c r="E1201">
        <v>5</v>
      </c>
      <c r="F1201" t="s">
        <v>26</v>
      </c>
      <c r="G1201" t="s">
        <v>15</v>
      </c>
      <c r="H1201" t="s">
        <v>16</v>
      </c>
      <c r="I1201">
        <v>0</v>
      </c>
      <c r="J1201" s="23">
        <v>-25202</v>
      </c>
      <c r="K1201" t="s">
        <v>17</v>
      </c>
    </row>
    <row r="1202" spans="1:11" ht="15" customHeight="1" x14ac:dyDescent="0.3">
      <c r="A1202" t="s">
        <v>18</v>
      </c>
      <c r="B1202" t="s">
        <v>11</v>
      </c>
      <c r="C1202" t="s">
        <v>24</v>
      </c>
      <c r="D1202" t="s">
        <v>28</v>
      </c>
      <c r="E1202">
        <v>5</v>
      </c>
      <c r="F1202" t="s">
        <v>42</v>
      </c>
      <c r="G1202" t="s">
        <v>15</v>
      </c>
      <c r="H1202" t="s">
        <v>16</v>
      </c>
      <c r="I1202">
        <v>0</v>
      </c>
      <c r="J1202" s="23">
        <v>2918970</v>
      </c>
      <c r="K1202">
        <v>14594850</v>
      </c>
    </row>
    <row r="1203" spans="1:11" ht="15" customHeight="1" x14ac:dyDescent="0.3">
      <c r="A1203" t="s">
        <v>18</v>
      </c>
      <c r="B1203" t="s">
        <v>11</v>
      </c>
      <c r="C1203" t="s">
        <v>24</v>
      </c>
      <c r="D1203" t="s">
        <v>28</v>
      </c>
      <c r="E1203">
        <v>11</v>
      </c>
      <c r="F1203" t="s">
        <v>34</v>
      </c>
      <c r="G1203" t="s">
        <v>15</v>
      </c>
      <c r="H1203" t="s">
        <v>16</v>
      </c>
      <c r="I1203">
        <v>0</v>
      </c>
      <c r="J1203" s="23">
        <v>6102066</v>
      </c>
      <c r="K1203">
        <v>67122726</v>
      </c>
    </row>
    <row r="1204" spans="1:11" ht="15" customHeight="1" x14ac:dyDescent="0.3">
      <c r="A1204" t="s">
        <v>22</v>
      </c>
      <c r="B1204" t="s">
        <v>11</v>
      </c>
      <c r="C1204" t="s">
        <v>24</v>
      </c>
      <c r="D1204" t="s">
        <v>25</v>
      </c>
      <c r="E1204">
        <v>-1</v>
      </c>
      <c r="F1204" t="s">
        <v>21</v>
      </c>
      <c r="G1204" t="s">
        <v>15</v>
      </c>
      <c r="H1204" t="s">
        <v>16</v>
      </c>
      <c r="I1204">
        <v>0</v>
      </c>
      <c r="J1204" s="23">
        <v>2348</v>
      </c>
      <c r="K1204" t="s">
        <v>17</v>
      </c>
    </row>
    <row r="1205" spans="1:11" ht="15" customHeight="1" x14ac:dyDescent="0.3">
      <c r="A1205" t="s">
        <v>10</v>
      </c>
      <c r="B1205" t="s">
        <v>19</v>
      </c>
      <c r="C1205" t="s">
        <v>12</v>
      </c>
      <c r="D1205" t="s">
        <v>28</v>
      </c>
      <c r="E1205">
        <v>12</v>
      </c>
      <c r="F1205"/>
      <c r="G1205" t="s">
        <v>15</v>
      </c>
      <c r="H1205" t="s">
        <v>16</v>
      </c>
      <c r="I1205">
        <v>0</v>
      </c>
      <c r="J1205" s="23">
        <v>-24280</v>
      </c>
      <c r="K1205" t="s">
        <v>17</v>
      </c>
    </row>
    <row r="1206" spans="1:11" ht="15" customHeight="1" x14ac:dyDescent="0.3">
      <c r="A1206" t="s">
        <v>18</v>
      </c>
      <c r="B1206" t="s">
        <v>11</v>
      </c>
      <c r="C1206" t="s">
        <v>24</v>
      </c>
      <c r="D1206" t="s">
        <v>25</v>
      </c>
      <c r="E1206">
        <v>4</v>
      </c>
      <c r="F1206" t="s">
        <v>42</v>
      </c>
      <c r="G1206" t="s">
        <v>15</v>
      </c>
      <c r="H1206" t="s">
        <v>16</v>
      </c>
      <c r="I1206">
        <v>0</v>
      </c>
      <c r="J1206" s="23">
        <v>445534</v>
      </c>
      <c r="K1206">
        <v>1782136</v>
      </c>
    </row>
    <row r="1207" spans="1:11" ht="15" customHeight="1" x14ac:dyDescent="0.3">
      <c r="A1207" t="s">
        <v>10</v>
      </c>
      <c r="B1207" t="s">
        <v>11</v>
      </c>
      <c r="C1207" t="s">
        <v>24</v>
      </c>
      <c r="D1207" t="s">
        <v>13</v>
      </c>
      <c r="E1207">
        <v>7</v>
      </c>
      <c r="F1207" t="s">
        <v>14</v>
      </c>
      <c r="G1207" t="s">
        <v>15</v>
      </c>
      <c r="H1207" t="s">
        <v>16</v>
      </c>
      <c r="I1207">
        <v>0</v>
      </c>
      <c r="J1207" s="23">
        <v>601367</v>
      </c>
      <c r="K1207">
        <v>4209569</v>
      </c>
    </row>
    <row r="1208" spans="1:11" ht="15" customHeight="1" x14ac:dyDescent="0.3">
      <c r="A1208" t="s">
        <v>18</v>
      </c>
      <c r="B1208" t="s">
        <v>11</v>
      </c>
      <c r="C1208" t="s">
        <v>24</v>
      </c>
      <c r="D1208" t="s">
        <v>25</v>
      </c>
      <c r="E1208">
        <v>-4</v>
      </c>
      <c r="F1208" t="s">
        <v>17</v>
      </c>
      <c r="G1208" t="s">
        <v>15</v>
      </c>
      <c r="H1208" t="s">
        <v>16</v>
      </c>
      <c r="I1208">
        <v>0</v>
      </c>
      <c r="J1208" s="23">
        <v>19684</v>
      </c>
      <c r="K1208" t="s">
        <v>17</v>
      </c>
    </row>
    <row r="1209" spans="1:11" ht="15" customHeight="1" x14ac:dyDescent="0.3">
      <c r="A1209" t="s">
        <v>18</v>
      </c>
      <c r="B1209" t="s">
        <v>11</v>
      </c>
      <c r="C1209" t="s">
        <v>12</v>
      </c>
      <c r="D1209" t="s">
        <v>25</v>
      </c>
      <c r="E1209">
        <v>1</v>
      </c>
      <c r="F1209" t="s">
        <v>40</v>
      </c>
      <c r="G1209" t="s">
        <v>15</v>
      </c>
      <c r="H1209" t="s">
        <v>16</v>
      </c>
      <c r="I1209">
        <v>0</v>
      </c>
      <c r="J1209" s="23">
        <v>-19312</v>
      </c>
      <c r="K1209" t="s">
        <v>17</v>
      </c>
    </row>
    <row r="1210" spans="1:11" ht="15" customHeight="1" x14ac:dyDescent="0.3">
      <c r="A1210" t="s">
        <v>18</v>
      </c>
      <c r="B1210" t="s">
        <v>11</v>
      </c>
      <c r="C1210" t="s">
        <v>24</v>
      </c>
      <c r="D1210" t="s">
        <v>28</v>
      </c>
      <c r="E1210">
        <v>9</v>
      </c>
      <c r="F1210" t="s">
        <v>34</v>
      </c>
      <c r="G1210" t="s">
        <v>15</v>
      </c>
      <c r="H1210" t="s">
        <v>32</v>
      </c>
      <c r="I1210">
        <v>1</v>
      </c>
      <c r="J1210" s="23">
        <v>2090995</v>
      </c>
      <c r="K1210">
        <v>18818955</v>
      </c>
    </row>
    <row r="1211" spans="1:11" ht="15" customHeight="1" x14ac:dyDescent="0.3">
      <c r="A1211" t="s">
        <v>22</v>
      </c>
      <c r="B1211" t="s">
        <v>11</v>
      </c>
      <c r="C1211" t="s">
        <v>12</v>
      </c>
      <c r="D1211" t="s">
        <v>13</v>
      </c>
      <c r="E1211">
        <v>1</v>
      </c>
      <c r="F1211" t="s">
        <v>40</v>
      </c>
      <c r="G1211" t="s">
        <v>15</v>
      </c>
      <c r="H1211" t="s">
        <v>16</v>
      </c>
      <c r="I1211">
        <v>0</v>
      </c>
      <c r="J1211" s="23">
        <v>-632856</v>
      </c>
      <c r="K1211" t="s">
        <v>17</v>
      </c>
    </row>
    <row r="1212" spans="1:11" ht="15" customHeight="1" x14ac:dyDescent="0.3">
      <c r="A1212" t="s">
        <v>18</v>
      </c>
      <c r="B1212" t="s">
        <v>11</v>
      </c>
      <c r="C1212" t="s">
        <v>24</v>
      </c>
      <c r="D1212" t="s">
        <v>25</v>
      </c>
      <c r="E1212">
        <v>7</v>
      </c>
      <c r="F1212" t="s">
        <v>21</v>
      </c>
      <c r="G1212" t="s">
        <v>15</v>
      </c>
      <c r="H1212" t="s">
        <v>16</v>
      </c>
      <c r="I1212">
        <v>0</v>
      </c>
      <c r="J1212" s="23">
        <v>145657</v>
      </c>
      <c r="K1212">
        <v>1019599</v>
      </c>
    </row>
    <row r="1213" spans="1:11" ht="15" customHeight="1" x14ac:dyDescent="0.3">
      <c r="A1213" t="s">
        <v>10</v>
      </c>
      <c r="B1213" t="s">
        <v>11</v>
      </c>
      <c r="C1213" t="s">
        <v>24</v>
      </c>
      <c r="D1213" t="s">
        <v>28</v>
      </c>
      <c r="E1213">
        <v>1</v>
      </c>
      <c r="F1213" t="s">
        <v>39</v>
      </c>
      <c r="G1213" t="s">
        <v>15</v>
      </c>
      <c r="H1213" t="s">
        <v>16</v>
      </c>
      <c r="I1213">
        <v>0</v>
      </c>
      <c r="J1213" s="23">
        <v>38242</v>
      </c>
      <c r="K1213">
        <v>38242</v>
      </c>
    </row>
    <row r="1214" spans="1:11" ht="15" customHeight="1" x14ac:dyDescent="0.3">
      <c r="A1214" t="s">
        <v>22</v>
      </c>
      <c r="B1214" t="s">
        <v>11</v>
      </c>
      <c r="C1214" t="s">
        <v>24</v>
      </c>
      <c r="D1214" t="s">
        <v>25</v>
      </c>
      <c r="E1214">
        <v>2</v>
      </c>
      <c r="F1214" t="s">
        <v>40</v>
      </c>
      <c r="G1214" t="s">
        <v>15</v>
      </c>
      <c r="H1214" t="s">
        <v>16</v>
      </c>
      <c r="I1214">
        <v>0</v>
      </c>
      <c r="J1214" s="23">
        <v>323481</v>
      </c>
      <c r="K1214">
        <v>646962</v>
      </c>
    </row>
    <row r="1215" spans="1:11" ht="15" customHeight="1" x14ac:dyDescent="0.3">
      <c r="A1215" t="s">
        <v>22</v>
      </c>
      <c r="B1215" t="s">
        <v>11</v>
      </c>
      <c r="C1215" t="s">
        <v>12</v>
      </c>
      <c r="D1215" t="s">
        <v>28</v>
      </c>
      <c r="E1215">
        <v>9</v>
      </c>
      <c r="F1215" t="s">
        <v>34</v>
      </c>
      <c r="G1215" t="s">
        <v>15</v>
      </c>
      <c r="H1215" t="s">
        <v>16</v>
      </c>
      <c r="I1215">
        <v>0</v>
      </c>
      <c r="J1215" s="23">
        <v>-696277</v>
      </c>
      <c r="K1215" t="s">
        <v>17</v>
      </c>
    </row>
    <row r="1216" spans="1:11" ht="15" customHeight="1" x14ac:dyDescent="0.3">
      <c r="A1216" t="s">
        <v>10</v>
      </c>
      <c r="B1216" t="s">
        <v>11</v>
      </c>
      <c r="C1216" t="s">
        <v>24</v>
      </c>
      <c r="D1216" t="s">
        <v>25</v>
      </c>
      <c r="E1216">
        <v>0</v>
      </c>
      <c r="F1216" t="s">
        <v>35</v>
      </c>
      <c r="G1216" t="s">
        <v>15</v>
      </c>
      <c r="H1216" t="s">
        <v>16</v>
      </c>
      <c r="I1216">
        <v>0</v>
      </c>
      <c r="J1216" s="23">
        <v>1274</v>
      </c>
      <c r="K1216" t="s">
        <v>17</v>
      </c>
    </row>
    <row r="1217" spans="1:11" ht="15" customHeight="1" x14ac:dyDescent="0.3">
      <c r="A1217" t="s">
        <v>22</v>
      </c>
      <c r="B1217" t="s">
        <v>11</v>
      </c>
      <c r="C1217" t="s">
        <v>12</v>
      </c>
      <c r="D1217" t="s">
        <v>13</v>
      </c>
      <c r="E1217">
        <v>0</v>
      </c>
      <c r="F1217" t="s">
        <v>29</v>
      </c>
      <c r="G1217" t="s">
        <v>15</v>
      </c>
      <c r="H1217" t="s">
        <v>16</v>
      </c>
      <c r="I1217">
        <v>0</v>
      </c>
      <c r="J1217" s="23">
        <v>-1352218</v>
      </c>
      <c r="K1217" t="s">
        <v>17</v>
      </c>
    </row>
    <row r="1218" spans="1:11" ht="15" customHeight="1" x14ac:dyDescent="0.3">
      <c r="A1218" t="s">
        <v>18</v>
      </c>
      <c r="B1218" t="s">
        <v>11</v>
      </c>
      <c r="C1218" t="s">
        <v>24</v>
      </c>
      <c r="D1218" t="s">
        <v>28</v>
      </c>
      <c r="E1218">
        <v>12</v>
      </c>
      <c r="F1218" t="s">
        <v>27</v>
      </c>
      <c r="G1218" t="s">
        <v>15</v>
      </c>
      <c r="H1218" t="s">
        <v>16</v>
      </c>
      <c r="I1218">
        <v>0</v>
      </c>
      <c r="J1218" s="23">
        <v>556442</v>
      </c>
      <c r="K1218">
        <v>6677304</v>
      </c>
    </row>
    <row r="1219" spans="1:11" ht="15" customHeight="1" x14ac:dyDescent="0.3">
      <c r="A1219" t="s">
        <v>18</v>
      </c>
      <c r="B1219" t="s">
        <v>11</v>
      </c>
      <c r="C1219" t="s">
        <v>12</v>
      </c>
      <c r="D1219" t="s">
        <v>13</v>
      </c>
      <c r="E1219">
        <v>1</v>
      </c>
      <c r="F1219" t="s">
        <v>35</v>
      </c>
      <c r="G1219" t="s">
        <v>15</v>
      </c>
      <c r="H1219" t="s">
        <v>16</v>
      </c>
      <c r="I1219">
        <v>0</v>
      </c>
      <c r="J1219" s="23">
        <v>-22226</v>
      </c>
      <c r="K1219" t="s">
        <v>17</v>
      </c>
    </row>
    <row r="1220" spans="1:11" ht="15" customHeight="1" x14ac:dyDescent="0.3">
      <c r="A1220" t="s">
        <v>18</v>
      </c>
      <c r="B1220" t="s">
        <v>19</v>
      </c>
      <c r="C1220" t="s">
        <v>24</v>
      </c>
      <c r="D1220" t="s">
        <v>28</v>
      </c>
      <c r="E1220">
        <v>31</v>
      </c>
      <c r="F1220"/>
      <c r="G1220" t="s">
        <v>15</v>
      </c>
      <c r="H1220" t="s">
        <v>16</v>
      </c>
      <c r="I1220">
        <v>0</v>
      </c>
      <c r="J1220" s="23">
        <v>171903</v>
      </c>
      <c r="K1220">
        <v>5328993</v>
      </c>
    </row>
    <row r="1221" spans="1:11" ht="15" customHeight="1" x14ac:dyDescent="0.3">
      <c r="A1221" t="s">
        <v>22</v>
      </c>
      <c r="B1221" t="s">
        <v>11</v>
      </c>
      <c r="C1221" t="s">
        <v>12</v>
      </c>
      <c r="D1221" t="s">
        <v>13</v>
      </c>
      <c r="E1221">
        <v>-1</v>
      </c>
      <c r="F1221" t="s">
        <v>41</v>
      </c>
      <c r="G1221" t="s">
        <v>15</v>
      </c>
      <c r="H1221" t="s">
        <v>16</v>
      </c>
      <c r="I1221">
        <v>0</v>
      </c>
      <c r="J1221" s="23">
        <v>-36811</v>
      </c>
      <c r="K1221" t="s">
        <v>17</v>
      </c>
    </row>
    <row r="1222" spans="1:11" ht="15" customHeight="1" x14ac:dyDescent="0.3">
      <c r="A1222" t="s">
        <v>10</v>
      </c>
      <c r="B1222" t="s">
        <v>11</v>
      </c>
      <c r="C1222" t="s">
        <v>24</v>
      </c>
      <c r="D1222" t="s">
        <v>13</v>
      </c>
      <c r="E1222">
        <v>4</v>
      </c>
      <c r="F1222" t="s">
        <v>35</v>
      </c>
      <c r="G1222" t="s">
        <v>15</v>
      </c>
      <c r="H1222" t="s">
        <v>16</v>
      </c>
      <c r="I1222">
        <v>0</v>
      </c>
      <c r="J1222" s="23">
        <v>797355</v>
      </c>
      <c r="K1222">
        <v>3189420</v>
      </c>
    </row>
    <row r="1223" spans="1:11" ht="15" customHeight="1" x14ac:dyDescent="0.3">
      <c r="A1223" t="s">
        <v>18</v>
      </c>
      <c r="B1223" t="s">
        <v>11</v>
      </c>
      <c r="C1223" t="s">
        <v>24</v>
      </c>
      <c r="D1223" t="s">
        <v>28</v>
      </c>
      <c r="E1223">
        <v>14</v>
      </c>
      <c r="F1223" t="s">
        <v>29</v>
      </c>
      <c r="G1223" t="s">
        <v>15</v>
      </c>
      <c r="H1223" t="s">
        <v>16</v>
      </c>
      <c r="I1223">
        <v>0</v>
      </c>
      <c r="J1223" s="23">
        <v>1507559</v>
      </c>
      <c r="K1223">
        <v>21105826</v>
      </c>
    </row>
    <row r="1224" spans="1:11" ht="15" customHeight="1" x14ac:dyDescent="0.3">
      <c r="A1224" t="s">
        <v>10</v>
      </c>
      <c r="B1224" t="s">
        <v>11</v>
      </c>
      <c r="C1224" t="s">
        <v>12</v>
      </c>
      <c r="D1224" t="s">
        <v>28</v>
      </c>
      <c r="E1224">
        <v>14</v>
      </c>
      <c r="F1224" t="s">
        <v>27</v>
      </c>
      <c r="G1224" t="s">
        <v>15</v>
      </c>
      <c r="H1224" t="s">
        <v>16</v>
      </c>
      <c r="I1224">
        <v>0</v>
      </c>
      <c r="J1224" s="23">
        <v>-3122</v>
      </c>
      <c r="K1224" t="s">
        <v>17</v>
      </c>
    </row>
    <row r="1225" spans="1:11" ht="15" customHeight="1" x14ac:dyDescent="0.3">
      <c r="A1225" t="s">
        <v>18</v>
      </c>
      <c r="B1225" t="s">
        <v>11</v>
      </c>
      <c r="C1225" t="s">
        <v>12</v>
      </c>
      <c r="D1225" t="s">
        <v>28</v>
      </c>
      <c r="E1225">
        <v>16</v>
      </c>
      <c r="F1225" t="s">
        <v>23</v>
      </c>
      <c r="G1225" t="s">
        <v>15</v>
      </c>
      <c r="H1225" t="s">
        <v>16</v>
      </c>
      <c r="I1225">
        <v>0</v>
      </c>
      <c r="J1225" s="23">
        <v>-14815</v>
      </c>
      <c r="K1225" t="s">
        <v>17</v>
      </c>
    </row>
    <row r="1226" spans="1:11" ht="15" customHeight="1" x14ac:dyDescent="0.3">
      <c r="A1226" t="s">
        <v>22</v>
      </c>
      <c r="B1226" t="s">
        <v>11</v>
      </c>
      <c r="C1226" t="s">
        <v>12</v>
      </c>
      <c r="D1226" t="s">
        <v>13</v>
      </c>
      <c r="E1226">
        <v>15</v>
      </c>
      <c r="F1226" t="s">
        <v>21</v>
      </c>
      <c r="G1226" t="s">
        <v>15</v>
      </c>
      <c r="H1226" t="s">
        <v>16</v>
      </c>
      <c r="I1226">
        <v>0</v>
      </c>
      <c r="J1226" s="23">
        <v>-47157</v>
      </c>
      <c r="K1226" t="s">
        <v>17</v>
      </c>
    </row>
    <row r="1227" spans="1:11" ht="15" customHeight="1" x14ac:dyDescent="0.3">
      <c r="A1227" t="s">
        <v>10</v>
      </c>
      <c r="B1227" t="s">
        <v>11</v>
      </c>
      <c r="C1227" t="s">
        <v>24</v>
      </c>
      <c r="D1227" t="s">
        <v>28</v>
      </c>
      <c r="E1227">
        <v>6</v>
      </c>
      <c r="F1227" t="s">
        <v>34</v>
      </c>
      <c r="G1227" t="s">
        <v>15</v>
      </c>
      <c r="H1227" t="s">
        <v>16</v>
      </c>
      <c r="I1227">
        <v>0</v>
      </c>
      <c r="J1227" s="23">
        <v>4845442</v>
      </c>
      <c r="K1227">
        <v>29072652</v>
      </c>
    </row>
    <row r="1228" spans="1:11" ht="15" customHeight="1" x14ac:dyDescent="0.3">
      <c r="A1228" t="s">
        <v>22</v>
      </c>
      <c r="B1228" t="s">
        <v>11</v>
      </c>
      <c r="C1228" t="s">
        <v>24</v>
      </c>
      <c r="D1228" t="s">
        <v>25</v>
      </c>
      <c r="E1228">
        <v>2</v>
      </c>
      <c r="F1228" t="s">
        <v>21</v>
      </c>
      <c r="G1228" t="s">
        <v>15</v>
      </c>
      <c r="H1228" t="s">
        <v>16</v>
      </c>
      <c r="I1228">
        <v>0</v>
      </c>
      <c r="J1228" s="23">
        <v>230203</v>
      </c>
      <c r="K1228">
        <v>460406</v>
      </c>
    </row>
    <row r="1229" spans="1:11" ht="15" customHeight="1" x14ac:dyDescent="0.3">
      <c r="A1229" t="s">
        <v>22</v>
      </c>
      <c r="B1229" t="s">
        <v>11</v>
      </c>
      <c r="C1229" t="s">
        <v>12</v>
      </c>
      <c r="D1229" t="s">
        <v>13</v>
      </c>
      <c r="E1229">
        <v>0</v>
      </c>
      <c r="F1229" t="s">
        <v>30</v>
      </c>
      <c r="G1229" t="s">
        <v>15</v>
      </c>
      <c r="H1229" t="s">
        <v>16</v>
      </c>
      <c r="I1229">
        <v>0</v>
      </c>
      <c r="J1229" s="23">
        <v>-50974</v>
      </c>
      <c r="K1229" t="s">
        <v>17</v>
      </c>
    </row>
    <row r="1230" spans="1:11" ht="15" customHeight="1" x14ac:dyDescent="0.3">
      <c r="A1230" t="s">
        <v>18</v>
      </c>
      <c r="B1230" t="s">
        <v>19</v>
      </c>
      <c r="C1230" t="s">
        <v>12</v>
      </c>
      <c r="D1230" t="s">
        <v>20</v>
      </c>
      <c r="E1230">
        <v>34</v>
      </c>
      <c r="F1230"/>
      <c r="G1230" t="s">
        <v>31</v>
      </c>
      <c r="H1230" t="s">
        <v>32</v>
      </c>
      <c r="I1230">
        <v>1</v>
      </c>
      <c r="J1230" s="23">
        <v>-28</v>
      </c>
      <c r="K1230" t="s">
        <v>17</v>
      </c>
    </row>
    <row r="1231" spans="1:11" ht="15" customHeight="1" x14ac:dyDescent="0.3">
      <c r="A1231" t="s">
        <v>10</v>
      </c>
      <c r="B1231" t="s">
        <v>11</v>
      </c>
      <c r="C1231" t="s">
        <v>24</v>
      </c>
      <c r="D1231" t="s">
        <v>13</v>
      </c>
      <c r="E1231">
        <v>7</v>
      </c>
      <c r="F1231" t="s">
        <v>33</v>
      </c>
      <c r="G1231" t="s">
        <v>15</v>
      </c>
      <c r="H1231" t="s">
        <v>16</v>
      </c>
      <c r="I1231">
        <v>0</v>
      </c>
      <c r="J1231" s="23">
        <v>7110940</v>
      </c>
      <c r="K1231">
        <v>49776580</v>
      </c>
    </row>
    <row r="1232" spans="1:11" ht="15" customHeight="1" x14ac:dyDescent="0.3">
      <c r="A1232" t="s">
        <v>18</v>
      </c>
      <c r="B1232" t="s">
        <v>11</v>
      </c>
      <c r="C1232" t="s">
        <v>24</v>
      </c>
      <c r="D1232" t="s">
        <v>13</v>
      </c>
      <c r="E1232">
        <v>-4</v>
      </c>
      <c r="F1232" t="s">
        <v>21</v>
      </c>
      <c r="G1232" t="s">
        <v>15</v>
      </c>
      <c r="H1232" t="s">
        <v>16</v>
      </c>
      <c r="I1232">
        <v>0</v>
      </c>
      <c r="J1232" s="23">
        <v>-123809</v>
      </c>
      <c r="K1232" t="s">
        <v>17</v>
      </c>
    </row>
    <row r="1233" spans="1:11" ht="15" customHeight="1" x14ac:dyDescent="0.3">
      <c r="A1233" t="s">
        <v>18</v>
      </c>
      <c r="B1233" t="s">
        <v>19</v>
      </c>
      <c r="C1233" t="s">
        <v>24</v>
      </c>
      <c r="D1233" t="s">
        <v>20</v>
      </c>
      <c r="E1233">
        <v>36</v>
      </c>
      <c r="F1233"/>
      <c r="G1233" t="s">
        <v>15</v>
      </c>
      <c r="H1233" t="s">
        <v>32</v>
      </c>
      <c r="I1233">
        <v>1</v>
      </c>
      <c r="J1233" s="23">
        <v>1863544</v>
      </c>
      <c r="K1233">
        <v>67087584</v>
      </c>
    </row>
    <row r="1234" spans="1:11" ht="15" customHeight="1" x14ac:dyDescent="0.3">
      <c r="A1234" t="s">
        <v>18</v>
      </c>
      <c r="B1234" t="s">
        <v>44</v>
      </c>
      <c r="C1234" t="s">
        <v>12</v>
      </c>
      <c r="D1234" t="s">
        <v>28</v>
      </c>
      <c r="E1234">
        <v>11</v>
      </c>
      <c r="F1234" t="s">
        <v>38</v>
      </c>
      <c r="G1234" t="s">
        <v>15</v>
      </c>
      <c r="H1234" t="s">
        <v>16</v>
      </c>
      <c r="I1234">
        <v>0</v>
      </c>
      <c r="J1234" s="23">
        <v>-125</v>
      </c>
      <c r="K1234" t="s">
        <v>17</v>
      </c>
    </row>
    <row r="1235" spans="1:11" ht="15" customHeight="1" x14ac:dyDescent="0.3">
      <c r="A1235" t="s">
        <v>10</v>
      </c>
      <c r="B1235" t="s">
        <v>11</v>
      </c>
      <c r="C1235" t="s">
        <v>12</v>
      </c>
      <c r="D1235" t="s">
        <v>13</v>
      </c>
      <c r="E1235">
        <v>6</v>
      </c>
      <c r="F1235" t="s">
        <v>41</v>
      </c>
      <c r="G1235" t="s">
        <v>15</v>
      </c>
      <c r="H1235" t="s">
        <v>16</v>
      </c>
      <c r="I1235">
        <v>0</v>
      </c>
      <c r="J1235" s="23">
        <v>-18111</v>
      </c>
      <c r="K1235" t="s">
        <v>17</v>
      </c>
    </row>
    <row r="1236" spans="1:11" ht="15" customHeight="1" x14ac:dyDescent="0.3">
      <c r="A1236" t="s">
        <v>10</v>
      </c>
      <c r="B1236" t="s">
        <v>11</v>
      </c>
      <c r="C1236" t="s">
        <v>24</v>
      </c>
      <c r="D1236" t="s">
        <v>13</v>
      </c>
      <c r="E1236">
        <v>0</v>
      </c>
      <c r="F1236" t="s">
        <v>37</v>
      </c>
      <c r="G1236" t="s">
        <v>15</v>
      </c>
      <c r="H1236" t="s">
        <v>16</v>
      </c>
      <c r="I1236">
        <v>0</v>
      </c>
      <c r="J1236" s="23">
        <v>307119</v>
      </c>
      <c r="K1236" t="s">
        <v>17</v>
      </c>
    </row>
    <row r="1237" spans="1:11" ht="15" customHeight="1" x14ac:dyDescent="0.3">
      <c r="A1237" t="s">
        <v>18</v>
      </c>
      <c r="B1237" t="s">
        <v>19</v>
      </c>
      <c r="C1237" t="s">
        <v>12</v>
      </c>
      <c r="D1237" t="s">
        <v>20</v>
      </c>
      <c r="E1237">
        <v>36</v>
      </c>
      <c r="F1237"/>
      <c r="G1237" t="s">
        <v>15</v>
      </c>
      <c r="H1237" t="s">
        <v>16</v>
      </c>
      <c r="I1237">
        <v>0</v>
      </c>
      <c r="J1237" s="23">
        <v>-566626</v>
      </c>
      <c r="K1237" t="s">
        <v>17</v>
      </c>
    </row>
    <row r="1238" spans="1:11" ht="15" customHeight="1" x14ac:dyDescent="0.3">
      <c r="A1238" t="s">
        <v>10</v>
      </c>
      <c r="B1238" t="s">
        <v>19</v>
      </c>
      <c r="C1238" t="s">
        <v>24</v>
      </c>
      <c r="D1238" t="s">
        <v>20</v>
      </c>
      <c r="E1238">
        <v>12</v>
      </c>
      <c r="F1238"/>
      <c r="G1238" t="s">
        <v>31</v>
      </c>
      <c r="H1238" t="s">
        <v>16</v>
      </c>
      <c r="I1238">
        <v>1</v>
      </c>
      <c r="J1238" s="23">
        <v>193957</v>
      </c>
      <c r="K1238">
        <v>2327484</v>
      </c>
    </row>
    <row r="1239" spans="1:11" ht="15" customHeight="1" x14ac:dyDescent="0.3">
      <c r="A1239" t="s">
        <v>18</v>
      </c>
      <c r="B1239" t="s">
        <v>11</v>
      </c>
      <c r="C1239" t="s">
        <v>24</v>
      </c>
      <c r="D1239" t="s">
        <v>28</v>
      </c>
      <c r="E1239">
        <v>12</v>
      </c>
      <c r="F1239" t="s">
        <v>33</v>
      </c>
      <c r="G1239" t="s">
        <v>15</v>
      </c>
      <c r="H1239" t="s">
        <v>32</v>
      </c>
      <c r="I1239">
        <v>1</v>
      </c>
      <c r="J1239" s="23">
        <v>15724347</v>
      </c>
      <c r="K1239">
        <v>188692164</v>
      </c>
    </row>
    <row r="1240" spans="1:11" ht="15" customHeight="1" x14ac:dyDescent="0.3">
      <c r="A1240" t="s">
        <v>10</v>
      </c>
      <c r="B1240" t="s">
        <v>11</v>
      </c>
      <c r="C1240" t="s">
        <v>24</v>
      </c>
      <c r="D1240" t="s">
        <v>13</v>
      </c>
      <c r="E1240">
        <v>2</v>
      </c>
      <c r="F1240" t="s">
        <v>30</v>
      </c>
      <c r="G1240" t="s">
        <v>15</v>
      </c>
      <c r="H1240" t="s">
        <v>16</v>
      </c>
      <c r="I1240">
        <v>0</v>
      </c>
      <c r="J1240" s="23">
        <v>3806548</v>
      </c>
      <c r="K1240">
        <v>7613096</v>
      </c>
    </row>
    <row r="1241" spans="1:11" ht="15" customHeight="1" x14ac:dyDescent="0.3">
      <c r="A1241" t="s">
        <v>10</v>
      </c>
      <c r="B1241" t="s">
        <v>19</v>
      </c>
      <c r="C1241" t="s">
        <v>12</v>
      </c>
      <c r="D1241" t="s">
        <v>20</v>
      </c>
      <c r="E1241">
        <v>10</v>
      </c>
      <c r="F1241"/>
      <c r="G1241" t="s">
        <v>31</v>
      </c>
      <c r="H1241" t="s">
        <v>32</v>
      </c>
      <c r="I1241">
        <v>1</v>
      </c>
      <c r="J1241" s="23">
        <v>-2630</v>
      </c>
      <c r="K1241" t="s">
        <v>17</v>
      </c>
    </row>
    <row r="1242" spans="1:11" ht="15" customHeight="1" x14ac:dyDescent="0.3">
      <c r="A1242" t="s">
        <v>22</v>
      </c>
      <c r="B1242" t="s">
        <v>19</v>
      </c>
      <c r="C1242" t="s">
        <v>12</v>
      </c>
      <c r="D1242" t="s">
        <v>20</v>
      </c>
      <c r="E1242">
        <v>36</v>
      </c>
      <c r="F1242"/>
      <c r="G1242" t="s">
        <v>15</v>
      </c>
      <c r="H1242" t="s">
        <v>16</v>
      </c>
      <c r="I1242">
        <v>0</v>
      </c>
      <c r="J1242" s="23">
        <v>-2458319</v>
      </c>
      <c r="K1242" t="s">
        <v>17</v>
      </c>
    </row>
    <row r="1243" spans="1:11" ht="15" customHeight="1" x14ac:dyDescent="0.3">
      <c r="A1243" t="s">
        <v>10</v>
      </c>
      <c r="B1243" t="s">
        <v>11</v>
      </c>
      <c r="C1243" t="s">
        <v>24</v>
      </c>
      <c r="D1243" t="s">
        <v>28</v>
      </c>
      <c r="E1243">
        <v>7</v>
      </c>
      <c r="F1243" t="s">
        <v>45</v>
      </c>
      <c r="G1243" t="s">
        <v>15</v>
      </c>
      <c r="H1243" t="s">
        <v>16</v>
      </c>
      <c r="I1243">
        <v>0</v>
      </c>
      <c r="J1243" s="23">
        <v>237919</v>
      </c>
      <c r="K1243">
        <v>1665433</v>
      </c>
    </row>
    <row r="1244" spans="1:11" ht="15" customHeight="1" x14ac:dyDescent="0.3">
      <c r="A1244" t="s">
        <v>22</v>
      </c>
      <c r="B1244" t="s">
        <v>19</v>
      </c>
      <c r="C1244" t="s">
        <v>12</v>
      </c>
      <c r="D1244" t="s">
        <v>20</v>
      </c>
      <c r="E1244">
        <v>27</v>
      </c>
      <c r="F1244"/>
      <c r="G1244" t="s">
        <v>31</v>
      </c>
      <c r="H1244" t="s">
        <v>16</v>
      </c>
      <c r="I1244">
        <v>1</v>
      </c>
      <c r="J1244" s="23">
        <v>-84307</v>
      </c>
      <c r="K1244" t="s">
        <v>17</v>
      </c>
    </row>
    <row r="1245" spans="1:11" ht="15" customHeight="1" x14ac:dyDescent="0.3">
      <c r="A1245" t="s">
        <v>18</v>
      </c>
      <c r="B1245" t="s">
        <v>19</v>
      </c>
      <c r="C1245" t="s">
        <v>24</v>
      </c>
      <c r="D1245" t="s">
        <v>20</v>
      </c>
      <c r="E1245">
        <v>27</v>
      </c>
      <c r="F1245"/>
      <c r="G1245" t="s">
        <v>31</v>
      </c>
      <c r="H1245" t="s">
        <v>32</v>
      </c>
      <c r="I1245">
        <v>1</v>
      </c>
      <c r="J1245" s="23">
        <v>291807</v>
      </c>
      <c r="K1245">
        <v>7878789</v>
      </c>
    </row>
    <row r="1246" spans="1:11" ht="15" customHeight="1" x14ac:dyDescent="0.3">
      <c r="A1246" t="s">
        <v>22</v>
      </c>
      <c r="B1246" t="s">
        <v>11</v>
      </c>
      <c r="C1246" t="s">
        <v>12</v>
      </c>
      <c r="D1246" t="s">
        <v>28</v>
      </c>
      <c r="E1246">
        <v>7</v>
      </c>
      <c r="F1246" t="s">
        <v>29</v>
      </c>
      <c r="G1246" t="s">
        <v>15</v>
      </c>
      <c r="H1246" t="s">
        <v>32</v>
      </c>
      <c r="I1246">
        <v>1</v>
      </c>
      <c r="J1246" s="23">
        <v>-154647</v>
      </c>
      <c r="K1246" t="s">
        <v>17</v>
      </c>
    </row>
    <row r="1247" spans="1:11" ht="15" customHeight="1" x14ac:dyDescent="0.3">
      <c r="A1247" t="s">
        <v>22</v>
      </c>
      <c r="B1247" t="s">
        <v>19</v>
      </c>
      <c r="C1247" t="s">
        <v>24</v>
      </c>
      <c r="D1247" t="s">
        <v>20</v>
      </c>
      <c r="E1247">
        <v>6</v>
      </c>
      <c r="F1247"/>
      <c r="G1247" t="s">
        <v>15</v>
      </c>
      <c r="H1247" t="s">
        <v>32</v>
      </c>
      <c r="I1247">
        <v>1</v>
      </c>
      <c r="J1247" s="23">
        <v>62829</v>
      </c>
      <c r="K1247">
        <v>376974</v>
      </c>
    </row>
    <row r="1248" spans="1:11" ht="15" customHeight="1" x14ac:dyDescent="0.3">
      <c r="A1248" t="s">
        <v>22</v>
      </c>
      <c r="B1248" t="s">
        <v>11</v>
      </c>
      <c r="C1248" t="s">
        <v>12</v>
      </c>
      <c r="D1248" t="s">
        <v>28</v>
      </c>
      <c r="E1248">
        <v>10</v>
      </c>
      <c r="F1248" t="s">
        <v>34</v>
      </c>
      <c r="G1248" t="s">
        <v>15</v>
      </c>
      <c r="H1248" t="s">
        <v>16</v>
      </c>
      <c r="I1248">
        <v>0</v>
      </c>
      <c r="J1248" s="23">
        <v>-179815</v>
      </c>
      <c r="K1248" t="s">
        <v>17</v>
      </c>
    </row>
    <row r="1249" spans="1:11" ht="15" customHeight="1" x14ac:dyDescent="0.3">
      <c r="A1249" t="s">
        <v>18</v>
      </c>
      <c r="B1249" t="s">
        <v>19</v>
      </c>
      <c r="C1249" t="s">
        <v>12</v>
      </c>
      <c r="D1249" t="s">
        <v>28</v>
      </c>
      <c r="E1249">
        <v>13</v>
      </c>
      <c r="F1249"/>
      <c r="G1249" t="s">
        <v>15</v>
      </c>
      <c r="H1249" t="s">
        <v>32</v>
      </c>
      <c r="I1249">
        <v>1</v>
      </c>
      <c r="J1249" s="23">
        <v>-1</v>
      </c>
      <c r="K1249" t="s">
        <v>17</v>
      </c>
    </row>
    <row r="1250" spans="1:11" ht="15" customHeight="1" x14ac:dyDescent="0.3">
      <c r="A1250" t="s">
        <v>10</v>
      </c>
      <c r="B1250" t="s">
        <v>11</v>
      </c>
      <c r="C1250" t="s">
        <v>24</v>
      </c>
      <c r="D1250" t="s">
        <v>25</v>
      </c>
      <c r="E1250">
        <v>3</v>
      </c>
      <c r="F1250" t="s">
        <v>34</v>
      </c>
      <c r="G1250" t="s">
        <v>15</v>
      </c>
      <c r="H1250" t="s">
        <v>16</v>
      </c>
      <c r="I1250">
        <v>0</v>
      </c>
      <c r="J1250" s="23">
        <v>2305644</v>
      </c>
      <c r="K1250">
        <v>6916932</v>
      </c>
    </row>
    <row r="1251" spans="1:11" ht="15" customHeight="1" x14ac:dyDescent="0.3">
      <c r="A1251" t="s">
        <v>18</v>
      </c>
      <c r="B1251" t="s">
        <v>11</v>
      </c>
      <c r="C1251" t="s">
        <v>24</v>
      </c>
      <c r="D1251" t="s">
        <v>28</v>
      </c>
      <c r="E1251">
        <v>6</v>
      </c>
      <c r="F1251" t="s">
        <v>21</v>
      </c>
      <c r="G1251" t="s">
        <v>31</v>
      </c>
      <c r="H1251" t="s">
        <v>32</v>
      </c>
      <c r="I1251">
        <v>1</v>
      </c>
      <c r="J1251" s="23">
        <v>102787</v>
      </c>
      <c r="K1251">
        <v>616722</v>
      </c>
    </row>
    <row r="1252" spans="1:11" ht="15" customHeight="1" x14ac:dyDescent="0.3">
      <c r="A1252" t="s">
        <v>22</v>
      </c>
      <c r="B1252" t="s">
        <v>11</v>
      </c>
      <c r="C1252" t="s">
        <v>12</v>
      </c>
      <c r="D1252" t="s">
        <v>25</v>
      </c>
      <c r="E1252">
        <v>2</v>
      </c>
      <c r="F1252" t="s">
        <v>40</v>
      </c>
      <c r="G1252" t="s">
        <v>15</v>
      </c>
      <c r="H1252" t="s">
        <v>16</v>
      </c>
      <c r="I1252">
        <v>0</v>
      </c>
      <c r="J1252" s="23">
        <v>-196629</v>
      </c>
      <c r="K1252" t="s">
        <v>17</v>
      </c>
    </row>
    <row r="1253" spans="1:11" ht="15" customHeight="1" x14ac:dyDescent="0.3">
      <c r="A1253" t="s">
        <v>22</v>
      </c>
      <c r="B1253" t="s">
        <v>11</v>
      </c>
      <c r="C1253" t="s">
        <v>24</v>
      </c>
      <c r="D1253" t="s">
        <v>13</v>
      </c>
      <c r="E1253">
        <v>-4</v>
      </c>
      <c r="F1253" t="s">
        <v>42</v>
      </c>
      <c r="G1253" t="s">
        <v>15</v>
      </c>
      <c r="H1253" t="s">
        <v>16</v>
      </c>
      <c r="I1253">
        <v>0</v>
      </c>
      <c r="J1253" s="23">
        <v>59697</v>
      </c>
      <c r="K1253" t="s">
        <v>17</v>
      </c>
    </row>
    <row r="1254" spans="1:11" ht="15" customHeight="1" x14ac:dyDescent="0.3">
      <c r="A1254" t="s">
        <v>18</v>
      </c>
      <c r="B1254" t="s">
        <v>19</v>
      </c>
      <c r="C1254" t="s">
        <v>12</v>
      </c>
      <c r="D1254" t="s">
        <v>20</v>
      </c>
      <c r="E1254">
        <v>48</v>
      </c>
      <c r="F1254"/>
      <c r="G1254" t="s">
        <v>15</v>
      </c>
      <c r="H1254" t="s">
        <v>16</v>
      </c>
      <c r="I1254">
        <v>0</v>
      </c>
      <c r="J1254" s="23">
        <v>-48</v>
      </c>
      <c r="K1254" t="s">
        <v>17</v>
      </c>
    </row>
    <row r="1255" spans="1:11" ht="15" customHeight="1" x14ac:dyDescent="0.3">
      <c r="A1255" t="s">
        <v>10</v>
      </c>
      <c r="B1255" t="s">
        <v>19</v>
      </c>
      <c r="C1255" t="s">
        <v>12</v>
      </c>
      <c r="D1255" t="s">
        <v>20</v>
      </c>
      <c r="E1255">
        <v>25</v>
      </c>
      <c r="F1255"/>
      <c r="G1255" t="s">
        <v>31</v>
      </c>
      <c r="H1255" t="s">
        <v>16</v>
      </c>
      <c r="I1255">
        <v>1</v>
      </c>
      <c r="J1255" s="23">
        <v>-30828</v>
      </c>
      <c r="K1255" t="s">
        <v>17</v>
      </c>
    </row>
    <row r="1256" spans="1:11" ht="15" customHeight="1" x14ac:dyDescent="0.3">
      <c r="A1256" t="s">
        <v>22</v>
      </c>
      <c r="B1256" t="s">
        <v>11</v>
      </c>
      <c r="C1256" t="s">
        <v>12</v>
      </c>
      <c r="D1256" t="s">
        <v>13</v>
      </c>
      <c r="E1256">
        <v>4</v>
      </c>
      <c r="F1256" t="s">
        <v>34</v>
      </c>
      <c r="G1256" t="s">
        <v>15</v>
      </c>
      <c r="H1256" t="s">
        <v>16</v>
      </c>
      <c r="I1256">
        <v>0</v>
      </c>
      <c r="J1256" s="23">
        <v>-3680131</v>
      </c>
      <c r="K1256" t="s">
        <v>17</v>
      </c>
    </row>
    <row r="1257" spans="1:11" ht="15" customHeight="1" x14ac:dyDescent="0.3">
      <c r="A1257" t="s">
        <v>18</v>
      </c>
      <c r="B1257" t="s">
        <v>19</v>
      </c>
      <c r="C1257" t="s">
        <v>12</v>
      </c>
      <c r="D1257" t="s">
        <v>28</v>
      </c>
      <c r="E1257">
        <v>13</v>
      </c>
      <c r="F1257"/>
      <c r="G1257" t="s">
        <v>15</v>
      </c>
      <c r="H1257" t="s">
        <v>16</v>
      </c>
      <c r="I1257">
        <v>0</v>
      </c>
      <c r="J1257" s="23">
        <v>-4860</v>
      </c>
      <c r="K1257" t="s">
        <v>17</v>
      </c>
    </row>
    <row r="1258" spans="1:11" ht="15" customHeight="1" x14ac:dyDescent="0.3">
      <c r="A1258" t="s">
        <v>18</v>
      </c>
      <c r="B1258" t="s">
        <v>44</v>
      </c>
      <c r="C1258" t="s">
        <v>24</v>
      </c>
      <c r="D1258" t="s">
        <v>28</v>
      </c>
      <c r="E1258">
        <v>10</v>
      </c>
      <c r="F1258" t="s">
        <v>26</v>
      </c>
      <c r="G1258" t="s">
        <v>15</v>
      </c>
      <c r="H1258" t="s">
        <v>16</v>
      </c>
      <c r="I1258">
        <v>0</v>
      </c>
      <c r="J1258" s="23">
        <v>15918106</v>
      </c>
      <c r="K1258">
        <v>159181060</v>
      </c>
    </row>
    <row r="1259" spans="1:11" ht="15" customHeight="1" x14ac:dyDescent="0.3">
      <c r="A1259" t="s">
        <v>10</v>
      </c>
      <c r="B1259" t="s">
        <v>11</v>
      </c>
      <c r="C1259" t="s">
        <v>24</v>
      </c>
      <c r="D1259" t="s">
        <v>13</v>
      </c>
      <c r="E1259">
        <v>4</v>
      </c>
      <c r="F1259" t="s">
        <v>40</v>
      </c>
      <c r="G1259" t="s">
        <v>15</v>
      </c>
      <c r="H1259" t="s">
        <v>16</v>
      </c>
      <c r="I1259">
        <v>0</v>
      </c>
      <c r="J1259" s="23">
        <v>3051087</v>
      </c>
      <c r="K1259">
        <v>12204348</v>
      </c>
    </row>
    <row r="1260" spans="1:11" ht="15" customHeight="1" x14ac:dyDescent="0.3">
      <c r="A1260" t="s">
        <v>18</v>
      </c>
      <c r="B1260" t="s">
        <v>11</v>
      </c>
      <c r="C1260" t="s">
        <v>24</v>
      </c>
      <c r="D1260" t="s">
        <v>28</v>
      </c>
      <c r="E1260">
        <v>0</v>
      </c>
      <c r="F1260" t="s">
        <v>14</v>
      </c>
      <c r="G1260" t="s">
        <v>15</v>
      </c>
      <c r="H1260" t="s">
        <v>16</v>
      </c>
      <c r="I1260">
        <v>0</v>
      </c>
      <c r="J1260" s="23">
        <v>324913</v>
      </c>
      <c r="K1260" t="s">
        <v>17</v>
      </c>
    </row>
    <row r="1261" spans="1:11" ht="15" customHeight="1" x14ac:dyDescent="0.3">
      <c r="A1261" t="s">
        <v>10</v>
      </c>
      <c r="B1261" t="s">
        <v>11</v>
      </c>
      <c r="C1261" t="s">
        <v>24</v>
      </c>
      <c r="D1261" t="s">
        <v>28</v>
      </c>
      <c r="E1261">
        <v>6</v>
      </c>
      <c r="F1261" t="s">
        <v>26</v>
      </c>
      <c r="G1261" t="s">
        <v>31</v>
      </c>
      <c r="H1261" t="s">
        <v>16</v>
      </c>
      <c r="I1261">
        <v>1</v>
      </c>
      <c r="J1261" s="23">
        <v>67063</v>
      </c>
      <c r="K1261">
        <v>402378</v>
      </c>
    </row>
    <row r="1262" spans="1:11" ht="15" customHeight="1" x14ac:dyDescent="0.3">
      <c r="A1262" t="s">
        <v>10</v>
      </c>
      <c r="B1262" t="s">
        <v>11</v>
      </c>
      <c r="C1262" t="s">
        <v>24</v>
      </c>
      <c r="D1262" t="s">
        <v>25</v>
      </c>
      <c r="E1262">
        <v>0</v>
      </c>
      <c r="F1262" t="s">
        <v>40</v>
      </c>
      <c r="G1262" t="s">
        <v>15</v>
      </c>
      <c r="H1262" t="s">
        <v>16</v>
      </c>
      <c r="I1262">
        <v>0</v>
      </c>
      <c r="J1262" s="23">
        <v>269362</v>
      </c>
      <c r="K1262" t="s">
        <v>17</v>
      </c>
    </row>
    <row r="1263" spans="1:11" ht="15" customHeight="1" x14ac:dyDescent="0.3">
      <c r="A1263" t="s">
        <v>18</v>
      </c>
      <c r="B1263" t="s">
        <v>11</v>
      </c>
      <c r="C1263" t="s">
        <v>12</v>
      </c>
      <c r="D1263" t="s">
        <v>13</v>
      </c>
      <c r="E1263">
        <v>15</v>
      </c>
      <c r="F1263" t="s">
        <v>40</v>
      </c>
      <c r="G1263" t="s">
        <v>15</v>
      </c>
      <c r="H1263" t="s">
        <v>16</v>
      </c>
      <c r="I1263">
        <v>0</v>
      </c>
      <c r="J1263" s="23">
        <v>-12959</v>
      </c>
      <c r="K1263" t="s">
        <v>17</v>
      </c>
    </row>
    <row r="1264" spans="1:11" ht="15" customHeight="1" x14ac:dyDescent="0.3">
      <c r="A1264" t="s">
        <v>18</v>
      </c>
      <c r="B1264" t="s">
        <v>11</v>
      </c>
      <c r="C1264" t="s">
        <v>12</v>
      </c>
      <c r="D1264" t="s">
        <v>28</v>
      </c>
      <c r="E1264">
        <v>13</v>
      </c>
      <c r="F1264" t="s">
        <v>33</v>
      </c>
      <c r="G1264" t="s">
        <v>15</v>
      </c>
      <c r="H1264" t="s">
        <v>32</v>
      </c>
      <c r="I1264">
        <v>1</v>
      </c>
      <c r="J1264" s="23">
        <v>-8439</v>
      </c>
      <c r="K1264" t="s">
        <v>17</v>
      </c>
    </row>
    <row r="1265" spans="1:11" ht="15" customHeight="1" x14ac:dyDescent="0.3">
      <c r="A1265" t="s">
        <v>18</v>
      </c>
      <c r="B1265" t="s">
        <v>11</v>
      </c>
      <c r="C1265" t="s">
        <v>12</v>
      </c>
      <c r="D1265" t="s">
        <v>25</v>
      </c>
      <c r="E1265">
        <v>1</v>
      </c>
      <c r="F1265" t="s">
        <v>35</v>
      </c>
      <c r="G1265" t="s">
        <v>15</v>
      </c>
      <c r="H1265" t="s">
        <v>16</v>
      </c>
      <c r="I1265">
        <v>0</v>
      </c>
      <c r="J1265" s="23">
        <v>-1961</v>
      </c>
      <c r="K1265" t="s">
        <v>17</v>
      </c>
    </row>
    <row r="1266" spans="1:11" ht="15" customHeight="1" x14ac:dyDescent="0.3">
      <c r="A1266" t="s">
        <v>10</v>
      </c>
      <c r="B1266" t="s">
        <v>11</v>
      </c>
      <c r="C1266" t="s">
        <v>12</v>
      </c>
      <c r="D1266" t="s">
        <v>28</v>
      </c>
      <c r="E1266">
        <v>19</v>
      </c>
      <c r="F1266" t="s">
        <v>23</v>
      </c>
      <c r="G1266" t="s">
        <v>15</v>
      </c>
      <c r="H1266" t="s">
        <v>16</v>
      </c>
      <c r="I1266">
        <v>0</v>
      </c>
      <c r="J1266" s="23">
        <v>-2371</v>
      </c>
      <c r="K1266" t="s">
        <v>17</v>
      </c>
    </row>
    <row r="1267" spans="1:11" ht="15" customHeight="1" x14ac:dyDescent="0.3">
      <c r="A1267" t="s">
        <v>10</v>
      </c>
      <c r="B1267" t="s">
        <v>11</v>
      </c>
      <c r="C1267" t="s">
        <v>12</v>
      </c>
      <c r="D1267" t="s">
        <v>13</v>
      </c>
      <c r="E1267">
        <v>6</v>
      </c>
      <c r="F1267" t="s">
        <v>42</v>
      </c>
      <c r="G1267" t="s">
        <v>15</v>
      </c>
      <c r="H1267" t="s">
        <v>16</v>
      </c>
      <c r="I1267">
        <v>0</v>
      </c>
      <c r="J1267" s="23">
        <v>-557</v>
      </c>
      <c r="K1267" t="s">
        <v>17</v>
      </c>
    </row>
    <row r="1268" spans="1:11" ht="15" customHeight="1" x14ac:dyDescent="0.3">
      <c r="A1268" t="s">
        <v>22</v>
      </c>
      <c r="B1268" t="s">
        <v>11</v>
      </c>
      <c r="C1268" t="s">
        <v>12</v>
      </c>
      <c r="D1268" t="s">
        <v>13</v>
      </c>
      <c r="E1268">
        <v>1</v>
      </c>
      <c r="F1268" t="s">
        <v>35</v>
      </c>
      <c r="G1268" t="s">
        <v>15</v>
      </c>
      <c r="H1268" t="s">
        <v>16</v>
      </c>
      <c r="I1268">
        <v>0</v>
      </c>
      <c r="J1268" s="23">
        <v>-263829</v>
      </c>
      <c r="K1268" t="s">
        <v>17</v>
      </c>
    </row>
    <row r="1269" spans="1:11" ht="15" customHeight="1" x14ac:dyDescent="0.3">
      <c r="A1269" t="s">
        <v>18</v>
      </c>
      <c r="B1269" t="s">
        <v>11</v>
      </c>
      <c r="C1269" t="s">
        <v>24</v>
      </c>
      <c r="D1269" t="s">
        <v>25</v>
      </c>
      <c r="E1269">
        <v>2</v>
      </c>
      <c r="F1269" t="s">
        <v>33</v>
      </c>
      <c r="G1269" t="s">
        <v>15</v>
      </c>
      <c r="H1269" t="s">
        <v>16</v>
      </c>
      <c r="I1269">
        <v>0</v>
      </c>
      <c r="J1269" s="23">
        <v>1585870</v>
      </c>
      <c r="K1269">
        <v>3171740</v>
      </c>
    </row>
    <row r="1270" spans="1:11" ht="15" customHeight="1" x14ac:dyDescent="0.3">
      <c r="A1270" t="s">
        <v>10</v>
      </c>
      <c r="B1270" t="s">
        <v>11</v>
      </c>
      <c r="C1270" t="s">
        <v>24</v>
      </c>
      <c r="D1270" t="s">
        <v>13</v>
      </c>
      <c r="E1270">
        <v>2</v>
      </c>
      <c r="F1270" t="s">
        <v>29</v>
      </c>
      <c r="G1270" t="s">
        <v>15</v>
      </c>
      <c r="H1270" t="s">
        <v>16</v>
      </c>
      <c r="I1270">
        <v>0</v>
      </c>
      <c r="J1270" s="23">
        <v>28751336</v>
      </c>
      <c r="K1270">
        <v>57502672</v>
      </c>
    </row>
    <row r="1271" spans="1:11" ht="15" customHeight="1" x14ac:dyDescent="0.3">
      <c r="A1271" t="s">
        <v>22</v>
      </c>
      <c r="B1271" t="s">
        <v>19</v>
      </c>
      <c r="C1271" t="s">
        <v>12</v>
      </c>
      <c r="D1271" t="s">
        <v>28</v>
      </c>
      <c r="E1271">
        <v>25</v>
      </c>
      <c r="F1271"/>
      <c r="G1271" t="s">
        <v>15</v>
      </c>
      <c r="H1271" t="s">
        <v>16</v>
      </c>
      <c r="I1271">
        <v>0</v>
      </c>
      <c r="J1271" s="23">
        <v>-12071</v>
      </c>
      <c r="K1271" t="s">
        <v>17</v>
      </c>
    </row>
    <row r="1272" spans="1:11" ht="15" customHeight="1" x14ac:dyDescent="0.3">
      <c r="A1272" t="s">
        <v>10</v>
      </c>
      <c r="B1272" t="s">
        <v>11</v>
      </c>
      <c r="C1272" t="s">
        <v>12</v>
      </c>
      <c r="D1272" t="s">
        <v>13</v>
      </c>
      <c r="E1272">
        <v>6</v>
      </c>
      <c r="F1272" t="s">
        <v>39</v>
      </c>
      <c r="G1272" t="s">
        <v>15</v>
      </c>
      <c r="H1272" t="s">
        <v>16</v>
      </c>
      <c r="I1272">
        <v>0</v>
      </c>
      <c r="J1272" s="23">
        <v>-23990</v>
      </c>
      <c r="K1272" t="s">
        <v>17</v>
      </c>
    </row>
    <row r="1273" spans="1:11" ht="15" customHeight="1" x14ac:dyDescent="0.3">
      <c r="A1273" t="s">
        <v>18</v>
      </c>
      <c r="B1273" t="s">
        <v>11</v>
      </c>
      <c r="C1273" t="s">
        <v>12</v>
      </c>
      <c r="D1273" t="s">
        <v>28</v>
      </c>
      <c r="E1273">
        <v>13</v>
      </c>
      <c r="F1273" t="s">
        <v>26</v>
      </c>
      <c r="G1273" t="s">
        <v>15</v>
      </c>
      <c r="H1273" t="s">
        <v>16</v>
      </c>
      <c r="I1273">
        <v>0</v>
      </c>
      <c r="J1273" s="23">
        <v>-26770</v>
      </c>
      <c r="K1273" t="s">
        <v>17</v>
      </c>
    </row>
    <row r="1274" spans="1:11" ht="15" customHeight="1" x14ac:dyDescent="0.3">
      <c r="A1274" t="s">
        <v>18</v>
      </c>
      <c r="B1274" t="s">
        <v>11</v>
      </c>
      <c r="C1274" t="s">
        <v>12</v>
      </c>
      <c r="D1274" t="s">
        <v>28</v>
      </c>
      <c r="E1274">
        <v>0</v>
      </c>
      <c r="F1274" t="s">
        <v>42</v>
      </c>
      <c r="G1274" t="s">
        <v>15</v>
      </c>
      <c r="H1274" t="s">
        <v>16</v>
      </c>
      <c r="I1274">
        <v>0</v>
      </c>
      <c r="J1274" s="23">
        <v>-16</v>
      </c>
      <c r="K1274" t="s">
        <v>17</v>
      </c>
    </row>
    <row r="1275" spans="1:11" ht="15" customHeight="1" x14ac:dyDescent="0.3">
      <c r="A1275" t="s">
        <v>22</v>
      </c>
      <c r="B1275" t="s">
        <v>19</v>
      </c>
      <c r="C1275" t="s">
        <v>24</v>
      </c>
      <c r="D1275" t="s">
        <v>20</v>
      </c>
      <c r="E1275">
        <v>25</v>
      </c>
      <c r="F1275"/>
      <c r="G1275" t="s">
        <v>15</v>
      </c>
      <c r="H1275" t="s">
        <v>16</v>
      </c>
      <c r="I1275">
        <v>0</v>
      </c>
      <c r="J1275" s="23">
        <v>10823019</v>
      </c>
      <c r="K1275">
        <v>270575475</v>
      </c>
    </row>
    <row r="1276" spans="1:11" ht="15" customHeight="1" x14ac:dyDescent="0.3">
      <c r="A1276" t="s">
        <v>18</v>
      </c>
      <c r="B1276" t="s">
        <v>11</v>
      </c>
      <c r="C1276" t="s">
        <v>24</v>
      </c>
      <c r="D1276" t="s">
        <v>17</v>
      </c>
      <c r="E1276">
        <v>-1</v>
      </c>
      <c r="F1276" t="s">
        <v>35</v>
      </c>
      <c r="G1276" t="s">
        <v>15</v>
      </c>
      <c r="H1276" t="s">
        <v>16</v>
      </c>
      <c r="I1276">
        <v>0</v>
      </c>
      <c r="J1276" s="23">
        <v>0</v>
      </c>
      <c r="K1276" t="s">
        <v>17</v>
      </c>
    </row>
    <row r="1277" spans="1:11" ht="15" customHeight="1" x14ac:dyDescent="0.3">
      <c r="A1277" t="s">
        <v>22</v>
      </c>
      <c r="B1277" t="s">
        <v>11</v>
      </c>
      <c r="C1277" t="s">
        <v>12</v>
      </c>
      <c r="D1277" t="s">
        <v>28</v>
      </c>
      <c r="E1277">
        <v>-1</v>
      </c>
      <c r="F1277" t="s">
        <v>26</v>
      </c>
      <c r="G1277" t="s">
        <v>15</v>
      </c>
      <c r="H1277" t="s">
        <v>16</v>
      </c>
      <c r="I1277">
        <v>0</v>
      </c>
      <c r="J1277" s="23">
        <v>-1</v>
      </c>
      <c r="K1277" t="s">
        <v>17</v>
      </c>
    </row>
    <row r="1278" spans="1:11" ht="15" customHeight="1" x14ac:dyDescent="0.3">
      <c r="A1278" t="s">
        <v>22</v>
      </c>
      <c r="B1278" t="s">
        <v>19</v>
      </c>
      <c r="C1278" t="s">
        <v>24</v>
      </c>
      <c r="D1278" t="s">
        <v>20</v>
      </c>
      <c r="E1278">
        <v>27</v>
      </c>
      <c r="F1278"/>
      <c r="G1278" t="s">
        <v>31</v>
      </c>
      <c r="H1278" t="s">
        <v>16</v>
      </c>
      <c r="I1278">
        <v>1</v>
      </c>
      <c r="J1278" s="23">
        <v>193244</v>
      </c>
      <c r="K1278">
        <v>5217588</v>
      </c>
    </row>
    <row r="1279" spans="1:11" ht="15" customHeight="1" x14ac:dyDescent="0.3">
      <c r="A1279" t="s">
        <v>10</v>
      </c>
      <c r="B1279" t="s">
        <v>19</v>
      </c>
      <c r="C1279" t="s">
        <v>24</v>
      </c>
      <c r="D1279" t="s">
        <v>20</v>
      </c>
      <c r="E1279">
        <v>16</v>
      </c>
      <c r="F1279"/>
      <c r="G1279" t="s">
        <v>15</v>
      </c>
      <c r="H1279" t="s">
        <v>32</v>
      </c>
      <c r="I1279">
        <v>1</v>
      </c>
      <c r="J1279" s="23">
        <v>217911</v>
      </c>
      <c r="K1279">
        <v>3486576</v>
      </c>
    </row>
    <row r="1280" spans="1:11" ht="15" customHeight="1" x14ac:dyDescent="0.3">
      <c r="A1280" t="s">
        <v>18</v>
      </c>
      <c r="B1280" t="s">
        <v>11</v>
      </c>
      <c r="C1280" t="s">
        <v>24</v>
      </c>
      <c r="D1280" t="s">
        <v>28</v>
      </c>
      <c r="E1280">
        <v>3</v>
      </c>
      <c r="F1280" t="s">
        <v>40</v>
      </c>
      <c r="G1280" t="s">
        <v>31</v>
      </c>
      <c r="H1280" t="s">
        <v>16</v>
      </c>
      <c r="I1280">
        <v>1</v>
      </c>
      <c r="J1280" s="23">
        <v>19414</v>
      </c>
      <c r="K1280">
        <v>58242</v>
      </c>
    </row>
    <row r="1281" spans="1:11" ht="15" customHeight="1" x14ac:dyDescent="0.3">
      <c r="A1281" t="s">
        <v>10</v>
      </c>
      <c r="B1281" t="s">
        <v>11</v>
      </c>
      <c r="C1281" t="s">
        <v>12</v>
      </c>
      <c r="D1281" t="s">
        <v>25</v>
      </c>
      <c r="E1281">
        <v>3</v>
      </c>
      <c r="F1281" t="s">
        <v>40</v>
      </c>
      <c r="G1281" t="s">
        <v>15</v>
      </c>
      <c r="H1281" t="s">
        <v>16</v>
      </c>
      <c r="I1281">
        <v>0</v>
      </c>
      <c r="J1281" s="23">
        <v>-161884</v>
      </c>
      <c r="K1281" t="s">
        <v>17</v>
      </c>
    </row>
    <row r="1282" spans="1:11" ht="15" customHeight="1" x14ac:dyDescent="0.3">
      <c r="A1282" t="s">
        <v>22</v>
      </c>
      <c r="B1282" t="s">
        <v>11</v>
      </c>
      <c r="C1282" t="s">
        <v>12</v>
      </c>
      <c r="D1282" t="s">
        <v>13</v>
      </c>
      <c r="E1282">
        <v>6</v>
      </c>
      <c r="F1282" t="s">
        <v>39</v>
      </c>
      <c r="G1282" t="s">
        <v>15</v>
      </c>
      <c r="H1282" t="s">
        <v>16</v>
      </c>
      <c r="I1282">
        <v>0</v>
      </c>
      <c r="J1282" s="23">
        <v>-8920</v>
      </c>
      <c r="K1282" t="s">
        <v>17</v>
      </c>
    </row>
    <row r="1283" spans="1:11" ht="15" customHeight="1" x14ac:dyDescent="0.3">
      <c r="A1283" t="s">
        <v>18</v>
      </c>
      <c r="B1283" t="s">
        <v>19</v>
      </c>
      <c r="C1283" t="s">
        <v>24</v>
      </c>
      <c r="D1283" t="s">
        <v>20</v>
      </c>
      <c r="E1283">
        <v>3</v>
      </c>
      <c r="F1283"/>
      <c r="G1283" t="s">
        <v>31</v>
      </c>
      <c r="H1283" t="s">
        <v>32</v>
      </c>
      <c r="I1283">
        <v>1</v>
      </c>
      <c r="J1283" s="23">
        <v>33464</v>
      </c>
      <c r="K1283">
        <v>100392</v>
      </c>
    </row>
    <row r="1284" spans="1:11" ht="15" customHeight="1" x14ac:dyDescent="0.3">
      <c r="A1284" t="s">
        <v>22</v>
      </c>
      <c r="B1284" t="s">
        <v>11</v>
      </c>
      <c r="C1284" t="s">
        <v>24</v>
      </c>
      <c r="D1284" t="s">
        <v>28</v>
      </c>
      <c r="E1284">
        <v>6</v>
      </c>
      <c r="F1284" t="s">
        <v>30</v>
      </c>
      <c r="G1284" t="s">
        <v>15</v>
      </c>
      <c r="H1284" t="s">
        <v>16</v>
      </c>
      <c r="I1284">
        <v>0</v>
      </c>
      <c r="J1284" s="23">
        <v>267963</v>
      </c>
      <c r="K1284">
        <v>1607778</v>
      </c>
    </row>
    <row r="1285" spans="1:11" ht="15" customHeight="1" x14ac:dyDescent="0.3">
      <c r="A1285" t="s">
        <v>10</v>
      </c>
      <c r="B1285" t="s">
        <v>19</v>
      </c>
      <c r="C1285" t="s">
        <v>12</v>
      </c>
      <c r="D1285" t="s">
        <v>28</v>
      </c>
      <c r="E1285">
        <v>0</v>
      </c>
      <c r="F1285"/>
      <c r="G1285" t="s">
        <v>15</v>
      </c>
      <c r="H1285" t="s">
        <v>16</v>
      </c>
      <c r="I1285">
        <v>0</v>
      </c>
      <c r="J1285" s="23">
        <v>-919</v>
      </c>
      <c r="K1285" t="s">
        <v>17</v>
      </c>
    </row>
    <row r="1286" spans="1:11" ht="15" customHeight="1" x14ac:dyDescent="0.3">
      <c r="A1286" t="s">
        <v>10</v>
      </c>
      <c r="B1286" t="s">
        <v>19</v>
      </c>
      <c r="C1286" t="s">
        <v>24</v>
      </c>
      <c r="D1286" t="s">
        <v>28</v>
      </c>
      <c r="E1286">
        <v>5</v>
      </c>
      <c r="F1286"/>
      <c r="G1286" t="s">
        <v>15</v>
      </c>
      <c r="H1286" t="s">
        <v>32</v>
      </c>
      <c r="I1286">
        <v>1</v>
      </c>
      <c r="J1286" s="23">
        <v>13337</v>
      </c>
      <c r="K1286">
        <v>66685</v>
      </c>
    </row>
    <row r="1287" spans="1:11" ht="15" customHeight="1" x14ac:dyDescent="0.3">
      <c r="A1287" t="s">
        <v>18</v>
      </c>
      <c r="B1287" t="s">
        <v>11</v>
      </c>
      <c r="C1287" t="s">
        <v>24</v>
      </c>
      <c r="D1287" t="s">
        <v>28</v>
      </c>
      <c r="E1287">
        <v>10</v>
      </c>
      <c r="F1287" t="s">
        <v>40</v>
      </c>
      <c r="G1287" t="s">
        <v>15</v>
      </c>
      <c r="H1287" t="s">
        <v>16</v>
      </c>
      <c r="I1287">
        <v>0</v>
      </c>
      <c r="J1287" s="23">
        <v>130317</v>
      </c>
      <c r="K1287">
        <v>1303170</v>
      </c>
    </row>
    <row r="1288" spans="1:11" ht="15" customHeight="1" x14ac:dyDescent="0.3">
      <c r="A1288" t="s">
        <v>22</v>
      </c>
      <c r="B1288" t="s">
        <v>11</v>
      </c>
      <c r="C1288" t="s">
        <v>12</v>
      </c>
      <c r="D1288" t="s">
        <v>28</v>
      </c>
      <c r="E1288">
        <v>-4</v>
      </c>
      <c r="F1288" t="s">
        <v>41</v>
      </c>
      <c r="G1288" t="s">
        <v>15</v>
      </c>
      <c r="H1288" t="s">
        <v>32</v>
      </c>
      <c r="I1288">
        <v>1</v>
      </c>
      <c r="J1288" s="23">
        <v>-30666</v>
      </c>
      <c r="K1288" t="s">
        <v>17</v>
      </c>
    </row>
    <row r="1289" spans="1:11" ht="15" customHeight="1" x14ac:dyDescent="0.3">
      <c r="A1289" t="s">
        <v>10</v>
      </c>
      <c r="B1289" t="s">
        <v>11</v>
      </c>
      <c r="C1289" t="s">
        <v>12</v>
      </c>
      <c r="D1289" t="s">
        <v>28</v>
      </c>
      <c r="E1289">
        <v>11</v>
      </c>
      <c r="F1289" t="s">
        <v>42</v>
      </c>
      <c r="G1289" t="s">
        <v>15</v>
      </c>
      <c r="H1289" t="s">
        <v>16</v>
      </c>
      <c r="I1289">
        <v>0</v>
      </c>
      <c r="J1289" s="23">
        <v>-3542</v>
      </c>
      <c r="K1289" t="s">
        <v>17</v>
      </c>
    </row>
    <row r="1290" spans="1:11" ht="15" customHeight="1" x14ac:dyDescent="0.3">
      <c r="A1290" t="s">
        <v>18</v>
      </c>
      <c r="B1290" t="s">
        <v>11</v>
      </c>
      <c r="C1290" t="s">
        <v>12</v>
      </c>
      <c r="D1290" t="s">
        <v>25</v>
      </c>
      <c r="E1290">
        <v>3</v>
      </c>
      <c r="F1290" t="s">
        <v>40</v>
      </c>
      <c r="G1290" t="s">
        <v>15</v>
      </c>
      <c r="H1290" t="s">
        <v>16</v>
      </c>
      <c r="I1290">
        <v>0</v>
      </c>
      <c r="J1290" s="23">
        <v>-45672</v>
      </c>
      <c r="K1290" t="s">
        <v>17</v>
      </c>
    </row>
    <row r="1291" spans="1:11" ht="15" customHeight="1" x14ac:dyDescent="0.3">
      <c r="A1291" t="s">
        <v>22</v>
      </c>
      <c r="B1291" t="s">
        <v>11</v>
      </c>
      <c r="C1291" t="s">
        <v>24</v>
      </c>
      <c r="D1291" t="s">
        <v>13</v>
      </c>
      <c r="E1291">
        <v>15</v>
      </c>
      <c r="F1291" t="s">
        <v>33</v>
      </c>
      <c r="G1291" t="s">
        <v>15</v>
      </c>
      <c r="H1291" t="s">
        <v>16</v>
      </c>
      <c r="I1291">
        <v>0</v>
      </c>
      <c r="J1291" s="23">
        <v>41314</v>
      </c>
      <c r="K1291">
        <v>619710</v>
      </c>
    </row>
    <row r="1292" spans="1:11" ht="15" customHeight="1" x14ac:dyDescent="0.3">
      <c r="A1292" t="s">
        <v>22</v>
      </c>
      <c r="B1292" t="s">
        <v>11</v>
      </c>
      <c r="C1292" t="s">
        <v>12</v>
      </c>
      <c r="D1292" t="s">
        <v>28</v>
      </c>
      <c r="E1292">
        <v>6</v>
      </c>
      <c r="F1292" t="s">
        <v>29</v>
      </c>
      <c r="G1292" t="s">
        <v>15</v>
      </c>
      <c r="H1292" t="s">
        <v>32</v>
      </c>
      <c r="I1292">
        <v>1</v>
      </c>
      <c r="J1292" s="23">
        <v>-469979</v>
      </c>
      <c r="K1292" t="s">
        <v>17</v>
      </c>
    </row>
    <row r="1293" spans="1:11" ht="15" customHeight="1" x14ac:dyDescent="0.3">
      <c r="A1293" t="s">
        <v>18</v>
      </c>
      <c r="B1293" t="s">
        <v>11</v>
      </c>
      <c r="C1293" t="s">
        <v>12</v>
      </c>
      <c r="D1293" t="s">
        <v>28</v>
      </c>
      <c r="E1293">
        <v>6</v>
      </c>
      <c r="F1293" t="s">
        <v>35</v>
      </c>
      <c r="G1293" t="s">
        <v>15</v>
      </c>
      <c r="H1293" t="s">
        <v>16</v>
      </c>
      <c r="I1293">
        <v>0</v>
      </c>
      <c r="J1293" s="23">
        <v>-119</v>
      </c>
      <c r="K1293" t="s">
        <v>17</v>
      </c>
    </row>
    <row r="1294" spans="1:11" ht="15" customHeight="1" x14ac:dyDescent="0.3">
      <c r="A1294" t="s">
        <v>18</v>
      </c>
      <c r="B1294" t="s">
        <v>19</v>
      </c>
      <c r="C1294" t="s">
        <v>24</v>
      </c>
      <c r="D1294" t="s">
        <v>20</v>
      </c>
      <c r="E1294">
        <v>5</v>
      </c>
      <c r="F1294"/>
      <c r="G1294" t="s">
        <v>31</v>
      </c>
      <c r="H1294" t="s">
        <v>16</v>
      </c>
      <c r="I1294">
        <v>1</v>
      </c>
      <c r="J1294" s="23">
        <v>1291791</v>
      </c>
      <c r="K1294">
        <v>6458955</v>
      </c>
    </row>
    <row r="1295" spans="1:11" ht="15" customHeight="1" x14ac:dyDescent="0.3">
      <c r="A1295" t="s">
        <v>18</v>
      </c>
      <c r="B1295" t="s">
        <v>11</v>
      </c>
      <c r="C1295" t="s">
        <v>12</v>
      </c>
      <c r="D1295" t="s">
        <v>25</v>
      </c>
      <c r="E1295">
        <v>2</v>
      </c>
      <c r="F1295" t="s">
        <v>39</v>
      </c>
      <c r="G1295" t="s">
        <v>15</v>
      </c>
      <c r="H1295" t="s">
        <v>16</v>
      </c>
      <c r="I1295">
        <v>0</v>
      </c>
      <c r="J1295" s="23">
        <v>-16761</v>
      </c>
      <c r="K1295" t="s">
        <v>17</v>
      </c>
    </row>
    <row r="1296" spans="1:11" ht="15" customHeight="1" x14ac:dyDescent="0.3">
      <c r="A1296" t="s">
        <v>10</v>
      </c>
      <c r="B1296" t="s">
        <v>11</v>
      </c>
      <c r="C1296" t="s">
        <v>12</v>
      </c>
      <c r="D1296" t="s">
        <v>28</v>
      </c>
      <c r="E1296">
        <v>12</v>
      </c>
      <c r="F1296" t="s">
        <v>14</v>
      </c>
      <c r="G1296" t="s">
        <v>15</v>
      </c>
      <c r="H1296" t="s">
        <v>16</v>
      </c>
      <c r="I1296">
        <v>0</v>
      </c>
      <c r="J1296" s="23">
        <v>-70560</v>
      </c>
      <c r="K1296" t="s">
        <v>17</v>
      </c>
    </row>
    <row r="1297" spans="1:11" ht="15" customHeight="1" x14ac:dyDescent="0.3">
      <c r="A1297" t="s">
        <v>18</v>
      </c>
      <c r="B1297" t="s">
        <v>44</v>
      </c>
      <c r="C1297" t="s">
        <v>24</v>
      </c>
      <c r="D1297" t="s">
        <v>28</v>
      </c>
      <c r="E1297">
        <v>0</v>
      </c>
      <c r="F1297" t="s">
        <v>38</v>
      </c>
      <c r="G1297" t="s">
        <v>15</v>
      </c>
      <c r="H1297" t="s">
        <v>16</v>
      </c>
      <c r="I1297">
        <v>0</v>
      </c>
      <c r="J1297" s="23">
        <v>49031</v>
      </c>
      <c r="K1297" t="s">
        <v>17</v>
      </c>
    </row>
    <row r="1298" spans="1:11" ht="15" customHeight="1" x14ac:dyDescent="0.3">
      <c r="A1298" t="s">
        <v>18</v>
      </c>
      <c r="B1298" t="s">
        <v>11</v>
      </c>
      <c r="C1298" t="s">
        <v>24</v>
      </c>
      <c r="D1298" t="s">
        <v>13</v>
      </c>
      <c r="E1298">
        <v>3</v>
      </c>
      <c r="F1298" t="s">
        <v>37</v>
      </c>
      <c r="G1298" t="s">
        <v>15</v>
      </c>
      <c r="H1298" t="s">
        <v>16</v>
      </c>
      <c r="I1298">
        <v>0</v>
      </c>
      <c r="J1298" s="23">
        <v>1846175</v>
      </c>
      <c r="K1298">
        <v>5538525</v>
      </c>
    </row>
    <row r="1299" spans="1:11" ht="15" customHeight="1" x14ac:dyDescent="0.3">
      <c r="A1299" t="s">
        <v>10</v>
      </c>
      <c r="B1299" t="s">
        <v>19</v>
      </c>
      <c r="C1299" t="s">
        <v>24</v>
      </c>
      <c r="D1299" t="s">
        <v>20</v>
      </c>
      <c r="E1299">
        <v>8</v>
      </c>
      <c r="F1299"/>
      <c r="G1299" t="s">
        <v>31</v>
      </c>
      <c r="H1299" t="s">
        <v>16</v>
      </c>
      <c r="I1299">
        <v>1</v>
      </c>
      <c r="J1299" s="23">
        <v>294082</v>
      </c>
      <c r="K1299">
        <v>2352656</v>
      </c>
    </row>
    <row r="1300" spans="1:11" ht="15" customHeight="1" x14ac:dyDescent="0.3">
      <c r="A1300" t="s">
        <v>22</v>
      </c>
      <c r="B1300" t="s">
        <v>19</v>
      </c>
      <c r="C1300" t="s">
        <v>24</v>
      </c>
      <c r="D1300" t="s">
        <v>20</v>
      </c>
      <c r="E1300">
        <v>15</v>
      </c>
      <c r="F1300"/>
      <c r="G1300" t="s">
        <v>15</v>
      </c>
      <c r="H1300" t="s">
        <v>32</v>
      </c>
      <c r="I1300">
        <v>1</v>
      </c>
      <c r="J1300" s="23">
        <v>90727</v>
      </c>
      <c r="K1300">
        <v>1360905</v>
      </c>
    </row>
    <row r="1301" spans="1:11" ht="15" customHeight="1" x14ac:dyDescent="0.3">
      <c r="A1301" t="s">
        <v>22</v>
      </c>
      <c r="B1301" t="s">
        <v>11</v>
      </c>
      <c r="C1301" t="s">
        <v>24</v>
      </c>
      <c r="D1301" t="s">
        <v>13</v>
      </c>
      <c r="E1301">
        <v>6</v>
      </c>
      <c r="F1301" t="s">
        <v>30</v>
      </c>
      <c r="G1301" t="s">
        <v>15</v>
      </c>
      <c r="H1301" t="s">
        <v>16</v>
      </c>
      <c r="I1301">
        <v>0</v>
      </c>
      <c r="J1301" s="23">
        <v>289554</v>
      </c>
      <c r="K1301">
        <v>1737324</v>
      </c>
    </row>
    <row r="1302" spans="1:11" ht="15" customHeight="1" x14ac:dyDescent="0.3">
      <c r="A1302" t="s">
        <v>18</v>
      </c>
      <c r="B1302" t="s">
        <v>11</v>
      </c>
      <c r="C1302" t="s">
        <v>24</v>
      </c>
      <c r="D1302" t="s">
        <v>25</v>
      </c>
      <c r="E1302">
        <v>-4</v>
      </c>
      <c r="F1302" t="s">
        <v>34</v>
      </c>
      <c r="G1302" t="s">
        <v>15</v>
      </c>
      <c r="H1302" t="s">
        <v>16</v>
      </c>
      <c r="I1302">
        <v>0</v>
      </c>
      <c r="J1302" s="23">
        <v>725</v>
      </c>
      <c r="K1302" t="s">
        <v>17</v>
      </c>
    </row>
    <row r="1303" spans="1:11" ht="15" customHeight="1" x14ac:dyDescent="0.3">
      <c r="A1303" t="s">
        <v>18</v>
      </c>
      <c r="B1303" t="s">
        <v>11</v>
      </c>
      <c r="C1303" t="s">
        <v>24</v>
      </c>
      <c r="D1303" t="s">
        <v>28</v>
      </c>
      <c r="E1303">
        <v>15</v>
      </c>
      <c r="F1303" t="s">
        <v>26</v>
      </c>
      <c r="G1303" t="s">
        <v>15</v>
      </c>
      <c r="H1303" t="s">
        <v>16</v>
      </c>
      <c r="I1303">
        <v>0</v>
      </c>
      <c r="J1303" s="23">
        <v>42812580</v>
      </c>
      <c r="K1303">
        <v>642188700</v>
      </c>
    </row>
    <row r="1304" spans="1:11" ht="15" customHeight="1" x14ac:dyDescent="0.3">
      <c r="A1304" t="s">
        <v>18</v>
      </c>
      <c r="B1304" t="s">
        <v>11</v>
      </c>
      <c r="C1304" t="s">
        <v>12</v>
      </c>
      <c r="D1304" t="s">
        <v>25</v>
      </c>
      <c r="E1304">
        <v>0</v>
      </c>
      <c r="F1304" t="s">
        <v>35</v>
      </c>
      <c r="G1304" t="s">
        <v>15</v>
      </c>
      <c r="H1304" t="s">
        <v>16</v>
      </c>
      <c r="I1304">
        <v>0</v>
      </c>
      <c r="J1304" s="23">
        <v>-124</v>
      </c>
      <c r="K1304" t="s">
        <v>17</v>
      </c>
    </row>
    <row r="1305" spans="1:11" ht="15" customHeight="1" x14ac:dyDescent="0.3">
      <c r="A1305" t="s">
        <v>18</v>
      </c>
      <c r="B1305" t="s">
        <v>19</v>
      </c>
      <c r="C1305" t="s">
        <v>24</v>
      </c>
      <c r="D1305" t="s">
        <v>20</v>
      </c>
      <c r="E1305">
        <v>24</v>
      </c>
      <c r="F1305"/>
      <c r="G1305" t="s">
        <v>31</v>
      </c>
      <c r="H1305" t="s">
        <v>32</v>
      </c>
      <c r="I1305">
        <v>1</v>
      </c>
      <c r="J1305" s="23">
        <v>273758</v>
      </c>
      <c r="K1305">
        <v>6570192</v>
      </c>
    </row>
    <row r="1306" spans="1:11" ht="15" customHeight="1" x14ac:dyDescent="0.3">
      <c r="A1306" t="s">
        <v>10</v>
      </c>
      <c r="B1306" t="s">
        <v>11</v>
      </c>
      <c r="C1306" t="s">
        <v>24</v>
      </c>
      <c r="D1306" t="s">
        <v>28</v>
      </c>
      <c r="E1306">
        <v>2</v>
      </c>
      <c r="F1306" t="s">
        <v>21</v>
      </c>
      <c r="G1306" t="s">
        <v>15</v>
      </c>
      <c r="H1306" t="s">
        <v>32</v>
      </c>
      <c r="I1306">
        <v>1</v>
      </c>
      <c r="J1306" s="23">
        <v>246617</v>
      </c>
      <c r="K1306">
        <v>493234</v>
      </c>
    </row>
    <row r="1307" spans="1:11" ht="15" customHeight="1" x14ac:dyDescent="0.3">
      <c r="A1307" t="s">
        <v>18</v>
      </c>
      <c r="B1307" t="s">
        <v>19</v>
      </c>
      <c r="C1307" t="s">
        <v>12</v>
      </c>
      <c r="D1307" t="s">
        <v>20</v>
      </c>
      <c r="E1307">
        <v>12</v>
      </c>
      <c r="F1307"/>
      <c r="G1307" t="s">
        <v>31</v>
      </c>
      <c r="H1307" t="s">
        <v>16</v>
      </c>
      <c r="I1307">
        <v>1</v>
      </c>
      <c r="J1307" s="23">
        <v>-2401</v>
      </c>
      <c r="K1307" t="s">
        <v>17</v>
      </c>
    </row>
    <row r="1308" spans="1:11" ht="15" customHeight="1" x14ac:dyDescent="0.3">
      <c r="A1308" t="s">
        <v>22</v>
      </c>
      <c r="B1308" t="s">
        <v>11</v>
      </c>
      <c r="C1308" t="s">
        <v>24</v>
      </c>
      <c r="D1308" t="s">
        <v>28</v>
      </c>
      <c r="E1308">
        <v>7</v>
      </c>
      <c r="F1308" t="s">
        <v>29</v>
      </c>
      <c r="G1308" t="s">
        <v>15</v>
      </c>
      <c r="H1308" t="s">
        <v>32</v>
      </c>
      <c r="I1308">
        <v>1</v>
      </c>
      <c r="J1308" s="23">
        <v>301089</v>
      </c>
      <c r="K1308">
        <v>2107623</v>
      </c>
    </row>
    <row r="1309" spans="1:11" ht="15" customHeight="1" x14ac:dyDescent="0.3">
      <c r="A1309" t="s">
        <v>10</v>
      </c>
      <c r="B1309" t="s">
        <v>11</v>
      </c>
      <c r="C1309" t="s">
        <v>12</v>
      </c>
      <c r="D1309" t="s">
        <v>25</v>
      </c>
      <c r="E1309">
        <v>4</v>
      </c>
      <c r="F1309" t="s">
        <v>21</v>
      </c>
      <c r="G1309" t="s">
        <v>15</v>
      </c>
      <c r="H1309" t="s">
        <v>16</v>
      </c>
      <c r="I1309">
        <v>0</v>
      </c>
      <c r="J1309" s="23">
        <v>-116766</v>
      </c>
      <c r="K1309" t="s">
        <v>17</v>
      </c>
    </row>
    <row r="1310" spans="1:11" ht="15" customHeight="1" x14ac:dyDescent="0.3">
      <c r="A1310" t="s">
        <v>18</v>
      </c>
      <c r="B1310" t="s">
        <v>11</v>
      </c>
      <c r="C1310" t="s">
        <v>12</v>
      </c>
      <c r="D1310" t="s">
        <v>13</v>
      </c>
      <c r="E1310">
        <v>3</v>
      </c>
      <c r="F1310" t="s">
        <v>27</v>
      </c>
      <c r="G1310" t="s">
        <v>15</v>
      </c>
      <c r="H1310" t="s">
        <v>16</v>
      </c>
      <c r="I1310">
        <v>0</v>
      </c>
      <c r="J1310" s="23">
        <v>-8255</v>
      </c>
      <c r="K1310" t="s">
        <v>17</v>
      </c>
    </row>
    <row r="1311" spans="1:11" ht="15" customHeight="1" x14ac:dyDescent="0.3">
      <c r="A1311" t="s">
        <v>18</v>
      </c>
      <c r="B1311" t="s">
        <v>11</v>
      </c>
      <c r="C1311" t="s">
        <v>24</v>
      </c>
      <c r="D1311" t="s">
        <v>28</v>
      </c>
      <c r="E1311">
        <v>15</v>
      </c>
      <c r="F1311" t="s">
        <v>37</v>
      </c>
      <c r="G1311" t="s">
        <v>15</v>
      </c>
      <c r="H1311" t="s">
        <v>16</v>
      </c>
      <c r="I1311">
        <v>0</v>
      </c>
      <c r="J1311" s="23">
        <v>344847</v>
      </c>
      <c r="K1311">
        <v>5172705</v>
      </c>
    </row>
    <row r="1312" spans="1:11" ht="15" customHeight="1" x14ac:dyDescent="0.3">
      <c r="A1312" t="s">
        <v>22</v>
      </c>
      <c r="B1312" t="s">
        <v>11</v>
      </c>
      <c r="C1312" t="s">
        <v>24</v>
      </c>
      <c r="D1312" t="s">
        <v>28</v>
      </c>
      <c r="E1312">
        <v>6</v>
      </c>
      <c r="F1312" t="s">
        <v>29</v>
      </c>
      <c r="G1312" t="s">
        <v>15</v>
      </c>
      <c r="H1312" t="s">
        <v>32</v>
      </c>
      <c r="I1312">
        <v>1</v>
      </c>
      <c r="J1312" s="23">
        <v>1571117</v>
      </c>
      <c r="K1312">
        <v>9426702</v>
      </c>
    </row>
    <row r="1313" spans="1:11" ht="15" customHeight="1" x14ac:dyDescent="0.3">
      <c r="A1313" t="s">
        <v>10</v>
      </c>
      <c r="B1313" t="s">
        <v>19</v>
      </c>
      <c r="C1313" t="s">
        <v>24</v>
      </c>
      <c r="D1313" t="s">
        <v>20</v>
      </c>
      <c r="E1313">
        <v>4</v>
      </c>
      <c r="F1313"/>
      <c r="G1313" t="s">
        <v>31</v>
      </c>
      <c r="H1313" t="s">
        <v>16</v>
      </c>
      <c r="I1313">
        <v>1</v>
      </c>
      <c r="J1313" s="23">
        <v>124487</v>
      </c>
      <c r="K1313">
        <v>497948</v>
      </c>
    </row>
    <row r="1314" spans="1:11" ht="15" customHeight="1" x14ac:dyDescent="0.3">
      <c r="A1314" t="s">
        <v>18</v>
      </c>
      <c r="B1314" t="s">
        <v>11</v>
      </c>
      <c r="C1314" t="s">
        <v>12</v>
      </c>
      <c r="D1314" t="s">
        <v>13</v>
      </c>
      <c r="E1314">
        <v>5</v>
      </c>
      <c r="F1314" t="s">
        <v>36</v>
      </c>
      <c r="G1314" t="s">
        <v>15</v>
      </c>
      <c r="H1314" t="s">
        <v>16</v>
      </c>
      <c r="I1314">
        <v>0</v>
      </c>
      <c r="J1314" s="23">
        <v>-21704</v>
      </c>
      <c r="K1314" t="s">
        <v>17</v>
      </c>
    </row>
    <row r="1315" spans="1:11" ht="15" customHeight="1" x14ac:dyDescent="0.3">
      <c r="A1315" t="s">
        <v>22</v>
      </c>
      <c r="B1315" t="s">
        <v>11</v>
      </c>
      <c r="C1315" t="s">
        <v>24</v>
      </c>
      <c r="D1315" t="s">
        <v>25</v>
      </c>
      <c r="E1315">
        <v>-4</v>
      </c>
      <c r="F1315" t="s">
        <v>26</v>
      </c>
      <c r="G1315" t="s">
        <v>15</v>
      </c>
      <c r="H1315" t="s">
        <v>16</v>
      </c>
      <c r="I1315">
        <v>0</v>
      </c>
      <c r="J1315" s="23">
        <v>2154</v>
      </c>
      <c r="K1315" t="s">
        <v>17</v>
      </c>
    </row>
    <row r="1316" spans="1:11" ht="15" customHeight="1" x14ac:dyDescent="0.3">
      <c r="A1316" t="s">
        <v>10</v>
      </c>
      <c r="B1316" t="s">
        <v>11</v>
      </c>
      <c r="C1316" t="s">
        <v>24</v>
      </c>
      <c r="D1316" t="s">
        <v>28</v>
      </c>
      <c r="E1316">
        <v>-4</v>
      </c>
      <c r="F1316" t="s">
        <v>29</v>
      </c>
      <c r="G1316" t="s">
        <v>15</v>
      </c>
      <c r="H1316" t="s">
        <v>16</v>
      </c>
      <c r="I1316">
        <v>0</v>
      </c>
      <c r="J1316" s="23">
        <v>976</v>
      </c>
      <c r="K1316" t="s">
        <v>17</v>
      </c>
    </row>
    <row r="1317" spans="1:11" ht="15" customHeight="1" x14ac:dyDescent="0.3">
      <c r="A1317" t="s">
        <v>18</v>
      </c>
      <c r="B1317" t="s">
        <v>11</v>
      </c>
      <c r="C1317" t="s">
        <v>12</v>
      </c>
      <c r="D1317" t="s">
        <v>28</v>
      </c>
      <c r="E1317">
        <v>1</v>
      </c>
      <c r="F1317" t="s">
        <v>34</v>
      </c>
      <c r="G1317" t="s">
        <v>15</v>
      </c>
      <c r="H1317" t="s">
        <v>32</v>
      </c>
      <c r="I1317">
        <v>1</v>
      </c>
      <c r="J1317" s="23">
        <v>-374</v>
      </c>
      <c r="K1317" t="s">
        <v>17</v>
      </c>
    </row>
    <row r="1318" spans="1:11" ht="15" customHeight="1" x14ac:dyDescent="0.3">
      <c r="A1318" t="s">
        <v>22</v>
      </c>
      <c r="B1318" t="s">
        <v>19</v>
      </c>
      <c r="C1318" t="s">
        <v>12</v>
      </c>
      <c r="D1318" t="s">
        <v>20</v>
      </c>
      <c r="E1318">
        <v>16</v>
      </c>
      <c r="F1318"/>
      <c r="G1318" t="s">
        <v>15</v>
      </c>
      <c r="H1318" t="s">
        <v>32</v>
      </c>
      <c r="I1318">
        <v>1</v>
      </c>
      <c r="J1318" s="23">
        <v>-61709</v>
      </c>
      <c r="K1318" t="s">
        <v>17</v>
      </c>
    </row>
    <row r="1319" spans="1:11" ht="15" customHeight="1" x14ac:dyDescent="0.3">
      <c r="A1319" t="s">
        <v>18</v>
      </c>
      <c r="B1319" t="s">
        <v>11</v>
      </c>
      <c r="C1319" t="s">
        <v>24</v>
      </c>
      <c r="D1319" t="s">
        <v>25</v>
      </c>
      <c r="E1319">
        <v>0</v>
      </c>
      <c r="F1319" t="s">
        <v>42</v>
      </c>
      <c r="G1319" t="s">
        <v>15</v>
      </c>
      <c r="H1319" t="s">
        <v>16</v>
      </c>
      <c r="I1319">
        <v>0</v>
      </c>
      <c r="J1319" s="23">
        <v>3874</v>
      </c>
      <c r="K1319" t="s">
        <v>17</v>
      </c>
    </row>
    <row r="1320" spans="1:11" ht="15" customHeight="1" x14ac:dyDescent="0.3">
      <c r="A1320" t="s">
        <v>10</v>
      </c>
      <c r="B1320" t="s">
        <v>11</v>
      </c>
      <c r="C1320" t="s">
        <v>24</v>
      </c>
      <c r="D1320" t="s">
        <v>28</v>
      </c>
      <c r="E1320">
        <v>12</v>
      </c>
      <c r="F1320" t="s">
        <v>29</v>
      </c>
      <c r="G1320" t="s">
        <v>15</v>
      </c>
      <c r="H1320" t="s">
        <v>32</v>
      </c>
      <c r="I1320">
        <v>1</v>
      </c>
      <c r="J1320" s="23">
        <v>1214861</v>
      </c>
      <c r="K1320">
        <v>14578332</v>
      </c>
    </row>
    <row r="1321" spans="1:11" ht="15" customHeight="1" x14ac:dyDescent="0.3">
      <c r="A1321" t="s">
        <v>22</v>
      </c>
      <c r="B1321" t="s">
        <v>11</v>
      </c>
      <c r="C1321" t="s">
        <v>24</v>
      </c>
      <c r="D1321" t="s">
        <v>13</v>
      </c>
      <c r="E1321">
        <v>3</v>
      </c>
      <c r="F1321" t="s">
        <v>35</v>
      </c>
      <c r="G1321" t="s">
        <v>15</v>
      </c>
      <c r="H1321" t="s">
        <v>16</v>
      </c>
      <c r="I1321">
        <v>0</v>
      </c>
      <c r="J1321" s="23">
        <v>294341</v>
      </c>
      <c r="K1321">
        <v>883023</v>
      </c>
    </row>
    <row r="1322" spans="1:11" ht="15" customHeight="1" x14ac:dyDescent="0.3">
      <c r="A1322" t="s">
        <v>10</v>
      </c>
      <c r="B1322" t="s">
        <v>19</v>
      </c>
      <c r="C1322" t="s">
        <v>24</v>
      </c>
      <c r="D1322" t="s">
        <v>20</v>
      </c>
      <c r="E1322">
        <v>27</v>
      </c>
      <c r="F1322"/>
      <c r="G1322" t="s">
        <v>15</v>
      </c>
      <c r="H1322" t="s">
        <v>32</v>
      </c>
      <c r="I1322">
        <v>1</v>
      </c>
      <c r="J1322" s="23">
        <v>593761</v>
      </c>
      <c r="K1322">
        <v>16031547</v>
      </c>
    </row>
    <row r="1323" spans="1:11" ht="15" customHeight="1" x14ac:dyDescent="0.3">
      <c r="A1323" t="s">
        <v>22</v>
      </c>
      <c r="B1323" t="s">
        <v>19</v>
      </c>
      <c r="C1323" t="s">
        <v>12</v>
      </c>
      <c r="D1323" t="s">
        <v>20</v>
      </c>
      <c r="E1323">
        <v>13</v>
      </c>
      <c r="F1323"/>
      <c r="G1323" t="s">
        <v>31</v>
      </c>
      <c r="H1323" t="s">
        <v>16</v>
      </c>
      <c r="I1323">
        <v>1</v>
      </c>
      <c r="J1323" s="23">
        <v>-16224</v>
      </c>
      <c r="K1323" t="s">
        <v>17</v>
      </c>
    </row>
    <row r="1324" spans="1:11" ht="15" customHeight="1" x14ac:dyDescent="0.3">
      <c r="A1324" t="s">
        <v>22</v>
      </c>
      <c r="B1324" t="s">
        <v>11</v>
      </c>
      <c r="C1324" t="s">
        <v>24</v>
      </c>
      <c r="D1324" t="s">
        <v>28</v>
      </c>
      <c r="E1324">
        <v>-1</v>
      </c>
      <c r="F1324" t="s">
        <v>34</v>
      </c>
      <c r="G1324" t="s">
        <v>15</v>
      </c>
      <c r="H1324" t="s">
        <v>16</v>
      </c>
      <c r="I1324">
        <v>0</v>
      </c>
      <c r="J1324" s="23">
        <v>139621</v>
      </c>
      <c r="K1324" t="s">
        <v>17</v>
      </c>
    </row>
    <row r="1325" spans="1:11" ht="15" customHeight="1" x14ac:dyDescent="0.3">
      <c r="A1325" t="s">
        <v>22</v>
      </c>
      <c r="B1325" t="s">
        <v>11</v>
      </c>
      <c r="C1325" t="s">
        <v>12</v>
      </c>
      <c r="D1325" t="s">
        <v>13</v>
      </c>
      <c r="E1325">
        <v>3</v>
      </c>
      <c r="F1325" t="s">
        <v>27</v>
      </c>
      <c r="G1325" t="s">
        <v>15</v>
      </c>
      <c r="H1325" t="s">
        <v>16</v>
      </c>
      <c r="I1325">
        <v>0</v>
      </c>
      <c r="J1325" s="23">
        <v>-58807</v>
      </c>
      <c r="K1325" t="s">
        <v>17</v>
      </c>
    </row>
    <row r="1326" spans="1:11" ht="15" customHeight="1" x14ac:dyDescent="0.3">
      <c r="A1326" t="s">
        <v>22</v>
      </c>
      <c r="B1326" t="s">
        <v>19</v>
      </c>
      <c r="C1326" t="s">
        <v>12</v>
      </c>
      <c r="D1326" t="s">
        <v>20</v>
      </c>
      <c r="E1326">
        <v>20</v>
      </c>
      <c r="F1326"/>
      <c r="G1326" t="s">
        <v>15</v>
      </c>
      <c r="H1326" t="s">
        <v>16</v>
      </c>
      <c r="I1326">
        <v>0</v>
      </c>
      <c r="J1326" s="23">
        <v>-2192565</v>
      </c>
      <c r="K1326" t="s">
        <v>17</v>
      </c>
    </row>
    <row r="1327" spans="1:11" ht="15" customHeight="1" x14ac:dyDescent="0.3">
      <c r="A1327" t="s">
        <v>10</v>
      </c>
      <c r="B1327" t="s">
        <v>11</v>
      </c>
      <c r="C1327" t="s">
        <v>12</v>
      </c>
      <c r="D1327" t="s">
        <v>25</v>
      </c>
      <c r="E1327">
        <v>3</v>
      </c>
      <c r="F1327" t="s">
        <v>36</v>
      </c>
      <c r="G1327" t="s">
        <v>15</v>
      </c>
      <c r="H1327" t="s">
        <v>16</v>
      </c>
      <c r="I1327">
        <v>0</v>
      </c>
      <c r="J1327" s="23">
        <v>-1179</v>
      </c>
      <c r="K1327" t="s">
        <v>17</v>
      </c>
    </row>
    <row r="1328" spans="1:11" ht="15" customHeight="1" x14ac:dyDescent="0.3">
      <c r="A1328" t="s">
        <v>10</v>
      </c>
      <c r="B1328" t="s">
        <v>19</v>
      </c>
      <c r="C1328" t="s">
        <v>24</v>
      </c>
      <c r="D1328" t="s">
        <v>28</v>
      </c>
      <c r="E1328">
        <v>12</v>
      </c>
      <c r="F1328"/>
      <c r="G1328" t="s">
        <v>15</v>
      </c>
      <c r="H1328" t="s">
        <v>16</v>
      </c>
      <c r="I1328">
        <v>0</v>
      </c>
      <c r="J1328" s="23">
        <v>453405</v>
      </c>
      <c r="K1328">
        <v>5440860</v>
      </c>
    </row>
    <row r="1329" spans="1:11" ht="15" customHeight="1" x14ac:dyDescent="0.3">
      <c r="A1329" t="s">
        <v>18</v>
      </c>
      <c r="B1329" t="s">
        <v>11</v>
      </c>
      <c r="C1329" t="s">
        <v>24</v>
      </c>
      <c r="D1329" t="s">
        <v>28</v>
      </c>
      <c r="E1329">
        <v>7</v>
      </c>
      <c r="F1329" t="s">
        <v>34</v>
      </c>
      <c r="G1329" t="s">
        <v>15</v>
      </c>
      <c r="H1329" t="s">
        <v>16</v>
      </c>
      <c r="I1329">
        <v>0</v>
      </c>
      <c r="J1329" s="23">
        <v>7165610</v>
      </c>
      <c r="K1329">
        <v>50159270</v>
      </c>
    </row>
    <row r="1330" spans="1:11" ht="15" customHeight="1" x14ac:dyDescent="0.3">
      <c r="A1330" t="s">
        <v>22</v>
      </c>
      <c r="B1330" t="s">
        <v>11</v>
      </c>
      <c r="C1330" t="s">
        <v>12</v>
      </c>
      <c r="D1330" t="s">
        <v>13</v>
      </c>
      <c r="E1330">
        <v>13</v>
      </c>
      <c r="F1330" t="s">
        <v>34</v>
      </c>
      <c r="G1330" t="s">
        <v>15</v>
      </c>
      <c r="H1330" t="s">
        <v>16</v>
      </c>
      <c r="I1330">
        <v>0</v>
      </c>
      <c r="J1330" s="23">
        <v>-48513</v>
      </c>
      <c r="K1330" t="s">
        <v>17</v>
      </c>
    </row>
    <row r="1331" spans="1:11" ht="15" customHeight="1" x14ac:dyDescent="0.3">
      <c r="A1331" t="s">
        <v>18</v>
      </c>
      <c r="B1331" t="s">
        <v>11</v>
      </c>
      <c r="C1331" t="s">
        <v>24</v>
      </c>
      <c r="D1331" t="s">
        <v>28</v>
      </c>
      <c r="E1331">
        <v>15</v>
      </c>
      <c r="F1331" t="s">
        <v>42</v>
      </c>
      <c r="G1331" t="s">
        <v>15</v>
      </c>
      <c r="H1331" t="s">
        <v>16</v>
      </c>
      <c r="I1331">
        <v>0</v>
      </c>
      <c r="J1331" s="23">
        <v>1391955</v>
      </c>
      <c r="K1331">
        <v>20879325</v>
      </c>
    </row>
    <row r="1332" spans="1:11" ht="15" customHeight="1" x14ac:dyDescent="0.3">
      <c r="A1332" t="s">
        <v>18</v>
      </c>
      <c r="B1332" t="s">
        <v>19</v>
      </c>
      <c r="C1332" t="s">
        <v>12</v>
      </c>
      <c r="D1332" t="s">
        <v>20</v>
      </c>
      <c r="E1332">
        <v>42</v>
      </c>
      <c r="F1332"/>
      <c r="G1332" t="s">
        <v>31</v>
      </c>
      <c r="H1332" t="s">
        <v>16</v>
      </c>
      <c r="I1332">
        <v>1</v>
      </c>
      <c r="J1332" s="23">
        <v>-230</v>
      </c>
      <c r="K1332" t="s">
        <v>17</v>
      </c>
    </row>
    <row r="1333" spans="1:11" ht="15" customHeight="1" x14ac:dyDescent="0.3">
      <c r="A1333" t="s">
        <v>10</v>
      </c>
      <c r="B1333" t="s">
        <v>11</v>
      </c>
      <c r="C1333" t="s">
        <v>24</v>
      </c>
      <c r="D1333" t="s">
        <v>25</v>
      </c>
      <c r="E1333">
        <v>4</v>
      </c>
      <c r="F1333" t="s">
        <v>40</v>
      </c>
      <c r="G1333" t="s">
        <v>15</v>
      </c>
      <c r="H1333" t="s">
        <v>16</v>
      </c>
      <c r="I1333">
        <v>0</v>
      </c>
      <c r="J1333" s="23">
        <v>3302918</v>
      </c>
      <c r="K1333">
        <v>13211672</v>
      </c>
    </row>
    <row r="1334" spans="1:11" ht="15" customHeight="1" x14ac:dyDescent="0.3">
      <c r="A1334" t="s">
        <v>10</v>
      </c>
      <c r="B1334" t="s">
        <v>11</v>
      </c>
      <c r="C1334" t="s">
        <v>12</v>
      </c>
      <c r="D1334" t="s">
        <v>13</v>
      </c>
      <c r="E1334">
        <v>0</v>
      </c>
      <c r="F1334" t="s">
        <v>30</v>
      </c>
      <c r="G1334" t="s">
        <v>15</v>
      </c>
      <c r="H1334" t="s">
        <v>16</v>
      </c>
      <c r="I1334">
        <v>0</v>
      </c>
      <c r="J1334" s="23">
        <v>-21819</v>
      </c>
      <c r="K1334" t="s">
        <v>17</v>
      </c>
    </row>
    <row r="1335" spans="1:11" ht="15" customHeight="1" x14ac:dyDescent="0.3">
      <c r="A1335" t="s">
        <v>22</v>
      </c>
      <c r="B1335" t="s">
        <v>11</v>
      </c>
      <c r="C1335" t="s">
        <v>12</v>
      </c>
      <c r="D1335" t="s">
        <v>13</v>
      </c>
      <c r="E1335">
        <v>3</v>
      </c>
      <c r="F1335" t="s">
        <v>30</v>
      </c>
      <c r="G1335" t="s">
        <v>15</v>
      </c>
      <c r="H1335" t="s">
        <v>16</v>
      </c>
      <c r="I1335">
        <v>0</v>
      </c>
      <c r="J1335" s="23">
        <v>-786060</v>
      </c>
      <c r="K1335" t="s">
        <v>17</v>
      </c>
    </row>
    <row r="1336" spans="1:11" ht="15" customHeight="1" x14ac:dyDescent="0.3">
      <c r="A1336" t="s">
        <v>18</v>
      </c>
      <c r="B1336" t="s">
        <v>11</v>
      </c>
      <c r="C1336" t="s">
        <v>24</v>
      </c>
      <c r="D1336" t="s">
        <v>25</v>
      </c>
      <c r="E1336">
        <v>3</v>
      </c>
      <c r="F1336" t="s">
        <v>30</v>
      </c>
      <c r="G1336" t="s">
        <v>15</v>
      </c>
      <c r="H1336" t="s">
        <v>16</v>
      </c>
      <c r="I1336">
        <v>0</v>
      </c>
      <c r="J1336" s="23">
        <v>4866748</v>
      </c>
      <c r="K1336">
        <v>14600244</v>
      </c>
    </row>
    <row r="1337" spans="1:11" ht="15" customHeight="1" x14ac:dyDescent="0.3">
      <c r="A1337" t="s">
        <v>18</v>
      </c>
      <c r="B1337" t="s">
        <v>19</v>
      </c>
      <c r="C1337" t="s">
        <v>12</v>
      </c>
      <c r="D1337" t="s">
        <v>20</v>
      </c>
      <c r="E1337">
        <v>8</v>
      </c>
      <c r="F1337"/>
      <c r="G1337" t="s">
        <v>31</v>
      </c>
      <c r="H1337" t="s">
        <v>16</v>
      </c>
      <c r="I1337">
        <v>1</v>
      </c>
      <c r="J1337" s="23">
        <v>-1044</v>
      </c>
      <c r="K1337" t="s">
        <v>17</v>
      </c>
    </row>
    <row r="1338" spans="1:11" ht="15" customHeight="1" x14ac:dyDescent="0.3">
      <c r="A1338" t="s">
        <v>18</v>
      </c>
      <c r="B1338" t="s">
        <v>11</v>
      </c>
      <c r="C1338" t="s">
        <v>12</v>
      </c>
      <c r="D1338" t="s">
        <v>28</v>
      </c>
      <c r="E1338">
        <v>15</v>
      </c>
      <c r="F1338" t="s">
        <v>29</v>
      </c>
      <c r="G1338" t="s">
        <v>15</v>
      </c>
      <c r="H1338" t="s">
        <v>32</v>
      </c>
      <c r="I1338">
        <v>1</v>
      </c>
      <c r="J1338" s="23">
        <v>-6693</v>
      </c>
      <c r="K1338" t="s">
        <v>17</v>
      </c>
    </row>
    <row r="1339" spans="1:11" ht="15" customHeight="1" x14ac:dyDescent="0.3">
      <c r="A1339" t="s">
        <v>18</v>
      </c>
      <c r="B1339" t="s">
        <v>11</v>
      </c>
      <c r="C1339" t="s">
        <v>24</v>
      </c>
      <c r="D1339" t="s">
        <v>28</v>
      </c>
      <c r="E1339">
        <v>-1</v>
      </c>
      <c r="F1339" t="s">
        <v>33</v>
      </c>
      <c r="G1339" t="s">
        <v>15</v>
      </c>
      <c r="H1339" t="s">
        <v>32</v>
      </c>
      <c r="I1339">
        <v>1</v>
      </c>
      <c r="J1339" s="23">
        <v>496125</v>
      </c>
      <c r="K1339" t="s">
        <v>17</v>
      </c>
    </row>
    <row r="1340" spans="1:11" ht="15" customHeight="1" x14ac:dyDescent="0.3">
      <c r="A1340" t="s">
        <v>10</v>
      </c>
      <c r="B1340" t="s">
        <v>11</v>
      </c>
      <c r="C1340" t="s">
        <v>24</v>
      </c>
      <c r="D1340" t="s">
        <v>13</v>
      </c>
      <c r="E1340">
        <v>1</v>
      </c>
      <c r="F1340" t="s">
        <v>39</v>
      </c>
      <c r="G1340" t="s">
        <v>15</v>
      </c>
      <c r="H1340" t="s">
        <v>16</v>
      </c>
      <c r="I1340">
        <v>0</v>
      </c>
      <c r="J1340" s="23">
        <v>1925145</v>
      </c>
      <c r="K1340">
        <v>1925145</v>
      </c>
    </row>
    <row r="1341" spans="1:11" ht="15" customHeight="1" x14ac:dyDescent="0.3">
      <c r="A1341" t="s">
        <v>22</v>
      </c>
      <c r="B1341" t="s">
        <v>19</v>
      </c>
      <c r="C1341" t="s">
        <v>12</v>
      </c>
      <c r="D1341" t="s">
        <v>20</v>
      </c>
      <c r="E1341">
        <v>0</v>
      </c>
      <c r="F1341"/>
      <c r="G1341" t="s">
        <v>15</v>
      </c>
      <c r="H1341" t="s">
        <v>16</v>
      </c>
      <c r="I1341">
        <v>0</v>
      </c>
      <c r="J1341" s="23">
        <v>-38278</v>
      </c>
      <c r="K1341" t="s">
        <v>17</v>
      </c>
    </row>
    <row r="1342" spans="1:11" ht="15" customHeight="1" x14ac:dyDescent="0.3">
      <c r="A1342" t="s">
        <v>22</v>
      </c>
      <c r="B1342" t="s">
        <v>11</v>
      </c>
      <c r="C1342" t="s">
        <v>24</v>
      </c>
      <c r="D1342" t="s">
        <v>25</v>
      </c>
      <c r="E1342">
        <v>1</v>
      </c>
      <c r="F1342" t="s">
        <v>27</v>
      </c>
      <c r="G1342" t="s">
        <v>15</v>
      </c>
      <c r="H1342" t="s">
        <v>16</v>
      </c>
      <c r="I1342">
        <v>0</v>
      </c>
      <c r="J1342" s="23">
        <v>25782</v>
      </c>
      <c r="K1342">
        <v>25782</v>
      </c>
    </row>
    <row r="1343" spans="1:11" ht="15" customHeight="1" x14ac:dyDescent="0.3">
      <c r="A1343" t="s">
        <v>18</v>
      </c>
      <c r="B1343" t="s">
        <v>11</v>
      </c>
      <c r="C1343" t="s">
        <v>24</v>
      </c>
      <c r="D1343" t="s">
        <v>13</v>
      </c>
      <c r="E1343">
        <v>8</v>
      </c>
      <c r="F1343" t="s">
        <v>40</v>
      </c>
      <c r="G1343" t="s">
        <v>15</v>
      </c>
      <c r="H1343" t="s">
        <v>16</v>
      </c>
      <c r="I1343">
        <v>0</v>
      </c>
      <c r="J1343" s="23">
        <v>44801335</v>
      </c>
      <c r="K1343">
        <v>358410680</v>
      </c>
    </row>
    <row r="1344" spans="1:11" ht="15" customHeight="1" x14ac:dyDescent="0.3">
      <c r="A1344" t="s">
        <v>22</v>
      </c>
      <c r="B1344" t="s">
        <v>11</v>
      </c>
      <c r="C1344" t="s">
        <v>24</v>
      </c>
      <c r="D1344" t="s">
        <v>13</v>
      </c>
      <c r="E1344">
        <v>7</v>
      </c>
      <c r="F1344" t="s">
        <v>26</v>
      </c>
      <c r="G1344" t="s">
        <v>15</v>
      </c>
      <c r="H1344" t="s">
        <v>16</v>
      </c>
      <c r="I1344">
        <v>0</v>
      </c>
      <c r="J1344" s="23">
        <v>369167</v>
      </c>
      <c r="K1344">
        <v>2584169</v>
      </c>
    </row>
    <row r="1345" spans="1:11" ht="15" customHeight="1" x14ac:dyDescent="0.3">
      <c r="A1345" t="s">
        <v>18</v>
      </c>
      <c r="B1345" t="s">
        <v>11</v>
      </c>
      <c r="C1345" t="s">
        <v>24</v>
      </c>
      <c r="D1345" t="s">
        <v>13</v>
      </c>
      <c r="E1345">
        <v>6</v>
      </c>
      <c r="F1345" t="s">
        <v>45</v>
      </c>
      <c r="G1345" t="s">
        <v>15</v>
      </c>
      <c r="H1345" t="s">
        <v>16</v>
      </c>
      <c r="I1345">
        <v>0</v>
      </c>
      <c r="J1345" s="23">
        <v>2072508</v>
      </c>
      <c r="K1345">
        <v>12435048</v>
      </c>
    </row>
    <row r="1346" spans="1:11" ht="15" customHeight="1" x14ac:dyDescent="0.3">
      <c r="A1346" t="s">
        <v>18</v>
      </c>
      <c r="B1346" t="s">
        <v>11</v>
      </c>
      <c r="C1346" t="s">
        <v>24</v>
      </c>
      <c r="D1346" t="s">
        <v>13</v>
      </c>
      <c r="E1346">
        <v>2</v>
      </c>
      <c r="F1346" t="s">
        <v>21</v>
      </c>
      <c r="G1346" t="s">
        <v>15</v>
      </c>
      <c r="H1346" t="s">
        <v>16</v>
      </c>
      <c r="I1346">
        <v>0</v>
      </c>
      <c r="J1346" s="23">
        <v>37442859</v>
      </c>
      <c r="K1346">
        <v>74885718</v>
      </c>
    </row>
    <row r="1347" spans="1:11" ht="15" customHeight="1" x14ac:dyDescent="0.3">
      <c r="A1347" t="s">
        <v>18</v>
      </c>
      <c r="B1347" t="s">
        <v>11</v>
      </c>
      <c r="C1347" t="s">
        <v>12</v>
      </c>
      <c r="D1347" t="s">
        <v>28</v>
      </c>
      <c r="E1347">
        <v>12</v>
      </c>
      <c r="F1347" t="s">
        <v>37</v>
      </c>
      <c r="G1347" t="s">
        <v>15</v>
      </c>
      <c r="H1347" t="s">
        <v>16</v>
      </c>
      <c r="I1347">
        <v>0</v>
      </c>
      <c r="J1347" s="23">
        <v>-353</v>
      </c>
      <c r="K1347" t="s">
        <v>17</v>
      </c>
    </row>
    <row r="1348" spans="1:11" ht="15" customHeight="1" x14ac:dyDescent="0.3">
      <c r="A1348" t="s">
        <v>10</v>
      </c>
      <c r="B1348" t="s">
        <v>11</v>
      </c>
      <c r="C1348" t="s">
        <v>12</v>
      </c>
      <c r="D1348" t="s">
        <v>25</v>
      </c>
      <c r="E1348">
        <v>6</v>
      </c>
      <c r="F1348" t="s">
        <v>37</v>
      </c>
      <c r="G1348" t="s">
        <v>15</v>
      </c>
      <c r="H1348" t="s">
        <v>16</v>
      </c>
      <c r="I1348">
        <v>0</v>
      </c>
      <c r="J1348" s="23">
        <v>-5364</v>
      </c>
      <c r="K1348" t="s">
        <v>17</v>
      </c>
    </row>
    <row r="1349" spans="1:11" ht="15" customHeight="1" x14ac:dyDescent="0.3">
      <c r="A1349" t="s">
        <v>10</v>
      </c>
      <c r="B1349" t="s">
        <v>11</v>
      </c>
      <c r="C1349" t="s">
        <v>24</v>
      </c>
      <c r="D1349" t="s">
        <v>28</v>
      </c>
      <c r="E1349">
        <v>12</v>
      </c>
      <c r="F1349" t="s">
        <v>27</v>
      </c>
      <c r="G1349" t="s">
        <v>15</v>
      </c>
      <c r="H1349" t="s">
        <v>16</v>
      </c>
      <c r="I1349">
        <v>0</v>
      </c>
      <c r="J1349" s="23">
        <v>245025</v>
      </c>
      <c r="K1349">
        <v>2940300</v>
      </c>
    </row>
    <row r="1350" spans="1:11" ht="15" customHeight="1" x14ac:dyDescent="0.3">
      <c r="A1350" t="s">
        <v>10</v>
      </c>
      <c r="B1350" t="s">
        <v>19</v>
      </c>
      <c r="C1350" t="s">
        <v>24</v>
      </c>
      <c r="D1350" t="s">
        <v>20</v>
      </c>
      <c r="E1350">
        <v>15</v>
      </c>
      <c r="F1350"/>
      <c r="G1350" t="s">
        <v>31</v>
      </c>
      <c r="H1350" t="s">
        <v>16</v>
      </c>
      <c r="I1350">
        <v>1</v>
      </c>
      <c r="J1350" s="23">
        <v>435070</v>
      </c>
      <c r="K1350">
        <v>6526050</v>
      </c>
    </row>
    <row r="1351" spans="1:11" ht="15" customHeight="1" x14ac:dyDescent="0.3">
      <c r="A1351" t="s">
        <v>18</v>
      </c>
      <c r="B1351" t="s">
        <v>19</v>
      </c>
      <c r="C1351" t="s">
        <v>24</v>
      </c>
      <c r="D1351" t="s">
        <v>20</v>
      </c>
      <c r="E1351">
        <v>-1</v>
      </c>
      <c r="F1351"/>
      <c r="G1351" t="s">
        <v>15</v>
      </c>
      <c r="H1351" t="s">
        <v>16</v>
      </c>
      <c r="I1351">
        <v>0</v>
      </c>
      <c r="J1351" s="23">
        <v>103722</v>
      </c>
      <c r="K1351" t="s">
        <v>17</v>
      </c>
    </row>
    <row r="1352" spans="1:11" ht="15" customHeight="1" x14ac:dyDescent="0.3">
      <c r="A1352" t="s">
        <v>18</v>
      </c>
      <c r="B1352" t="s">
        <v>11</v>
      </c>
      <c r="C1352" t="s">
        <v>24</v>
      </c>
      <c r="D1352" t="s">
        <v>13</v>
      </c>
      <c r="E1352">
        <v>3</v>
      </c>
      <c r="F1352" t="s">
        <v>42</v>
      </c>
      <c r="G1352" t="s">
        <v>15</v>
      </c>
      <c r="H1352" t="s">
        <v>16</v>
      </c>
      <c r="I1352">
        <v>0</v>
      </c>
      <c r="J1352" s="23">
        <v>1809073</v>
      </c>
      <c r="K1352">
        <v>5427219</v>
      </c>
    </row>
    <row r="1353" spans="1:11" ht="15" customHeight="1" x14ac:dyDescent="0.3">
      <c r="A1353" t="s">
        <v>18</v>
      </c>
      <c r="B1353" t="s">
        <v>19</v>
      </c>
      <c r="C1353" t="s">
        <v>24</v>
      </c>
      <c r="D1353" t="s">
        <v>20</v>
      </c>
      <c r="E1353">
        <v>40</v>
      </c>
      <c r="F1353"/>
      <c r="G1353" t="s">
        <v>15</v>
      </c>
      <c r="H1353" t="s">
        <v>32</v>
      </c>
      <c r="I1353">
        <v>1</v>
      </c>
      <c r="J1353" s="23">
        <v>344208</v>
      </c>
      <c r="K1353">
        <v>13768320</v>
      </c>
    </row>
    <row r="1354" spans="1:11" ht="15" customHeight="1" x14ac:dyDescent="0.3">
      <c r="A1354" t="s">
        <v>10</v>
      </c>
      <c r="B1354" t="s">
        <v>11</v>
      </c>
      <c r="C1354" t="s">
        <v>12</v>
      </c>
      <c r="D1354" t="s">
        <v>13</v>
      </c>
      <c r="E1354">
        <v>1</v>
      </c>
      <c r="F1354" t="s">
        <v>40</v>
      </c>
      <c r="G1354" t="s">
        <v>15</v>
      </c>
      <c r="H1354" t="s">
        <v>16</v>
      </c>
      <c r="I1354">
        <v>0</v>
      </c>
      <c r="J1354" s="23">
        <v>-127338</v>
      </c>
      <c r="K1354" t="s">
        <v>17</v>
      </c>
    </row>
    <row r="1355" spans="1:11" ht="15" customHeight="1" x14ac:dyDescent="0.3">
      <c r="A1355" t="s">
        <v>10</v>
      </c>
      <c r="B1355" t="s">
        <v>11</v>
      </c>
      <c r="C1355" t="s">
        <v>24</v>
      </c>
      <c r="D1355" t="s">
        <v>25</v>
      </c>
      <c r="E1355">
        <v>7</v>
      </c>
      <c r="F1355" t="s">
        <v>39</v>
      </c>
      <c r="G1355" t="s">
        <v>15</v>
      </c>
      <c r="H1355" t="s">
        <v>16</v>
      </c>
      <c r="I1355">
        <v>0</v>
      </c>
      <c r="J1355" s="23">
        <v>168035</v>
      </c>
      <c r="K1355">
        <v>1176245</v>
      </c>
    </row>
    <row r="1356" spans="1:11" ht="15" customHeight="1" x14ac:dyDescent="0.3">
      <c r="A1356" t="s">
        <v>22</v>
      </c>
      <c r="B1356" t="s">
        <v>11</v>
      </c>
      <c r="C1356" t="s">
        <v>24</v>
      </c>
      <c r="D1356" t="s">
        <v>13</v>
      </c>
      <c r="E1356">
        <v>6</v>
      </c>
      <c r="F1356" t="s">
        <v>33</v>
      </c>
      <c r="G1356" t="s">
        <v>15</v>
      </c>
      <c r="H1356" t="s">
        <v>16</v>
      </c>
      <c r="I1356">
        <v>0</v>
      </c>
      <c r="J1356" s="23">
        <v>15856</v>
      </c>
      <c r="K1356">
        <v>95136</v>
      </c>
    </row>
    <row r="1357" spans="1:11" ht="15" customHeight="1" x14ac:dyDescent="0.3">
      <c r="A1357" t="s">
        <v>18</v>
      </c>
      <c r="B1357" t="s">
        <v>11</v>
      </c>
      <c r="C1357" t="s">
        <v>12</v>
      </c>
      <c r="D1357" t="s">
        <v>28</v>
      </c>
      <c r="E1357">
        <v>6</v>
      </c>
      <c r="F1357" t="s">
        <v>40</v>
      </c>
      <c r="G1357" t="s">
        <v>15</v>
      </c>
      <c r="H1357" t="s">
        <v>16</v>
      </c>
      <c r="I1357">
        <v>0</v>
      </c>
      <c r="J1357" s="23">
        <v>-233</v>
      </c>
      <c r="K1357" t="s">
        <v>17</v>
      </c>
    </row>
    <row r="1358" spans="1:11" ht="15" customHeight="1" x14ac:dyDescent="0.3">
      <c r="A1358" t="s">
        <v>10</v>
      </c>
      <c r="B1358" t="s">
        <v>11</v>
      </c>
      <c r="C1358" t="s">
        <v>12</v>
      </c>
      <c r="D1358" t="s">
        <v>25</v>
      </c>
      <c r="E1358">
        <v>-4</v>
      </c>
      <c r="F1358" t="s">
        <v>41</v>
      </c>
      <c r="G1358" t="s">
        <v>15</v>
      </c>
      <c r="H1358" t="s">
        <v>16</v>
      </c>
      <c r="I1358">
        <v>0</v>
      </c>
      <c r="J1358" s="23">
        <v>-167</v>
      </c>
      <c r="K1358" t="s">
        <v>17</v>
      </c>
    </row>
    <row r="1359" spans="1:11" ht="15" customHeight="1" x14ac:dyDescent="0.3">
      <c r="A1359" t="s">
        <v>18</v>
      </c>
      <c r="B1359" t="s">
        <v>11</v>
      </c>
      <c r="C1359" t="s">
        <v>12</v>
      </c>
      <c r="D1359" t="s">
        <v>13</v>
      </c>
      <c r="E1359">
        <v>10</v>
      </c>
      <c r="F1359" t="s">
        <v>30</v>
      </c>
      <c r="G1359" t="s">
        <v>15</v>
      </c>
      <c r="H1359" t="s">
        <v>16</v>
      </c>
      <c r="I1359">
        <v>0</v>
      </c>
      <c r="J1359" s="23">
        <v>-130212</v>
      </c>
      <c r="K1359" t="s">
        <v>17</v>
      </c>
    </row>
    <row r="1360" spans="1:11" ht="15" customHeight="1" x14ac:dyDescent="0.3">
      <c r="A1360" t="s">
        <v>18</v>
      </c>
      <c r="B1360" t="s">
        <v>19</v>
      </c>
      <c r="C1360" t="s">
        <v>12</v>
      </c>
      <c r="D1360" t="s">
        <v>28</v>
      </c>
      <c r="E1360">
        <v>3</v>
      </c>
      <c r="F1360"/>
      <c r="G1360" t="s">
        <v>15</v>
      </c>
      <c r="H1360" t="s">
        <v>16</v>
      </c>
      <c r="I1360">
        <v>0</v>
      </c>
      <c r="J1360" s="23">
        <v>-6826</v>
      </c>
      <c r="K1360" t="s">
        <v>17</v>
      </c>
    </row>
    <row r="1361" spans="1:11" ht="15" customHeight="1" x14ac:dyDescent="0.3">
      <c r="A1361" t="s">
        <v>18</v>
      </c>
      <c r="B1361" t="s">
        <v>11</v>
      </c>
      <c r="C1361" t="s">
        <v>12</v>
      </c>
      <c r="D1361" t="s">
        <v>28</v>
      </c>
      <c r="E1361">
        <v>1</v>
      </c>
      <c r="F1361" t="s">
        <v>26</v>
      </c>
      <c r="G1361" t="s">
        <v>31</v>
      </c>
      <c r="H1361" t="s">
        <v>16</v>
      </c>
      <c r="I1361">
        <v>1</v>
      </c>
      <c r="J1361" s="23">
        <v>-1309</v>
      </c>
      <c r="K1361" t="s">
        <v>17</v>
      </c>
    </row>
    <row r="1362" spans="1:11" ht="15" customHeight="1" x14ac:dyDescent="0.3">
      <c r="A1362" t="s">
        <v>22</v>
      </c>
      <c r="B1362" t="s">
        <v>11</v>
      </c>
      <c r="C1362" t="s">
        <v>12</v>
      </c>
      <c r="D1362" t="s">
        <v>28</v>
      </c>
      <c r="E1362">
        <v>6</v>
      </c>
      <c r="F1362" t="s">
        <v>33</v>
      </c>
      <c r="G1362" t="s">
        <v>15</v>
      </c>
      <c r="H1362" t="s">
        <v>32</v>
      </c>
      <c r="I1362">
        <v>1</v>
      </c>
      <c r="J1362" s="23">
        <v>-142713</v>
      </c>
      <c r="K1362" t="s">
        <v>17</v>
      </c>
    </row>
    <row r="1363" spans="1:11" ht="15" customHeight="1" x14ac:dyDescent="0.3">
      <c r="A1363" t="s">
        <v>18</v>
      </c>
      <c r="B1363" t="s">
        <v>11</v>
      </c>
      <c r="C1363" t="s">
        <v>24</v>
      </c>
      <c r="D1363" t="s">
        <v>13</v>
      </c>
      <c r="E1363">
        <v>-1</v>
      </c>
      <c r="F1363" t="s">
        <v>26</v>
      </c>
      <c r="G1363" t="s">
        <v>15</v>
      </c>
      <c r="H1363" t="s">
        <v>16</v>
      </c>
      <c r="I1363">
        <v>0</v>
      </c>
      <c r="J1363" s="23">
        <v>21063743</v>
      </c>
      <c r="K1363" t="s">
        <v>17</v>
      </c>
    </row>
    <row r="1364" spans="1:11" ht="15" customHeight="1" x14ac:dyDescent="0.3">
      <c r="A1364" t="s">
        <v>18</v>
      </c>
      <c r="B1364" t="s">
        <v>11</v>
      </c>
      <c r="C1364" t="s">
        <v>24</v>
      </c>
      <c r="D1364" t="s">
        <v>13</v>
      </c>
      <c r="E1364">
        <v>4</v>
      </c>
      <c r="F1364" t="s">
        <v>29</v>
      </c>
      <c r="G1364" t="s">
        <v>15</v>
      </c>
      <c r="H1364" t="s">
        <v>16</v>
      </c>
      <c r="I1364">
        <v>0</v>
      </c>
      <c r="J1364" s="23">
        <v>108442396</v>
      </c>
      <c r="K1364">
        <v>433769584</v>
      </c>
    </row>
    <row r="1365" spans="1:11" ht="15" customHeight="1" x14ac:dyDescent="0.3">
      <c r="A1365" t="s">
        <v>22</v>
      </c>
      <c r="B1365" t="s">
        <v>11</v>
      </c>
      <c r="C1365" t="s">
        <v>24</v>
      </c>
      <c r="D1365" t="s">
        <v>13</v>
      </c>
      <c r="E1365">
        <v>5</v>
      </c>
      <c r="F1365" t="s">
        <v>35</v>
      </c>
      <c r="G1365" t="s">
        <v>15</v>
      </c>
      <c r="H1365" t="s">
        <v>16</v>
      </c>
      <c r="I1365">
        <v>0</v>
      </c>
      <c r="J1365" s="23">
        <v>89899</v>
      </c>
      <c r="K1365">
        <v>449495</v>
      </c>
    </row>
    <row r="1366" spans="1:11" ht="15" customHeight="1" x14ac:dyDescent="0.3">
      <c r="A1366" t="s">
        <v>22</v>
      </c>
      <c r="B1366" t="s">
        <v>11</v>
      </c>
      <c r="C1366" t="s">
        <v>12</v>
      </c>
      <c r="D1366" t="s">
        <v>13</v>
      </c>
      <c r="E1366">
        <v>6</v>
      </c>
      <c r="F1366" t="s">
        <v>26</v>
      </c>
      <c r="G1366" t="s">
        <v>15</v>
      </c>
      <c r="H1366" t="s">
        <v>16</v>
      </c>
      <c r="I1366">
        <v>0</v>
      </c>
      <c r="J1366" s="23">
        <v>-50762</v>
      </c>
      <c r="K1366" t="s">
        <v>17</v>
      </c>
    </row>
    <row r="1367" spans="1:11" ht="15" customHeight="1" x14ac:dyDescent="0.3">
      <c r="A1367" t="s">
        <v>18</v>
      </c>
      <c r="B1367" t="s">
        <v>11</v>
      </c>
      <c r="C1367" t="s">
        <v>24</v>
      </c>
      <c r="D1367" t="s">
        <v>28</v>
      </c>
      <c r="E1367">
        <v>8</v>
      </c>
      <c r="F1367" t="s">
        <v>29</v>
      </c>
      <c r="G1367" t="s">
        <v>31</v>
      </c>
      <c r="H1367" t="s">
        <v>32</v>
      </c>
      <c r="I1367">
        <v>1</v>
      </c>
      <c r="J1367" s="23">
        <v>172331</v>
      </c>
      <c r="K1367">
        <v>1378648</v>
      </c>
    </row>
    <row r="1368" spans="1:11" ht="15" customHeight="1" x14ac:dyDescent="0.3">
      <c r="A1368" t="s">
        <v>18</v>
      </c>
      <c r="B1368" t="s">
        <v>11</v>
      </c>
      <c r="C1368" t="s">
        <v>24</v>
      </c>
      <c r="D1368" t="s">
        <v>28</v>
      </c>
      <c r="E1368">
        <v>14</v>
      </c>
      <c r="F1368" t="s">
        <v>34</v>
      </c>
      <c r="G1368" t="s">
        <v>15</v>
      </c>
      <c r="H1368" t="s">
        <v>32</v>
      </c>
      <c r="I1368">
        <v>1</v>
      </c>
      <c r="J1368" s="23">
        <v>278226</v>
      </c>
      <c r="K1368">
        <v>3895164</v>
      </c>
    </row>
    <row r="1369" spans="1:11" ht="15" customHeight="1" x14ac:dyDescent="0.3">
      <c r="A1369" t="s">
        <v>18</v>
      </c>
      <c r="B1369" t="s">
        <v>19</v>
      </c>
      <c r="C1369" t="s">
        <v>12</v>
      </c>
      <c r="D1369" t="s">
        <v>28</v>
      </c>
      <c r="E1369">
        <v>17</v>
      </c>
      <c r="F1369"/>
      <c r="G1369" t="s">
        <v>15</v>
      </c>
      <c r="H1369" t="s">
        <v>16</v>
      </c>
      <c r="I1369">
        <v>0</v>
      </c>
      <c r="J1369" s="23">
        <v>-1565</v>
      </c>
      <c r="K1369" t="s">
        <v>17</v>
      </c>
    </row>
    <row r="1370" spans="1:11" ht="15" customHeight="1" x14ac:dyDescent="0.3">
      <c r="A1370" t="s">
        <v>18</v>
      </c>
      <c r="B1370" t="s">
        <v>19</v>
      </c>
      <c r="C1370" t="s">
        <v>24</v>
      </c>
      <c r="D1370" t="s">
        <v>28</v>
      </c>
      <c r="E1370">
        <v>23</v>
      </c>
      <c r="F1370"/>
      <c r="G1370" t="s">
        <v>15</v>
      </c>
      <c r="H1370" t="s">
        <v>16</v>
      </c>
      <c r="I1370">
        <v>0</v>
      </c>
      <c r="J1370" s="23">
        <v>327301</v>
      </c>
      <c r="K1370">
        <v>7527923</v>
      </c>
    </row>
    <row r="1371" spans="1:11" ht="15" customHeight="1" x14ac:dyDescent="0.3">
      <c r="A1371" t="s">
        <v>22</v>
      </c>
      <c r="B1371" t="s">
        <v>11</v>
      </c>
      <c r="C1371" t="s">
        <v>12</v>
      </c>
      <c r="D1371" t="s">
        <v>13</v>
      </c>
      <c r="E1371">
        <v>-1</v>
      </c>
      <c r="F1371" t="s">
        <v>40</v>
      </c>
      <c r="G1371" t="s">
        <v>15</v>
      </c>
      <c r="H1371" t="s">
        <v>16</v>
      </c>
      <c r="I1371">
        <v>0</v>
      </c>
      <c r="J1371" s="23">
        <v>-1820333</v>
      </c>
      <c r="K1371" t="s">
        <v>17</v>
      </c>
    </row>
    <row r="1372" spans="1:11" ht="15" customHeight="1" x14ac:dyDescent="0.3">
      <c r="A1372" t="s">
        <v>10</v>
      </c>
      <c r="B1372" t="s">
        <v>19</v>
      </c>
      <c r="C1372" t="s">
        <v>24</v>
      </c>
      <c r="D1372" t="s">
        <v>20</v>
      </c>
      <c r="E1372">
        <v>37</v>
      </c>
      <c r="F1372"/>
      <c r="G1372" t="s">
        <v>31</v>
      </c>
      <c r="H1372" t="s">
        <v>32</v>
      </c>
      <c r="I1372">
        <v>1</v>
      </c>
      <c r="J1372" s="23">
        <v>96606</v>
      </c>
      <c r="K1372">
        <v>3574422</v>
      </c>
    </row>
    <row r="1373" spans="1:11" ht="15" customHeight="1" x14ac:dyDescent="0.3">
      <c r="A1373" t="s">
        <v>22</v>
      </c>
      <c r="B1373" t="s">
        <v>11</v>
      </c>
      <c r="C1373" t="s">
        <v>12</v>
      </c>
      <c r="D1373" t="s">
        <v>13</v>
      </c>
      <c r="E1373">
        <v>2</v>
      </c>
      <c r="F1373" t="s">
        <v>42</v>
      </c>
      <c r="G1373" t="s">
        <v>15</v>
      </c>
      <c r="H1373" t="s">
        <v>16</v>
      </c>
      <c r="I1373">
        <v>0</v>
      </c>
      <c r="J1373" s="23">
        <v>-75988</v>
      </c>
      <c r="K1373" t="s">
        <v>17</v>
      </c>
    </row>
    <row r="1374" spans="1:11" ht="15" customHeight="1" x14ac:dyDescent="0.3">
      <c r="A1374" t="s">
        <v>10</v>
      </c>
      <c r="B1374" t="s">
        <v>11</v>
      </c>
      <c r="C1374" t="s">
        <v>24</v>
      </c>
      <c r="D1374" t="s">
        <v>25</v>
      </c>
      <c r="E1374">
        <v>5</v>
      </c>
      <c r="F1374" t="s">
        <v>36</v>
      </c>
      <c r="G1374" t="s">
        <v>15</v>
      </c>
      <c r="H1374" t="s">
        <v>16</v>
      </c>
      <c r="I1374">
        <v>0</v>
      </c>
      <c r="J1374" s="23">
        <v>114985</v>
      </c>
      <c r="K1374">
        <v>574925</v>
      </c>
    </row>
    <row r="1375" spans="1:11" ht="15" customHeight="1" x14ac:dyDescent="0.3">
      <c r="A1375" t="s">
        <v>10</v>
      </c>
      <c r="B1375" t="s">
        <v>11</v>
      </c>
      <c r="C1375" t="s">
        <v>12</v>
      </c>
      <c r="D1375" t="s">
        <v>28</v>
      </c>
      <c r="E1375">
        <v>16</v>
      </c>
      <c r="F1375" t="s">
        <v>37</v>
      </c>
      <c r="G1375" t="s">
        <v>15</v>
      </c>
      <c r="H1375" t="s">
        <v>16</v>
      </c>
      <c r="I1375">
        <v>0</v>
      </c>
      <c r="J1375" s="23">
        <v>-3404</v>
      </c>
      <c r="K1375" t="s">
        <v>17</v>
      </c>
    </row>
    <row r="1376" spans="1:11" ht="15" customHeight="1" x14ac:dyDescent="0.3">
      <c r="A1376" t="s">
        <v>10</v>
      </c>
      <c r="B1376" t="s">
        <v>11</v>
      </c>
      <c r="C1376" t="s">
        <v>24</v>
      </c>
      <c r="D1376" t="s">
        <v>13</v>
      </c>
      <c r="E1376">
        <v>6</v>
      </c>
      <c r="F1376" t="s">
        <v>21</v>
      </c>
      <c r="G1376" t="s">
        <v>15</v>
      </c>
      <c r="H1376" t="s">
        <v>16</v>
      </c>
      <c r="I1376">
        <v>0</v>
      </c>
      <c r="J1376" s="23">
        <v>402817</v>
      </c>
      <c r="K1376">
        <v>2416902</v>
      </c>
    </row>
    <row r="1377" spans="1:11" ht="15" customHeight="1" x14ac:dyDescent="0.3">
      <c r="A1377" t="s">
        <v>10</v>
      </c>
      <c r="B1377" t="s">
        <v>11</v>
      </c>
      <c r="C1377" t="s">
        <v>12</v>
      </c>
      <c r="D1377" t="s">
        <v>13</v>
      </c>
      <c r="E1377">
        <v>6</v>
      </c>
      <c r="F1377" t="s">
        <v>21</v>
      </c>
      <c r="G1377" t="s">
        <v>15</v>
      </c>
      <c r="H1377" t="s">
        <v>16</v>
      </c>
      <c r="I1377">
        <v>0</v>
      </c>
      <c r="J1377" s="23">
        <v>-43391</v>
      </c>
      <c r="K1377" t="s">
        <v>17</v>
      </c>
    </row>
    <row r="1378" spans="1:11" ht="15" customHeight="1" x14ac:dyDescent="0.3">
      <c r="A1378" t="s">
        <v>22</v>
      </c>
      <c r="B1378" t="s">
        <v>19</v>
      </c>
      <c r="C1378" t="s">
        <v>24</v>
      </c>
      <c r="D1378" t="s">
        <v>20</v>
      </c>
      <c r="E1378">
        <v>41</v>
      </c>
      <c r="F1378"/>
      <c r="G1378" t="s">
        <v>15</v>
      </c>
      <c r="H1378" t="s">
        <v>16</v>
      </c>
      <c r="I1378">
        <v>0</v>
      </c>
      <c r="J1378" s="23">
        <v>672314</v>
      </c>
      <c r="K1378">
        <v>27564874</v>
      </c>
    </row>
    <row r="1379" spans="1:11" ht="15" customHeight="1" x14ac:dyDescent="0.3">
      <c r="A1379" t="s">
        <v>10</v>
      </c>
      <c r="B1379" t="s">
        <v>11</v>
      </c>
      <c r="C1379" t="s">
        <v>24</v>
      </c>
      <c r="D1379" t="s">
        <v>13</v>
      </c>
      <c r="E1379">
        <v>2</v>
      </c>
      <c r="F1379" t="s">
        <v>38</v>
      </c>
      <c r="G1379" t="s">
        <v>15</v>
      </c>
      <c r="H1379" t="s">
        <v>16</v>
      </c>
      <c r="I1379">
        <v>0</v>
      </c>
      <c r="J1379" s="23">
        <v>18149</v>
      </c>
      <c r="K1379">
        <v>36298</v>
      </c>
    </row>
    <row r="1380" spans="1:11" ht="15" customHeight="1" x14ac:dyDescent="0.3">
      <c r="A1380" t="s">
        <v>22</v>
      </c>
      <c r="B1380" t="s">
        <v>11</v>
      </c>
      <c r="C1380" t="s">
        <v>12</v>
      </c>
      <c r="D1380" t="s">
        <v>13</v>
      </c>
      <c r="E1380">
        <v>1</v>
      </c>
      <c r="F1380" t="s">
        <v>37</v>
      </c>
      <c r="G1380" t="s">
        <v>15</v>
      </c>
      <c r="H1380" t="s">
        <v>16</v>
      </c>
      <c r="I1380">
        <v>0</v>
      </c>
      <c r="J1380" s="23">
        <v>-91955</v>
      </c>
      <c r="K1380" t="s">
        <v>17</v>
      </c>
    </row>
    <row r="1381" spans="1:11" ht="15" customHeight="1" x14ac:dyDescent="0.3">
      <c r="A1381" t="s">
        <v>18</v>
      </c>
      <c r="B1381" t="s">
        <v>11</v>
      </c>
      <c r="C1381" t="s">
        <v>12</v>
      </c>
      <c r="D1381" t="s">
        <v>25</v>
      </c>
      <c r="E1381">
        <v>1</v>
      </c>
      <c r="F1381" t="s">
        <v>37</v>
      </c>
      <c r="G1381" t="s">
        <v>15</v>
      </c>
      <c r="H1381" t="s">
        <v>16</v>
      </c>
      <c r="I1381">
        <v>0</v>
      </c>
      <c r="J1381" s="23">
        <v>-427</v>
      </c>
      <c r="K1381" t="s">
        <v>17</v>
      </c>
    </row>
    <row r="1382" spans="1:11" ht="15" customHeight="1" x14ac:dyDescent="0.3">
      <c r="A1382" t="s">
        <v>22</v>
      </c>
      <c r="B1382" t="s">
        <v>19</v>
      </c>
      <c r="C1382" t="s">
        <v>24</v>
      </c>
      <c r="D1382" t="s">
        <v>28</v>
      </c>
      <c r="E1382">
        <v>-4</v>
      </c>
      <c r="F1382"/>
      <c r="G1382" t="s">
        <v>15</v>
      </c>
      <c r="H1382" t="s">
        <v>16</v>
      </c>
      <c r="I1382">
        <v>0</v>
      </c>
      <c r="J1382" s="23">
        <v>1447622</v>
      </c>
      <c r="K1382" t="s">
        <v>17</v>
      </c>
    </row>
    <row r="1383" spans="1:11" ht="15" customHeight="1" x14ac:dyDescent="0.3">
      <c r="A1383" t="s">
        <v>10</v>
      </c>
      <c r="B1383" t="s">
        <v>11</v>
      </c>
      <c r="C1383" t="s">
        <v>12</v>
      </c>
      <c r="D1383" t="s">
        <v>28</v>
      </c>
      <c r="E1383">
        <v>14</v>
      </c>
      <c r="F1383" t="s">
        <v>34</v>
      </c>
      <c r="G1383" t="s">
        <v>15</v>
      </c>
      <c r="H1383" t="s">
        <v>16</v>
      </c>
      <c r="I1383">
        <v>0</v>
      </c>
      <c r="J1383" s="23">
        <v>-28139</v>
      </c>
      <c r="K1383" t="s">
        <v>17</v>
      </c>
    </row>
    <row r="1384" spans="1:11" ht="15" customHeight="1" x14ac:dyDescent="0.3">
      <c r="A1384" t="s">
        <v>18</v>
      </c>
      <c r="B1384" t="s">
        <v>11</v>
      </c>
      <c r="C1384" t="s">
        <v>12</v>
      </c>
      <c r="D1384" t="s">
        <v>28</v>
      </c>
      <c r="E1384">
        <v>10</v>
      </c>
      <c r="F1384" t="s">
        <v>21</v>
      </c>
      <c r="G1384" t="s">
        <v>15</v>
      </c>
      <c r="H1384" t="s">
        <v>32</v>
      </c>
      <c r="I1384">
        <v>1</v>
      </c>
      <c r="J1384" s="23">
        <v>-256</v>
      </c>
      <c r="K1384" t="s">
        <v>17</v>
      </c>
    </row>
    <row r="1385" spans="1:11" ht="15" customHeight="1" x14ac:dyDescent="0.3">
      <c r="A1385" t="s">
        <v>18</v>
      </c>
      <c r="B1385" t="s">
        <v>19</v>
      </c>
      <c r="C1385" t="s">
        <v>12</v>
      </c>
      <c r="D1385" t="s">
        <v>20</v>
      </c>
      <c r="E1385">
        <v>39</v>
      </c>
      <c r="F1385"/>
      <c r="G1385" t="s">
        <v>31</v>
      </c>
      <c r="H1385" t="s">
        <v>16</v>
      </c>
      <c r="I1385">
        <v>1</v>
      </c>
      <c r="J1385" s="23">
        <v>-5090</v>
      </c>
      <c r="K1385" t="s">
        <v>17</v>
      </c>
    </row>
    <row r="1386" spans="1:11" ht="15" customHeight="1" x14ac:dyDescent="0.3">
      <c r="A1386" t="s">
        <v>22</v>
      </c>
      <c r="B1386" t="s">
        <v>19</v>
      </c>
      <c r="C1386" t="s">
        <v>24</v>
      </c>
      <c r="D1386" t="s">
        <v>20</v>
      </c>
      <c r="E1386">
        <v>12</v>
      </c>
      <c r="F1386"/>
      <c r="G1386" t="s">
        <v>15</v>
      </c>
      <c r="H1386" t="s">
        <v>16</v>
      </c>
      <c r="I1386">
        <v>0</v>
      </c>
      <c r="J1386" s="23">
        <v>4177489</v>
      </c>
      <c r="K1386">
        <v>50129868</v>
      </c>
    </row>
    <row r="1387" spans="1:11" ht="15" customHeight="1" x14ac:dyDescent="0.3">
      <c r="A1387" t="s">
        <v>22</v>
      </c>
      <c r="B1387" t="s">
        <v>11</v>
      </c>
      <c r="C1387" t="s">
        <v>24</v>
      </c>
      <c r="D1387" t="s">
        <v>28</v>
      </c>
      <c r="E1387">
        <v>-4</v>
      </c>
      <c r="F1387" t="s">
        <v>27</v>
      </c>
      <c r="G1387" t="s">
        <v>15</v>
      </c>
      <c r="H1387" t="s">
        <v>16</v>
      </c>
      <c r="I1387">
        <v>0</v>
      </c>
      <c r="J1387" s="23">
        <v>84660</v>
      </c>
      <c r="K1387" t="s">
        <v>17</v>
      </c>
    </row>
    <row r="1388" spans="1:11" ht="15" customHeight="1" x14ac:dyDescent="0.3">
      <c r="A1388" t="s">
        <v>18</v>
      </c>
      <c r="B1388" t="s">
        <v>11</v>
      </c>
      <c r="C1388" t="s">
        <v>24</v>
      </c>
      <c r="D1388" t="s">
        <v>28</v>
      </c>
      <c r="E1388">
        <v>11</v>
      </c>
      <c r="F1388" t="s">
        <v>29</v>
      </c>
      <c r="G1388" t="s">
        <v>15</v>
      </c>
      <c r="H1388" t="s">
        <v>16</v>
      </c>
      <c r="I1388">
        <v>0</v>
      </c>
      <c r="J1388" s="23">
        <v>19394180</v>
      </c>
      <c r="K1388">
        <v>213335980</v>
      </c>
    </row>
    <row r="1389" spans="1:11" ht="15" customHeight="1" x14ac:dyDescent="0.3">
      <c r="A1389" t="s">
        <v>10</v>
      </c>
      <c r="B1389" t="s">
        <v>19</v>
      </c>
      <c r="C1389" t="s">
        <v>24</v>
      </c>
      <c r="D1389" t="s">
        <v>20</v>
      </c>
      <c r="E1389">
        <v>18</v>
      </c>
      <c r="F1389"/>
      <c r="G1389" t="s">
        <v>31</v>
      </c>
      <c r="H1389" t="s">
        <v>16</v>
      </c>
      <c r="I1389">
        <v>1</v>
      </c>
      <c r="J1389" s="23">
        <v>297196</v>
      </c>
      <c r="K1389">
        <v>5349528</v>
      </c>
    </row>
    <row r="1390" spans="1:11" ht="15" customHeight="1" x14ac:dyDescent="0.3">
      <c r="A1390" t="s">
        <v>18</v>
      </c>
      <c r="B1390" t="s">
        <v>11</v>
      </c>
      <c r="C1390" t="s">
        <v>12</v>
      </c>
      <c r="D1390" t="s">
        <v>25</v>
      </c>
      <c r="E1390">
        <v>12</v>
      </c>
      <c r="F1390" t="s">
        <v>23</v>
      </c>
      <c r="G1390" t="s">
        <v>15</v>
      </c>
      <c r="H1390" t="s">
        <v>16</v>
      </c>
      <c r="I1390">
        <v>0</v>
      </c>
      <c r="J1390" s="23">
        <v>-1</v>
      </c>
      <c r="K1390" t="s">
        <v>17</v>
      </c>
    </row>
    <row r="1391" spans="1:11" ht="15" customHeight="1" x14ac:dyDescent="0.3">
      <c r="A1391" t="s">
        <v>18</v>
      </c>
      <c r="B1391" t="s">
        <v>11</v>
      </c>
      <c r="C1391" t="s">
        <v>24</v>
      </c>
      <c r="D1391" t="s">
        <v>28</v>
      </c>
      <c r="E1391">
        <v>12</v>
      </c>
      <c r="F1391" t="s">
        <v>23</v>
      </c>
      <c r="G1391" t="s">
        <v>15</v>
      </c>
      <c r="H1391" t="s">
        <v>16</v>
      </c>
      <c r="I1391">
        <v>0</v>
      </c>
      <c r="J1391" s="23">
        <v>88245651</v>
      </c>
      <c r="K1391">
        <v>1058947812</v>
      </c>
    </row>
    <row r="1392" spans="1:11" ht="15" customHeight="1" x14ac:dyDescent="0.3">
      <c r="A1392" t="s">
        <v>22</v>
      </c>
      <c r="B1392" t="s">
        <v>11</v>
      </c>
      <c r="C1392" t="s">
        <v>12</v>
      </c>
      <c r="D1392" t="s">
        <v>28</v>
      </c>
      <c r="E1392">
        <v>3</v>
      </c>
      <c r="F1392" t="s">
        <v>39</v>
      </c>
      <c r="G1392" t="s">
        <v>15</v>
      </c>
      <c r="H1392" t="s">
        <v>16</v>
      </c>
      <c r="I1392">
        <v>0</v>
      </c>
      <c r="J1392" s="23">
        <v>-21380</v>
      </c>
      <c r="K1392" t="s">
        <v>17</v>
      </c>
    </row>
    <row r="1393" spans="1:11" ht="15" customHeight="1" x14ac:dyDescent="0.3">
      <c r="A1393" t="s">
        <v>18</v>
      </c>
      <c r="B1393" t="s">
        <v>11</v>
      </c>
      <c r="C1393" t="s">
        <v>12</v>
      </c>
      <c r="D1393" t="s">
        <v>28</v>
      </c>
      <c r="E1393">
        <v>9</v>
      </c>
      <c r="F1393" t="s">
        <v>34</v>
      </c>
      <c r="G1393" t="s">
        <v>15</v>
      </c>
      <c r="H1393" t="s">
        <v>16</v>
      </c>
      <c r="I1393">
        <v>0</v>
      </c>
      <c r="J1393" s="23">
        <v>-12793</v>
      </c>
      <c r="K1393" t="s">
        <v>17</v>
      </c>
    </row>
    <row r="1394" spans="1:11" ht="15" customHeight="1" x14ac:dyDescent="0.3">
      <c r="A1394" t="s">
        <v>22</v>
      </c>
      <c r="B1394" t="s">
        <v>11</v>
      </c>
      <c r="C1394" t="s">
        <v>12</v>
      </c>
      <c r="D1394" t="s">
        <v>25</v>
      </c>
      <c r="E1394">
        <v>4</v>
      </c>
      <c r="F1394" t="s">
        <v>21</v>
      </c>
      <c r="G1394" t="s">
        <v>15</v>
      </c>
      <c r="H1394" t="s">
        <v>16</v>
      </c>
      <c r="I1394">
        <v>0</v>
      </c>
      <c r="J1394" s="23">
        <v>-74239</v>
      </c>
      <c r="K1394" t="s">
        <v>17</v>
      </c>
    </row>
    <row r="1395" spans="1:11" ht="15" customHeight="1" x14ac:dyDescent="0.3">
      <c r="A1395" t="s">
        <v>22</v>
      </c>
      <c r="B1395" t="s">
        <v>11</v>
      </c>
      <c r="C1395" t="s">
        <v>12</v>
      </c>
      <c r="D1395" t="s">
        <v>13</v>
      </c>
      <c r="E1395">
        <v>1</v>
      </c>
      <c r="F1395" t="s">
        <v>26</v>
      </c>
      <c r="G1395" t="s">
        <v>15</v>
      </c>
      <c r="H1395" t="s">
        <v>16</v>
      </c>
      <c r="I1395">
        <v>0</v>
      </c>
      <c r="J1395" s="23">
        <v>-179950</v>
      </c>
      <c r="K1395" t="s">
        <v>17</v>
      </c>
    </row>
    <row r="1396" spans="1:11" ht="15" customHeight="1" x14ac:dyDescent="0.3">
      <c r="A1396" t="s">
        <v>10</v>
      </c>
      <c r="B1396" t="s">
        <v>11</v>
      </c>
      <c r="C1396" t="s">
        <v>24</v>
      </c>
      <c r="D1396" t="s">
        <v>28</v>
      </c>
      <c r="E1396">
        <v>8</v>
      </c>
      <c r="F1396" t="s">
        <v>39</v>
      </c>
      <c r="G1396" t="s">
        <v>15</v>
      </c>
      <c r="H1396" t="s">
        <v>16</v>
      </c>
      <c r="I1396">
        <v>0</v>
      </c>
      <c r="J1396" s="23">
        <v>501731</v>
      </c>
      <c r="K1396">
        <v>4013848</v>
      </c>
    </row>
    <row r="1397" spans="1:11" ht="15" customHeight="1" x14ac:dyDescent="0.3">
      <c r="A1397" t="s">
        <v>10</v>
      </c>
      <c r="B1397" t="s">
        <v>19</v>
      </c>
      <c r="C1397" t="s">
        <v>24</v>
      </c>
      <c r="D1397" t="s">
        <v>28</v>
      </c>
      <c r="E1397">
        <v>26</v>
      </c>
      <c r="F1397"/>
      <c r="G1397" t="s">
        <v>15</v>
      </c>
      <c r="H1397" t="s">
        <v>16</v>
      </c>
      <c r="I1397">
        <v>0</v>
      </c>
      <c r="J1397" s="23">
        <v>426957</v>
      </c>
      <c r="K1397">
        <v>11100882</v>
      </c>
    </row>
    <row r="1398" spans="1:11" ht="15" customHeight="1" x14ac:dyDescent="0.3">
      <c r="A1398" t="s">
        <v>10</v>
      </c>
      <c r="B1398" t="s">
        <v>19</v>
      </c>
      <c r="C1398" t="s">
        <v>24</v>
      </c>
      <c r="D1398" t="s">
        <v>20</v>
      </c>
      <c r="E1398">
        <v>19</v>
      </c>
      <c r="F1398"/>
      <c r="G1398" t="s">
        <v>15</v>
      </c>
      <c r="H1398" t="s">
        <v>16</v>
      </c>
      <c r="I1398">
        <v>0</v>
      </c>
      <c r="J1398" s="23">
        <v>38042710</v>
      </c>
      <c r="K1398">
        <v>722811490</v>
      </c>
    </row>
    <row r="1399" spans="1:11" ht="15" customHeight="1" x14ac:dyDescent="0.3">
      <c r="A1399" t="s">
        <v>10</v>
      </c>
      <c r="B1399" t="s">
        <v>11</v>
      </c>
      <c r="C1399" t="s">
        <v>12</v>
      </c>
      <c r="D1399" t="s">
        <v>13</v>
      </c>
      <c r="E1399">
        <v>3</v>
      </c>
      <c r="F1399" t="s">
        <v>34</v>
      </c>
      <c r="G1399" t="s">
        <v>15</v>
      </c>
      <c r="H1399" t="s">
        <v>16</v>
      </c>
      <c r="I1399">
        <v>0</v>
      </c>
      <c r="J1399" s="23">
        <v>-2004038</v>
      </c>
      <c r="K1399" t="s">
        <v>17</v>
      </c>
    </row>
    <row r="1400" spans="1:11" ht="15" customHeight="1" x14ac:dyDescent="0.3">
      <c r="A1400" t="s">
        <v>10</v>
      </c>
      <c r="B1400" t="s">
        <v>11</v>
      </c>
      <c r="C1400" t="s">
        <v>24</v>
      </c>
      <c r="D1400" t="s">
        <v>28</v>
      </c>
      <c r="E1400">
        <v>6</v>
      </c>
      <c r="F1400" t="s">
        <v>30</v>
      </c>
      <c r="G1400" t="s">
        <v>15</v>
      </c>
      <c r="H1400" t="s">
        <v>16</v>
      </c>
      <c r="I1400">
        <v>0</v>
      </c>
      <c r="J1400" s="23">
        <v>744529</v>
      </c>
      <c r="K1400">
        <v>4467174</v>
      </c>
    </row>
    <row r="1401" spans="1:11" ht="15" customHeight="1" x14ac:dyDescent="0.3">
      <c r="A1401" t="s">
        <v>22</v>
      </c>
      <c r="B1401" t="s">
        <v>11</v>
      </c>
      <c r="C1401" t="s">
        <v>24</v>
      </c>
      <c r="D1401" t="s">
        <v>25</v>
      </c>
      <c r="E1401">
        <v>2</v>
      </c>
      <c r="F1401" t="s">
        <v>39</v>
      </c>
      <c r="G1401" t="s">
        <v>15</v>
      </c>
      <c r="H1401" t="s">
        <v>16</v>
      </c>
      <c r="I1401">
        <v>0</v>
      </c>
      <c r="J1401" s="23">
        <v>80101</v>
      </c>
      <c r="K1401">
        <v>160202</v>
      </c>
    </row>
    <row r="1402" spans="1:11" ht="15" customHeight="1" x14ac:dyDescent="0.3">
      <c r="A1402" t="s">
        <v>18</v>
      </c>
      <c r="B1402" t="s">
        <v>44</v>
      </c>
      <c r="C1402" t="s">
        <v>12</v>
      </c>
      <c r="D1402" t="s">
        <v>28</v>
      </c>
      <c r="E1402">
        <v>4</v>
      </c>
      <c r="F1402" t="s">
        <v>38</v>
      </c>
      <c r="G1402" t="s">
        <v>15</v>
      </c>
      <c r="H1402" t="s">
        <v>16</v>
      </c>
      <c r="I1402">
        <v>0</v>
      </c>
      <c r="J1402" s="23">
        <v>-23660</v>
      </c>
      <c r="K1402" t="s">
        <v>17</v>
      </c>
    </row>
    <row r="1403" spans="1:11" ht="15" customHeight="1" x14ac:dyDescent="0.3">
      <c r="A1403" t="s">
        <v>10</v>
      </c>
      <c r="B1403" t="s">
        <v>11</v>
      </c>
      <c r="C1403" t="s">
        <v>12</v>
      </c>
      <c r="D1403" t="s">
        <v>28</v>
      </c>
      <c r="E1403">
        <v>5</v>
      </c>
      <c r="F1403" t="s">
        <v>33</v>
      </c>
      <c r="G1403" t="s">
        <v>15</v>
      </c>
      <c r="H1403" t="s">
        <v>32</v>
      </c>
      <c r="I1403">
        <v>1</v>
      </c>
      <c r="J1403" s="23">
        <v>-21866</v>
      </c>
      <c r="K1403" t="s">
        <v>17</v>
      </c>
    </row>
    <row r="1404" spans="1:11" ht="15" customHeight="1" x14ac:dyDescent="0.3">
      <c r="A1404" t="s">
        <v>10</v>
      </c>
      <c r="B1404" t="s">
        <v>11</v>
      </c>
      <c r="C1404" t="s">
        <v>24</v>
      </c>
      <c r="D1404" t="s">
        <v>13</v>
      </c>
      <c r="E1404">
        <v>0</v>
      </c>
      <c r="F1404" t="s">
        <v>36</v>
      </c>
      <c r="G1404" t="s">
        <v>15</v>
      </c>
      <c r="H1404" t="s">
        <v>16</v>
      </c>
      <c r="I1404">
        <v>0</v>
      </c>
      <c r="J1404" s="23">
        <v>160122</v>
      </c>
      <c r="K1404" t="s">
        <v>17</v>
      </c>
    </row>
    <row r="1405" spans="1:11" ht="15" customHeight="1" x14ac:dyDescent="0.3">
      <c r="A1405" t="s">
        <v>22</v>
      </c>
      <c r="B1405" t="s">
        <v>19</v>
      </c>
      <c r="C1405" t="s">
        <v>12</v>
      </c>
      <c r="D1405" t="s">
        <v>20</v>
      </c>
      <c r="E1405">
        <v>35</v>
      </c>
      <c r="F1405"/>
      <c r="G1405" t="s">
        <v>31</v>
      </c>
      <c r="H1405" t="s">
        <v>16</v>
      </c>
      <c r="I1405">
        <v>1</v>
      </c>
      <c r="J1405" s="23">
        <v>-107514</v>
      </c>
      <c r="K1405" t="s">
        <v>17</v>
      </c>
    </row>
    <row r="1406" spans="1:11" ht="15" customHeight="1" x14ac:dyDescent="0.3">
      <c r="A1406" t="s">
        <v>18</v>
      </c>
      <c r="B1406" t="s">
        <v>11</v>
      </c>
      <c r="C1406" t="s">
        <v>12</v>
      </c>
      <c r="D1406" t="s">
        <v>13</v>
      </c>
      <c r="E1406">
        <v>7</v>
      </c>
      <c r="F1406" t="s">
        <v>23</v>
      </c>
      <c r="G1406" t="s">
        <v>15</v>
      </c>
      <c r="H1406" t="s">
        <v>16</v>
      </c>
      <c r="I1406">
        <v>0</v>
      </c>
      <c r="J1406" s="23">
        <v>-13320</v>
      </c>
      <c r="K1406" t="s">
        <v>17</v>
      </c>
    </row>
    <row r="1407" spans="1:11" ht="15" customHeight="1" x14ac:dyDescent="0.3">
      <c r="A1407" t="s">
        <v>10</v>
      </c>
      <c r="B1407" t="s">
        <v>11</v>
      </c>
      <c r="C1407" t="s">
        <v>24</v>
      </c>
      <c r="D1407" t="s">
        <v>13</v>
      </c>
      <c r="E1407">
        <v>-1</v>
      </c>
      <c r="F1407" t="s">
        <v>30</v>
      </c>
      <c r="G1407" t="s">
        <v>15</v>
      </c>
      <c r="H1407" t="s">
        <v>16</v>
      </c>
      <c r="I1407">
        <v>0</v>
      </c>
      <c r="J1407" s="23">
        <v>9876524</v>
      </c>
      <c r="K1407" t="s">
        <v>17</v>
      </c>
    </row>
    <row r="1408" spans="1:11" ht="15" customHeight="1" x14ac:dyDescent="0.3">
      <c r="A1408" t="s">
        <v>18</v>
      </c>
      <c r="B1408" t="s">
        <v>11</v>
      </c>
      <c r="C1408" t="s">
        <v>12</v>
      </c>
      <c r="D1408" t="s">
        <v>28</v>
      </c>
      <c r="E1408">
        <v>10</v>
      </c>
      <c r="F1408" t="s">
        <v>23</v>
      </c>
      <c r="G1408" t="s">
        <v>15</v>
      </c>
      <c r="H1408" t="s">
        <v>16</v>
      </c>
      <c r="I1408">
        <v>0</v>
      </c>
      <c r="J1408" s="23">
        <v>-67602</v>
      </c>
      <c r="K1408" t="s">
        <v>17</v>
      </c>
    </row>
    <row r="1409" spans="1:11" ht="15" customHeight="1" x14ac:dyDescent="0.3">
      <c r="A1409" t="s">
        <v>10</v>
      </c>
      <c r="B1409" t="s">
        <v>19</v>
      </c>
      <c r="C1409" t="s">
        <v>12</v>
      </c>
      <c r="D1409" t="s">
        <v>20</v>
      </c>
      <c r="E1409">
        <v>35</v>
      </c>
      <c r="F1409"/>
      <c r="G1409" t="s">
        <v>31</v>
      </c>
      <c r="H1409" t="s">
        <v>16</v>
      </c>
      <c r="I1409">
        <v>1</v>
      </c>
      <c r="J1409" s="23">
        <v>-44935</v>
      </c>
      <c r="K1409" t="s">
        <v>17</v>
      </c>
    </row>
    <row r="1410" spans="1:11" ht="15" customHeight="1" x14ac:dyDescent="0.3">
      <c r="A1410" t="s">
        <v>10</v>
      </c>
      <c r="B1410" t="s">
        <v>11</v>
      </c>
      <c r="C1410" t="s">
        <v>24</v>
      </c>
      <c r="D1410" t="s">
        <v>28</v>
      </c>
      <c r="E1410">
        <v>-1</v>
      </c>
      <c r="F1410" t="s">
        <v>23</v>
      </c>
      <c r="G1410" t="s">
        <v>15</v>
      </c>
      <c r="H1410" t="s">
        <v>16</v>
      </c>
      <c r="I1410">
        <v>0</v>
      </c>
      <c r="J1410" s="23">
        <v>29800</v>
      </c>
      <c r="K1410" t="s">
        <v>17</v>
      </c>
    </row>
    <row r="1411" spans="1:11" ht="15" customHeight="1" x14ac:dyDescent="0.3">
      <c r="A1411" t="s">
        <v>10</v>
      </c>
      <c r="B1411" t="s">
        <v>11</v>
      </c>
      <c r="C1411" t="s">
        <v>24</v>
      </c>
      <c r="D1411" t="s">
        <v>28</v>
      </c>
      <c r="E1411">
        <v>10</v>
      </c>
      <c r="F1411" t="s">
        <v>26</v>
      </c>
      <c r="G1411" t="s">
        <v>15</v>
      </c>
      <c r="H1411" t="s">
        <v>16</v>
      </c>
      <c r="I1411">
        <v>0</v>
      </c>
      <c r="J1411" s="23">
        <v>2447185</v>
      </c>
      <c r="K1411">
        <v>24471850</v>
      </c>
    </row>
    <row r="1412" spans="1:11" ht="15" customHeight="1" x14ac:dyDescent="0.3">
      <c r="A1412" t="s">
        <v>10</v>
      </c>
      <c r="B1412" t="s">
        <v>11</v>
      </c>
      <c r="C1412" t="s">
        <v>12</v>
      </c>
      <c r="D1412" t="s">
        <v>25</v>
      </c>
      <c r="E1412">
        <v>1</v>
      </c>
      <c r="F1412" t="s">
        <v>42</v>
      </c>
      <c r="G1412" t="s">
        <v>15</v>
      </c>
      <c r="H1412" t="s">
        <v>16</v>
      </c>
      <c r="I1412">
        <v>0</v>
      </c>
      <c r="J1412" s="23">
        <v>-753</v>
      </c>
      <c r="K1412" t="s">
        <v>17</v>
      </c>
    </row>
    <row r="1413" spans="1:11" ht="15" customHeight="1" x14ac:dyDescent="0.3">
      <c r="A1413" t="s">
        <v>22</v>
      </c>
      <c r="B1413" t="s">
        <v>11</v>
      </c>
      <c r="C1413" t="s">
        <v>24</v>
      </c>
      <c r="D1413" t="s">
        <v>25</v>
      </c>
      <c r="E1413">
        <v>4</v>
      </c>
      <c r="F1413" t="s">
        <v>29</v>
      </c>
      <c r="G1413" t="s">
        <v>15</v>
      </c>
      <c r="H1413" t="s">
        <v>16</v>
      </c>
      <c r="I1413">
        <v>0</v>
      </c>
      <c r="J1413" s="23">
        <v>172961</v>
      </c>
      <c r="K1413">
        <v>691844</v>
      </c>
    </row>
    <row r="1414" spans="1:11" ht="15" customHeight="1" x14ac:dyDescent="0.3">
      <c r="A1414" t="s">
        <v>18</v>
      </c>
      <c r="B1414" t="s">
        <v>19</v>
      </c>
      <c r="C1414" t="s">
        <v>12</v>
      </c>
      <c r="D1414" t="s">
        <v>28</v>
      </c>
      <c r="E1414">
        <v>32</v>
      </c>
      <c r="F1414"/>
      <c r="G1414" t="s">
        <v>15</v>
      </c>
      <c r="H1414" t="s">
        <v>16</v>
      </c>
      <c r="I1414">
        <v>0</v>
      </c>
      <c r="J1414" s="23">
        <v>-665</v>
      </c>
      <c r="K1414" t="s">
        <v>17</v>
      </c>
    </row>
    <row r="1415" spans="1:11" ht="15" customHeight="1" x14ac:dyDescent="0.3">
      <c r="A1415" t="s">
        <v>18</v>
      </c>
      <c r="B1415" t="s">
        <v>11</v>
      </c>
      <c r="C1415" t="s">
        <v>12</v>
      </c>
      <c r="D1415" t="s">
        <v>28</v>
      </c>
      <c r="E1415">
        <v>2</v>
      </c>
      <c r="F1415" t="s">
        <v>14</v>
      </c>
      <c r="G1415" t="s">
        <v>31</v>
      </c>
      <c r="H1415" t="s">
        <v>16</v>
      </c>
      <c r="I1415">
        <v>1</v>
      </c>
      <c r="J1415" s="23">
        <v>-33</v>
      </c>
      <c r="K1415" t="s">
        <v>17</v>
      </c>
    </row>
    <row r="1416" spans="1:11" ht="15" customHeight="1" x14ac:dyDescent="0.3">
      <c r="A1416" t="s">
        <v>10</v>
      </c>
      <c r="B1416" t="s">
        <v>11</v>
      </c>
      <c r="C1416" t="s">
        <v>24</v>
      </c>
      <c r="D1416" t="s">
        <v>28</v>
      </c>
      <c r="E1416">
        <v>13</v>
      </c>
      <c r="F1416" t="s">
        <v>21</v>
      </c>
      <c r="G1416" t="s">
        <v>15</v>
      </c>
      <c r="H1416" t="s">
        <v>16</v>
      </c>
      <c r="I1416">
        <v>0</v>
      </c>
      <c r="J1416" s="23">
        <v>592267</v>
      </c>
      <c r="K1416">
        <v>7699471</v>
      </c>
    </row>
    <row r="1417" spans="1:11" ht="15" customHeight="1" x14ac:dyDescent="0.3">
      <c r="A1417" t="s">
        <v>10</v>
      </c>
      <c r="B1417" t="s">
        <v>11</v>
      </c>
      <c r="C1417" t="s">
        <v>24</v>
      </c>
      <c r="D1417" t="s">
        <v>13</v>
      </c>
      <c r="E1417">
        <v>8</v>
      </c>
      <c r="F1417" t="s">
        <v>34</v>
      </c>
      <c r="G1417" t="s">
        <v>15</v>
      </c>
      <c r="H1417" t="s">
        <v>16</v>
      </c>
      <c r="I1417">
        <v>0</v>
      </c>
      <c r="J1417" s="23">
        <v>2487674</v>
      </c>
      <c r="K1417">
        <v>19901392</v>
      </c>
    </row>
    <row r="1418" spans="1:11" ht="15" customHeight="1" x14ac:dyDescent="0.3">
      <c r="A1418" t="s">
        <v>18</v>
      </c>
      <c r="B1418" t="s">
        <v>11</v>
      </c>
      <c r="C1418" t="s">
        <v>12</v>
      </c>
      <c r="D1418" t="s">
        <v>28</v>
      </c>
      <c r="E1418">
        <v>13</v>
      </c>
      <c r="F1418" t="s">
        <v>40</v>
      </c>
      <c r="G1418" t="s">
        <v>15</v>
      </c>
      <c r="H1418" t="s">
        <v>16</v>
      </c>
      <c r="I1418">
        <v>0</v>
      </c>
      <c r="J1418" s="23">
        <v>-292</v>
      </c>
      <c r="K1418" t="s">
        <v>17</v>
      </c>
    </row>
    <row r="1419" spans="1:11" ht="15" customHeight="1" x14ac:dyDescent="0.3">
      <c r="A1419" t="s">
        <v>18</v>
      </c>
      <c r="B1419" t="s">
        <v>11</v>
      </c>
      <c r="C1419" t="s">
        <v>24</v>
      </c>
      <c r="D1419" t="s">
        <v>28</v>
      </c>
      <c r="E1419">
        <v>-4</v>
      </c>
      <c r="F1419" t="s">
        <v>23</v>
      </c>
      <c r="G1419" t="s">
        <v>15</v>
      </c>
      <c r="H1419" t="s">
        <v>16</v>
      </c>
      <c r="I1419">
        <v>0</v>
      </c>
      <c r="J1419" s="23">
        <v>56</v>
      </c>
      <c r="K1419" t="s">
        <v>17</v>
      </c>
    </row>
    <row r="1420" spans="1:11" ht="15" customHeight="1" x14ac:dyDescent="0.3">
      <c r="A1420" t="s">
        <v>22</v>
      </c>
      <c r="B1420" t="s">
        <v>11</v>
      </c>
      <c r="C1420" t="s">
        <v>12</v>
      </c>
      <c r="D1420" t="s">
        <v>28</v>
      </c>
      <c r="E1420">
        <v>5</v>
      </c>
      <c r="F1420" t="s">
        <v>23</v>
      </c>
      <c r="G1420" t="s">
        <v>15</v>
      </c>
      <c r="H1420" t="s">
        <v>16</v>
      </c>
      <c r="I1420">
        <v>0</v>
      </c>
      <c r="J1420" s="23">
        <v>-12811</v>
      </c>
      <c r="K1420" t="s">
        <v>17</v>
      </c>
    </row>
    <row r="1421" spans="1:11" ht="15" customHeight="1" x14ac:dyDescent="0.3">
      <c r="A1421" t="s">
        <v>18</v>
      </c>
      <c r="B1421" t="s">
        <v>11</v>
      </c>
      <c r="C1421" t="s">
        <v>12</v>
      </c>
      <c r="D1421" t="s">
        <v>13</v>
      </c>
      <c r="E1421">
        <v>14</v>
      </c>
      <c r="F1421" t="s">
        <v>26</v>
      </c>
      <c r="G1421" t="s">
        <v>15</v>
      </c>
      <c r="H1421" t="s">
        <v>16</v>
      </c>
      <c r="I1421">
        <v>0</v>
      </c>
      <c r="J1421" s="23">
        <v>-883</v>
      </c>
      <c r="K1421" t="s">
        <v>17</v>
      </c>
    </row>
    <row r="1422" spans="1:11" ht="15" customHeight="1" x14ac:dyDescent="0.3">
      <c r="A1422" t="s">
        <v>10</v>
      </c>
      <c r="B1422" t="s">
        <v>11</v>
      </c>
      <c r="C1422" t="s">
        <v>24</v>
      </c>
      <c r="D1422" t="s">
        <v>13</v>
      </c>
      <c r="E1422">
        <v>-1</v>
      </c>
      <c r="F1422" t="s">
        <v>27</v>
      </c>
      <c r="G1422" t="s">
        <v>15</v>
      </c>
      <c r="H1422" t="s">
        <v>16</v>
      </c>
      <c r="I1422">
        <v>0</v>
      </c>
      <c r="J1422" s="23">
        <v>1219985</v>
      </c>
      <c r="K1422" t="s">
        <v>17</v>
      </c>
    </row>
    <row r="1423" spans="1:11" ht="15" customHeight="1" x14ac:dyDescent="0.3">
      <c r="A1423" t="s">
        <v>18</v>
      </c>
      <c r="B1423" t="s">
        <v>19</v>
      </c>
      <c r="C1423" t="s">
        <v>24</v>
      </c>
      <c r="D1423" t="s">
        <v>20</v>
      </c>
      <c r="E1423">
        <v>10</v>
      </c>
      <c r="F1423"/>
      <c r="G1423" t="s">
        <v>31</v>
      </c>
      <c r="H1423" t="s">
        <v>32</v>
      </c>
      <c r="I1423">
        <v>1</v>
      </c>
      <c r="J1423" s="23">
        <v>161670</v>
      </c>
      <c r="K1423">
        <v>1616700</v>
      </c>
    </row>
    <row r="1424" spans="1:11" ht="15" customHeight="1" x14ac:dyDescent="0.3">
      <c r="A1424" t="s">
        <v>10</v>
      </c>
      <c r="B1424" t="s">
        <v>11</v>
      </c>
      <c r="C1424" t="s">
        <v>24</v>
      </c>
      <c r="D1424" t="s">
        <v>28</v>
      </c>
      <c r="E1424">
        <v>12</v>
      </c>
      <c r="F1424" t="s">
        <v>21</v>
      </c>
      <c r="G1424" t="s">
        <v>31</v>
      </c>
      <c r="H1424" t="s">
        <v>32</v>
      </c>
      <c r="I1424">
        <v>1</v>
      </c>
      <c r="J1424" s="23">
        <v>34427</v>
      </c>
      <c r="K1424">
        <v>413124</v>
      </c>
    </row>
    <row r="1425" spans="1:11" ht="15" customHeight="1" x14ac:dyDescent="0.3">
      <c r="A1425" t="s">
        <v>22</v>
      </c>
      <c r="B1425" t="s">
        <v>19</v>
      </c>
      <c r="C1425" t="s">
        <v>24</v>
      </c>
      <c r="D1425" t="s">
        <v>20</v>
      </c>
      <c r="E1425">
        <v>-4</v>
      </c>
      <c r="F1425"/>
      <c r="G1425" t="s">
        <v>15</v>
      </c>
      <c r="H1425" t="s">
        <v>16</v>
      </c>
      <c r="I1425">
        <v>0</v>
      </c>
      <c r="J1425" s="23">
        <v>968924</v>
      </c>
      <c r="K1425" t="s">
        <v>17</v>
      </c>
    </row>
    <row r="1426" spans="1:11" ht="15" customHeight="1" x14ac:dyDescent="0.3">
      <c r="A1426" t="s">
        <v>18</v>
      </c>
      <c r="B1426" t="s">
        <v>19</v>
      </c>
      <c r="C1426" t="s">
        <v>12</v>
      </c>
      <c r="D1426" t="s">
        <v>20</v>
      </c>
      <c r="E1426">
        <v>13</v>
      </c>
      <c r="F1426"/>
      <c r="G1426" t="s">
        <v>31</v>
      </c>
      <c r="H1426" t="s">
        <v>32</v>
      </c>
      <c r="I1426">
        <v>1</v>
      </c>
      <c r="J1426" s="23">
        <v>-14</v>
      </c>
      <c r="K1426" t="s">
        <v>17</v>
      </c>
    </row>
    <row r="1427" spans="1:11" ht="15" customHeight="1" x14ac:dyDescent="0.3">
      <c r="A1427" t="s">
        <v>22</v>
      </c>
      <c r="B1427" t="s">
        <v>19</v>
      </c>
      <c r="C1427" t="s">
        <v>12</v>
      </c>
      <c r="D1427" t="s">
        <v>20</v>
      </c>
      <c r="E1427">
        <v>29</v>
      </c>
      <c r="F1427"/>
      <c r="G1427" t="s">
        <v>31</v>
      </c>
      <c r="H1427" t="s">
        <v>16</v>
      </c>
      <c r="I1427">
        <v>1</v>
      </c>
      <c r="J1427" s="23">
        <v>-63415</v>
      </c>
      <c r="K1427" t="s">
        <v>17</v>
      </c>
    </row>
    <row r="1428" spans="1:11" ht="15" customHeight="1" x14ac:dyDescent="0.3">
      <c r="A1428" t="s">
        <v>18</v>
      </c>
      <c r="B1428" t="s">
        <v>11</v>
      </c>
      <c r="C1428" t="s">
        <v>24</v>
      </c>
      <c r="D1428" t="s">
        <v>28</v>
      </c>
      <c r="E1428">
        <v>9</v>
      </c>
      <c r="F1428" t="s">
        <v>14</v>
      </c>
      <c r="G1428" t="s">
        <v>15</v>
      </c>
      <c r="H1428" t="s">
        <v>16</v>
      </c>
      <c r="I1428">
        <v>0</v>
      </c>
      <c r="J1428" s="23">
        <v>17784846</v>
      </c>
      <c r="K1428">
        <v>160063614</v>
      </c>
    </row>
    <row r="1429" spans="1:11" ht="15" customHeight="1" x14ac:dyDescent="0.3">
      <c r="A1429" t="s">
        <v>10</v>
      </c>
      <c r="B1429" t="s">
        <v>11</v>
      </c>
      <c r="C1429" t="s">
        <v>24</v>
      </c>
      <c r="D1429" t="s">
        <v>13</v>
      </c>
      <c r="E1429">
        <v>5</v>
      </c>
      <c r="F1429" t="s">
        <v>14</v>
      </c>
      <c r="G1429" t="s">
        <v>15</v>
      </c>
      <c r="H1429" t="s">
        <v>16</v>
      </c>
      <c r="I1429">
        <v>0</v>
      </c>
      <c r="J1429" s="23">
        <v>592450</v>
      </c>
      <c r="K1429">
        <v>2962250</v>
      </c>
    </row>
    <row r="1430" spans="1:11" ht="15" customHeight="1" x14ac:dyDescent="0.3">
      <c r="A1430" t="s">
        <v>18</v>
      </c>
      <c r="B1430" t="s">
        <v>11</v>
      </c>
      <c r="C1430" t="s">
        <v>24</v>
      </c>
      <c r="D1430" t="s">
        <v>28</v>
      </c>
      <c r="E1430">
        <v>5</v>
      </c>
      <c r="F1430" t="s">
        <v>21</v>
      </c>
      <c r="G1430" t="s">
        <v>15</v>
      </c>
      <c r="H1430" t="s">
        <v>16</v>
      </c>
      <c r="I1430">
        <v>0</v>
      </c>
      <c r="J1430" s="23">
        <v>32996608</v>
      </c>
      <c r="K1430">
        <v>164983040</v>
      </c>
    </row>
    <row r="1431" spans="1:11" ht="15" customHeight="1" x14ac:dyDescent="0.3">
      <c r="A1431" t="s">
        <v>18</v>
      </c>
      <c r="B1431" t="s">
        <v>19</v>
      </c>
      <c r="C1431" t="s">
        <v>24</v>
      </c>
      <c r="D1431" t="s">
        <v>20</v>
      </c>
      <c r="E1431">
        <v>1</v>
      </c>
      <c r="F1431"/>
      <c r="G1431" t="s">
        <v>15</v>
      </c>
      <c r="H1431" t="s">
        <v>32</v>
      </c>
      <c r="I1431">
        <v>1</v>
      </c>
      <c r="J1431" s="23">
        <v>41421</v>
      </c>
      <c r="K1431">
        <v>41421</v>
      </c>
    </row>
    <row r="1432" spans="1:11" ht="15" customHeight="1" x14ac:dyDescent="0.3">
      <c r="A1432" t="s">
        <v>10</v>
      </c>
      <c r="B1432" t="s">
        <v>11</v>
      </c>
      <c r="C1432" t="s">
        <v>12</v>
      </c>
      <c r="D1432" t="s">
        <v>13</v>
      </c>
      <c r="E1432">
        <v>10</v>
      </c>
      <c r="F1432" t="s">
        <v>34</v>
      </c>
      <c r="G1432" t="s">
        <v>15</v>
      </c>
      <c r="H1432" t="s">
        <v>16</v>
      </c>
      <c r="I1432">
        <v>0</v>
      </c>
      <c r="J1432" s="23">
        <v>-1100</v>
      </c>
      <c r="K1432" t="s">
        <v>17</v>
      </c>
    </row>
    <row r="1433" spans="1:11" ht="15" customHeight="1" x14ac:dyDescent="0.3">
      <c r="A1433" t="s">
        <v>18</v>
      </c>
      <c r="B1433" t="s">
        <v>11</v>
      </c>
      <c r="C1433" t="s">
        <v>12</v>
      </c>
      <c r="D1433" t="s">
        <v>28</v>
      </c>
      <c r="E1433">
        <v>3</v>
      </c>
      <c r="F1433" t="s">
        <v>21</v>
      </c>
      <c r="G1433" t="s">
        <v>15</v>
      </c>
      <c r="H1433" t="s">
        <v>16</v>
      </c>
      <c r="I1433">
        <v>0</v>
      </c>
      <c r="J1433" s="23">
        <v>-6745</v>
      </c>
      <c r="K1433" t="s">
        <v>17</v>
      </c>
    </row>
    <row r="1434" spans="1:11" ht="15" customHeight="1" x14ac:dyDescent="0.3">
      <c r="A1434" t="s">
        <v>22</v>
      </c>
      <c r="B1434" t="s">
        <v>11</v>
      </c>
      <c r="C1434" t="s">
        <v>12</v>
      </c>
      <c r="D1434" t="s">
        <v>13</v>
      </c>
      <c r="E1434">
        <v>2</v>
      </c>
      <c r="F1434" t="s">
        <v>37</v>
      </c>
      <c r="G1434" t="s">
        <v>15</v>
      </c>
      <c r="H1434" t="s">
        <v>16</v>
      </c>
      <c r="I1434">
        <v>0</v>
      </c>
      <c r="J1434" s="23">
        <v>-96880</v>
      </c>
      <c r="K1434" t="s">
        <v>17</v>
      </c>
    </row>
    <row r="1435" spans="1:11" ht="15" customHeight="1" x14ac:dyDescent="0.3">
      <c r="A1435" t="s">
        <v>10</v>
      </c>
      <c r="B1435" t="s">
        <v>11</v>
      </c>
      <c r="C1435" t="s">
        <v>24</v>
      </c>
      <c r="D1435" t="s">
        <v>28</v>
      </c>
      <c r="E1435">
        <v>6</v>
      </c>
      <c r="F1435" t="s">
        <v>33</v>
      </c>
      <c r="G1435" t="s">
        <v>15</v>
      </c>
      <c r="H1435" t="s">
        <v>16</v>
      </c>
      <c r="I1435">
        <v>0</v>
      </c>
      <c r="J1435" s="23">
        <v>301973</v>
      </c>
      <c r="K1435">
        <v>1811838</v>
      </c>
    </row>
    <row r="1436" spans="1:11" ht="15" customHeight="1" x14ac:dyDescent="0.3">
      <c r="A1436" t="s">
        <v>22</v>
      </c>
      <c r="B1436" t="s">
        <v>19</v>
      </c>
      <c r="C1436" t="s">
        <v>24</v>
      </c>
      <c r="D1436" t="s">
        <v>20</v>
      </c>
      <c r="E1436">
        <v>9</v>
      </c>
      <c r="F1436"/>
      <c r="G1436" t="s">
        <v>31</v>
      </c>
      <c r="H1436" t="s">
        <v>16</v>
      </c>
      <c r="I1436">
        <v>1</v>
      </c>
      <c r="J1436" s="23">
        <v>20091</v>
      </c>
      <c r="K1436">
        <v>180819</v>
      </c>
    </row>
    <row r="1437" spans="1:11" ht="15" customHeight="1" x14ac:dyDescent="0.3">
      <c r="A1437" t="s">
        <v>10</v>
      </c>
      <c r="B1437" t="s">
        <v>19</v>
      </c>
      <c r="C1437" t="s">
        <v>24</v>
      </c>
      <c r="D1437" t="s">
        <v>28</v>
      </c>
      <c r="E1437">
        <v>16</v>
      </c>
      <c r="F1437"/>
      <c r="G1437" t="s">
        <v>15</v>
      </c>
      <c r="H1437" t="s">
        <v>16</v>
      </c>
      <c r="I1437">
        <v>0</v>
      </c>
      <c r="J1437" s="23">
        <v>277986</v>
      </c>
      <c r="K1437">
        <v>4447776</v>
      </c>
    </row>
    <row r="1438" spans="1:11" ht="15" customHeight="1" x14ac:dyDescent="0.3">
      <c r="A1438" t="s">
        <v>10</v>
      </c>
      <c r="B1438" t="s">
        <v>11</v>
      </c>
      <c r="C1438" t="s">
        <v>24</v>
      </c>
      <c r="D1438" t="s">
        <v>25</v>
      </c>
      <c r="E1438">
        <v>-4</v>
      </c>
      <c r="F1438" t="s">
        <v>38</v>
      </c>
      <c r="G1438" t="s">
        <v>15</v>
      </c>
      <c r="H1438" t="s">
        <v>16</v>
      </c>
      <c r="I1438">
        <v>0</v>
      </c>
      <c r="J1438" s="23">
        <v>91</v>
      </c>
      <c r="K1438" t="s">
        <v>17</v>
      </c>
    </row>
    <row r="1439" spans="1:11" ht="15" customHeight="1" x14ac:dyDescent="0.3">
      <c r="A1439" t="s">
        <v>10</v>
      </c>
      <c r="B1439" t="s">
        <v>11</v>
      </c>
      <c r="C1439" t="s">
        <v>24</v>
      </c>
      <c r="D1439" t="s">
        <v>28</v>
      </c>
      <c r="E1439">
        <v>-1</v>
      </c>
      <c r="F1439" t="s">
        <v>34</v>
      </c>
      <c r="G1439" t="s">
        <v>15</v>
      </c>
      <c r="H1439" t="s">
        <v>16</v>
      </c>
      <c r="I1439">
        <v>0</v>
      </c>
      <c r="J1439" s="23">
        <v>826075</v>
      </c>
      <c r="K1439" t="s">
        <v>17</v>
      </c>
    </row>
    <row r="1440" spans="1:11" ht="15" customHeight="1" x14ac:dyDescent="0.3">
      <c r="A1440" t="s">
        <v>10</v>
      </c>
      <c r="B1440" t="s">
        <v>11</v>
      </c>
      <c r="C1440" t="s">
        <v>24</v>
      </c>
      <c r="D1440" t="s">
        <v>28</v>
      </c>
      <c r="E1440">
        <v>1</v>
      </c>
      <c r="F1440" t="s">
        <v>21</v>
      </c>
      <c r="G1440" t="s">
        <v>15</v>
      </c>
      <c r="H1440" t="s">
        <v>16</v>
      </c>
      <c r="I1440">
        <v>0</v>
      </c>
      <c r="J1440" s="23">
        <v>476413</v>
      </c>
      <c r="K1440">
        <v>476413</v>
      </c>
    </row>
    <row r="1441" spans="1:11" ht="15" customHeight="1" x14ac:dyDescent="0.3">
      <c r="A1441" t="s">
        <v>18</v>
      </c>
      <c r="B1441" t="s">
        <v>44</v>
      </c>
      <c r="C1441" t="s">
        <v>12</v>
      </c>
      <c r="D1441" t="s">
        <v>28</v>
      </c>
      <c r="E1441">
        <v>12</v>
      </c>
      <c r="F1441" t="s">
        <v>26</v>
      </c>
      <c r="G1441" t="s">
        <v>15</v>
      </c>
      <c r="H1441" t="s">
        <v>16</v>
      </c>
      <c r="I1441">
        <v>0</v>
      </c>
      <c r="J1441" s="23">
        <v>-10069</v>
      </c>
      <c r="K1441" t="s">
        <v>17</v>
      </c>
    </row>
    <row r="1442" spans="1:11" ht="15" customHeight="1" x14ac:dyDescent="0.3">
      <c r="A1442" t="s">
        <v>18</v>
      </c>
      <c r="B1442" t="s">
        <v>11</v>
      </c>
      <c r="C1442" t="s">
        <v>12</v>
      </c>
      <c r="D1442" t="s">
        <v>13</v>
      </c>
      <c r="E1442">
        <v>7</v>
      </c>
      <c r="F1442" t="s">
        <v>34</v>
      </c>
      <c r="G1442" t="s">
        <v>15</v>
      </c>
      <c r="H1442" t="s">
        <v>16</v>
      </c>
      <c r="I1442">
        <v>0</v>
      </c>
      <c r="J1442" s="23">
        <v>-23753</v>
      </c>
      <c r="K1442" t="s">
        <v>17</v>
      </c>
    </row>
    <row r="1443" spans="1:11" ht="15" customHeight="1" x14ac:dyDescent="0.3">
      <c r="A1443" t="s">
        <v>10</v>
      </c>
      <c r="B1443" t="s">
        <v>19</v>
      </c>
      <c r="C1443" t="s">
        <v>24</v>
      </c>
      <c r="D1443" t="s">
        <v>28</v>
      </c>
      <c r="E1443">
        <v>2</v>
      </c>
      <c r="F1443"/>
      <c r="G1443" t="s">
        <v>31</v>
      </c>
      <c r="H1443" t="s">
        <v>16</v>
      </c>
      <c r="I1443">
        <v>1</v>
      </c>
      <c r="J1443" s="23">
        <v>6739</v>
      </c>
      <c r="K1443">
        <v>13478</v>
      </c>
    </row>
    <row r="1444" spans="1:11" ht="15" customHeight="1" x14ac:dyDescent="0.3">
      <c r="A1444" t="s">
        <v>18</v>
      </c>
      <c r="B1444" t="s">
        <v>11</v>
      </c>
      <c r="C1444" t="s">
        <v>24</v>
      </c>
      <c r="D1444" t="s">
        <v>13</v>
      </c>
      <c r="E1444">
        <v>1</v>
      </c>
      <c r="F1444" t="s">
        <v>14</v>
      </c>
      <c r="G1444" t="s">
        <v>15</v>
      </c>
      <c r="H1444" t="s">
        <v>16</v>
      </c>
      <c r="I1444">
        <v>0</v>
      </c>
      <c r="J1444" s="23">
        <v>13848108</v>
      </c>
      <c r="K1444">
        <v>13848108</v>
      </c>
    </row>
    <row r="1445" spans="1:11" ht="15" customHeight="1" x14ac:dyDescent="0.3">
      <c r="A1445" t="s">
        <v>18</v>
      </c>
      <c r="B1445" t="s">
        <v>19</v>
      </c>
      <c r="C1445" t="s">
        <v>12</v>
      </c>
      <c r="D1445" t="s">
        <v>20</v>
      </c>
      <c r="E1445">
        <v>5</v>
      </c>
      <c r="F1445"/>
      <c r="G1445" t="s">
        <v>15</v>
      </c>
      <c r="H1445" t="s">
        <v>16</v>
      </c>
      <c r="I1445">
        <v>0</v>
      </c>
      <c r="J1445" s="23">
        <v>-37064</v>
      </c>
      <c r="K1445" t="s">
        <v>17</v>
      </c>
    </row>
    <row r="1446" spans="1:11" ht="15" customHeight="1" x14ac:dyDescent="0.3">
      <c r="A1446" t="s">
        <v>18</v>
      </c>
      <c r="B1446" t="s">
        <v>44</v>
      </c>
      <c r="C1446" t="s">
        <v>12</v>
      </c>
      <c r="D1446" t="s">
        <v>28</v>
      </c>
      <c r="E1446">
        <v>5</v>
      </c>
      <c r="F1446" t="s">
        <v>38</v>
      </c>
      <c r="G1446" t="s">
        <v>15</v>
      </c>
      <c r="H1446" t="s">
        <v>16</v>
      </c>
      <c r="I1446">
        <v>0</v>
      </c>
      <c r="J1446" s="23">
        <v>-126</v>
      </c>
      <c r="K1446" t="s">
        <v>17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28</v>
      </c>
      <c r="E1447">
        <v>1</v>
      </c>
      <c r="F1447" t="s">
        <v>21</v>
      </c>
      <c r="G1447" t="s">
        <v>15</v>
      </c>
      <c r="H1447" t="s">
        <v>16</v>
      </c>
      <c r="I1447">
        <v>0</v>
      </c>
      <c r="J1447" s="23">
        <v>48731084</v>
      </c>
      <c r="K1447">
        <v>48731084</v>
      </c>
    </row>
    <row r="1448" spans="1:11" ht="15" customHeight="1" x14ac:dyDescent="0.3">
      <c r="A1448" t="s">
        <v>22</v>
      </c>
      <c r="B1448" t="s">
        <v>19</v>
      </c>
      <c r="C1448" t="s">
        <v>12</v>
      </c>
      <c r="D1448" t="s">
        <v>20</v>
      </c>
      <c r="E1448">
        <v>11</v>
      </c>
      <c r="F1448"/>
      <c r="G1448" t="s">
        <v>31</v>
      </c>
      <c r="H1448" t="s">
        <v>16</v>
      </c>
      <c r="I1448">
        <v>1</v>
      </c>
      <c r="J1448" s="23">
        <v>-17580</v>
      </c>
      <c r="K1448" t="s">
        <v>17</v>
      </c>
    </row>
    <row r="1449" spans="1:11" ht="15" customHeight="1" x14ac:dyDescent="0.3">
      <c r="A1449" t="s">
        <v>22</v>
      </c>
      <c r="B1449" t="s">
        <v>11</v>
      </c>
      <c r="C1449" t="s">
        <v>24</v>
      </c>
      <c r="D1449" t="s">
        <v>13</v>
      </c>
      <c r="E1449">
        <v>-1</v>
      </c>
      <c r="F1449" t="s">
        <v>42</v>
      </c>
      <c r="G1449" t="s">
        <v>15</v>
      </c>
      <c r="H1449" t="s">
        <v>16</v>
      </c>
      <c r="I1449">
        <v>0</v>
      </c>
      <c r="J1449" s="23">
        <v>225685</v>
      </c>
      <c r="K1449" t="s">
        <v>17</v>
      </c>
    </row>
    <row r="1450" spans="1:11" ht="15" customHeight="1" x14ac:dyDescent="0.3">
      <c r="A1450" t="s">
        <v>18</v>
      </c>
      <c r="B1450" t="s">
        <v>11</v>
      </c>
      <c r="C1450" t="s">
        <v>12</v>
      </c>
      <c r="D1450" t="s">
        <v>25</v>
      </c>
      <c r="E1450">
        <v>5</v>
      </c>
      <c r="F1450" t="s">
        <v>37</v>
      </c>
      <c r="G1450" t="s">
        <v>15</v>
      </c>
      <c r="H1450" t="s">
        <v>16</v>
      </c>
      <c r="I1450">
        <v>0</v>
      </c>
      <c r="J1450" s="23">
        <v>-2100</v>
      </c>
      <c r="K1450" t="s">
        <v>17</v>
      </c>
    </row>
    <row r="1451" spans="1:11" ht="15" customHeight="1" x14ac:dyDescent="0.3">
      <c r="A1451" t="s">
        <v>18</v>
      </c>
      <c r="B1451" t="s">
        <v>11</v>
      </c>
      <c r="C1451" t="s">
        <v>24</v>
      </c>
      <c r="D1451" t="s">
        <v>25</v>
      </c>
      <c r="E1451">
        <v>-4</v>
      </c>
      <c r="F1451" t="s">
        <v>29</v>
      </c>
      <c r="G1451" t="s">
        <v>15</v>
      </c>
      <c r="H1451" t="s">
        <v>16</v>
      </c>
      <c r="I1451">
        <v>0</v>
      </c>
      <c r="J1451" s="23">
        <v>432</v>
      </c>
      <c r="K1451" t="s">
        <v>17</v>
      </c>
    </row>
    <row r="1452" spans="1:11" ht="15" customHeight="1" x14ac:dyDescent="0.3">
      <c r="A1452" t="s">
        <v>18</v>
      </c>
      <c r="B1452" t="s">
        <v>11</v>
      </c>
      <c r="C1452" t="s">
        <v>12</v>
      </c>
      <c r="D1452" t="s">
        <v>13</v>
      </c>
      <c r="E1452">
        <v>3</v>
      </c>
      <c r="F1452" t="s">
        <v>23</v>
      </c>
      <c r="G1452" t="s">
        <v>15</v>
      </c>
      <c r="H1452" t="s">
        <v>16</v>
      </c>
      <c r="I1452">
        <v>0</v>
      </c>
      <c r="J1452" s="23">
        <v>-143957</v>
      </c>
      <c r="K1452" t="s">
        <v>17</v>
      </c>
    </row>
    <row r="1453" spans="1:11" ht="15" customHeight="1" x14ac:dyDescent="0.3">
      <c r="A1453" t="s">
        <v>18</v>
      </c>
      <c r="B1453" t="s">
        <v>19</v>
      </c>
      <c r="C1453" t="s">
        <v>12</v>
      </c>
      <c r="D1453" t="s">
        <v>20</v>
      </c>
      <c r="E1453">
        <v>15</v>
      </c>
      <c r="F1453"/>
      <c r="G1453" t="s">
        <v>31</v>
      </c>
      <c r="H1453" t="s">
        <v>16</v>
      </c>
      <c r="I1453">
        <v>1</v>
      </c>
      <c r="J1453" s="23">
        <v>-2693</v>
      </c>
      <c r="K1453" t="s">
        <v>17</v>
      </c>
    </row>
    <row r="1454" spans="1:11" ht="15" customHeight="1" x14ac:dyDescent="0.3">
      <c r="A1454" t="s">
        <v>18</v>
      </c>
      <c r="B1454" t="s">
        <v>11</v>
      </c>
      <c r="C1454" t="s">
        <v>24</v>
      </c>
      <c r="D1454" t="s">
        <v>28</v>
      </c>
      <c r="E1454">
        <v>6</v>
      </c>
      <c r="F1454" t="s">
        <v>33</v>
      </c>
      <c r="G1454" t="s">
        <v>15</v>
      </c>
      <c r="H1454" t="s">
        <v>32</v>
      </c>
      <c r="I1454">
        <v>1</v>
      </c>
      <c r="J1454" s="23">
        <v>4225356</v>
      </c>
      <c r="K1454">
        <v>25352136</v>
      </c>
    </row>
    <row r="1455" spans="1:11" ht="15" customHeight="1" x14ac:dyDescent="0.3">
      <c r="A1455" t="s">
        <v>10</v>
      </c>
      <c r="B1455" t="s">
        <v>11</v>
      </c>
      <c r="C1455" t="s">
        <v>12</v>
      </c>
      <c r="D1455" t="s">
        <v>25</v>
      </c>
      <c r="E1455">
        <v>0</v>
      </c>
      <c r="F1455" t="s">
        <v>39</v>
      </c>
      <c r="G1455" t="s">
        <v>15</v>
      </c>
      <c r="H1455" t="s">
        <v>16</v>
      </c>
      <c r="I1455">
        <v>0</v>
      </c>
      <c r="J1455" s="23">
        <v>-3973</v>
      </c>
      <c r="K1455" t="s">
        <v>17</v>
      </c>
    </row>
    <row r="1456" spans="1:11" ht="15" customHeight="1" x14ac:dyDescent="0.3">
      <c r="A1456" t="s">
        <v>10</v>
      </c>
      <c r="B1456" t="s">
        <v>11</v>
      </c>
      <c r="C1456" t="s">
        <v>12</v>
      </c>
      <c r="D1456" t="s">
        <v>25</v>
      </c>
      <c r="E1456">
        <v>7</v>
      </c>
      <c r="F1456" t="s">
        <v>35</v>
      </c>
      <c r="G1456" t="s">
        <v>15</v>
      </c>
      <c r="H1456" t="s">
        <v>16</v>
      </c>
      <c r="I1456">
        <v>0</v>
      </c>
      <c r="J1456" s="23">
        <v>-6696</v>
      </c>
      <c r="K1456" t="s">
        <v>17</v>
      </c>
    </row>
    <row r="1457" spans="1:11" ht="15" customHeight="1" x14ac:dyDescent="0.3">
      <c r="A1457" t="s">
        <v>22</v>
      </c>
      <c r="B1457" t="s">
        <v>11</v>
      </c>
      <c r="C1457" t="s">
        <v>24</v>
      </c>
      <c r="D1457" t="s">
        <v>13</v>
      </c>
      <c r="E1457">
        <v>-1</v>
      </c>
      <c r="F1457" t="s">
        <v>39</v>
      </c>
      <c r="G1457" t="s">
        <v>15</v>
      </c>
      <c r="H1457" t="s">
        <v>16</v>
      </c>
      <c r="I1457">
        <v>0</v>
      </c>
      <c r="J1457" s="23">
        <v>1048154</v>
      </c>
      <c r="K1457" t="s">
        <v>17</v>
      </c>
    </row>
    <row r="1458" spans="1:11" ht="15" customHeight="1" x14ac:dyDescent="0.3">
      <c r="A1458" t="s">
        <v>18</v>
      </c>
      <c r="B1458" t="s">
        <v>19</v>
      </c>
      <c r="C1458" t="s">
        <v>24</v>
      </c>
      <c r="D1458" t="s">
        <v>28</v>
      </c>
      <c r="E1458">
        <v>3</v>
      </c>
      <c r="F1458"/>
      <c r="G1458" t="s">
        <v>15</v>
      </c>
      <c r="H1458" t="s">
        <v>32</v>
      </c>
      <c r="I1458">
        <v>1</v>
      </c>
      <c r="J1458" s="23">
        <v>11492</v>
      </c>
      <c r="K1458">
        <v>34476</v>
      </c>
    </row>
    <row r="1459" spans="1:11" ht="15" customHeight="1" x14ac:dyDescent="0.3">
      <c r="A1459" t="s">
        <v>18</v>
      </c>
      <c r="B1459" t="s">
        <v>11</v>
      </c>
      <c r="C1459" t="s">
        <v>12</v>
      </c>
      <c r="D1459" t="s">
        <v>25</v>
      </c>
      <c r="E1459">
        <v>5</v>
      </c>
      <c r="F1459" t="s">
        <v>26</v>
      </c>
      <c r="G1459" t="s">
        <v>15</v>
      </c>
      <c r="H1459" t="s">
        <v>16</v>
      </c>
      <c r="I1459">
        <v>0</v>
      </c>
      <c r="J1459" s="23">
        <v>-6647</v>
      </c>
      <c r="K1459" t="s">
        <v>17</v>
      </c>
    </row>
    <row r="1460" spans="1:11" ht="15" customHeight="1" x14ac:dyDescent="0.3">
      <c r="A1460" t="s">
        <v>10</v>
      </c>
      <c r="B1460" t="s">
        <v>11</v>
      </c>
      <c r="C1460" t="s">
        <v>24</v>
      </c>
      <c r="D1460" t="s">
        <v>28</v>
      </c>
      <c r="E1460">
        <v>-4</v>
      </c>
      <c r="F1460" t="s">
        <v>34</v>
      </c>
      <c r="G1460" t="s">
        <v>15</v>
      </c>
      <c r="H1460" t="s">
        <v>16</v>
      </c>
      <c r="I1460">
        <v>0</v>
      </c>
      <c r="J1460" s="23">
        <v>4147</v>
      </c>
      <c r="K1460" t="s">
        <v>17</v>
      </c>
    </row>
    <row r="1461" spans="1:11" ht="15" customHeight="1" x14ac:dyDescent="0.3">
      <c r="A1461" t="s">
        <v>18</v>
      </c>
      <c r="B1461" t="s">
        <v>11</v>
      </c>
      <c r="C1461" t="s">
        <v>24</v>
      </c>
      <c r="D1461" t="s">
        <v>28</v>
      </c>
      <c r="E1461">
        <v>12</v>
      </c>
      <c r="F1461" t="s">
        <v>21</v>
      </c>
      <c r="G1461" t="s">
        <v>31</v>
      </c>
      <c r="H1461" t="s">
        <v>32</v>
      </c>
      <c r="I1461">
        <v>1</v>
      </c>
      <c r="J1461" s="23">
        <v>75903</v>
      </c>
      <c r="K1461">
        <v>910836</v>
      </c>
    </row>
    <row r="1462" spans="1:11" ht="15" customHeight="1" x14ac:dyDescent="0.3">
      <c r="A1462" t="s">
        <v>10</v>
      </c>
      <c r="B1462" t="s">
        <v>19</v>
      </c>
      <c r="C1462" t="s">
        <v>12</v>
      </c>
      <c r="D1462" t="s">
        <v>20</v>
      </c>
      <c r="E1462">
        <v>27</v>
      </c>
      <c r="F1462"/>
      <c r="G1462" t="s">
        <v>31</v>
      </c>
      <c r="H1462" t="s">
        <v>32</v>
      </c>
      <c r="I1462">
        <v>1</v>
      </c>
      <c r="J1462" s="23">
        <v>-828</v>
      </c>
      <c r="K1462" t="s">
        <v>17</v>
      </c>
    </row>
    <row r="1463" spans="1:11" ht="15" customHeight="1" x14ac:dyDescent="0.3">
      <c r="A1463" t="s">
        <v>18</v>
      </c>
      <c r="B1463" t="s">
        <v>11</v>
      </c>
      <c r="C1463" t="s">
        <v>12</v>
      </c>
      <c r="D1463" t="s">
        <v>28</v>
      </c>
      <c r="E1463">
        <v>15</v>
      </c>
      <c r="F1463" t="s">
        <v>40</v>
      </c>
      <c r="G1463" t="s">
        <v>15</v>
      </c>
      <c r="H1463" t="s">
        <v>16</v>
      </c>
      <c r="I1463">
        <v>0</v>
      </c>
      <c r="J1463" s="23">
        <v>-3956</v>
      </c>
      <c r="K1463" t="s">
        <v>17</v>
      </c>
    </row>
    <row r="1464" spans="1:11" ht="15" customHeight="1" x14ac:dyDescent="0.3">
      <c r="A1464" t="s">
        <v>22</v>
      </c>
      <c r="B1464" t="s">
        <v>11</v>
      </c>
      <c r="C1464" t="s">
        <v>24</v>
      </c>
      <c r="D1464" t="s">
        <v>13</v>
      </c>
      <c r="E1464">
        <v>0</v>
      </c>
      <c r="F1464" t="s">
        <v>34</v>
      </c>
      <c r="G1464" t="s">
        <v>15</v>
      </c>
      <c r="H1464" t="s">
        <v>16</v>
      </c>
      <c r="I1464">
        <v>0</v>
      </c>
      <c r="J1464" s="23">
        <v>3206413</v>
      </c>
      <c r="K1464" t="s">
        <v>17</v>
      </c>
    </row>
    <row r="1465" spans="1:11" ht="15" customHeight="1" x14ac:dyDescent="0.3">
      <c r="A1465" t="s">
        <v>10</v>
      </c>
      <c r="B1465" t="s">
        <v>11</v>
      </c>
      <c r="C1465" t="s">
        <v>12</v>
      </c>
      <c r="D1465" t="s">
        <v>28</v>
      </c>
      <c r="E1465">
        <v>-1</v>
      </c>
      <c r="F1465" t="s">
        <v>29</v>
      </c>
      <c r="G1465" t="s">
        <v>15</v>
      </c>
      <c r="H1465" t="s">
        <v>16</v>
      </c>
      <c r="I1465">
        <v>0</v>
      </c>
      <c r="J1465" s="23">
        <v>-3619</v>
      </c>
      <c r="K1465" t="s">
        <v>17</v>
      </c>
    </row>
    <row r="1466" spans="1:11" ht="15" customHeight="1" x14ac:dyDescent="0.3">
      <c r="A1466" t="s">
        <v>10</v>
      </c>
      <c r="B1466" t="s">
        <v>11</v>
      </c>
      <c r="C1466" t="s">
        <v>12</v>
      </c>
      <c r="D1466" t="s">
        <v>28</v>
      </c>
      <c r="E1466">
        <v>1</v>
      </c>
      <c r="F1466" t="s">
        <v>14</v>
      </c>
      <c r="G1466" t="s">
        <v>15</v>
      </c>
      <c r="H1466" t="s">
        <v>16</v>
      </c>
      <c r="I1466">
        <v>0</v>
      </c>
      <c r="J1466" s="23">
        <v>-40</v>
      </c>
      <c r="K1466" t="s">
        <v>17</v>
      </c>
    </row>
    <row r="1467" spans="1:11" ht="15" customHeight="1" x14ac:dyDescent="0.3">
      <c r="A1467" t="s">
        <v>22</v>
      </c>
      <c r="B1467" t="s">
        <v>11</v>
      </c>
      <c r="C1467" t="s">
        <v>24</v>
      </c>
      <c r="D1467" t="s">
        <v>13</v>
      </c>
      <c r="E1467">
        <v>5</v>
      </c>
      <c r="F1467" t="s">
        <v>26</v>
      </c>
      <c r="G1467" t="s">
        <v>15</v>
      </c>
      <c r="H1467" t="s">
        <v>16</v>
      </c>
      <c r="I1467">
        <v>0</v>
      </c>
      <c r="J1467" s="23">
        <v>143009</v>
      </c>
      <c r="K1467">
        <v>715045</v>
      </c>
    </row>
    <row r="1468" spans="1:11" ht="15" customHeight="1" x14ac:dyDescent="0.3">
      <c r="A1468" t="s">
        <v>22</v>
      </c>
      <c r="B1468" t="s">
        <v>11</v>
      </c>
      <c r="C1468" t="s">
        <v>24</v>
      </c>
      <c r="D1468" t="s">
        <v>25</v>
      </c>
      <c r="E1468">
        <v>-4</v>
      </c>
      <c r="F1468" t="s">
        <v>21</v>
      </c>
      <c r="G1468" t="s">
        <v>15</v>
      </c>
      <c r="H1468" t="s">
        <v>16</v>
      </c>
      <c r="I1468">
        <v>0</v>
      </c>
      <c r="J1468" s="23">
        <v>544673</v>
      </c>
      <c r="K1468" t="s">
        <v>17</v>
      </c>
    </row>
    <row r="1469" spans="1:11" ht="15" customHeight="1" x14ac:dyDescent="0.3">
      <c r="A1469" t="s">
        <v>18</v>
      </c>
      <c r="B1469" t="s">
        <v>11</v>
      </c>
      <c r="C1469" t="s">
        <v>24</v>
      </c>
      <c r="D1469" t="s">
        <v>13</v>
      </c>
      <c r="E1469">
        <v>7</v>
      </c>
      <c r="F1469" t="s">
        <v>42</v>
      </c>
      <c r="G1469" t="s">
        <v>15</v>
      </c>
      <c r="H1469" t="s">
        <v>16</v>
      </c>
      <c r="I1469">
        <v>0</v>
      </c>
      <c r="J1469" s="23">
        <v>163707</v>
      </c>
      <c r="K1469">
        <v>1145949</v>
      </c>
    </row>
    <row r="1470" spans="1:11" ht="15" customHeight="1" x14ac:dyDescent="0.3">
      <c r="A1470" t="s">
        <v>18</v>
      </c>
      <c r="B1470" t="s">
        <v>19</v>
      </c>
      <c r="C1470" t="s">
        <v>24</v>
      </c>
      <c r="D1470" t="s">
        <v>28</v>
      </c>
      <c r="E1470">
        <v>-4</v>
      </c>
      <c r="F1470"/>
      <c r="G1470" t="s">
        <v>15</v>
      </c>
      <c r="H1470" t="s">
        <v>16</v>
      </c>
      <c r="I1470">
        <v>0</v>
      </c>
      <c r="J1470" s="23">
        <v>290338</v>
      </c>
      <c r="K1470" t="s">
        <v>17</v>
      </c>
    </row>
    <row r="1471" spans="1:11" ht="15" customHeight="1" x14ac:dyDescent="0.3">
      <c r="A1471" t="s">
        <v>22</v>
      </c>
      <c r="B1471" t="s">
        <v>19</v>
      </c>
      <c r="C1471" t="s">
        <v>24</v>
      </c>
      <c r="D1471" t="s">
        <v>20</v>
      </c>
      <c r="E1471">
        <v>4</v>
      </c>
      <c r="F1471"/>
      <c r="G1471" t="s">
        <v>15</v>
      </c>
      <c r="H1471" t="s">
        <v>16</v>
      </c>
      <c r="I1471">
        <v>0</v>
      </c>
      <c r="J1471" s="23">
        <v>1145814</v>
      </c>
      <c r="K1471">
        <v>4583256</v>
      </c>
    </row>
    <row r="1472" spans="1:11" ht="15" customHeight="1" x14ac:dyDescent="0.3">
      <c r="A1472" t="s">
        <v>10</v>
      </c>
      <c r="B1472" t="s">
        <v>11</v>
      </c>
      <c r="C1472" t="s">
        <v>12</v>
      </c>
      <c r="D1472" t="s">
        <v>25</v>
      </c>
      <c r="E1472">
        <v>3</v>
      </c>
      <c r="F1472" t="s">
        <v>26</v>
      </c>
      <c r="G1472" t="s">
        <v>15</v>
      </c>
      <c r="H1472" t="s">
        <v>16</v>
      </c>
      <c r="I1472">
        <v>0</v>
      </c>
      <c r="J1472" s="23">
        <v>-17316</v>
      </c>
      <c r="K1472" t="s">
        <v>17</v>
      </c>
    </row>
    <row r="1473" spans="1:11" ht="15" customHeight="1" x14ac:dyDescent="0.3">
      <c r="A1473" t="s">
        <v>18</v>
      </c>
      <c r="B1473" t="s">
        <v>11</v>
      </c>
      <c r="C1473" t="s">
        <v>12</v>
      </c>
      <c r="D1473" t="s">
        <v>25</v>
      </c>
      <c r="E1473">
        <v>4</v>
      </c>
      <c r="F1473" t="s">
        <v>37</v>
      </c>
      <c r="G1473" t="s">
        <v>15</v>
      </c>
      <c r="H1473" t="s">
        <v>16</v>
      </c>
      <c r="I1473">
        <v>0</v>
      </c>
      <c r="J1473" s="23">
        <v>-4797</v>
      </c>
      <c r="K1473" t="s">
        <v>17</v>
      </c>
    </row>
    <row r="1474" spans="1:11" ht="15" customHeight="1" x14ac:dyDescent="0.3">
      <c r="A1474" t="s">
        <v>10</v>
      </c>
      <c r="B1474" t="s">
        <v>19</v>
      </c>
      <c r="C1474" t="s">
        <v>24</v>
      </c>
      <c r="D1474" t="s">
        <v>20</v>
      </c>
      <c r="E1474">
        <v>42</v>
      </c>
      <c r="F1474"/>
      <c r="G1474" t="s">
        <v>15</v>
      </c>
      <c r="H1474" t="s">
        <v>16</v>
      </c>
      <c r="I1474">
        <v>0</v>
      </c>
      <c r="J1474" s="23">
        <v>3294982</v>
      </c>
      <c r="K1474">
        <v>138389244</v>
      </c>
    </row>
    <row r="1475" spans="1:11" ht="15" customHeight="1" x14ac:dyDescent="0.3">
      <c r="A1475" t="s">
        <v>18</v>
      </c>
      <c r="B1475" t="s">
        <v>11</v>
      </c>
      <c r="C1475" t="s">
        <v>12</v>
      </c>
      <c r="D1475" t="s">
        <v>28</v>
      </c>
      <c r="E1475">
        <v>4</v>
      </c>
      <c r="F1475" t="s">
        <v>29</v>
      </c>
      <c r="G1475" t="s">
        <v>15</v>
      </c>
      <c r="H1475" t="s">
        <v>16</v>
      </c>
      <c r="I1475">
        <v>0</v>
      </c>
      <c r="J1475" s="23">
        <v>-7807</v>
      </c>
      <c r="K1475" t="s">
        <v>17</v>
      </c>
    </row>
    <row r="1476" spans="1:11" ht="15" customHeight="1" x14ac:dyDescent="0.3">
      <c r="A1476" t="s">
        <v>10</v>
      </c>
      <c r="B1476" t="s">
        <v>19</v>
      </c>
      <c r="C1476" t="s">
        <v>24</v>
      </c>
      <c r="D1476" t="s">
        <v>20</v>
      </c>
      <c r="E1476">
        <v>30</v>
      </c>
      <c r="F1476"/>
      <c r="G1476" t="s">
        <v>15</v>
      </c>
      <c r="H1476" t="s">
        <v>16</v>
      </c>
      <c r="I1476">
        <v>0</v>
      </c>
      <c r="J1476" s="23">
        <v>48267000</v>
      </c>
      <c r="K1476">
        <v>1448010000</v>
      </c>
    </row>
    <row r="1477" spans="1:11" ht="15" customHeight="1" x14ac:dyDescent="0.3">
      <c r="A1477" t="s">
        <v>18</v>
      </c>
      <c r="B1477" t="s">
        <v>11</v>
      </c>
      <c r="C1477" t="s">
        <v>12</v>
      </c>
      <c r="D1477" t="s">
        <v>28</v>
      </c>
      <c r="E1477">
        <v>-1</v>
      </c>
      <c r="F1477" t="s">
        <v>26</v>
      </c>
      <c r="G1477" t="s">
        <v>15</v>
      </c>
      <c r="H1477" t="s">
        <v>16</v>
      </c>
      <c r="I1477">
        <v>0</v>
      </c>
      <c r="J1477" s="23">
        <v>-12917</v>
      </c>
      <c r="K1477" t="s">
        <v>17</v>
      </c>
    </row>
    <row r="1478" spans="1:11" ht="15" customHeight="1" x14ac:dyDescent="0.3">
      <c r="A1478" t="s">
        <v>10</v>
      </c>
      <c r="B1478" t="s">
        <v>11</v>
      </c>
      <c r="C1478" t="s">
        <v>12</v>
      </c>
      <c r="D1478" t="s">
        <v>13</v>
      </c>
      <c r="E1478">
        <v>2</v>
      </c>
      <c r="F1478" t="s">
        <v>41</v>
      </c>
      <c r="G1478" t="s">
        <v>15</v>
      </c>
      <c r="H1478" t="s">
        <v>16</v>
      </c>
      <c r="I1478">
        <v>0</v>
      </c>
      <c r="J1478" s="23">
        <v>-3949</v>
      </c>
      <c r="K1478" t="s">
        <v>17</v>
      </c>
    </row>
    <row r="1479" spans="1:11" ht="15" customHeight="1" x14ac:dyDescent="0.3">
      <c r="A1479" t="s">
        <v>22</v>
      </c>
      <c r="B1479" t="s">
        <v>11</v>
      </c>
      <c r="C1479" t="s">
        <v>24</v>
      </c>
      <c r="D1479" t="s">
        <v>13</v>
      </c>
      <c r="E1479">
        <v>3</v>
      </c>
      <c r="F1479" t="s">
        <v>41</v>
      </c>
      <c r="G1479" t="s">
        <v>15</v>
      </c>
      <c r="H1479" t="s">
        <v>16</v>
      </c>
      <c r="I1479">
        <v>0</v>
      </c>
      <c r="J1479" s="23">
        <v>555563</v>
      </c>
      <c r="K1479">
        <v>1666689</v>
      </c>
    </row>
    <row r="1480" spans="1:11" ht="15" customHeight="1" x14ac:dyDescent="0.3">
      <c r="A1480" t="s">
        <v>18</v>
      </c>
      <c r="B1480" t="s">
        <v>11</v>
      </c>
      <c r="C1480" t="s">
        <v>24</v>
      </c>
      <c r="D1480" t="s">
        <v>28</v>
      </c>
      <c r="E1480">
        <v>6</v>
      </c>
      <c r="F1480" t="s">
        <v>14</v>
      </c>
      <c r="G1480" t="s">
        <v>15</v>
      </c>
      <c r="H1480" t="s">
        <v>16</v>
      </c>
      <c r="I1480">
        <v>0</v>
      </c>
      <c r="J1480" s="23">
        <v>4012808</v>
      </c>
      <c r="K1480">
        <v>24076848</v>
      </c>
    </row>
    <row r="1481" spans="1:11" ht="15" customHeight="1" x14ac:dyDescent="0.3">
      <c r="A1481" t="s">
        <v>10</v>
      </c>
      <c r="B1481" t="s">
        <v>11</v>
      </c>
      <c r="C1481" t="s">
        <v>12</v>
      </c>
      <c r="D1481" t="s">
        <v>28</v>
      </c>
      <c r="E1481">
        <v>12</v>
      </c>
      <c r="F1481" t="s">
        <v>38</v>
      </c>
      <c r="G1481" t="s">
        <v>15</v>
      </c>
      <c r="H1481" t="s">
        <v>16</v>
      </c>
      <c r="I1481">
        <v>0</v>
      </c>
      <c r="J1481" s="23">
        <v>-4911</v>
      </c>
      <c r="K1481" t="s">
        <v>17</v>
      </c>
    </row>
    <row r="1482" spans="1:11" ht="15" customHeight="1" x14ac:dyDescent="0.3">
      <c r="A1482" t="s">
        <v>18</v>
      </c>
      <c r="B1482" t="s">
        <v>11</v>
      </c>
      <c r="C1482" t="s">
        <v>24</v>
      </c>
      <c r="D1482" t="s">
        <v>28</v>
      </c>
      <c r="E1482">
        <v>15</v>
      </c>
      <c r="F1482" t="s">
        <v>21</v>
      </c>
      <c r="G1482" t="s">
        <v>15</v>
      </c>
      <c r="H1482" t="s">
        <v>16</v>
      </c>
      <c r="I1482">
        <v>0</v>
      </c>
      <c r="J1482" s="23">
        <v>20582703</v>
      </c>
      <c r="K1482">
        <v>308740545</v>
      </c>
    </row>
    <row r="1483" spans="1:11" ht="15" customHeight="1" x14ac:dyDescent="0.3">
      <c r="A1483" t="s">
        <v>10</v>
      </c>
      <c r="B1483" t="s">
        <v>19</v>
      </c>
      <c r="C1483" t="s">
        <v>24</v>
      </c>
      <c r="D1483" t="s">
        <v>20</v>
      </c>
      <c r="E1483">
        <v>31</v>
      </c>
      <c r="F1483"/>
      <c r="G1483" t="s">
        <v>31</v>
      </c>
      <c r="H1483" t="s">
        <v>16</v>
      </c>
      <c r="I1483">
        <v>1</v>
      </c>
      <c r="J1483" s="23">
        <v>938518</v>
      </c>
      <c r="K1483">
        <v>29094058</v>
      </c>
    </row>
    <row r="1484" spans="1:11" ht="15" customHeight="1" x14ac:dyDescent="0.3">
      <c r="A1484" t="s">
        <v>22</v>
      </c>
      <c r="B1484" t="s">
        <v>19</v>
      </c>
      <c r="C1484" t="s">
        <v>24</v>
      </c>
      <c r="D1484" t="s">
        <v>20</v>
      </c>
      <c r="E1484">
        <v>20</v>
      </c>
      <c r="F1484"/>
      <c r="G1484" t="s">
        <v>15</v>
      </c>
      <c r="H1484" t="s">
        <v>32</v>
      </c>
      <c r="I1484">
        <v>1</v>
      </c>
      <c r="J1484" s="23">
        <v>76446</v>
      </c>
      <c r="K1484">
        <v>1528920</v>
      </c>
    </row>
    <row r="1485" spans="1:11" ht="15" customHeight="1" x14ac:dyDescent="0.3">
      <c r="A1485" t="s">
        <v>18</v>
      </c>
      <c r="B1485" t="s">
        <v>11</v>
      </c>
      <c r="C1485" t="s">
        <v>24</v>
      </c>
      <c r="D1485" t="s">
        <v>13</v>
      </c>
      <c r="E1485">
        <v>7</v>
      </c>
      <c r="F1485" t="s">
        <v>39</v>
      </c>
      <c r="G1485" t="s">
        <v>15</v>
      </c>
      <c r="H1485" t="s">
        <v>16</v>
      </c>
      <c r="I1485">
        <v>0</v>
      </c>
      <c r="J1485" s="23">
        <v>1565919</v>
      </c>
      <c r="K1485">
        <v>10961433</v>
      </c>
    </row>
    <row r="1486" spans="1:11" ht="15" customHeight="1" x14ac:dyDescent="0.3">
      <c r="A1486" t="s">
        <v>22</v>
      </c>
      <c r="B1486" t="s">
        <v>11</v>
      </c>
      <c r="C1486" t="s">
        <v>12</v>
      </c>
      <c r="D1486" t="s">
        <v>28</v>
      </c>
      <c r="E1486">
        <v>8</v>
      </c>
      <c r="F1486" t="s">
        <v>29</v>
      </c>
      <c r="G1486" t="s">
        <v>15</v>
      </c>
      <c r="H1486" t="s">
        <v>16</v>
      </c>
      <c r="I1486">
        <v>0</v>
      </c>
      <c r="J1486" s="23">
        <v>-561933</v>
      </c>
      <c r="K1486" t="s">
        <v>17</v>
      </c>
    </row>
    <row r="1487" spans="1:11" ht="15" customHeight="1" x14ac:dyDescent="0.3">
      <c r="A1487" t="s">
        <v>10</v>
      </c>
      <c r="B1487" t="s">
        <v>11</v>
      </c>
      <c r="C1487" t="s">
        <v>12</v>
      </c>
      <c r="D1487" t="s">
        <v>28</v>
      </c>
      <c r="E1487">
        <v>11</v>
      </c>
      <c r="F1487" t="s">
        <v>35</v>
      </c>
      <c r="G1487" t="s">
        <v>15</v>
      </c>
      <c r="H1487" t="s">
        <v>16</v>
      </c>
      <c r="I1487">
        <v>0</v>
      </c>
      <c r="J1487" s="23">
        <v>-19046</v>
      </c>
      <c r="K1487" t="s">
        <v>17</v>
      </c>
    </row>
    <row r="1488" spans="1:11" ht="15" customHeight="1" x14ac:dyDescent="0.3">
      <c r="A1488" t="s">
        <v>18</v>
      </c>
      <c r="B1488" t="s">
        <v>11</v>
      </c>
      <c r="C1488" t="s">
        <v>12</v>
      </c>
      <c r="D1488" t="s">
        <v>28</v>
      </c>
      <c r="E1488">
        <v>-1</v>
      </c>
      <c r="F1488" t="s">
        <v>37</v>
      </c>
      <c r="G1488" t="s">
        <v>15</v>
      </c>
      <c r="H1488" t="s">
        <v>16</v>
      </c>
      <c r="I1488">
        <v>0</v>
      </c>
      <c r="J1488" s="23">
        <v>-820</v>
      </c>
      <c r="K1488" t="s">
        <v>17</v>
      </c>
    </row>
    <row r="1489" spans="1:11" ht="15" customHeight="1" x14ac:dyDescent="0.3">
      <c r="A1489" t="s">
        <v>10</v>
      </c>
      <c r="B1489" t="s">
        <v>11</v>
      </c>
      <c r="C1489" t="s">
        <v>24</v>
      </c>
      <c r="D1489" t="s">
        <v>25</v>
      </c>
      <c r="E1489">
        <v>-1</v>
      </c>
      <c r="F1489" t="s">
        <v>29</v>
      </c>
      <c r="G1489" t="s">
        <v>15</v>
      </c>
      <c r="H1489" t="s">
        <v>16</v>
      </c>
      <c r="I1489">
        <v>0</v>
      </c>
      <c r="J1489" s="23">
        <v>1503630</v>
      </c>
      <c r="K1489" t="s">
        <v>17</v>
      </c>
    </row>
    <row r="1490" spans="1:11" ht="15" customHeight="1" x14ac:dyDescent="0.3">
      <c r="A1490" t="s">
        <v>18</v>
      </c>
      <c r="B1490" t="s">
        <v>11</v>
      </c>
      <c r="C1490" t="s">
        <v>12</v>
      </c>
      <c r="D1490" t="s">
        <v>28</v>
      </c>
      <c r="E1490">
        <v>12</v>
      </c>
      <c r="F1490" t="s">
        <v>34</v>
      </c>
      <c r="G1490" t="s">
        <v>15</v>
      </c>
      <c r="H1490" t="s">
        <v>32</v>
      </c>
      <c r="I1490">
        <v>1</v>
      </c>
      <c r="J1490" s="23">
        <v>-841</v>
      </c>
      <c r="K1490" t="s">
        <v>17</v>
      </c>
    </row>
    <row r="1491" spans="1:11" ht="15" customHeight="1" x14ac:dyDescent="0.3">
      <c r="A1491" t="s">
        <v>22</v>
      </c>
      <c r="B1491" t="s">
        <v>19</v>
      </c>
      <c r="C1491" t="s">
        <v>24</v>
      </c>
      <c r="D1491" t="s">
        <v>28</v>
      </c>
      <c r="E1491">
        <v>29</v>
      </c>
      <c r="F1491"/>
      <c r="G1491" t="s">
        <v>15</v>
      </c>
      <c r="H1491" t="s">
        <v>16</v>
      </c>
      <c r="I1491">
        <v>0</v>
      </c>
      <c r="J1491" s="23">
        <v>86711</v>
      </c>
      <c r="K1491">
        <v>2514619</v>
      </c>
    </row>
    <row r="1492" spans="1:11" ht="15" customHeight="1" x14ac:dyDescent="0.3">
      <c r="A1492" t="s">
        <v>18</v>
      </c>
      <c r="B1492" t="s">
        <v>11</v>
      </c>
      <c r="C1492" t="s">
        <v>12</v>
      </c>
      <c r="D1492" t="s">
        <v>28</v>
      </c>
      <c r="E1492">
        <v>17</v>
      </c>
      <c r="F1492" t="s">
        <v>26</v>
      </c>
      <c r="G1492" t="s">
        <v>15</v>
      </c>
      <c r="H1492" t="s">
        <v>16</v>
      </c>
      <c r="I1492">
        <v>0</v>
      </c>
      <c r="J1492" s="23">
        <v>-5789</v>
      </c>
      <c r="K1492" t="s">
        <v>17</v>
      </c>
    </row>
    <row r="1493" spans="1:11" ht="15" customHeight="1" x14ac:dyDescent="0.3">
      <c r="A1493" t="s">
        <v>22</v>
      </c>
      <c r="B1493" t="s">
        <v>11</v>
      </c>
      <c r="C1493" t="s">
        <v>24</v>
      </c>
      <c r="D1493" t="s">
        <v>25</v>
      </c>
      <c r="E1493">
        <v>3</v>
      </c>
      <c r="F1493" t="s">
        <v>37</v>
      </c>
      <c r="G1493" t="s">
        <v>15</v>
      </c>
      <c r="H1493" t="s">
        <v>16</v>
      </c>
      <c r="I1493">
        <v>0</v>
      </c>
      <c r="J1493" s="23">
        <v>53896</v>
      </c>
      <c r="K1493">
        <v>161688</v>
      </c>
    </row>
    <row r="1494" spans="1:11" ht="15" customHeight="1" x14ac:dyDescent="0.3">
      <c r="A1494" t="s">
        <v>10</v>
      </c>
      <c r="B1494" t="s">
        <v>11</v>
      </c>
      <c r="C1494" t="s">
        <v>12</v>
      </c>
      <c r="D1494" t="s">
        <v>28</v>
      </c>
      <c r="E1494">
        <v>-1</v>
      </c>
      <c r="F1494" t="s">
        <v>41</v>
      </c>
      <c r="G1494" t="s">
        <v>15</v>
      </c>
      <c r="H1494" t="s">
        <v>32</v>
      </c>
      <c r="I1494">
        <v>1</v>
      </c>
      <c r="J1494" s="23">
        <v>0</v>
      </c>
      <c r="K1494" t="s">
        <v>17</v>
      </c>
    </row>
    <row r="1495" spans="1:11" ht="15" customHeight="1" x14ac:dyDescent="0.3">
      <c r="A1495" t="s">
        <v>10</v>
      </c>
      <c r="B1495" t="s">
        <v>11</v>
      </c>
      <c r="C1495" t="s">
        <v>24</v>
      </c>
      <c r="D1495" t="s">
        <v>28</v>
      </c>
      <c r="E1495">
        <v>2</v>
      </c>
      <c r="F1495" t="s">
        <v>39</v>
      </c>
      <c r="G1495" t="s">
        <v>15</v>
      </c>
      <c r="H1495" t="s">
        <v>16</v>
      </c>
      <c r="I1495">
        <v>0</v>
      </c>
      <c r="J1495" s="23">
        <v>81442</v>
      </c>
      <c r="K1495">
        <v>162884</v>
      </c>
    </row>
    <row r="1496" spans="1:11" ht="15" customHeight="1" x14ac:dyDescent="0.3">
      <c r="A1496" t="s">
        <v>18</v>
      </c>
      <c r="B1496" t="s">
        <v>11</v>
      </c>
      <c r="C1496" t="s">
        <v>24</v>
      </c>
      <c r="D1496" t="s">
        <v>25</v>
      </c>
      <c r="E1496">
        <v>0</v>
      </c>
      <c r="F1496" t="s">
        <v>21</v>
      </c>
      <c r="G1496" t="s">
        <v>15</v>
      </c>
      <c r="H1496" t="s">
        <v>16</v>
      </c>
      <c r="I1496">
        <v>0</v>
      </c>
      <c r="J1496" s="23">
        <v>1326916</v>
      </c>
      <c r="K1496" t="s">
        <v>17</v>
      </c>
    </row>
    <row r="1497" spans="1:11" ht="15" customHeight="1" x14ac:dyDescent="0.3">
      <c r="A1497" t="s">
        <v>10</v>
      </c>
      <c r="B1497" t="s">
        <v>11</v>
      </c>
      <c r="C1497" t="s">
        <v>24</v>
      </c>
      <c r="D1497" t="s">
        <v>25</v>
      </c>
      <c r="E1497">
        <v>4</v>
      </c>
      <c r="F1497" t="s">
        <v>41</v>
      </c>
      <c r="G1497" t="s">
        <v>15</v>
      </c>
      <c r="H1497" t="s">
        <v>16</v>
      </c>
      <c r="I1497">
        <v>0</v>
      </c>
      <c r="J1497" s="23">
        <v>91204</v>
      </c>
      <c r="K1497">
        <v>364816</v>
      </c>
    </row>
    <row r="1498" spans="1:11" ht="15" customHeight="1" x14ac:dyDescent="0.3">
      <c r="A1498" t="s">
        <v>22</v>
      </c>
      <c r="B1498" t="s">
        <v>19</v>
      </c>
      <c r="C1498" t="s">
        <v>24</v>
      </c>
      <c r="D1498" t="s">
        <v>20</v>
      </c>
      <c r="E1498">
        <v>26</v>
      </c>
      <c r="F1498"/>
      <c r="G1498" t="s">
        <v>15</v>
      </c>
      <c r="H1498" t="s">
        <v>32</v>
      </c>
      <c r="I1498">
        <v>1</v>
      </c>
      <c r="J1498" s="23">
        <v>122619</v>
      </c>
      <c r="K1498">
        <v>3188094</v>
      </c>
    </row>
    <row r="1499" spans="1:11" ht="15" customHeight="1" x14ac:dyDescent="0.3">
      <c r="A1499" t="s">
        <v>18</v>
      </c>
      <c r="B1499" t="s">
        <v>11</v>
      </c>
      <c r="C1499" t="s">
        <v>12</v>
      </c>
      <c r="D1499" t="s">
        <v>13</v>
      </c>
      <c r="E1499">
        <v>3</v>
      </c>
      <c r="F1499" t="s">
        <v>45</v>
      </c>
      <c r="G1499" t="s">
        <v>15</v>
      </c>
      <c r="H1499" t="s">
        <v>16</v>
      </c>
      <c r="I1499">
        <v>0</v>
      </c>
      <c r="J1499" s="23">
        <v>-12015</v>
      </c>
      <c r="K1499" t="s">
        <v>17</v>
      </c>
    </row>
    <row r="1500" spans="1:11" ht="15" customHeight="1" x14ac:dyDescent="0.3">
      <c r="A1500" t="s">
        <v>18</v>
      </c>
      <c r="B1500" t="s">
        <v>11</v>
      </c>
      <c r="C1500" t="s">
        <v>24</v>
      </c>
      <c r="D1500" t="s">
        <v>25</v>
      </c>
      <c r="E1500">
        <v>1</v>
      </c>
      <c r="F1500" t="s">
        <v>26</v>
      </c>
      <c r="G1500" t="s">
        <v>15</v>
      </c>
      <c r="H1500" t="s">
        <v>16</v>
      </c>
      <c r="I1500">
        <v>0</v>
      </c>
      <c r="J1500" s="23">
        <v>3752250</v>
      </c>
      <c r="K1500">
        <v>3752250</v>
      </c>
    </row>
    <row r="1501" spans="1:11" ht="15" customHeight="1" x14ac:dyDescent="0.3">
      <c r="A1501" t="s">
        <v>18</v>
      </c>
      <c r="B1501" t="s">
        <v>19</v>
      </c>
      <c r="C1501" t="s">
        <v>12</v>
      </c>
      <c r="D1501" t="s">
        <v>28</v>
      </c>
      <c r="E1501">
        <v>4</v>
      </c>
      <c r="F1501"/>
      <c r="G1501" t="s">
        <v>15</v>
      </c>
      <c r="H1501" t="s">
        <v>32</v>
      </c>
      <c r="I1501">
        <v>1</v>
      </c>
      <c r="J1501" s="23">
        <v>-19</v>
      </c>
      <c r="K1501" t="s">
        <v>17</v>
      </c>
    </row>
    <row r="1502" spans="1:11" ht="15" customHeight="1" x14ac:dyDescent="0.3">
      <c r="A1502" t="s">
        <v>18</v>
      </c>
      <c r="B1502" t="s">
        <v>19</v>
      </c>
      <c r="C1502" t="s">
        <v>24</v>
      </c>
      <c r="D1502" t="s">
        <v>20</v>
      </c>
      <c r="E1502">
        <v>8</v>
      </c>
      <c r="F1502"/>
      <c r="G1502" t="s">
        <v>15</v>
      </c>
      <c r="H1502" t="s">
        <v>32</v>
      </c>
      <c r="I1502">
        <v>1</v>
      </c>
      <c r="J1502" s="23">
        <v>513039</v>
      </c>
      <c r="K1502">
        <v>4104312</v>
      </c>
    </row>
    <row r="1503" spans="1:11" ht="15" customHeight="1" x14ac:dyDescent="0.3">
      <c r="A1503" t="s">
        <v>18</v>
      </c>
      <c r="B1503" t="s">
        <v>11</v>
      </c>
      <c r="C1503" t="s">
        <v>24</v>
      </c>
      <c r="D1503" t="s">
        <v>28</v>
      </c>
      <c r="E1503">
        <v>1</v>
      </c>
      <c r="F1503" t="s">
        <v>35</v>
      </c>
      <c r="G1503" t="s">
        <v>15</v>
      </c>
      <c r="H1503" t="s">
        <v>16</v>
      </c>
      <c r="I1503">
        <v>0</v>
      </c>
      <c r="J1503" s="23">
        <v>27904</v>
      </c>
      <c r="K1503">
        <v>27904</v>
      </c>
    </row>
    <row r="1504" spans="1:11" ht="15" customHeight="1" x14ac:dyDescent="0.3">
      <c r="A1504" t="s">
        <v>22</v>
      </c>
      <c r="B1504" t="s">
        <v>11</v>
      </c>
      <c r="C1504" t="s">
        <v>12</v>
      </c>
      <c r="D1504" t="s">
        <v>28</v>
      </c>
      <c r="E1504">
        <v>1</v>
      </c>
      <c r="F1504" t="s">
        <v>21</v>
      </c>
      <c r="G1504" t="s">
        <v>15</v>
      </c>
      <c r="H1504" t="s">
        <v>16</v>
      </c>
      <c r="I1504">
        <v>0</v>
      </c>
      <c r="J1504" s="23">
        <v>-37515</v>
      </c>
      <c r="K1504" t="s">
        <v>17</v>
      </c>
    </row>
    <row r="1505" spans="1:11" ht="15" customHeight="1" x14ac:dyDescent="0.3">
      <c r="A1505" t="s">
        <v>18</v>
      </c>
      <c r="B1505" t="s">
        <v>11</v>
      </c>
      <c r="C1505" t="s">
        <v>12</v>
      </c>
      <c r="D1505" t="s">
        <v>28</v>
      </c>
      <c r="E1505">
        <v>11</v>
      </c>
      <c r="F1505" t="s">
        <v>29</v>
      </c>
      <c r="G1505" t="s">
        <v>31</v>
      </c>
      <c r="H1505" t="s">
        <v>16</v>
      </c>
      <c r="I1505">
        <v>1</v>
      </c>
      <c r="J1505" s="23">
        <v>-2829</v>
      </c>
      <c r="K1505" t="s">
        <v>17</v>
      </c>
    </row>
    <row r="1506" spans="1:11" ht="15" customHeight="1" x14ac:dyDescent="0.3">
      <c r="A1506" t="s">
        <v>22</v>
      </c>
      <c r="B1506" t="s">
        <v>11</v>
      </c>
      <c r="C1506" t="s">
        <v>24</v>
      </c>
      <c r="D1506" t="s">
        <v>13</v>
      </c>
      <c r="E1506">
        <v>20</v>
      </c>
      <c r="F1506" t="s">
        <v>39</v>
      </c>
      <c r="G1506" t="s">
        <v>15</v>
      </c>
      <c r="H1506" t="s">
        <v>16</v>
      </c>
      <c r="I1506">
        <v>0</v>
      </c>
      <c r="J1506" s="23">
        <v>75140</v>
      </c>
      <c r="K1506">
        <v>1502800</v>
      </c>
    </row>
    <row r="1507" spans="1:11" ht="15" customHeight="1" x14ac:dyDescent="0.3">
      <c r="A1507" t="s">
        <v>18</v>
      </c>
      <c r="B1507" t="s">
        <v>11</v>
      </c>
      <c r="C1507" t="s">
        <v>12</v>
      </c>
      <c r="D1507" t="s">
        <v>28</v>
      </c>
      <c r="E1507">
        <v>12</v>
      </c>
      <c r="F1507" t="s">
        <v>40</v>
      </c>
      <c r="G1507" t="s">
        <v>15</v>
      </c>
      <c r="H1507" t="s">
        <v>16</v>
      </c>
      <c r="I1507">
        <v>0</v>
      </c>
      <c r="J1507" s="23">
        <v>-568</v>
      </c>
      <c r="K1507" t="s">
        <v>17</v>
      </c>
    </row>
    <row r="1508" spans="1:11" ht="15" customHeight="1" x14ac:dyDescent="0.3">
      <c r="A1508" t="s">
        <v>10</v>
      </c>
      <c r="B1508" t="s">
        <v>19</v>
      </c>
      <c r="C1508" t="s">
        <v>24</v>
      </c>
      <c r="D1508" t="s">
        <v>20</v>
      </c>
      <c r="E1508">
        <v>16</v>
      </c>
      <c r="F1508"/>
      <c r="G1508" t="s">
        <v>15</v>
      </c>
      <c r="H1508" t="s">
        <v>16</v>
      </c>
      <c r="I1508">
        <v>0</v>
      </c>
      <c r="J1508" s="23">
        <v>25691731</v>
      </c>
      <c r="K1508">
        <v>411067696</v>
      </c>
    </row>
    <row r="1509" spans="1:11" ht="15" customHeight="1" x14ac:dyDescent="0.3">
      <c r="A1509" t="s">
        <v>22</v>
      </c>
      <c r="B1509" t="s">
        <v>19</v>
      </c>
      <c r="C1509" t="s">
        <v>24</v>
      </c>
      <c r="D1509" t="s">
        <v>20</v>
      </c>
      <c r="E1509">
        <v>13</v>
      </c>
      <c r="F1509"/>
      <c r="G1509" t="s">
        <v>31</v>
      </c>
      <c r="H1509" t="s">
        <v>16</v>
      </c>
      <c r="I1509">
        <v>1</v>
      </c>
      <c r="J1509" s="23">
        <v>58870</v>
      </c>
      <c r="K1509">
        <v>765310</v>
      </c>
    </row>
    <row r="1510" spans="1:11" ht="15" customHeight="1" x14ac:dyDescent="0.3">
      <c r="A1510" t="s">
        <v>10</v>
      </c>
      <c r="B1510" t="s">
        <v>11</v>
      </c>
      <c r="C1510" t="s">
        <v>24</v>
      </c>
      <c r="D1510" t="s">
        <v>28</v>
      </c>
      <c r="E1510">
        <v>12</v>
      </c>
      <c r="F1510" t="s">
        <v>23</v>
      </c>
      <c r="G1510" t="s">
        <v>15</v>
      </c>
      <c r="H1510" t="s">
        <v>16</v>
      </c>
      <c r="I1510">
        <v>0</v>
      </c>
      <c r="J1510" s="23">
        <v>1437138</v>
      </c>
      <c r="K1510">
        <v>17245656</v>
      </c>
    </row>
    <row r="1511" spans="1:11" ht="15" customHeight="1" x14ac:dyDescent="0.3">
      <c r="A1511" t="s">
        <v>18</v>
      </c>
      <c r="B1511" t="s">
        <v>19</v>
      </c>
      <c r="C1511" t="s">
        <v>12</v>
      </c>
      <c r="D1511" t="s">
        <v>20</v>
      </c>
      <c r="E1511">
        <v>41</v>
      </c>
      <c r="F1511"/>
      <c r="G1511" t="s">
        <v>15</v>
      </c>
      <c r="H1511" t="s">
        <v>16</v>
      </c>
      <c r="I1511">
        <v>0</v>
      </c>
      <c r="J1511" s="23">
        <v>-13921</v>
      </c>
      <c r="K1511" t="s">
        <v>17</v>
      </c>
    </row>
    <row r="1512" spans="1:11" ht="15" customHeight="1" x14ac:dyDescent="0.3">
      <c r="A1512" t="s">
        <v>18</v>
      </c>
      <c r="B1512" t="s">
        <v>11</v>
      </c>
      <c r="C1512" t="s">
        <v>24</v>
      </c>
      <c r="D1512" t="s">
        <v>13</v>
      </c>
      <c r="E1512">
        <v>6</v>
      </c>
      <c r="F1512" t="s">
        <v>14</v>
      </c>
      <c r="G1512" t="s">
        <v>15</v>
      </c>
      <c r="H1512" t="s">
        <v>16</v>
      </c>
      <c r="I1512">
        <v>0</v>
      </c>
      <c r="J1512" s="23">
        <v>396805</v>
      </c>
      <c r="K1512">
        <v>2380830</v>
      </c>
    </row>
    <row r="1513" spans="1:11" ht="15" customHeight="1" x14ac:dyDescent="0.3">
      <c r="A1513" t="s">
        <v>10</v>
      </c>
      <c r="B1513" t="s">
        <v>11</v>
      </c>
      <c r="C1513" t="s">
        <v>12</v>
      </c>
      <c r="D1513" t="s">
        <v>13</v>
      </c>
      <c r="E1513">
        <v>4</v>
      </c>
      <c r="F1513" t="s">
        <v>14</v>
      </c>
      <c r="G1513" t="s">
        <v>15</v>
      </c>
      <c r="H1513" t="s">
        <v>16</v>
      </c>
      <c r="I1513">
        <v>0</v>
      </c>
      <c r="J1513" s="23">
        <v>-58606</v>
      </c>
      <c r="K1513" t="s">
        <v>17</v>
      </c>
    </row>
    <row r="1514" spans="1:11" ht="15" customHeight="1" x14ac:dyDescent="0.3">
      <c r="A1514" t="s">
        <v>18</v>
      </c>
      <c r="B1514" t="s">
        <v>11</v>
      </c>
      <c r="C1514" t="s">
        <v>24</v>
      </c>
      <c r="D1514" t="s">
        <v>28</v>
      </c>
      <c r="E1514">
        <v>3</v>
      </c>
      <c r="F1514" t="s">
        <v>23</v>
      </c>
      <c r="G1514" t="s">
        <v>15</v>
      </c>
      <c r="H1514" t="s">
        <v>16</v>
      </c>
      <c r="I1514">
        <v>0</v>
      </c>
      <c r="J1514" s="23">
        <v>59385761</v>
      </c>
      <c r="K1514">
        <v>178157283</v>
      </c>
    </row>
    <row r="1515" spans="1:11" ht="15" customHeight="1" x14ac:dyDescent="0.3">
      <c r="A1515" t="s">
        <v>10</v>
      </c>
      <c r="B1515" t="s">
        <v>19</v>
      </c>
      <c r="C1515" t="s">
        <v>12</v>
      </c>
      <c r="D1515" t="s">
        <v>20</v>
      </c>
      <c r="E1515">
        <v>3</v>
      </c>
      <c r="F1515"/>
      <c r="G1515" t="s">
        <v>31</v>
      </c>
      <c r="H1515" t="s">
        <v>16</v>
      </c>
      <c r="I1515">
        <v>1</v>
      </c>
      <c r="J1515" s="23">
        <v>-9</v>
      </c>
      <c r="K1515" t="s">
        <v>17</v>
      </c>
    </row>
    <row r="1516" spans="1:11" ht="15" customHeight="1" x14ac:dyDescent="0.3">
      <c r="A1516" t="s">
        <v>22</v>
      </c>
      <c r="B1516" t="s">
        <v>19</v>
      </c>
      <c r="C1516" t="s">
        <v>12</v>
      </c>
      <c r="D1516" t="s">
        <v>20</v>
      </c>
      <c r="E1516">
        <v>18</v>
      </c>
      <c r="F1516"/>
      <c r="G1516" t="s">
        <v>15</v>
      </c>
      <c r="H1516" t="s">
        <v>16</v>
      </c>
      <c r="I1516">
        <v>0</v>
      </c>
      <c r="J1516" s="23">
        <v>-1773630</v>
      </c>
      <c r="K1516" t="s">
        <v>17</v>
      </c>
    </row>
    <row r="1517" spans="1:11" ht="15" customHeight="1" x14ac:dyDescent="0.3">
      <c r="A1517" t="s">
        <v>18</v>
      </c>
      <c r="B1517" t="s">
        <v>11</v>
      </c>
      <c r="C1517" t="s">
        <v>24</v>
      </c>
      <c r="D1517" t="s">
        <v>28</v>
      </c>
      <c r="E1517">
        <v>7</v>
      </c>
      <c r="F1517" t="s">
        <v>29</v>
      </c>
      <c r="G1517" t="s">
        <v>15</v>
      </c>
      <c r="H1517" t="s">
        <v>32</v>
      </c>
      <c r="I1517">
        <v>1</v>
      </c>
      <c r="J1517" s="23">
        <v>4281523</v>
      </c>
      <c r="K1517">
        <v>29970661</v>
      </c>
    </row>
    <row r="1518" spans="1:11" ht="15" customHeight="1" x14ac:dyDescent="0.3">
      <c r="A1518" t="s">
        <v>18</v>
      </c>
      <c r="B1518" t="s">
        <v>11</v>
      </c>
      <c r="C1518" t="s">
        <v>24</v>
      </c>
      <c r="D1518" t="s">
        <v>13</v>
      </c>
      <c r="E1518">
        <v>5</v>
      </c>
      <c r="F1518" t="s">
        <v>35</v>
      </c>
      <c r="G1518" t="s">
        <v>15</v>
      </c>
      <c r="H1518" t="s">
        <v>16</v>
      </c>
      <c r="I1518">
        <v>0</v>
      </c>
      <c r="J1518" s="23">
        <v>1248724</v>
      </c>
      <c r="K1518">
        <v>6243620</v>
      </c>
    </row>
    <row r="1519" spans="1:11" ht="15" customHeight="1" x14ac:dyDescent="0.3">
      <c r="A1519" t="s">
        <v>18</v>
      </c>
      <c r="B1519" t="s">
        <v>11</v>
      </c>
      <c r="C1519" t="s">
        <v>24</v>
      </c>
      <c r="D1519" t="s">
        <v>13</v>
      </c>
      <c r="E1519">
        <v>8</v>
      </c>
      <c r="F1519" t="s">
        <v>37</v>
      </c>
      <c r="G1519" t="s">
        <v>15</v>
      </c>
      <c r="H1519" t="s">
        <v>16</v>
      </c>
      <c r="I1519">
        <v>0</v>
      </c>
      <c r="J1519" s="23">
        <v>481253</v>
      </c>
      <c r="K1519">
        <v>3850024</v>
      </c>
    </row>
    <row r="1520" spans="1:11" ht="15" customHeight="1" x14ac:dyDescent="0.3">
      <c r="A1520" t="s">
        <v>22</v>
      </c>
      <c r="B1520" t="s">
        <v>11</v>
      </c>
      <c r="C1520" t="s">
        <v>24</v>
      </c>
      <c r="D1520" t="s">
        <v>13</v>
      </c>
      <c r="E1520">
        <v>-1</v>
      </c>
      <c r="F1520" t="s">
        <v>26</v>
      </c>
      <c r="G1520" t="s">
        <v>15</v>
      </c>
      <c r="H1520" t="s">
        <v>16</v>
      </c>
      <c r="I1520">
        <v>0</v>
      </c>
      <c r="J1520" s="23">
        <v>1243586</v>
      </c>
      <c r="K1520" t="s">
        <v>17</v>
      </c>
    </row>
    <row r="1521" spans="1:11" ht="15" customHeight="1" x14ac:dyDescent="0.3">
      <c r="A1521" t="s">
        <v>18</v>
      </c>
      <c r="B1521" t="s">
        <v>11</v>
      </c>
      <c r="C1521" t="s">
        <v>12</v>
      </c>
      <c r="D1521" t="s">
        <v>13</v>
      </c>
      <c r="E1521">
        <v>11</v>
      </c>
      <c r="F1521" t="s">
        <v>34</v>
      </c>
      <c r="G1521" t="s">
        <v>15</v>
      </c>
      <c r="H1521" t="s">
        <v>16</v>
      </c>
      <c r="I1521">
        <v>0</v>
      </c>
      <c r="J1521" s="23">
        <v>-3560</v>
      </c>
      <c r="K1521" t="s">
        <v>17</v>
      </c>
    </row>
    <row r="1522" spans="1:11" ht="15" customHeight="1" x14ac:dyDescent="0.3">
      <c r="A1522" t="s">
        <v>10</v>
      </c>
      <c r="B1522" t="s">
        <v>44</v>
      </c>
      <c r="C1522" t="s">
        <v>12</v>
      </c>
      <c r="D1522" t="s">
        <v>28</v>
      </c>
      <c r="E1522">
        <v>3</v>
      </c>
      <c r="F1522" t="s">
        <v>30</v>
      </c>
      <c r="G1522" t="s">
        <v>15</v>
      </c>
      <c r="H1522" t="s">
        <v>16</v>
      </c>
      <c r="I1522">
        <v>0</v>
      </c>
      <c r="J1522" s="23">
        <v>-2595</v>
      </c>
      <c r="K1522" t="s">
        <v>17</v>
      </c>
    </row>
    <row r="1523" spans="1:11" ht="15" customHeight="1" x14ac:dyDescent="0.3">
      <c r="A1523" t="s">
        <v>18</v>
      </c>
      <c r="B1523" t="s">
        <v>19</v>
      </c>
      <c r="C1523" t="s">
        <v>24</v>
      </c>
      <c r="D1523" t="s">
        <v>20</v>
      </c>
      <c r="E1523">
        <v>20</v>
      </c>
      <c r="F1523"/>
      <c r="G1523" t="s">
        <v>15</v>
      </c>
      <c r="H1523" t="s">
        <v>16</v>
      </c>
      <c r="I1523">
        <v>0</v>
      </c>
      <c r="J1523" s="23">
        <v>599391172</v>
      </c>
      <c r="K1523">
        <v>11987823440</v>
      </c>
    </row>
    <row r="1524" spans="1:11" ht="15" customHeight="1" x14ac:dyDescent="0.3">
      <c r="A1524" t="s">
        <v>10</v>
      </c>
      <c r="B1524" t="s">
        <v>11</v>
      </c>
      <c r="C1524" t="s">
        <v>12</v>
      </c>
      <c r="D1524" t="s">
        <v>13</v>
      </c>
      <c r="E1524">
        <v>0</v>
      </c>
      <c r="F1524" t="s">
        <v>23</v>
      </c>
      <c r="G1524" t="s">
        <v>15</v>
      </c>
      <c r="H1524" t="s">
        <v>16</v>
      </c>
      <c r="I1524">
        <v>0</v>
      </c>
      <c r="J1524" s="23">
        <v>-18450</v>
      </c>
      <c r="K1524" t="s">
        <v>17</v>
      </c>
    </row>
    <row r="1525" spans="1:11" ht="15" customHeight="1" x14ac:dyDescent="0.3">
      <c r="A1525" t="s">
        <v>10</v>
      </c>
      <c r="B1525" t="s">
        <v>11</v>
      </c>
      <c r="C1525" t="s">
        <v>12</v>
      </c>
      <c r="D1525" t="s">
        <v>13</v>
      </c>
      <c r="E1525">
        <v>2</v>
      </c>
      <c r="F1525" t="s">
        <v>42</v>
      </c>
      <c r="G1525" t="s">
        <v>15</v>
      </c>
      <c r="H1525" t="s">
        <v>16</v>
      </c>
      <c r="I1525">
        <v>0</v>
      </c>
      <c r="J1525" s="23">
        <v>-89649</v>
      </c>
      <c r="K1525" t="s">
        <v>17</v>
      </c>
    </row>
    <row r="1526" spans="1:11" ht="15" customHeight="1" x14ac:dyDescent="0.3">
      <c r="A1526" t="s">
        <v>18</v>
      </c>
      <c r="B1526" t="s">
        <v>19</v>
      </c>
      <c r="C1526" t="s">
        <v>12</v>
      </c>
      <c r="D1526" t="s">
        <v>28</v>
      </c>
      <c r="E1526">
        <v>11</v>
      </c>
      <c r="F1526"/>
      <c r="G1526" t="s">
        <v>15</v>
      </c>
      <c r="H1526" t="s">
        <v>16</v>
      </c>
      <c r="I1526">
        <v>0</v>
      </c>
      <c r="J1526" s="23">
        <v>-11597</v>
      </c>
      <c r="K1526" t="s">
        <v>17</v>
      </c>
    </row>
    <row r="1527" spans="1:11" ht="15" customHeight="1" x14ac:dyDescent="0.3">
      <c r="A1527" t="s">
        <v>22</v>
      </c>
      <c r="B1527" t="s">
        <v>11</v>
      </c>
      <c r="C1527" t="s">
        <v>12</v>
      </c>
      <c r="D1527" t="s">
        <v>28</v>
      </c>
      <c r="E1527">
        <v>1</v>
      </c>
      <c r="F1527" t="s">
        <v>40</v>
      </c>
      <c r="G1527" t="s">
        <v>15</v>
      </c>
      <c r="H1527" t="s">
        <v>16</v>
      </c>
      <c r="I1527">
        <v>0</v>
      </c>
      <c r="J1527" s="23">
        <v>-12276</v>
      </c>
      <c r="K1527" t="s">
        <v>17</v>
      </c>
    </row>
    <row r="1528" spans="1:11" ht="15" customHeight="1" x14ac:dyDescent="0.3">
      <c r="A1528" t="s">
        <v>22</v>
      </c>
      <c r="B1528" t="s">
        <v>11</v>
      </c>
      <c r="C1528" t="s">
        <v>12</v>
      </c>
      <c r="D1528" t="s">
        <v>13</v>
      </c>
      <c r="E1528">
        <v>12</v>
      </c>
      <c r="F1528" t="s">
        <v>29</v>
      </c>
      <c r="G1528" t="s">
        <v>15</v>
      </c>
      <c r="H1528" t="s">
        <v>16</v>
      </c>
      <c r="I1528">
        <v>0</v>
      </c>
      <c r="J1528" s="23">
        <v>-685921</v>
      </c>
      <c r="K1528" t="s">
        <v>17</v>
      </c>
    </row>
    <row r="1529" spans="1:11" ht="15" customHeight="1" x14ac:dyDescent="0.3">
      <c r="A1529" t="s">
        <v>10</v>
      </c>
      <c r="B1529" t="s">
        <v>11</v>
      </c>
      <c r="C1529" t="s">
        <v>24</v>
      </c>
      <c r="D1529" t="s">
        <v>25</v>
      </c>
      <c r="E1529">
        <v>-4</v>
      </c>
      <c r="F1529" t="s">
        <v>40</v>
      </c>
      <c r="G1529" t="s">
        <v>15</v>
      </c>
      <c r="H1529" t="s">
        <v>16</v>
      </c>
      <c r="I1529">
        <v>0</v>
      </c>
      <c r="J1529" s="23">
        <v>14335</v>
      </c>
      <c r="K1529" t="s">
        <v>17</v>
      </c>
    </row>
    <row r="1530" spans="1:11" ht="15" customHeight="1" x14ac:dyDescent="0.3">
      <c r="A1530" t="s">
        <v>10</v>
      </c>
      <c r="B1530" t="s">
        <v>19</v>
      </c>
      <c r="C1530" t="s">
        <v>12</v>
      </c>
      <c r="D1530" t="s">
        <v>20</v>
      </c>
      <c r="E1530">
        <v>25</v>
      </c>
      <c r="F1530"/>
      <c r="G1530" t="s">
        <v>15</v>
      </c>
      <c r="H1530" t="s">
        <v>32</v>
      </c>
      <c r="I1530">
        <v>1</v>
      </c>
      <c r="J1530" s="23">
        <v>-11950</v>
      </c>
      <c r="K1530" t="s">
        <v>17</v>
      </c>
    </row>
    <row r="1531" spans="1:11" ht="15" customHeight="1" x14ac:dyDescent="0.3">
      <c r="A1531" t="s">
        <v>18</v>
      </c>
      <c r="B1531" t="s">
        <v>19</v>
      </c>
      <c r="C1531" t="s">
        <v>12</v>
      </c>
      <c r="D1531" t="s">
        <v>28</v>
      </c>
      <c r="E1531">
        <v>2</v>
      </c>
      <c r="F1531"/>
      <c r="G1531" t="s">
        <v>15</v>
      </c>
      <c r="H1531" t="s">
        <v>16</v>
      </c>
      <c r="I1531">
        <v>0</v>
      </c>
      <c r="J1531" s="23">
        <v>-3107</v>
      </c>
      <c r="K1531" t="s">
        <v>17</v>
      </c>
    </row>
    <row r="1532" spans="1:11" ht="15" customHeight="1" x14ac:dyDescent="0.3">
      <c r="A1532" t="s">
        <v>10</v>
      </c>
      <c r="B1532" t="s">
        <v>19</v>
      </c>
      <c r="C1532" t="s">
        <v>12</v>
      </c>
      <c r="D1532" t="s">
        <v>20</v>
      </c>
      <c r="E1532">
        <v>4</v>
      </c>
      <c r="F1532"/>
      <c r="G1532" t="s">
        <v>31</v>
      </c>
      <c r="H1532" t="s">
        <v>32</v>
      </c>
      <c r="I1532">
        <v>1</v>
      </c>
      <c r="J1532" s="23">
        <v>-264</v>
      </c>
      <c r="K1532" t="s">
        <v>17</v>
      </c>
    </row>
    <row r="1533" spans="1:11" ht="15" customHeight="1" x14ac:dyDescent="0.3">
      <c r="A1533" t="s">
        <v>18</v>
      </c>
      <c r="B1533" t="s">
        <v>11</v>
      </c>
      <c r="C1533" t="s">
        <v>12</v>
      </c>
      <c r="D1533" t="s">
        <v>28</v>
      </c>
      <c r="E1533">
        <v>9</v>
      </c>
      <c r="F1533" t="s">
        <v>40</v>
      </c>
      <c r="G1533" t="s">
        <v>15</v>
      </c>
      <c r="H1533" t="s">
        <v>16</v>
      </c>
      <c r="I1533">
        <v>0</v>
      </c>
      <c r="J1533" s="23">
        <v>-417</v>
      </c>
      <c r="K1533" t="s">
        <v>17</v>
      </c>
    </row>
    <row r="1534" spans="1:11" ht="15" customHeight="1" x14ac:dyDescent="0.3">
      <c r="A1534" t="s">
        <v>22</v>
      </c>
      <c r="B1534" t="s">
        <v>11</v>
      </c>
      <c r="C1534" t="s">
        <v>12</v>
      </c>
      <c r="D1534" t="s">
        <v>25</v>
      </c>
      <c r="E1534">
        <v>4</v>
      </c>
      <c r="F1534" t="s">
        <v>23</v>
      </c>
      <c r="G1534" t="s">
        <v>15</v>
      </c>
      <c r="H1534" t="s">
        <v>16</v>
      </c>
      <c r="I1534">
        <v>0</v>
      </c>
      <c r="J1534" s="23">
        <v>-64615</v>
      </c>
      <c r="K1534" t="s">
        <v>17</v>
      </c>
    </row>
    <row r="1535" spans="1:11" ht="15" customHeight="1" x14ac:dyDescent="0.3">
      <c r="A1535" t="s">
        <v>18</v>
      </c>
      <c r="B1535" t="s">
        <v>11</v>
      </c>
      <c r="C1535" t="s">
        <v>12</v>
      </c>
      <c r="D1535" t="s">
        <v>13</v>
      </c>
      <c r="E1535">
        <v>-1</v>
      </c>
      <c r="F1535" t="s">
        <v>38</v>
      </c>
      <c r="G1535" t="s">
        <v>15</v>
      </c>
      <c r="H1535" t="s">
        <v>16</v>
      </c>
      <c r="I1535">
        <v>0</v>
      </c>
      <c r="J1535" s="23">
        <v>-2301</v>
      </c>
      <c r="K1535" t="s">
        <v>17</v>
      </c>
    </row>
    <row r="1536" spans="1:11" ht="15" customHeight="1" x14ac:dyDescent="0.3">
      <c r="A1536" t="s">
        <v>22</v>
      </c>
      <c r="B1536" t="s">
        <v>11</v>
      </c>
      <c r="C1536" t="s">
        <v>12</v>
      </c>
      <c r="D1536" t="s">
        <v>13</v>
      </c>
      <c r="E1536">
        <v>-1</v>
      </c>
      <c r="F1536" t="s">
        <v>23</v>
      </c>
      <c r="G1536" t="s">
        <v>15</v>
      </c>
      <c r="H1536" t="s">
        <v>16</v>
      </c>
      <c r="I1536">
        <v>0</v>
      </c>
      <c r="J1536" s="23">
        <v>-1960843</v>
      </c>
      <c r="K1536" t="s">
        <v>17</v>
      </c>
    </row>
    <row r="1537" spans="1:11" ht="15" customHeight="1" x14ac:dyDescent="0.3">
      <c r="A1537" t="s">
        <v>18</v>
      </c>
      <c r="B1537" t="s">
        <v>11</v>
      </c>
      <c r="C1537" t="s">
        <v>24</v>
      </c>
      <c r="D1537" t="s">
        <v>28</v>
      </c>
      <c r="E1537">
        <v>17</v>
      </c>
      <c r="F1537" t="s">
        <v>14</v>
      </c>
      <c r="G1537" t="s">
        <v>15</v>
      </c>
      <c r="H1537" t="s">
        <v>16</v>
      </c>
      <c r="I1537">
        <v>0</v>
      </c>
      <c r="J1537" s="23">
        <v>315165</v>
      </c>
      <c r="K1537">
        <v>5357805</v>
      </c>
    </row>
    <row r="1538" spans="1:11" ht="15" customHeight="1" x14ac:dyDescent="0.3">
      <c r="A1538" t="s">
        <v>10</v>
      </c>
      <c r="B1538" t="s">
        <v>11</v>
      </c>
      <c r="C1538" t="s">
        <v>24</v>
      </c>
      <c r="D1538" t="s">
        <v>28</v>
      </c>
      <c r="E1538">
        <v>5</v>
      </c>
      <c r="F1538" t="s">
        <v>21</v>
      </c>
      <c r="G1538" t="s">
        <v>31</v>
      </c>
      <c r="H1538" t="s">
        <v>32</v>
      </c>
      <c r="I1538">
        <v>1</v>
      </c>
      <c r="J1538" s="23">
        <v>18890</v>
      </c>
      <c r="K1538">
        <v>94450</v>
      </c>
    </row>
    <row r="1539" spans="1:11" ht="15" customHeight="1" x14ac:dyDescent="0.3">
      <c r="A1539" t="s">
        <v>18</v>
      </c>
      <c r="B1539" t="s">
        <v>11</v>
      </c>
      <c r="C1539" t="s">
        <v>24</v>
      </c>
      <c r="D1539" t="s">
        <v>28</v>
      </c>
      <c r="E1539">
        <v>2</v>
      </c>
      <c r="F1539" t="s">
        <v>33</v>
      </c>
      <c r="G1539" t="s">
        <v>15</v>
      </c>
      <c r="H1539" t="s">
        <v>32</v>
      </c>
      <c r="I1539">
        <v>1</v>
      </c>
      <c r="J1539" s="23">
        <v>117749</v>
      </c>
      <c r="K1539">
        <v>235498</v>
      </c>
    </row>
    <row r="1540" spans="1:11" ht="15" customHeight="1" x14ac:dyDescent="0.3">
      <c r="A1540" t="s">
        <v>18</v>
      </c>
      <c r="B1540" t="s">
        <v>11</v>
      </c>
      <c r="C1540" t="s">
        <v>12</v>
      </c>
      <c r="D1540" t="s">
        <v>28</v>
      </c>
      <c r="E1540">
        <v>16</v>
      </c>
      <c r="F1540" t="s">
        <v>37</v>
      </c>
      <c r="G1540" t="s">
        <v>15</v>
      </c>
      <c r="H1540" t="s">
        <v>16</v>
      </c>
      <c r="I1540">
        <v>0</v>
      </c>
      <c r="J1540" s="23">
        <v>-57</v>
      </c>
      <c r="K1540" t="s">
        <v>17</v>
      </c>
    </row>
    <row r="1541" spans="1:11" ht="15" customHeight="1" x14ac:dyDescent="0.3">
      <c r="A1541" t="s">
        <v>10</v>
      </c>
      <c r="B1541" t="s">
        <v>11</v>
      </c>
      <c r="C1541" t="s">
        <v>24</v>
      </c>
      <c r="D1541" t="s">
        <v>13</v>
      </c>
      <c r="E1541">
        <v>4</v>
      </c>
      <c r="F1541" t="s">
        <v>14</v>
      </c>
      <c r="G1541" t="s">
        <v>15</v>
      </c>
      <c r="H1541" t="s">
        <v>16</v>
      </c>
      <c r="I1541">
        <v>0</v>
      </c>
      <c r="J1541" s="23">
        <v>1181353</v>
      </c>
      <c r="K1541">
        <v>4725412</v>
      </c>
    </row>
    <row r="1542" spans="1:11" ht="15" customHeight="1" x14ac:dyDescent="0.3">
      <c r="A1542" t="s">
        <v>22</v>
      </c>
      <c r="B1542" t="s">
        <v>19</v>
      </c>
      <c r="C1542" t="s">
        <v>12</v>
      </c>
      <c r="D1542" t="s">
        <v>20</v>
      </c>
      <c r="E1542">
        <v>23</v>
      </c>
      <c r="F1542"/>
      <c r="G1542" t="s">
        <v>15</v>
      </c>
      <c r="H1542" t="s">
        <v>16</v>
      </c>
      <c r="I1542">
        <v>0</v>
      </c>
      <c r="J1542" s="23">
        <v>-2499658</v>
      </c>
      <c r="K1542" t="s">
        <v>17</v>
      </c>
    </row>
    <row r="1543" spans="1:11" ht="15" customHeight="1" x14ac:dyDescent="0.3">
      <c r="A1543" t="s">
        <v>10</v>
      </c>
      <c r="B1543" t="s">
        <v>19</v>
      </c>
      <c r="C1543" t="s">
        <v>12</v>
      </c>
      <c r="D1543" t="s">
        <v>20</v>
      </c>
      <c r="E1543">
        <v>27</v>
      </c>
      <c r="F1543"/>
      <c r="G1543" t="s">
        <v>15</v>
      </c>
      <c r="H1543" t="s">
        <v>32</v>
      </c>
      <c r="I1543">
        <v>1</v>
      </c>
      <c r="J1543" s="23">
        <v>-8682</v>
      </c>
      <c r="K1543" t="s">
        <v>17</v>
      </c>
    </row>
    <row r="1544" spans="1:11" ht="15" customHeight="1" x14ac:dyDescent="0.3">
      <c r="A1544" t="s">
        <v>18</v>
      </c>
      <c r="B1544" t="s">
        <v>11</v>
      </c>
      <c r="C1544" t="s">
        <v>24</v>
      </c>
      <c r="D1544" t="s">
        <v>28</v>
      </c>
      <c r="E1544">
        <v>12</v>
      </c>
      <c r="F1544" t="s">
        <v>21</v>
      </c>
      <c r="G1544" t="s">
        <v>15</v>
      </c>
      <c r="H1544" t="s">
        <v>16</v>
      </c>
      <c r="I1544">
        <v>0</v>
      </c>
      <c r="J1544" s="23">
        <v>4305218</v>
      </c>
      <c r="K1544">
        <v>51662616</v>
      </c>
    </row>
    <row r="1545" spans="1:11" ht="15" customHeight="1" x14ac:dyDescent="0.3">
      <c r="A1545" t="s">
        <v>22</v>
      </c>
      <c r="B1545" t="s">
        <v>19</v>
      </c>
      <c r="C1545" t="s">
        <v>24</v>
      </c>
      <c r="D1545" t="s">
        <v>28</v>
      </c>
      <c r="E1545">
        <v>26</v>
      </c>
      <c r="F1545"/>
      <c r="G1545" t="s">
        <v>15</v>
      </c>
      <c r="H1545" t="s">
        <v>16</v>
      </c>
      <c r="I1545">
        <v>0</v>
      </c>
      <c r="J1545" s="23">
        <v>87027</v>
      </c>
      <c r="K1545">
        <v>2262702</v>
      </c>
    </row>
    <row r="1546" spans="1:11" ht="15" customHeight="1" x14ac:dyDescent="0.3">
      <c r="A1546" t="s">
        <v>10</v>
      </c>
      <c r="B1546" t="s">
        <v>19</v>
      </c>
      <c r="C1546" t="s">
        <v>24</v>
      </c>
      <c r="D1546" t="s">
        <v>20</v>
      </c>
      <c r="E1546">
        <v>23</v>
      </c>
      <c r="F1546"/>
      <c r="G1546" t="s">
        <v>15</v>
      </c>
      <c r="H1546" t="s">
        <v>16</v>
      </c>
      <c r="I1546">
        <v>0</v>
      </c>
      <c r="J1546" s="23">
        <v>47997798</v>
      </c>
      <c r="K1546">
        <v>1103949354</v>
      </c>
    </row>
    <row r="1547" spans="1:11" ht="15" customHeight="1" x14ac:dyDescent="0.3">
      <c r="A1547" t="s">
        <v>10</v>
      </c>
      <c r="B1547" t="s">
        <v>11</v>
      </c>
      <c r="C1547" t="s">
        <v>24</v>
      </c>
      <c r="D1547" t="s">
        <v>25</v>
      </c>
      <c r="E1547">
        <v>6</v>
      </c>
      <c r="F1547" t="s">
        <v>30</v>
      </c>
      <c r="G1547" t="s">
        <v>15</v>
      </c>
      <c r="H1547" t="s">
        <v>16</v>
      </c>
      <c r="I1547">
        <v>0</v>
      </c>
      <c r="J1547" s="23">
        <v>263764</v>
      </c>
      <c r="K1547">
        <v>1582584</v>
      </c>
    </row>
    <row r="1548" spans="1:11" ht="15" customHeight="1" x14ac:dyDescent="0.3">
      <c r="A1548" t="s">
        <v>10</v>
      </c>
      <c r="B1548" t="s">
        <v>11</v>
      </c>
      <c r="C1548" t="s">
        <v>12</v>
      </c>
      <c r="D1548" t="s">
        <v>28</v>
      </c>
      <c r="E1548">
        <v>2</v>
      </c>
      <c r="F1548" t="s">
        <v>23</v>
      </c>
      <c r="G1548" t="s">
        <v>15</v>
      </c>
      <c r="H1548" t="s">
        <v>16</v>
      </c>
      <c r="I1548">
        <v>0</v>
      </c>
      <c r="J1548" s="23">
        <v>-36797</v>
      </c>
      <c r="K1548" t="s">
        <v>17</v>
      </c>
    </row>
    <row r="1549" spans="1:11" ht="15" customHeight="1" x14ac:dyDescent="0.3">
      <c r="A1549" t="s">
        <v>18</v>
      </c>
      <c r="B1549" t="s">
        <v>19</v>
      </c>
      <c r="C1549" t="s">
        <v>12</v>
      </c>
      <c r="D1549" t="s">
        <v>20</v>
      </c>
      <c r="E1549">
        <v>33</v>
      </c>
      <c r="F1549"/>
      <c r="G1549" t="s">
        <v>31</v>
      </c>
      <c r="H1549" t="s">
        <v>32</v>
      </c>
      <c r="I1549">
        <v>1</v>
      </c>
      <c r="J1549" s="23">
        <v>-137</v>
      </c>
      <c r="K1549" t="s">
        <v>17</v>
      </c>
    </row>
    <row r="1550" spans="1:11" ht="15" customHeight="1" x14ac:dyDescent="0.3">
      <c r="A1550" t="s">
        <v>18</v>
      </c>
      <c r="B1550" t="s">
        <v>11</v>
      </c>
      <c r="C1550" t="s">
        <v>12</v>
      </c>
      <c r="D1550" t="s">
        <v>28</v>
      </c>
      <c r="E1550">
        <v>10</v>
      </c>
      <c r="F1550" t="s">
        <v>34</v>
      </c>
      <c r="G1550" t="s">
        <v>15</v>
      </c>
      <c r="H1550" t="s">
        <v>32</v>
      </c>
      <c r="I1550">
        <v>1</v>
      </c>
      <c r="J1550" s="23">
        <v>-1466</v>
      </c>
      <c r="K1550" t="s">
        <v>17</v>
      </c>
    </row>
    <row r="1551" spans="1:11" ht="15" customHeight="1" x14ac:dyDescent="0.3">
      <c r="A1551" t="s">
        <v>10</v>
      </c>
      <c r="B1551" t="s">
        <v>11</v>
      </c>
      <c r="C1551" t="s">
        <v>24</v>
      </c>
      <c r="D1551" t="s">
        <v>13</v>
      </c>
      <c r="E1551">
        <v>7</v>
      </c>
      <c r="F1551" t="s">
        <v>35</v>
      </c>
      <c r="G1551" t="s">
        <v>15</v>
      </c>
      <c r="H1551" t="s">
        <v>16</v>
      </c>
      <c r="I1551">
        <v>0</v>
      </c>
      <c r="J1551" s="23">
        <v>158714</v>
      </c>
      <c r="K1551">
        <v>1110998</v>
      </c>
    </row>
    <row r="1552" spans="1:11" ht="15" customHeight="1" x14ac:dyDescent="0.3">
      <c r="A1552" t="s">
        <v>10</v>
      </c>
      <c r="B1552" t="s">
        <v>11</v>
      </c>
      <c r="C1552" t="s">
        <v>24</v>
      </c>
      <c r="D1552" t="s">
        <v>13</v>
      </c>
      <c r="E1552">
        <v>-1</v>
      </c>
      <c r="F1552" t="s">
        <v>42</v>
      </c>
      <c r="G1552" t="s">
        <v>15</v>
      </c>
      <c r="H1552" t="s">
        <v>16</v>
      </c>
      <c r="I1552">
        <v>0</v>
      </c>
      <c r="J1552" s="23">
        <v>698084</v>
      </c>
      <c r="K1552" t="s">
        <v>17</v>
      </c>
    </row>
    <row r="1553" spans="1:11" ht="15" customHeight="1" x14ac:dyDescent="0.3">
      <c r="A1553" t="s">
        <v>18</v>
      </c>
      <c r="B1553" t="s">
        <v>19</v>
      </c>
      <c r="C1553" t="s">
        <v>12</v>
      </c>
      <c r="D1553" t="s">
        <v>20</v>
      </c>
      <c r="E1553">
        <v>35</v>
      </c>
      <c r="F1553"/>
      <c r="G1553" t="s">
        <v>15</v>
      </c>
      <c r="H1553" t="s">
        <v>16</v>
      </c>
      <c r="I1553">
        <v>0</v>
      </c>
      <c r="J1553" s="23">
        <v>-759674</v>
      </c>
      <c r="K1553" t="s">
        <v>17</v>
      </c>
    </row>
    <row r="1554" spans="1:11" ht="15" customHeight="1" x14ac:dyDescent="0.3">
      <c r="A1554" t="s">
        <v>22</v>
      </c>
      <c r="B1554" t="s">
        <v>11</v>
      </c>
      <c r="C1554" t="s">
        <v>12</v>
      </c>
      <c r="D1554" t="s">
        <v>28</v>
      </c>
      <c r="E1554">
        <v>10</v>
      </c>
      <c r="F1554" t="s">
        <v>42</v>
      </c>
      <c r="G1554" t="s">
        <v>15</v>
      </c>
      <c r="H1554" t="s">
        <v>16</v>
      </c>
      <c r="I1554">
        <v>0</v>
      </c>
      <c r="J1554" s="23">
        <v>-4179</v>
      </c>
      <c r="K1554" t="s">
        <v>17</v>
      </c>
    </row>
    <row r="1555" spans="1:11" ht="15" customHeight="1" x14ac:dyDescent="0.3">
      <c r="A1555" t="s">
        <v>18</v>
      </c>
      <c r="B1555" t="s">
        <v>11</v>
      </c>
      <c r="C1555" t="s">
        <v>12</v>
      </c>
      <c r="D1555" t="s">
        <v>28</v>
      </c>
      <c r="E1555">
        <v>3</v>
      </c>
      <c r="F1555" t="s">
        <v>21</v>
      </c>
      <c r="G1555" t="s">
        <v>15</v>
      </c>
      <c r="H1555" t="s">
        <v>32</v>
      </c>
      <c r="I1555">
        <v>1</v>
      </c>
      <c r="J1555" s="23">
        <v>-21</v>
      </c>
      <c r="K1555" t="s">
        <v>17</v>
      </c>
    </row>
    <row r="1556" spans="1:11" ht="15" customHeight="1" x14ac:dyDescent="0.3">
      <c r="A1556" t="s">
        <v>18</v>
      </c>
      <c r="B1556" t="s">
        <v>11</v>
      </c>
      <c r="C1556" t="s">
        <v>24</v>
      </c>
      <c r="D1556" t="s">
        <v>28</v>
      </c>
      <c r="E1556">
        <v>12</v>
      </c>
      <c r="F1556" t="s">
        <v>40</v>
      </c>
      <c r="G1556" t="s">
        <v>15</v>
      </c>
      <c r="H1556" t="s">
        <v>16</v>
      </c>
      <c r="I1556">
        <v>0</v>
      </c>
      <c r="J1556" s="23">
        <v>248788</v>
      </c>
      <c r="K1556">
        <v>2985456</v>
      </c>
    </row>
    <row r="1557" spans="1:11" ht="15" customHeight="1" x14ac:dyDescent="0.3">
      <c r="A1557" t="s">
        <v>18</v>
      </c>
      <c r="B1557" t="s">
        <v>11</v>
      </c>
      <c r="C1557" t="s">
        <v>12</v>
      </c>
      <c r="D1557" t="s">
        <v>28</v>
      </c>
      <c r="E1557">
        <v>7</v>
      </c>
      <c r="F1557" t="s">
        <v>23</v>
      </c>
      <c r="G1557" t="s">
        <v>31</v>
      </c>
      <c r="H1557" t="s">
        <v>16</v>
      </c>
      <c r="I1557">
        <v>1</v>
      </c>
      <c r="J1557" s="23">
        <v>-692</v>
      </c>
      <c r="K1557" t="s">
        <v>17</v>
      </c>
    </row>
    <row r="1558" spans="1:11" ht="15" customHeight="1" x14ac:dyDescent="0.3">
      <c r="A1558" t="s">
        <v>22</v>
      </c>
      <c r="B1558" t="s">
        <v>11</v>
      </c>
      <c r="C1558" t="s">
        <v>12</v>
      </c>
      <c r="D1558" t="s">
        <v>25</v>
      </c>
      <c r="E1558">
        <v>4</v>
      </c>
      <c r="F1558" t="s">
        <v>34</v>
      </c>
      <c r="G1558" t="s">
        <v>15</v>
      </c>
      <c r="H1558" t="s">
        <v>16</v>
      </c>
      <c r="I1558">
        <v>0</v>
      </c>
      <c r="J1558" s="23">
        <v>-80687</v>
      </c>
      <c r="K1558" t="s">
        <v>17</v>
      </c>
    </row>
    <row r="1559" spans="1:11" ht="15" customHeight="1" x14ac:dyDescent="0.3">
      <c r="A1559" t="s">
        <v>18</v>
      </c>
      <c r="B1559" t="s">
        <v>11</v>
      </c>
      <c r="C1559" t="s">
        <v>24</v>
      </c>
      <c r="D1559" t="s">
        <v>13</v>
      </c>
      <c r="E1559">
        <v>-1</v>
      </c>
      <c r="F1559" t="s">
        <v>17</v>
      </c>
      <c r="G1559" t="s">
        <v>15</v>
      </c>
      <c r="H1559" t="s">
        <v>16</v>
      </c>
      <c r="I1559">
        <v>0</v>
      </c>
      <c r="J1559" s="23">
        <v>-30383246</v>
      </c>
      <c r="K1559" t="s">
        <v>17</v>
      </c>
    </row>
    <row r="1560" spans="1:11" ht="15" customHeight="1" x14ac:dyDescent="0.3">
      <c r="A1560" t="s">
        <v>18</v>
      </c>
      <c r="B1560" t="s">
        <v>19</v>
      </c>
      <c r="C1560" t="s">
        <v>24</v>
      </c>
      <c r="D1560" t="s">
        <v>20</v>
      </c>
      <c r="E1560">
        <v>15</v>
      </c>
      <c r="F1560"/>
      <c r="G1560" t="s">
        <v>31</v>
      </c>
      <c r="H1560" t="s">
        <v>32</v>
      </c>
      <c r="I1560">
        <v>1</v>
      </c>
      <c r="J1560" s="23">
        <v>67510</v>
      </c>
      <c r="K1560">
        <v>1012650</v>
      </c>
    </row>
    <row r="1561" spans="1:11" ht="15" customHeight="1" x14ac:dyDescent="0.3">
      <c r="A1561" t="s">
        <v>18</v>
      </c>
      <c r="B1561" t="s">
        <v>19</v>
      </c>
      <c r="C1561" t="s">
        <v>12</v>
      </c>
      <c r="D1561" t="s">
        <v>28</v>
      </c>
      <c r="E1561">
        <v>22</v>
      </c>
      <c r="F1561"/>
      <c r="G1561" t="s">
        <v>15</v>
      </c>
      <c r="H1561" t="s">
        <v>16</v>
      </c>
      <c r="I1561">
        <v>0</v>
      </c>
      <c r="J1561" s="23">
        <v>-345</v>
      </c>
      <c r="K1561" t="s">
        <v>17</v>
      </c>
    </row>
    <row r="1562" spans="1:11" ht="15" customHeight="1" x14ac:dyDescent="0.3">
      <c r="A1562" t="s">
        <v>18</v>
      </c>
      <c r="B1562" t="s">
        <v>11</v>
      </c>
      <c r="C1562" t="s">
        <v>12</v>
      </c>
      <c r="D1562" t="s">
        <v>28</v>
      </c>
      <c r="E1562">
        <v>10</v>
      </c>
      <c r="F1562" t="s">
        <v>35</v>
      </c>
      <c r="G1562" t="s">
        <v>15</v>
      </c>
      <c r="H1562" t="s">
        <v>16</v>
      </c>
      <c r="I1562">
        <v>0</v>
      </c>
      <c r="J1562" s="23">
        <v>-1414</v>
      </c>
      <c r="K1562" t="s">
        <v>17</v>
      </c>
    </row>
    <row r="1563" spans="1:11" ht="15" customHeight="1" x14ac:dyDescent="0.3">
      <c r="A1563" t="s">
        <v>10</v>
      </c>
      <c r="B1563" t="s">
        <v>11</v>
      </c>
      <c r="C1563" t="s">
        <v>24</v>
      </c>
      <c r="D1563" t="s">
        <v>28</v>
      </c>
      <c r="E1563">
        <v>6</v>
      </c>
      <c r="F1563" t="s">
        <v>26</v>
      </c>
      <c r="G1563" t="s">
        <v>15</v>
      </c>
      <c r="H1563" t="s">
        <v>16</v>
      </c>
      <c r="I1563">
        <v>0</v>
      </c>
      <c r="J1563" s="23">
        <v>3652117</v>
      </c>
      <c r="K1563">
        <v>21912702</v>
      </c>
    </row>
    <row r="1564" spans="1:11" ht="15" customHeight="1" x14ac:dyDescent="0.3">
      <c r="A1564" t="s">
        <v>10</v>
      </c>
      <c r="B1564" t="s">
        <v>11</v>
      </c>
      <c r="C1564" t="s">
        <v>12</v>
      </c>
      <c r="D1564" t="s">
        <v>13</v>
      </c>
      <c r="E1564">
        <v>3</v>
      </c>
      <c r="F1564" t="s">
        <v>21</v>
      </c>
      <c r="G1564" t="s">
        <v>15</v>
      </c>
      <c r="H1564" t="s">
        <v>16</v>
      </c>
      <c r="I1564">
        <v>0</v>
      </c>
      <c r="J1564" s="23">
        <v>-888468</v>
      </c>
      <c r="K1564" t="s">
        <v>17</v>
      </c>
    </row>
    <row r="1565" spans="1:11" ht="15" customHeight="1" x14ac:dyDescent="0.3">
      <c r="A1565" t="s">
        <v>22</v>
      </c>
      <c r="B1565" t="s">
        <v>11</v>
      </c>
      <c r="C1565" t="s">
        <v>24</v>
      </c>
      <c r="D1565" t="s">
        <v>28</v>
      </c>
      <c r="E1565">
        <v>4</v>
      </c>
      <c r="F1565" t="s">
        <v>30</v>
      </c>
      <c r="G1565" t="s">
        <v>15</v>
      </c>
      <c r="H1565" t="s">
        <v>16</v>
      </c>
      <c r="I1565">
        <v>0</v>
      </c>
      <c r="J1565" s="23">
        <v>36107</v>
      </c>
      <c r="K1565">
        <v>144428</v>
      </c>
    </row>
    <row r="1566" spans="1:11" ht="15" customHeight="1" x14ac:dyDescent="0.3">
      <c r="A1566" t="s">
        <v>18</v>
      </c>
      <c r="B1566" t="s">
        <v>19</v>
      </c>
      <c r="C1566" t="s">
        <v>24</v>
      </c>
      <c r="D1566" t="s">
        <v>20</v>
      </c>
      <c r="E1566">
        <v>9</v>
      </c>
      <c r="F1566"/>
      <c r="G1566" t="s">
        <v>15</v>
      </c>
      <c r="H1566" t="s">
        <v>32</v>
      </c>
      <c r="I1566">
        <v>1</v>
      </c>
      <c r="J1566" s="23">
        <v>1092335</v>
      </c>
      <c r="K1566">
        <v>9831015</v>
      </c>
    </row>
    <row r="1567" spans="1:11" ht="15" customHeight="1" x14ac:dyDescent="0.3">
      <c r="A1567" t="s">
        <v>18</v>
      </c>
      <c r="B1567" t="s">
        <v>11</v>
      </c>
      <c r="C1567" t="s">
        <v>12</v>
      </c>
      <c r="D1567" t="s">
        <v>28</v>
      </c>
      <c r="E1567">
        <v>7</v>
      </c>
      <c r="F1567" t="s">
        <v>29</v>
      </c>
      <c r="G1567" t="s">
        <v>15</v>
      </c>
      <c r="H1567" t="s">
        <v>16</v>
      </c>
      <c r="I1567">
        <v>0</v>
      </c>
      <c r="J1567" s="23">
        <v>-2100</v>
      </c>
      <c r="K1567" t="s">
        <v>17</v>
      </c>
    </row>
    <row r="1568" spans="1:11" ht="15" customHeight="1" x14ac:dyDescent="0.3">
      <c r="A1568" t="s">
        <v>18</v>
      </c>
      <c r="B1568" t="s">
        <v>11</v>
      </c>
      <c r="C1568" t="s">
        <v>24</v>
      </c>
      <c r="D1568" t="s">
        <v>25</v>
      </c>
      <c r="E1568">
        <v>-1</v>
      </c>
      <c r="F1568" t="s">
        <v>35</v>
      </c>
      <c r="G1568" t="s">
        <v>15</v>
      </c>
      <c r="H1568" t="s">
        <v>16</v>
      </c>
      <c r="I1568">
        <v>0</v>
      </c>
      <c r="J1568" s="23">
        <v>832471</v>
      </c>
      <c r="K1568" t="s">
        <v>17</v>
      </c>
    </row>
    <row r="1569" spans="1:11" ht="15" customHeight="1" x14ac:dyDescent="0.3">
      <c r="A1569" t="s">
        <v>10</v>
      </c>
      <c r="B1569" t="s">
        <v>11</v>
      </c>
      <c r="C1569" t="s">
        <v>24</v>
      </c>
      <c r="D1569" t="s">
        <v>28</v>
      </c>
      <c r="E1569">
        <v>6</v>
      </c>
      <c r="F1569" t="s">
        <v>39</v>
      </c>
      <c r="G1569" t="s">
        <v>15</v>
      </c>
      <c r="H1569" t="s">
        <v>16</v>
      </c>
      <c r="I1569">
        <v>0</v>
      </c>
      <c r="J1569" s="23">
        <v>45426</v>
      </c>
      <c r="K1569">
        <v>272556</v>
      </c>
    </row>
    <row r="1570" spans="1:11" ht="15" customHeight="1" x14ac:dyDescent="0.3">
      <c r="A1570" t="s">
        <v>10</v>
      </c>
      <c r="B1570" t="s">
        <v>11</v>
      </c>
      <c r="C1570" t="s">
        <v>12</v>
      </c>
      <c r="D1570" t="s">
        <v>28</v>
      </c>
      <c r="E1570">
        <v>5</v>
      </c>
      <c r="F1570" t="s">
        <v>27</v>
      </c>
      <c r="G1570" t="s">
        <v>15</v>
      </c>
      <c r="H1570" t="s">
        <v>16</v>
      </c>
      <c r="I1570">
        <v>0</v>
      </c>
      <c r="J1570" s="23">
        <v>-103</v>
      </c>
      <c r="K1570" t="s">
        <v>17</v>
      </c>
    </row>
    <row r="1571" spans="1:11" ht="15" customHeight="1" x14ac:dyDescent="0.3">
      <c r="A1571" t="s">
        <v>10</v>
      </c>
      <c r="B1571" t="s">
        <v>19</v>
      </c>
      <c r="C1571" t="s">
        <v>24</v>
      </c>
      <c r="D1571" t="s">
        <v>20</v>
      </c>
      <c r="E1571">
        <v>5</v>
      </c>
      <c r="F1571"/>
      <c r="G1571" t="s">
        <v>31</v>
      </c>
      <c r="H1571" t="s">
        <v>32</v>
      </c>
      <c r="I1571">
        <v>1</v>
      </c>
      <c r="J1571" s="23">
        <v>17886</v>
      </c>
      <c r="K1571">
        <v>89430</v>
      </c>
    </row>
    <row r="1572" spans="1:11" ht="15" customHeight="1" x14ac:dyDescent="0.3">
      <c r="A1572" t="s">
        <v>18</v>
      </c>
      <c r="B1572" t="s">
        <v>11</v>
      </c>
      <c r="C1572" t="s">
        <v>12</v>
      </c>
      <c r="D1572" t="s">
        <v>28</v>
      </c>
      <c r="E1572">
        <v>5</v>
      </c>
      <c r="F1572" t="s">
        <v>21</v>
      </c>
      <c r="G1572" t="s">
        <v>31</v>
      </c>
      <c r="H1572" t="s">
        <v>16</v>
      </c>
      <c r="I1572">
        <v>1</v>
      </c>
      <c r="J1572" s="23">
        <v>-67</v>
      </c>
      <c r="K1572" t="s">
        <v>17</v>
      </c>
    </row>
    <row r="1573" spans="1:11" ht="15" customHeight="1" x14ac:dyDescent="0.3">
      <c r="A1573" t="s">
        <v>10</v>
      </c>
      <c r="B1573" t="s">
        <v>19</v>
      </c>
      <c r="C1573" t="s">
        <v>24</v>
      </c>
      <c r="D1573" t="s">
        <v>20</v>
      </c>
      <c r="E1573">
        <v>29</v>
      </c>
      <c r="F1573"/>
      <c r="G1573" t="s">
        <v>31</v>
      </c>
      <c r="H1573" t="s">
        <v>16</v>
      </c>
      <c r="I1573">
        <v>1</v>
      </c>
      <c r="J1573" s="23">
        <v>1604526</v>
      </c>
      <c r="K1573">
        <v>46531254</v>
      </c>
    </row>
    <row r="1574" spans="1:11" ht="15" customHeight="1" x14ac:dyDescent="0.3">
      <c r="A1574" t="s">
        <v>18</v>
      </c>
      <c r="B1574" t="s">
        <v>19</v>
      </c>
      <c r="C1574" t="s">
        <v>12</v>
      </c>
      <c r="D1574" t="s">
        <v>28</v>
      </c>
      <c r="E1574">
        <v>37</v>
      </c>
      <c r="F1574"/>
      <c r="G1574" t="s">
        <v>15</v>
      </c>
      <c r="H1574" t="s">
        <v>16</v>
      </c>
      <c r="I1574">
        <v>0</v>
      </c>
      <c r="J1574" s="23">
        <v>-357</v>
      </c>
      <c r="K1574" t="s">
        <v>17</v>
      </c>
    </row>
    <row r="1575" spans="1:11" ht="15" customHeight="1" x14ac:dyDescent="0.3">
      <c r="A1575" t="s">
        <v>18</v>
      </c>
      <c r="B1575" t="s">
        <v>11</v>
      </c>
      <c r="C1575" t="s">
        <v>12</v>
      </c>
      <c r="D1575" t="s">
        <v>28</v>
      </c>
      <c r="E1575">
        <v>7</v>
      </c>
      <c r="F1575" t="s">
        <v>33</v>
      </c>
      <c r="G1575" t="s">
        <v>15</v>
      </c>
      <c r="H1575" t="s">
        <v>16</v>
      </c>
      <c r="I1575">
        <v>0</v>
      </c>
      <c r="J1575" s="23">
        <v>-1024</v>
      </c>
      <c r="K1575" t="s">
        <v>17</v>
      </c>
    </row>
    <row r="1576" spans="1:11" ht="15" customHeight="1" x14ac:dyDescent="0.3">
      <c r="A1576" t="s">
        <v>10</v>
      </c>
      <c r="B1576" t="s">
        <v>19</v>
      </c>
      <c r="C1576" t="s">
        <v>24</v>
      </c>
      <c r="D1576" t="s">
        <v>20</v>
      </c>
      <c r="E1576">
        <v>6</v>
      </c>
      <c r="F1576"/>
      <c r="G1576" t="s">
        <v>15</v>
      </c>
      <c r="H1576" t="s">
        <v>32</v>
      </c>
      <c r="I1576">
        <v>1</v>
      </c>
      <c r="J1576" s="23">
        <v>180449</v>
      </c>
      <c r="K1576">
        <v>1082694</v>
      </c>
    </row>
    <row r="1577" spans="1:11" ht="15" customHeight="1" x14ac:dyDescent="0.3">
      <c r="A1577" t="s">
        <v>10</v>
      </c>
      <c r="B1577" t="s">
        <v>11</v>
      </c>
      <c r="C1577" t="s">
        <v>24</v>
      </c>
      <c r="D1577" t="s">
        <v>13</v>
      </c>
      <c r="E1577">
        <v>-1</v>
      </c>
      <c r="F1577" t="s">
        <v>26</v>
      </c>
      <c r="G1577" t="s">
        <v>15</v>
      </c>
      <c r="H1577" t="s">
        <v>16</v>
      </c>
      <c r="I1577">
        <v>0</v>
      </c>
      <c r="J1577" s="23">
        <v>7405869</v>
      </c>
      <c r="K1577" t="s">
        <v>17</v>
      </c>
    </row>
    <row r="1578" spans="1:11" ht="15" customHeight="1" x14ac:dyDescent="0.3">
      <c r="A1578" t="s">
        <v>10</v>
      </c>
      <c r="B1578" t="s">
        <v>11</v>
      </c>
      <c r="C1578" t="s">
        <v>24</v>
      </c>
      <c r="D1578" t="s">
        <v>28</v>
      </c>
      <c r="E1578">
        <v>7</v>
      </c>
      <c r="F1578" t="s">
        <v>42</v>
      </c>
      <c r="G1578" t="s">
        <v>15</v>
      </c>
      <c r="H1578" t="s">
        <v>16</v>
      </c>
      <c r="I1578">
        <v>0</v>
      </c>
      <c r="J1578" s="23">
        <v>247077</v>
      </c>
      <c r="K1578">
        <v>1729539</v>
      </c>
    </row>
    <row r="1579" spans="1:11" ht="15" customHeight="1" x14ac:dyDescent="0.3">
      <c r="A1579" t="s">
        <v>22</v>
      </c>
      <c r="B1579" t="s">
        <v>11</v>
      </c>
      <c r="C1579" t="s">
        <v>12</v>
      </c>
      <c r="D1579" t="s">
        <v>25</v>
      </c>
      <c r="E1579">
        <v>0</v>
      </c>
      <c r="F1579" t="s">
        <v>23</v>
      </c>
      <c r="G1579" t="s">
        <v>15</v>
      </c>
      <c r="H1579" t="s">
        <v>16</v>
      </c>
      <c r="I1579">
        <v>0</v>
      </c>
      <c r="J1579" s="23">
        <v>-139041</v>
      </c>
      <c r="K1579" t="s">
        <v>17</v>
      </c>
    </row>
    <row r="1580" spans="1:11" ht="15" customHeight="1" x14ac:dyDescent="0.3">
      <c r="A1580" t="s">
        <v>10</v>
      </c>
      <c r="B1580" t="s">
        <v>11</v>
      </c>
      <c r="C1580" t="s">
        <v>24</v>
      </c>
      <c r="D1580" t="s">
        <v>28</v>
      </c>
      <c r="E1580">
        <v>-1</v>
      </c>
      <c r="F1580" t="s">
        <v>40</v>
      </c>
      <c r="G1580" t="s">
        <v>15</v>
      </c>
      <c r="H1580" t="s">
        <v>16</v>
      </c>
      <c r="I1580">
        <v>0</v>
      </c>
      <c r="J1580" s="23">
        <v>35600</v>
      </c>
      <c r="K1580" t="s">
        <v>17</v>
      </c>
    </row>
    <row r="1581" spans="1:11" ht="15" customHeight="1" x14ac:dyDescent="0.3">
      <c r="A1581" t="s">
        <v>22</v>
      </c>
      <c r="B1581" t="s">
        <v>11</v>
      </c>
      <c r="C1581" t="s">
        <v>12</v>
      </c>
      <c r="D1581" t="s">
        <v>13</v>
      </c>
      <c r="E1581">
        <v>4</v>
      </c>
      <c r="F1581" t="s">
        <v>26</v>
      </c>
      <c r="G1581" t="s">
        <v>15</v>
      </c>
      <c r="H1581" t="s">
        <v>16</v>
      </c>
      <c r="I1581">
        <v>0</v>
      </c>
      <c r="J1581" s="23">
        <v>-756678</v>
      </c>
      <c r="K1581" t="s">
        <v>17</v>
      </c>
    </row>
    <row r="1582" spans="1:11" ht="15" customHeight="1" x14ac:dyDescent="0.3">
      <c r="A1582" t="s">
        <v>10</v>
      </c>
      <c r="B1582" t="s">
        <v>11</v>
      </c>
      <c r="C1582" t="s">
        <v>24</v>
      </c>
      <c r="D1582" t="s">
        <v>25</v>
      </c>
      <c r="E1582">
        <v>6</v>
      </c>
      <c r="F1582" t="s">
        <v>33</v>
      </c>
      <c r="G1582" t="s">
        <v>15</v>
      </c>
      <c r="H1582" t="s">
        <v>16</v>
      </c>
      <c r="I1582">
        <v>0</v>
      </c>
      <c r="J1582" s="23">
        <v>87642</v>
      </c>
      <c r="K1582">
        <v>525852</v>
      </c>
    </row>
    <row r="1583" spans="1:11" ht="15" customHeight="1" x14ac:dyDescent="0.3">
      <c r="A1583" t="s">
        <v>22</v>
      </c>
      <c r="B1583" t="s">
        <v>11</v>
      </c>
      <c r="C1583" t="s">
        <v>24</v>
      </c>
      <c r="D1583" t="s">
        <v>28</v>
      </c>
      <c r="E1583">
        <v>9</v>
      </c>
      <c r="F1583" t="s">
        <v>21</v>
      </c>
      <c r="G1583" t="s">
        <v>15</v>
      </c>
      <c r="H1583" t="s">
        <v>16</v>
      </c>
      <c r="I1583">
        <v>0</v>
      </c>
      <c r="J1583" s="23">
        <v>6038110</v>
      </c>
      <c r="K1583">
        <v>54342990</v>
      </c>
    </row>
    <row r="1584" spans="1:11" ht="15" customHeight="1" x14ac:dyDescent="0.3">
      <c r="A1584" t="s">
        <v>18</v>
      </c>
      <c r="B1584" t="s">
        <v>11</v>
      </c>
      <c r="C1584" t="s">
        <v>24</v>
      </c>
      <c r="D1584" t="s">
        <v>28</v>
      </c>
      <c r="E1584">
        <v>11</v>
      </c>
      <c r="F1584" t="s">
        <v>34</v>
      </c>
      <c r="G1584" t="s">
        <v>31</v>
      </c>
      <c r="H1584" t="s">
        <v>16</v>
      </c>
      <c r="I1584">
        <v>1</v>
      </c>
      <c r="J1584" s="23">
        <v>48251</v>
      </c>
      <c r="K1584">
        <v>530761</v>
      </c>
    </row>
    <row r="1585" spans="1:11" ht="15" customHeight="1" x14ac:dyDescent="0.3">
      <c r="A1585" t="s">
        <v>10</v>
      </c>
      <c r="B1585" t="s">
        <v>11</v>
      </c>
      <c r="C1585" t="s">
        <v>24</v>
      </c>
      <c r="D1585" t="s">
        <v>28</v>
      </c>
      <c r="E1585">
        <v>13</v>
      </c>
      <c r="F1585" t="s">
        <v>34</v>
      </c>
      <c r="G1585" t="s">
        <v>15</v>
      </c>
      <c r="H1585" t="s">
        <v>16</v>
      </c>
      <c r="I1585">
        <v>0</v>
      </c>
      <c r="J1585" s="23">
        <v>2067861</v>
      </c>
      <c r="K1585">
        <v>26882193</v>
      </c>
    </row>
    <row r="1586" spans="1:11" ht="15" customHeight="1" x14ac:dyDescent="0.3">
      <c r="A1586" t="s">
        <v>22</v>
      </c>
      <c r="B1586" t="s">
        <v>11</v>
      </c>
      <c r="C1586" t="s">
        <v>12</v>
      </c>
      <c r="D1586" t="s">
        <v>13</v>
      </c>
      <c r="E1586">
        <v>1</v>
      </c>
      <c r="F1586" t="s">
        <v>14</v>
      </c>
      <c r="G1586" t="s">
        <v>15</v>
      </c>
      <c r="H1586" t="s">
        <v>16</v>
      </c>
      <c r="I1586">
        <v>0</v>
      </c>
      <c r="J1586" s="23">
        <v>-61205</v>
      </c>
      <c r="K1586" t="s">
        <v>17</v>
      </c>
    </row>
    <row r="1587" spans="1:11" ht="15" customHeight="1" x14ac:dyDescent="0.3">
      <c r="A1587" t="s">
        <v>18</v>
      </c>
      <c r="B1587" t="s">
        <v>11</v>
      </c>
      <c r="C1587" t="s">
        <v>12</v>
      </c>
      <c r="D1587" t="s">
        <v>25</v>
      </c>
      <c r="E1587">
        <v>1</v>
      </c>
      <c r="F1587" t="s">
        <v>14</v>
      </c>
      <c r="G1587" t="s">
        <v>15</v>
      </c>
      <c r="H1587" t="s">
        <v>16</v>
      </c>
      <c r="I1587">
        <v>0</v>
      </c>
      <c r="J1587" s="23">
        <v>-4141</v>
      </c>
      <c r="K1587" t="s">
        <v>17</v>
      </c>
    </row>
    <row r="1588" spans="1:11" ht="15" customHeight="1" x14ac:dyDescent="0.3">
      <c r="A1588" t="s">
        <v>10</v>
      </c>
      <c r="B1588" t="s">
        <v>11</v>
      </c>
      <c r="C1588" t="s">
        <v>24</v>
      </c>
      <c r="D1588" t="s">
        <v>13</v>
      </c>
      <c r="E1588">
        <v>-1</v>
      </c>
      <c r="F1588" t="s">
        <v>37</v>
      </c>
      <c r="G1588" t="s">
        <v>15</v>
      </c>
      <c r="H1588" t="s">
        <v>16</v>
      </c>
      <c r="I1588">
        <v>0</v>
      </c>
      <c r="J1588" s="23">
        <v>5833707</v>
      </c>
      <c r="K1588" t="s">
        <v>17</v>
      </c>
    </row>
    <row r="1589" spans="1:11" ht="15" customHeight="1" x14ac:dyDescent="0.3">
      <c r="A1589" t="s">
        <v>18</v>
      </c>
      <c r="B1589" t="s">
        <v>11</v>
      </c>
      <c r="C1589" t="s">
        <v>12</v>
      </c>
      <c r="D1589" t="s">
        <v>25</v>
      </c>
      <c r="E1589">
        <v>9</v>
      </c>
      <c r="F1589" t="s">
        <v>30</v>
      </c>
      <c r="G1589" t="s">
        <v>15</v>
      </c>
      <c r="H1589" t="s">
        <v>16</v>
      </c>
      <c r="I1589">
        <v>0</v>
      </c>
      <c r="J1589" s="23">
        <v>-2</v>
      </c>
      <c r="K1589" t="s">
        <v>17</v>
      </c>
    </row>
    <row r="1590" spans="1:11" ht="15" customHeight="1" x14ac:dyDescent="0.3">
      <c r="A1590" t="s">
        <v>18</v>
      </c>
      <c r="B1590" t="s">
        <v>11</v>
      </c>
      <c r="C1590" t="s">
        <v>12</v>
      </c>
      <c r="D1590" t="s">
        <v>28</v>
      </c>
      <c r="E1590">
        <v>7</v>
      </c>
      <c r="F1590" t="s">
        <v>41</v>
      </c>
      <c r="G1590" t="s">
        <v>15</v>
      </c>
      <c r="H1590" t="s">
        <v>32</v>
      </c>
      <c r="I1590">
        <v>1</v>
      </c>
      <c r="J1590" s="23">
        <v>-1453</v>
      </c>
      <c r="K1590" t="s">
        <v>17</v>
      </c>
    </row>
    <row r="1591" spans="1:11" ht="15" customHeight="1" x14ac:dyDescent="0.3">
      <c r="A1591" t="s">
        <v>18</v>
      </c>
      <c r="B1591" t="s">
        <v>11</v>
      </c>
      <c r="C1591" t="s">
        <v>24</v>
      </c>
      <c r="D1591" t="s">
        <v>28</v>
      </c>
      <c r="E1591">
        <v>17</v>
      </c>
      <c r="F1591" t="s">
        <v>30</v>
      </c>
      <c r="G1591" t="s">
        <v>15</v>
      </c>
      <c r="H1591" t="s">
        <v>16</v>
      </c>
      <c r="I1591">
        <v>0</v>
      </c>
      <c r="J1591" s="23">
        <v>5357549</v>
      </c>
      <c r="K1591">
        <v>91078333</v>
      </c>
    </row>
    <row r="1592" spans="1:11" ht="15" customHeight="1" x14ac:dyDescent="0.3">
      <c r="A1592" t="s">
        <v>22</v>
      </c>
      <c r="B1592" t="s">
        <v>11</v>
      </c>
      <c r="C1592" t="s">
        <v>12</v>
      </c>
      <c r="D1592" t="s">
        <v>13</v>
      </c>
      <c r="E1592">
        <v>-1</v>
      </c>
      <c r="F1592" t="s">
        <v>49</v>
      </c>
      <c r="G1592" t="s">
        <v>15</v>
      </c>
      <c r="H1592" t="s">
        <v>16</v>
      </c>
      <c r="I1592">
        <v>0</v>
      </c>
      <c r="J1592" s="23">
        <v>0</v>
      </c>
      <c r="K1592" t="s">
        <v>17</v>
      </c>
    </row>
    <row r="1593" spans="1:11" ht="15" customHeight="1" x14ac:dyDescent="0.3">
      <c r="A1593" t="s">
        <v>10</v>
      </c>
      <c r="B1593" t="s">
        <v>19</v>
      </c>
      <c r="C1593" t="s">
        <v>24</v>
      </c>
      <c r="D1593" t="s">
        <v>20</v>
      </c>
      <c r="E1593">
        <v>35</v>
      </c>
      <c r="F1593"/>
      <c r="G1593" t="s">
        <v>15</v>
      </c>
      <c r="H1593" t="s">
        <v>32</v>
      </c>
      <c r="I1593">
        <v>1</v>
      </c>
      <c r="J1593" s="23">
        <v>75332</v>
      </c>
      <c r="K1593">
        <v>2636620</v>
      </c>
    </row>
    <row r="1594" spans="1:11" ht="15" customHeight="1" x14ac:dyDescent="0.3">
      <c r="A1594" t="s">
        <v>18</v>
      </c>
      <c r="B1594" t="s">
        <v>11</v>
      </c>
      <c r="C1594" t="s">
        <v>24</v>
      </c>
      <c r="D1594" t="s">
        <v>13</v>
      </c>
      <c r="E1594">
        <v>1</v>
      </c>
      <c r="F1594" t="s">
        <v>39</v>
      </c>
      <c r="G1594" t="s">
        <v>15</v>
      </c>
      <c r="H1594" t="s">
        <v>16</v>
      </c>
      <c r="I1594">
        <v>0</v>
      </c>
      <c r="J1594" s="23">
        <v>11043408</v>
      </c>
      <c r="K1594">
        <v>11043408</v>
      </c>
    </row>
    <row r="1595" spans="1:11" ht="15" customHeight="1" x14ac:dyDescent="0.3">
      <c r="A1595" t="s">
        <v>18</v>
      </c>
      <c r="B1595" t="s">
        <v>11</v>
      </c>
      <c r="C1595" t="s">
        <v>12</v>
      </c>
      <c r="D1595" t="s">
        <v>28</v>
      </c>
      <c r="E1595">
        <v>13</v>
      </c>
      <c r="F1595" t="s">
        <v>34</v>
      </c>
      <c r="G1595" t="s">
        <v>15</v>
      </c>
      <c r="H1595" t="s">
        <v>16</v>
      </c>
      <c r="I1595">
        <v>0</v>
      </c>
      <c r="J1595" s="23">
        <v>-2962</v>
      </c>
      <c r="K1595" t="s">
        <v>17</v>
      </c>
    </row>
    <row r="1596" spans="1:11" ht="15" customHeight="1" x14ac:dyDescent="0.3">
      <c r="A1596" t="s">
        <v>22</v>
      </c>
      <c r="B1596" t="s">
        <v>11</v>
      </c>
      <c r="C1596" t="s">
        <v>12</v>
      </c>
      <c r="D1596" t="s">
        <v>28</v>
      </c>
      <c r="E1596">
        <v>2</v>
      </c>
      <c r="F1596" t="s">
        <v>39</v>
      </c>
      <c r="G1596" t="s">
        <v>15</v>
      </c>
      <c r="H1596" t="s">
        <v>16</v>
      </c>
      <c r="I1596">
        <v>0</v>
      </c>
      <c r="J1596" s="23">
        <v>-633981</v>
      </c>
      <c r="K1596" t="s">
        <v>17</v>
      </c>
    </row>
    <row r="1597" spans="1:11" ht="15" customHeight="1" x14ac:dyDescent="0.3">
      <c r="A1597" t="s">
        <v>18</v>
      </c>
      <c r="B1597" t="s">
        <v>11</v>
      </c>
      <c r="C1597" t="s">
        <v>24</v>
      </c>
      <c r="D1597" t="s">
        <v>28</v>
      </c>
      <c r="E1597">
        <v>-4</v>
      </c>
      <c r="F1597" t="s">
        <v>21</v>
      </c>
      <c r="G1597" t="s">
        <v>15</v>
      </c>
      <c r="H1597" t="s">
        <v>16</v>
      </c>
      <c r="I1597">
        <v>0</v>
      </c>
      <c r="J1597" s="23">
        <v>136228</v>
      </c>
      <c r="K1597" t="s">
        <v>17</v>
      </c>
    </row>
    <row r="1598" spans="1:11" ht="15" customHeight="1" x14ac:dyDescent="0.3">
      <c r="A1598" t="s">
        <v>18</v>
      </c>
      <c r="B1598" t="s">
        <v>11</v>
      </c>
      <c r="C1598" t="s">
        <v>24</v>
      </c>
      <c r="D1598" t="s">
        <v>28</v>
      </c>
      <c r="E1598">
        <v>2</v>
      </c>
      <c r="F1598" t="s">
        <v>29</v>
      </c>
      <c r="G1598" t="s">
        <v>15</v>
      </c>
      <c r="H1598" t="s">
        <v>16</v>
      </c>
      <c r="I1598">
        <v>0</v>
      </c>
      <c r="J1598" s="23">
        <v>4338880</v>
      </c>
      <c r="K1598">
        <v>8677760</v>
      </c>
    </row>
    <row r="1599" spans="1:11" ht="15" customHeight="1" x14ac:dyDescent="0.3">
      <c r="A1599" t="s">
        <v>18</v>
      </c>
      <c r="B1599" t="s">
        <v>11</v>
      </c>
      <c r="C1599" t="s">
        <v>24</v>
      </c>
      <c r="D1599" t="s">
        <v>28</v>
      </c>
      <c r="E1599">
        <v>5</v>
      </c>
      <c r="F1599" t="s">
        <v>34</v>
      </c>
      <c r="G1599" t="s">
        <v>15</v>
      </c>
      <c r="H1599" t="s">
        <v>16</v>
      </c>
      <c r="I1599">
        <v>0</v>
      </c>
      <c r="J1599" s="23">
        <v>9734362</v>
      </c>
      <c r="K1599">
        <v>48671810</v>
      </c>
    </row>
    <row r="1600" spans="1:11" ht="15" customHeight="1" x14ac:dyDescent="0.3">
      <c r="A1600" t="s">
        <v>22</v>
      </c>
      <c r="B1600" t="s">
        <v>11</v>
      </c>
      <c r="C1600" t="s">
        <v>12</v>
      </c>
      <c r="D1600" t="s">
        <v>13</v>
      </c>
      <c r="E1600">
        <v>2</v>
      </c>
      <c r="F1600" t="s">
        <v>27</v>
      </c>
      <c r="G1600" t="s">
        <v>15</v>
      </c>
      <c r="H1600" t="s">
        <v>16</v>
      </c>
      <c r="I1600">
        <v>0</v>
      </c>
      <c r="J1600" s="23">
        <v>-138154</v>
      </c>
      <c r="K1600" t="s">
        <v>17</v>
      </c>
    </row>
    <row r="1601" spans="1:11" ht="15" customHeight="1" x14ac:dyDescent="0.3">
      <c r="A1601" t="s">
        <v>10</v>
      </c>
      <c r="B1601" t="s">
        <v>11</v>
      </c>
      <c r="C1601" t="s">
        <v>12</v>
      </c>
      <c r="D1601" t="s">
        <v>28</v>
      </c>
      <c r="E1601">
        <v>2</v>
      </c>
      <c r="F1601" t="s">
        <v>21</v>
      </c>
      <c r="G1601" t="s">
        <v>15</v>
      </c>
      <c r="H1601" t="s">
        <v>32</v>
      </c>
      <c r="I1601">
        <v>1</v>
      </c>
      <c r="J1601" s="23">
        <v>-8362</v>
      </c>
      <c r="K1601" t="s">
        <v>17</v>
      </c>
    </row>
    <row r="1602" spans="1:11" ht="15" customHeight="1" x14ac:dyDescent="0.3">
      <c r="A1602" t="s">
        <v>22</v>
      </c>
      <c r="B1602" t="s">
        <v>19</v>
      </c>
      <c r="C1602" t="s">
        <v>24</v>
      </c>
      <c r="D1602" t="s">
        <v>20</v>
      </c>
      <c r="E1602">
        <v>9</v>
      </c>
      <c r="F1602"/>
      <c r="G1602" t="s">
        <v>15</v>
      </c>
      <c r="H1602" t="s">
        <v>16</v>
      </c>
      <c r="I1602">
        <v>0</v>
      </c>
      <c r="J1602" s="23">
        <v>3465670</v>
      </c>
      <c r="K1602">
        <v>31191030</v>
      </c>
    </row>
    <row r="1603" spans="1:11" ht="15" customHeight="1" x14ac:dyDescent="0.3">
      <c r="A1603" t="s">
        <v>10</v>
      </c>
      <c r="B1603" t="s">
        <v>19</v>
      </c>
      <c r="C1603" t="s">
        <v>24</v>
      </c>
      <c r="D1603" t="s">
        <v>28</v>
      </c>
      <c r="E1603">
        <v>20</v>
      </c>
      <c r="F1603"/>
      <c r="G1603" t="s">
        <v>15</v>
      </c>
      <c r="H1603" t="s">
        <v>16</v>
      </c>
      <c r="I1603">
        <v>0</v>
      </c>
      <c r="J1603" s="23">
        <v>65453</v>
      </c>
      <c r="K1603">
        <v>1309060</v>
      </c>
    </row>
    <row r="1604" spans="1:11" ht="15" customHeight="1" x14ac:dyDescent="0.3">
      <c r="A1604" t="s">
        <v>18</v>
      </c>
      <c r="B1604" t="s">
        <v>11</v>
      </c>
      <c r="C1604" t="s">
        <v>24</v>
      </c>
      <c r="D1604" t="s">
        <v>28</v>
      </c>
      <c r="E1604">
        <v>9</v>
      </c>
      <c r="F1604" t="s">
        <v>23</v>
      </c>
      <c r="G1604" t="s">
        <v>31</v>
      </c>
      <c r="H1604" t="s">
        <v>16</v>
      </c>
      <c r="I1604">
        <v>1</v>
      </c>
      <c r="J1604" s="23">
        <v>266303</v>
      </c>
      <c r="K1604">
        <v>2396727</v>
      </c>
    </row>
    <row r="1605" spans="1:11" ht="15" customHeight="1" x14ac:dyDescent="0.3">
      <c r="A1605" t="s">
        <v>10</v>
      </c>
      <c r="B1605" t="s">
        <v>11</v>
      </c>
      <c r="C1605" t="s">
        <v>24</v>
      </c>
      <c r="D1605" t="s">
        <v>28</v>
      </c>
      <c r="E1605">
        <v>-1</v>
      </c>
      <c r="F1605" t="s">
        <v>21</v>
      </c>
      <c r="G1605" t="s">
        <v>15</v>
      </c>
      <c r="H1605" t="s">
        <v>16</v>
      </c>
      <c r="I1605">
        <v>0</v>
      </c>
      <c r="J1605" s="23">
        <v>300333</v>
      </c>
      <c r="K1605" t="s">
        <v>17</v>
      </c>
    </row>
    <row r="1606" spans="1:11" ht="15" customHeight="1" x14ac:dyDescent="0.3">
      <c r="A1606" t="s">
        <v>18</v>
      </c>
      <c r="B1606" t="s">
        <v>19</v>
      </c>
      <c r="C1606" t="s">
        <v>12</v>
      </c>
      <c r="D1606" t="s">
        <v>28</v>
      </c>
      <c r="E1606">
        <v>11</v>
      </c>
      <c r="F1606"/>
      <c r="G1606" t="s">
        <v>31</v>
      </c>
      <c r="H1606" t="s">
        <v>32</v>
      </c>
      <c r="I1606">
        <v>1</v>
      </c>
      <c r="J1606" s="23">
        <v>-4</v>
      </c>
      <c r="K1606" t="s">
        <v>17</v>
      </c>
    </row>
    <row r="1607" spans="1:11" ht="15" customHeight="1" x14ac:dyDescent="0.3">
      <c r="A1607" t="s">
        <v>22</v>
      </c>
      <c r="B1607" t="s">
        <v>19</v>
      </c>
      <c r="C1607" t="s">
        <v>24</v>
      </c>
      <c r="D1607" t="s">
        <v>20</v>
      </c>
      <c r="E1607">
        <v>19</v>
      </c>
      <c r="F1607"/>
      <c r="G1607" t="s">
        <v>15</v>
      </c>
      <c r="H1607" t="s">
        <v>32</v>
      </c>
      <c r="I1607">
        <v>1</v>
      </c>
      <c r="J1607" s="23">
        <v>138063</v>
      </c>
      <c r="K1607">
        <v>2623197</v>
      </c>
    </row>
    <row r="1608" spans="1:11" ht="15" customHeight="1" x14ac:dyDescent="0.3">
      <c r="A1608" t="s">
        <v>18</v>
      </c>
      <c r="B1608" t="s">
        <v>11</v>
      </c>
      <c r="C1608" t="s">
        <v>12</v>
      </c>
      <c r="D1608" t="s">
        <v>28</v>
      </c>
      <c r="E1608">
        <v>9</v>
      </c>
      <c r="F1608" t="s">
        <v>35</v>
      </c>
      <c r="G1608" t="s">
        <v>15</v>
      </c>
      <c r="H1608" t="s">
        <v>16</v>
      </c>
      <c r="I1608">
        <v>0</v>
      </c>
      <c r="J1608" s="23">
        <v>-2855</v>
      </c>
      <c r="K1608" t="s">
        <v>17</v>
      </c>
    </row>
    <row r="1609" spans="1:11" ht="15" customHeight="1" x14ac:dyDescent="0.3">
      <c r="A1609" t="s">
        <v>22</v>
      </c>
      <c r="B1609" t="s">
        <v>11</v>
      </c>
      <c r="C1609" t="s">
        <v>12</v>
      </c>
      <c r="D1609" t="s">
        <v>28</v>
      </c>
      <c r="E1609">
        <v>3</v>
      </c>
      <c r="F1609" t="s">
        <v>29</v>
      </c>
      <c r="G1609" t="s">
        <v>15</v>
      </c>
      <c r="H1609" t="s">
        <v>16</v>
      </c>
      <c r="I1609">
        <v>0</v>
      </c>
      <c r="J1609" s="23">
        <v>-262495</v>
      </c>
      <c r="K1609" t="s">
        <v>17</v>
      </c>
    </row>
    <row r="1610" spans="1:11" ht="15" customHeight="1" x14ac:dyDescent="0.3">
      <c r="A1610" t="s">
        <v>18</v>
      </c>
      <c r="B1610" t="s">
        <v>11</v>
      </c>
      <c r="C1610" t="s">
        <v>24</v>
      </c>
      <c r="D1610" t="s">
        <v>28</v>
      </c>
      <c r="E1610">
        <v>-1</v>
      </c>
      <c r="F1610" t="s">
        <v>21</v>
      </c>
      <c r="G1610" t="s">
        <v>15</v>
      </c>
      <c r="H1610" t="s">
        <v>16</v>
      </c>
      <c r="I1610">
        <v>0</v>
      </c>
      <c r="J1610" s="23">
        <v>2780880</v>
      </c>
      <c r="K1610" t="s">
        <v>17</v>
      </c>
    </row>
    <row r="1611" spans="1:11" ht="15" customHeight="1" x14ac:dyDescent="0.3">
      <c r="A1611" t="s">
        <v>18</v>
      </c>
      <c r="B1611" t="s">
        <v>11</v>
      </c>
      <c r="C1611" t="s">
        <v>24</v>
      </c>
      <c r="D1611" t="s">
        <v>28</v>
      </c>
      <c r="E1611">
        <v>8</v>
      </c>
      <c r="F1611" t="s">
        <v>29</v>
      </c>
      <c r="G1611" t="s">
        <v>15</v>
      </c>
      <c r="H1611" t="s">
        <v>32</v>
      </c>
      <c r="I1611">
        <v>1</v>
      </c>
      <c r="J1611" s="23">
        <v>12115821</v>
      </c>
      <c r="K1611">
        <v>96926568</v>
      </c>
    </row>
    <row r="1612" spans="1:11" ht="15" customHeight="1" x14ac:dyDescent="0.3">
      <c r="A1612" t="s">
        <v>22</v>
      </c>
      <c r="B1612" t="s">
        <v>19</v>
      </c>
      <c r="C1612" t="s">
        <v>12</v>
      </c>
      <c r="D1612" t="s">
        <v>20</v>
      </c>
      <c r="E1612">
        <v>26</v>
      </c>
      <c r="F1612"/>
      <c r="G1612" t="s">
        <v>31</v>
      </c>
      <c r="H1612" t="s">
        <v>16</v>
      </c>
      <c r="I1612">
        <v>1</v>
      </c>
      <c r="J1612" s="23">
        <v>-38887</v>
      </c>
      <c r="K1612" t="s">
        <v>17</v>
      </c>
    </row>
    <row r="1613" spans="1:11" ht="15" customHeight="1" x14ac:dyDescent="0.3">
      <c r="A1613" t="s">
        <v>18</v>
      </c>
      <c r="B1613" t="s">
        <v>19</v>
      </c>
      <c r="C1613" t="s">
        <v>24</v>
      </c>
      <c r="D1613" t="s">
        <v>20</v>
      </c>
      <c r="E1613">
        <v>26</v>
      </c>
      <c r="F1613"/>
      <c r="G1613" t="s">
        <v>31</v>
      </c>
      <c r="H1613" t="s">
        <v>16</v>
      </c>
      <c r="I1613">
        <v>1</v>
      </c>
      <c r="J1613" s="23">
        <v>12111767</v>
      </c>
      <c r="K1613">
        <v>314905942</v>
      </c>
    </row>
    <row r="1614" spans="1:11" ht="15" customHeight="1" x14ac:dyDescent="0.3">
      <c r="A1614" t="s">
        <v>22</v>
      </c>
      <c r="B1614" t="s">
        <v>11</v>
      </c>
      <c r="C1614" t="s">
        <v>24</v>
      </c>
      <c r="D1614" t="s">
        <v>13</v>
      </c>
      <c r="E1614">
        <v>6</v>
      </c>
      <c r="F1614" t="s">
        <v>40</v>
      </c>
      <c r="G1614" t="s">
        <v>15</v>
      </c>
      <c r="H1614" t="s">
        <v>16</v>
      </c>
      <c r="I1614">
        <v>0</v>
      </c>
      <c r="J1614" s="23">
        <v>534425</v>
      </c>
      <c r="K1614">
        <v>3206550</v>
      </c>
    </row>
    <row r="1615" spans="1:11" ht="15" customHeight="1" x14ac:dyDescent="0.3">
      <c r="A1615" t="s">
        <v>18</v>
      </c>
      <c r="B1615" t="s">
        <v>11</v>
      </c>
      <c r="C1615" t="s">
        <v>12</v>
      </c>
      <c r="D1615" t="s">
        <v>28</v>
      </c>
      <c r="E1615">
        <v>4</v>
      </c>
      <c r="F1615" t="s">
        <v>33</v>
      </c>
      <c r="G1615" t="s">
        <v>15</v>
      </c>
      <c r="H1615" t="s">
        <v>32</v>
      </c>
      <c r="I1615">
        <v>1</v>
      </c>
      <c r="J1615" s="23">
        <v>-1031</v>
      </c>
      <c r="K1615" t="s">
        <v>17</v>
      </c>
    </row>
    <row r="1616" spans="1:11" ht="15" customHeight="1" x14ac:dyDescent="0.3">
      <c r="A1616" t="s">
        <v>22</v>
      </c>
      <c r="B1616" t="s">
        <v>11</v>
      </c>
      <c r="C1616" t="s">
        <v>24</v>
      </c>
      <c r="D1616" t="s">
        <v>13</v>
      </c>
      <c r="E1616">
        <v>-1</v>
      </c>
      <c r="F1616" t="s">
        <v>14</v>
      </c>
      <c r="G1616" t="s">
        <v>15</v>
      </c>
      <c r="H1616" t="s">
        <v>16</v>
      </c>
      <c r="I1616">
        <v>0</v>
      </c>
      <c r="J1616" s="23">
        <v>903539</v>
      </c>
      <c r="K1616" t="s">
        <v>17</v>
      </c>
    </row>
    <row r="1617" spans="1:11" ht="15" customHeight="1" x14ac:dyDescent="0.3">
      <c r="A1617" t="s">
        <v>18</v>
      </c>
      <c r="B1617" t="s">
        <v>11</v>
      </c>
      <c r="C1617" t="s">
        <v>12</v>
      </c>
      <c r="D1617" t="s">
        <v>25</v>
      </c>
      <c r="E1617">
        <v>0</v>
      </c>
      <c r="F1617" t="s">
        <v>46</v>
      </c>
      <c r="G1617" t="s">
        <v>15</v>
      </c>
      <c r="H1617" t="s">
        <v>16</v>
      </c>
      <c r="I1617">
        <v>0</v>
      </c>
      <c r="J1617" s="23">
        <v>-42</v>
      </c>
      <c r="K1617" t="s">
        <v>17</v>
      </c>
    </row>
    <row r="1618" spans="1:11" ht="15" customHeight="1" x14ac:dyDescent="0.3">
      <c r="A1618" t="s">
        <v>18</v>
      </c>
      <c r="B1618" t="s">
        <v>11</v>
      </c>
      <c r="C1618" t="s">
        <v>12</v>
      </c>
      <c r="D1618" t="s">
        <v>13</v>
      </c>
      <c r="E1618">
        <v>3</v>
      </c>
      <c r="F1618" t="s">
        <v>40</v>
      </c>
      <c r="G1618" t="s">
        <v>15</v>
      </c>
      <c r="H1618" t="s">
        <v>16</v>
      </c>
      <c r="I1618">
        <v>0</v>
      </c>
      <c r="J1618" s="23">
        <v>-79356</v>
      </c>
      <c r="K1618" t="s">
        <v>17</v>
      </c>
    </row>
    <row r="1619" spans="1:11" ht="15" customHeight="1" x14ac:dyDescent="0.3">
      <c r="A1619" t="s">
        <v>10</v>
      </c>
      <c r="B1619" t="s">
        <v>11</v>
      </c>
      <c r="C1619" t="s">
        <v>12</v>
      </c>
      <c r="D1619" t="s">
        <v>13</v>
      </c>
      <c r="E1619">
        <v>0</v>
      </c>
      <c r="F1619" t="s">
        <v>35</v>
      </c>
      <c r="G1619" t="s">
        <v>15</v>
      </c>
      <c r="H1619" t="s">
        <v>16</v>
      </c>
      <c r="I1619">
        <v>0</v>
      </c>
      <c r="J1619" s="23">
        <v>-33462</v>
      </c>
      <c r="K1619" t="s">
        <v>17</v>
      </c>
    </row>
    <row r="1620" spans="1:11" ht="15" customHeight="1" x14ac:dyDescent="0.3">
      <c r="A1620" t="s">
        <v>18</v>
      </c>
      <c r="B1620" t="s">
        <v>43</v>
      </c>
      <c r="C1620" t="s">
        <v>12</v>
      </c>
      <c r="D1620" t="s">
        <v>28</v>
      </c>
      <c r="E1620">
        <v>12</v>
      </c>
      <c r="F1620" t="s">
        <v>38</v>
      </c>
      <c r="G1620" t="s">
        <v>15</v>
      </c>
      <c r="H1620" t="s">
        <v>16</v>
      </c>
      <c r="I1620">
        <v>0</v>
      </c>
      <c r="J1620" s="23">
        <v>-101</v>
      </c>
      <c r="K1620" t="s">
        <v>17</v>
      </c>
    </row>
    <row r="1621" spans="1:11" ht="15" customHeight="1" x14ac:dyDescent="0.3">
      <c r="A1621" t="s">
        <v>22</v>
      </c>
      <c r="B1621" t="s">
        <v>19</v>
      </c>
      <c r="C1621" t="s">
        <v>24</v>
      </c>
      <c r="D1621" t="s">
        <v>20</v>
      </c>
      <c r="E1621">
        <v>5</v>
      </c>
      <c r="F1621"/>
      <c r="G1621" t="s">
        <v>15</v>
      </c>
      <c r="H1621" t="s">
        <v>16</v>
      </c>
      <c r="I1621">
        <v>0</v>
      </c>
      <c r="J1621" s="23">
        <v>1675310</v>
      </c>
      <c r="K1621">
        <v>8376550</v>
      </c>
    </row>
    <row r="1622" spans="1:11" ht="15" customHeight="1" x14ac:dyDescent="0.3">
      <c r="A1622" t="s">
        <v>10</v>
      </c>
      <c r="B1622" t="s">
        <v>11</v>
      </c>
      <c r="C1622" t="s">
        <v>24</v>
      </c>
      <c r="D1622" t="s">
        <v>28</v>
      </c>
      <c r="E1622">
        <v>5</v>
      </c>
      <c r="F1622" t="s">
        <v>34</v>
      </c>
      <c r="G1622" t="s">
        <v>15</v>
      </c>
      <c r="H1622" t="s">
        <v>16</v>
      </c>
      <c r="I1622">
        <v>0</v>
      </c>
      <c r="J1622" s="23">
        <v>2371345</v>
      </c>
      <c r="K1622">
        <v>11856725</v>
      </c>
    </row>
    <row r="1623" spans="1:11" ht="15" customHeight="1" x14ac:dyDescent="0.3">
      <c r="A1623" t="s">
        <v>18</v>
      </c>
      <c r="B1623" t="s">
        <v>11</v>
      </c>
      <c r="C1623" t="s">
        <v>12</v>
      </c>
      <c r="D1623" t="s">
        <v>28</v>
      </c>
      <c r="E1623">
        <v>8</v>
      </c>
      <c r="F1623" t="s">
        <v>40</v>
      </c>
      <c r="G1623" t="s">
        <v>15</v>
      </c>
      <c r="H1623" t="s">
        <v>16</v>
      </c>
      <c r="I1623">
        <v>0</v>
      </c>
      <c r="J1623" s="23">
        <v>-442</v>
      </c>
      <c r="K1623" t="s">
        <v>17</v>
      </c>
    </row>
    <row r="1624" spans="1:11" ht="15" customHeight="1" x14ac:dyDescent="0.3">
      <c r="A1624" t="s">
        <v>18</v>
      </c>
      <c r="B1624" t="s">
        <v>19</v>
      </c>
      <c r="C1624" t="s">
        <v>24</v>
      </c>
      <c r="D1624" t="s">
        <v>20</v>
      </c>
      <c r="E1624">
        <v>34</v>
      </c>
      <c r="F1624"/>
      <c r="G1624" t="s">
        <v>31</v>
      </c>
      <c r="H1624" t="s">
        <v>16</v>
      </c>
      <c r="I1624">
        <v>1</v>
      </c>
      <c r="J1624" s="23">
        <v>18041963</v>
      </c>
      <c r="K1624">
        <v>613426742</v>
      </c>
    </row>
    <row r="1625" spans="1:11" ht="15" customHeight="1" x14ac:dyDescent="0.3">
      <c r="A1625" t="s">
        <v>18</v>
      </c>
      <c r="B1625" t="s">
        <v>11</v>
      </c>
      <c r="C1625" t="s">
        <v>12</v>
      </c>
      <c r="D1625" t="s">
        <v>25</v>
      </c>
      <c r="E1625">
        <v>2</v>
      </c>
      <c r="F1625" t="s">
        <v>45</v>
      </c>
      <c r="G1625" t="s">
        <v>15</v>
      </c>
      <c r="H1625" t="s">
        <v>16</v>
      </c>
      <c r="I1625">
        <v>0</v>
      </c>
      <c r="J1625" s="23">
        <v>-337</v>
      </c>
      <c r="K1625" t="s">
        <v>17</v>
      </c>
    </row>
    <row r="1626" spans="1:11" ht="15" customHeight="1" x14ac:dyDescent="0.3">
      <c r="A1626" t="s">
        <v>18</v>
      </c>
      <c r="B1626" t="s">
        <v>11</v>
      </c>
      <c r="C1626" t="s">
        <v>24</v>
      </c>
      <c r="D1626" t="s">
        <v>13</v>
      </c>
      <c r="E1626">
        <v>2</v>
      </c>
      <c r="F1626" t="s">
        <v>46</v>
      </c>
      <c r="G1626" t="s">
        <v>15</v>
      </c>
      <c r="H1626" t="s">
        <v>16</v>
      </c>
      <c r="I1626">
        <v>0</v>
      </c>
      <c r="J1626" s="23">
        <v>13874</v>
      </c>
      <c r="K1626">
        <v>27748</v>
      </c>
    </row>
    <row r="1627" spans="1:11" ht="15" customHeight="1" x14ac:dyDescent="0.3">
      <c r="A1627" t="s">
        <v>10</v>
      </c>
      <c r="B1627" t="s">
        <v>11</v>
      </c>
      <c r="C1627" t="s">
        <v>24</v>
      </c>
      <c r="D1627" t="s">
        <v>28</v>
      </c>
      <c r="E1627">
        <v>4</v>
      </c>
      <c r="F1627" t="s">
        <v>34</v>
      </c>
      <c r="G1627" t="s">
        <v>15</v>
      </c>
      <c r="H1627" t="s">
        <v>32</v>
      </c>
      <c r="I1627">
        <v>1</v>
      </c>
      <c r="J1627" s="23">
        <v>360399</v>
      </c>
      <c r="K1627">
        <v>1441596</v>
      </c>
    </row>
    <row r="1628" spans="1:11" ht="15" customHeight="1" x14ac:dyDescent="0.3">
      <c r="A1628" t="s">
        <v>22</v>
      </c>
      <c r="B1628" t="s">
        <v>19</v>
      </c>
      <c r="C1628" t="s">
        <v>12</v>
      </c>
      <c r="D1628" t="s">
        <v>20</v>
      </c>
      <c r="E1628">
        <v>24</v>
      </c>
      <c r="F1628"/>
      <c r="G1628" t="s">
        <v>31</v>
      </c>
      <c r="H1628" t="s">
        <v>16</v>
      </c>
      <c r="I1628">
        <v>1</v>
      </c>
      <c r="J1628" s="23">
        <v>-2088</v>
      </c>
      <c r="K1628" t="s">
        <v>17</v>
      </c>
    </row>
    <row r="1629" spans="1:11" ht="15" customHeight="1" x14ac:dyDescent="0.3">
      <c r="A1629" t="s">
        <v>22</v>
      </c>
      <c r="B1629" t="s">
        <v>11</v>
      </c>
      <c r="C1629" t="s">
        <v>24</v>
      </c>
      <c r="D1629" t="s">
        <v>13</v>
      </c>
      <c r="E1629">
        <v>3</v>
      </c>
      <c r="F1629" t="s">
        <v>30</v>
      </c>
      <c r="G1629" t="s">
        <v>15</v>
      </c>
      <c r="H1629" t="s">
        <v>16</v>
      </c>
      <c r="I1629">
        <v>0</v>
      </c>
      <c r="J1629" s="23">
        <v>1251464</v>
      </c>
      <c r="K1629">
        <v>3754392</v>
      </c>
    </row>
    <row r="1630" spans="1:11" ht="15" customHeight="1" x14ac:dyDescent="0.3">
      <c r="A1630" t="s">
        <v>18</v>
      </c>
      <c r="B1630" t="s">
        <v>11</v>
      </c>
      <c r="C1630" t="s">
        <v>24</v>
      </c>
      <c r="D1630" t="s">
        <v>13</v>
      </c>
      <c r="E1630">
        <v>2</v>
      </c>
      <c r="F1630" t="s">
        <v>14</v>
      </c>
      <c r="G1630" t="s">
        <v>15</v>
      </c>
      <c r="H1630" t="s">
        <v>16</v>
      </c>
      <c r="I1630">
        <v>0</v>
      </c>
      <c r="J1630" s="23">
        <v>13100273</v>
      </c>
      <c r="K1630">
        <v>26200546</v>
      </c>
    </row>
    <row r="1631" spans="1:11" ht="15" customHeight="1" x14ac:dyDescent="0.3">
      <c r="A1631" t="s">
        <v>10</v>
      </c>
      <c r="B1631" t="s">
        <v>19</v>
      </c>
      <c r="C1631" t="s">
        <v>12</v>
      </c>
      <c r="D1631" t="s">
        <v>20</v>
      </c>
      <c r="E1631">
        <v>32</v>
      </c>
      <c r="F1631"/>
      <c r="G1631" t="s">
        <v>31</v>
      </c>
      <c r="H1631" t="s">
        <v>32</v>
      </c>
      <c r="I1631">
        <v>1</v>
      </c>
      <c r="J1631" s="23">
        <v>-11</v>
      </c>
      <c r="K1631" t="s">
        <v>17</v>
      </c>
    </row>
    <row r="1632" spans="1:11" ht="15" customHeight="1" x14ac:dyDescent="0.3">
      <c r="A1632" t="s">
        <v>10</v>
      </c>
      <c r="B1632" t="s">
        <v>11</v>
      </c>
      <c r="C1632" t="s">
        <v>24</v>
      </c>
      <c r="D1632" t="s">
        <v>28</v>
      </c>
      <c r="E1632">
        <v>11</v>
      </c>
      <c r="F1632" t="s">
        <v>39</v>
      </c>
      <c r="G1632" t="s">
        <v>15</v>
      </c>
      <c r="H1632" t="s">
        <v>16</v>
      </c>
      <c r="I1632">
        <v>0</v>
      </c>
      <c r="J1632" s="23">
        <v>17576146</v>
      </c>
      <c r="K1632">
        <v>193337606</v>
      </c>
    </row>
    <row r="1633" spans="1:11" ht="15" customHeight="1" x14ac:dyDescent="0.3">
      <c r="A1633" t="s">
        <v>10</v>
      </c>
      <c r="B1633" t="s">
        <v>11</v>
      </c>
      <c r="C1633" t="s">
        <v>24</v>
      </c>
      <c r="D1633" t="s">
        <v>28</v>
      </c>
      <c r="E1633">
        <v>-4</v>
      </c>
      <c r="F1633" t="s">
        <v>40</v>
      </c>
      <c r="G1633" t="s">
        <v>15</v>
      </c>
      <c r="H1633" t="s">
        <v>16</v>
      </c>
      <c r="I1633">
        <v>0</v>
      </c>
      <c r="J1633" s="23">
        <v>191057</v>
      </c>
      <c r="K1633" t="s">
        <v>17</v>
      </c>
    </row>
    <row r="1634" spans="1:11" ht="15" customHeight="1" x14ac:dyDescent="0.3">
      <c r="A1634" t="s">
        <v>18</v>
      </c>
      <c r="B1634" t="s">
        <v>44</v>
      </c>
      <c r="C1634" t="s">
        <v>12</v>
      </c>
      <c r="D1634" t="s">
        <v>28</v>
      </c>
      <c r="E1634">
        <v>7</v>
      </c>
      <c r="F1634" t="s">
        <v>23</v>
      </c>
      <c r="G1634" t="s">
        <v>15</v>
      </c>
      <c r="H1634" t="s">
        <v>16</v>
      </c>
      <c r="I1634">
        <v>0</v>
      </c>
      <c r="J1634" s="23">
        <v>-7843</v>
      </c>
      <c r="K1634" t="s">
        <v>17</v>
      </c>
    </row>
    <row r="1635" spans="1:11" ht="15" customHeight="1" x14ac:dyDescent="0.3">
      <c r="A1635" t="s">
        <v>10</v>
      </c>
      <c r="B1635" t="s">
        <v>11</v>
      </c>
      <c r="C1635" t="s">
        <v>12</v>
      </c>
      <c r="D1635" t="s">
        <v>13</v>
      </c>
      <c r="E1635">
        <v>4</v>
      </c>
      <c r="F1635" t="s">
        <v>37</v>
      </c>
      <c r="G1635" t="s">
        <v>15</v>
      </c>
      <c r="H1635" t="s">
        <v>16</v>
      </c>
      <c r="I1635">
        <v>0</v>
      </c>
      <c r="J1635" s="23">
        <v>-112642</v>
      </c>
      <c r="K1635" t="s">
        <v>17</v>
      </c>
    </row>
    <row r="1636" spans="1:11" ht="15" customHeight="1" x14ac:dyDescent="0.3">
      <c r="A1636" t="s">
        <v>10</v>
      </c>
      <c r="B1636" t="s">
        <v>11</v>
      </c>
      <c r="C1636" t="s">
        <v>12</v>
      </c>
      <c r="D1636" t="s">
        <v>25</v>
      </c>
      <c r="E1636">
        <v>3</v>
      </c>
      <c r="F1636" t="s">
        <v>30</v>
      </c>
      <c r="G1636" t="s">
        <v>15</v>
      </c>
      <c r="H1636" t="s">
        <v>16</v>
      </c>
      <c r="I1636">
        <v>0</v>
      </c>
      <c r="J1636" s="23">
        <v>-34608</v>
      </c>
      <c r="K1636" t="s">
        <v>17</v>
      </c>
    </row>
    <row r="1637" spans="1:11" ht="15" customHeight="1" x14ac:dyDescent="0.3">
      <c r="A1637" t="s">
        <v>10</v>
      </c>
      <c r="B1637" t="s">
        <v>11</v>
      </c>
      <c r="C1637" t="s">
        <v>24</v>
      </c>
      <c r="D1637" t="s">
        <v>28</v>
      </c>
      <c r="E1637">
        <v>2</v>
      </c>
      <c r="F1637" t="s">
        <v>27</v>
      </c>
      <c r="G1637" t="s">
        <v>15</v>
      </c>
      <c r="H1637" t="s">
        <v>16</v>
      </c>
      <c r="I1637">
        <v>0</v>
      </c>
      <c r="J1637" s="23">
        <v>150232</v>
      </c>
      <c r="K1637">
        <v>300464</v>
      </c>
    </row>
    <row r="1638" spans="1:11" ht="15" customHeight="1" x14ac:dyDescent="0.3">
      <c r="A1638" t="s">
        <v>18</v>
      </c>
      <c r="B1638" t="s">
        <v>11</v>
      </c>
      <c r="C1638" t="s">
        <v>24</v>
      </c>
      <c r="D1638" t="s">
        <v>13</v>
      </c>
      <c r="E1638">
        <v>3</v>
      </c>
      <c r="F1638" t="s">
        <v>23</v>
      </c>
      <c r="G1638" t="s">
        <v>15</v>
      </c>
      <c r="H1638" t="s">
        <v>16</v>
      </c>
      <c r="I1638">
        <v>0</v>
      </c>
      <c r="J1638" s="23">
        <v>48339994</v>
      </c>
      <c r="K1638">
        <v>145019982</v>
      </c>
    </row>
    <row r="1639" spans="1:11" ht="15" customHeight="1" x14ac:dyDescent="0.3">
      <c r="A1639" t="s">
        <v>10</v>
      </c>
      <c r="B1639" t="s">
        <v>11</v>
      </c>
      <c r="C1639" t="s">
        <v>12</v>
      </c>
      <c r="D1639" t="s">
        <v>28</v>
      </c>
      <c r="E1639">
        <v>15</v>
      </c>
      <c r="F1639" t="s">
        <v>21</v>
      </c>
      <c r="G1639" t="s">
        <v>15</v>
      </c>
      <c r="H1639" t="s">
        <v>16</v>
      </c>
      <c r="I1639">
        <v>0</v>
      </c>
      <c r="J1639" s="23">
        <v>-31276</v>
      </c>
      <c r="K1639" t="s">
        <v>17</v>
      </c>
    </row>
    <row r="1640" spans="1:11" ht="15" customHeight="1" x14ac:dyDescent="0.3">
      <c r="A1640" t="s">
        <v>22</v>
      </c>
      <c r="B1640" t="s">
        <v>11</v>
      </c>
      <c r="C1640" t="s">
        <v>24</v>
      </c>
      <c r="D1640" t="s">
        <v>28</v>
      </c>
      <c r="E1640">
        <v>-1</v>
      </c>
      <c r="F1640" t="s">
        <v>39</v>
      </c>
      <c r="G1640" t="s">
        <v>15</v>
      </c>
      <c r="H1640" t="s">
        <v>16</v>
      </c>
      <c r="I1640">
        <v>0</v>
      </c>
      <c r="J1640" s="23">
        <v>16492</v>
      </c>
      <c r="K1640" t="s">
        <v>17</v>
      </c>
    </row>
    <row r="1641" spans="1:11" ht="15" customHeight="1" x14ac:dyDescent="0.3">
      <c r="A1641" t="s">
        <v>18</v>
      </c>
      <c r="B1641" t="s">
        <v>11</v>
      </c>
      <c r="C1641" t="s">
        <v>24</v>
      </c>
      <c r="D1641" t="s">
        <v>28</v>
      </c>
      <c r="E1641">
        <v>16</v>
      </c>
      <c r="F1641" t="s">
        <v>23</v>
      </c>
      <c r="G1641" t="s">
        <v>15</v>
      </c>
      <c r="H1641" t="s">
        <v>16</v>
      </c>
      <c r="I1641">
        <v>0</v>
      </c>
      <c r="J1641" s="23">
        <v>11826865</v>
      </c>
      <c r="K1641">
        <v>189229840</v>
      </c>
    </row>
    <row r="1642" spans="1:11" ht="15" customHeight="1" x14ac:dyDescent="0.3">
      <c r="A1642" t="s">
        <v>18</v>
      </c>
      <c r="B1642" t="s">
        <v>19</v>
      </c>
      <c r="C1642" t="s">
        <v>12</v>
      </c>
      <c r="D1642" t="s">
        <v>28</v>
      </c>
      <c r="E1642">
        <v>9</v>
      </c>
      <c r="F1642"/>
      <c r="G1642" t="s">
        <v>15</v>
      </c>
      <c r="H1642" t="s">
        <v>16</v>
      </c>
      <c r="I1642">
        <v>0</v>
      </c>
      <c r="J1642" s="23">
        <v>-15583</v>
      </c>
      <c r="K1642" t="s">
        <v>17</v>
      </c>
    </row>
    <row r="1643" spans="1:11" ht="15" customHeight="1" x14ac:dyDescent="0.3">
      <c r="A1643" t="s">
        <v>10</v>
      </c>
      <c r="B1643" t="s">
        <v>11</v>
      </c>
      <c r="C1643" t="s">
        <v>12</v>
      </c>
      <c r="D1643" t="s">
        <v>28</v>
      </c>
      <c r="E1643">
        <v>12</v>
      </c>
      <c r="F1643" t="s">
        <v>35</v>
      </c>
      <c r="G1643" t="s">
        <v>15</v>
      </c>
      <c r="H1643" t="s">
        <v>16</v>
      </c>
      <c r="I1643">
        <v>0</v>
      </c>
      <c r="J1643" s="23">
        <v>-2880</v>
      </c>
      <c r="K1643" t="s">
        <v>17</v>
      </c>
    </row>
    <row r="1644" spans="1:11" ht="15" customHeight="1" x14ac:dyDescent="0.3">
      <c r="A1644" t="s">
        <v>18</v>
      </c>
      <c r="B1644" t="s">
        <v>11</v>
      </c>
      <c r="C1644" t="s">
        <v>12</v>
      </c>
      <c r="D1644" t="s">
        <v>28</v>
      </c>
      <c r="E1644">
        <v>17</v>
      </c>
      <c r="F1644" t="s">
        <v>14</v>
      </c>
      <c r="G1644" t="s">
        <v>15</v>
      </c>
      <c r="H1644" t="s">
        <v>16</v>
      </c>
      <c r="I1644">
        <v>0</v>
      </c>
      <c r="J1644" s="23">
        <v>-271</v>
      </c>
      <c r="K1644" t="s">
        <v>17</v>
      </c>
    </row>
    <row r="1645" spans="1:11" ht="15" customHeight="1" x14ac:dyDescent="0.3">
      <c r="A1645" t="s">
        <v>22</v>
      </c>
      <c r="B1645" t="s">
        <v>11</v>
      </c>
      <c r="C1645" t="s">
        <v>12</v>
      </c>
      <c r="D1645" t="s">
        <v>13</v>
      </c>
      <c r="E1645">
        <v>5</v>
      </c>
      <c r="F1645" t="s">
        <v>30</v>
      </c>
      <c r="G1645" t="s">
        <v>15</v>
      </c>
      <c r="H1645" t="s">
        <v>16</v>
      </c>
      <c r="I1645">
        <v>0</v>
      </c>
      <c r="J1645" s="23">
        <v>-236926</v>
      </c>
      <c r="K1645" t="s">
        <v>17</v>
      </c>
    </row>
    <row r="1646" spans="1:11" ht="15" customHeight="1" x14ac:dyDescent="0.3">
      <c r="A1646" t="s">
        <v>10</v>
      </c>
      <c r="B1646" t="s">
        <v>11</v>
      </c>
      <c r="C1646" t="s">
        <v>24</v>
      </c>
      <c r="D1646" t="s">
        <v>25</v>
      </c>
      <c r="E1646">
        <v>2</v>
      </c>
      <c r="F1646" t="s">
        <v>26</v>
      </c>
      <c r="G1646" t="s">
        <v>15</v>
      </c>
      <c r="H1646" t="s">
        <v>16</v>
      </c>
      <c r="I1646">
        <v>0</v>
      </c>
      <c r="J1646" s="23">
        <v>162045</v>
      </c>
      <c r="K1646">
        <v>324090</v>
      </c>
    </row>
    <row r="1647" spans="1:11" ht="15" customHeight="1" x14ac:dyDescent="0.3">
      <c r="A1647" t="s">
        <v>18</v>
      </c>
      <c r="B1647" t="s">
        <v>11</v>
      </c>
      <c r="C1647" t="s">
        <v>24</v>
      </c>
      <c r="D1647" t="s">
        <v>28</v>
      </c>
      <c r="E1647">
        <v>13</v>
      </c>
      <c r="F1647" t="s">
        <v>34</v>
      </c>
      <c r="G1647" t="s">
        <v>15</v>
      </c>
      <c r="H1647" t="s">
        <v>16</v>
      </c>
      <c r="I1647">
        <v>0</v>
      </c>
      <c r="J1647" s="23">
        <v>1604920</v>
      </c>
      <c r="K1647">
        <v>20863960</v>
      </c>
    </row>
    <row r="1648" spans="1:11" ht="15" customHeight="1" x14ac:dyDescent="0.3">
      <c r="A1648" t="s">
        <v>18</v>
      </c>
      <c r="B1648" t="s">
        <v>11</v>
      </c>
      <c r="C1648" t="s">
        <v>12</v>
      </c>
      <c r="D1648" t="s">
        <v>25</v>
      </c>
      <c r="E1648">
        <v>4</v>
      </c>
      <c r="F1648" t="s">
        <v>30</v>
      </c>
      <c r="G1648" t="s">
        <v>15</v>
      </c>
      <c r="H1648" t="s">
        <v>16</v>
      </c>
      <c r="I1648">
        <v>0</v>
      </c>
      <c r="J1648" s="23">
        <v>-38652</v>
      </c>
      <c r="K1648" t="s">
        <v>17</v>
      </c>
    </row>
    <row r="1649" spans="1:11" ht="15" customHeight="1" x14ac:dyDescent="0.3">
      <c r="A1649" t="s">
        <v>18</v>
      </c>
      <c r="B1649" t="s">
        <v>11</v>
      </c>
      <c r="C1649" t="s">
        <v>24</v>
      </c>
      <c r="D1649" t="s">
        <v>28</v>
      </c>
      <c r="E1649">
        <v>15</v>
      </c>
      <c r="F1649" t="s">
        <v>34</v>
      </c>
      <c r="G1649" t="s">
        <v>15</v>
      </c>
      <c r="H1649" t="s">
        <v>32</v>
      </c>
      <c r="I1649">
        <v>1</v>
      </c>
      <c r="J1649" s="23">
        <v>318554</v>
      </c>
      <c r="K1649">
        <v>4778310</v>
      </c>
    </row>
    <row r="1650" spans="1:11" ht="15" customHeight="1" x14ac:dyDescent="0.3">
      <c r="A1650" t="s">
        <v>18</v>
      </c>
      <c r="B1650" t="s">
        <v>11</v>
      </c>
      <c r="C1650" t="s">
        <v>24</v>
      </c>
      <c r="D1650" t="s">
        <v>28</v>
      </c>
      <c r="E1650">
        <v>7</v>
      </c>
      <c r="F1650" t="s">
        <v>42</v>
      </c>
      <c r="G1650" t="s">
        <v>15</v>
      </c>
      <c r="H1650" t="s">
        <v>16</v>
      </c>
      <c r="I1650">
        <v>0</v>
      </c>
      <c r="J1650" s="23">
        <v>681712</v>
      </c>
      <c r="K1650">
        <v>4771984</v>
      </c>
    </row>
    <row r="1651" spans="1:11" ht="15" customHeight="1" x14ac:dyDescent="0.3">
      <c r="A1651" t="s">
        <v>18</v>
      </c>
      <c r="B1651" t="s">
        <v>11</v>
      </c>
      <c r="C1651" t="s">
        <v>24</v>
      </c>
      <c r="D1651" t="s">
        <v>25</v>
      </c>
      <c r="E1651">
        <v>1</v>
      </c>
      <c r="F1651" t="s">
        <v>46</v>
      </c>
      <c r="G1651" t="s">
        <v>15</v>
      </c>
      <c r="H1651" t="s">
        <v>16</v>
      </c>
      <c r="I1651">
        <v>0</v>
      </c>
      <c r="J1651" s="23">
        <v>9800</v>
      </c>
      <c r="K1651">
        <v>9800</v>
      </c>
    </row>
    <row r="1652" spans="1:11" ht="15" customHeight="1" x14ac:dyDescent="0.3">
      <c r="A1652" t="s">
        <v>18</v>
      </c>
      <c r="B1652" t="s">
        <v>19</v>
      </c>
      <c r="C1652" t="s">
        <v>24</v>
      </c>
      <c r="D1652" t="s">
        <v>20</v>
      </c>
      <c r="E1652">
        <v>40</v>
      </c>
      <c r="F1652"/>
      <c r="G1652" t="s">
        <v>31</v>
      </c>
      <c r="H1652" t="s">
        <v>16</v>
      </c>
      <c r="I1652">
        <v>1</v>
      </c>
      <c r="J1652" s="23">
        <v>4918588</v>
      </c>
      <c r="K1652">
        <v>196743520</v>
      </c>
    </row>
    <row r="1653" spans="1:11" ht="15" customHeight="1" x14ac:dyDescent="0.3">
      <c r="A1653" t="s">
        <v>10</v>
      </c>
      <c r="B1653" t="s">
        <v>11</v>
      </c>
      <c r="C1653" t="s">
        <v>24</v>
      </c>
      <c r="D1653" t="s">
        <v>28</v>
      </c>
      <c r="E1653">
        <v>-4</v>
      </c>
      <c r="F1653" t="s">
        <v>14</v>
      </c>
      <c r="G1653" t="s">
        <v>31</v>
      </c>
      <c r="H1653" t="s">
        <v>16</v>
      </c>
      <c r="I1653">
        <v>1</v>
      </c>
      <c r="J1653" s="23">
        <v>377</v>
      </c>
      <c r="K1653" t="s">
        <v>17</v>
      </c>
    </row>
    <row r="1654" spans="1:11" ht="15" customHeight="1" x14ac:dyDescent="0.3">
      <c r="A1654" t="s">
        <v>10</v>
      </c>
      <c r="B1654" t="s">
        <v>11</v>
      </c>
      <c r="C1654" t="s">
        <v>12</v>
      </c>
      <c r="D1654" t="s">
        <v>28</v>
      </c>
      <c r="E1654">
        <v>6</v>
      </c>
      <c r="F1654" t="s">
        <v>39</v>
      </c>
      <c r="G1654" t="s">
        <v>15</v>
      </c>
      <c r="H1654" t="s">
        <v>16</v>
      </c>
      <c r="I1654">
        <v>0</v>
      </c>
      <c r="J1654" s="23">
        <v>-1368</v>
      </c>
      <c r="K1654" t="s">
        <v>17</v>
      </c>
    </row>
    <row r="1655" spans="1:11" ht="15" customHeight="1" x14ac:dyDescent="0.3">
      <c r="A1655" t="s">
        <v>22</v>
      </c>
      <c r="B1655" t="s">
        <v>11</v>
      </c>
      <c r="C1655" t="s">
        <v>24</v>
      </c>
      <c r="D1655" t="s">
        <v>13</v>
      </c>
      <c r="E1655">
        <v>6</v>
      </c>
      <c r="F1655" t="s">
        <v>21</v>
      </c>
      <c r="G1655" t="s">
        <v>15</v>
      </c>
      <c r="H1655" t="s">
        <v>16</v>
      </c>
      <c r="I1655">
        <v>0</v>
      </c>
      <c r="J1655" s="23">
        <v>1187450</v>
      </c>
      <c r="K1655">
        <v>7124700</v>
      </c>
    </row>
    <row r="1656" spans="1:11" ht="15" customHeight="1" x14ac:dyDescent="0.3">
      <c r="A1656" t="s">
        <v>18</v>
      </c>
      <c r="B1656" t="s">
        <v>11</v>
      </c>
      <c r="C1656" t="s">
        <v>24</v>
      </c>
      <c r="D1656" t="s">
        <v>28</v>
      </c>
      <c r="E1656">
        <v>6</v>
      </c>
      <c r="F1656" t="s">
        <v>39</v>
      </c>
      <c r="G1656" t="s">
        <v>15</v>
      </c>
      <c r="H1656" t="s">
        <v>16</v>
      </c>
      <c r="I1656">
        <v>0</v>
      </c>
      <c r="J1656" s="23">
        <v>3383108</v>
      </c>
      <c r="K1656">
        <v>20298648</v>
      </c>
    </row>
    <row r="1657" spans="1:11" ht="15" customHeight="1" x14ac:dyDescent="0.3">
      <c r="A1657" t="s">
        <v>22</v>
      </c>
      <c r="B1657" t="s">
        <v>11</v>
      </c>
      <c r="C1657" t="s">
        <v>12</v>
      </c>
      <c r="D1657" t="s">
        <v>28</v>
      </c>
      <c r="E1657">
        <v>-4</v>
      </c>
      <c r="F1657" t="s">
        <v>35</v>
      </c>
      <c r="G1657" t="s">
        <v>15</v>
      </c>
      <c r="H1657" t="s">
        <v>16</v>
      </c>
      <c r="I1657">
        <v>0</v>
      </c>
      <c r="J1657" s="23">
        <v>-18119</v>
      </c>
      <c r="K1657" t="s">
        <v>17</v>
      </c>
    </row>
    <row r="1658" spans="1:11" ht="15" customHeight="1" x14ac:dyDescent="0.3">
      <c r="A1658" t="s">
        <v>22</v>
      </c>
      <c r="B1658" t="s">
        <v>11</v>
      </c>
      <c r="C1658" t="s">
        <v>24</v>
      </c>
      <c r="D1658" t="s">
        <v>28</v>
      </c>
      <c r="E1658">
        <v>7</v>
      </c>
      <c r="F1658" t="s">
        <v>40</v>
      </c>
      <c r="G1658" t="s">
        <v>15</v>
      </c>
      <c r="H1658" t="s">
        <v>16</v>
      </c>
      <c r="I1658">
        <v>0</v>
      </c>
      <c r="J1658" s="23">
        <v>602049</v>
      </c>
      <c r="K1658">
        <v>4214343</v>
      </c>
    </row>
    <row r="1659" spans="1:11" ht="15" customHeight="1" x14ac:dyDescent="0.3">
      <c r="A1659" t="s">
        <v>10</v>
      </c>
      <c r="B1659" t="s">
        <v>11</v>
      </c>
      <c r="C1659" t="s">
        <v>24</v>
      </c>
      <c r="D1659" t="s">
        <v>28</v>
      </c>
      <c r="E1659">
        <v>2</v>
      </c>
      <c r="F1659" t="s">
        <v>30</v>
      </c>
      <c r="G1659" t="s">
        <v>15</v>
      </c>
      <c r="H1659" t="s">
        <v>16</v>
      </c>
      <c r="I1659">
        <v>0</v>
      </c>
      <c r="J1659" s="23">
        <v>32390</v>
      </c>
      <c r="K1659">
        <v>64780</v>
      </c>
    </row>
    <row r="1660" spans="1:11" ht="15" customHeight="1" x14ac:dyDescent="0.3">
      <c r="A1660" t="s">
        <v>18</v>
      </c>
      <c r="B1660" t="s">
        <v>11</v>
      </c>
      <c r="C1660" t="s">
        <v>12</v>
      </c>
      <c r="D1660" t="s">
        <v>25</v>
      </c>
      <c r="E1660">
        <v>3</v>
      </c>
      <c r="F1660" t="s">
        <v>14</v>
      </c>
      <c r="G1660" t="s">
        <v>15</v>
      </c>
      <c r="H1660" t="s">
        <v>16</v>
      </c>
      <c r="I1660">
        <v>0</v>
      </c>
      <c r="J1660" s="23">
        <v>-22279</v>
      </c>
      <c r="K1660" t="s">
        <v>17</v>
      </c>
    </row>
    <row r="1661" spans="1:11" ht="15" customHeight="1" x14ac:dyDescent="0.3">
      <c r="A1661" t="s">
        <v>18</v>
      </c>
      <c r="B1661" t="s">
        <v>11</v>
      </c>
      <c r="C1661" t="s">
        <v>24</v>
      </c>
      <c r="D1661" t="s">
        <v>28</v>
      </c>
      <c r="E1661">
        <v>10</v>
      </c>
      <c r="F1661" t="s">
        <v>14</v>
      </c>
      <c r="G1661" t="s">
        <v>15</v>
      </c>
      <c r="H1661" t="s">
        <v>16</v>
      </c>
      <c r="I1661">
        <v>0</v>
      </c>
      <c r="J1661" s="23">
        <v>6974899</v>
      </c>
      <c r="K1661">
        <v>69748990</v>
      </c>
    </row>
    <row r="1662" spans="1:11" ht="15" customHeight="1" x14ac:dyDescent="0.3">
      <c r="A1662" t="s">
        <v>22</v>
      </c>
      <c r="B1662" t="s">
        <v>11</v>
      </c>
      <c r="C1662" t="s">
        <v>24</v>
      </c>
      <c r="D1662" t="s">
        <v>13</v>
      </c>
      <c r="E1662">
        <v>4</v>
      </c>
      <c r="F1662" t="s">
        <v>37</v>
      </c>
      <c r="G1662" t="s">
        <v>15</v>
      </c>
      <c r="H1662" t="s">
        <v>16</v>
      </c>
      <c r="I1662">
        <v>0</v>
      </c>
      <c r="J1662" s="23">
        <v>77129</v>
      </c>
      <c r="K1662">
        <v>308516</v>
      </c>
    </row>
    <row r="1663" spans="1:11" ht="15" customHeight="1" x14ac:dyDescent="0.3">
      <c r="A1663" t="s">
        <v>18</v>
      </c>
      <c r="B1663" t="s">
        <v>11</v>
      </c>
      <c r="C1663" t="s">
        <v>24</v>
      </c>
      <c r="D1663" t="s">
        <v>25</v>
      </c>
      <c r="E1663">
        <v>1</v>
      </c>
      <c r="F1663" t="s">
        <v>30</v>
      </c>
      <c r="G1663" t="s">
        <v>15</v>
      </c>
      <c r="H1663" t="s">
        <v>16</v>
      </c>
      <c r="I1663">
        <v>0</v>
      </c>
      <c r="J1663" s="23">
        <v>6032807</v>
      </c>
      <c r="K1663">
        <v>6032807</v>
      </c>
    </row>
    <row r="1664" spans="1:11" ht="15" customHeight="1" x14ac:dyDescent="0.3">
      <c r="A1664" t="s">
        <v>18</v>
      </c>
      <c r="B1664" t="s">
        <v>11</v>
      </c>
      <c r="C1664" t="s">
        <v>24</v>
      </c>
      <c r="D1664" t="s">
        <v>13</v>
      </c>
      <c r="E1664">
        <v>8</v>
      </c>
      <c r="F1664" t="s">
        <v>29</v>
      </c>
      <c r="G1664" t="s">
        <v>15</v>
      </c>
      <c r="H1664" t="s">
        <v>16</v>
      </c>
      <c r="I1664">
        <v>0</v>
      </c>
      <c r="J1664" s="23">
        <v>10510499</v>
      </c>
      <c r="K1664">
        <v>84083992</v>
      </c>
    </row>
    <row r="1665" spans="1:11" ht="15" customHeight="1" x14ac:dyDescent="0.3">
      <c r="A1665" t="s">
        <v>18</v>
      </c>
      <c r="B1665" t="s">
        <v>11</v>
      </c>
      <c r="C1665" t="s">
        <v>24</v>
      </c>
      <c r="D1665" t="s">
        <v>25</v>
      </c>
      <c r="E1665">
        <v>-4</v>
      </c>
      <c r="F1665" t="s">
        <v>39</v>
      </c>
      <c r="G1665" t="s">
        <v>15</v>
      </c>
      <c r="H1665" t="s">
        <v>16</v>
      </c>
      <c r="I1665">
        <v>0</v>
      </c>
      <c r="J1665" s="23">
        <v>81</v>
      </c>
      <c r="K1665" t="s">
        <v>17</v>
      </c>
    </row>
    <row r="1666" spans="1:11" ht="15" customHeight="1" x14ac:dyDescent="0.3">
      <c r="A1666" t="s">
        <v>18</v>
      </c>
      <c r="B1666" t="s">
        <v>11</v>
      </c>
      <c r="C1666" t="s">
        <v>24</v>
      </c>
      <c r="D1666" t="s">
        <v>28</v>
      </c>
      <c r="E1666">
        <v>-1</v>
      </c>
      <c r="F1666" t="s">
        <v>35</v>
      </c>
      <c r="G1666" t="s">
        <v>15</v>
      </c>
      <c r="H1666" t="s">
        <v>16</v>
      </c>
      <c r="I1666">
        <v>0</v>
      </c>
      <c r="J1666" s="23">
        <v>200652</v>
      </c>
      <c r="K1666" t="s">
        <v>17</v>
      </c>
    </row>
    <row r="1667" spans="1:11" ht="15" customHeight="1" x14ac:dyDescent="0.3">
      <c r="A1667" t="s">
        <v>10</v>
      </c>
      <c r="B1667" t="s">
        <v>11</v>
      </c>
      <c r="C1667" t="s">
        <v>12</v>
      </c>
      <c r="D1667" t="s">
        <v>28</v>
      </c>
      <c r="E1667">
        <v>6</v>
      </c>
      <c r="F1667" t="s">
        <v>26</v>
      </c>
      <c r="G1667" t="s">
        <v>15</v>
      </c>
      <c r="H1667" t="s">
        <v>16</v>
      </c>
      <c r="I1667">
        <v>0</v>
      </c>
      <c r="J1667" s="23">
        <v>-247501</v>
      </c>
      <c r="K1667" t="s">
        <v>17</v>
      </c>
    </row>
    <row r="1668" spans="1:11" ht="15" customHeight="1" x14ac:dyDescent="0.3">
      <c r="A1668" t="s">
        <v>10</v>
      </c>
      <c r="B1668" t="s">
        <v>11</v>
      </c>
      <c r="C1668" t="s">
        <v>24</v>
      </c>
      <c r="D1668" t="s">
        <v>28</v>
      </c>
      <c r="E1668">
        <v>2</v>
      </c>
      <c r="F1668" t="s">
        <v>14</v>
      </c>
      <c r="G1668" t="s">
        <v>15</v>
      </c>
      <c r="H1668" t="s">
        <v>16</v>
      </c>
      <c r="I1668">
        <v>0</v>
      </c>
      <c r="J1668" s="23">
        <v>319102</v>
      </c>
      <c r="K1668">
        <v>638204</v>
      </c>
    </row>
    <row r="1669" spans="1:11" ht="15" customHeight="1" x14ac:dyDescent="0.3">
      <c r="A1669" t="s">
        <v>10</v>
      </c>
      <c r="B1669" t="s">
        <v>11</v>
      </c>
      <c r="C1669" t="s">
        <v>24</v>
      </c>
      <c r="D1669" t="s">
        <v>25</v>
      </c>
      <c r="E1669">
        <v>2</v>
      </c>
      <c r="F1669" t="s">
        <v>39</v>
      </c>
      <c r="G1669" t="s">
        <v>15</v>
      </c>
      <c r="H1669" t="s">
        <v>16</v>
      </c>
      <c r="I1669">
        <v>0</v>
      </c>
      <c r="J1669" s="23">
        <v>553218</v>
      </c>
      <c r="K1669">
        <v>1106436</v>
      </c>
    </row>
    <row r="1670" spans="1:11" ht="15" customHeight="1" x14ac:dyDescent="0.3">
      <c r="A1670" t="s">
        <v>22</v>
      </c>
      <c r="B1670" t="s">
        <v>19</v>
      </c>
      <c r="C1670" t="s">
        <v>24</v>
      </c>
      <c r="D1670" t="s">
        <v>20</v>
      </c>
      <c r="E1670">
        <v>39</v>
      </c>
      <c r="F1670"/>
      <c r="G1670" t="s">
        <v>15</v>
      </c>
      <c r="H1670" t="s">
        <v>16</v>
      </c>
      <c r="I1670">
        <v>0</v>
      </c>
      <c r="J1670" s="23">
        <v>2651688</v>
      </c>
      <c r="K1670">
        <v>103415832</v>
      </c>
    </row>
    <row r="1671" spans="1:11" ht="15" customHeight="1" x14ac:dyDescent="0.3">
      <c r="A1671" t="s">
        <v>10</v>
      </c>
      <c r="B1671" t="s">
        <v>11</v>
      </c>
      <c r="C1671" t="s">
        <v>12</v>
      </c>
      <c r="D1671" t="s">
        <v>25</v>
      </c>
      <c r="E1671">
        <v>6</v>
      </c>
      <c r="F1671" t="s">
        <v>23</v>
      </c>
      <c r="G1671" t="s">
        <v>15</v>
      </c>
      <c r="H1671" t="s">
        <v>16</v>
      </c>
      <c r="I1671">
        <v>0</v>
      </c>
      <c r="J1671" s="23">
        <v>-6225</v>
      </c>
      <c r="K1671" t="s">
        <v>17</v>
      </c>
    </row>
    <row r="1672" spans="1:11" ht="15" customHeight="1" x14ac:dyDescent="0.3">
      <c r="A1672" t="s">
        <v>18</v>
      </c>
      <c r="B1672" t="s">
        <v>11</v>
      </c>
      <c r="C1672" t="s">
        <v>24</v>
      </c>
      <c r="D1672" t="s">
        <v>28</v>
      </c>
      <c r="E1672">
        <v>6</v>
      </c>
      <c r="F1672" t="s">
        <v>37</v>
      </c>
      <c r="G1672" t="s">
        <v>15</v>
      </c>
      <c r="H1672" t="s">
        <v>16</v>
      </c>
      <c r="I1672">
        <v>0</v>
      </c>
      <c r="J1672" s="23">
        <v>183307</v>
      </c>
      <c r="K1672">
        <v>1099842</v>
      </c>
    </row>
    <row r="1673" spans="1:11" ht="15" customHeight="1" x14ac:dyDescent="0.3">
      <c r="A1673" t="s">
        <v>22</v>
      </c>
      <c r="B1673" t="s">
        <v>11</v>
      </c>
      <c r="C1673" t="s">
        <v>24</v>
      </c>
      <c r="D1673" t="s">
        <v>25</v>
      </c>
      <c r="E1673">
        <v>-4</v>
      </c>
      <c r="F1673" t="s">
        <v>45</v>
      </c>
      <c r="G1673" t="s">
        <v>15</v>
      </c>
      <c r="H1673" t="s">
        <v>16</v>
      </c>
      <c r="I1673">
        <v>0</v>
      </c>
      <c r="J1673" s="23">
        <v>8369</v>
      </c>
      <c r="K1673" t="s">
        <v>17</v>
      </c>
    </row>
    <row r="1674" spans="1:11" ht="15" customHeight="1" x14ac:dyDescent="0.3">
      <c r="A1674" t="s">
        <v>10</v>
      </c>
      <c r="B1674" t="s">
        <v>19</v>
      </c>
      <c r="C1674" t="s">
        <v>24</v>
      </c>
      <c r="D1674" t="s">
        <v>28</v>
      </c>
      <c r="E1674">
        <v>10</v>
      </c>
      <c r="F1674"/>
      <c r="G1674" t="s">
        <v>15</v>
      </c>
      <c r="H1674" t="s">
        <v>16</v>
      </c>
      <c r="I1674">
        <v>0</v>
      </c>
      <c r="J1674" s="23">
        <v>955552</v>
      </c>
      <c r="K1674">
        <v>9555520</v>
      </c>
    </row>
    <row r="1675" spans="1:11" ht="15" customHeight="1" x14ac:dyDescent="0.3">
      <c r="A1675" t="s">
        <v>18</v>
      </c>
      <c r="B1675" t="s">
        <v>11</v>
      </c>
      <c r="C1675" t="s">
        <v>24</v>
      </c>
      <c r="D1675" t="s">
        <v>13</v>
      </c>
      <c r="E1675">
        <v>6</v>
      </c>
      <c r="F1675" t="s">
        <v>42</v>
      </c>
      <c r="G1675" t="s">
        <v>15</v>
      </c>
      <c r="H1675" t="s">
        <v>16</v>
      </c>
      <c r="I1675">
        <v>0</v>
      </c>
      <c r="J1675" s="23">
        <v>1130029</v>
      </c>
      <c r="K1675">
        <v>6780174</v>
      </c>
    </row>
    <row r="1676" spans="1:11" ht="15" customHeight="1" x14ac:dyDescent="0.3">
      <c r="A1676" t="s">
        <v>10</v>
      </c>
      <c r="B1676" t="s">
        <v>11</v>
      </c>
      <c r="C1676" t="s">
        <v>24</v>
      </c>
      <c r="D1676" t="s">
        <v>28</v>
      </c>
      <c r="E1676">
        <v>0</v>
      </c>
      <c r="F1676" t="s">
        <v>21</v>
      </c>
      <c r="G1676" t="s">
        <v>15</v>
      </c>
      <c r="H1676" t="s">
        <v>16</v>
      </c>
      <c r="I1676">
        <v>0</v>
      </c>
      <c r="J1676" s="23">
        <v>4520781</v>
      </c>
      <c r="K1676" t="s">
        <v>17</v>
      </c>
    </row>
    <row r="1677" spans="1:11" ht="15" customHeight="1" x14ac:dyDescent="0.3">
      <c r="A1677" t="s">
        <v>18</v>
      </c>
      <c r="B1677" t="s">
        <v>44</v>
      </c>
      <c r="C1677" t="s">
        <v>12</v>
      </c>
      <c r="D1677" t="s">
        <v>28</v>
      </c>
      <c r="E1677">
        <v>7</v>
      </c>
      <c r="F1677" t="s">
        <v>38</v>
      </c>
      <c r="G1677" t="s">
        <v>15</v>
      </c>
      <c r="H1677" t="s">
        <v>16</v>
      </c>
      <c r="I1677">
        <v>0</v>
      </c>
      <c r="J1677" s="23">
        <v>-10088</v>
      </c>
      <c r="K1677" t="s">
        <v>17</v>
      </c>
    </row>
    <row r="1678" spans="1:11" ht="15" customHeight="1" x14ac:dyDescent="0.3">
      <c r="A1678" t="s">
        <v>18</v>
      </c>
      <c r="B1678" t="s">
        <v>44</v>
      </c>
      <c r="C1678" t="s">
        <v>12</v>
      </c>
      <c r="D1678" t="s">
        <v>28</v>
      </c>
      <c r="E1678">
        <v>10</v>
      </c>
      <c r="F1678" t="s">
        <v>26</v>
      </c>
      <c r="G1678" t="s">
        <v>15</v>
      </c>
      <c r="H1678" t="s">
        <v>16</v>
      </c>
      <c r="I1678">
        <v>0</v>
      </c>
      <c r="J1678" s="23">
        <v>-18057</v>
      </c>
      <c r="K1678" t="s">
        <v>17</v>
      </c>
    </row>
    <row r="1679" spans="1:11" ht="15" customHeight="1" x14ac:dyDescent="0.3">
      <c r="A1679" t="s">
        <v>18</v>
      </c>
      <c r="B1679" t="s">
        <v>19</v>
      </c>
      <c r="C1679" t="s">
        <v>24</v>
      </c>
      <c r="D1679" t="s">
        <v>20</v>
      </c>
      <c r="E1679">
        <v>21</v>
      </c>
      <c r="F1679"/>
      <c r="G1679" t="s">
        <v>15</v>
      </c>
      <c r="H1679" t="s">
        <v>16</v>
      </c>
      <c r="I1679">
        <v>0</v>
      </c>
      <c r="J1679" s="23">
        <v>671256253</v>
      </c>
      <c r="K1679">
        <v>14096381313</v>
      </c>
    </row>
    <row r="1680" spans="1:11" ht="15" customHeight="1" x14ac:dyDescent="0.3">
      <c r="A1680" t="s">
        <v>10</v>
      </c>
      <c r="B1680" t="s">
        <v>11</v>
      </c>
      <c r="C1680" t="s">
        <v>12</v>
      </c>
      <c r="D1680" t="s">
        <v>25</v>
      </c>
      <c r="E1680">
        <v>0</v>
      </c>
      <c r="F1680" t="s">
        <v>27</v>
      </c>
      <c r="G1680" t="s">
        <v>15</v>
      </c>
      <c r="H1680" t="s">
        <v>16</v>
      </c>
      <c r="I1680">
        <v>0</v>
      </c>
      <c r="J1680" s="23">
        <v>-92</v>
      </c>
      <c r="K1680" t="s">
        <v>17</v>
      </c>
    </row>
    <row r="1681" spans="1:11" ht="15" customHeight="1" x14ac:dyDescent="0.3">
      <c r="A1681" t="s">
        <v>10</v>
      </c>
      <c r="B1681" t="s">
        <v>11</v>
      </c>
      <c r="C1681" t="s">
        <v>12</v>
      </c>
      <c r="D1681" t="s">
        <v>25</v>
      </c>
      <c r="E1681">
        <v>6</v>
      </c>
      <c r="F1681" t="s">
        <v>34</v>
      </c>
      <c r="G1681" t="s">
        <v>15</v>
      </c>
      <c r="H1681" t="s">
        <v>16</v>
      </c>
      <c r="I1681">
        <v>0</v>
      </c>
      <c r="J1681" s="23">
        <v>-33128</v>
      </c>
      <c r="K1681" t="s">
        <v>17</v>
      </c>
    </row>
    <row r="1682" spans="1:11" ht="15" customHeight="1" x14ac:dyDescent="0.3">
      <c r="A1682" t="s">
        <v>10</v>
      </c>
      <c r="B1682" t="s">
        <v>11</v>
      </c>
      <c r="C1682" t="s">
        <v>24</v>
      </c>
      <c r="D1682" t="s">
        <v>28</v>
      </c>
      <c r="E1682">
        <v>11</v>
      </c>
      <c r="F1682" t="s">
        <v>26</v>
      </c>
      <c r="G1682" t="s">
        <v>15</v>
      </c>
      <c r="H1682" t="s">
        <v>16</v>
      </c>
      <c r="I1682">
        <v>0</v>
      </c>
      <c r="J1682" s="23">
        <v>4406953</v>
      </c>
      <c r="K1682">
        <v>48476483</v>
      </c>
    </row>
    <row r="1683" spans="1:11" ht="15" customHeight="1" x14ac:dyDescent="0.3">
      <c r="A1683" t="s">
        <v>10</v>
      </c>
      <c r="B1683" t="s">
        <v>11</v>
      </c>
      <c r="C1683" t="s">
        <v>24</v>
      </c>
      <c r="D1683" t="s">
        <v>25</v>
      </c>
      <c r="E1683">
        <v>-1</v>
      </c>
      <c r="F1683" t="s">
        <v>42</v>
      </c>
      <c r="G1683" t="s">
        <v>15</v>
      </c>
      <c r="H1683" t="s">
        <v>16</v>
      </c>
      <c r="I1683">
        <v>0</v>
      </c>
      <c r="J1683" s="23">
        <v>20602</v>
      </c>
      <c r="K1683" t="s">
        <v>17</v>
      </c>
    </row>
    <row r="1684" spans="1:11" ht="15" customHeight="1" x14ac:dyDescent="0.3">
      <c r="A1684" t="s">
        <v>10</v>
      </c>
      <c r="B1684" t="s">
        <v>19</v>
      </c>
      <c r="C1684" t="s">
        <v>24</v>
      </c>
      <c r="D1684" t="s">
        <v>20</v>
      </c>
      <c r="E1684">
        <v>4</v>
      </c>
      <c r="F1684"/>
      <c r="G1684" t="s">
        <v>15</v>
      </c>
      <c r="H1684" t="s">
        <v>32</v>
      </c>
      <c r="I1684">
        <v>1</v>
      </c>
      <c r="J1684" s="23">
        <v>647179</v>
      </c>
      <c r="K1684">
        <v>2588716</v>
      </c>
    </row>
    <row r="1685" spans="1:11" ht="15" customHeight="1" x14ac:dyDescent="0.3">
      <c r="A1685" t="s">
        <v>10</v>
      </c>
      <c r="B1685" t="s">
        <v>19</v>
      </c>
      <c r="C1685" t="s">
        <v>12</v>
      </c>
      <c r="D1685" t="s">
        <v>28</v>
      </c>
      <c r="E1685">
        <v>26</v>
      </c>
      <c r="F1685"/>
      <c r="G1685" t="s">
        <v>15</v>
      </c>
      <c r="H1685" t="s">
        <v>16</v>
      </c>
      <c r="I1685">
        <v>0</v>
      </c>
      <c r="J1685" s="23">
        <v>-12704</v>
      </c>
      <c r="K1685" t="s">
        <v>17</v>
      </c>
    </row>
    <row r="1686" spans="1:11" ht="15" customHeight="1" x14ac:dyDescent="0.3">
      <c r="A1686" t="s">
        <v>18</v>
      </c>
      <c r="B1686" t="s">
        <v>44</v>
      </c>
      <c r="C1686" t="s">
        <v>24</v>
      </c>
      <c r="D1686" t="s">
        <v>28</v>
      </c>
      <c r="E1686">
        <v>2</v>
      </c>
      <c r="F1686" t="s">
        <v>38</v>
      </c>
      <c r="G1686" t="s">
        <v>15</v>
      </c>
      <c r="H1686" t="s">
        <v>16</v>
      </c>
      <c r="I1686">
        <v>0</v>
      </c>
      <c r="J1686" s="23">
        <v>19254539</v>
      </c>
      <c r="K1686">
        <v>38509078</v>
      </c>
    </row>
    <row r="1687" spans="1:11" ht="15" customHeight="1" x14ac:dyDescent="0.3">
      <c r="A1687" t="s">
        <v>18</v>
      </c>
      <c r="B1687" t="s">
        <v>19</v>
      </c>
      <c r="C1687" t="s">
        <v>12</v>
      </c>
      <c r="D1687" t="s">
        <v>20</v>
      </c>
      <c r="E1687">
        <v>24</v>
      </c>
      <c r="F1687"/>
      <c r="G1687" t="s">
        <v>31</v>
      </c>
      <c r="H1687" t="s">
        <v>16</v>
      </c>
      <c r="I1687">
        <v>1</v>
      </c>
      <c r="J1687" s="23">
        <v>-3298</v>
      </c>
      <c r="K1687" t="s">
        <v>17</v>
      </c>
    </row>
    <row r="1688" spans="1:11" ht="15" customHeight="1" x14ac:dyDescent="0.3">
      <c r="A1688" t="s">
        <v>10</v>
      </c>
      <c r="B1688" t="s">
        <v>19</v>
      </c>
      <c r="C1688" t="s">
        <v>12</v>
      </c>
      <c r="D1688" t="s">
        <v>20</v>
      </c>
      <c r="E1688">
        <v>16</v>
      </c>
      <c r="F1688"/>
      <c r="G1688" t="s">
        <v>31</v>
      </c>
      <c r="H1688" t="s">
        <v>16</v>
      </c>
      <c r="I1688">
        <v>1</v>
      </c>
      <c r="J1688" s="23">
        <v>-3412</v>
      </c>
      <c r="K1688" t="s">
        <v>17</v>
      </c>
    </row>
    <row r="1689" spans="1:11" ht="15" customHeight="1" x14ac:dyDescent="0.3">
      <c r="A1689" t="s">
        <v>18</v>
      </c>
      <c r="B1689" t="s">
        <v>11</v>
      </c>
      <c r="C1689" t="s">
        <v>24</v>
      </c>
      <c r="D1689" t="s">
        <v>13</v>
      </c>
      <c r="E1689">
        <v>4</v>
      </c>
      <c r="F1689" t="s">
        <v>40</v>
      </c>
      <c r="G1689" t="s">
        <v>15</v>
      </c>
      <c r="H1689" t="s">
        <v>16</v>
      </c>
      <c r="I1689">
        <v>0</v>
      </c>
      <c r="J1689" s="23">
        <v>13268811</v>
      </c>
      <c r="K1689">
        <v>53075244</v>
      </c>
    </row>
    <row r="1690" spans="1:11" ht="15" customHeight="1" x14ac:dyDescent="0.3">
      <c r="A1690" t="s">
        <v>10</v>
      </c>
      <c r="B1690" t="s">
        <v>11</v>
      </c>
      <c r="C1690" t="s">
        <v>24</v>
      </c>
      <c r="D1690" t="s">
        <v>25</v>
      </c>
      <c r="E1690">
        <v>-1</v>
      </c>
      <c r="F1690" t="s">
        <v>39</v>
      </c>
      <c r="G1690" t="s">
        <v>15</v>
      </c>
      <c r="H1690" t="s">
        <v>16</v>
      </c>
      <c r="I1690">
        <v>0</v>
      </c>
      <c r="J1690" s="23">
        <v>364457</v>
      </c>
      <c r="K1690" t="s">
        <v>17</v>
      </c>
    </row>
    <row r="1691" spans="1:11" ht="15" customHeight="1" x14ac:dyDescent="0.3">
      <c r="A1691" t="s">
        <v>22</v>
      </c>
      <c r="B1691" t="s">
        <v>11</v>
      </c>
      <c r="C1691" t="s">
        <v>24</v>
      </c>
      <c r="D1691" t="s">
        <v>13</v>
      </c>
      <c r="E1691">
        <v>2</v>
      </c>
      <c r="F1691" t="s">
        <v>34</v>
      </c>
      <c r="G1691" t="s">
        <v>15</v>
      </c>
      <c r="H1691" t="s">
        <v>16</v>
      </c>
      <c r="I1691">
        <v>0</v>
      </c>
      <c r="J1691" s="23">
        <v>3713080</v>
      </c>
      <c r="K1691">
        <v>7426160</v>
      </c>
    </row>
    <row r="1692" spans="1:11" ht="15" customHeight="1" x14ac:dyDescent="0.3">
      <c r="A1692" t="s">
        <v>18</v>
      </c>
      <c r="B1692" t="s">
        <v>11</v>
      </c>
      <c r="C1692" t="s">
        <v>12</v>
      </c>
      <c r="D1692" t="s">
        <v>25</v>
      </c>
      <c r="E1692">
        <v>-4</v>
      </c>
      <c r="F1692" t="s">
        <v>23</v>
      </c>
      <c r="G1692" t="s">
        <v>15</v>
      </c>
      <c r="H1692" t="s">
        <v>16</v>
      </c>
      <c r="I1692">
        <v>0</v>
      </c>
      <c r="J1692" s="23">
        <v>-1</v>
      </c>
      <c r="K1692" t="s">
        <v>17</v>
      </c>
    </row>
    <row r="1693" spans="1:11" ht="15" customHeight="1" x14ac:dyDescent="0.3">
      <c r="A1693" t="s">
        <v>22</v>
      </c>
      <c r="B1693" t="s">
        <v>11</v>
      </c>
      <c r="C1693" t="s">
        <v>12</v>
      </c>
      <c r="D1693" t="s">
        <v>13</v>
      </c>
      <c r="E1693">
        <v>3</v>
      </c>
      <c r="F1693" t="s">
        <v>40</v>
      </c>
      <c r="G1693" t="s">
        <v>15</v>
      </c>
      <c r="H1693" t="s">
        <v>16</v>
      </c>
      <c r="I1693">
        <v>0</v>
      </c>
      <c r="J1693" s="23">
        <v>-799077</v>
      </c>
      <c r="K1693" t="s">
        <v>17</v>
      </c>
    </row>
    <row r="1694" spans="1:11" ht="15" customHeight="1" x14ac:dyDescent="0.3">
      <c r="A1694" t="s">
        <v>10</v>
      </c>
      <c r="B1694" t="s">
        <v>11</v>
      </c>
      <c r="C1694" t="s">
        <v>12</v>
      </c>
      <c r="D1694" t="s">
        <v>13</v>
      </c>
      <c r="E1694">
        <v>0</v>
      </c>
      <c r="F1694" t="s">
        <v>40</v>
      </c>
      <c r="G1694" t="s">
        <v>15</v>
      </c>
      <c r="H1694" t="s">
        <v>16</v>
      </c>
      <c r="I1694">
        <v>0</v>
      </c>
      <c r="J1694" s="23">
        <v>-747371</v>
      </c>
      <c r="K1694" t="s">
        <v>17</v>
      </c>
    </row>
    <row r="1695" spans="1:11" ht="15" customHeight="1" x14ac:dyDescent="0.3">
      <c r="A1695" t="s">
        <v>18</v>
      </c>
      <c r="B1695" t="s">
        <v>19</v>
      </c>
      <c r="C1695" t="s">
        <v>12</v>
      </c>
      <c r="D1695" t="s">
        <v>20</v>
      </c>
      <c r="E1695">
        <v>10</v>
      </c>
      <c r="F1695"/>
      <c r="G1695" t="s">
        <v>15</v>
      </c>
      <c r="H1695" t="s">
        <v>16</v>
      </c>
      <c r="I1695">
        <v>0</v>
      </c>
      <c r="J1695" s="23">
        <v>-66409</v>
      </c>
      <c r="K1695" t="s">
        <v>17</v>
      </c>
    </row>
    <row r="1696" spans="1:11" ht="15" customHeight="1" x14ac:dyDescent="0.3">
      <c r="A1696" t="s">
        <v>18</v>
      </c>
      <c r="B1696" t="s">
        <v>19</v>
      </c>
      <c r="C1696" t="s">
        <v>12</v>
      </c>
      <c r="D1696" t="s">
        <v>20</v>
      </c>
      <c r="E1696">
        <v>38</v>
      </c>
      <c r="F1696"/>
      <c r="G1696" t="s">
        <v>15</v>
      </c>
      <c r="H1696" t="s">
        <v>16</v>
      </c>
      <c r="I1696">
        <v>0</v>
      </c>
      <c r="J1696" s="23">
        <v>-228087</v>
      </c>
      <c r="K1696" t="s">
        <v>17</v>
      </c>
    </row>
    <row r="1697" spans="1:11" ht="15" customHeight="1" x14ac:dyDescent="0.3">
      <c r="A1697" t="s">
        <v>10</v>
      </c>
      <c r="B1697" t="s">
        <v>19</v>
      </c>
      <c r="C1697" t="s">
        <v>12</v>
      </c>
      <c r="D1697" t="s">
        <v>28</v>
      </c>
      <c r="E1697">
        <v>8</v>
      </c>
      <c r="F1697"/>
      <c r="G1697" t="s">
        <v>15</v>
      </c>
      <c r="H1697" t="s">
        <v>32</v>
      </c>
      <c r="I1697">
        <v>1</v>
      </c>
      <c r="J1697" s="23">
        <v>-2089</v>
      </c>
      <c r="K1697" t="s">
        <v>17</v>
      </c>
    </row>
    <row r="1698" spans="1:11" ht="15" customHeight="1" x14ac:dyDescent="0.3">
      <c r="A1698" t="s">
        <v>18</v>
      </c>
      <c r="B1698" t="s">
        <v>11</v>
      </c>
      <c r="C1698" t="s">
        <v>12</v>
      </c>
      <c r="D1698" t="s">
        <v>28</v>
      </c>
      <c r="E1698">
        <v>11</v>
      </c>
      <c r="F1698" t="s">
        <v>21</v>
      </c>
      <c r="G1698" t="s">
        <v>15</v>
      </c>
      <c r="H1698" t="s">
        <v>16</v>
      </c>
      <c r="I1698">
        <v>0</v>
      </c>
      <c r="J1698" s="23">
        <v>-27142</v>
      </c>
      <c r="K1698" t="s">
        <v>17</v>
      </c>
    </row>
    <row r="1699" spans="1:11" ht="15" customHeight="1" x14ac:dyDescent="0.3">
      <c r="A1699" t="s">
        <v>10</v>
      </c>
      <c r="B1699" t="s">
        <v>19</v>
      </c>
      <c r="C1699" t="s">
        <v>12</v>
      </c>
      <c r="D1699" t="s">
        <v>20</v>
      </c>
      <c r="E1699">
        <v>18</v>
      </c>
      <c r="F1699"/>
      <c r="G1699" t="s">
        <v>31</v>
      </c>
      <c r="H1699" t="s">
        <v>16</v>
      </c>
      <c r="I1699">
        <v>1</v>
      </c>
      <c r="J1699" s="23">
        <v>-5676</v>
      </c>
      <c r="K1699" t="s">
        <v>17</v>
      </c>
    </row>
    <row r="1700" spans="1:11" ht="15" customHeight="1" x14ac:dyDescent="0.3">
      <c r="A1700" t="s">
        <v>10</v>
      </c>
      <c r="B1700" t="s">
        <v>11</v>
      </c>
      <c r="C1700" t="s">
        <v>24</v>
      </c>
      <c r="D1700" t="s">
        <v>13</v>
      </c>
      <c r="E1700">
        <v>1</v>
      </c>
      <c r="F1700" t="s">
        <v>38</v>
      </c>
      <c r="G1700" t="s">
        <v>15</v>
      </c>
      <c r="H1700" t="s">
        <v>16</v>
      </c>
      <c r="I1700">
        <v>0</v>
      </c>
      <c r="J1700" s="23">
        <v>1801</v>
      </c>
      <c r="K1700">
        <v>1801</v>
      </c>
    </row>
    <row r="1701" spans="1:11" ht="15" customHeight="1" x14ac:dyDescent="0.3">
      <c r="A1701" t="s">
        <v>10</v>
      </c>
      <c r="B1701" t="s">
        <v>19</v>
      </c>
      <c r="C1701" t="s">
        <v>24</v>
      </c>
      <c r="D1701" t="s">
        <v>28</v>
      </c>
      <c r="E1701">
        <v>1</v>
      </c>
      <c r="F1701"/>
      <c r="G1701" t="s">
        <v>15</v>
      </c>
      <c r="H1701" t="s">
        <v>32</v>
      </c>
      <c r="I1701">
        <v>1</v>
      </c>
      <c r="J1701" s="23">
        <v>547</v>
      </c>
      <c r="K1701">
        <v>547</v>
      </c>
    </row>
    <row r="1702" spans="1:11" ht="15" customHeight="1" x14ac:dyDescent="0.3">
      <c r="A1702" t="s">
        <v>18</v>
      </c>
      <c r="B1702" t="s">
        <v>11</v>
      </c>
      <c r="C1702" t="s">
        <v>12</v>
      </c>
      <c r="D1702" t="s">
        <v>25</v>
      </c>
      <c r="E1702">
        <v>0</v>
      </c>
      <c r="F1702" t="s">
        <v>30</v>
      </c>
      <c r="G1702" t="s">
        <v>15</v>
      </c>
      <c r="H1702" t="s">
        <v>16</v>
      </c>
      <c r="I1702">
        <v>0</v>
      </c>
      <c r="J1702" s="23">
        <v>-479</v>
      </c>
      <c r="K1702" t="s">
        <v>17</v>
      </c>
    </row>
    <row r="1703" spans="1:11" ht="15" customHeight="1" x14ac:dyDescent="0.3">
      <c r="A1703" t="s">
        <v>18</v>
      </c>
      <c r="B1703" t="s">
        <v>11</v>
      </c>
      <c r="C1703" t="s">
        <v>12</v>
      </c>
      <c r="D1703" t="s">
        <v>28</v>
      </c>
      <c r="E1703">
        <v>4</v>
      </c>
      <c r="F1703" t="s">
        <v>42</v>
      </c>
      <c r="G1703" t="s">
        <v>15</v>
      </c>
      <c r="H1703" t="s">
        <v>16</v>
      </c>
      <c r="I1703">
        <v>0</v>
      </c>
      <c r="J1703" s="23">
        <v>-189</v>
      </c>
      <c r="K1703" t="s">
        <v>17</v>
      </c>
    </row>
    <row r="1704" spans="1:11" ht="15" customHeight="1" x14ac:dyDescent="0.3">
      <c r="A1704" t="s">
        <v>18</v>
      </c>
      <c r="B1704" t="s">
        <v>19</v>
      </c>
      <c r="C1704" t="s">
        <v>12</v>
      </c>
      <c r="D1704" t="s">
        <v>20</v>
      </c>
      <c r="E1704">
        <v>2</v>
      </c>
      <c r="F1704"/>
      <c r="G1704" t="s">
        <v>15</v>
      </c>
      <c r="H1704" t="s">
        <v>16</v>
      </c>
      <c r="I1704">
        <v>0</v>
      </c>
      <c r="J1704" s="23">
        <v>-9042</v>
      </c>
      <c r="K1704" t="s">
        <v>17</v>
      </c>
    </row>
    <row r="1705" spans="1:11" ht="15" customHeight="1" x14ac:dyDescent="0.3">
      <c r="A1705" t="s">
        <v>22</v>
      </c>
      <c r="B1705" t="s">
        <v>11</v>
      </c>
      <c r="C1705" t="s">
        <v>24</v>
      </c>
      <c r="D1705" t="s">
        <v>13</v>
      </c>
      <c r="E1705">
        <v>7</v>
      </c>
      <c r="F1705" t="s">
        <v>23</v>
      </c>
      <c r="G1705" t="s">
        <v>15</v>
      </c>
      <c r="H1705" t="s">
        <v>16</v>
      </c>
      <c r="I1705">
        <v>0</v>
      </c>
      <c r="J1705" s="23">
        <v>78453</v>
      </c>
      <c r="K1705">
        <v>549171</v>
      </c>
    </row>
    <row r="1706" spans="1:11" ht="15" customHeight="1" x14ac:dyDescent="0.3">
      <c r="A1706" t="s">
        <v>10</v>
      </c>
      <c r="B1706" t="s">
        <v>11</v>
      </c>
      <c r="C1706" t="s">
        <v>12</v>
      </c>
      <c r="D1706" t="s">
        <v>25</v>
      </c>
      <c r="E1706">
        <v>2</v>
      </c>
      <c r="F1706" t="s">
        <v>34</v>
      </c>
      <c r="G1706" t="s">
        <v>15</v>
      </c>
      <c r="H1706" t="s">
        <v>16</v>
      </c>
      <c r="I1706">
        <v>0</v>
      </c>
      <c r="J1706" s="23">
        <v>-81076</v>
      </c>
      <c r="K1706" t="s">
        <v>17</v>
      </c>
    </row>
    <row r="1707" spans="1:11" ht="15" customHeight="1" x14ac:dyDescent="0.3">
      <c r="A1707" t="s">
        <v>10</v>
      </c>
      <c r="B1707" t="s">
        <v>11</v>
      </c>
      <c r="C1707" t="s">
        <v>24</v>
      </c>
      <c r="D1707" t="s">
        <v>25</v>
      </c>
      <c r="E1707">
        <v>10</v>
      </c>
      <c r="F1707" t="s">
        <v>30</v>
      </c>
      <c r="G1707" t="s">
        <v>15</v>
      </c>
      <c r="H1707" t="s">
        <v>16</v>
      </c>
      <c r="I1707">
        <v>0</v>
      </c>
      <c r="J1707" s="23">
        <v>49231</v>
      </c>
      <c r="K1707">
        <v>492310</v>
      </c>
    </row>
    <row r="1708" spans="1:11" ht="15" customHeight="1" x14ac:dyDescent="0.3">
      <c r="A1708" t="s">
        <v>22</v>
      </c>
      <c r="B1708" t="s">
        <v>11</v>
      </c>
      <c r="C1708" t="s">
        <v>24</v>
      </c>
      <c r="D1708" t="s">
        <v>13</v>
      </c>
      <c r="E1708">
        <v>1</v>
      </c>
      <c r="F1708" t="s">
        <v>26</v>
      </c>
      <c r="G1708" t="s">
        <v>15</v>
      </c>
      <c r="H1708" t="s">
        <v>16</v>
      </c>
      <c r="I1708">
        <v>0</v>
      </c>
      <c r="J1708" s="23">
        <v>272090</v>
      </c>
      <c r="K1708">
        <v>272090</v>
      </c>
    </row>
    <row r="1709" spans="1:11" ht="15" customHeight="1" x14ac:dyDescent="0.3">
      <c r="A1709" t="s">
        <v>10</v>
      </c>
      <c r="B1709" t="s">
        <v>19</v>
      </c>
      <c r="C1709" t="s">
        <v>24</v>
      </c>
      <c r="D1709" t="s">
        <v>20</v>
      </c>
      <c r="E1709">
        <v>16</v>
      </c>
      <c r="F1709"/>
      <c r="G1709" t="s">
        <v>31</v>
      </c>
      <c r="H1709" t="s">
        <v>32</v>
      </c>
      <c r="I1709">
        <v>1</v>
      </c>
      <c r="J1709" s="23">
        <v>41838</v>
      </c>
      <c r="K1709">
        <v>669408</v>
      </c>
    </row>
    <row r="1710" spans="1:11" ht="15" customHeight="1" x14ac:dyDescent="0.3">
      <c r="A1710" t="s">
        <v>18</v>
      </c>
      <c r="B1710" t="s">
        <v>11</v>
      </c>
      <c r="C1710" t="s">
        <v>24</v>
      </c>
      <c r="D1710" t="s">
        <v>25</v>
      </c>
      <c r="E1710">
        <v>11</v>
      </c>
      <c r="F1710" t="s">
        <v>26</v>
      </c>
      <c r="G1710" t="s">
        <v>15</v>
      </c>
      <c r="H1710" t="s">
        <v>16</v>
      </c>
      <c r="I1710">
        <v>0</v>
      </c>
      <c r="J1710" s="23">
        <v>794976</v>
      </c>
      <c r="K1710">
        <v>8744736</v>
      </c>
    </row>
    <row r="1711" spans="1:11" ht="15" customHeight="1" x14ac:dyDescent="0.3">
      <c r="A1711" t="s">
        <v>18</v>
      </c>
      <c r="B1711" t="s">
        <v>11</v>
      </c>
      <c r="C1711" t="s">
        <v>12</v>
      </c>
      <c r="D1711" t="s">
        <v>28</v>
      </c>
      <c r="E1711">
        <v>10</v>
      </c>
      <c r="F1711" t="s">
        <v>42</v>
      </c>
      <c r="G1711" t="s">
        <v>15</v>
      </c>
      <c r="H1711" t="s">
        <v>16</v>
      </c>
      <c r="I1711">
        <v>0</v>
      </c>
      <c r="J1711" s="23">
        <v>-1082</v>
      </c>
      <c r="K1711" t="s">
        <v>17</v>
      </c>
    </row>
    <row r="1712" spans="1:11" ht="15" customHeight="1" x14ac:dyDescent="0.3">
      <c r="A1712" t="s">
        <v>10</v>
      </c>
      <c r="B1712" t="s">
        <v>11</v>
      </c>
      <c r="C1712" t="s">
        <v>12</v>
      </c>
      <c r="D1712" t="s">
        <v>13</v>
      </c>
      <c r="E1712">
        <v>6</v>
      </c>
      <c r="F1712" t="s">
        <v>30</v>
      </c>
      <c r="G1712" t="s">
        <v>15</v>
      </c>
      <c r="H1712" t="s">
        <v>16</v>
      </c>
      <c r="I1712">
        <v>0</v>
      </c>
      <c r="J1712" s="23">
        <v>-60597</v>
      </c>
      <c r="K1712" t="s">
        <v>17</v>
      </c>
    </row>
    <row r="1713" spans="1:11" ht="15" customHeight="1" x14ac:dyDescent="0.3">
      <c r="A1713" t="s">
        <v>18</v>
      </c>
      <c r="B1713" t="s">
        <v>19</v>
      </c>
      <c r="C1713" t="s">
        <v>24</v>
      </c>
      <c r="D1713" t="s">
        <v>20</v>
      </c>
      <c r="E1713">
        <v>3</v>
      </c>
      <c r="F1713"/>
      <c r="G1713" t="s">
        <v>15</v>
      </c>
      <c r="H1713" t="s">
        <v>32</v>
      </c>
      <c r="I1713">
        <v>1</v>
      </c>
      <c r="J1713" s="23">
        <v>259406</v>
      </c>
      <c r="K1713">
        <v>778218</v>
      </c>
    </row>
    <row r="1714" spans="1:11" ht="15" customHeight="1" x14ac:dyDescent="0.3">
      <c r="A1714" t="s">
        <v>22</v>
      </c>
      <c r="B1714" t="s">
        <v>19</v>
      </c>
      <c r="C1714" t="s">
        <v>24</v>
      </c>
      <c r="D1714" t="s">
        <v>28</v>
      </c>
      <c r="E1714">
        <v>18</v>
      </c>
      <c r="F1714"/>
      <c r="G1714" t="s">
        <v>15</v>
      </c>
      <c r="H1714" t="s">
        <v>16</v>
      </c>
      <c r="I1714">
        <v>0</v>
      </c>
      <c r="J1714" s="23">
        <v>27004</v>
      </c>
      <c r="K1714">
        <v>486072</v>
      </c>
    </row>
    <row r="1715" spans="1:11" ht="15" customHeight="1" x14ac:dyDescent="0.3">
      <c r="A1715" t="s">
        <v>18</v>
      </c>
      <c r="B1715" t="s">
        <v>11</v>
      </c>
      <c r="C1715" t="s">
        <v>12</v>
      </c>
      <c r="D1715" t="s">
        <v>13</v>
      </c>
      <c r="E1715">
        <v>7</v>
      </c>
      <c r="F1715" t="s">
        <v>42</v>
      </c>
      <c r="G1715" t="s">
        <v>15</v>
      </c>
      <c r="H1715" t="s">
        <v>16</v>
      </c>
      <c r="I1715">
        <v>0</v>
      </c>
      <c r="J1715" s="23">
        <v>-634</v>
      </c>
      <c r="K1715" t="s">
        <v>17</v>
      </c>
    </row>
    <row r="1716" spans="1:11" ht="15" customHeight="1" x14ac:dyDescent="0.3">
      <c r="A1716" t="s">
        <v>22</v>
      </c>
      <c r="B1716" t="s">
        <v>11</v>
      </c>
      <c r="C1716" t="s">
        <v>24</v>
      </c>
      <c r="D1716" t="s">
        <v>25</v>
      </c>
      <c r="E1716">
        <v>-1</v>
      </c>
      <c r="F1716" t="s">
        <v>34</v>
      </c>
      <c r="G1716" t="s">
        <v>15</v>
      </c>
      <c r="H1716" t="s">
        <v>16</v>
      </c>
      <c r="I1716">
        <v>0</v>
      </c>
      <c r="J1716" s="23">
        <v>260184</v>
      </c>
      <c r="K1716" t="s">
        <v>17</v>
      </c>
    </row>
    <row r="1717" spans="1:11" ht="15" customHeight="1" x14ac:dyDescent="0.3">
      <c r="A1717" t="s">
        <v>18</v>
      </c>
      <c r="B1717" t="s">
        <v>11</v>
      </c>
      <c r="C1717" t="s">
        <v>24</v>
      </c>
      <c r="D1717" t="s">
        <v>28</v>
      </c>
      <c r="E1717">
        <v>12</v>
      </c>
      <c r="F1717" t="s">
        <v>26</v>
      </c>
      <c r="G1717" t="s">
        <v>15</v>
      </c>
      <c r="H1717" t="s">
        <v>16</v>
      </c>
      <c r="I1717">
        <v>0</v>
      </c>
      <c r="J1717" s="23">
        <v>38239204</v>
      </c>
      <c r="K1717">
        <v>458870448</v>
      </c>
    </row>
    <row r="1718" spans="1:11" ht="15" customHeight="1" x14ac:dyDescent="0.3">
      <c r="A1718" t="s">
        <v>18</v>
      </c>
      <c r="B1718" t="s">
        <v>11</v>
      </c>
      <c r="C1718" t="s">
        <v>12</v>
      </c>
      <c r="D1718" t="s">
        <v>28</v>
      </c>
      <c r="E1718">
        <v>21</v>
      </c>
      <c r="F1718" t="s">
        <v>34</v>
      </c>
      <c r="G1718" t="s">
        <v>15</v>
      </c>
      <c r="H1718" t="s">
        <v>16</v>
      </c>
      <c r="I1718">
        <v>0</v>
      </c>
      <c r="J1718" s="23">
        <v>-678</v>
      </c>
      <c r="K1718" t="s">
        <v>17</v>
      </c>
    </row>
    <row r="1719" spans="1:11" ht="15" customHeight="1" x14ac:dyDescent="0.3">
      <c r="A1719" t="s">
        <v>22</v>
      </c>
      <c r="B1719" t="s">
        <v>19</v>
      </c>
      <c r="C1719" t="s">
        <v>24</v>
      </c>
      <c r="D1719" t="s">
        <v>20</v>
      </c>
      <c r="E1719">
        <v>22</v>
      </c>
      <c r="F1719"/>
      <c r="G1719" t="s">
        <v>15</v>
      </c>
      <c r="H1719" t="s">
        <v>16</v>
      </c>
      <c r="I1719">
        <v>0</v>
      </c>
      <c r="J1719" s="23">
        <v>9816983</v>
      </c>
      <c r="K1719">
        <v>215973626</v>
      </c>
    </row>
    <row r="1720" spans="1:11" ht="15" customHeight="1" x14ac:dyDescent="0.3">
      <c r="A1720" t="s">
        <v>18</v>
      </c>
      <c r="B1720" t="s">
        <v>19</v>
      </c>
      <c r="C1720" t="s">
        <v>24</v>
      </c>
      <c r="D1720" t="s">
        <v>20</v>
      </c>
      <c r="E1720">
        <v>14</v>
      </c>
      <c r="F1720"/>
      <c r="G1720" t="s">
        <v>15</v>
      </c>
      <c r="H1720" t="s">
        <v>16</v>
      </c>
      <c r="I1720">
        <v>0</v>
      </c>
      <c r="J1720" s="23">
        <v>269135232</v>
      </c>
      <c r="K1720">
        <v>3767893248</v>
      </c>
    </row>
    <row r="1721" spans="1:11" ht="15" customHeight="1" x14ac:dyDescent="0.3">
      <c r="A1721" t="s">
        <v>18</v>
      </c>
      <c r="B1721" t="s">
        <v>11</v>
      </c>
      <c r="C1721" t="s">
        <v>12</v>
      </c>
      <c r="D1721" t="s">
        <v>28</v>
      </c>
      <c r="E1721">
        <v>10</v>
      </c>
      <c r="F1721" t="s">
        <v>39</v>
      </c>
      <c r="G1721" t="s">
        <v>15</v>
      </c>
      <c r="H1721" t="s">
        <v>16</v>
      </c>
      <c r="I1721">
        <v>0</v>
      </c>
      <c r="J1721" s="23">
        <v>-1348</v>
      </c>
      <c r="K1721" t="s">
        <v>17</v>
      </c>
    </row>
    <row r="1722" spans="1:11" ht="15" customHeight="1" x14ac:dyDescent="0.3">
      <c r="A1722" t="s">
        <v>22</v>
      </c>
      <c r="B1722" t="s">
        <v>11</v>
      </c>
      <c r="C1722" t="s">
        <v>12</v>
      </c>
      <c r="D1722" t="s">
        <v>13</v>
      </c>
      <c r="E1722">
        <v>4</v>
      </c>
      <c r="F1722" t="s">
        <v>35</v>
      </c>
      <c r="G1722" t="s">
        <v>15</v>
      </c>
      <c r="H1722" t="s">
        <v>16</v>
      </c>
      <c r="I1722">
        <v>0</v>
      </c>
      <c r="J1722" s="23">
        <v>-168859</v>
      </c>
      <c r="K1722" t="s">
        <v>17</v>
      </c>
    </row>
    <row r="1723" spans="1:11" ht="15" customHeight="1" x14ac:dyDescent="0.3">
      <c r="A1723" t="s">
        <v>18</v>
      </c>
      <c r="B1723" t="s">
        <v>19</v>
      </c>
      <c r="C1723" t="s">
        <v>24</v>
      </c>
      <c r="D1723" t="s">
        <v>28</v>
      </c>
      <c r="E1723">
        <v>27</v>
      </c>
      <c r="F1723"/>
      <c r="G1723" t="s">
        <v>15</v>
      </c>
      <c r="H1723" t="s">
        <v>16</v>
      </c>
      <c r="I1723">
        <v>0</v>
      </c>
      <c r="J1723" s="23">
        <v>349860</v>
      </c>
      <c r="K1723">
        <v>9446220</v>
      </c>
    </row>
    <row r="1724" spans="1:11" ht="15" customHeight="1" x14ac:dyDescent="0.3">
      <c r="A1724" t="s">
        <v>18</v>
      </c>
      <c r="B1724" t="s">
        <v>11</v>
      </c>
      <c r="C1724" t="s">
        <v>24</v>
      </c>
      <c r="D1724" t="s">
        <v>28</v>
      </c>
      <c r="E1724">
        <v>9</v>
      </c>
      <c r="F1724" t="s">
        <v>21</v>
      </c>
      <c r="G1724" t="s">
        <v>15</v>
      </c>
      <c r="H1724" t="s">
        <v>32</v>
      </c>
      <c r="I1724">
        <v>1</v>
      </c>
      <c r="J1724" s="23">
        <v>57713</v>
      </c>
      <c r="K1724">
        <v>519417</v>
      </c>
    </row>
    <row r="1725" spans="1:11" ht="15" customHeight="1" x14ac:dyDescent="0.3">
      <c r="A1725" t="s">
        <v>22</v>
      </c>
      <c r="B1725" t="s">
        <v>11</v>
      </c>
      <c r="C1725" t="s">
        <v>12</v>
      </c>
      <c r="D1725" t="s">
        <v>13</v>
      </c>
      <c r="E1725">
        <v>1</v>
      </c>
      <c r="F1725" t="s">
        <v>23</v>
      </c>
      <c r="G1725" t="s">
        <v>15</v>
      </c>
      <c r="H1725" t="s">
        <v>16</v>
      </c>
      <c r="I1725">
        <v>0</v>
      </c>
      <c r="J1725" s="23">
        <v>-653964</v>
      </c>
      <c r="K1725" t="s">
        <v>17</v>
      </c>
    </row>
    <row r="1726" spans="1:11" ht="15" customHeight="1" x14ac:dyDescent="0.3">
      <c r="A1726" t="s">
        <v>18</v>
      </c>
      <c r="B1726" t="s">
        <v>11</v>
      </c>
      <c r="C1726" t="s">
        <v>12</v>
      </c>
      <c r="D1726" t="s">
        <v>13</v>
      </c>
      <c r="E1726">
        <v>9</v>
      </c>
      <c r="F1726" t="s">
        <v>30</v>
      </c>
      <c r="G1726" t="s">
        <v>15</v>
      </c>
      <c r="H1726" t="s">
        <v>16</v>
      </c>
      <c r="I1726">
        <v>0</v>
      </c>
      <c r="J1726" s="23">
        <v>-27825</v>
      </c>
      <c r="K1726" t="s">
        <v>17</v>
      </c>
    </row>
    <row r="1727" spans="1:11" ht="15" customHeight="1" x14ac:dyDescent="0.3">
      <c r="A1727" t="s">
        <v>22</v>
      </c>
      <c r="B1727" t="s">
        <v>11</v>
      </c>
      <c r="C1727" t="s">
        <v>24</v>
      </c>
      <c r="D1727" t="s">
        <v>25</v>
      </c>
      <c r="E1727">
        <v>2</v>
      </c>
      <c r="F1727" t="s">
        <v>23</v>
      </c>
      <c r="G1727" t="s">
        <v>15</v>
      </c>
      <c r="H1727" t="s">
        <v>16</v>
      </c>
      <c r="I1727">
        <v>0</v>
      </c>
      <c r="J1727" s="23">
        <v>74055</v>
      </c>
      <c r="K1727">
        <v>148110</v>
      </c>
    </row>
    <row r="1728" spans="1:11" ht="15" customHeight="1" x14ac:dyDescent="0.3">
      <c r="A1728" t="s">
        <v>18</v>
      </c>
      <c r="B1728" t="s">
        <v>19</v>
      </c>
      <c r="C1728" t="s">
        <v>24</v>
      </c>
      <c r="D1728" t="s">
        <v>20</v>
      </c>
      <c r="E1728">
        <v>6</v>
      </c>
      <c r="F1728"/>
      <c r="G1728" t="s">
        <v>31</v>
      </c>
      <c r="H1728" t="s">
        <v>16</v>
      </c>
      <c r="I1728">
        <v>1</v>
      </c>
      <c r="J1728" s="23">
        <v>2107387</v>
      </c>
      <c r="K1728">
        <v>12644322</v>
      </c>
    </row>
    <row r="1729" spans="1:11" ht="15" customHeight="1" x14ac:dyDescent="0.3">
      <c r="A1729" t="s">
        <v>10</v>
      </c>
      <c r="B1729" t="s">
        <v>11</v>
      </c>
      <c r="C1729" t="s">
        <v>12</v>
      </c>
      <c r="D1729" t="s">
        <v>28</v>
      </c>
      <c r="E1729">
        <v>7</v>
      </c>
      <c r="F1729" t="s">
        <v>21</v>
      </c>
      <c r="G1729" t="s">
        <v>15</v>
      </c>
      <c r="H1729" t="s">
        <v>16</v>
      </c>
      <c r="I1729">
        <v>0</v>
      </c>
      <c r="J1729" s="23">
        <v>-7142</v>
      </c>
      <c r="K1729" t="s">
        <v>17</v>
      </c>
    </row>
    <row r="1730" spans="1:11" ht="15" customHeight="1" x14ac:dyDescent="0.3">
      <c r="A1730" t="s">
        <v>22</v>
      </c>
      <c r="B1730" t="s">
        <v>19</v>
      </c>
      <c r="C1730" t="s">
        <v>24</v>
      </c>
      <c r="D1730" t="s">
        <v>20</v>
      </c>
      <c r="E1730">
        <v>15</v>
      </c>
      <c r="F1730"/>
      <c r="G1730" t="s">
        <v>31</v>
      </c>
      <c r="H1730" t="s">
        <v>32</v>
      </c>
      <c r="I1730">
        <v>1</v>
      </c>
      <c r="J1730" s="23">
        <v>44631</v>
      </c>
      <c r="K1730">
        <v>669465</v>
      </c>
    </row>
    <row r="1731" spans="1:11" ht="15" customHeight="1" x14ac:dyDescent="0.3">
      <c r="A1731" t="s">
        <v>18</v>
      </c>
      <c r="B1731" t="s">
        <v>11</v>
      </c>
      <c r="C1731" t="s">
        <v>12</v>
      </c>
      <c r="D1731" t="s">
        <v>25</v>
      </c>
      <c r="E1731">
        <v>17</v>
      </c>
      <c r="F1731" t="s">
        <v>27</v>
      </c>
      <c r="G1731" t="s">
        <v>15</v>
      </c>
      <c r="H1731" t="s">
        <v>16</v>
      </c>
      <c r="I1731">
        <v>0</v>
      </c>
      <c r="J1731" s="23">
        <v>-1464</v>
      </c>
      <c r="K1731" t="s">
        <v>17</v>
      </c>
    </row>
    <row r="1732" spans="1:11" ht="15" customHeight="1" x14ac:dyDescent="0.3">
      <c r="A1732" t="s">
        <v>10</v>
      </c>
      <c r="B1732" t="s">
        <v>11</v>
      </c>
      <c r="C1732" t="s">
        <v>12</v>
      </c>
      <c r="D1732" t="s">
        <v>28</v>
      </c>
      <c r="E1732">
        <v>10</v>
      </c>
      <c r="F1732" t="s">
        <v>33</v>
      </c>
      <c r="G1732" t="s">
        <v>15</v>
      </c>
      <c r="H1732" t="s">
        <v>16</v>
      </c>
      <c r="I1732">
        <v>0</v>
      </c>
      <c r="J1732" s="23">
        <v>-2302</v>
      </c>
      <c r="K1732" t="s">
        <v>17</v>
      </c>
    </row>
    <row r="1733" spans="1:11" ht="15" customHeight="1" x14ac:dyDescent="0.3">
      <c r="A1733" t="s">
        <v>10</v>
      </c>
      <c r="B1733" t="s">
        <v>19</v>
      </c>
      <c r="C1733" t="s">
        <v>12</v>
      </c>
      <c r="D1733" t="s">
        <v>20</v>
      </c>
      <c r="E1733">
        <v>19</v>
      </c>
      <c r="F1733"/>
      <c r="G1733" t="s">
        <v>15</v>
      </c>
      <c r="H1733" t="s">
        <v>16</v>
      </c>
      <c r="I1733">
        <v>0</v>
      </c>
      <c r="J1733" s="23">
        <v>-966723</v>
      </c>
      <c r="K1733" t="s">
        <v>17</v>
      </c>
    </row>
    <row r="1734" spans="1:11" ht="15" customHeight="1" x14ac:dyDescent="0.3">
      <c r="A1734" t="s">
        <v>18</v>
      </c>
      <c r="B1734" t="s">
        <v>19</v>
      </c>
      <c r="C1734" t="s">
        <v>12</v>
      </c>
      <c r="D1734" t="s">
        <v>20</v>
      </c>
      <c r="E1734">
        <v>27</v>
      </c>
      <c r="F1734"/>
      <c r="G1734" t="s">
        <v>15</v>
      </c>
      <c r="H1734" t="s">
        <v>16</v>
      </c>
      <c r="I1734">
        <v>0</v>
      </c>
      <c r="J1734" s="23">
        <v>-367384</v>
      </c>
      <c r="K1734" t="s">
        <v>17</v>
      </c>
    </row>
    <row r="1735" spans="1:11" ht="15" customHeight="1" x14ac:dyDescent="0.3">
      <c r="A1735" t="s">
        <v>18</v>
      </c>
      <c r="B1735" t="s">
        <v>44</v>
      </c>
      <c r="C1735" t="s">
        <v>12</v>
      </c>
      <c r="D1735" t="s">
        <v>28</v>
      </c>
      <c r="E1735">
        <v>-1</v>
      </c>
      <c r="F1735" t="s">
        <v>30</v>
      </c>
      <c r="G1735" t="s">
        <v>15</v>
      </c>
      <c r="H1735" t="s">
        <v>16</v>
      </c>
      <c r="I1735">
        <v>0</v>
      </c>
      <c r="J1735" s="23">
        <v>-287</v>
      </c>
      <c r="K1735" t="s">
        <v>17</v>
      </c>
    </row>
    <row r="1736" spans="1:11" ht="15" customHeight="1" x14ac:dyDescent="0.3">
      <c r="A1736" t="s">
        <v>18</v>
      </c>
      <c r="B1736" t="s">
        <v>19</v>
      </c>
      <c r="C1736" t="s">
        <v>24</v>
      </c>
      <c r="D1736" t="s">
        <v>20</v>
      </c>
      <c r="E1736">
        <v>38</v>
      </c>
      <c r="F1736"/>
      <c r="G1736" t="s">
        <v>15</v>
      </c>
      <c r="H1736" t="s">
        <v>32</v>
      </c>
      <c r="I1736">
        <v>1</v>
      </c>
      <c r="J1736" s="23">
        <v>526886</v>
      </c>
      <c r="K1736">
        <v>20021668</v>
      </c>
    </row>
    <row r="1737" spans="1:11" ht="15" customHeight="1" x14ac:dyDescent="0.3">
      <c r="A1737" t="s">
        <v>18</v>
      </c>
      <c r="B1737" t="s">
        <v>11</v>
      </c>
      <c r="C1737" t="s">
        <v>12</v>
      </c>
      <c r="D1737" t="s">
        <v>28</v>
      </c>
      <c r="E1737">
        <v>2</v>
      </c>
      <c r="F1737" t="s">
        <v>37</v>
      </c>
      <c r="G1737" t="s">
        <v>15</v>
      </c>
      <c r="H1737" t="s">
        <v>16</v>
      </c>
      <c r="I1737">
        <v>0</v>
      </c>
      <c r="J1737" s="23">
        <v>-342</v>
      </c>
      <c r="K1737" t="s">
        <v>17</v>
      </c>
    </row>
    <row r="1738" spans="1:11" ht="15" customHeight="1" x14ac:dyDescent="0.3">
      <c r="A1738" t="s">
        <v>22</v>
      </c>
      <c r="B1738" t="s">
        <v>19</v>
      </c>
      <c r="C1738" t="s">
        <v>12</v>
      </c>
      <c r="D1738" t="s">
        <v>20</v>
      </c>
      <c r="E1738">
        <v>31</v>
      </c>
      <c r="F1738"/>
      <c r="G1738" t="s">
        <v>15</v>
      </c>
      <c r="H1738" t="s">
        <v>32</v>
      </c>
      <c r="I1738">
        <v>1</v>
      </c>
      <c r="J1738" s="23">
        <v>-2357</v>
      </c>
      <c r="K1738" t="s">
        <v>17</v>
      </c>
    </row>
    <row r="1739" spans="1:11" ht="15" customHeight="1" x14ac:dyDescent="0.3">
      <c r="A1739" t="s">
        <v>18</v>
      </c>
      <c r="B1739" t="s">
        <v>19</v>
      </c>
      <c r="C1739" t="s">
        <v>24</v>
      </c>
      <c r="D1739" t="s">
        <v>20</v>
      </c>
      <c r="E1739">
        <v>24</v>
      </c>
      <c r="F1739"/>
      <c r="G1739" t="s">
        <v>15</v>
      </c>
      <c r="H1739" t="s">
        <v>32</v>
      </c>
      <c r="I1739">
        <v>1</v>
      </c>
      <c r="J1739" s="23">
        <v>1744555</v>
      </c>
      <c r="K1739">
        <v>41869320</v>
      </c>
    </row>
    <row r="1740" spans="1:11" ht="15" customHeight="1" x14ac:dyDescent="0.3">
      <c r="A1740" t="s">
        <v>22</v>
      </c>
      <c r="B1740" t="s">
        <v>11</v>
      </c>
      <c r="C1740" t="s">
        <v>24</v>
      </c>
      <c r="D1740" t="s">
        <v>28</v>
      </c>
      <c r="E1740">
        <v>-4</v>
      </c>
      <c r="F1740" t="s">
        <v>21</v>
      </c>
      <c r="G1740" t="s">
        <v>15</v>
      </c>
      <c r="H1740" t="s">
        <v>32</v>
      </c>
      <c r="I1740">
        <v>1</v>
      </c>
      <c r="J1740" s="23">
        <v>579</v>
      </c>
      <c r="K1740" t="s">
        <v>17</v>
      </c>
    </row>
    <row r="1741" spans="1:11" ht="15" customHeight="1" x14ac:dyDescent="0.3">
      <c r="A1741" t="s">
        <v>22</v>
      </c>
      <c r="B1741" t="s">
        <v>11</v>
      </c>
      <c r="C1741" t="s">
        <v>24</v>
      </c>
      <c r="D1741" t="s">
        <v>28</v>
      </c>
      <c r="E1741">
        <v>4</v>
      </c>
      <c r="F1741" t="s">
        <v>34</v>
      </c>
      <c r="G1741" t="s">
        <v>15</v>
      </c>
      <c r="H1741" t="s">
        <v>16</v>
      </c>
      <c r="I1741">
        <v>0</v>
      </c>
      <c r="J1741" s="23">
        <v>16660644</v>
      </c>
      <c r="K1741">
        <v>66642576</v>
      </c>
    </row>
    <row r="1742" spans="1:11" ht="15" customHeight="1" x14ac:dyDescent="0.3">
      <c r="A1742" t="s">
        <v>10</v>
      </c>
      <c r="B1742" t="s">
        <v>11</v>
      </c>
      <c r="C1742" t="s">
        <v>24</v>
      </c>
      <c r="D1742" t="s">
        <v>13</v>
      </c>
      <c r="E1742">
        <v>0</v>
      </c>
      <c r="F1742" t="s">
        <v>30</v>
      </c>
      <c r="G1742" t="s">
        <v>15</v>
      </c>
      <c r="H1742" t="s">
        <v>16</v>
      </c>
      <c r="I1742">
        <v>0</v>
      </c>
      <c r="J1742" s="23">
        <v>1433377</v>
      </c>
      <c r="K1742" t="s">
        <v>17</v>
      </c>
    </row>
    <row r="1743" spans="1:11" ht="15" customHeight="1" x14ac:dyDescent="0.3">
      <c r="A1743" t="s">
        <v>10</v>
      </c>
      <c r="B1743" t="s">
        <v>11</v>
      </c>
      <c r="C1743" t="s">
        <v>12</v>
      </c>
      <c r="D1743" t="s">
        <v>25</v>
      </c>
      <c r="E1743">
        <v>1</v>
      </c>
      <c r="F1743" t="s">
        <v>34</v>
      </c>
      <c r="G1743" t="s">
        <v>15</v>
      </c>
      <c r="H1743" t="s">
        <v>16</v>
      </c>
      <c r="I1743">
        <v>0</v>
      </c>
      <c r="J1743" s="23">
        <v>-41686</v>
      </c>
      <c r="K1743" t="s">
        <v>17</v>
      </c>
    </row>
    <row r="1744" spans="1:11" ht="15" customHeight="1" x14ac:dyDescent="0.3">
      <c r="A1744" t="s">
        <v>10</v>
      </c>
      <c r="B1744" t="s">
        <v>11</v>
      </c>
      <c r="C1744" t="s">
        <v>24</v>
      </c>
      <c r="D1744" t="s">
        <v>25</v>
      </c>
      <c r="E1744">
        <v>0</v>
      </c>
      <c r="F1744" t="s">
        <v>45</v>
      </c>
      <c r="G1744" t="s">
        <v>15</v>
      </c>
      <c r="H1744" t="s">
        <v>16</v>
      </c>
      <c r="I1744">
        <v>0</v>
      </c>
      <c r="J1744" s="23">
        <v>1578</v>
      </c>
      <c r="K1744" t="s">
        <v>17</v>
      </c>
    </row>
    <row r="1745" spans="1:11" ht="15" customHeight="1" x14ac:dyDescent="0.3">
      <c r="A1745" t="s">
        <v>18</v>
      </c>
      <c r="B1745" t="s">
        <v>11</v>
      </c>
      <c r="C1745" t="s">
        <v>12</v>
      </c>
      <c r="D1745" t="s">
        <v>28</v>
      </c>
      <c r="E1745">
        <v>2</v>
      </c>
      <c r="F1745" t="s">
        <v>33</v>
      </c>
      <c r="G1745" t="s">
        <v>15</v>
      </c>
      <c r="H1745" t="s">
        <v>32</v>
      </c>
      <c r="I1745">
        <v>1</v>
      </c>
      <c r="J1745" s="23">
        <v>-360</v>
      </c>
      <c r="K1745" t="s">
        <v>17</v>
      </c>
    </row>
    <row r="1746" spans="1:11" ht="15" customHeight="1" x14ac:dyDescent="0.3">
      <c r="A1746" t="s">
        <v>22</v>
      </c>
      <c r="B1746" t="s">
        <v>19</v>
      </c>
      <c r="C1746" t="s">
        <v>12</v>
      </c>
      <c r="D1746" t="s">
        <v>20</v>
      </c>
      <c r="E1746">
        <v>19</v>
      </c>
      <c r="F1746"/>
      <c r="G1746" t="s">
        <v>15</v>
      </c>
      <c r="H1746" t="s">
        <v>16</v>
      </c>
      <c r="I1746">
        <v>0</v>
      </c>
      <c r="J1746" s="23">
        <v>-2063023</v>
      </c>
      <c r="K1746" t="s">
        <v>17</v>
      </c>
    </row>
    <row r="1747" spans="1:11" ht="15" customHeight="1" x14ac:dyDescent="0.3">
      <c r="A1747" t="s">
        <v>18</v>
      </c>
      <c r="B1747" t="s">
        <v>19</v>
      </c>
      <c r="C1747" t="s">
        <v>12</v>
      </c>
      <c r="D1747" t="s">
        <v>20</v>
      </c>
      <c r="E1747">
        <v>26</v>
      </c>
      <c r="F1747"/>
      <c r="G1747" t="s">
        <v>31</v>
      </c>
      <c r="H1747" t="s">
        <v>32</v>
      </c>
      <c r="I1747">
        <v>1</v>
      </c>
      <c r="J1747" s="23">
        <v>-81</v>
      </c>
      <c r="K1747" t="s">
        <v>17</v>
      </c>
    </row>
    <row r="1748" spans="1:11" ht="15" customHeight="1" x14ac:dyDescent="0.3">
      <c r="A1748" t="s">
        <v>10</v>
      </c>
      <c r="B1748" t="s">
        <v>11</v>
      </c>
      <c r="C1748" t="s">
        <v>24</v>
      </c>
      <c r="D1748" t="s">
        <v>28</v>
      </c>
      <c r="E1748">
        <v>6</v>
      </c>
      <c r="F1748" t="s">
        <v>21</v>
      </c>
      <c r="G1748" t="s">
        <v>15</v>
      </c>
      <c r="H1748" t="s">
        <v>32</v>
      </c>
      <c r="I1748">
        <v>1</v>
      </c>
      <c r="J1748" s="23">
        <v>22165</v>
      </c>
      <c r="K1748">
        <v>132990</v>
      </c>
    </row>
    <row r="1749" spans="1:11" ht="15" customHeight="1" x14ac:dyDescent="0.3">
      <c r="A1749" t="s">
        <v>18</v>
      </c>
      <c r="B1749" t="s">
        <v>11</v>
      </c>
      <c r="C1749" t="s">
        <v>12</v>
      </c>
      <c r="D1749" t="s">
        <v>13</v>
      </c>
      <c r="E1749">
        <v>-1</v>
      </c>
      <c r="F1749" t="s">
        <v>14</v>
      </c>
      <c r="G1749" t="s">
        <v>15</v>
      </c>
      <c r="H1749" t="s">
        <v>16</v>
      </c>
      <c r="I1749">
        <v>0</v>
      </c>
      <c r="J1749" s="23">
        <v>-98164</v>
      </c>
      <c r="K1749" t="s">
        <v>17</v>
      </c>
    </row>
    <row r="1750" spans="1:11" ht="15" customHeight="1" x14ac:dyDescent="0.3">
      <c r="A1750" t="s">
        <v>22</v>
      </c>
      <c r="B1750" t="s">
        <v>11</v>
      </c>
      <c r="C1750" t="s">
        <v>12</v>
      </c>
      <c r="D1750" t="s">
        <v>25</v>
      </c>
      <c r="E1750">
        <v>5</v>
      </c>
      <c r="F1750" t="s">
        <v>29</v>
      </c>
      <c r="G1750" t="s">
        <v>15</v>
      </c>
      <c r="H1750" t="s">
        <v>16</v>
      </c>
      <c r="I1750">
        <v>0</v>
      </c>
      <c r="J1750" s="23">
        <v>-61560</v>
      </c>
      <c r="K1750" t="s">
        <v>17</v>
      </c>
    </row>
    <row r="1751" spans="1:11" ht="15" customHeight="1" x14ac:dyDescent="0.3">
      <c r="A1751" t="s">
        <v>10</v>
      </c>
      <c r="B1751" t="s">
        <v>11</v>
      </c>
      <c r="C1751" t="s">
        <v>12</v>
      </c>
      <c r="D1751" t="s">
        <v>13</v>
      </c>
      <c r="E1751">
        <v>6</v>
      </c>
      <c r="F1751" t="s">
        <v>29</v>
      </c>
      <c r="G1751" t="s">
        <v>15</v>
      </c>
      <c r="H1751" t="s">
        <v>16</v>
      </c>
      <c r="I1751">
        <v>0</v>
      </c>
      <c r="J1751" s="23">
        <v>-351640</v>
      </c>
      <c r="K1751" t="s">
        <v>17</v>
      </c>
    </row>
    <row r="1752" spans="1:11" ht="15" customHeight="1" x14ac:dyDescent="0.3">
      <c r="A1752" t="s">
        <v>18</v>
      </c>
      <c r="B1752" t="s">
        <v>11</v>
      </c>
      <c r="C1752" t="s">
        <v>12</v>
      </c>
      <c r="D1752" t="s">
        <v>13</v>
      </c>
      <c r="E1752">
        <v>2</v>
      </c>
      <c r="F1752" t="s">
        <v>23</v>
      </c>
      <c r="G1752" t="s">
        <v>15</v>
      </c>
      <c r="H1752" t="s">
        <v>16</v>
      </c>
      <c r="I1752">
        <v>0</v>
      </c>
      <c r="J1752" s="23">
        <v>-100315</v>
      </c>
      <c r="K1752" t="s">
        <v>17</v>
      </c>
    </row>
    <row r="1753" spans="1:11" ht="15" customHeight="1" x14ac:dyDescent="0.3">
      <c r="A1753" t="s">
        <v>10</v>
      </c>
      <c r="B1753" t="s">
        <v>11</v>
      </c>
      <c r="C1753" t="s">
        <v>24</v>
      </c>
      <c r="D1753" t="s">
        <v>25</v>
      </c>
      <c r="E1753">
        <v>-4</v>
      </c>
      <c r="F1753" t="s">
        <v>37</v>
      </c>
      <c r="G1753" t="s">
        <v>15</v>
      </c>
      <c r="H1753" t="s">
        <v>16</v>
      </c>
      <c r="I1753">
        <v>0</v>
      </c>
      <c r="J1753" s="23">
        <v>241</v>
      </c>
      <c r="K1753" t="s">
        <v>17</v>
      </c>
    </row>
    <row r="1754" spans="1:11" ht="15" customHeight="1" x14ac:dyDescent="0.3">
      <c r="A1754" t="s">
        <v>18</v>
      </c>
      <c r="B1754" t="s">
        <v>11</v>
      </c>
      <c r="C1754" t="s">
        <v>12</v>
      </c>
      <c r="D1754" t="s">
        <v>28</v>
      </c>
      <c r="E1754">
        <v>9</v>
      </c>
      <c r="F1754" t="s">
        <v>33</v>
      </c>
      <c r="G1754" t="s">
        <v>15</v>
      </c>
      <c r="H1754" t="s">
        <v>32</v>
      </c>
      <c r="I1754">
        <v>1</v>
      </c>
      <c r="J1754" s="23">
        <v>-5386</v>
      </c>
      <c r="K1754" t="s">
        <v>17</v>
      </c>
    </row>
    <row r="1755" spans="1:11" ht="15" customHeight="1" x14ac:dyDescent="0.3">
      <c r="A1755" t="s">
        <v>18</v>
      </c>
      <c r="B1755" t="s">
        <v>44</v>
      </c>
      <c r="C1755" t="s">
        <v>24</v>
      </c>
      <c r="D1755" t="s">
        <v>28</v>
      </c>
      <c r="E1755">
        <v>1</v>
      </c>
      <c r="F1755" t="s">
        <v>38</v>
      </c>
      <c r="G1755" t="s">
        <v>15</v>
      </c>
      <c r="H1755" t="s">
        <v>16</v>
      </c>
      <c r="I1755">
        <v>0</v>
      </c>
      <c r="J1755" s="23">
        <v>6637269</v>
      </c>
      <c r="K1755">
        <v>6637269</v>
      </c>
    </row>
    <row r="1756" spans="1:11" ht="15" customHeight="1" x14ac:dyDescent="0.3">
      <c r="A1756" t="s">
        <v>10</v>
      </c>
      <c r="B1756" t="s">
        <v>11</v>
      </c>
      <c r="C1756" t="s">
        <v>12</v>
      </c>
      <c r="D1756" t="s">
        <v>13</v>
      </c>
      <c r="E1756">
        <v>3</v>
      </c>
      <c r="F1756" t="s">
        <v>37</v>
      </c>
      <c r="G1756" t="s">
        <v>15</v>
      </c>
      <c r="H1756" t="s">
        <v>16</v>
      </c>
      <c r="I1756">
        <v>0</v>
      </c>
      <c r="J1756" s="23">
        <v>-72225</v>
      </c>
      <c r="K1756" t="s">
        <v>17</v>
      </c>
    </row>
    <row r="1757" spans="1:11" ht="15" customHeight="1" x14ac:dyDescent="0.3">
      <c r="A1757"/>
      <c r="B1757" t="s">
        <v>11</v>
      </c>
      <c r="C1757" t="s">
        <v>24</v>
      </c>
      <c r="D1757" t="s">
        <v>17</v>
      </c>
      <c r="E1757">
        <v>-3</v>
      </c>
      <c r="F1757" t="s">
        <v>38</v>
      </c>
      <c r="G1757" t="s">
        <v>15</v>
      </c>
      <c r="H1757" t="s">
        <v>16</v>
      </c>
      <c r="I1757">
        <v>0</v>
      </c>
      <c r="J1757" s="23">
        <v>0</v>
      </c>
      <c r="K1757" t="s">
        <v>17</v>
      </c>
    </row>
    <row r="1758" spans="1:11" ht="15" customHeight="1" x14ac:dyDescent="0.3">
      <c r="A1758" t="s">
        <v>22</v>
      </c>
      <c r="B1758" t="s">
        <v>11</v>
      </c>
      <c r="C1758" t="s">
        <v>12</v>
      </c>
      <c r="D1758" t="s">
        <v>13</v>
      </c>
      <c r="E1758">
        <v>-4</v>
      </c>
      <c r="F1758" t="s">
        <v>42</v>
      </c>
      <c r="G1758" t="s">
        <v>15</v>
      </c>
      <c r="H1758" t="s">
        <v>16</v>
      </c>
      <c r="I1758">
        <v>0</v>
      </c>
      <c r="J1758" s="23">
        <v>-45138</v>
      </c>
      <c r="K1758" t="s">
        <v>17</v>
      </c>
    </row>
    <row r="1759" spans="1:11" ht="15" customHeight="1" x14ac:dyDescent="0.3">
      <c r="A1759" t="s">
        <v>22</v>
      </c>
      <c r="B1759" t="s">
        <v>19</v>
      </c>
      <c r="C1759" t="s">
        <v>24</v>
      </c>
      <c r="D1759" t="s">
        <v>20</v>
      </c>
      <c r="E1759">
        <v>3</v>
      </c>
      <c r="F1759"/>
      <c r="G1759" t="s">
        <v>15</v>
      </c>
      <c r="H1759" t="s">
        <v>16</v>
      </c>
      <c r="I1759">
        <v>0</v>
      </c>
      <c r="J1759" s="23">
        <v>544620</v>
      </c>
      <c r="K1759">
        <v>1633860</v>
      </c>
    </row>
    <row r="1760" spans="1:11" ht="15" customHeight="1" x14ac:dyDescent="0.3">
      <c r="A1760" t="s">
        <v>10</v>
      </c>
      <c r="B1760" t="s">
        <v>11</v>
      </c>
      <c r="C1760" t="s">
        <v>24</v>
      </c>
      <c r="D1760" t="s">
        <v>28</v>
      </c>
      <c r="E1760">
        <v>13</v>
      </c>
      <c r="F1760" t="s">
        <v>30</v>
      </c>
      <c r="G1760" t="s">
        <v>15</v>
      </c>
      <c r="H1760" t="s">
        <v>16</v>
      </c>
      <c r="I1760">
        <v>0</v>
      </c>
      <c r="J1760" s="23">
        <v>212165</v>
      </c>
      <c r="K1760">
        <v>2758145</v>
      </c>
    </row>
    <row r="1761" spans="1:11" ht="15" customHeight="1" x14ac:dyDescent="0.3">
      <c r="A1761" t="s">
        <v>10</v>
      </c>
      <c r="B1761" t="s">
        <v>11</v>
      </c>
      <c r="C1761" t="s">
        <v>12</v>
      </c>
      <c r="D1761" t="s">
        <v>28</v>
      </c>
      <c r="E1761">
        <v>9</v>
      </c>
      <c r="F1761" t="s">
        <v>14</v>
      </c>
      <c r="G1761" t="s">
        <v>15</v>
      </c>
      <c r="H1761" t="s">
        <v>16</v>
      </c>
      <c r="I1761">
        <v>0</v>
      </c>
      <c r="J1761" s="23">
        <v>-23658</v>
      </c>
      <c r="K1761" t="s">
        <v>17</v>
      </c>
    </row>
    <row r="1762" spans="1:11" ht="15" customHeight="1" x14ac:dyDescent="0.3">
      <c r="A1762" t="s">
        <v>18</v>
      </c>
      <c r="B1762" t="s">
        <v>11</v>
      </c>
      <c r="C1762" t="s">
        <v>24</v>
      </c>
      <c r="D1762" t="s">
        <v>28</v>
      </c>
      <c r="E1762">
        <v>4</v>
      </c>
      <c r="F1762" t="s">
        <v>29</v>
      </c>
      <c r="G1762" t="s">
        <v>15</v>
      </c>
      <c r="H1762" t="s">
        <v>32</v>
      </c>
      <c r="I1762">
        <v>1</v>
      </c>
      <c r="J1762" s="23">
        <v>2907646</v>
      </c>
      <c r="K1762">
        <v>11630584</v>
      </c>
    </row>
    <row r="1763" spans="1:11" ht="15" customHeight="1" x14ac:dyDescent="0.3">
      <c r="A1763" t="s">
        <v>10</v>
      </c>
      <c r="B1763" t="s">
        <v>19</v>
      </c>
      <c r="C1763" t="s">
        <v>24</v>
      </c>
      <c r="D1763" t="s">
        <v>20</v>
      </c>
      <c r="E1763">
        <v>11</v>
      </c>
      <c r="F1763"/>
      <c r="G1763" t="s">
        <v>15</v>
      </c>
      <c r="H1763" t="s">
        <v>16</v>
      </c>
      <c r="I1763">
        <v>0</v>
      </c>
      <c r="J1763" s="23">
        <v>14687488</v>
      </c>
      <c r="K1763">
        <v>161562368</v>
      </c>
    </row>
    <row r="1764" spans="1:11" ht="15" customHeight="1" x14ac:dyDescent="0.3">
      <c r="A1764" t="s">
        <v>10</v>
      </c>
      <c r="B1764" t="s">
        <v>19</v>
      </c>
      <c r="C1764" t="s">
        <v>24</v>
      </c>
      <c r="D1764" t="s">
        <v>20</v>
      </c>
      <c r="E1764">
        <v>23</v>
      </c>
      <c r="F1764"/>
      <c r="G1764" t="s">
        <v>15</v>
      </c>
      <c r="H1764" t="s">
        <v>32</v>
      </c>
      <c r="I1764">
        <v>1</v>
      </c>
      <c r="J1764" s="23">
        <v>685593</v>
      </c>
      <c r="K1764">
        <v>15768639</v>
      </c>
    </row>
    <row r="1765" spans="1:11" ht="15" customHeight="1" x14ac:dyDescent="0.3">
      <c r="A1765" t="s">
        <v>22</v>
      </c>
      <c r="B1765" t="s">
        <v>19</v>
      </c>
      <c r="C1765" t="s">
        <v>12</v>
      </c>
      <c r="D1765" t="s">
        <v>20</v>
      </c>
      <c r="E1765">
        <v>21</v>
      </c>
      <c r="F1765"/>
      <c r="G1765" t="s">
        <v>15</v>
      </c>
      <c r="H1765" t="s">
        <v>32</v>
      </c>
      <c r="I1765">
        <v>1</v>
      </c>
      <c r="J1765" s="23">
        <v>-140788</v>
      </c>
      <c r="K1765" t="s">
        <v>17</v>
      </c>
    </row>
    <row r="1766" spans="1:11" ht="15" customHeight="1" x14ac:dyDescent="0.3">
      <c r="A1766" t="s">
        <v>18</v>
      </c>
      <c r="B1766" t="s">
        <v>11</v>
      </c>
      <c r="C1766" t="s">
        <v>24</v>
      </c>
      <c r="D1766" t="s">
        <v>28</v>
      </c>
      <c r="E1766">
        <v>2</v>
      </c>
      <c r="F1766" t="s">
        <v>34</v>
      </c>
      <c r="G1766" t="s">
        <v>15</v>
      </c>
      <c r="H1766" t="s">
        <v>32</v>
      </c>
      <c r="I1766">
        <v>1</v>
      </c>
      <c r="J1766" s="23">
        <v>1638293</v>
      </c>
      <c r="K1766">
        <v>3276586</v>
      </c>
    </row>
    <row r="1767" spans="1:11" ht="15" customHeight="1" x14ac:dyDescent="0.3">
      <c r="A1767" t="s">
        <v>18</v>
      </c>
      <c r="B1767" t="s">
        <v>11</v>
      </c>
      <c r="C1767" t="s">
        <v>24</v>
      </c>
      <c r="D1767" t="s">
        <v>28</v>
      </c>
      <c r="E1767">
        <v>2</v>
      </c>
      <c r="F1767" t="s">
        <v>34</v>
      </c>
      <c r="G1767" t="s">
        <v>15</v>
      </c>
      <c r="H1767" t="s">
        <v>16</v>
      </c>
      <c r="I1767">
        <v>0</v>
      </c>
      <c r="J1767" s="23">
        <v>3707646</v>
      </c>
      <c r="K1767">
        <v>7415292</v>
      </c>
    </row>
    <row r="1768" spans="1:11" ht="15" customHeight="1" x14ac:dyDescent="0.3">
      <c r="A1768" t="s">
        <v>18</v>
      </c>
      <c r="B1768" t="s">
        <v>11</v>
      </c>
      <c r="C1768" t="s">
        <v>12</v>
      </c>
      <c r="D1768" t="s">
        <v>28</v>
      </c>
      <c r="E1768">
        <v>5</v>
      </c>
      <c r="F1768" t="s">
        <v>26</v>
      </c>
      <c r="G1768" t="s">
        <v>31</v>
      </c>
      <c r="H1768" t="s">
        <v>16</v>
      </c>
      <c r="I1768">
        <v>1</v>
      </c>
      <c r="J1768" s="23">
        <v>-1702</v>
      </c>
      <c r="K1768" t="s">
        <v>17</v>
      </c>
    </row>
    <row r="1769" spans="1:11" ht="15" customHeight="1" x14ac:dyDescent="0.3">
      <c r="A1769" t="s">
        <v>22</v>
      </c>
      <c r="B1769" t="s">
        <v>19</v>
      </c>
      <c r="C1769" t="s">
        <v>12</v>
      </c>
      <c r="D1769" t="s">
        <v>20</v>
      </c>
      <c r="E1769">
        <v>27</v>
      </c>
      <c r="F1769"/>
      <c r="G1769" t="s">
        <v>15</v>
      </c>
      <c r="H1769" t="s">
        <v>16</v>
      </c>
      <c r="I1769">
        <v>0</v>
      </c>
      <c r="J1769" s="23">
        <v>-1963738</v>
      </c>
      <c r="K1769" t="s">
        <v>17</v>
      </c>
    </row>
    <row r="1770" spans="1:11" ht="15" customHeight="1" x14ac:dyDescent="0.3">
      <c r="A1770" t="s">
        <v>18</v>
      </c>
      <c r="B1770" t="s">
        <v>19</v>
      </c>
      <c r="C1770" t="s">
        <v>12</v>
      </c>
      <c r="D1770" t="s">
        <v>28</v>
      </c>
      <c r="E1770">
        <v>17</v>
      </c>
      <c r="F1770"/>
      <c r="G1770" t="s">
        <v>31</v>
      </c>
      <c r="H1770" t="s">
        <v>16</v>
      </c>
      <c r="I1770">
        <v>1</v>
      </c>
      <c r="J1770" s="23">
        <v>-194</v>
      </c>
      <c r="K1770" t="s">
        <v>17</v>
      </c>
    </row>
    <row r="1771" spans="1:11" ht="15" customHeight="1" x14ac:dyDescent="0.3">
      <c r="A1771" t="s">
        <v>18</v>
      </c>
      <c r="B1771" t="s">
        <v>11</v>
      </c>
      <c r="C1771" t="s">
        <v>12</v>
      </c>
      <c r="D1771" t="s">
        <v>28</v>
      </c>
      <c r="E1771">
        <v>2</v>
      </c>
      <c r="F1771" t="s">
        <v>29</v>
      </c>
      <c r="G1771" t="s">
        <v>15</v>
      </c>
      <c r="H1771" t="s">
        <v>32</v>
      </c>
      <c r="I1771">
        <v>1</v>
      </c>
      <c r="J1771" s="23">
        <v>-6131</v>
      </c>
      <c r="K1771" t="s">
        <v>17</v>
      </c>
    </row>
    <row r="1772" spans="1:11" ht="15" customHeight="1" x14ac:dyDescent="0.3">
      <c r="A1772" t="s">
        <v>18</v>
      </c>
      <c r="B1772" t="s">
        <v>19</v>
      </c>
      <c r="C1772" t="s">
        <v>24</v>
      </c>
      <c r="D1772" t="s">
        <v>20</v>
      </c>
      <c r="E1772">
        <v>34</v>
      </c>
      <c r="F1772"/>
      <c r="G1772" t="s">
        <v>31</v>
      </c>
      <c r="H1772" t="s">
        <v>32</v>
      </c>
      <c r="I1772">
        <v>1</v>
      </c>
      <c r="J1772" s="23">
        <v>109002</v>
      </c>
      <c r="K1772">
        <v>3706068</v>
      </c>
    </row>
    <row r="1773" spans="1:11" ht="15" customHeight="1" x14ac:dyDescent="0.3">
      <c r="A1773" t="s">
        <v>10</v>
      </c>
      <c r="B1773" t="s">
        <v>11</v>
      </c>
      <c r="C1773" t="s">
        <v>24</v>
      </c>
      <c r="D1773" t="s">
        <v>25</v>
      </c>
      <c r="E1773">
        <v>1</v>
      </c>
      <c r="F1773" t="s">
        <v>30</v>
      </c>
      <c r="G1773" t="s">
        <v>15</v>
      </c>
      <c r="H1773" t="s">
        <v>16</v>
      </c>
      <c r="I1773">
        <v>0</v>
      </c>
      <c r="J1773" s="23">
        <v>186300</v>
      </c>
      <c r="K1773">
        <v>186300</v>
      </c>
    </row>
    <row r="1774" spans="1:11" ht="15" customHeight="1" x14ac:dyDescent="0.3">
      <c r="A1774" t="s">
        <v>18</v>
      </c>
      <c r="B1774" t="s">
        <v>11</v>
      </c>
      <c r="C1774" t="s">
        <v>12</v>
      </c>
      <c r="D1774" t="s">
        <v>13</v>
      </c>
      <c r="E1774">
        <v>0</v>
      </c>
      <c r="F1774" t="s">
        <v>26</v>
      </c>
      <c r="G1774" t="s">
        <v>15</v>
      </c>
      <c r="H1774" t="s">
        <v>16</v>
      </c>
      <c r="I1774">
        <v>0</v>
      </c>
      <c r="J1774" s="23">
        <v>-90442</v>
      </c>
      <c r="K1774" t="s">
        <v>17</v>
      </c>
    </row>
    <row r="1775" spans="1:11" ht="15" customHeight="1" x14ac:dyDescent="0.3">
      <c r="A1775" t="s">
        <v>22</v>
      </c>
      <c r="B1775" t="s">
        <v>11</v>
      </c>
      <c r="C1775" t="s">
        <v>24</v>
      </c>
      <c r="D1775" t="s">
        <v>13</v>
      </c>
      <c r="E1775">
        <v>-4</v>
      </c>
      <c r="F1775" t="s">
        <v>14</v>
      </c>
      <c r="G1775" t="s">
        <v>15</v>
      </c>
      <c r="H1775" t="s">
        <v>16</v>
      </c>
      <c r="I1775">
        <v>0</v>
      </c>
      <c r="J1775" s="23">
        <v>234564</v>
      </c>
      <c r="K1775" t="s">
        <v>17</v>
      </c>
    </row>
    <row r="1776" spans="1:11" ht="15" customHeight="1" x14ac:dyDescent="0.3">
      <c r="A1776" t="s">
        <v>18</v>
      </c>
      <c r="B1776" t="s">
        <v>11</v>
      </c>
      <c r="C1776" t="s">
        <v>12</v>
      </c>
      <c r="D1776" t="s">
        <v>13</v>
      </c>
      <c r="E1776">
        <v>2</v>
      </c>
      <c r="F1776" t="s">
        <v>49</v>
      </c>
      <c r="G1776" t="s">
        <v>15</v>
      </c>
      <c r="H1776" t="s">
        <v>16</v>
      </c>
      <c r="I1776">
        <v>0</v>
      </c>
      <c r="J1776" s="23">
        <v>-1734</v>
      </c>
      <c r="K1776" t="s">
        <v>17</v>
      </c>
    </row>
    <row r="1777" spans="1:11" ht="15" customHeight="1" x14ac:dyDescent="0.3">
      <c r="A1777" t="s">
        <v>10</v>
      </c>
      <c r="B1777" t="s">
        <v>11</v>
      </c>
      <c r="C1777" t="s">
        <v>24</v>
      </c>
      <c r="D1777" t="s">
        <v>28</v>
      </c>
      <c r="E1777">
        <v>-1</v>
      </c>
      <c r="F1777" t="s">
        <v>41</v>
      </c>
      <c r="G1777" t="s">
        <v>15</v>
      </c>
      <c r="H1777" t="s">
        <v>32</v>
      </c>
      <c r="I1777">
        <v>1</v>
      </c>
      <c r="J1777" s="23">
        <v>1</v>
      </c>
      <c r="K1777" t="s">
        <v>17</v>
      </c>
    </row>
    <row r="1778" spans="1:11" ht="15" customHeight="1" x14ac:dyDescent="0.3">
      <c r="A1778" t="s">
        <v>22</v>
      </c>
      <c r="B1778" t="s">
        <v>19</v>
      </c>
      <c r="C1778" t="s">
        <v>24</v>
      </c>
      <c r="D1778" t="s">
        <v>20</v>
      </c>
      <c r="E1778">
        <v>44</v>
      </c>
      <c r="F1778"/>
      <c r="G1778" t="s">
        <v>15</v>
      </c>
      <c r="H1778" t="s">
        <v>16</v>
      </c>
      <c r="I1778">
        <v>0</v>
      </c>
      <c r="J1778" s="23">
        <v>109447</v>
      </c>
      <c r="K1778">
        <v>4815668</v>
      </c>
    </row>
    <row r="1779" spans="1:11" ht="15" customHeight="1" x14ac:dyDescent="0.3">
      <c r="A1779" t="s">
        <v>18</v>
      </c>
      <c r="B1779" t="s">
        <v>19</v>
      </c>
      <c r="C1779" t="s">
        <v>24</v>
      </c>
      <c r="D1779" t="s">
        <v>20</v>
      </c>
      <c r="E1779">
        <v>0</v>
      </c>
      <c r="F1779"/>
      <c r="G1779" t="s">
        <v>31</v>
      </c>
      <c r="H1779" t="s">
        <v>16</v>
      </c>
      <c r="I1779">
        <v>1</v>
      </c>
      <c r="J1779" s="23">
        <v>19099</v>
      </c>
      <c r="K1779" t="s">
        <v>17</v>
      </c>
    </row>
    <row r="1780" spans="1:11" ht="15" customHeight="1" x14ac:dyDescent="0.3">
      <c r="A1780" t="s">
        <v>10</v>
      </c>
      <c r="B1780" t="s">
        <v>11</v>
      </c>
      <c r="C1780" t="s">
        <v>12</v>
      </c>
      <c r="D1780" t="s">
        <v>28</v>
      </c>
      <c r="E1780">
        <v>3</v>
      </c>
      <c r="F1780" t="s">
        <v>26</v>
      </c>
      <c r="G1780" t="s">
        <v>15</v>
      </c>
      <c r="H1780" t="s">
        <v>16</v>
      </c>
      <c r="I1780">
        <v>0</v>
      </c>
      <c r="J1780" s="23">
        <v>-153142</v>
      </c>
      <c r="K1780" t="s">
        <v>17</v>
      </c>
    </row>
    <row r="1781" spans="1:11" ht="15" customHeight="1" x14ac:dyDescent="0.3">
      <c r="A1781" t="s">
        <v>18</v>
      </c>
      <c r="B1781" t="s">
        <v>11</v>
      </c>
      <c r="C1781" t="s">
        <v>12</v>
      </c>
      <c r="D1781" t="s">
        <v>13</v>
      </c>
      <c r="E1781">
        <v>1</v>
      </c>
      <c r="F1781" t="s">
        <v>23</v>
      </c>
      <c r="G1781" t="s">
        <v>15</v>
      </c>
      <c r="H1781" t="s">
        <v>16</v>
      </c>
      <c r="I1781">
        <v>0</v>
      </c>
      <c r="J1781" s="23">
        <v>-89111</v>
      </c>
      <c r="K1781" t="s">
        <v>17</v>
      </c>
    </row>
    <row r="1782" spans="1:11" ht="15" customHeight="1" x14ac:dyDescent="0.3">
      <c r="A1782" t="s">
        <v>22</v>
      </c>
      <c r="B1782" t="s">
        <v>11</v>
      </c>
      <c r="C1782" t="s">
        <v>12</v>
      </c>
      <c r="D1782" t="s">
        <v>13</v>
      </c>
      <c r="E1782">
        <v>-4</v>
      </c>
      <c r="F1782" t="s">
        <v>41</v>
      </c>
      <c r="G1782" t="s">
        <v>15</v>
      </c>
      <c r="H1782" t="s">
        <v>16</v>
      </c>
      <c r="I1782">
        <v>0</v>
      </c>
      <c r="J1782" s="23">
        <v>-12303</v>
      </c>
      <c r="K1782" t="s">
        <v>17</v>
      </c>
    </row>
    <row r="1783" spans="1:11" ht="15" customHeight="1" x14ac:dyDescent="0.3">
      <c r="A1783" t="s">
        <v>18</v>
      </c>
      <c r="B1783" t="s">
        <v>11</v>
      </c>
      <c r="C1783" t="s">
        <v>12</v>
      </c>
      <c r="D1783" t="s">
        <v>13</v>
      </c>
      <c r="E1783">
        <v>7</v>
      </c>
      <c r="F1783" t="s">
        <v>26</v>
      </c>
      <c r="G1783" t="s">
        <v>15</v>
      </c>
      <c r="H1783" t="s">
        <v>16</v>
      </c>
      <c r="I1783">
        <v>0</v>
      </c>
      <c r="J1783" s="23">
        <v>-3022</v>
      </c>
      <c r="K1783" t="s">
        <v>17</v>
      </c>
    </row>
    <row r="1784" spans="1:11" ht="15" customHeight="1" x14ac:dyDescent="0.3">
      <c r="A1784" t="s">
        <v>10</v>
      </c>
      <c r="B1784" t="s">
        <v>11</v>
      </c>
      <c r="C1784" t="s">
        <v>24</v>
      </c>
      <c r="D1784" t="s">
        <v>25</v>
      </c>
      <c r="E1784">
        <v>5</v>
      </c>
      <c r="F1784" t="s">
        <v>27</v>
      </c>
      <c r="G1784" t="s">
        <v>15</v>
      </c>
      <c r="H1784" t="s">
        <v>16</v>
      </c>
      <c r="I1784">
        <v>0</v>
      </c>
      <c r="J1784" s="23">
        <v>182780</v>
      </c>
      <c r="K1784">
        <v>913900</v>
      </c>
    </row>
    <row r="1785" spans="1:11" ht="15" customHeight="1" x14ac:dyDescent="0.3">
      <c r="A1785" t="s">
        <v>18</v>
      </c>
      <c r="B1785" t="s">
        <v>11</v>
      </c>
      <c r="C1785" t="s">
        <v>24</v>
      </c>
      <c r="D1785" t="s">
        <v>28</v>
      </c>
      <c r="E1785">
        <v>14</v>
      </c>
      <c r="F1785" t="s">
        <v>39</v>
      </c>
      <c r="G1785" t="s">
        <v>15</v>
      </c>
      <c r="H1785" t="s">
        <v>16</v>
      </c>
      <c r="I1785">
        <v>0</v>
      </c>
      <c r="J1785" s="23">
        <v>295739</v>
      </c>
      <c r="K1785">
        <v>4140346</v>
      </c>
    </row>
    <row r="1786" spans="1:11" ht="15" customHeight="1" x14ac:dyDescent="0.3">
      <c r="A1786" t="s">
        <v>18</v>
      </c>
      <c r="B1786" t="s">
        <v>11</v>
      </c>
      <c r="C1786" t="s">
        <v>12</v>
      </c>
      <c r="D1786" t="s">
        <v>28</v>
      </c>
      <c r="E1786">
        <v>13</v>
      </c>
      <c r="F1786" t="s">
        <v>34</v>
      </c>
      <c r="G1786" t="s">
        <v>31</v>
      </c>
      <c r="H1786" t="s">
        <v>16</v>
      </c>
      <c r="I1786">
        <v>1</v>
      </c>
      <c r="J1786" s="23">
        <v>-88</v>
      </c>
      <c r="K1786" t="s">
        <v>17</v>
      </c>
    </row>
    <row r="1787" spans="1:11" ht="15" customHeight="1" x14ac:dyDescent="0.3">
      <c r="A1787" t="s">
        <v>18</v>
      </c>
      <c r="B1787" t="s">
        <v>11</v>
      </c>
      <c r="C1787" t="s">
        <v>24</v>
      </c>
      <c r="D1787" t="s">
        <v>28</v>
      </c>
      <c r="E1787">
        <v>21</v>
      </c>
      <c r="F1787" t="s">
        <v>34</v>
      </c>
      <c r="G1787" t="s">
        <v>15</v>
      </c>
      <c r="H1787" t="s">
        <v>16</v>
      </c>
      <c r="I1787">
        <v>0</v>
      </c>
      <c r="J1787" s="23">
        <v>428340</v>
      </c>
      <c r="K1787">
        <v>8995140</v>
      </c>
    </row>
    <row r="1788" spans="1:11" ht="15" customHeight="1" x14ac:dyDescent="0.3">
      <c r="A1788" t="s">
        <v>18</v>
      </c>
      <c r="B1788" t="s">
        <v>11</v>
      </c>
      <c r="C1788" t="s">
        <v>24</v>
      </c>
      <c r="D1788" t="s">
        <v>25</v>
      </c>
      <c r="E1788">
        <v>10</v>
      </c>
      <c r="F1788" t="s">
        <v>30</v>
      </c>
      <c r="G1788" t="s">
        <v>15</v>
      </c>
      <c r="H1788" t="s">
        <v>16</v>
      </c>
      <c r="I1788">
        <v>0</v>
      </c>
      <c r="J1788" s="23">
        <v>131364</v>
      </c>
      <c r="K1788">
        <v>1313640</v>
      </c>
    </row>
    <row r="1789" spans="1:11" ht="15" customHeight="1" x14ac:dyDescent="0.3">
      <c r="A1789" t="s">
        <v>10</v>
      </c>
      <c r="B1789" t="s">
        <v>19</v>
      </c>
      <c r="C1789" t="s">
        <v>24</v>
      </c>
      <c r="D1789" t="s">
        <v>20</v>
      </c>
      <c r="E1789">
        <v>9</v>
      </c>
      <c r="F1789"/>
      <c r="G1789" t="s">
        <v>31</v>
      </c>
      <c r="H1789" t="s">
        <v>16</v>
      </c>
      <c r="I1789">
        <v>1</v>
      </c>
      <c r="J1789" s="23">
        <v>132124</v>
      </c>
      <c r="K1789">
        <v>1189116</v>
      </c>
    </row>
    <row r="1790" spans="1:11" ht="15" customHeight="1" x14ac:dyDescent="0.3">
      <c r="A1790" t="s">
        <v>10</v>
      </c>
      <c r="B1790" t="s">
        <v>19</v>
      </c>
      <c r="C1790" t="s">
        <v>12</v>
      </c>
      <c r="D1790" t="s">
        <v>20</v>
      </c>
      <c r="E1790">
        <v>43</v>
      </c>
      <c r="F1790"/>
      <c r="G1790" t="s">
        <v>15</v>
      </c>
      <c r="H1790" t="s">
        <v>16</v>
      </c>
      <c r="I1790">
        <v>0</v>
      </c>
      <c r="J1790" s="23">
        <v>-68287</v>
      </c>
      <c r="K1790" t="s">
        <v>17</v>
      </c>
    </row>
    <row r="1791" spans="1:11" ht="15" customHeight="1" x14ac:dyDescent="0.3">
      <c r="A1791" t="s">
        <v>22</v>
      </c>
      <c r="B1791" t="s">
        <v>19</v>
      </c>
      <c r="C1791" t="s">
        <v>24</v>
      </c>
      <c r="D1791" t="s">
        <v>20</v>
      </c>
      <c r="E1791">
        <v>25</v>
      </c>
      <c r="F1791"/>
      <c r="G1791" t="s">
        <v>31</v>
      </c>
      <c r="H1791" t="s">
        <v>16</v>
      </c>
      <c r="I1791">
        <v>1</v>
      </c>
      <c r="J1791" s="23">
        <v>99468</v>
      </c>
      <c r="K1791">
        <v>2486700</v>
      </c>
    </row>
    <row r="1792" spans="1:11" ht="15" customHeight="1" x14ac:dyDescent="0.3">
      <c r="A1792" t="s">
        <v>10</v>
      </c>
      <c r="B1792" t="s">
        <v>11</v>
      </c>
      <c r="C1792" t="s">
        <v>12</v>
      </c>
      <c r="D1792" t="s">
        <v>13</v>
      </c>
      <c r="E1792">
        <v>5</v>
      </c>
      <c r="F1792" t="s">
        <v>23</v>
      </c>
      <c r="G1792" t="s">
        <v>15</v>
      </c>
      <c r="H1792" t="s">
        <v>16</v>
      </c>
      <c r="I1792">
        <v>0</v>
      </c>
      <c r="J1792" s="23">
        <v>-179329</v>
      </c>
      <c r="K1792" t="s">
        <v>17</v>
      </c>
    </row>
    <row r="1793" spans="1:11" ht="15" customHeight="1" x14ac:dyDescent="0.3">
      <c r="A1793" t="s">
        <v>10</v>
      </c>
      <c r="B1793" t="s">
        <v>19</v>
      </c>
      <c r="C1793" t="s">
        <v>12</v>
      </c>
      <c r="D1793" t="s">
        <v>28</v>
      </c>
      <c r="E1793">
        <v>2</v>
      </c>
      <c r="F1793"/>
      <c r="G1793" t="s">
        <v>15</v>
      </c>
      <c r="H1793" t="s">
        <v>16</v>
      </c>
      <c r="I1793">
        <v>0</v>
      </c>
      <c r="J1793" s="23">
        <v>-44148</v>
      </c>
      <c r="K1793" t="s">
        <v>17</v>
      </c>
    </row>
    <row r="1794" spans="1:11" ht="15" customHeight="1" x14ac:dyDescent="0.3">
      <c r="A1794" t="s">
        <v>18</v>
      </c>
      <c r="B1794" t="s">
        <v>11</v>
      </c>
      <c r="C1794" t="s">
        <v>12</v>
      </c>
      <c r="D1794" t="s">
        <v>28</v>
      </c>
      <c r="E1794">
        <v>3</v>
      </c>
      <c r="F1794" t="s">
        <v>34</v>
      </c>
      <c r="G1794" t="s">
        <v>31</v>
      </c>
      <c r="H1794" t="s">
        <v>16</v>
      </c>
      <c r="I1794">
        <v>1</v>
      </c>
      <c r="J1794" s="23">
        <v>-47</v>
      </c>
      <c r="K1794" t="s">
        <v>17</v>
      </c>
    </row>
    <row r="1795" spans="1:11" ht="15" customHeight="1" x14ac:dyDescent="0.3">
      <c r="A1795" t="s">
        <v>18</v>
      </c>
      <c r="B1795" t="s">
        <v>11</v>
      </c>
      <c r="C1795" t="s">
        <v>24</v>
      </c>
      <c r="D1795" t="s">
        <v>25</v>
      </c>
      <c r="E1795">
        <v>-1</v>
      </c>
      <c r="F1795" t="s">
        <v>42</v>
      </c>
      <c r="G1795" t="s">
        <v>15</v>
      </c>
      <c r="H1795" t="s">
        <v>16</v>
      </c>
      <c r="I1795">
        <v>0</v>
      </c>
      <c r="J1795" s="23">
        <v>151287</v>
      </c>
      <c r="K1795" t="s">
        <v>17</v>
      </c>
    </row>
    <row r="1796" spans="1:11" ht="15" customHeight="1" x14ac:dyDescent="0.3">
      <c r="A1796" t="s">
        <v>10</v>
      </c>
      <c r="B1796" t="s">
        <v>11</v>
      </c>
      <c r="C1796" t="s">
        <v>24</v>
      </c>
      <c r="D1796" t="s">
        <v>13</v>
      </c>
      <c r="E1796">
        <v>9</v>
      </c>
      <c r="F1796" t="s">
        <v>21</v>
      </c>
      <c r="G1796" t="s">
        <v>15</v>
      </c>
      <c r="H1796" t="s">
        <v>16</v>
      </c>
      <c r="I1796">
        <v>0</v>
      </c>
      <c r="J1796" s="23">
        <v>13468</v>
      </c>
      <c r="K1796">
        <v>121212</v>
      </c>
    </row>
    <row r="1797" spans="1:11" ht="15" customHeight="1" x14ac:dyDescent="0.3">
      <c r="A1797" t="s">
        <v>22</v>
      </c>
      <c r="B1797" t="s">
        <v>11</v>
      </c>
      <c r="C1797" t="s">
        <v>12</v>
      </c>
      <c r="D1797" t="s">
        <v>13</v>
      </c>
      <c r="E1797">
        <v>9</v>
      </c>
      <c r="F1797" t="s">
        <v>27</v>
      </c>
      <c r="G1797" t="s">
        <v>15</v>
      </c>
      <c r="H1797" t="s">
        <v>16</v>
      </c>
      <c r="I1797">
        <v>0</v>
      </c>
      <c r="J1797" s="23">
        <v>-96342</v>
      </c>
      <c r="K1797" t="s">
        <v>17</v>
      </c>
    </row>
    <row r="1798" spans="1:11" ht="15" customHeight="1" x14ac:dyDescent="0.3">
      <c r="A1798" t="s">
        <v>10</v>
      </c>
      <c r="B1798" t="s">
        <v>11</v>
      </c>
      <c r="C1798" t="s">
        <v>12</v>
      </c>
      <c r="D1798" t="s">
        <v>28</v>
      </c>
      <c r="E1798">
        <v>13</v>
      </c>
      <c r="F1798" t="s">
        <v>26</v>
      </c>
      <c r="G1798" t="s">
        <v>15</v>
      </c>
      <c r="H1798" t="s">
        <v>16</v>
      </c>
      <c r="I1798">
        <v>0</v>
      </c>
      <c r="J1798" s="23">
        <v>-83359</v>
      </c>
      <c r="K1798" t="s">
        <v>17</v>
      </c>
    </row>
    <row r="1799" spans="1:11" ht="15" customHeight="1" x14ac:dyDescent="0.3">
      <c r="A1799" t="s">
        <v>10</v>
      </c>
      <c r="B1799" t="s">
        <v>11</v>
      </c>
      <c r="C1799" t="s">
        <v>24</v>
      </c>
      <c r="D1799" t="s">
        <v>28</v>
      </c>
      <c r="E1799">
        <v>1</v>
      </c>
      <c r="F1799" t="s">
        <v>27</v>
      </c>
      <c r="G1799" t="s">
        <v>15</v>
      </c>
      <c r="H1799" t="s">
        <v>16</v>
      </c>
      <c r="I1799">
        <v>0</v>
      </c>
      <c r="J1799" s="23">
        <v>92879</v>
      </c>
      <c r="K1799">
        <v>92879</v>
      </c>
    </row>
    <row r="1800" spans="1:11" ht="15" customHeight="1" x14ac:dyDescent="0.3">
      <c r="A1800" t="s">
        <v>18</v>
      </c>
      <c r="B1800" t="s">
        <v>11</v>
      </c>
      <c r="C1800" t="s">
        <v>12</v>
      </c>
      <c r="D1800" t="s">
        <v>28</v>
      </c>
      <c r="E1800">
        <v>10</v>
      </c>
      <c r="F1800" t="s">
        <v>37</v>
      </c>
      <c r="G1800" t="s">
        <v>15</v>
      </c>
      <c r="H1800" t="s">
        <v>16</v>
      </c>
      <c r="I1800">
        <v>0</v>
      </c>
      <c r="J1800" s="23">
        <v>-7361</v>
      </c>
      <c r="K1800" t="s">
        <v>17</v>
      </c>
    </row>
    <row r="1801" spans="1:11" ht="15" customHeight="1" x14ac:dyDescent="0.3">
      <c r="A1801" t="s">
        <v>22</v>
      </c>
      <c r="B1801" t="s">
        <v>19</v>
      </c>
      <c r="C1801" t="s">
        <v>24</v>
      </c>
      <c r="D1801" t="s">
        <v>20</v>
      </c>
      <c r="E1801">
        <v>7</v>
      </c>
      <c r="F1801"/>
      <c r="G1801" t="s">
        <v>15</v>
      </c>
      <c r="H1801" t="s">
        <v>32</v>
      </c>
      <c r="I1801">
        <v>1</v>
      </c>
      <c r="J1801" s="23">
        <v>58625</v>
      </c>
      <c r="K1801">
        <v>410375</v>
      </c>
    </row>
    <row r="1802" spans="1:11" ht="15" customHeight="1" x14ac:dyDescent="0.3">
      <c r="A1802" t="s">
        <v>10</v>
      </c>
      <c r="B1802" t="s">
        <v>11</v>
      </c>
      <c r="C1802" t="s">
        <v>24</v>
      </c>
      <c r="D1802" t="s">
        <v>13</v>
      </c>
      <c r="E1802">
        <v>7</v>
      </c>
      <c r="F1802" t="s">
        <v>26</v>
      </c>
      <c r="G1802" t="s">
        <v>15</v>
      </c>
      <c r="H1802" t="s">
        <v>16</v>
      </c>
      <c r="I1802">
        <v>0</v>
      </c>
      <c r="J1802" s="23">
        <v>2278688</v>
      </c>
      <c r="K1802">
        <v>15950816</v>
      </c>
    </row>
    <row r="1803" spans="1:11" ht="15" customHeight="1" x14ac:dyDescent="0.3">
      <c r="A1803" t="s">
        <v>18</v>
      </c>
      <c r="B1803" t="s">
        <v>11</v>
      </c>
      <c r="C1803" t="s">
        <v>24</v>
      </c>
      <c r="D1803" t="s">
        <v>28</v>
      </c>
      <c r="E1803">
        <v>14</v>
      </c>
      <c r="F1803" t="s">
        <v>42</v>
      </c>
      <c r="G1803" t="s">
        <v>15</v>
      </c>
      <c r="H1803" t="s">
        <v>16</v>
      </c>
      <c r="I1803">
        <v>0</v>
      </c>
      <c r="J1803" s="23">
        <v>801320</v>
      </c>
      <c r="K1803">
        <v>11218480</v>
      </c>
    </row>
    <row r="1804" spans="1:11" ht="15" customHeight="1" x14ac:dyDescent="0.3">
      <c r="A1804" t="s">
        <v>18</v>
      </c>
      <c r="B1804" t="s">
        <v>11</v>
      </c>
      <c r="C1804" t="s">
        <v>12</v>
      </c>
      <c r="D1804" t="s">
        <v>13</v>
      </c>
      <c r="E1804">
        <v>5</v>
      </c>
      <c r="F1804" t="s">
        <v>38</v>
      </c>
      <c r="G1804" t="s">
        <v>15</v>
      </c>
      <c r="H1804" t="s">
        <v>16</v>
      </c>
      <c r="I1804">
        <v>0</v>
      </c>
      <c r="J1804" s="23">
        <v>-2420</v>
      </c>
      <c r="K1804" t="s">
        <v>17</v>
      </c>
    </row>
    <row r="1805" spans="1:11" ht="15" customHeight="1" x14ac:dyDescent="0.3">
      <c r="A1805" t="s">
        <v>22</v>
      </c>
      <c r="B1805" t="s">
        <v>11</v>
      </c>
      <c r="C1805" t="s">
        <v>24</v>
      </c>
      <c r="D1805" t="s">
        <v>13</v>
      </c>
      <c r="E1805">
        <v>12</v>
      </c>
      <c r="F1805" t="s">
        <v>34</v>
      </c>
      <c r="G1805" t="s">
        <v>15</v>
      </c>
      <c r="H1805" t="s">
        <v>16</v>
      </c>
      <c r="I1805">
        <v>0</v>
      </c>
      <c r="J1805" s="23">
        <v>34379</v>
      </c>
      <c r="K1805">
        <v>412548</v>
      </c>
    </row>
    <row r="1806" spans="1:11" ht="15" customHeight="1" x14ac:dyDescent="0.3">
      <c r="A1806" t="s">
        <v>22</v>
      </c>
      <c r="B1806" t="s">
        <v>11</v>
      </c>
      <c r="C1806" t="s">
        <v>24</v>
      </c>
      <c r="D1806" t="s">
        <v>13</v>
      </c>
      <c r="E1806">
        <v>13</v>
      </c>
      <c r="F1806" t="s">
        <v>29</v>
      </c>
      <c r="G1806" t="s">
        <v>15</v>
      </c>
      <c r="H1806" t="s">
        <v>16</v>
      </c>
      <c r="I1806">
        <v>0</v>
      </c>
      <c r="J1806" s="23">
        <v>183974</v>
      </c>
      <c r="K1806">
        <v>2391662</v>
      </c>
    </row>
    <row r="1807" spans="1:11" ht="15" customHeight="1" x14ac:dyDescent="0.3">
      <c r="A1807" t="s">
        <v>22</v>
      </c>
      <c r="B1807" t="s">
        <v>19</v>
      </c>
      <c r="C1807" t="s">
        <v>12</v>
      </c>
      <c r="D1807" t="s">
        <v>20</v>
      </c>
      <c r="E1807">
        <v>1</v>
      </c>
      <c r="F1807"/>
      <c r="G1807" t="s">
        <v>31</v>
      </c>
      <c r="H1807" t="s">
        <v>16</v>
      </c>
      <c r="I1807">
        <v>1</v>
      </c>
      <c r="J1807" s="23">
        <v>-855</v>
      </c>
      <c r="K1807" t="s">
        <v>17</v>
      </c>
    </row>
    <row r="1808" spans="1:11" ht="15" customHeight="1" x14ac:dyDescent="0.3">
      <c r="A1808" t="s">
        <v>18</v>
      </c>
      <c r="B1808" t="s">
        <v>19</v>
      </c>
      <c r="C1808" t="s">
        <v>12</v>
      </c>
      <c r="D1808" t="s">
        <v>28</v>
      </c>
      <c r="E1808">
        <v>8</v>
      </c>
      <c r="F1808"/>
      <c r="G1808" t="s">
        <v>15</v>
      </c>
      <c r="H1808" t="s">
        <v>16</v>
      </c>
      <c r="I1808">
        <v>0</v>
      </c>
      <c r="J1808" s="23">
        <v>-10658</v>
      </c>
      <c r="K1808" t="s">
        <v>17</v>
      </c>
    </row>
    <row r="1809" spans="1:11" ht="15" customHeight="1" x14ac:dyDescent="0.3">
      <c r="A1809" t="s">
        <v>18</v>
      </c>
      <c r="B1809" t="s">
        <v>11</v>
      </c>
      <c r="C1809" t="s">
        <v>24</v>
      </c>
      <c r="D1809" t="s">
        <v>28</v>
      </c>
      <c r="E1809">
        <v>6</v>
      </c>
      <c r="F1809" t="s">
        <v>48</v>
      </c>
      <c r="G1809" t="s">
        <v>15</v>
      </c>
      <c r="H1809" t="s">
        <v>16</v>
      </c>
      <c r="I1809">
        <v>0</v>
      </c>
      <c r="J1809" s="23">
        <v>92209</v>
      </c>
      <c r="K1809">
        <v>553254</v>
      </c>
    </row>
    <row r="1810" spans="1:11" ht="15" customHeight="1" x14ac:dyDescent="0.3">
      <c r="A1810" t="s">
        <v>22</v>
      </c>
      <c r="B1810" t="s">
        <v>11</v>
      </c>
      <c r="C1810" t="s">
        <v>24</v>
      </c>
      <c r="D1810" t="s">
        <v>13</v>
      </c>
      <c r="E1810">
        <v>3</v>
      </c>
      <c r="F1810" t="s">
        <v>34</v>
      </c>
      <c r="G1810" t="s">
        <v>15</v>
      </c>
      <c r="H1810" t="s">
        <v>16</v>
      </c>
      <c r="I1810">
        <v>0</v>
      </c>
      <c r="J1810" s="23">
        <v>4523883</v>
      </c>
      <c r="K1810">
        <v>13571649</v>
      </c>
    </row>
    <row r="1811" spans="1:11" ht="15" customHeight="1" x14ac:dyDescent="0.3">
      <c r="A1811" t="s">
        <v>18</v>
      </c>
      <c r="B1811" t="s">
        <v>11</v>
      </c>
      <c r="C1811" t="s">
        <v>12</v>
      </c>
      <c r="D1811" t="s">
        <v>28</v>
      </c>
      <c r="E1811">
        <v>11</v>
      </c>
      <c r="F1811" t="s">
        <v>42</v>
      </c>
      <c r="G1811" t="s">
        <v>15</v>
      </c>
      <c r="H1811" t="s">
        <v>16</v>
      </c>
      <c r="I1811">
        <v>0</v>
      </c>
      <c r="J1811" s="23">
        <v>-2446</v>
      </c>
      <c r="K1811" t="s">
        <v>17</v>
      </c>
    </row>
    <row r="1812" spans="1:11" ht="15" customHeight="1" x14ac:dyDescent="0.3">
      <c r="A1812" t="s">
        <v>22</v>
      </c>
      <c r="B1812" t="s">
        <v>11</v>
      </c>
      <c r="C1812" t="s">
        <v>24</v>
      </c>
      <c r="D1812" t="s">
        <v>13</v>
      </c>
      <c r="E1812">
        <v>7</v>
      </c>
      <c r="F1812" t="s">
        <v>33</v>
      </c>
      <c r="G1812" t="s">
        <v>15</v>
      </c>
      <c r="H1812" t="s">
        <v>16</v>
      </c>
      <c r="I1812">
        <v>0</v>
      </c>
      <c r="J1812" s="23">
        <v>41233</v>
      </c>
      <c r="K1812">
        <v>288631</v>
      </c>
    </row>
    <row r="1813" spans="1:11" ht="15" customHeight="1" x14ac:dyDescent="0.3">
      <c r="A1813" t="s">
        <v>18</v>
      </c>
      <c r="B1813" t="s">
        <v>11</v>
      </c>
      <c r="C1813" t="s">
        <v>24</v>
      </c>
      <c r="D1813" t="s">
        <v>13</v>
      </c>
      <c r="E1813">
        <v>10</v>
      </c>
      <c r="F1813" t="s">
        <v>21</v>
      </c>
      <c r="G1813" t="s">
        <v>15</v>
      </c>
      <c r="H1813" t="s">
        <v>16</v>
      </c>
      <c r="I1813">
        <v>0</v>
      </c>
      <c r="J1813" s="23">
        <v>1704043</v>
      </c>
      <c r="K1813">
        <v>17040430</v>
      </c>
    </row>
    <row r="1814" spans="1:11" ht="15" customHeight="1" x14ac:dyDescent="0.3">
      <c r="A1814" t="s">
        <v>10</v>
      </c>
      <c r="B1814" t="s">
        <v>11</v>
      </c>
      <c r="C1814" t="s">
        <v>12</v>
      </c>
      <c r="D1814" t="s">
        <v>13</v>
      </c>
      <c r="E1814">
        <v>7</v>
      </c>
      <c r="F1814" t="s">
        <v>39</v>
      </c>
      <c r="G1814" t="s">
        <v>15</v>
      </c>
      <c r="H1814" t="s">
        <v>16</v>
      </c>
      <c r="I1814">
        <v>0</v>
      </c>
      <c r="J1814" s="23">
        <v>-15666</v>
      </c>
      <c r="K1814" t="s">
        <v>17</v>
      </c>
    </row>
    <row r="1815" spans="1:11" ht="15" customHeight="1" x14ac:dyDescent="0.3">
      <c r="A1815" t="s">
        <v>18</v>
      </c>
      <c r="B1815" t="s">
        <v>11</v>
      </c>
      <c r="C1815" t="s">
        <v>24</v>
      </c>
      <c r="D1815" t="s">
        <v>25</v>
      </c>
      <c r="E1815">
        <v>6</v>
      </c>
      <c r="F1815" t="s">
        <v>27</v>
      </c>
      <c r="G1815" t="s">
        <v>15</v>
      </c>
      <c r="H1815" t="s">
        <v>16</v>
      </c>
      <c r="I1815">
        <v>0</v>
      </c>
      <c r="J1815" s="23">
        <v>147146</v>
      </c>
      <c r="K1815">
        <v>882876</v>
      </c>
    </row>
    <row r="1816" spans="1:11" ht="15" customHeight="1" x14ac:dyDescent="0.3">
      <c r="A1816" t="s">
        <v>10</v>
      </c>
      <c r="B1816" t="s">
        <v>11</v>
      </c>
      <c r="C1816" t="s">
        <v>12</v>
      </c>
      <c r="D1816" t="s">
        <v>28</v>
      </c>
      <c r="E1816">
        <v>12</v>
      </c>
      <c r="F1816" t="s">
        <v>42</v>
      </c>
      <c r="G1816" t="s">
        <v>15</v>
      </c>
      <c r="H1816" t="s">
        <v>16</v>
      </c>
      <c r="I1816">
        <v>0</v>
      </c>
      <c r="J1816" s="23">
        <v>-9656</v>
      </c>
      <c r="K1816" t="s">
        <v>17</v>
      </c>
    </row>
    <row r="1817" spans="1:11" ht="15" customHeight="1" x14ac:dyDescent="0.3">
      <c r="A1817" t="s">
        <v>18</v>
      </c>
      <c r="B1817" t="s">
        <v>11</v>
      </c>
      <c r="C1817" t="s">
        <v>12</v>
      </c>
      <c r="D1817" t="s">
        <v>25</v>
      </c>
      <c r="E1817">
        <v>2</v>
      </c>
      <c r="F1817" t="s">
        <v>46</v>
      </c>
      <c r="G1817" t="s">
        <v>15</v>
      </c>
      <c r="H1817" t="s">
        <v>16</v>
      </c>
      <c r="I1817">
        <v>0</v>
      </c>
      <c r="J1817" s="23">
        <v>-25</v>
      </c>
      <c r="K1817" t="s">
        <v>17</v>
      </c>
    </row>
    <row r="1818" spans="1:11" ht="15" customHeight="1" x14ac:dyDescent="0.3">
      <c r="A1818" t="s">
        <v>10</v>
      </c>
      <c r="B1818" t="s">
        <v>11</v>
      </c>
      <c r="C1818" t="s">
        <v>12</v>
      </c>
      <c r="D1818" t="s">
        <v>25</v>
      </c>
      <c r="E1818">
        <v>0</v>
      </c>
      <c r="F1818" t="s">
        <v>45</v>
      </c>
      <c r="G1818" t="s">
        <v>15</v>
      </c>
      <c r="H1818" t="s">
        <v>16</v>
      </c>
      <c r="I1818">
        <v>0</v>
      </c>
      <c r="J1818" s="23">
        <v>-110</v>
      </c>
      <c r="K1818" t="s">
        <v>17</v>
      </c>
    </row>
    <row r="1819" spans="1:11" ht="15" customHeight="1" x14ac:dyDescent="0.3">
      <c r="A1819" t="s">
        <v>18</v>
      </c>
      <c r="B1819" t="s">
        <v>44</v>
      </c>
      <c r="C1819" t="s">
        <v>12</v>
      </c>
      <c r="D1819" t="s">
        <v>28</v>
      </c>
      <c r="E1819">
        <v>14</v>
      </c>
      <c r="F1819" t="s">
        <v>23</v>
      </c>
      <c r="G1819" t="s">
        <v>15</v>
      </c>
      <c r="H1819" t="s">
        <v>16</v>
      </c>
      <c r="I1819">
        <v>0</v>
      </c>
      <c r="J1819" s="23">
        <v>-46225</v>
      </c>
      <c r="K1819" t="s">
        <v>17</v>
      </c>
    </row>
    <row r="1820" spans="1:11" ht="15" customHeight="1" x14ac:dyDescent="0.3">
      <c r="A1820" t="s">
        <v>18</v>
      </c>
      <c r="B1820" t="s">
        <v>11</v>
      </c>
      <c r="C1820" t="s">
        <v>12</v>
      </c>
      <c r="D1820" t="s">
        <v>28</v>
      </c>
      <c r="E1820">
        <v>18</v>
      </c>
      <c r="F1820" t="s">
        <v>21</v>
      </c>
      <c r="G1820" t="s">
        <v>15</v>
      </c>
      <c r="H1820" t="s">
        <v>16</v>
      </c>
      <c r="I1820">
        <v>0</v>
      </c>
      <c r="J1820" s="23">
        <v>-753</v>
      </c>
      <c r="K1820" t="s">
        <v>17</v>
      </c>
    </row>
    <row r="1821" spans="1:11" ht="15" customHeight="1" x14ac:dyDescent="0.3">
      <c r="A1821" t="s">
        <v>18</v>
      </c>
      <c r="B1821" t="s">
        <v>11</v>
      </c>
      <c r="C1821" t="s">
        <v>24</v>
      </c>
      <c r="D1821" t="s">
        <v>25</v>
      </c>
      <c r="E1821">
        <v>0</v>
      </c>
      <c r="F1821" t="s">
        <v>33</v>
      </c>
      <c r="G1821" t="s">
        <v>15</v>
      </c>
      <c r="H1821" t="s">
        <v>16</v>
      </c>
      <c r="I1821">
        <v>0</v>
      </c>
      <c r="J1821" s="23">
        <v>94451</v>
      </c>
      <c r="K1821" t="s">
        <v>17</v>
      </c>
    </row>
    <row r="1822" spans="1:11" ht="15" customHeight="1" x14ac:dyDescent="0.3">
      <c r="A1822" t="s">
        <v>22</v>
      </c>
      <c r="B1822" t="s">
        <v>19</v>
      </c>
      <c r="C1822" t="s">
        <v>24</v>
      </c>
      <c r="D1822" t="s">
        <v>20</v>
      </c>
      <c r="E1822">
        <v>34</v>
      </c>
      <c r="F1822"/>
      <c r="G1822" t="s">
        <v>31</v>
      </c>
      <c r="H1822" t="s">
        <v>16</v>
      </c>
      <c r="I1822">
        <v>1</v>
      </c>
      <c r="J1822" s="23">
        <v>224194</v>
      </c>
      <c r="K1822">
        <v>7622596</v>
      </c>
    </row>
    <row r="1823" spans="1:11" ht="15" customHeight="1" x14ac:dyDescent="0.3">
      <c r="A1823" t="s">
        <v>18</v>
      </c>
      <c r="B1823" t="s">
        <v>11</v>
      </c>
      <c r="C1823" t="s">
        <v>12</v>
      </c>
      <c r="D1823" t="s">
        <v>28</v>
      </c>
      <c r="E1823">
        <v>1</v>
      </c>
      <c r="F1823" t="s">
        <v>45</v>
      </c>
      <c r="G1823" t="s">
        <v>15</v>
      </c>
      <c r="H1823" t="s">
        <v>16</v>
      </c>
      <c r="I1823">
        <v>0</v>
      </c>
      <c r="J1823" s="23">
        <v>-56</v>
      </c>
      <c r="K1823" t="s">
        <v>17</v>
      </c>
    </row>
    <row r="1824" spans="1:11" ht="15" customHeight="1" x14ac:dyDescent="0.3">
      <c r="A1824" t="s">
        <v>22</v>
      </c>
      <c r="B1824" t="s">
        <v>11</v>
      </c>
      <c r="C1824" t="s">
        <v>24</v>
      </c>
      <c r="D1824" t="s">
        <v>13</v>
      </c>
      <c r="E1824">
        <v>0</v>
      </c>
      <c r="F1824" t="s">
        <v>37</v>
      </c>
      <c r="G1824" t="s">
        <v>15</v>
      </c>
      <c r="H1824" t="s">
        <v>16</v>
      </c>
      <c r="I1824">
        <v>0</v>
      </c>
      <c r="J1824" s="23">
        <v>38837</v>
      </c>
      <c r="K1824" t="s">
        <v>17</v>
      </c>
    </row>
    <row r="1825" spans="1:11" ht="15" customHeight="1" x14ac:dyDescent="0.3">
      <c r="A1825" t="s">
        <v>22</v>
      </c>
      <c r="B1825" t="s">
        <v>11</v>
      </c>
      <c r="C1825" t="s">
        <v>24</v>
      </c>
      <c r="D1825" t="s">
        <v>13</v>
      </c>
      <c r="E1825">
        <v>11</v>
      </c>
      <c r="F1825" t="s">
        <v>40</v>
      </c>
      <c r="G1825" t="s">
        <v>15</v>
      </c>
      <c r="H1825" t="s">
        <v>16</v>
      </c>
      <c r="I1825">
        <v>0</v>
      </c>
      <c r="J1825" s="23">
        <v>22952190</v>
      </c>
      <c r="K1825">
        <v>252474090</v>
      </c>
    </row>
    <row r="1826" spans="1:11" ht="15" customHeight="1" x14ac:dyDescent="0.3">
      <c r="A1826" t="s">
        <v>18</v>
      </c>
      <c r="B1826" t="s">
        <v>11</v>
      </c>
      <c r="C1826" t="s">
        <v>24</v>
      </c>
      <c r="D1826" t="s">
        <v>13</v>
      </c>
      <c r="E1826">
        <v>4</v>
      </c>
      <c r="F1826" t="s">
        <v>42</v>
      </c>
      <c r="G1826" t="s">
        <v>15</v>
      </c>
      <c r="H1826" t="s">
        <v>16</v>
      </c>
      <c r="I1826">
        <v>0</v>
      </c>
      <c r="J1826" s="23">
        <v>1820843</v>
      </c>
      <c r="K1826">
        <v>7283372</v>
      </c>
    </row>
    <row r="1827" spans="1:11" ht="15" customHeight="1" x14ac:dyDescent="0.3">
      <c r="A1827" t="s">
        <v>22</v>
      </c>
      <c r="B1827" t="s">
        <v>11</v>
      </c>
      <c r="C1827" t="s">
        <v>24</v>
      </c>
      <c r="D1827" t="s">
        <v>13</v>
      </c>
      <c r="E1827">
        <v>8</v>
      </c>
      <c r="F1827" t="s">
        <v>33</v>
      </c>
      <c r="G1827" t="s">
        <v>15</v>
      </c>
      <c r="H1827" t="s">
        <v>16</v>
      </c>
      <c r="I1827">
        <v>0</v>
      </c>
      <c r="J1827" s="23">
        <v>103289</v>
      </c>
      <c r="K1827">
        <v>826312</v>
      </c>
    </row>
    <row r="1828" spans="1:11" ht="15" customHeight="1" x14ac:dyDescent="0.3">
      <c r="A1828" t="s">
        <v>18</v>
      </c>
      <c r="B1828" t="s">
        <v>11</v>
      </c>
      <c r="C1828" t="s">
        <v>24</v>
      </c>
      <c r="D1828" t="s">
        <v>13</v>
      </c>
      <c r="E1828">
        <v>5</v>
      </c>
      <c r="F1828" t="s">
        <v>27</v>
      </c>
      <c r="G1828" t="s">
        <v>15</v>
      </c>
      <c r="H1828" t="s">
        <v>16</v>
      </c>
      <c r="I1828">
        <v>0</v>
      </c>
      <c r="J1828" s="23">
        <v>134796</v>
      </c>
      <c r="K1828">
        <v>673980</v>
      </c>
    </row>
    <row r="1829" spans="1:11" ht="15" customHeight="1" x14ac:dyDescent="0.3">
      <c r="A1829" t="s">
        <v>18</v>
      </c>
      <c r="B1829" t="s">
        <v>11</v>
      </c>
      <c r="C1829" t="s">
        <v>24</v>
      </c>
      <c r="D1829" t="s">
        <v>25</v>
      </c>
      <c r="E1829">
        <v>1</v>
      </c>
      <c r="F1829" t="s">
        <v>45</v>
      </c>
      <c r="G1829" t="s">
        <v>15</v>
      </c>
      <c r="H1829" t="s">
        <v>16</v>
      </c>
      <c r="I1829">
        <v>0</v>
      </c>
      <c r="J1829" s="23">
        <v>277252</v>
      </c>
      <c r="K1829">
        <v>277252</v>
      </c>
    </row>
    <row r="1830" spans="1:11" ht="15" customHeight="1" x14ac:dyDescent="0.3">
      <c r="A1830" t="s">
        <v>10</v>
      </c>
      <c r="B1830" t="s">
        <v>11</v>
      </c>
      <c r="C1830" t="s">
        <v>24</v>
      </c>
      <c r="D1830" t="s">
        <v>28</v>
      </c>
      <c r="E1830">
        <v>5</v>
      </c>
      <c r="F1830" t="s">
        <v>29</v>
      </c>
      <c r="G1830" t="s">
        <v>15</v>
      </c>
      <c r="H1830" t="s">
        <v>32</v>
      </c>
      <c r="I1830">
        <v>1</v>
      </c>
      <c r="J1830" s="23">
        <v>937429</v>
      </c>
      <c r="K1830">
        <v>4687145</v>
      </c>
    </row>
    <row r="1831" spans="1:11" ht="15" customHeight="1" x14ac:dyDescent="0.3">
      <c r="A1831" t="s">
        <v>18</v>
      </c>
      <c r="B1831" t="s">
        <v>11</v>
      </c>
      <c r="C1831" t="s">
        <v>12</v>
      </c>
      <c r="D1831" t="s">
        <v>28</v>
      </c>
      <c r="E1831">
        <v>1</v>
      </c>
      <c r="F1831" t="s">
        <v>38</v>
      </c>
      <c r="G1831" t="s">
        <v>15</v>
      </c>
      <c r="H1831" t="s">
        <v>16</v>
      </c>
      <c r="I1831">
        <v>0</v>
      </c>
      <c r="J1831" s="23">
        <v>-156</v>
      </c>
      <c r="K1831" t="s">
        <v>17</v>
      </c>
    </row>
    <row r="1832" spans="1:11" ht="15" customHeight="1" x14ac:dyDescent="0.3">
      <c r="A1832" t="s">
        <v>10</v>
      </c>
      <c r="B1832" t="s">
        <v>19</v>
      </c>
      <c r="C1832" t="s">
        <v>12</v>
      </c>
      <c r="D1832" t="s">
        <v>20</v>
      </c>
      <c r="E1832">
        <v>28</v>
      </c>
      <c r="F1832"/>
      <c r="G1832" t="s">
        <v>31</v>
      </c>
      <c r="H1832" t="s">
        <v>16</v>
      </c>
      <c r="I1832">
        <v>1</v>
      </c>
      <c r="J1832" s="23">
        <v>-33197</v>
      </c>
      <c r="K1832" t="s">
        <v>17</v>
      </c>
    </row>
    <row r="1833" spans="1:11" ht="15" customHeight="1" x14ac:dyDescent="0.3">
      <c r="A1833" t="s">
        <v>22</v>
      </c>
      <c r="B1833" t="s">
        <v>19</v>
      </c>
      <c r="C1833" t="s">
        <v>12</v>
      </c>
      <c r="D1833" t="s">
        <v>20</v>
      </c>
      <c r="E1833">
        <v>6</v>
      </c>
      <c r="F1833"/>
      <c r="G1833" t="s">
        <v>31</v>
      </c>
      <c r="H1833" t="s">
        <v>16</v>
      </c>
      <c r="I1833">
        <v>1</v>
      </c>
      <c r="J1833" s="23">
        <v>-27879</v>
      </c>
      <c r="K1833" t="s">
        <v>17</v>
      </c>
    </row>
    <row r="1834" spans="1:11" ht="15" customHeight="1" x14ac:dyDescent="0.3">
      <c r="A1834" t="s">
        <v>22</v>
      </c>
      <c r="B1834" t="s">
        <v>11</v>
      </c>
      <c r="C1834" t="s">
        <v>24</v>
      </c>
      <c r="D1834" t="s">
        <v>13</v>
      </c>
      <c r="E1834">
        <v>11</v>
      </c>
      <c r="F1834" t="s">
        <v>21</v>
      </c>
      <c r="G1834" t="s">
        <v>15</v>
      </c>
      <c r="H1834" t="s">
        <v>16</v>
      </c>
      <c r="I1834">
        <v>0</v>
      </c>
      <c r="J1834" s="23">
        <v>181990</v>
      </c>
      <c r="K1834">
        <v>2001890</v>
      </c>
    </row>
    <row r="1835" spans="1:11" ht="15" customHeight="1" x14ac:dyDescent="0.3">
      <c r="A1835" t="s">
        <v>10</v>
      </c>
      <c r="B1835" t="s">
        <v>19</v>
      </c>
      <c r="C1835" t="s">
        <v>12</v>
      </c>
      <c r="D1835" t="s">
        <v>20</v>
      </c>
      <c r="E1835">
        <v>42</v>
      </c>
      <c r="F1835"/>
      <c r="G1835" t="s">
        <v>15</v>
      </c>
      <c r="H1835" t="s">
        <v>16</v>
      </c>
      <c r="I1835">
        <v>0</v>
      </c>
      <c r="J1835" s="23">
        <v>-137655</v>
      </c>
      <c r="K1835" t="s">
        <v>17</v>
      </c>
    </row>
    <row r="1836" spans="1:11" ht="15" customHeight="1" x14ac:dyDescent="0.3">
      <c r="A1836" t="s">
        <v>18</v>
      </c>
      <c r="B1836" t="s">
        <v>11</v>
      </c>
      <c r="C1836" t="s">
        <v>12</v>
      </c>
      <c r="D1836" t="s">
        <v>28</v>
      </c>
      <c r="E1836">
        <v>18</v>
      </c>
      <c r="F1836" t="s">
        <v>40</v>
      </c>
      <c r="G1836" t="s">
        <v>15</v>
      </c>
      <c r="H1836" t="s">
        <v>16</v>
      </c>
      <c r="I1836">
        <v>0</v>
      </c>
      <c r="J1836" s="23">
        <v>-199</v>
      </c>
      <c r="K1836" t="s">
        <v>17</v>
      </c>
    </row>
    <row r="1837" spans="1:11" ht="15" customHeight="1" x14ac:dyDescent="0.3">
      <c r="A1837" t="s">
        <v>18</v>
      </c>
      <c r="B1837" t="s">
        <v>44</v>
      </c>
      <c r="C1837" t="s">
        <v>12</v>
      </c>
      <c r="D1837" t="s">
        <v>28</v>
      </c>
      <c r="E1837">
        <v>13</v>
      </c>
      <c r="F1837" t="s">
        <v>38</v>
      </c>
      <c r="G1837" t="s">
        <v>15</v>
      </c>
      <c r="H1837" t="s">
        <v>16</v>
      </c>
      <c r="I1837">
        <v>0</v>
      </c>
      <c r="J1837" s="23">
        <v>-411</v>
      </c>
      <c r="K1837" t="s">
        <v>17</v>
      </c>
    </row>
    <row r="1838" spans="1:11" ht="15" customHeight="1" x14ac:dyDescent="0.3">
      <c r="A1838" t="s">
        <v>10</v>
      </c>
      <c r="B1838" t="s">
        <v>11</v>
      </c>
      <c r="C1838" t="s">
        <v>12</v>
      </c>
      <c r="D1838" t="s">
        <v>25</v>
      </c>
      <c r="E1838">
        <v>4</v>
      </c>
      <c r="F1838" t="s">
        <v>34</v>
      </c>
      <c r="G1838" t="s">
        <v>15</v>
      </c>
      <c r="H1838" t="s">
        <v>16</v>
      </c>
      <c r="I1838">
        <v>0</v>
      </c>
      <c r="J1838" s="23">
        <v>-223892</v>
      </c>
      <c r="K1838" t="s">
        <v>17</v>
      </c>
    </row>
    <row r="1839" spans="1:11" ht="15" customHeight="1" x14ac:dyDescent="0.3">
      <c r="A1839" t="s">
        <v>22</v>
      </c>
      <c r="B1839" t="s">
        <v>11</v>
      </c>
      <c r="C1839" t="s">
        <v>24</v>
      </c>
      <c r="D1839" t="s">
        <v>28</v>
      </c>
      <c r="E1839">
        <v>3</v>
      </c>
      <c r="F1839" t="s">
        <v>21</v>
      </c>
      <c r="G1839" t="s">
        <v>15</v>
      </c>
      <c r="H1839" t="s">
        <v>16</v>
      </c>
      <c r="I1839">
        <v>0</v>
      </c>
      <c r="J1839" s="23">
        <v>2765691</v>
      </c>
      <c r="K1839">
        <v>8297073</v>
      </c>
    </row>
    <row r="1840" spans="1:11" ht="15" customHeight="1" x14ac:dyDescent="0.3">
      <c r="A1840" t="s">
        <v>18</v>
      </c>
      <c r="B1840" t="s">
        <v>11</v>
      </c>
      <c r="C1840" t="s">
        <v>24</v>
      </c>
      <c r="D1840" t="s">
        <v>13</v>
      </c>
      <c r="E1840">
        <v>5</v>
      </c>
      <c r="F1840" t="s">
        <v>30</v>
      </c>
      <c r="G1840" t="s">
        <v>15</v>
      </c>
      <c r="H1840" t="s">
        <v>16</v>
      </c>
      <c r="I1840">
        <v>0</v>
      </c>
      <c r="J1840" s="23">
        <v>63675807</v>
      </c>
      <c r="K1840">
        <v>318379035</v>
      </c>
    </row>
    <row r="1841" spans="1:11" ht="15" customHeight="1" x14ac:dyDescent="0.3">
      <c r="A1841" t="s">
        <v>18</v>
      </c>
      <c r="B1841" t="s">
        <v>11</v>
      </c>
      <c r="C1841" t="s">
        <v>24</v>
      </c>
      <c r="D1841" t="s">
        <v>28</v>
      </c>
      <c r="E1841">
        <v>7</v>
      </c>
      <c r="F1841" t="s">
        <v>36</v>
      </c>
      <c r="G1841" t="s">
        <v>15</v>
      </c>
      <c r="H1841" t="s">
        <v>16</v>
      </c>
      <c r="I1841">
        <v>0</v>
      </c>
      <c r="J1841" s="23">
        <v>61783</v>
      </c>
      <c r="K1841">
        <v>432481</v>
      </c>
    </row>
    <row r="1842" spans="1:11" ht="15" customHeight="1" x14ac:dyDescent="0.3">
      <c r="A1842" t="s">
        <v>18</v>
      </c>
      <c r="B1842" t="s">
        <v>11</v>
      </c>
      <c r="C1842" t="s">
        <v>24</v>
      </c>
      <c r="D1842" t="s">
        <v>13</v>
      </c>
      <c r="E1842">
        <v>4</v>
      </c>
      <c r="F1842" t="s">
        <v>39</v>
      </c>
      <c r="G1842" t="s">
        <v>15</v>
      </c>
      <c r="H1842" t="s">
        <v>16</v>
      </c>
      <c r="I1842">
        <v>0</v>
      </c>
      <c r="J1842" s="23">
        <v>9625914</v>
      </c>
      <c r="K1842">
        <v>38503656</v>
      </c>
    </row>
    <row r="1843" spans="1:11" ht="15" customHeight="1" x14ac:dyDescent="0.3">
      <c r="A1843" t="s">
        <v>18</v>
      </c>
      <c r="B1843" t="s">
        <v>19</v>
      </c>
      <c r="C1843" t="s">
        <v>24</v>
      </c>
      <c r="D1843" t="s">
        <v>20</v>
      </c>
      <c r="E1843">
        <v>10</v>
      </c>
      <c r="F1843"/>
      <c r="G1843" t="s">
        <v>15</v>
      </c>
      <c r="H1843" t="s">
        <v>16</v>
      </c>
      <c r="I1843">
        <v>0</v>
      </c>
      <c r="J1843" s="23">
        <v>182149245</v>
      </c>
      <c r="K1843">
        <v>1821492450</v>
      </c>
    </row>
    <row r="1844" spans="1:11" ht="15" customHeight="1" x14ac:dyDescent="0.3">
      <c r="A1844" t="s">
        <v>18</v>
      </c>
      <c r="B1844" t="s">
        <v>44</v>
      </c>
      <c r="C1844" t="s">
        <v>12</v>
      </c>
      <c r="D1844" t="s">
        <v>28</v>
      </c>
      <c r="E1844">
        <v>3</v>
      </c>
      <c r="F1844" t="s">
        <v>38</v>
      </c>
      <c r="G1844" t="s">
        <v>15</v>
      </c>
      <c r="H1844" t="s">
        <v>16</v>
      </c>
      <c r="I1844">
        <v>0</v>
      </c>
      <c r="J1844" s="23">
        <v>-61247</v>
      </c>
      <c r="K1844" t="s">
        <v>17</v>
      </c>
    </row>
    <row r="1845" spans="1:11" ht="15" customHeight="1" x14ac:dyDescent="0.3">
      <c r="A1845" t="s">
        <v>22</v>
      </c>
      <c r="B1845" t="s">
        <v>11</v>
      </c>
      <c r="C1845" t="s">
        <v>12</v>
      </c>
      <c r="D1845" t="s">
        <v>28</v>
      </c>
      <c r="E1845">
        <v>4</v>
      </c>
      <c r="F1845" t="s">
        <v>26</v>
      </c>
      <c r="G1845" t="s">
        <v>15</v>
      </c>
      <c r="H1845" t="s">
        <v>16</v>
      </c>
      <c r="I1845">
        <v>0</v>
      </c>
      <c r="J1845" s="23">
        <v>-1745025</v>
      </c>
      <c r="K1845" t="s">
        <v>17</v>
      </c>
    </row>
    <row r="1846" spans="1:11" ht="15" customHeight="1" x14ac:dyDescent="0.3">
      <c r="A1846" t="s">
        <v>18</v>
      </c>
      <c r="B1846" t="s">
        <v>11</v>
      </c>
      <c r="C1846" t="s">
        <v>24</v>
      </c>
      <c r="D1846" t="s">
        <v>25</v>
      </c>
      <c r="E1846">
        <v>3</v>
      </c>
      <c r="F1846" t="s">
        <v>42</v>
      </c>
      <c r="G1846" t="s">
        <v>15</v>
      </c>
      <c r="H1846" t="s">
        <v>16</v>
      </c>
      <c r="I1846">
        <v>0</v>
      </c>
      <c r="J1846" s="23">
        <v>343091</v>
      </c>
      <c r="K1846">
        <v>1029273</v>
      </c>
    </row>
    <row r="1847" spans="1:11" ht="15" customHeight="1" x14ac:dyDescent="0.3">
      <c r="A1847" t="s">
        <v>10</v>
      </c>
      <c r="B1847" t="s">
        <v>11</v>
      </c>
      <c r="C1847" t="s">
        <v>24</v>
      </c>
      <c r="D1847" t="s">
        <v>28</v>
      </c>
      <c r="E1847">
        <v>11</v>
      </c>
      <c r="F1847" t="s">
        <v>35</v>
      </c>
      <c r="G1847" t="s">
        <v>15</v>
      </c>
      <c r="H1847" t="s">
        <v>16</v>
      </c>
      <c r="I1847">
        <v>0</v>
      </c>
      <c r="J1847" s="23">
        <v>540503</v>
      </c>
      <c r="K1847">
        <v>5945533</v>
      </c>
    </row>
    <row r="1848" spans="1:11" ht="15" customHeight="1" x14ac:dyDescent="0.3">
      <c r="A1848" t="s">
        <v>18</v>
      </c>
      <c r="B1848" t="s">
        <v>11</v>
      </c>
      <c r="C1848" t="s">
        <v>24</v>
      </c>
      <c r="D1848" t="s">
        <v>25</v>
      </c>
      <c r="E1848">
        <v>0</v>
      </c>
      <c r="F1848" t="s">
        <v>14</v>
      </c>
      <c r="G1848" t="s">
        <v>15</v>
      </c>
      <c r="H1848" t="s">
        <v>16</v>
      </c>
      <c r="I1848">
        <v>0</v>
      </c>
      <c r="J1848" s="23">
        <v>529116</v>
      </c>
      <c r="K1848" t="s">
        <v>17</v>
      </c>
    </row>
    <row r="1849" spans="1:11" ht="15" customHeight="1" x14ac:dyDescent="0.3">
      <c r="A1849" t="s">
        <v>10</v>
      </c>
      <c r="B1849" t="s">
        <v>19</v>
      </c>
      <c r="C1849" t="s">
        <v>12</v>
      </c>
      <c r="D1849" t="s">
        <v>20</v>
      </c>
      <c r="E1849">
        <v>2</v>
      </c>
      <c r="F1849"/>
      <c r="G1849" t="s">
        <v>15</v>
      </c>
      <c r="H1849" t="s">
        <v>32</v>
      </c>
      <c r="I1849">
        <v>1</v>
      </c>
      <c r="J1849" s="23">
        <v>-844</v>
      </c>
      <c r="K1849" t="s">
        <v>17</v>
      </c>
    </row>
    <row r="1850" spans="1:11" ht="15" customHeight="1" x14ac:dyDescent="0.3">
      <c r="A1850" t="s">
        <v>18</v>
      </c>
      <c r="B1850" t="s">
        <v>11</v>
      </c>
      <c r="C1850" t="s">
        <v>24</v>
      </c>
      <c r="D1850" t="s">
        <v>13</v>
      </c>
      <c r="E1850">
        <v>0</v>
      </c>
      <c r="F1850" t="s">
        <v>35</v>
      </c>
      <c r="G1850" t="s">
        <v>15</v>
      </c>
      <c r="H1850" t="s">
        <v>16</v>
      </c>
      <c r="I1850">
        <v>0</v>
      </c>
      <c r="J1850" s="23">
        <v>33502671</v>
      </c>
      <c r="K1850" t="s">
        <v>17</v>
      </c>
    </row>
    <row r="1851" spans="1:11" ht="15" customHeight="1" x14ac:dyDescent="0.3">
      <c r="A1851" t="s">
        <v>18</v>
      </c>
      <c r="B1851" t="s">
        <v>11</v>
      </c>
      <c r="C1851" t="s">
        <v>24</v>
      </c>
      <c r="D1851" t="s">
        <v>28</v>
      </c>
      <c r="E1851">
        <v>19</v>
      </c>
      <c r="F1851" t="s">
        <v>21</v>
      </c>
      <c r="G1851" t="s">
        <v>15</v>
      </c>
      <c r="H1851" t="s">
        <v>16</v>
      </c>
      <c r="I1851">
        <v>0</v>
      </c>
      <c r="J1851" s="23">
        <v>229308</v>
      </c>
      <c r="K1851">
        <v>4356852</v>
      </c>
    </row>
    <row r="1852" spans="1:11" ht="15" customHeight="1" x14ac:dyDescent="0.3">
      <c r="A1852" t="s">
        <v>18</v>
      </c>
      <c r="B1852" t="s">
        <v>11</v>
      </c>
      <c r="C1852" t="s">
        <v>12</v>
      </c>
      <c r="D1852" t="s">
        <v>25</v>
      </c>
      <c r="E1852">
        <v>-4</v>
      </c>
      <c r="F1852" t="s">
        <v>27</v>
      </c>
      <c r="G1852" t="s">
        <v>15</v>
      </c>
      <c r="H1852" t="s">
        <v>16</v>
      </c>
      <c r="I1852">
        <v>0</v>
      </c>
      <c r="J1852" s="23">
        <v>-1</v>
      </c>
      <c r="K1852" t="s">
        <v>17</v>
      </c>
    </row>
    <row r="1853" spans="1:11" ht="15" customHeight="1" x14ac:dyDescent="0.3">
      <c r="A1853" t="s">
        <v>22</v>
      </c>
      <c r="B1853" t="s">
        <v>19</v>
      </c>
      <c r="C1853" t="s">
        <v>12</v>
      </c>
      <c r="D1853" t="s">
        <v>20</v>
      </c>
      <c r="E1853">
        <v>22</v>
      </c>
      <c r="F1853"/>
      <c r="G1853" t="s">
        <v>31</v>
      </c>
      <c r="H1853" t="s">
        <v>16</v>
      </c>
      <c r="I1853">
        <v>1</v>
      </c>
      <c r="J1853" s="23">
        <v>-17228</v>
      </c>
      <c r="K1853" t="s">
        <v>17</v>
      </c>
    </row>
    <row r="1854" spans="1:11" ht="15" customHeight="1" x14ac:dyDescent="0.3">
      <c r="A1854" t="s">
        <v>18</v>
      </c>
      <c r="B1854" t="s">
        <v>19</v>
      </c>
      <c r="C1854" t="s">
        <v>12</v>
      </c>
      <c r="D1854" t="s">
        <v>20</v>
      </c>
      <c r="E1854">
        <v>14</v>
      </c>
      <c r="F1854"/>
      <c r="G1854" t="s">
        <v>15</v>
      </c>
      <c r="H1854" t="s">
        <v>32</v>
      </c>
      <c r="I1854">
        <v>1</v>
      </c>
      <c r="J1854" s="23">
        <v>-1305</v>
      </c>
      <c r="K1854" t="s">
        <v>17</v>
      </c>
    </row>
    <row r="1855" spans="1:11" ht="15" customHeight="1" x14ac:dyDescent="0.3">
      <c r="A1855" t="s">
        <v>22</v>
      </c>
      <c r="B1855" t="s">
        <v>19</v>
      </c>
      <c r="C1855" t="s">
        <v>12</v>
      </c>
      <c r="D1855" t="s">
        <v>20</v>
      </c>
      <c r="E1855">
        <v>2</v>
      </c>
      <c r="F1855"/>
      <c r="G1855" t="s">
        <v>15</v>
      </c>
      <c r="H1855" t="s">
        <v>32</v>
      </c>
      <c r="I1855">
        <v>1</v>
      </c>
      <c r="J1855" s="23">
        <v>-1111</v>
      </c>
      <c r="K1855" t="s">
        <v>17</v>
      </c>
    </row>
    <row r="1856" spans="1:11" ht="15" customHeight="1" x14ac:dyDescent="0.3">
      <c r="A1856" t="s">
        <v>18</v>
      </c>
      <c r="B1856" t="s">
        <v>44</v>
      </c>
      <c r="C1856" t="s">
        <v>24</v>
      </c>
      <c r="D1856" t="s">
        <v>28</v>
      </c>
      <c r="E1856">
        <v>5</v>
      </c>
      <c r="F1856" t="s">
        <v>38</v>
      </c>
      <c r="G1856" t="s">
        <v>15</v>
      </c>
      <c r="H1856" t="s">
        <v>16</v>
      </c>
      <c r="I1856">
        <v>0</v>
      </c>
      <c r="J1856" s="23">
        <v>71163</v>
      </c>
      <c r="K1856">
        <v>355815</v>
      </c>
    </row>
    <row r="1857" spans="1:11" ht="15" customHeight="1" x14ac:dyDescent="0.3">
      <c r="A1857" t="s">
        <v>10</v>
      </c>
      <c r="B1857" t="s">
        <v>11</v>
      </c>
      <c r="C1857" t="s">
        <v>12</v>
      </c>
      <c r="D1857" t="s">
        <v>28</v>
      </c>
      <c r="E1857">
        <v>6</v>
      </c>
      <c r="F1857" t="s">
        <v>26</v>
      </c>
      <c r="G1857" t="s">
        <v>31</v>
      </c>
      <c r="H1857" t="s">
        <v>16</v>
      </c>
      <c r="I1857">
        <v>1</v>
      </c>
      <c r="J1857" s="23">
        <v>-8592</v>
      </c>
      <c r="K1857" t="s">
        <v>17</v>
      </c>
    </row>
    <row r="1858" spans="1:11" ht="15" customHeight="1" x14ac:dyDescent="0.3">
      <c r="A1858" t="s">
        <v>10</v>
      </c>
      <c r="B1858" t="s">
        <v>19</v>
      </c>
      <c r="C1858" t="s">
        <v>12</v>
      </c>
      <c r="D1858" t="s">
        <v>20</v>
      </c>
      <c r="E1858">
        <v>0</v>
      </c>
      <c r="F1858"/>
      <c r="G1858" t="s">
        <v>31</v>
      </c>
      <c r="H1858" t="s">
        <v>16</v>
      </c>
      <c r="I1858">
        <v>1</v>
      </c>
      <c r="J1858" s="23">
        <v>-106</v>
      </c>
      <c r="K1858" t="s">
        <v>17</v>
      </c>
    </row>
    <row r="1859" spans="1:11" ht="15" customHeight="1" x14ac:dyDescent="0.3">
      <c r="A1859" t="s">
        <v>18</v>
      </c>
      <c r="B1859" t="s">
        <v>19</v>
      </c>
      <c r="C1859" t="s">
        <v>24</v>
      </c>
      <c r="D1859" t="s">
        <v>28</v>
      </c>
      <c r="E1859">
        <v>6</v>
      </c>
      <c r="F1859"/>
      <c r="G1859" t="s">
        <v>15</v>
      </c>
      <c r="H1859" t="s">
        <v>16</v>
      </c>
      <c r="I1859">
        <v>0</v>
      </c>
      <c r="J1859" s="23">
        <v>4961371</v>
      </c>
      <c r="K1859">
        <v>29768226</v>
      </c>
    </row>
    <row r="1860" spans="1:11" ht="15" customHeight="1" x14ac:dyDescent="0.3">
      <c r="A1860" t="s">
        <v>18</v>
      </c>
      <c r="B1860" t="s">
        <v>11</v>
      </c>
      <c r="C1860" t="s">
        <v>24</v>
      </c>
      <c r="D1860" t="s">
        <v>13</v>
      </c>
      <c r="E1860">
        <v>4</v>
      </c>
      <c r="F1860" t="s">
        <v>26</v>
      </c>
      <c r="G1860" t="s">
        <v>15</v>
      </c>
      <c r="H1860" t="s">
        <v>16</v>
      </c>
      <c r="I1860">
        <v>0</v>
      </c>
      <c r="J1860" s="23">
        <v>8701639</v>
      </c>
      <c r="K1860">
        <v>34806556</v>
      </c>
    </row>
    <row r="1861" spans="1:11" ht="15" customHeight="1" x14ac:dyDescent="0.3">
      <c r="A1861" t="s">
        <v>22</v>
      </c>
      <c r="B1861" t="s">
        <v>11</v>
      </c>
      <c r="C1861" t="s">
        <v>12</v>
      </c>
      <c r="D1861" t="s">
        <v>25</v>
      </c>
      <c r="E1861">
        <v>1</v>
      </c>
      <c r="F1861" t="s">
        <v>14</v>
      </c>
      <c r="G1861" t="s">
        <v>15</v>
      </c>
      <c r="H1861" t="s">
        <v>16</v>
      </c>
      <c r="I1861">
        <v>0</v>
      </c>
      <c r="J1861" s="23">
        <v>-30256</v>
      </c>
      <c r="K1861" t="s">
        <v>17</v>
      </c>
    </row>
    <row r="1862" spans="1:11" ht="15" customHeight="1" x14ac:dyDescent="0.3">
      <c r="A1862" t="s">
        <v>18</v>
      </c>
      <c r="B1862" t="s">
        <v>11</v>
      </c>
      <c r="C1862" t="s">
        <v>24</v>
      </c>
      <c r="D1862" t="s">
        <v>25</v>
      </c>
      <c r="E1862">
        <v>0</v>
      </c>
      <c r="F1862" t="s">
        <v>30</v>
      </c>
      <c r="G1862" t="s">
        <v>15</v>
      </c>
      <c r="H1862" t="s">
        <v>16</v>
      </c>
      <c r="I1862">
        <v>0</v>
      </c>
      <c r="J1862" s="23">
        <v>175251</v>
      </c>
      <c r="K1862" t="s">
        <v>17</v>
      </c>
    </row>
    <row r="1863" spans="1:11" ht="15" customHeight="1" x14ac:dyDescent="0.3">
      <c r="A1863" t="s">
        <v>10</v>
      </c>
      <c r="B1863" t="s">
        <v>19</v>
      </c>
      <c r="C1863" t="s">
        <v>12</v>
      </c>
      <c r="D1863" t="s">
        <v>20</v>
      </c>
      <c r="E1863">
        <v>34</v>
      </c>
      <c r="F1863"/>
      <c r="G1863" t="s">
        <v>15</v>
      </c>
      <c r="H1863" t="s">
        <v>32</v>
      </c>
      <c r="I1863">
        <v>1</v>
      </c>
      <c r="J1863" s="23">
        <v>-7101</v>
      </c>
      <c r="K1863" t="s">
        <v>17</v>
      </c>
    </row>
    <row r="1864" spans="1:11" ht="15" customHeight="1" x14ac:dyDescent="0.3">
      <c r="A1864" t="s">
        <v>18</v>
      </c>
      <c r="B1864" t="s">
        <v>11</v>
      </c>
      <c r="C1864" t="s">
        <v>12</v>
      </c>
      <c r="D1864" t="s">
        <v>13</v>
      </c>
      <c r="E1864">
        <v>12</v>
      </c>
      <c r="F1864" t="s">
        <v>36</v>
      </c>
      <c r="G1864" t="s">
        <v>15</v>
      </c>
      <c r="H1864" t="s">
        <v>16</v>
      </c>
      <c r="I1864">
        <v>0</v>
      </c>
      <c r="J1864" s="23">
        <v>-139706</v>
      </c>
      <c r="K1864" t="s">
        <v>17</v>
      </c>
    </row>
    <row r="1865" spans="1:11" ht="15" customHeight="1" x14ac:dyDescent="0.3">
      <c r="A1865" t="s">
        <v>10</v>
      </c>
      <c r="B1865" t="s">
        <v>19</v>
      </c>
      <c r="C1865" t="s">
        <v>12</v>
      </c>
      <c r="D1865" t="s">
        <v>20</v>
      </c>
      <c r="E1865">
        <v>13</v>
      </c>
      <c r="F1865"/>
      <c r="G1865" t="s">
        <v>15</v>
      </c>
      <c r="H1865" t="s">
        <v>16</v>
      </c>
      <c r="I1865">
        <v>0</v>
      </c>
      <c r="J1865" s="23">
        <v>-475866</v>
      </c>
      <c r="K1865" t="s">
        <v>17</v>
      </c>
    </row>
    <row r="1866" spans="1:11" ht="15" customHeight="1" x14ac:dyDescent="0.3">
      <c r="A1866" t="s">
        <v>18</v>
      </c>
      <c r="B1866" t="s">
        <v>11</v>
      </c>
      <c r="C1866" t="s">
        <v>12</v>
      </c>
      <c r="D1866" t="s">
        <v>25</v>
      </c>
      <c r="E1866">
        <v>2</v>
      </c>
      <c r="F1866" t="s">
        <v>29</v>
      </c>
      <c r="G1866" t="s">
        <v>15</v>
      </c>
      <c r="H1866" t="s">
        <v>16</v>
      </c>
      <c r="I1866">
        <v>0</v>
      </c>
      <c r="J1866" s="23">
        <v>-20171</v>
      </c>
      <c r="K1866" t="s">
        <v>17</v>
      </c>
    </row>
    <row r="1867" spans="1:11" ht="15" customHeight="1" x14ac:dyDescent="0.3">
      <c r="A1867" t="s">
        <v>18</v>
      </c>
      <c r="B1867" t="s">
        <v>19</v>
      </c>
      <c r="C1867" t="s">
        <v>12</v>
      </c>
      <c r="D1867" t="s">
        <v>20</v>
      </c>
      <c r="E1867">
        <v>9</v>
      </c>
      <c r="F1867"/>
      <c r="G1867" t="s">
        <v>15</v>
      </c>
      <c r="H1867" t="s">
        <v>16</v>
      </c>
      <c r="I1867">
        <v>0</v>
      </c>
      <c r="J1867" s="23">
        <v>-64938</v>
      </c>
      <c r="K1867" t="s">
        <v>17</v>
      </c>
    </row>
    <row r="1868" spans="1:11" ht="15" customHeight="1" x14ac:dyDescent="0.3">
      <c r="A1868" t="s">
        <v>10</v>
      </c>
      <c r="B1868" t="s">
        <v>11</v>
      </c>
      <c r="C1868" t="s">
        <v>12</v>
      </c>
      <c r="D1868" t="s">
        <v>13</v>
      </c>
      <c r="E1868">
        <v>-4</v>
      </c>
      <c r="F1868" t="s">
        <v>39</v>
      </c>
      <c r="G1868" t="s">
        <v>15</v>
      </c>
      <c r="H1868" t="s">
        <v>16</v>
      </c>
      <c r="I1868">
        <v>0</v>
      </c>
      <c r="J1868" s="23">
        <v>-1030</v>
      </c>
      <c r="K1868" t="s">
        <v>17</v>
      </c>
    </row>
    <row r="1869" spans="1:11" ht="15" customHeight="1" x14ac:dyDescent="0.3">
      <c r="A1869" t="s">
        <v>18</v>
      </c>
      <c r="B1869" t="s">
        <v>19</v>
      </c>
      <c r="C1869" t="s">
        <v>12</v>
      </c>
      <c r="D1869" t="s">
        <v>20</v>
      </c>
      <c r="E1869">
        <v>28</v>
      </c>
      <c r="F1869"/>
      <c r="G1869" t="s">
        <v>31</v>
      </c>
      <c r="H1869" t="s">
        <v>16</v>
      </c>
      <c r="I1869">
        <v>1</v>
      </c>
      <c r="J1869" s="23">
        <v>-7536</v>
      </c>
      <c r="K1869" t="s">
        <v>17</v>
      </c>
    </row>
    <row r="1870" spans="1:11" ht="15" customHeight="1" x14ac:dyDescent="0.3">
      <c r="A1870" t="s">
        <v>18</v>
      </c>
      <c r="B1870" t="s">
        <v>11</v>
      </c>
      <c r="C1870" t="s">
        <v>24</v>
      </c>
      <c r="D1870" t="s">
        <v>13</v>
      </c>
      <c r="E1870">
        <v>11</v>
      </c>
      <c r="F1870" t="s">
        <v>39</v>
      </c>
      <c r="G1870" t="s">
        <v>15</v>
      </c>
      <c r="H1870" t="s">
        <v>16</v>
      </c>
      <c r="I1870">
        <v>0</v>
      </c>
      <c r="J1870" s="23">
        <v>114365</v>
      </c>
      <c r="K1870">
        <v>1258015</v>
      </c>
    </row>
    <row r="1871" spans="1:11" ht="15" customHeight="1" x14ac:dyDescent="0.3">
      <c r="A1871" t="s">
        <v>22</v>
      </c>
      <c r="B1871" t="s">
        <v>19</v>
      </c>
      <c r="C1871" t="s">
        <v>12</v>
      </c>
      <c r="D1871" t="s">
        <v>20</v>
      </c>
      <c r="E1871">
        <v>34</v>
      </c>
      <c r="F1871"/>
      <c r="G1871" t="s">
        <v>15</v>
      </c>
      <c r="H1871" t="s">
        <v>32</v>
      </c>
      <c r="I1871">
        <v>1</v>
      </c>
      <c r="J1871" s="23">
        <v>-49333</v>
      </c>
      <c r="K1871" t="s">
        <v>17</v>
      </c>
    </row>
    <row r="1872" spans="1:11" ht="15" customHeight="1" x14ac:dyDescent="0.3">
      <c r="A1872" t="s">
        <v>18</v>
      </c>
      <c r="B1872" t="s">
        <v>11</v>
      </c>
      <c r="C1872" t="s">
        <v>12</v>
      </c>
      <c r="D1872" t="s">
        <v>28</v>
      </c>
      <c r="E1872">
        <v>4</v>
      </c>
      <c r="F1872" t="s">
        <v>34</v>
      </c>
      <c r="G1872" t="s">
        <v>15</v>
      </c>
      <c r="H1872" t="s">
        <v>32</v>
      </c>
      <c r="I1872">
        <v>1</v>
      </c>
      <c r="J1872" s="23">
        <v>-221</v>
      </c>
      <c r="K1872" t="s">
        <v>17</v>
      </c>
    </row>
    <row r="1873" spans="1:11" ht="15" customHeight="1" x14ac:dyDescent="0.3">
      <c r="A1873" t="s">
        <v>18</v>
      </c>
      <c r="B1873" t="s">
        <v>11</v>
      </c>
      <c r="C1873" t="s">
        <v>24</v>
      </c>
      <c r="D1873" t="s">
        <v>28</v>
      </c>
      <c r="E1873">
        <v>1</v>
      </c>
      <c r="F1873" t="s">
        <v>33</v>
      </c>
      <c r="G1873" t="s">
        <v>15</v>
      </c>
      <c r="H1873" t="s">
        <v>16</v>
      </c>
      <c r="I1873">
        <v>0</v>
      </c>
      <c r="J1873" s="23">
        <v>64380</v>
      </c>
      <c r="K1873">
        <v>64380</v>
      </c>
    </row>
    <row r="1874" spans="1:11" ht="15" customHeight="1" x14ac:dyDescent="0.3">
      <c r="A1874" t="s">
        <v>22</v>
      </c>
      <c r="B1874" t="s">
        <v>11</v>
      </c>
      <c r="C1874" t="s">
        <v>24</v>
      </c>
      <c r="D1874" t="s">
        <v>25</v>
      </c>
      <c r="E1874">
        <v>1</v>
      </c>
      <c r="F1874" t="s">
        <v>37</v>
      </c>
      <c r="G1874" t="s">
        <v>15</v>
      </c>
      <c r="H1874" t="s">
        <v>16</v>
      </c>
      <c r="I1874">
        <v>0</v>
      </c>
      <c r="J1874" s="23">
        <v>14174</v>
      </c>
      <c r="K1874">
        <v>14174</v>
      </c>
    </row>
    <row r="1875" spans="1:11" ht="15" customHeight="1" x14ac:dyDescent="0.3">
      <c r="A1875" t="s">
        <v>18</v>
      </c>
      <c r="B1875" t="s">
        <v>11</v>
      </c>
      <c r="C1875" t="s">
        <v>24</v>
      </c>
      <c r="D1875" t="s">
        <v>13</v>
      </c>
      <c r="E1875">
        <v>7</v>
      </c>
      <c r="F1875" t="s">
        <v>34</v>
      </c>
      <c r="G1875" t="s">
        <v>15</v>
      </c>
      <c r="H1875" t="s">
        <v>16</v>
      </c>
      <c r="I1875">
        <v>0</v>
      </c>
      <c r="J1875" s="23">
        <v>9265663</v>
      </c>
      <c r="K1875">
        <v>64859641</v>
      </c>
    </row>
    <row r="1876" spans="1:11" ht="15" customHeight="1" x14ac:dyDescent="0.3">
      <c r="A1876" t="s">
        <v>18</v>
      </c>
      <c r="B1876" t="s">
        <v>11</v>
      </c>
      <c r="C1876" t="s">
        <v>24</v>
      </c>
      <c r="D1876" t="s">
        <v>28</v>
      </c>
      <c r="E1876">
        <v>8</v>
      </c>
      <c r="F1876" t="s">
        <v>45</v>
      </c>
      <c r="G1876" t="s">
        <v>15</v>
      </c>
      <c r="H1876" t="s">
        <v>16</v>
      </c>
      <c r="I1876">
        <v>0</v>
      </c>
      <c r="J1876" s="23">
        <v>715942</v>
      </c>
      <c r="K1876">
        <v>5727536</v>
      </c>
    </row>
    <row r="1877" spans="1:11" ht="15" customHeight="1" x14ac:dyDescent="0.3">
      <c r="A1877" t="s">
        <v>22</v>
      </c>
      <c r="B1877" t="s">
        <v>11</v>
      </c>
      <c r="C1877" t="s">
        <v>24</v>
      </c>
      <c r="D1877" t="s">
        <v>13</v>
      </c>
      <c r="E1877">
        <v>7</v>
      </c>
      <c r="F1877" t="s">
        <v>30</v>
      </c>
      <c r="G1877" t="s">
        <v>15</v>
      </c>
      <c r="H1877" t="s">
        <v>16</v>
      </c>
      <c r="I1877">
        <v>0</v>
      </c>
      <c r="J1877" s="23">
        <v>273084</v>
      </c>
      <c r="K1877">
        <v>1911588</v>
      </c>
    </row>
    <row r="1878" spans="1:11" ht="15" customHeight="1" x14ac:dyDescent="0.3">
      <c r="A1878" t="s">
        <v>18</v>
      </c>
      <c r="B1878" t="s">
        <v>11</v>
      </c>
      <c r="C1878" t="s">
        <v>12</v>
      </c>
      <c r="D1878" t="s">
        <v>13</v>
      </c>
      <c r="E1878">
        <v>3</v>
      </c>
      <c r="F1878" t="s">
        <v>39</v>
      </c>
      <c r="G1878" t="s">
        <v>15</v>
      </c>
      <c r="H1878" t="s">
        <v>16</v>
      </c>
      <c r="I1878">
        <v>0</v>
      </c>
      <c r="J1878" s="23">
        <v>-71764</v>
      </c>
      <c r="K1878" t="s">
        <v>17</v>
      </c>
    </row>
    <row r="1879" spans="1:11" ht="15" customHeight="1" x14ac:dyDescent="0.3">
      <c r="A1879" t="s">
        <v>18</v>
      </c>
      <c r="B1879" t="s">
        <v>19</v>
      </c>
      <c r="C1879" t="s">
        <v>12</v>
      </c>
      <c r="D1879" t="s">
        <v>28</v>
      </c>
      <c r="E1879">
        <v>-4</v>
      </c>
      <c r="F1879"/>
      <c r="G1879" t="s">
        <v>15</v>
      </c>
      <c r="H1879" t="s">
        <v>16</v>
      </c>
      <c r="I1879">
        <v>0</v>
      </c>
      <c r="J1879" s="23">
        <v>-405</v>
      </c>
      <c r="K1879" t="s">
        <v>17</v>
      </c>
    </row>
    <row r="1880" spans="1:11" ht="15" customHeight="1" x14ac:dyDescent="0.3">
      <c r="A1880" t="s">
        <v>22</v>
      </c>
      <c r="B1880" t="s">
        <v>19</v>
      </c>
      <c r="C1880" t="s">
        <v>24</v>
      </c>
      <c r="D1880" t="s">
        <v>28</v>
      </c>
      <c r="E1880">
        <v>-4</v>
      </c>
      <c r="F1880"/>
      <c r="G1880" t="s">
        <v>15</v>
      </c>
      <c r="H1880" t="s">
        <v>32</v>
      </c>
      <c r="I1880">
        <v>1</v>
      </c>
      <c r="J1880" s="23">
        <v>10537</v>
      </c>
      <c r="K1880" t="s">
        <v>17</v>
      </c>
    </row>
    <row r="1881" spans="1:11" ht="15" customHeight="1" x14ac:dyDescent="0.3">
      <c r="A1881" t="s">
        <v>10</v>
      </c>
      <c r="B1881" t="s">
        <v>11</v>
      </c>
      <c r="C1881" t="s">
        <v>12</v>
      </c>
      <c r="D1881" t="s">
        <v>13</v>
      </c>
      <c r="E1881">
        <v>1</v>
      </c>
      <c r="F1881" t="s">
        <v>34</v>
      </c>
      <c r="G1881" t="s">
        <v>15</v>
      </c>
      <c r="H1881" t="s">
        <v>16</v>
      </c>
      <c r="I1881">
        <v>0</v>
      </c>
      <c r="J1881" s="23">
        <v>-666307</v>
      </c>
      <c r="K1881" t="s">
        <v>17</v>
      </c>
    </row>
    <row r="1882" spans="1:11" ht="15" customHeight="1" x14ac:dyDescent="0.3">
      <c r="A1882" t="s">
        <v>10</v>
      </c>
      <c r="B1882" t="s">
        <v>11</v>
      </c>
      <c r="C1882" t="s">
        <v>12</v>
      </c>
      <c r="D1882" t="s">
        <v>28</v>
      </c>
      <c r="E1882">
        <v>12</v>
      </c>
      <c r="F1882" t="s">
        <v>37</v>
      </c>
      <c r="G1882" t="s">
        <v>15</v>
      </c>
      <c r="H1882" t="s">
        <v>16</v>
      </c>
      <c r="I1882">
        <v>0</v>
      </c>
      <c r="J1882" s="23">
        <v>-13999</v>
      </c>
      <c r="K1882" t="s">
        <v>17</v>
      </c>
    </row>
    <row r="1883" spans="1:11" ht="15" customHeight="1" x14ac:dyDescent="0.3">
      <c r="A1883" t="s">
        <v>22</v>
      </c>
      <c r="B1883" t="s">
        <v>11</v>
      </c>
      <c r="C1883" t="s">
        <v>12</v>
      </c>
      <c r="D1883" t="s">
        <v>28</v>
      </c>
      <c r="E1883">
        <v>-4</v>
      </c>
      <c r="F1883" t="s">
        <v>26</v>
      </c>
      <c r="G1883" t="s">
        <v>15</v>
      </c>
      <c r="H1883" t="s">
        <v>16</v>
      </c>
      <c r="I1883">
        <v>0</v>
      </c>
      <c r="J1883" s="23">
        <v>-3913456</v>
      </c>
      <c r="K1883" t="s">
        <v>17</v>
      </c>
    </row>
    <row r="1884" spans="1:11" ht="15" customHeight="1" x14ac:dyDescent="0.3">
      <c r="A1884" t="s">
        <v>18</v>
      </c>
      <c r="B1884" t="s">
        <v>11</v>
      </c>
      <c r="C1884" t="s">
        <v>24</v>
      </c>
      <c r="D1884" t="s">
        <v>28</v>
      </c>
      <c r="E1884">
        <v>6</v>
      </c>
      <c r="F1884" t="s">
        <v>40</v>
      </c>
      <c r="G1884" t="s">
        <v>15</v>
      </c>
      <c r="H1884" t="s">
        <v>16</v>
      </c>
      <c r="I1884">
        <v>0</v>
      </c>
      <c r="J1884" s="23">
        <v>349859</v>
      </c>
      <c r="K1884">
        <v>2099154</v>
      </c>
    </row>
    <row r="1885" spans="1:11" ht="15" customHeight="1" x14ac:dyDescent="0.3">
      <c r="A1885" t="s">
        <v>18</v>
      </c>
      <c r="B1885" t="s">
        <v>11</v>
      </c>
      <c r="C1885" t="s">
        <v>12</v>
      </c>
      <c r="D1885" t="s">
        <v>28</v>
      </c>
      <c r="E1885">
        <v>1</v>
      </c>
      <c r="F1885" t="s">
        <v>34</v>
      </c>
      <c r="G1885" t="s">
        <v>15</v>
      </c>
      <c r="H1885" t="s">
        <v>16</v>
      </c>
      <c r="I1885">
        <v>0</v>
      </c>
      <c r="J1885" s="23">
        <v>-5461</v>
      </c>
      <c r="K1885" t="s">
        <v>17</v>
      </c>
    </row>
    <row r="1886" spans="1:11" ht="15" customHeight="1" x14ac:dyDescent="0.3">
      <c r="A1886" t="s">
        <v>22</v>
      </c>
      <c r="B1886" t="s">
        <v>19</v>
      </c>
      <c r="C1886" t="s">
        <v>24</v>
      </c>
      <c r="D1886" t="s">
        <v>28</v>
      </c>
      <c r="E1886">
        <v>12</v>
      </c>
      <c r="F1886"/>
      <c r="G1886" t="s">
        <v>15</v>
      </c>
      <c r="H1886" t="s">
        <v>16</v>
      </c>
      <c r="I1886">
        <v>0</v>
      </c>
      <c r="J1886" s="23">
        <v>5589340</v>
      </c>
      <c r="K1886">
        <v>67072080</v>
      </c>
    </row>
    <row r="1887" spans="1:11" ht="15" customHeight="1" x14ac:dyDescent="0.3">
      <c r="A1887" t="s">
        <v>18</v>
      </c>
      <c r="B1887" t="s">
        <v>11</v>
      </c>
      <c r="C1887" t="s">
        <v>12</v>
      </c>
      <c r="D1887" t="s">
        <v>13</v>
      </c>
      <c r="E1887">
        <v>6</v>
      </c>
      <c r="F1887" t="s">
        <v>14</v>
      </c>
      <c r="G1887" t="s">
        <v>15</v>
      </c>
      <c r="H1887" t="s">
        <v>16</v>
      </c>
      <c r="I1887">
        <v>0</v>
      </c>
      <c r="J1887" s="23">
        <v>-1030</v>
      </c>
      <c r="K1887" t="s">
        <v>17</v>
      </c>
    </row>
    <row r="1888" spans="1:11" ht="15" customHeight="1" x14ac:dyDescent="0.3">
      <c r="A1888" t="s">
        <v>22</v>
      </c>
      <c r="B1888" t="s">
        <v>11</v>
      </c>
      <c r="C1888" t="s">
        <v>12</v>
      </c>
      <c r="D1888" t="s">
        <v>28</v>
      </c>
      <c r="E1888">
        <v>6</v>
      </c>
      <c r="F1888" t="s">
        <v>30</v>
      </c>
      <c r="G1888" t="s">
        <v>15</v>
      </c>
      <c r="H1888" t="s">
        <v>16</v>
      </c>
      <c r="I1888">
        <v>0</v>
      </c>
      <c r="J1888" s="23">
        <v>-99617</v>
      </c>
      <c r="K1888" t="s">
        <v>17</v>
      </c>
    </row>
    <row r="1889" spans="1:11" ht="15" customHeight="1" x14ac:dyDescent="0.3">
      <c r="A1889" t="s">
        <v>18</v>
      </c>
      <c r="B1889" t="s">
        <v>11</v>
      </c>
      <c r="C1889" t="s">
        <v>24</v>
      </c>
      <c r="D1889" t="s">
        <v>28</v>
      </c>
      <c r="E1889">
        <v>1</v>
      </c>
      <c r="F1889" t="s">
        <v>40</v>
      </c>
      <c r="G1889" t="s">
        <v>31</v>
      </c>
      <c r="H1889" t="s">
        <v>16</v>
      </c>
      <c r="I1889">
        <v>1</v>
      </c>
      <c r="J1889" s="23">
        <v>9099</v>
      </c>
      <c r="K1889">
        <v>9099</v>
      </c>
    </row>
    <row r="1890" spans="1:11" ht="15" customHeight="1" x14ac:dyDescent="0.3">
      <c r="A1890" t="s">
        <v>10</v>
      </c>
      <c r="B1890" t="s">
        <v>19</v>
      </c>
      <c r="C1890" t="s">
        <v>24</v>
      </c>
      <c r="D1890" t="s">
        <v>20</v>
      </c>
      <c r="E1890">
        <v>15</v>
      </c>
      <c r="F1890"/>
      <c r="G1890" t="s">
        <v>15</v>
      </c>
      <c r="H1890" t="s">
        <v>16</v>
      </c>
      <c r="I1890">
        <v>0</v>
      </c>
      <c r="J1890" s="23">
        <v>22246586</v>
      </c>
      <c r="K1890">
        <v>333698790</v>
      </c>
    </row>
    <row r="1891" spans="1:11" ht="15" customHeight="1" x14ac:dyDescent="0.3">
      <c r="A1891" t="s">
        <v>18</v>
      </c>
      <c r="B1891" t="s">
        <v>19</v>
      </c>
      <c r="C1891" t="s">
        <v>24</v>
      </c>
      <c r="D1891" t="s">
        <v>28</v>
      </c>
      <c r="E1891">
        <v>17</v>
      </c>
      <c r="F1891"/>
      <c r="G1891" t="s">
        <v>31</v>
      </c>
      <c r="H1891" t="s">
        <v>16</v>
      </c>
      <c r="I1891">
        <v>1</v>
      </c>
      <c r="J1891" s="23">
        <v>24475</v>
      </c>
      <c r="K1891">
        <v>416075</v>
      </c>
    </row>
    <row r="1892" spans="1:11" ht="15" customHeight="1" x14ac:dyDescent="0.3">
      <c r="A1892" t="s">
        <v>22</v>
      </c>
      <c r="B1892" t="s">
        <v>11</v>
      </c>
      <c r="C1892" t="s">
        <v>24</v>
      </c>
      <c r="D1892" t="s">
        <v>28</v>
      </c>
      <c r="E1892">
        <v>-1</v>
      </c>
      <c r="F1892" t="s">
        <v>40</v>
      </c>
      <c r="G1892" t="s">
        <v>15</v>
      </c>
      <c r="H1892" t="s">
        <v>16</v>
      </c>
      <c r="I1892">
        <v>0</v>
      </c>
      <c r="J1892" s="23">
        <v>853</v>
      </c>
      <c r="K1892" t="s">
        <v>17</v>
      </c>
    </row>
    <row r="1893" spans="1:11" ht="15" customHeight="1" x14ac:dyDescent="0.3">
      <c r="A1893" t="s">
        <v>18</v>
      </c>
      <c r="B1893" t="s">
        <v>11</v>
      </c>
      <c r="C1893" t="s">
        <v>24</v>
      </c>
      <c r="D1893" t="s">
        <v>13</v>
      </c>
      <c r="E1893">
        <v>15</v>
      </c>
      <c r="F1893" t="s">
        <v>40</v>
      </c>
      <c r="G1893" t="s">
        <v>15</v>
      </c>
      <c r="H1893" t="s">
        <v>16</v>
      </c>
      <c r="I1893">
        <v>0</v>
      </c>
      <c r="J1893" s="23">
        <v>4551308</v>
      </c>
      <c r="K1893">
        <v>68269620</v>
      </c>
    </row>
    <row r="1894" spans="1:11" ht="15" customHeight="1" x14ac:dyDescent="0.3">
      <c r="A1894" t="s">
        <v>18</v>
      </c>
      <c r="B1894" t="s">
        <v>11</v>
      </c>
      <c r="C1894" t="s">
        <v>24</v>
      </c>
      <c r="D1894" t="s">
        <v>28</v>
      </c>
      <c r="E1894">
        <v>13</v>
      </c>
      <c r="F1894" t="s">
        <v>33</v>
      </c>
      <c r="G1894" t="s">
        <v>15</v>
      </c>
      <c r="H1894" t="s">
        <v>32</v>
      </c>
      <c r="I1894">
        <v>1</v>
      </c>
      <c r="J1894" s="23">
        <v>4482227</v>
      </c>
      <c r="K1894">
        <v>58268951</v>
      </c>
    </row>
    <row r="1895" spans="1:11" ht="15" customHeight="1" x14ac:dyDescent="0.3">
      <c r="A1895" t="s">
        <v>10</v>
      </c>
      <c r="B1895" t="s">
        <v>11</v>
      </c>
      <c r="C1895" t="s">
        <v>12</v>
      </c>
      <c r="D1895" t="s">
        <v>13</v>
      </c>
      <c r="E1895">
        <v>14</v>
      </c>
      <c r="F1895" t="s">
        <v>23</v>
      </c>
      <c r="G1895" t="s">
        <v>15</v>
      </c>
      <c r="H1895" t="s">
        <v>16</v>
      </c>
      <c r="I1895">
        <v>0</v>
      </c>
      <c r="J1895" s="23">
        <v>-11322</v>
      </c>
      <c r="K1895" t="s">
        <v>17</v>
      </c>
    </row>
    <row r="1896" spans="1:11" ht="15" customHeight="1" x14ac:dyDescent="0.3">
      <c r="A1896" t="s">
        <v>18</v>
      </c>
      <c r="B1896" t="s">
        <v>11</v>
      </c>
      <c r="C1896" t="s">
        <v>12</v>
      </c>
      <c r="D1896" t="s">
        <v>13</v>
      </c>
      <c r="E1896">
        <v>5</v>
      </c>
      <c r="F1896" t="s">
        <v>23</v>
      </c>
      <c r="G1896" t="s">
        <v>15</v>
      </c>
      <c r="H1896" t="s">
        <v>16</v>
      </c>
      <c r="I1896">
        <v>0</v>
      </c>
      <c r="J1896" s="23">
        <v>-39276</v>
      </c>
      <c r="K1896" t="s">
        <v>17</v>
      </c>
    </row>
    <row r="1897" spans="1:11" ht="15" customHeight="1" x14ac:dyDescent="0.3">
      <c r="A1897" t="s">
        <v>22</v>
      </c>
      <c r="B1897" t="s">
        <v>11</v>
      </c>
      <c r="C1897" t="s">
        <v>24</v>
      </c>
      <c r="D1897" t="s">
        <v>13</v>
      </c>
      <c r="E1897">
        <v>4</v>
      </c>
      <c r="F1897" t="s">
        <v>40</v>
      </c>
      <c r="G1897" t="s">
        <v>15</v>
      </c>
      <c r="H1897" t="s">
        <v>16</v>
      </c>
      <c r="I1897">
        <v>0</v>
      </c>
      <c r="J1897" s="23">
        <v>353830</v>
      </c>
      <c r="K1897">
        <v>1415320</v>
      </c>
    </row>
    <row r="1898" spans="1:11" ht="15" customHeight="1" x14ac:dyDescent="0.3">
      <c r="A1898" t="s">
        <v>22</v>
      </c>
      <c r="B1898" t="s">
        <v>11</v>
      </c>
      <c r="C1898" t="s">
        <v>12</v>
      </c>
      <c r="D1898" t="s">
        <v>13</v>
      </c>
      <c r="E1898">
        <v>6</v>
      </c>
      <c r="F1898" t="s">
        <v>30</v>
      </c>
      <c r="G1898" t="s">
        <v>15</v>
      </c>
      <c r="H1898" t="s">
        <v>16</v>
      </c>
      <c r="I1898">
        <v>0</v>
      </c>
      <c r="J1898" s="23">
        <v>-164578</v>
      </c>
      <c r="K1898" t="s">
        <v>17</v>
      </c>
    </row>
    <row r="1899" spans="1:11" ht="15" customHeight="1" x14ac:dyDescent="0.3">
      <c r="A1899" t="s">
        <v>18</v>
      </c>
      <c r="B1899" t="s">
        <v>47</v>
      </c>
      <c r="C1899" t="s">
        <v>24</v>
      </c>
      <c r="D1899" t="s">
        <v>28</v>
      </c>
      <c r="E1899">
        <v>3</v>
      </c>
      <c r="F1899" t="s">
        <v>30</v>
      </c>
      <c r="G1899" t="s">
        <v>15</v>
      </c>
      <c r="H1899" t="s">
        <v>16</v>
      </c>
      <c r="I1899">
        <v>0</v>
      </c>
      <c r="J1899" s="23">
        <v>142145</v>
      </c>
      <c r="K1899">
        <v>426435</v>
      </c>
    </row>
    <row r="1900" spans="1:11" ht="15" customHeight="1" x14ac:dyDescent="0.3">
      <c r="A1900" t="s">
        <v>18</v>
      </c>
      <c r="B1900" t="s">
        <v>11</v>
      </c>
      <c r="C1900" t="s">
        <v>12</v>
      </c>
      <c r="D1900" t="s">
        <v>25</v>
      </c>
      <c r="E1900">
        <v>5</v>
      </c>
      <c r="F1900" t="s">
        <v>45</v>
      </c>
      <c r="G1900" t="s">
        <v>15</v>
      </c>
      <c r="H1900" t="s">
        <v>16</v>
      </c>
      <c r="I1900">
        <v>0</v>
      </c>
      <c r="J1900" s="23">
        <v>-58</v>
      </c>
      <c r="K1900" t="s">
        <v>17</v>
      </c>
    </row>
    <row r="1901" spans="1:11" ht="15" customHeight="1" x14ac:dyDescent="0.3">
      <c r="A1901" t="s">
        <v>22</v>
      </c>
      <c r="B1901" t="s">
        <v>11</v>
      </c>
      <c r="C1901" t="s">
        <v>24</v>
      </c>
      <c r="D1901" t="s">
        <v>28</v>
      </c>
      <c r="E1901">
        <v>2</v>
      </c>
      <c r="F1901" t="s">
        <v>26</v>
      </c>
      <c r="G1901" t="s">
        <v>15</v>
      </c>
      <c r="H1901" t="s">
        <v>16</v>
      </c>
      <c r="I1901">
        <v>0</v>
      </c>
      <c r="J1901" s="23">
        <v>3488078</v>
      </c>
      <c r="K1901">
        <v>6976156</v>
      </c>
    </row>
    <row r="1902" spans="1:11" ht="15" customHeight="1" x14ac:dyDescent="0.3">
      <c r="A1902" t="s">
        <v>10</v>
      </c>
      <c r="B1902" t="s">
        <v>11</v>
      </c>
      <c r="C1902" t="s">
        <v>24</v>
      </c>
      <c r="D1902" t="s">
        <v>28</v>
      </c>
      <c r="E1902">
        <v>7</v>
      </c>
      <c r="F1902" t="s">
        <v>23</v>
      </c>
      <c r="G1902" t="s">
        <v>15</v>
      </c>
      <c r="H1902" t="s">
        <v>16</v>
      </c>
      <c r="I1902">
        <v>0</v>
      </c>
      <c r="J1902" s="23">
        <v>9930069</v>
      </c>
      <c r="K1902">
        <v>69510483</v>
      </c>
    </row>
    <row r="1903" spans="1:11" ht="15" customHeight="1" x14ac:dyDescent="0.3">
      <c r="A1903" t="s">
        <v>10</v>
      </c>
      <c r="B1903" t="s">
        <v>11</v>
      </c>
      <c r="C1903" t="s">
        <v>24</v>
      </c>
      <c r="D1903" t="s">
        <v>25</v>
      </c>
      <c r="E1903">
        <v>5</v>
      </c>
      <c r="F1903" t="s">
        <v>39</v>
      </c>
      <c r="G1903" t="s">
        <v>15</v>
      </c>
      <c r="H1903" t="s">
        <v>16</v>
      </c>
      <c r="I1903">
        <v>0</v>
      </c>
      <c r="J1903" s="23">
        <v>280019</v>
      </c>
      <c r="K1903">
        <v>1400095</v>
      </c>
    </row>
    <row r="1904" spans="1:11" ht="15" customHeight="1" x14ac:dyDescent="0.3">
      <c r="A1904" t="s">
        <v>10</v>
      </c>
      <c r="B1904" t="s">
        <v>11</v>
      </c>
      <c r="C1904" t="s">
        <v>12</v>
      </c>
      <c r="D1904" t="s">
        <v>28</v>
      </c>
      <c r="E1904">
        <v>10</v>
      </c>
      <c r="F1904" t="s">
        <v>29</v>
      </c>
      <c r="G1904" t="s">
        <v>15</v>
      </c>
      <c r="H1904" t="s">
        <v>32</v>
      </c>
      <c r="I1904">
        <v>1</v>
      </c>
      <c r="J1904" s="23">
        <v>-32780</v>
      </c>
      <c r="K1904" t="s">
        <v>17</v>
      </c>
    </row>
    <row r="1905" spans="1:11" ht="15" customHeight="1" x14ac:dyDescent="0.3">
      <c r="A1905" t="s">
        <v>18</v>
      </c>
      <c r="B1905" t="s">
        <v>11</v>
      </c>
      <c r="C1905" t="s">
        <v>24</v>
      </c>
      <c r="D1905" t="s">
        <v>13</v>
      </c>
      <c r="E1905">
        <v>1</v>
      </c>
      <c r="F1905" t="s">
        <v>34</v>
      </c>
      <c r="G1905" t="s">
        <v>15</v>
      </c>
      <c r="H1905" t="s">
        <v>16</v>
      </c>
      <c r="I1905">
        <v>0</v>
      </c>
      <c r="J1905" s="23">
        <v>236064246</v>
      </c>
      <c r="K1905">
        <v>236064246</v>
      </c>
    </row>
    <row r="1906" spans="1:11" ht="15" customHeight="1" x14ac:dyDescent="0.3">
      <c r="A1906" t="s">
        <v>18</v>
      </c>
      <c r="B1906" t="s">
        <v>11</v>
      </c>
      <c r="C1906" t="s">
        <v>12</v>
      </c>
      <c r="D1906" t="s">
        <v>13</v>
      </c>
      <c r="E1906">
        <v>0</v>
      </c>
      <c r="F1906" t="s">
        <v>33</v>
      </c>
      <c r="G1906" t="s">
        <v>15</v>
      </c>
      <c r="H1906" t="s">
        <v>16</v>
      </c>
      <c r="I1906">
        <v>0</v>
      </c>
      <c r="J1906" s="23">
        <v>-168327</v>
      </c>
      <c r="K1906" t="s">
        <v>17</v>
      </c>
    </row>
    <row r="1907" spans="1:11" ht="15" customHeight="1" x14ac:dyDescent="0.3">
      <c r="A1907" t="s">
        <v>18</v>
      </c>
      <c r="B1907" t="s">
        <v>11</v>
      </c>
      <c r="C1907" t="s">
        <v>24</v>
      </c>
      <c r="D1907" t="s">
        <v>25</v>
      </c>
      <c r="E1907">
        <v>-1</v>
      </c>
      <c r="F1907" t="s">
        <v>30</v>
      </c>
      <c r="G1907" t="s">
        <v>15</v>
      </c>
      <c r="H1907" t="s">
        <v>16</v>
      </c>
      <c r="I1907">
        <v>0</v>
      </c>
      <c r="J1907" s="23">
        <v>2047332</v>
      </c>
      <c r="K1907" t="s">
        <v>17</v>
      </c>
    </row>
    <row r="1908" spans="1:11" ht="15" customHeight="1" x14ac:dyDescent="0.3">
      <c r="A1908" t="s">
        <v>10</v>
      </c>
      <c r="B1908" t="s">
        <v>11</v>
      </c>
      <c r="C1908" t="s">
        <v>24</v>
      </c>
      <c r="D1908" t="s">
        <v>28</v>
      </c>
      <c r="E1908">
        <v>6</v>
      </c>
      <c r="F1908" t="s">
        <v>23</v>
      </c>
      <c r="G1908" t="s">
        <v>15</v>
      </c>
      <c r="H1908" t="s">
        <v>16</v>
      </c>
      <c r="I1908">
        <v>0</v>
      </c>
      <c r="J1908" s="23">
        <v>8946477</v>
      </c>
      <c r="K1908">
        <v>53678862</v>
      </c>
    </row>
    <row r="1909" spans="1:11" ht="15" customHeight="1" x14ac:dyDescent="0.3">
      <c r="A1909" t="s">
        <v>18</v>
      </c>
      <c r="B1909" t="s">
        <v>11</v>
      </c>
      <c r="C1909" t="s">
        <v>12</v>
      </c>
      <c r="D1909" t="s">
        <v>13</v>
      </c>
      <c r="E1909">
        <v>8</v>
      </c>
      <c r="F1909" t="s">
        <v>37</v>
      </c>
      <c r="G1909" t="s">
        <v>15</v>
      </c>
      <c r="H1909" t="s">
        <v>16</v>
      </c>
      <c r="I1909">
        <v>0</v>
      </c>
      <c r="J1909" s="23">
        <v>-1312</v>
      </c>
      <c r="K1909" t="s">
        <v>17</v>
      </c>
    </row>
    <row r="1910" spans="1:11" ht="15" customHeight="1" x14ac:dyDescent="0.3">
      <c r="A1910" t="s">
        <v>18</v>
      </c>
      <c r="B1910" t="s">
        <v>11</v>
      </c>
      <c r="C1910" t="s">
        <v>12</v>
      </c>
      <c r="D1910" t="s">
        <v>13</v>
      </c>
      <c r="E1910">
        <v>9</v>
      </c>
      <c r="F1910" t="s">
        <v>26</v>
      </c>
      <c r="G1910" t="s">
        <v>15</v>
      </c>
      <c r="H1910" t="s">
        <v>16</v>
      </c>
      <c r="I1910">
        <v>0</v>
      </c>
      <c r="J1910" s="23">
        <v>-310</v>
      </c>
      <c r="K1910" t="s">
        <v>17</v>
      </c>
    </row>
    <row r="1911" spans="1:11" ht="15" customHeight="1" x14ac:dyDescent="0.3">
      <c r="A1911" t="s">
        <v>22</v>
      </c>
      <c r="B1911" t="s">
        <v>11</v>
      </c>
      <c r="C1911" t="s">
        <v>24</v>
      </c>
      <c r="D1911" t="s">
        <v>28</v>
      </c>
      <c r="E1911">
        <v>-4</v>
      </c>
      <c r="F1911" t="s">
        <v>23</v>
      </c>
      <c r="G1911" t="s">
        <v>15</v>
      </c>
      <c r="H1911" t="s">
        <v>16</v>
      </c>
      <c r="I1911">
        <v>0</v>
      </c>
      <c r="J1911" s="23">
        <v>170481</v>
      </c>
      <c r="K1911" t="s">
        <v>17</v>
      </c>
    </row>
    <row r="1912" spans="1:11" ht="15" customHeight="1" x14ac:dyDescent="0.3">
      <c r="A1912" t="s">
        <v>10</v>
      </c>
      <c r="B1912" t="s">
        <v>11</v>
      </c>
      <c r="C1912" t="s">
        <v>24</v>
      </c>
      <c r="D1912" t="s">
        <v>13</v>
      </c>
      <c r="E1912">
        <v>0</v>
      </c>
      <c r="F1912" t="s">
        <v>41</v>
      </c>
      <c r="G1912" t="s">
        <v>15</v>
      </c>
      <c r="H1912" t="s">
        <v>16</v>
      </c>
      <c r="I1912">
        <v>0</v>
      </c>
      <c r="J1912" s="23">
        <v>10012</v>
      </c>
      <c r="K1912" t="s">
        <v>17</v>
      </c>
    </row>
    <row r="1913" spans="1:11" ht="15" customHeight="1" x14ac:dyDescent="0.3">
      <c r="A1913" t="s">
        <v>18</v>
      </c>
      <c r="B1913" t="s">
        <v>11</v>
      </c>
      <c r="C1913" t="s">
        <v>24</v>
      </c>
      <c r="D1913" t="s">
        <v>28</v>
      </c>
      <c r="E1913">
        <v>2</v>
      </c>
      <c r="F1913" t="s">
        <v>35</v>
      </c>
      <c r="G1913" t="s">
        <v>15</v>
      </c>
      <c r="H1913" t="s">
        <v>16</v>
      </c>
      <c r="I1913">
        <v>0</v>
      </c>
      <c r="J1913" s="23">
        <v>178884</v>
      </c>
      <c r="K1913">
        <v>357768</v>
      </c>
    </row>
    <row r="1914" spans="1:11" ht="15" customHeight="1" x14ac:dyDescent="0.3">
      <c r="A1914" t="s">
        <v>18</v>
      </c>
      <c r="B1914" t="s">
        <v>19</v>
      </c>
      <c r="C1914" t="s">
        <v>12</v>
      </c>
      <c r="D1914" t="s">
        <v>28</v>
      </c>
      <c r="E1914">
        <v>34</v>
      </c>
      <c r="F1914"/>
      <c r="G1914" t="s">
        <v>15</v>
      </c>
      <c r="H1914" t="s">
        <v>16</v>
      </c>
      <c r="I1914">
        <v>0</v>
      </c>
      <c r="J1914" s="23">
        <v>-343</v>
      </c>
      <c r="K1914" t="s">
        <v>17</v>
      </c>
    </row>
    <row r="1915" spans="1:11" ht="15" customHeight="1" x14ac:dyDescent="0.3">
      <c r="A1915" t="s">
        <v>10</v>
      </c>
      <c r="B1915" t="s">
        <v>11</v>
      </c>
      <c r="C1915" t="s">
        <v>24</v>
      </c>
      <c r="D1915" t="s">
        <v>13</v>
      </c>
      <c r="E1915">
        <v>8</v>
      </c>
      <c r="F1915" t="s">
        <v>14</v>
      </c>
      <c r="G1915" t="s">
        <v>15</v>
      </c>
      <c r="H1915" t="s">
        <v>16</v>
      </c>
      <c r="I1915">
        <v>0</v>
      </c>
      <c r="J1915" s="23">
        <v>2488956</v>
      </c>
      <c r="K1915">
        <v>19911648</v>
      </c>
    </row>
    <row r="1916" spans="1:11" ht="15" customHeight="1" x14ac:dyDescent="0.3">
      <c r="A1916" t="s">
        <v>18</v>
      </c>
      <c r="B1916" t="s">
        <v>19</v>
      </c>
      <c r="C1916" t="s">
        <v>12</v>
      </c>
      <c r="D1916" t="s">
        <v>28</v>
      </c>
      <c r="E1916">
        <v>19</v>
      </c>
      <c r="F1916"/>
      <c r="G1916" t="s">
        <v>15</v>
      </c>
      <c r="H1916" t="s">
        <v>16</v>
      </c>
      <c r="I1916">
        <v>0</v>
      </c>
      <c r="J1916" s="23">
        <v>-475</v>
      </c>
      <c r="K1916" t="s">
        <v>17</v>
      </c>
    </row>
    <row r="1917" spans="1:11" ht="15" customHeight="1" x14ac:dyDescent="0.3">
      <c r="A1917" t="s">
        <v>22</v>
      </c>
      <c r="B1917" t="s">
        <v>11</v>
      </c>
      <c r="C1917" t="s">
        <v>12</v>
      </c>
      <c r="D1917" t="s">
        <v>28</v>
      </c>
      <c r="E1917">
        <v>7</v>
      </c>
      <c r="F1917" t="s">
        <v>26</v>
      </c>
      <c r="G1917" t="s">
        <v>15</v>
      </c>
      <c r="H1917" t="s">
        <v>16</v>
      </c>
      <c r="I1917">
        <v>0</v>
      </c>
      <c r="J1917" s="23">
        <v>-3481987</v>
      </c>
      <c r="K1917" t="s">
        <v>17</v>
      </c>
    </row>
    <row r="1918" spans="1:11" ht="15" customHeight="1" x14ac:dyDescent="0.3">
      <c r="A1918" t="s">
        <v>22</v>
      </c>
      <c r="B1918" t="s">
        <v>11</v>
      </c>
      <c r="C1918" t="s">
        <v>24</v>
      </c>
      <c r="D1918" t="s">
        <v>13</v>
      </c>
      <c r="E1918">
        <v>-4</v>
      </c>
      <c r="F1918" t="s">
        <v>37</v>
      </c>
      <c r="G1918" t="s">
        <v>15</v>
      </c>
      <c r="H1918" t="s">
        <v>16</v>
      </c>
      <c r="I1918">
        <v>0</v>
      </c>
      <c r="J1918" s="23">
        <v>159466</v>
      </c>
      <c r="K1918" t="s">
        <v>17</v>
      </c>
    </row>
    <row r="1919" spans="1:11" ht="15" customHeight="1" x14ac:dyDescent="0.3">
      <c r="A1919" t="s">
        <v>22</v>
      </c>
      <c r="B1919" t="s">
        <v>11</v>
      </c>
      <c r="C1919" t="s">
        <v>24</v>
      </c>
      <c r="D1919" t="s">
        <v>13</v>
      </c>
      <c r="E1919">
        <v>19</v>
      </c>
      <c r="F1919" t="s">
        <v>45</v>
      </c>
      <c r="G1919" t="s">
        <v>15</v>
      </c>
      <c r="H1919" t="s">
        <v>16</v>
      </c>
      <c r="I1919">
        <v>0</v>
      </c>
      <c r="J1919" s="23">
        <v>194883</v>
      </c>
      <c r="K1919">
        <v>3702777</v>
      </c>
    </row>
    <row r="1920" spans="1:11" ht="15" customHeight="1" x14ac:dyDescent="0.3">
      <c r="A1920" t="s">
        <v>10</v>
      </c>
      <c r="B1920" t="s">
        <v>11</v>
      </c>
      <c r="C1920" t="s">
        <v>24</v>
      </c>
      <c r="D1920" t="s">
        <v>13</v>
      </c>
      <c r="E1920">
        <v>10</v>
      </c>
      <c r="F1920" t="s">
        <v>37</v>
      </c>
      <c r="G1920" t="s">
        <v>15</v>
      </c>
      <c r="H1920" t="s">
        <v>16</v>
      </c>
      <c r="I1920">
        <v>0</v>
      </c>
      <c r="J1920" s="23">
        <v>1437513</v>
      </c>
      <c r="K1920">
        <v>14375130</v>
      </c>
    </row>
    <row r="1921" spans="1:11" ht="15" customHeight="1" x14ac:dyDescent="0.3">
      <c r="A1921" t="s">
        <v>18</v>
      </c>
      <c r="B1921" t="s">
        <v>11</v>
      </c>
      <c r="C1921" t="s">
        <v>12</v>
      </c>
      <c r="D1921" t="s">
        <v>13</v>
      </c>
      <c r="E1921">
        <v>-1</v>
      </c>
      <c r="F1921" t="s">
        <v>39</v>
      </c>
      <c r="G1921" t="s">
        <v>15</v>
      </c>
      <c r="H1921" t="s">
        <v>16</v>
      </c>
      <c r="I1921">
        <v>0</v>
      </c>
      <c r="J1921" s="23">
        <v>-175487</v>
      </c>
      <c r="K1921" t="s">
        <v>17</v>
      </c>
    </row>
    <row r="1922" spans="1:11" ht="15" customHeight="1" x14ac:dyDescent="0.3">
      <c r="A1922" t="s">
        <v>18</v>
      </c>
      <c r="B1922" t="s">
        <v>11</v>
      </c>
      <c r="C1922" t="s">
        <v>24</v>
      </c>
      <c r="D1922" t="s">
        <v>28</v>
      </c>
      <c r="E1922">
        <v>14</v>
      </c>
      <c r="F1922" t="s">
        <v>29</v>
      </c>
      <c r="G1922" t="s">
        <v>15</v>
      </c>
      <c r="H1922" t="s">
        <v>32</v>
      </c>
      <c r="I1922">
        <v>1</v>
      </c>
      <c r="J1922" s="23">
        <v>1469244</v>
      </c>
      <c r="K1922">
        <v>20569416</v>
      </c>
    </row>
    <row r="1923" spans="1:11" ht="15" customHeight="1" x14ac:dyDescent="0.3">
      <c r="A1923" t="s">
        <v>18</v>
      </c>
      <c r="B1923" t="s">
        <v>11</v>
      </c>
      <c r="C1923" t="s">
        <v>12</v>
      </c>
      <c r="D1923" t="s">
        <v>28</v>
      </c>
      <c r="E1923">
        <v>9</v>
      </c>
      <c r="F1923" t="s">
        <v>30</v>
      </c>
      <c r="G1923" t="s">
        <v>15</v>
      </c>
      <c r="H1923" t="s">
        <v>16</v>
      </c>
      <c r="I1923">
        <v>0</v>
      </c>
      <c r="J1923" s="23">
        <v>-7433</v>
      </c>
      <c r="K1923" t="s">
        <v>17</v>
      </c>
    </row>
    <row r="1924" spans="1:11" ht="15" customHeight="1" x14ac:dyDescent="0.3">
      <c r="A1924" t="s">
        <v>18</v>
      </c>
      <c r="B1924" t="s">
        <v>11</v>
      </c>
      <c r="C1924" t="s">
        <v>12</v>
      </c>
      <c r="D1924" t="s">
        <v>25</v>
      </c>
      <c r="E1924">
        <v>-1</v>
      </c>
      <c r="F1924" t="s">
        <v>39</v>
      </c>
      <c r="G1924" t="s">
        <v>15</v>
      </c>
      <c r="H1924" t="s">
        <v>16</v>
      </c>
      <c r="I1924">
        <v>0</v>
      </c>
      <c r="J1924" s="23">
        <v>-656</v>
      </c>
      <c r="K1924" t="s">
        <v>17</v>
      </c>
    </row>
    <row r="1925" spans="1:11" ht="15" customHeight="1" x14ac:dyDescent="0.3">
      <c r="A1925" t="s">
        <v>10</v>
      </c>
      <c r="B1925" t="s">
        <v>11</v>
      </c>
      <c r="C1925" t="s">
        <v>24</v>
      </c>
      <c r="D1925" t="s">
        <v>13</v>
      </c>
      <c r="E1925">
        <v>3</v>
      </c>
      <c r="F1925" t="s">
        <v>34</v>
      </c>
      <c r="G1925" t="s">
        <v>15</v>
      </c>
      <c r="H1925" t="s">
        <v>16</v>
      </c>
      <c r="I1925">
        <v>0</v>
      </c>
      <c r="J1925" s="23">
        <v>41673301</v>
      </c>
      <c r="K1925">
        <v>125019903</v>
      </c>
    </row>
    <row r="1926" spans="1:11" ht="15" customHeight="1" x14ac:dyDescent="0.3">
      <c r="A1926" t="s">
        <v>10</v>
      </c>
      <c r="B1926" t="s">
        <v>11</v>
      </c>
      <c r="C1926" t="s">
        <v>12</v>
      </c>
      <c r="D1926" t="s">
        <v>13</v>
      </c>
      <c r="E1926">
        <v>3</v>
      </c>
      <c r="F1926" t="s">
        <v>30</v>
      </c>
      <c r="G1926" t="s">
        <v>15</v>
      </c>
      <c r="H1926" t="s">
        <v>16</v>
      </c>
      <c r="I1926">
        <v>0</v>
      </c>
      <c r="J1926" s="23">
        <v>-340977</v>
      </c>
      <c r="K1926" t="s">
        <v>17</v>
      </c>
    </row>
    <row r="1927" spans="1:11" ht="15" customHeight="1" x14ac:dyDescent="0.3">
      <c r="A1927" t="s">
        <v>18</v>
      </c>
      <c r="B1927" t="s">
        <v>19</v>
      </c>
      <c r="C1927" t="s">
        <v>24</v>
      </c>
      <c r="D1927" t="s">
        <v>28</v>
      </c>
      <c r="E1927">
        <v>4</v>
      </c>
      <c r="F1927"/>
      <c r="G1927" t="s">
        <v>15</v>
      </c>
      <c r="H1927" t="s">
        <v>32</v>
      </c>
      <c r="I1927">
        <v>1</v>
      </c>
      <c r="J1927" s="23">
        <v>22314</v>
      </c>
      <c r="K1927">
        <v>89256</v>
      </c>
    </row>
    <row r="1928" spans="1:11" ht="15" customHeight="1" x14ac:dyDescent="0.3">
      <c r="A1928" t="s">
        <v>18</v>
      </c>
      <c r="B1928" t="s">
        <v>11</v>
      </c>
      <c r="C1928" t="s">
        <v>24</v>
      </c>
      <c r="D1928" t="s">
        <v>13</v>
      </c>
      <c r="E1928">
        <v>1</v>
      </c>
      <c r="F1928" t="s">
        <v>23</v>
      </c>
      <c r="G1928" t="s">
        <v>15</v>
      </c>
      <c r="H1928" t="s">
        <v>16</v>
      </c>
      <c r="I1928">
        <v>0</v>
      </c>
      <c r="J1928" s="23">
        <v>33120132</v>
      </c>
      <c r="K1928">
        <v>33120132</v>
      </c>
    </row>
    <row r="1929" spans="1:11" ht="15" customHeight="1" x14ac:dyDescent="0.3">
      <c r="A1929" t="s">
        <v>18</v>
      </c>
      <c r="B1929" t="s">
        <v>11</v>
      </c>
      <c r="C1929" t="s">
        <v>12</v>
      </c>
      <c r="D1929" t="s">
        <v>13</v>
      </c>
      <c r="E1929">
        <v>14</v>
      </c>
      <c r="F1929" t="s">
        <v>36</v>
      </c>
      <c r="G1929" t="s">
        <v>15</v>
      </c>
      <c r="H1929" t="s">
        <v>16</v>
      </c>
      <c r="I1929">
        <v>0</v>
      </c>
      <c r="J1929" s="23">
        <v>-1468</v>
      </c>
      <c r="K1929" t="s">
        <v>17</v>
      </c>
    </row>
    <row r="1930" spans="1:11" ht="15" customHeight="1" x14ac:dyDescent="0.3">
      <c r="A1930" t="s">
        <v>18</v>
      </c>
      <c r="B1930" t="s">
        <v>11</v>
      </c>
      <c r="C1930" t="s">
        <v>12</v>
      </c>
      <c r="D1930" t="s">
        <v>28</v>
      </c>
      <c r="E1930">
        <v>14</v>
      </c>
      <c r="F1930" t="s">
        <v>26</v>
      </c>
      <c r="G1930" t="s">
        <v>15</v>
      </c>
      <c r="H1930" t="s">
        <v>16</v>
      </c>
      <c r="I1930">
        <v>0</v>
      </c>
      <c r="J1930" s="23">
        <v>-32055</v>
      </c>
      <c r="K1930" t="s">
        <v>17</v>
      </c>
    </row>
    <row r="1931" spans="1:11" ht="15" customHeight="1" x14ac:dyDescent="0.3">
      <c r="A1931" t="s">
        <v>22</v>
      </c>
      <c r="B1931" t="s">
        <v>11</v>
      </c>
      <c r="C1931" t="s">
        <v>24</v>
      </c>
      <c r="D1931" t="s">
        <v>13</v>
      </c>
      <c r="E1931">
        <v>1</v>
      </c>
      <c r="F1931" t="s">
        <v>29</v>
      </c>
      <c r="G1931" t="s">
        <v>15</v>
      </c>
      <c r="H1931" t="s">
        <v>16</v>
      </c>
      <c r="I1931">
        <v>0</v>
      </c>
      <c r="J1931" s="23">
        <v>4722633</v>
      </c>
      <c r="K1931">
        <v>4722633</v>
      </c>
    </row>
    <row r="1932" spans="1:11" ht="15" customHeight="1" x14ac:dyDescent="0.3">
      <c r="A1932" t="s">
        <v>22</v>
      </c>
      <c r="B1932" t="s">
        <v>44</v>
      </c>
      <c r="C1932" t="s">
        <v>12</v>
      </c>
      <c r="D1932" t="s">
        <v>28</v>
      </c>
      <c r="E1932">
        <v>-4</v>
      </c>
      <c r="F1932" t="s">
        <v>38</v>
      </c>
      <c r="G1932" t="s">
        <v>15</v>
      </c>
      <c r="H1932" t="s">
        <v>16</v>
      </c>
      <c r="I1932">
        <v>0</v>
      </c>
      <c r="J1932" s="23">
        <v>-210953</v>
      </c>
      <c r="K1932" t="s">
        <v>17</v>
      </c>
    </row>
    <row r="1933" spans="1:11" ht="15" customHeight="1" x14ac:dyDescent="0.3">
      <c r="A1933" t="s">
        <v>18</v>
      </c>
      <c r="B1933" t="s">
        <v>44</v>
      </c>
      <c r="C1933" t="s">
        <v>24</v>
      </c>
      <c r="D1933" t="s">
        <v>28</v>
      </c>
      <c r="E1933">
        <v>-1</v>
      </c>
      <c r="F1933" t="s">
        <v>38</v>
      </c>
      <c r="G1933" t="s">
        <v>15</v>
      </c>
      <c r="H1933" t="s">
        <v>16</v>
      </c>
      <c r="I1933">
        <v>0</v>
      </c>
      <c r="J1933" s="23">
        <v>3259052</v>
      </c>
      <c r="K1933" t="s">
        <v>17</v>
      </c>
    </row>
    <row r="1934" spans="1:11" ht="15" customHeight="1" x14ac:dyDescent="0.3">
      <c r="A1934" t="s">
        <v>18</v>
      </c>
      <c r="B1934" t="s">
        <v>11</v>
      </c>
      <c r="C1934" t="s">
        <v>24</v>
      </c>
      <c r="D1934" t="s">
        <v>28</v>
      </c>
      <c r="E1934">
        <v>11</v>
      </c>
      <c r="F1934" t="s">
        <v>23</v>
      </c>
      <c r="G1934" t="s">
        <v>15</v>
      </c>
      <c r="H1934" t="s">
        <v>16</v>
      </c>
      <c r="I1934">
        <v>0</v>
      </c>
      <c r="J1934" s="23">
        <v>73003590</v>
      </c>
      <c r="K1934">
        <v>803039490</v>
      </c>
    </row>
    <row r="1935" spans="1:11" ht="15" customHeight="1" x14ac:dyDescent="0.3">
      <c r="A1935" t="s">
        <v>22</v>
      </c>
      <c r="B1935" t="s">
        <v>11</v>
      </c>
      <c r="C1935" t="s">
        <v>12</v>
      </c>
      <c r="D1935" t="s">
        <v>13</v>
      </c>
      <c r="E1935">
        <v>-1</v>
      </c>
      <c r="F1935" t="s">
        <v>37</v>
      </c>
      <c r="G1935" t="s">
        <v>15</v>
      </c>
      <c r="H1935" t="s">
        <v>16</v>
      </c>
      <c r="I1935">
        <v>0</v>
      </c>
      <c r="J1935" s="23">
        <v>-211828</v>
      </c>
      <c r="K1935" t="s">
        <v>17</v>
      </c>
    </row>
    <row r="1936" spans="1:11" ht="15" customHeight="1" x14ac:dyDescent="0.3">
      <c r="A1936" t="s">
        <v>18</v>
      </c>
      <c r="B1936" t="s">
        <v>11</v>
      </c>
      <c r="C1936" t="s">
        <v>12</v>
      </c>
      <c r="D1936" t="s">
        <v>28</v>
      </c>
      <c r="E1936">
        <v>8</v>
      </c>
      <c r="F1936" t="s">
        <v>29</v>
      </c>
      <c r="G1936" t="s">
        <v>31</v>
      </c>
      <c r="H1936" t="s">
        <v>32</v>
      </c>
      <c r="I1936">
        <v>1</v>
      </c>
      <c r="J1936" s="23">
        <v>-148</v>
      </c>
      <c r="K1936" t="s">
        <v>17</v>
      </c>
    </row>
    <row r="1937" spans="1:11" ht="15" customHeight="1" x14ac:dyDescent="0.3">
      <c r="A1937" t="s">
        <v>10</v>
      </c>
      <c r="B1937" t="s">
        <v>19</v>
      </c>
      <c r="C1937" t="s">
        <v>12</v>
      </c>
      <c r="D1937" t="s">
        <v>20</v>
      </c>
      <c r="E1937">
        <v>36</v>
      </c>
      <c r="F1937"/>
      <c r="G1937" t="s">
        <v>15</v>
      </c>
      <c r="H1937" t="s">
        <v>16</v>
      </c>
      <c r="I1937">
        <v>0</v>
      </c>
      <c r="J1937" s="23">
        <v>-2461481</v>
      </c>
      <c r="K1937" t="s">
        <v>17</v>
      </c>
    </row>
    <row r="1938" spans="1:11" ht="15" customHeight="1" x14ac:dyDescent="0.3">
      <c r="A1938" t="s">
        <v>22</v>
      </c>
      <c r="B1938" t="s">
        <v>19</v>
      </c>
      <c r="C1938" t="s">
        <v>24</v>
      </c>
      <c r="D1938" t="s">
        <v>20</v>
      </c>
      <c r="E1938">
        <v>28</v>
      </c>
      <c r="F1938"/>
      <c r="G1938" t="s">
        <v>15</v>
      </c>
      <c r="H1938" t="s">
        <v>16</v>
      </c>
      <c r="I1938">
        <v>0</v>
      </c>
      <c r="J1938" s="23">
        <v>10494644</v>
      </c>
      <c r="K1938">
        <v>293850032</v>
      </c>
    </row>
    <row r="1939" spans="1:11" ht="15" customHeight="1" x14ac:dyDescent="0.3">
      <c r="A1939" t="s">
        <v>22</v>
      </c>
      <c r="B1939" t="s">
        <v>11</v>
      </c>
      <c r="C1939" t="s">
        <v>12</v>
      </c>
      <c r="D1939" t="s">
        <v>13</v>
      </c>
      <c r="E1939">
        <v>0</v>
      </c>
      <c r="F1939" t="s">
        <v>14</v>
      </c>
      <c r="G1939" t="s">
        <v>15</v>
      </c>
      <c r="H1939" t="s">
        <v>16</v>
      </c>
      <c r="I1939">
        <v>0</v>
      </c>
      <c r="J1939" s="23">
        <v>-10885</v>
      </c>
      <c r="K1939" t="s">
        <v>17</v>
      </c>
    </row>
    <row r="1940" spans="1:11" ht="15" customHeight="1" x14ac:dyDescent="0.3">
      <c r="A1940" t="s">
        <v>18</v>
      </c>
      <c r="B1940" t="s">
        <v>11</v>
      </c>
      <c r="C1940" t="s">
        <v>12</v>
      </c>
      <c r="D1940" t="s">
        <v>25</v>
      </c>
      <c r="E1940">
        <v>-1</v>
      </c>
      <c r="F1940" t="s">
        <v>37</v>
      </c>
      <c r="G1940" t="s">
        <v>15</v>
      </c>
      <c r="H1940" t="s">
        <v>16</v>
      </c>
      <c r="I1940">
        <v>0</v>
      </c>
      <c r="J1940" s="23">
        <v>-165</v>
      </c>
      <c r="K1940" t="s">
        <v>17</v>
      </c>
    </row>
    <row r="1941" spans="1:11" ht="15" customHeight="1" x14ac:dyDescent="0.3">
      <c r="A1941" t="s">
        <v>18</v>
      </c>
      <c r="B1941" t="s">
        <v>11</v>
      </c>
      <c r="C1941" t="s">
        <v>24</v>
      </c>
      <c r="D1941" t="s">
        <v>28</v>
      </c>
      <c r="E1941">
        <v>11</v>
      </c>
      <c r="F1941" t="s">
        <v>26</v>
      </c>
      <c r="G1941" t="s">
        <v>31</v>
      </c>
      <c r="H1941" t="s">
        <v>16</v>
      </c>
      <c r="I1941">
        <v>1</v>
      </c>
      <c r="J1941" s="23">
        <v>143384</v>
      </c>
      <c r="K1941">
        <v>1577224</v>
      </c>
    </row>
    <row r="1942" spans="1:11" ht="15" customHeight="1" x14ac:dyDescent="0.3">
      <c r="A1942" t="s">
        <v>18</v>
      </c>
      <c r="B1942" t="s">
        <v>11</v>
      </c>
      <c r="C1942" t="s">
        <v>12</v>
      </c>
      <c r="D1942" t="s">
        <v>28</v>
      </c>
      <c r="E1942">
        <v>10</v>
      </c>
      <c r="F1942" t="s">
        <v>23</v>
      </c>
      <c r="G1942" t="s">
        <v>31</v>
      </c>
      <c r="H1942" t="s">
        <v>16</v>
      </c>
      <c r="I1942">
        <v>1</v>
      </c>
      <c r="J1942" s="23">
        <v>-10653</v>
      </c>
      <c r="K1942" t="s">
        <v>17</v>
      </c>
    </row>
    <row r="1943" spans="1:11" ht="15" customHeight="1" x14ac:dyDescent="0.3">
      <c r="A1943" t="s">
        <v>18</v>
      </c>
      <c r="B1943" t="s">
        <v>11</v>
      </c>
      <c r="C1943" t="s">
        <v>24</v>
      </c>
      <c r="D1943" t="s">
        <v>13</v>
      </c>
      <c r="E1943">
        <v>1</v>
      </c>
      <c r="F1943" t="s">
        <v>38</v>
      </c>
      <c r="G1943" t="s">
        <v>15</v>
      </c>
      <c r="H1943" t="s">
        <v>16</v>
      </c>
      <c r="I1943">
        <v>0</v>
      </c>
      <c r="J1943" s="23">
        <v>4909</v>
      </c>
      <c r="K1943">
        <v>4909</v>
      </c>
    </row>
    <row r="1944" spans="1:11" ht="15" customHeight="1" x14ac:dyDescent="0.3">
      <c r="A1944" t="s">
        <v>18</v>
      </c>
      <c r="B1944" t="s">
        <v>11</v>
      </c>
      <c r="C1944" t="s">
        <v>12</v>
      </c>
      <c r="D1944" t="s">
        <v>13</v>
      </c>
      <c r="E1944">
        <v>2</v>
      </c>
      <c r="F1944" t="s">
        <v>35</v>
      </c>
      <c r="G1944" t="s">
        <v>15</v>
      </c>
      <c r="H1944" t="s">
        <v>16</v>
      </c>
      <c r="I1944">
        <v>0</v>
      </c>
      <c r="J1944" s="23">
        <v>-24579</v>
      </c>
      <c r="K1944" t="s">
        <v>17</v>
      </c>
    </row>
    <row r="1945" spans="1:11" ht="15" customHeight="1" x14ac:dyDescent="0.3">
      <c r="A1945" t="s">
        <v>22</v>
      </c>
      <c r="B1945" t="s">
        <v>11</v>
      </c>
      <c r="C1945" t="s">
        <v>24</v>
      </c>
      <c r="D1945" t="s">
        <v>13</v>
      </c>
      <c r="E1945">
        <v>-4</v>
      </c>
      <c r="F1945" t="s">
        <v>39</v>
      </c>
      <c r="G1945" t="s">
        <v>15</v>
      </c>
      <c r="H1945" t="s">
        <v>16</v>
      </c>
      <c r="I1945">
        <v>0</v>
      </c>
      <c r="J1945" s="23">
        <v>723518</v>
      </c>
      <c r="K1945" t="s">
        <v>17</v>
      </c>
    </row>
    <row r="1946" spans="1:11" ht="15" customHeight="1" x14ac:dyDescent="0.3">
      <c r="A1946" t="s">
        <v>22</v>
      </c>
      <c r="B1946" t="s">
        <v>19</v>
      </c>
      <c r="C1946" t="s">
        <v>24</v>
      </c>
      <c r="D1946" t="s">
        <v>20</v>
      </c>
      <c r="E1946">
        <v>3</v>
      </c>
      <c r="F1946"/>
      <c r="G1946" t="s">
        <v>31</v>
      </c>
      <c r="H1946" t="s">
        <v>16</v>
      </c>
      <c r="I1946">
        <v>1</v>
      </c>
      <c r="J1946" s="23">
        <v>1115</v>
      </c>
      <c r="K1946">
        <v>3345</v>
      </c>
    </row>
    <row r="1947" spans="1:11" ht="15" customHeight="1" x14ac:dyDescent="0.3">
      <c r="A1947" t="s">
        <v>10</v>
      </c>
      <c r="B1947" t="s">
        <v>11</v>
      </c>
      <c r="C1947" t="s">
        <v>24</v>
      </c>
      <c r="D1947" t="s">
        <v>25</v>
      </c>
      <c r="E1947">
        <v>1</v>
      </c>
      <c r="F1947" t="s">
        <v>37</v>
      </c>
      <c r="G1947" t="s">
        <v>15</v>
      </c>
      <c r="H1947" t="s">
        <v>16</v>
      </c>
      <c r="I1947">
        <v>0</v>
      </c>
      <c r="J1947" s="23">
        <v>62653</v>
      </c>
      <c r="K1947">
        <v>62653</v>
      </c>
    </row>
    <row r="1948" spans="1:11" ht="15" customHeight="1" x14ac:dyDescent="0.3">
      <c r="A1948" t="s">
        <v>18</v>
      </c>
      <c r="B1948" t="s">
        <v>11</v>
      </c>
      <c r="C1948" t="s">
        <v>12</v>
      </c>
      <c r="D1948" t="s">
        <v>28</v>
      </c>
      <c r="E1948">
        <v>2</v>
      </c>
      <c r="F1948" t="s">
        <v>14</v>
      </c>
      <c r="G1948" t="s">
        <v>15</v>
      </c>
      <c r="H1948" t="s">
        <v>16</v>
      </c>
      <c r="I1948">
        <v>0</v>
      </c>
      <c r="J1948" s="23">
        <v>-1661</v>
      </c>
      <c r="K1948" t="s">
        <v>17</v>
      </c>
    </row>
    <row r="1949" spans="1:11" ht="15" customHeight="1" x14ac:dyDescent="0.3">
      <c r="A1949" t="s">
        <v>22</v>
      </c>
      <c r="B1949" t="s">
        <v>11</v>
      </c>
      <c r="C1949" t="s">
        <v>12</v>
      </c>
      <c r="D1949" t="s">
        <v>13</v>
      </c>
      <c r="E1949">
        <v>-1</v>
      </c>
      <c r="F1949" t="s">
        <v>39</v>
      </c>
      <c r="G1949" t="s">
        <v>15</v>
      </c>
      <c r="H1949" t="s">
        <v>16</v>
      </c>
      <c r="I1949">
        <v>0</v>
      </c>
      <c r="J1949" s="23">
        <v>-852840</v>
      </c>
      <c r="K1949" t="s">
        <v>17</v>
      </c>
    </row>
    <row r="1950" spans="1:11" ht="15" customHeight="1" x14ac:dyDescent="0.3">
      <c r="A1950" t="s">
        <v>22</v>
      </c>
      <c r="B1950" t="s">
        <v>11</v>
      </c>
      <c r="C1950" t="s">
        <v>12</v>
      </c>
      <c r="D1950" t="s">
        <v>25</v>
      </c>
      <c r="E1950">
        <v>-4</v>
      </c>
      <c r="F1950" t="s">
        <v>21</v>
      </c>
      <c r="G1950" t="s">
        <v>15</v>
      </c>
      <c r="H1950" t="s">
        <v>16</v>
      </c>
      <c r="I1950">
        <v>0</v>
      </c>
      <c r="J1950" s="23">
        <v>-434706</v>
      </c>
      <c r="K1950" t="s">
        <v>17</v>
      </c>
    </row>
    <row r="1951" spans="1:11" ht="15" customHeight="1" x14ac:dyDescent="0.3">
      <c r="A1951" t="s">
        <v>18</v>
      </c>
      <c r="B1951" t="s">
        <v>11</v>
      </c>
      <c r="C1951" t="s">
        <v>24</v>
      </c>
      <c r="D1951" t="s">
        <v>25</v>
      </c>
      <c r="E1951">
        <v>-1</v>
      </c>
      <c r="F1951" t="s">
        <v>33</v>
      </c>
      <c r="G1951" t="s">
        <v>15</v>
      </c>
      <c r="H1951" t="s">
        <v>16</v>
      </c>
      <c r="I1951">
        <v>0</v>
      </c>
      <c r="J1951" s="23">
        <v>2846496</v>
      </c>
      <c r="K1951" t="s">
        <v>17</v>
      </c>
    </row>
    <row r="1952" spans="1:11" ht="15" customHeight="1" x14ac:dyDescent="0.3">
      <c r="A1952" t="s">
        <v>10</v>
      </c>
      <c r="B1952" t="s">
        <v>11</v>
      </c>
      <c r="C1952" t="s">
        <v>12</v>
      </c>
      <c r="D1952" t="s">
        <v>28</v>
      </c>
      <c r="E1952">
        <v>2</v>
      </c>
      <c r="F1952" t="s">
        <v>29</v>
      </c>
      <c r="G1952" t="s">
        <v>15</v>
      </c>
      <c r="H1952" t="s">
        <v>32</v>
      </c>
      <c r="I1952">
        <v>1</v>
      </c>
      <c r="J1952" s="23">
        <v>-3759</v>
      </c>
      <c r="K1952" t="s">
        <v>17</v>
      </c>
    </row>
    <row r="1953" spans="1:11" ht="15" customHeight="1" x14ac:dyDescent="0.3">
      <c r="A1953" t="s">
        <v>10</v>
      </c>
      <c r="B1953" t="s">
        <v>11</v>
      </c>
      <c r="C1953" t="s">
        <v>12</v>
      </c>
      <c r="D1953" t="s">
        <v>28</v>
      </c>
      <c r="E1953">
        <v>3</v>
      </c>
      <c r="F1953" t="s">
        <v>29</v>
      </c>
      <c r="G1953" t="s">
        <v>15</v>
      </c>
      <c r="H1953" t="s">
        <v>16</v>
      </c>
      <c r="I1953">
        <v>0</v>
      </c>
      <c r="J1953" s="23">
        <v>-3395</v>
      </c>
      <c r="K1953" t="s">
        <v>17</v>
      </c>
    </row>
    <row r="1954" spans="1:11" ht="15" customHeight="1" x14ac:dyDescent="0.3">
      <c r="A1954" t="s">
        <v>18</v>
      </c>
      <c r="B1954" t="s">
        <v>11</v>
      </c>
      <c r="C1954" t="s">
        <v>24</v>
      </c>
      <c r="D1954" t="s">
        <v>28</v>
      </c>
      <c r="E1954">
        <v>9</v>
      </c>
      <c r="F1954" t="s">
        <v>38</v>
      </c>
      <c r="G1954" t="s">
        <v>15</v>
      </c>
      <c r="H1954" t="s">
        <v>16</v>
      </c>
      <c r="I1954">
        <v>0</v>
      </c>
      <c r="J1954" s="23">
        <v>60024</v>
      </c>
      <c r="K1954">
        <v>540216</v>
      </c>
    </row>
    <row r="1955" spans="1:11" ht="15" customHeight="1" x14ac:dyDescent="0.3">
      <c r="A1955" t="s">
        <v>10</v>
      </c>
      <c r="B1955" t="s">
        <v>11</v>
      </c>
      <c r="C1955" t="s">
        <v>24</v>
      </c>
      <c r="D1955" t="s">
        <v>28</v>
      </c>
      <c r="E1955">
        <v>8</v>
      </c>
      <c r="F1955" t="s">
        <v>21</v>
      </c>
      <c r="G1955" t="s">
        <v>15</v>
      </c>
      <c r="H1955" t="s">
        <v>32</v>
      </c>
      <c r="I1955">
        <v>1</v>
      </c>
      <c r="J1955" s="23">
        <v>22536</v>
      </c>
      <c r="K1955">
        <v>180288</v>
      </c>
    </row>
    <row r="1956" spans="1:11" ht="15" customHeight="1" x14ac:dyDescent="0.3">
      <c r="A1956" t="s">
        <v>22</v>
      </c>
      <c r="B1956" t="s">
        <v>19</v>
      </c>
      <c r="C1956" t="s">
        <v>12</v>
      </c>
      <c r="D1956" t="s">
        <v>28</v>
      </c>
      <c r="E1956">
        <v>-4</v>
      </c>
      <c r="F1956"/>
      <c r="G1956" t="s">
        <v>15</v>
      </c>
      <c r="H1956" t="s">
        <v>32</v>
      </c>
      <c r="I1956">
        <v>1</v>
      </c>
      <c r="J1956" s="23">
        <v>-5981</v>
      </c>
      <c r="K1956" t="s">
        <v>17</v>
      </c>
    </row>
    <row r="1957" spans="1:11" ht="15" customHeight="1" x14ac:dyDescent="0.3">
      <c r="A1957" t="s">
        <v>10</v>
      </c>
      <c r="B1957" t="s">
        <v>19</v>
      </c>
      <c r="C1957" t="s">
        <v>24</v>
      </c>
      <c r="D1957" t="s">
        <v>20</v>
      </c>
      <c r="E1957">
        <v>22</v>
      </c>
      <c r="F1957"/>
      <c r="G1957" t="s">
        <v>15</v>
      </c>
      <c r="H1957" t="s">
        <v>32</v>
      </c>
      <c r="I1957">
        <v>1</v>
      </c>
      <c r="J1957" s="23">
        <v>867237</v>
      </c>
      <c r="K1957">
        <v>19079214</v>
      </c>
    </row>
    <row r="1958" spans="1:11" ht="15" customHeight="1" x14ac:dyDescent="0.3">
      <c r="A1958" t="s">
        <v>22</v>
      </c>
      <c r="B1958" t="s">
        <v>19</v>
      </c>
      <c r="C1958" t="s">
        <v>24</v>
      </c>
      <c r="D1958" t="s">
        <v>20</v>
      </c>
      <c r="E1958">
        <v>29</v>
      </c>
      <c r="F1958"/>
      <c r="G1958" t="s">
        <v>31</v>
      </c>
      <c r="H1958" t="s">
        <v>16</v>
      </c>
      <c r="I1958">
        <v>1</v>
      </c>
      <c r="J1958" s="23">
        <v>230103</v>
      </c>
      <c r="K1958">
        <v>6672987</v>
      </c>
    </row>
    <row r="1959" spans="1:11" ht="15" customHeight="1" x14ac:dyDescent="0.3">
      <c r="A1959" t="s">
        <v>10</v>
      </c>
      <c r="B1959" t="s">
        <v>19</v>
      </c>
      <c r="C1959" t="s">
        <v>24</v>
      </c>
      <c r="D1959" t="s">
        <v>20</v>
      </c>
      <c r="E1959">
        <v>9</v>
      </c>
      <c r="F1959"/>
      <c r="G1959" t="s">
        <v>15</v>
      </c>
      <c r="H1959" t="s">
        <v>16</v>
      </c>
      <c r="I1959">
        <v>0</v>
      </c>
      <c r="J1959" s="23">
        <v>19956050</v>
      </c>
      <c r="K1959">
        <v>179604450</v>
      </c>
    </row>
    <row r="1960" spans="1:11" ht="15" customHeight="1" x14ac:dyDescent="0.3">
      <c r="A1960" t="s">
        <v>18</v>
      </c>
      <c r="B1960" t="s">
        <v>11</v>
      </c>
      <c r="C1960" t="s">
        <v>12</v>
      </c>
      <c r="D1960" t="s">
        <v>13</v>
      </c>
      <c r="E1960">
        <v>1</v>
      </c>
      <c r="F1960" t="s">
        <v>40</v>
      </c>
      <c r="G1960" t="s">
        <v>15</v>
      </c>
      <c r="H1960" t="s">
        <v>16</v>
      </c>
      <c r="I1960">
        <v>0</v>
      </c>
      <c r="J1960" s="23">
        <v>-201120</v>
      </c>
      <c r="K1960" t="s">
        <v>17</v>
      </c>
    </row>
    <row r="1961" spans="1:11" ht="15" customHeight="1" x14ac:dyDescent="0.3">
      <c r="A1961" t="s">
        <v>18</v>
      </c>
      <c r="B1961" t="s">
        <v>11</v>
      </c>
      <c r="C1961" t="s">
        <v>24</v>
      </c>
      <c r="D1961" t="s">
        <v>25</v>
      </c>
      <c r="E1961">
        <v>4</v>
      </c>
      <c r="F1961" t="s">
        <v>26</v>
      </c>
      <c r="G1961" t="s">
        <v>15</v>
      </c>
      <c r="H1961" t="s">
        <v>16</v>
      </c>
      <c r="I1961">
        <v>0</v>
      </c>
      <c r="J1961" s="23">
        <v>8032851</v>
      </c>
      <c r="K1961">
        <v>32131404</v>
      </c>
    </row>
    <row r="1962" spans="1:11" ht="15" customHeight="1" x14ac:dyDescent="0.3">
      <c r="A1962" t="s">
        <v>10</v>
      </c>
      <c r="B1962" t="s">
        <v>19</v>
      </c>
      <c r="C1962" t="s">
        <v>24</v>
      </c>
      <c r="D1962" t="s">
        <v>20</v>
      </c>
      <c r="E1962">
        <v>19</v>
      </c>
      <c r="F1962"/>
      <c r="G1962" t="s">
        <v>15</v>
      </c>
      <c r="H1962" t="s">
        <v>32</v>
      </c>
      <c r="I1962">
        <v>1</v>
      </c>
      <c r="J1962" s="23">
        <v>215340</v>
      </c>
      <c r="K1962">
        <v>4091460</v>
      </c>
    </row>
    <row r="1963" spans="1:11" ht="15" customHeight="1" x14ac:dyDescent="0.3">
      <c r="A1963" t="s">
        <v>22</v>
      </c>
      <c r="B1963" t="s">
        <v>11</v>
      </c>
      <c r="C1963" t="s">
        <v>12</v>
      </c>
      <c r="D1963" t="s">
        <v>13</v>
      </c>
      <c r="E1963">
        <v>-4</v>
      </c>
      <c r="F1963" t="s">
        <v>29</v>
      </c>
      <c r="G1963" t="s">
        <v>15</v>
      </c>
      <c r="H1963" t="s">
        <v>16</v>
      </c>
      <c r="I1963">
        <v>0</v>
      </c>
      <c r="J1963" s="23">
        <v>-10377962</v>
      </c>
      <c r="K1963" t="s">
        <v>17</v>
      </c>
    </row>
    <row r="1964" spans="1:11" ht="15" customHeight="1" x14ac:dyDescent="0.3">
      <c r="A1964" t="s">
        <v>18</v>
      </c>
      <c r="B1964" t="s">
        <v>11</v>
      </c>
      <c r="C1964" t="s">
        <v>12</v>
      </c>
      <c r="D1964" t="s">
        <v>28</v>
      </c>
      <c r="E1964">
        <v>7</v>
      </c>
      <c r="F1964" t="s">
        <v>36</v>
      </c>
      <c r="G1964" t="s">
        <v>15</v>
      </c>
      <c r="H1964" t="s">
        <v>16</v>
      </c>
      <c r="I1964">
        <v>0</v>
      </c>
      <c r="J1964" s="23">
        <v>-2262</v>
      </c>
      <c r="K1964" t="s">
        <v>17</v>
      </c>
    </row>
    <row r="1965" spans="1:11" ht="15" customHeight="1" x14ac:dyDescent="0.3">
      <c r="A1965" t="s">
        <v>22</v>
      </c>
      <c r="B1965" t="s">
        <v>11</v>
      </c>
      <c r="C1965" t="s">
        <v>24</v>
      </c>
      <c r="D1965" t="s">
        <v>28</v>
      </c>
      <c r="E1965">
        <v>-4</v>
      </c>
      <c r="F1965" t="s">
        <v>26</v>
      </c>
      <c r="G1965" t="s">
        <v>31</v>
      </c>
      <c r="H1965" t="s">
        <v>16</v>
      </c>
      <c r="I1965">
        <v>1</v>
      </c>
      <c r="J1965" s="23">
        <v>12382201</v>
      </c>
      <c r="K1965" t="s">
        <v>17</v>
      </c>
    </row>
    <row r="1966" spans="1:11" ht="15" customHeight="1" x14ac:dyDescent="0.3">
      <c r="A1966" t="s">
        <v>22</v>
      </c>
      <c r="B1966" t="s">
        <v>11</v>
      </c>
      <c r="C1966" t="s">
        <v>12</v>
      </c>
      <c r="D1966" t="s">
        <v>25</v>
      </c>
      <c r="E1966">
        <v>-4</v>
      </c>
      <c r="F1966" t="s">
        <v>40</v>
      </c>
      <c r="G1966" t="s">
        <v>15</v>
      </c>
      <c r="H1966" t="s">
        <v>16</v>
      </c>
      <c r="I1966">
        <v>0</v>
      </c>
      <c r="J1966" s="23">
        <v>-1096396</v>
      </c>
      <c r="K1966" t="s">
        <v>17</v>
      </c>
    </row>
    <row r="1967" spans="1:11" ht="15" customHeight="1" x14ac:dyDescent="0.3">
      <c r="A1967" t="s">
        <v>22</v>
      </c>
      <c r="B1967" t="s">
        <v>11</v>
      </c>
      <c r="C1967" t="s">
        <v>12</v>
      </c>
      <c r="D1967" t="s">
        <v>25</v>
      </c>
      <c r="E1967">
        <v>7</v>
      </c>
      <c r="F1967" t="s">
        <v>40</v>
      </c>
      <c r="G1967" t="s">
        <v>15</v>
      </c>
      <c r="H1967" t="s">
        <v>16</v>
      </c>
      <c r="I1967">
        <v>0</v>
      </c>
      <c r="J1967" s="23">
        <v>-5030</v>
      </c>
      <c r="K1967" t="s">
        <v>17</v>
      </c>
    </row>
    <row r="1968" spans="1:11" ht="15" customHeight="1" x14ac:dyDescent="0.3">
      <c r="A1968" t="s">
        <v>18</v>
      </c>
      <c r="B1968" t="s">
        <v>19</v>
      </c>
      <c r="C1968" t="s">
        <v>12</v>
      </c>
      <c r="D1968" t="s">
        <v>28</v>
      </c>
      <c r="E1968">
        <v>7</v>
      </c>
      <c r="F1968"/>
      <c r="G1968" t="s">
        <v>15</v>
      </c>
      <c r="H1968" t="s">
        <v>16</v>
      </c>
      <c r="I1968">
        <v>0</v>
      </c>
      <c r="J1968" s="23">
        <v>-9974</v>
      </c>
      <c r="K1968" t="s">
        <v>17</v>
      </c>
    </row>
    <row r="1969" spans="1:11" ht="15" customHeight="1" x14ac:dyDescent="0.3">
      <c r="A1969" t="s">
        <v>10</v>
      </c>
      <c r="B1969" t="s">
        <v>11</v>
      </c>
      <c r="C1969" t="s">
        <v>24</v>
      </c>
      <c r="D1969" t="s">
        <v>13</v>
      </c>
      <c r="E1969">
        <v>-1</v>
      </c>
      <c r="F1969" t="s">
        <v>23</v>
      </c>
      <c r="G1969" t="s">
        <v>15</v>
      </c>
      <c r="H1969" t="s">
        <v>16</v>
      </c>
      <c r="I1969">
        <v>0</v>
      </c>
      <c r="J1969" s="23">
        <v>8540686</v>
      </c>
      <c r="K1969" t="s">
        <v>17</v>
      </c>
    </row>
    <row r="1970" spans="1:11" ht="15" customHeight="1" x14ac:dyDescent="0.3">
      <c r="A1970" t="s">
        <v>10</v>
      </c>
      <c r="B1970" t="s">
        <v>19</v>
      </c>
      <c r="C1970" t="s">
        <v>24</v>
      </c>
      <c r="D1970" t="s">
        <v>20</v>
      </c>
      <c r="E1970">
        <v>55</v>
      </c>
      <c r="F1970"/>
      <c r="G1970" t="s">
        <v>15</v>
      </c>
      <c r="H1970" t="s">
        <v>16</v>
      </c>
      <c r="I1970">
        <v>0</v>
      </c>
      <c r="J1970" s="23">
        <v>143100</v>
      </c>
      <c r="K1970">
        <v>7870500</v>
      </c>
    </row>
    <row r="1971" spans="1:11" ht="15" customHeight="1" x14ac:dyDescent="0.3">
      <c r="A1971" t="s">
        <v>22</v>
      </c>
      <c r="B1971" t="s">
        <v>11</v>
      </c>
      <c r="C1971" t="s">
        <v>12</v>
      </c>
      <c r="D1971" t="s">
        <v>13</v>
      </c>
      <c r="E1971">
        <v>4</v>
      </c>
      <c r="F1971" t="s">
        <v>23</v>
      </c>
      <c r="G1971" t="s">
        <v>15</v>
      </c>
      <c r="H1971" t="s">
        <v>16</v>
      </c>
      <c r="I1971">
        <v>0</v>
      </c>
      <c r="J1971" s="23">
        <v>-243137</v>
      </c>
      <c r="K1971" t="s">
        <v>17</v>
      </c>
    </row>
    <row r="1972" spans="1:11" ht="15" customHeight="1" x14ac:dyDescent="0.3">
      <c r="A1972" t="s">
        <v>18</v>
      </c>
      <c r="B1972" t="s">
        <v>11</v>
      </c>
      <c r="C1972" t="s">
        <v>24</v>
      </c>
      <c r="D1972" t="s">
        <v>28</v>
      </c>
      <c r="E1972">
        <v>-4</v>
      </c>
      <c r="F1972" t="s">
        <v>27</v>
      </c>
      <c r="G1972" t="s">
        <v>15</v>
      </c>
      <c r="H1972" t="s">
        <v>16</v>
      </c>
      <c r="I1972">
        <v>0</v>
      </c>
      <c r="J1972" s="23">
        <v>25203</v>
      </c>
      <c r="K1972" t="s">
        <v>17</v>
      </c>
    </row>
    <row r="1973" spans="1:11" ht="15" customHeight="1" x14ac:dyDescent="0.3">
      <c r="A1973" t="s">
        <v>18</v>
      </c>
      <c r="B1973" t="s">
        <v>19</v>
      </c>
      <c r="C1973" t="s">
        <v>24</v>
      </c>
      <c r="D1973" t="s">
        <v>20</v>
      </c>
      <c r="E1973">
        <v>0</v>
      </c>
      <c r="F1973"/>
      <c r="G1973" t="s">
        <v>15</v>
      </c>
      <c r="H1973" t="s">
        <v>16</v>
      </c>
      <c r="I1973">
        <v>0</v>
      </c>
      <c r="J1973" s="23">
        <v>9168002</v>
      </c>
      <c r="K1973" t="s">
        <v>17</v>
      </c>
    </row>
    <row r="1974" spans="1:11" ht="15" customHeight="1" x14ac:dyDescent="0.3">
      <c r="A1974" t="s">
        <v>10</v>
      </c>
      <c r="B1974" t="s">
        <v>11</v>
      </c>
      <c r="C1974" t="s">
        <v>24</v>
      </c>
      <c r="D1974" t="s">
        <v>25</v>
      </c>
      <c r="E1974">
        <v>-4</v>
      </c>
      <c r="F1974" t="s">
        <v>33</v>
      </c>
      <c r="G1974" t="s">
        <v>15</v>
      </c>
      <c r="H1974" t="s">
        <v>16</v>
      </c>
      <c r="I1974">
        <v>0</v>
      </c>
      <c r="J1974" s="23">
        <v>713</v>
      </c>
      <c r="K1974" t="s">
        <v>17</v>
      </c>
    </row>
    <row r="1975" spans="1:11" ht="15" customHeight="1" x14ac:dyDescent="0.3">
      <c r="A1975" t="s">
        <v>22</v>
      </c>
      <c r="B1975" t="s">
        <v>19</v>
      </c>
      <c r="C1975" t="s">
        <v>24</v>
      </c>
      <c r="D1975" t="s">
        <v>20</v>
      </c>
      <c r="E1975">
        <v>36</v>
      </c>
      <c r="F1975"/>
      <c r="G1975" t="s">
        <v>15</v>
      </c>
      <c r="H1975" t="s">
        <v>16</v>
      </c>
      <c r="I1975">
        <v>0</v>
      </c>
      <c r="J1975" s="23">
        <v>11688431</v>
      </c>
      <c r="K1975">
        <v>420783516</v>
      </c>
    </row>
    <row r="1976" spans="1:11" ht="15" customHeight="1" x14ac:dyDescent="0.3">
      <c r="A1976" t="s">
        <v>10</v>
      </c>
      <c r="B1976" t="s">
        <v>11</v>
      </c>
      <c r="C1976" t="s">
        <v>24</v>
      </c>
      <c r="D1976" t="s">
        <v>13</v>
      </c>
      <c r="E1976">
        <v>9</v>
      </c>
      <c r="F1976" t="s">
        <v>34</v>
      </c>
      <c r="G1976" t="s">
        <v>15</v>
      </c>
      <c r="H1976" t="s">
        <v>16</v>
      </c>
      <c r="I1976">
        <v>0</v>
      </c>
      <c r="J1976" s="23">
        <v>755826</v>
      </c>
      <c r="K1976">
        <v>6802434</v>
      </c>
    </row>
    <row r="1977" spans="1:11" ht="15" customHeight="1" x14ac:dyDescent="0.3">
      <c r="A1977" t="s">
        <v>18</v>
      </c>
      <c r="B1977" t="s">
        <v>11</v>
      </c>
      <c r="C1977" t="s">
        <v>12</v>
      </c>
      <c r="D1977" t="s">
        <v>28</v>
      </c>
      <c r="E1977">
        <v>5</v>
      </c>
      <c r="F1977" t="s">
        <v>23</v>
      </c>
      <c r="G1977" t="s">
        <v>15</v>
      </c>
      <c r="H1977" t="s">
        <v>16</v>
      </c>
      <c r="I1977">
        <v>0</v>
      </c>
      <c r="J1977" s="23">
        <v>-60279</v>
      </c>
      <c r="K1977" t="s">
        <v>17</v>
      </c>
    </row>
    <row r="1978" spans="1:11" ht="15" customHeight="1" x14ac:dyDescent="0.3">
      <c r="A1978" t="s">
        <v>18</v>
      </c>
      <c r="B1978" t="s">
        <v>11</v>
      </c>
      <c r="C1978" t="s">
        <v>12</v>
      </c>
      <c r="D1978" t="s">
        <v>28</v>
      </c>
      <c r="E1978">
        <v>0</v>
      </c>
      <c r="F1978" t="s">
        <v>29</v>
      </c>
      <c r="G1978" t="s">
        <v>15</v>
      </c>
      <c r="H1978" t="s">
        <v>32</v>
      </c>
      <c r="I1978">
        <v>1</v>
      </c>
      <c r="J1978" s="23">
        <v>-541</v>
      </c>
      <c r="K1978" t="s">
        <v>17</v>
      </c>
    </row>
    <row r="1979" spans="1:11" ht="15" customHeight="1" x14ac:dyDescent="0.3">
      <c r="A1979" t="s">
        <v>18</v>
      </c>
      <c r="B1979" t="s">
        <v>11</v>
      </c>
      <c r="C1979" t="s">
        <v>24</v>
      </c>
      <c r="D1979" t="s">
        <v>28</v>
      </c>
      <c r="E1979">
        <v>4</v>
      </c>
      <c r="F1979" t="s">
        <v>26</v>
      </c>
      <c r="G1979" t="s">
        <v>15</v>
      </c>
      <c r="H1979" t="s">
        <v>16</v>
      </c>
      <c r="I1979">
        <v>0</v>
      </c>
      <c r="J1979" s="23">
        <v>24984713</v>
      </c>
      <c r="K1979">
        <v>99938852</v>
      </c>
    </row>
    <row r="1980" spans="1:11" ht="15" customHeight="1" x14ac:dyDescent="0.3">
      <c r="A1980" t="s">
        <v>10</v>
      </c>
      <c r="B1980" t="s">
        <v>11</v>
      </c>
      <c r="C1980" t="s">
        <v>12</v>
      </c>
      <c r="D1980" t="s">
        <v>28</v>
      </c>
      <c r="E1980">
        <v>13</v>
      </c>
      <c r="F1980" t="s">
        <v>30</v>
      </c>
      <c r="G1980" t="s">
        <v>15</v>
      </c>
      <c r="H1980" t="s">
        <v>16</v>
      </c>
      <c r="I1980">
        <v>0</v>
      </c>
      <c r="J1980" s="23">
        <v>-13079</v>
      </c>
      <c r="K1980" t="s">
        <v>17</v>
      </c>
    </row>
    <row r="1981" spans="1:11" ht="15" customHeight="1" x14ac:dyDescent="0.3">
      <c r="A1981" t="s">
        <v>22</v>
      </c>
      <c r="B1981" t="s">
        <v>19</v>
      </c>
      <c r="C1981" t="s">
        <v>24</v>
      </c>
      <c r="D1981" t="s">
        <v>20</v>
      </c>
      <c r="E1981">
        <v>12</v>
      </c>
      <c r="F1981"/>
      <c r="G1981" t="s">
        <v>15</v>
      </c>
      <c r="H1981" t="s">
        <v>32</v>
      </c>
      <c r="I1981">
        <v>1</v>
      </c>
      <c r="J1981" s="23">
        <v>20315</v>
      </c>
      <c r="K1981">
        <v>243780</v>
      </c>
    </row>
    <row r="1982" spans="1:11" ht="15" customHeight="1" x14ac:dyDescent="0.3">
      <c r="A1982" t="s">
        <v>18</v>
      </c>
      <c r="B1982" t="s">
        <v>11</v>
      </c>
      <c r="C1982" t="s">
        <v>24</v>
      </c>
      <c r="D1982" t="s">
        <v>28</v>
      </c>
      <c r="E1982">
        <v>14</v>
      </c>
      <c r="F1982" t="s">
        <v>14</v>
      </c>
      <c r="G1982" t="s">
        <v>15</v>
      </c>
      <c r="H1982" t="s">
        <v>16</v>
      </c>
      <c r="I1982">
        <v>0</v>
      </c>
      <c r="J1982" s="23">
        <v>3198879</v>
      </c>
      <c r="K1982">
        <v>44784306</v>
      </c>
    </row>
    <row r="1983" spans="1:11" ht="15" customHeight="1" x14ac:dyDescent="0.3">
      <c r="A1983" t="s">
        <v>18</v>
      </c>
      <c r="B1983" t="s">
        <v>11</v>
      </c>
      <c r="C1983" t="s">
        <v>12</v>
      </c>
      <c r="D1983" t="s">
        <v>13</v>
      </c>
      <c r="E1983">
        <v>7</v>
      </c>
      <c r="F1983" t="s">
        <v>27</v>
      </c>
      <c r="G1983" t="s">
        <v>15</v>
      </c>
      <c r="H1983" t="s">
        <v>16</v>
      </c>
      <c r="I1983">
        <v>0</v>
      </c>
      <c r="J1983" s="23">
        <v>-517</v>
      </c>
      <c r="K1983" t="s">
        <v>17</v>
      </c>
    </row>
    <row r="1984" spans="1:11" ht="15" customHeight="1" x14ac:dyDescent="0.3">
      <c r="A1984" t="s">
        <v>18</v>
      </c>
      <c r="B1984" t="s">
        <v>11</v>
      </c>
      <c r="C1984" t="s">
        <v>24</v>
      </c>
      <c r="D1984" t="s">
        <v>17</v>
      </c>
      <c r="E1984">
        <v>-1</v>
      </c>
      <c r="F1984" t="s">
        <v>17</v>
      </c>
      <c r="G1984" t="s">
        <v>15</v>
      </c>
      <c r="H1984" t="s">
        <v>16</v>
      </c>
      <c r="I1984">
        <v>0</v>
      </c>
      <c r="J1984" s="23">
        <v>41513</v>
      </c>
      <c r="K1984" t="s">
        <v>17</v>
      </c>
    </row>
    <row r="1985" spans="1:11" ht="15" customHeight="1" x14ac:dyDescent="0.3">
      <c r="A1985" t="s">
        <v>18</v>
      </c>
      <c r="B1985" t="s">
        <v>11</v>
      </c>
      <c r="C1985" t="s">
        <v>12</v>
      </c>
      <c r="D1985" t="s">
        <v>28</v>
      </c>
      <c r="E1985">
        <v>6</v>
      </c>
      <c r="F1985" t="s">
        <v>48</v>
      </c>
      <c r="G1985" t="s">
        <v>15</v>
      </c>
      <c r="H1985" t="s">
        <v>16</v>
      </c>
      <c r="I1985">
        <v>0</v>
      </c>
      <c r="J1985" s="23">
        <v>-283</v>
      </c>
      <c r="K1985" t="s">
        <v>17</v>
      </c>
    </row>
    <row r="1986" spans="1:11" ht="15" customHeight="1" x14ac:dyDescent="0.3">
      <c r="A1986" t="s">
        <v>18</v>
      </c>
      <c r="B1986" t="s">
        <v>11</v>
      </c>
      <c r="C1986" t="s">
        <v>12</v>
      </c>
      <c r="D1986" t="s">
        <v>25</v>
      </c>
      <c r="E1986">
        <v>6</v>
      </c>
      <c r="F1986" t="s">
        <v>39</v>
      </c>
      <c r="G1986" t="s">
        <v>15</v>
      </c>
      <c r="H1986" t="s">
        <v>16</v>
      </c>
      <c r="I1986">
        <v>0</v>
      </c>
      <c r="J1986" s="23">
        <v>-1131</v>
      </c>
      <c r="K1986" t="s">
        <v>17</v>
      </c>
    </row>
    <row r="1987" spans="1:11" ht="15" customHeight="1" x14ac:dyDescent="0.3">
      <c r="A1987" t="s">
        <v>22</v>
      </c>
      <c r="B1987" t="s">
        <v>11</v>
      </c>
      <c r="C1987" t="s">
        <v>24</v>
      </c>
      <c r="D1987" t="s">
        <v>13</v>
      </c>
      <c r="E1987">
        <v>-1</v>
      </c>
      <c r="F1987" t="s">
        <v>36</v>
      </c>
      <c r="G1987" t="s">
        <v>15</v>
      </c>
      <c r="H1987" t="s">
        <v>16</v>
      </c>
      <c r="I1987">
        <v>0</v>
      </c>
      <c r="J1987" s="23">
        <v>11594</v>
      </c>
      <c r="K1987" t="s">
        <v>17</v>
      </c>
    </row>
    <row r="1988" spans="1:11" ht="15" customHeight="1" x14ac:dyDescent="0.3">
      <c r="A1988" t="s">
        <v>18</v>
      </c>
      <c r="B1988" t="s">
        <v>11</v>
      </c>
      <c r="C1988" t="s">
        <v>12</v>
      </c>
      <c r="D1988" t="s">
        <v>25</v>
      </c>
      <c r="E1988">
        <v>5</v>
      </c>
      <c r="F1988" t="s">
        <v>21</v>
      </c>
      <c r="G1988" t="s">
        <v>15</v>
      </c>
      <c r="H1988" t="s">
        <v>16</v>
      </c>
      <c r="I1988">
        <v>0</v>
      </c>
      <c r="J1988" s="23">
        <v>-16878</v>
      </c>
      <c r="K1988" t="s">
        <v>17</v>
      </c>
    </row>
    <row r="1989" spans="1:11" ht="15" customHeight="1" x14ac:dyDescent="0.3">
      <c r="A1989" t="s">
        <v>18</v>
      </c>
      <c r="B1989" t="s">
        <v>11</v>
      </c>
      <c r="C1989" t="s">
        <v>12</v>
      </c>
      <c r="D1989" t="s">
        <v>28</v>
      </c>
      <c r="E1989">
        <v>-1</v>
      </c>
      <c r="F1989" t="s">
        <v>40</v>
      </c>
      <c r="G1989" t="s">
        <v>15</v>
      </c>
      <c r="H1989" t="s">
        <v>16</v>
      </c>
      <c r="I1989">
        <v>0</v>
      </c>
      <c r="J1989" s="23">
        <v>0</v>
      </c>
      <c r="K1989" t="s">
        <v>17</v>
      </c>
    </row>
    <row r="1990" spans="1:11" ht="15" customHeight="1" x14ac:dyDescent="0.3">
      <c r="A1990" t="s">
        <v>22</v>
      </c>
      <c r="B1990" t="s">
        <v>19</v>
      </c>
      <c r="C1990" t="s">
        <v>12</v>
      </c>
      <c r="D1990" t="s">
        <v>20</v>
      </c>
      <c r="E1990">
        <v>37</v>
      </c>
      <c r="F1990"/>
      <c r="G1990" t="s">
        <v>15</v>
      </c>
      <c r="H1990" t="s">
        <v>16</v>
      </c>
      <c r="I1990">
        <v>0</v>
      </c>
      <c r="J1990" s="23">
        <v>-1945375</v>
      </c>
      <c r="K1990" t="s">
        <v>17</v>
      </c>
    </row>
    <row r="1991" spans="1:11" ht="15" customHeight="1" x14ac:dyDescent="0.3">
      <c r="A1991" t="s">
        <v>18</v>
      </c>
      <c r="B1991" t="s">
        <v>19</v>
      </c>
      <c r="C1991" t="s">
        <v>24</v>
      </c>
      <c r="D1991" t="s">
        <v>28</v>
      </c>
      <c r="E1991">
        <v>22</v>
      </c>
      <c r="F1991"/>
      <c r="G1991" t="s">
        <v>15</v>
      </c>
      <c r="H1991" t="s">
        <v>16</v>
      </c>
      <c r="I1991">
        <v>0</v>
      </c>
      <c r="J1991" s="23">
        <v>225246</v>
      </c>
      <c r="K1991">
        <v>4955412</v>
      </c>
    </row>
    <row r="1992" spans="1:11" ht="15" customHeight="1" x14ac:dyDescent="0.3">
      <c r="A1992" t="s">
        <v>22</v>
      </c>
      <c r="B1992" t="s">
        <v>19</v>
      </c>
      <c r="C1992" t="s">
        <v>12</v>
      </c>
      <c r="D1992" t="s">
        <v>28</v>
      </c>
      <c r="E1992">
        <v>15</v>
      </c>
      <c r="F1992"/>
      <c r="G1992" t="s">
        <v>15</v>
      </c>
      <c r="H1992" t="s">
        <v>16</v>
      </c>
      <c r="I1992">
        <v>0</v>
      </c>
      <c r="J1992" s="23">
        <v>-24076</v>
      </c>
      <c r="K1992" t="s">
        <v>17</v>
      </c>
    </row>
    <row r="1993" spans="1:11" ht="15" customHeight="1" x14ac:dyDescent="0.3">
      <c r="A1993" t="s">
        <v>10</v>
      </c>
      <c r="B1993" t="s">
        <v>11</v>
      </c>
      <c r="C1993" t="s">
        <v>24</v>
      </c>
      <c r="D1993" t="s">
        <v>25</v>
      </c>
      <c r="E1993">
        <v>2</v>
      </c>
      <c r="F1993" t="s">
        <v>23</v>
      </c>
      <c r="G1993" t="s">
        <v>15</v>
      </c>
      <c r="H1993" t="s">
        <v>16</v>
      </c>
      <c r="I1993">
        <v>0</v>
      </c>
      <c r="J1993" s="23">
        <v>213135</v>
      </c>
      <c r="K1993">
        <v>426270</v>
      </c>
    </row>
    <row r="1994" spans="1:11" ht="15" customHeight="1" x14ac:dyDescent="0.3">
      <c r="A1994" t="s">
        <v>18</v>
      </c>
      <c r="B1994" t="s">
        <v>11</v>
      </c>
      <c r="C1994" t="s">
        <v>24</v>
      </c>
      <c r="D1994" t="s">
        <v>25</v>
      </c>
      <c r="E1994">
        <v>6</v>
      </c>
      <c r="F1994" t="s">
        <v>26</v>
      </c>
      <c r="G1994" t="s">
        <v>15</v>
      </c>
      <c r="H1994" t="s">
        <v>16</v>
      </c>
      <c r="I1994">
        <v>0</v>
      </c>
      <c r="J1994" s="23">
        <v>1367036</v>
      </c>
      <c r="K1994">
        <v>8202216</v>
      </c>
    </row>
    <row r="1995" spans="1:11" ht="15" customHeight="1" x14ac:dyDescent="0.3">
      <c r="A1995" t="s">
        <v>18</v>
      </c>
      <c r="B1995" t="s">
        <v>11</v>
      </c>
      <c r="C1995" t="s">
        <v>12</v>
      </c>
      <c r="D1995" t="s">
        <v>28</v>
      </c>
      <c r="E1995">
        <v>12</v>
      </c>
      <c r="F1995" t="s">
        <v>39</v>
      </c>
      <c r="G1995" t="s">
        <v>15</v>
      </c>
      <c r="H1995" t="s">
        <v>16</v>
      </c>
      <c r="I1995">
        <v>0</v>
      </c>
      <c r="J1995" s="23">
        <v>-4245</v>
      </c>
      <c r="K1995" t="s">
        <v>17</v>
      </c>
    </row>
    <row r="1996" spans="1:11" ht="15" customHeight="1" x14ac:dyDescent="0.3">
      <c r="A1996" t="s">
        <v>18</v>
      </c>
      <c r="B1996" t="s">
        <v>11</v>
      </c>
      <c r="C1996" t="s">
        <v>12</v>
      </c>
      <c r="D1996" t="s">
        <v>25</v>
      </c>
      <c r="E1996">
        <v>2</v>
      </c>
      <c r="F1996" t="s">
        <v>42</v>
      </c>
      <c r="G1996" t="s">
        <v>15</v>
      </c>
      <c r="H1996" t="s">
        <v>16</v>
      </c>
      <c r="I1996">
        <v>0</v>
      </c>
      <c r="J1996" s="23">
        <v>-229</v>
      </c>
      <c r="K1996" t="s">
        <v>17</v>
      </c>
    </row>
    <row r="1997" spans="1:11" ht="15" customHeight="1" x14ac:dyDescent="0.3">
      <c r="A1997" t="s">
        <v>22</v>
      </c>
      <c r="B1997" t="s">
        <v>11</v>
      </c>
      <c r="C1997" t="s">
        <v>24</v>
      </c>
      <c r="D1997" t="s">
        <v>13</v>
      </c>
      <c r="E1997">
        <v>10</v>
      </c>
      <c r="F1997" t="s">
        <v>30</v>
      </c>
      <c r="G1997" t="s">
        <v>15</v>
      </c>
      <c r="H1997" t="s">
        <v>16</v>
      </c>
      <c r="I1997">
        <v>0</v>
      </c>
      <c r="J1997" s="23">
        <v>27750</v>
      </c>
      <c r="K1997">
        <v>277500</v>
      </c>
    </row>
    <row r="1998" spans="1:11" ht="15" customHeight="1" x14ac:dyDescent="0.3">
      <c r="A1998" t="s">
        <v>10</v>
      </c>
      <c r="B1998" t="s">
        <v>11</v>
      </c>
      <c r="C1998" t="s">
        <v>12</v>
      </c>
      <c r="D1998" t="s">
        <v>13</v>
      </c>
      <c r="E1998">
        <v>4</v>
      </c>
      <c r="F1998" t="s">
        <v>23</v>
      </c>
      <c r="G1998" t="s">
        <v>15</v>
      </c>
      <c r="H1998" t="s">
        <v>16</v>
      </c>
      <c r="I1998">
        <v>0</v>
      </c>
      <c r="J1998" s="23">
        <v>-193411</v>
      </c>
      <c r="K1998" t="s">
        <v>17</v>
      </c>
    </row>
    <row r="1999" spans="1:11" ht="15" customHeight="1" x14ac:dyDescent="0.3">
      <c r="A1999" t="s">
        <v>22</v>
      </c>
      <c r="B1999" t="s">
        <v>19</v>
      </c>
      <c r="C1999" t="s">
        <v>12</v>
      </c>
      <c r="D1999" t="s">
        <v>20</v>
      </c>
      <c r="E1999">
        <v>1</v>
      </c>
      <c r="F1999"/>
      <c r="G1999" t="s">
        <v>15</v>
      </c>
      <c r="H1999" t="s">
        <v>16</v>
      </c>
      <c r="I1999">
        <v>0</v>
      </c>
      <c r="J1999" s="23">
        <v>-222146</v>
      </c>
      <c r="K1999" t="s">
        <v>17</v>
      </c>
    </row>
    <row r="2000" spans="1:11" ht="15" customHeight="1" x14ac:dyDescent="0.3">
      <c r="A2000" t="s">
        <v>18</v>
      </c>
      <c r="B2000" t="s">
        <v>11</v>
      </c>
      <c r="C2000" t="s">
        <v>24</v>
      </c>
      <c r="D2000" t="s">
        <v>28</v>
      </c>
      <c r="E2000">
        <v>20</v>
      </c>
      <c r="F2000" t="s">
        <v>26</v>
      </c>
      <c r="G2000" t="s">
        <v>15</v>
      </c>
      <c r="H2000" t="s">
        <v>16</v>
      </c>
      <c r="I2000">
        <v>0</v>
      </c>
      <c r="J2000" s="23">
        <v>550183</v>
      </c>
      <c r="K2000">
        <v>11003660</v>
      </c>
    </row>
    <row r="2001" spans="1:11" ht="15" customHeight="1" x14ac:dyDescent="0.3">
      <c r="A2001" t="s">
        <v>10</v>
      </c>
      <c r="B2001" t="s">
        <v>11</v>
      </c>
      <c r="C2001" t="s">
        <v>12</v>
      </c>
      <c r="D2001" t="s">
        <v>25</v>
      </c>
      <c r="E2001">
        <v>4</v>
      </c>
      <c r="F2001" t="s">
        <v>40</v>
      </c>
      <c r="G2001" t="s">
        <v>15</v>
      </c>
      <c r="H2001" t="s">
        <v>16</v>
      </c>
      <c r="I2001">
        <v>0</v>
      </c>
      <c r="J2001" s="23">
        <v>-163140</v>
      </c>
      <c r="K2001" t="s">
        <v>17</v>
      </c>
    </row>
    <row r="2002" spans="1:11" ht="15" customHeight="1" x14ac:dyDescent="0.3">
      <c r="A2002" t="s">
        <v>18</v>
      </c>
      <c r="B2002" t="s">
        <v>11</v>
      </c>
      <c r="C2002" t="s">
        <v>24</v>
      </c>
      <c r="D2002" t="s">
        <v>13</v>
      </c>
      <c r="E2002">
        <v>2</v>
      </c>
      <c r="F2002" t="s">
        <v>36</v>
      </c>
      <c r="G2002" t="s">
        <v>15</v>
      </c>
      <c r="H2002" t="s">
        <v>16</v>
      </c>
      <c r="I2002">
        <v>0</v>
      </c>
      <c r="J2002" s="23">
        <v>2396328</v>
      </c>
      <c r="K2002">
        <v>4792656</v>
      </c>
    </row>
    <row r="2003" spans="1:11" ht="15" customHeight="1" x14ac:dyDescent="0.3">
      <c r="A2003" t="s">
        <v>22</v>
      </c>
      <c r="B2003" t="s">
        <v>11</v>
      </c>
      <c r="C2003" t="s">
        <v>12</v>
      </c>
      <c r="D2003" t="s">
        <v>13</v>
      </c>
      <c r="E2003">
        <v>10</v>
      </c>
      <c r="F2003" t="s">
        <v>30</v>
      </c>
      <c r="G2003" t="s">
        <v>15</v>
      </c>
      <c r="H2003" t="s">
        <v>16</v>
      </c>
      <c r="I2003">
        <v>0</v>
      </c>
      <c r="J2003" s="23">
        <v>-19923</v>
      </c>
      <c r="K2003" t="s">
        <v>17</v>
      </c>
    </row>
    <row r="2004" spans="1:11" ht="15" customHeight="1" x14ac:dyDescent="0.3">
      <c r="A2004" t="s">
        <v>22</v>
      </c>
      <c r="B2004" t="s">
        <v>11</v>
      </c>
      <c r="C2004" t="s">
        <v>24</v>
      </c>
      <c r="D2004" t="s">
        <v>28</v>
      </c>
      <c r="E2004">
        <v>3</v>
      </c>
      <c r="F2004" t="s">
        <v>23</v>
      </c>
      <c r="G2004" t="s">
        <v>15</v>
      </c>
      <c r="H2004" t="s">
        <v>16</v>
      </c>
      <c r="I2004">
        <v>0</v>
      </c>
      <c r="J2004" s="23">
        <v>5763417</v>
      </c>
      <c r="K2004">
        <v>17290251</v>
      </c>
    </row>
    <row r="2005" spans="1:11" ht="15" customHeight="1" x14ac:dyDescent="0.3">
      <c r="A2005" t="s">
        <v>10</v>
      </c>
      <c r="B2005" t="s">
        <v>11</v>
      </c>
      <c r="C2005" t="s">
        <v>24</v>
      </c>
      <c r="D2005" t="s">
        <v>25</v>
      </c>
      <c r="E2005">
        <v>4</v>
      </c>
      <c r="F2005" t="s">
        <v>36</v>
      </c>
      <c r="G2005" t="s">
        <v>15</v>
      </c>
      <c r="H2005" t="s">
        <v>16</v>
      </c>
      <c r="I2005">
        <v>0</v>
      </c>
      <c r="J2005" s="23">
        <v>55490</v>
      </c>
      <c r="K2005">
        <v>221960</v>
      </c>
    </row>
    <row r="2006" spans="1:11" ht="15" customHeight="1" x14ac:dyDescent="0.3">
      <c r="A2006" t="s">
        <v>18</v>
      </c>
      <c r="B2006" t="s">
        <v>19</v>
      </c>
      <c r="C2006" t="s">
        <v>12</v>
      </c>
      <c r="D2006" t="s">
        <v>20</v>
      </c>
      <c r="E2006">
        <v>23</v>
      </c>
      <c r="F2006"/>
      <c r="G2006" t="s">
        <v>31</v>
      </c>
      <c r="H2006" t="s">
        <v>32</v>
      </c>
      <c r="I2006">
        <v>1</v>
      </c>
      <c r="J2006" s="23">
        <v>-18</v>
      </c>
      <c r="K2006" t="s">
        <v>17</v>
      </c>
    </row>
    <row r="2007" spans="1:11" ht="15" customHeight="1" x14ac:dyDescent="0.3">
      <c r="A2007" t="s">
        <v>22</v>
      </c>
      <c r="B2007" t="s">
        <v>19</v>
      </c>
      <c r="C2007" t="s">
        <v>12</v>
      </c>
      <c r="D2007" t="s">
        <v>20</v>
      </c>
      <c r="E2007">
        <v>30</v>
      </c>
      <c r="F2007"/>
      <c r="G2007" t="s">
        <v>15</v>
      </c>
      <c r="H2007" t="s">
        <v>16</v>
      </c>
      <c r="I2007">
        <v>0</v>
      </c>
      <c r="J2007" s="23">
        <v>-2147854</v>
      </c>
      <c r="K2007" t="s">
        <v>17</v>
      </c>
    </row>
    <row r="2008" spans="1:11" ht="15" customHeight="1" x14ac:dyDescent="0.3">
      <c r="A2008" t="s">
        <v>18</v>
      </c>
      <c r="B2008" t="s">
        <v>11</v>
      </c>
      <c r="C2008" t="s">
        <v>24</v>
      </c>
      <c r="D2008" t="s">
        <v>28</v>
      </c>
      <c r="E2008">
        <v>8</v>
      </c>
      <c r="F2008" t="s">
        <v>21</v>
      </c>
      <c r="G2008" t="s">
        <v>15</v>
      </c>
      <c r="H2008" t="s">
        <v>16</v>
      </c>
      <c r="I2008">
        <v>0</v>
      </c>
      <c r="J2008" s="23">
        <v>4709137</v>
      </c>
      <c r="K2008">
        <v>37673096</v>
      </c>
    </row>
    <row r="2009" spans="1:11" ht="15" customHeight="1" x14ac:dyDescent="0.3">
      <c r="A2009" t="s">
        <v>18</v>
      </c>
      <c r="B2009" t="s">
        <v>11</v>
      </c>
      <c r="C2009" t="s">
        <v>12</v>
      </c>
      <c r="D2009" t="s">
        <v>13</v>
      </c>
      <c r="E2009">
        <v>10</v>
      </c>
      <c r="F2009" t="s">
        <v>33</v>
      </c>
      <c r="G2009" t="s">
        <v>15</v>
      </c>
      <c r="H2009" t="s">
        <v>16</v>
      </c>
      <c r="I2009">
        <v>0</v>
      </c>
      <c r="J2009" s="23">
        <v>-22006</v>
      </c>
      <c r="K2009" t="s">
        <v>17</v>
      </c>
    </row>
    <row r="2010" spans="1:11" ht="15" customHeight="1" x14ac:dyDescent="0.3">
      <c r="A2010" t="s">
        <v>10</v>
      </c>
      <c r="B2010" t="s">
        <v>11</v>
      </c>
      <c r="C2010" t="s">
        <v>24</v>
      </c>
      <c r="D2010" t="s">
        <v>28</v>
      </c>
      <c r="E2010">
        <v>0</v>
      </c>
      <c r="F2010" t="s">
        <v>14</v>
      </c>
      <c r="G2010" t="s">
        <v>15</v>
      </c>
      <c r="H2010" t="s">
        <v>16</v>
      </c>
      <c r="I2010">
        <v>0</v>
      </c>
      <c r="J2010" s="23">
        <v>34357</v>
      </c>
      <c r="K2010" t="s">
        <v>17</v>
      </c>
    </row>
    <row r="2011" spans="1:11" ht="15" customHeight="1" x14ac:dyDescent="0.3">
      <c r="A2011" t="s">
        <v>18</v>
      </c>
      <c r="B2011" t="s">
        <v>19</v>
      </c>
      <c r="C2011" t="s">
        <v>24</v>
      </c>
      <c r="D2011" t="s">
        <v>20</v>
      </c>
      <c r="E2011">
        <v>20</v>
      </c>
      <c r="F2011"/>
      <c r="G2011" t="s">
        <v>15</v>
      </c>
      <c r="H2011" t="s">
        <v>32</v>
      </c>
      <c r="I2011">
        <v>1</v>
      </c>
      <c r="J2011" s="23">
        <v>2017611</v>
      </c>
      <c r="K2011">
        <v>40352220</v>
      </c>
    </row>
    <row r="2012" spans="1:11" ht="15" customHeight="1" x14ac:dyDescent="0.3">
      <c r="A2012" t="s">
        <v>10</v>
      </c>
      <c r="B2012" t="s">
        <v>11</v>
      </c>
      <c r="C2012" t="s">
        <v>12</v>
      </c>
      <c r="D2012" t="s">
        <v>13</v>
      </c>
      <c r="E2012">
        <v>1</v>
      </c>
      <c r="F2012" t="s">
        <v>36</v>
      </c>
      <c r="G2012" t="s">
        <v>15</v>
      </c>
      <c r="H2012" t="s">
        <v>16</v>
      </c>
      <c r="I2012">
        <v>0</v>
      </c>
      <c r="J2012" s="23">
        <v>-2396</v>
      </c>
      <c r="K2012" t="s">
        <v>17</v>
      </c>
    </row>
    <row r="2013" spans="1:11" ht="15" customHeight="1" x14ac:dyDescent="0.3">
      <c r="A2013" t="s">
        <v>22</v>
      </c>
      <c r="B2013" t="s">
        <v>11</v>
      </c>
      <c r="C2013" t="s">
        <v>24</v>
      </c>
      <c r="D2013" t="s">
        <v>28</v>
      </c>
      <c r="E2013">
        <v>29</v>
      </c>
      <c r="F2013" t="s">
        <v>23</v>
      </c>
      <c r="G2013" t="s">
        <v>15</v>
      </c>
      <c r="H2013" t="s">
        <v>16</v>
      </c>
      <c r="I2013">
        <v>0</v>
      </c>
      <c r="J2013" s="23">
        <v>57460543</v>
      </c>
      <c r="K2013">
        <v>1666355747</v>
      </c>
    </row>
    <row r="2014" spans="1:11" ht="15" customHeight="1" x14ac:dyDescent="0.3">
      <c r="A2014" t="s">
        <v>18</v>
      </c>
      <c r="B2014" t="s">
        <v>11</v>
      </c>
      <c r="C2014" t="s">
        <v>24</v>
      </c>
      <c r="D2014" t="s">
        <v>13</v>
      </c>
      <c r="E2014">
        <v>5</v>
      </c>
      <c r="F2014" t="s">
        <v>37</v>
      </c>
      <c r="G2014" t="s">
        <v>15</v>
      </c>
      <c r="H2014" t="s">
        <v>16</v>
      </c>
      <c r="I2014">
        <v>0</v>
      </c>
      <c r="J2014" s="23">
        <v>185112</v>
      </c>
      <c r="K2014">
        <v>925560</v>
      </c>
    </row>
    <row r="2015" spans="1:11" ht="15" customHeight="1" x14ac:dyDescent="0.3">
      <c r="A2015" t="s">
        <v>22</v>
      </c>
      <c r="B2015" t="s">
        <v>19</v>
      </c>
      <c r="C2015" t="s">
        <v>24</v>
      </c>
      <c r="D2015" t="s">
        <v>28</v>
      </c>
      <c r="E2015">
        <v>11</v>
      </c>
      <c r="F2015"/>
      <c r="G2015" t="s">
        <v>15</v>
      </c>
      <c r="H2015" t="s">
        <v>16</v>
      </c>
      <c r="I2015">
        <v>0</v>
      </c>
      <c r="J2015" s="23">
        <v>34336</v>
      </c>
      <c r="K2015">
        <v>377696</v>
      </c>
    </row>
    <row r="2016" spans="1:11" ht="15" customHeight="1" x14ac:dyDescent="0.3">
      <c r="A2016" t="s">
        <v>18</v>
      </c>
      <c r="B2016" t="s">
        <v>11</v>
      </c>
      <c r="C2016" t="s">
        <v>12</v>
      </c>
      <c r="D2016" t="s">
        <v>28</v>
      </c>
      <c r="E2016">
        <v>1</v>
      </c>
      <c r="F2016" t="s">
        <v>35</v>
      </c>
      <c r="G2016" t="s">
        <v>15</v>
      </c>
      <c r="H2016" t="s">
        <v>16</v>
      </c>
      <c r="I2016">
        <v>0</v>
      </c>
      <c r="J2016" s="23">
        <v>-54</v>
      </c>
      <c r="K2016" t="s">
        <v>17</v>
      </c>
    </row>
    <row r="2017" spans="1:11" ht="15" customHeight="1" x14ac:dyDescent="0.3">
      <c r="A2017" t="s">
        <v>18</v>
      </c>
      <c r="B2017" t="s">
        <v>11</v>
      </c>
      <c r="C2017" t="s">
        <v>12</v>
      </c>
      <c r="D2017" t="s">
        <v>25</v>
      </c>
      <c r="E2017">
        <v>-4</v>
      </c>
      <c r="F2017" t="s">
        <v>39</v>
      </c>
      <c r="G2017" t="s">
        <v>15</v>
      </c>
      <c r="H2017" t="s">
        <v>16</v>
      </c>
      <c r="I2017">
        <v>0</v>
      </c>
      <c r="J2017" s="23">
        <v>-2</v>
      </c>
      <c r="K2017" t="s">
        <v>17</v>
      </c>
    </row>
    <row r="2018" spans="1:11" ht="15" customHeight="1" x14ac:dyDescent="0.3">
      <c r="A2018" t="s">
        <v>18</v>
      </c>
      <c r="B2018" t="s">
        <v>19</v>
      </c>
      <c r="C2018" t="s">
        <v>12</v>
      </c>
      <c r="D2018" t="s">
        <v>20</v>
      </c>
      <c r="E2018">
        <v>0</v>
      </c>
      <c r="F2018"/>
      <c r="G2018" t="s">
        <v>15</v>
      </c>
      <c r="H2018" t="s">
        <v>16</v>
      </c>
      <c r="I2018">
        <v>0</v>
      </c>
      <c r="J2018" s="23">
        <v>-6176</v>
      </c>
      <c r="K2018" t="s">
        <v>17</v>
      </c>
    </row>
    <row r="2019" spans="1:11" ht="15" customHeight="1" x14ac:dyDescent="0.3">
      <c r="A2019" t="s">
        <v>10</v>
      </c>
      <c r="B2019" t="s">
        <v>11</v>
      </c>
      <c r="C2019" t="s">
        <v>12</v>
      </c>
      <c r="D2019" t="s">
        <v>13</v>
      </c>
      <c r="E2019">
        <v>7</v>
      </c>
      <c r="F2019" t="s">
        <v>33</v>
      </c>
      <c r="G2019" t="s">
        <v>15</v>
      </c>
      <c r="H2019" t="s">
        <v>16</v>
      </c>
      <c r="I2019">
        <v>0</v>
      </c>
      <c r="J2019" s="23">
        <v>-380805</v>
      </c>
      <c r="K2019" t="s">
        <v>17</v>
      </c>
    </row>
    <row r="2020" spans="1:11" ht="15" customHeight="1" x14ac:dyDescent="0.3">
      <c r="A2020" t="s">
        <v>10</v>
      </c>
      <c r="B2020" t="s">
        <v>19</v>
      </c>
      <c r="C2020" t="s">
        <v>12</v>
      </c>
      <c r="D2020" t="s">
        <v>20</v>
      </c>
      <c r="E2020">
        <v>18</v>
      </c>
      <c r="F2020"/>
      <c r="G2020" t="s">
        <v>15</v>
      </c>
      <c r="H2020" t="s">
        <v>32</v>
      </c>
      <c r="I2020">
        <v>1</v>
      </c>
      <c r="J2020" s="23">
        <v>-4434</v>
      </c>
      <c r="K2020" t="s">
        <v>17</v>
      </c>
    </row>
    <row r="2021" spans="1:11" ht="15" customHeight="1" x14ac:dyDescent="0.3">
      <c r="A2021" t="s">
        <v>18</v>
      </c>
      <c r="B2021" t="s">
        <v>19</v>
      </c>
      <c r="C2021" t="s">
        <v>12</v>
      </c>
      <c r="D2021" t="s">
        <v>28</v>
      </c>
      <c r="E2021">
        <v>29</v>
      </c>
      <c r="F2021"/>
      <c r="G2021" t="s">
        <v>15</v>
      </c>
      <c r="H2021" t="s">
        <v>16</v>
      </c>
      <c r="I2021">
        <v>0</v>
      </c>
      <c r="J2021" s="23">
        <v>-247</v>
      </c>
      <c r="K2021" t="s">
        <v>17</v>
      </c>
    </row>
    <row r="2022" spans="1:11" ht="15" customHeight="1" x14ac:dyDescent="0.3">
      <c r="A2022" t="s">
        <v>10</v>
      </c>
      <c r="B2022" t="s">
        <v>19</v>
      </c>
      <c r="C2022" t="s">
        <v>12</v>
      </c>
      <c r="D2022" t="s">
        <v>28</v>
      </c>
      <c r="E2022">
        <v>4</v>
      </c>
      <c r="F2022"/>
      <c r="G2022" t="s">
        <v>15</v>
      </c>
      <c r="H2022" t="s">
        <v>16</v>
      </c>
      <c r="I2022">
        <v>0</v>
      </c>
      <c r="J2022" s="23">
        <v>-21063</v>
      </c>
      <c r="K2022" t="s">
        <v>17</v>
      </c>
    </row>
    <row r="2023" spans="1:11" ht="15" customHeight="1" x14ac:dyDescent="0.3">
      <c r="A2023" t="s">
        <v>22</v>
      </c>
      <c r="B2023" t="s">
        <v>11</v>
      </c>
      <c r="C2023" t="s">
        <v>24</v>
      </c>
      <c r="D2023" t="s">
        <v>13</v>
      </c>
      <c r="E2023">
        <v>6</v>
      </c>
      <c r="F2023" t="s">
        <v>27</v>
      </c>
      <c r="G2023" t="s">
        <v>15</v>
      </c>
      <c r="H2023" t="s">
        <v>16</v>
      </c>
      <c r="I2023">
        <v>0</v>
      </c>
      <c r="J2023" s="23">
        <v>36173</v>
      </c>
      <c r="K2023">
        <v>217038</v>
      </c>
    </row>
    <row r="2024" spans="1:11" ht="15" customHeight="1" x14ac:dyDescent="0.3">
      <c r="A2024" t="s">
        <v>18</v>
      </c>
      <c r="B2024" t="s">
        <v>19</v>
      </c>
      <c r="C2024" t="s">
        <v>12</v>
      </c>
      <c r="D2024" t="s">
        <v>20</v>
      </c>
      <c r="E2024">
        <v>24</v>
      </c>
      <c r="F2024"/>
      <c r="G2024" t="s">
        <v>15</v>
      </c>
      <c r="H2024" t="s">
        <v>32</v>
      </c>
      <c r="I2024">
        <v>1</v>
      </c>
      <c r="J2024" s="23">
        <v>-848</v>
      </c>
      <c r="K2024" t="s">
        <v>17</v>
      </c>
    </row>
    <row r="2025" spans="1:11" ht="15" customHeight="1" x14ac:dyDescent="0.3">
      <c r="A2025" t="s">
        <v>22</v>
      </c>
      <c r="B2025" t="s">
        <v>11</v>
      </c>
      <c r="C2025" t="s">
        <v>12</v>
      </c>
      <c r="D2025" t="s">
        <v>25</v>
      </c>
      <c r="E2025">
        <v>1</v>
      </c>
      <c r="F2025" t="s">
        <v>37</v>
      </c>
      <c r="G2025" t="s">
        <v>15</v>
      </c>
      <c r="H2025" t="s">
        <v>16</v>
      </c>
      <c r="I2025">
        <v>0</v>
      </c>
      <c r="J2025" s="23">
        <v>-10663</v>
      </c>
      <c r="K2025" t="s">
        <v>17</v>
      </c>
    </row>
    <row r="2026" spans="1:11" ht="15" customHeight="1" x14ac:dyDescent="0.3">
      <c r="A2026" t="s">
        <v>18</v>
      </c>
      <c r="B2026" t="s">
        <v>11</v>
      </c>
      <c r="C2026" t="s">
        <v>12</v>
      </c>
      <c r="D2026" t="s">
        <v>25</v>
      </c>
      <c r="E2026">
        <v>3</v>
      </c>
      <c r="F2026" t="s">
        <v>21</v>
      </c>
      <c r="G2026" t="s">
        <v>15</v>
      </c>
      <c r="H2026" t="s">
        <v>16</v>
      </c>
      <c r="I2026">
        <v>0</v>
      </c>
      <c r="J2026" s="23">
        <v>-27257</v>
      </c>
      <c r="K2026" t="s">
        <v>17</v>
      </c>
    </row>
    <row r="2027" spans="1:11" ht="15" customHeight="1" x14ac:dyDescent="0.3">
      <c r="A2027" t="s">
        <v>18</v>
      </c>
      <c r="B2027" t="s">
        <v>11</v>
      </c>
      <c r="C2027" t="s">
        <v>24</v>
      </c>
      <c r="D2027" t="s">
        <v>13</v>
      </c>
      <c r="E2027">
        <v>0</v>
      </c>
      <c r="F2027" t="s">
        <v>23</v>
      </c>
      <c r="G2027" t="s">
        <v>15</v>
      </c>
      <c r="H2027" t="s">
        <v>16</v>
      </c>
      <c r="I2027">
        <v>0</v>
      </c>
      <c r="J2027" s="23">
        <v>17164716</v>
      </c>
      <c r="K2027" t="s">
        <v>17</v>
      </c>
    </row>
    <row r="2028" spans="1:11" ht="15" customHeight="1" x14ac:dyDescent="0.3">
      <c r="A2028" t="s">
        <v>10</v>
      </c>
      <c r="B2028" t="s">
        <v>11</v>
      </c>
      <c r="C2028" t="s">
        <v>12</v>
      </c>
      <c r="D2028" t="s">
        <v>25</v>
      </c>
      <c r="E2028">
        <v>5</v>
      </c>
      <c r="F2028" t="s">
        <v>40</v>
      </c>
      <c r="G2028" t="s">
        <v>15</v>
      </c>
      <c r="H2028" t="s">
        <v>16</v>
      </c>
      <c r="I2028">
        <v>0</v>
      </c>
      <c r="J2028" s="23">
        <v>-149146</v>
      </c>
      <c r="K2028" t="s">
        <v>17</v>
      </c>
    </row>
    <row r="2029" spans="1:11" ht="15" customHeight="1" x14ac:dyDescent="0.3">
      <c r="A2029" t="s">
        <v>10</v>
      </c>
      <c r="B2029" t="s">
        <v>19</v>
      </c>
      <c r="C2029" t="s">
        <v>24</v>
      </c>
      <c r="D2029" t="s">
        <v>20</v>
      </c>
      <c r="E2029">
        <v>10</v>
      </c>
      <c r="F2029"/>
      <c r="G2029" t="s">
        <v>15</v>
      </c>
      <c r="H2029" t="s">
        <v>16</v>
      </c>
      <c r="I2029">
        <v>0</v>
      </c>
      <c r="J2029" s="23">
        <v>18540634</v>
      </c>
      <c r="K2029">
        <v>185406340</v>
      </c>
    </row>
    <row r="2030" spans="1:11" ht="15" customHeight="1" x14ac:dyDescent="0.3">
      <c r="A2030" t="s">
        <v>18</v>
      </c>
      <c r="B2030" t="s">
        <v>19</v>
      </c>
      <c r="C2030" t="s">
        <v>24</v>
      </c>
      <c r="D2030" t="s">
        <v>28</v>
      </c>
      <c r="E2030">
        <v>31</v>
      </c>
      <c r="F2030"/>
      <c r="G2030" t="s">
        <v>31</v>
      </c>
      <c r="H2030" t="s">
        <v>16</v>
      </c>
      <c r="I2030">
        <v>1</v>
      </c>
      <c r="J2030" s="23">
        <v>71219</v>
      </c>
      <c r="K2030">
        <v>2207789</v>
      </c>
    </row>
    <row r="2031" spans="1:11" ht="15" customHeight="1" x14ac:dyDescent="0.3">
      <c r="A2031" t="s">
        <v>18</v>
      </c>
      <c r="B2031" t="s">
        <v>44</v>
      </c>
      <c r="C2031" t="s">
        <v>24</v>
      </c>
      <c r="D2031" t="s">
        <v>28</v>
      </c>
      <c r="E2031">
        <v>14</v>
      </c>
      <c r="F2031" t="s">
        <v>38</v>
      </c>
      <c r="G2031" t="s">
        <v>15</v>
      </c>
      <c r="H2031" t="s">
        <v>16</v>
      </c>
      <c r="I2031">
        <v>0</v>
      </c>
      <c r="J2031" s="23">
        <v>1826836</v>
      </c>
      <c r="K2031">
        <v>25575704</v>
      </c>
    </row>
    <row r="2032" spans="1:11" ht="15" customHeight="1" x14ac:dyDescent="0.3">
      <c r="A2032" t="s">
        <v>18</v>
      </c>
      <c r="B2032" t="s">
        <v>11</v>
      </c>
      <c r="C2032" t="s">
        <v>12</v>
      </c>
      <c r="D2032" t="s">
        <v>28</v>
      </c>
      <c r="E2032">
        <v>15</v>
      </c>
      <c r="F2032" t="s">
        <v>26</v>
      </c>
      <c r="G2032" t="s">
        <v>15</v>
      </c>
      <c r="H2032" t="s">
        <v>16</v>
      </c>
      <c r="I2032">
        <v>0</v>
      </c>
      <c r="J2032" s="23">
        <v>-63041</v>
      </c>
      <c r="K2032" t="s">
        <v>17</v>
      </c>
    </row>
    <row r="2033" spans="1:11" ht="15" customHeight="1" x14ac:dyDescent="0.3">
      <c r="A2033" t="s">
        <v>22</v>
      </c>
      <c r="B2033" t="s">
        <v>11</v>
      </c>
      <c r="C2033" t="s">
        <v>24</v>
      </c>
      <c r="D2033" t="s">
        <v>25</v>
      </c>
      <c r="E2033">
        <v>3</v>
      </c>
      <c r="F2033" t="s">
        <v>21</v>
      </c>
      <c r="G2033" t="s">
        <v>15</v>
      </c>
      <c r="H2033" t="s">
        <v>16</v>
      </c>
      <c r="I2033">
        <v>0</v>
      </c>
      <c r="J2033" s="23">
        <v>276948</v>
      </c>
      <c r="K2033">
        <v>830844</v>
      </c>
    </row>
    <row r="2034" spans="1:11" ht="15" customHeight="1" x14ac:dyDescent="0.3">
      <c r="A2034" t="s">
        <v>18</v>
      </c>
      <c r="B2034" t="s">
        <v>19</v>
      </c>
      <c r="C2034" t="s">
        <v>24</v>
      </c>
      <c r="D2034" t="s">
        <v>28</v>
      </c>
      <c r="E2034">
        <v>13</v>
      </c>
      <c r="F2034"/>
      <c r="G2034" t="s">
        <v>15</v>
      </c>
      <c r="H2034" t="s">
        <v>32</v>
      </c>
      <c r="I2034">
        <v>1</v>
      </c>
      <c r="J2034" s="23">
        <v>1081</v>
      </c>
      <c r="K2034">
        <v>14053</v>
      </c>
    </row>
    <row r="2035" spans="1:11" ht="15" customHeight="1" x14ac:dyDescent="0.3">
      <c r="A2035" t="s">
        <v>22</v>
      </c>
      <c r="B2035" t="s">
        <v>19</v>
      </c>
      <c r="C2035" t="s">
        <v>12</v>
      </c>
      <c r="D2035" t="s">
        <v>20</v>
      </c>
      <c r="E2035">
        <v>24</v>
      </c>
      <c r="F2035"/>
      <c r="G2035" t="s">
        <v>15</v>
      </c>
      <c r="H2035" t="s">
        <v>32</v>
      </c>
      <c r="I2035">
        <v>1</v>
      </c>
      <c r="J2035" s="23">
        <v>-23679</v>
      </c>
      <c r="K2035" t="s">
        <v>17</v>
      </c>
    </row>
    <row r="2036" spans="1:11" ht="15" customHeight="1" x14ac:dyDescent="0.3">
      <c r="A2036" t="s">
        <v>18</v>
      </c>
      <c r="B2036" t="s">
        <v>11</v>
      </c>
      <c r="C2036" t="s">
        <v>12</v>
      </c>
      <c r="D2036" t="s">
        <v>28</v>
      </c>
      <c r="E2036">
        <v>15</v>
      </c>
      <c r="F2036" t="s">
        <v>39</v>
      </c>
      <c r="G2036" t="s">
        <v>15</v>
      </c>
      <c r="H2036" t="s">
        <v>16</v>
      </c>
      <c r="I2036">
        <v>0</v>
      </c>
      <c r="J2036" s="23">
        <v>-3160</v>
      </c>
      <c r="K2036" t="s">
        <v>17</v>
      </c>
    </row>
    <row r="2037" spans="1:11" ht="15" customHeight="1" x14ac:dyDescent="0.3">
      <c r="A2037" t="s">
        <v>18</v>
      </c>
      <c r="B2037" t="s">
        <v>19</v>
      </c>
      <c r="C2037" t="s">
        <v>12</v>
      </c>
      <c r="D2037" t="s">
        <v>28</v>
      </c>
      <c r="E2037">
        <v>5</v>
      </c>
      <c r="F2037"/>
      <c r="G2037" t="s">
        <v>31</v>
      </c>
      <c r="H2037" t="s">
        <v>16</v>
      </c>
      <c r="I2037">
        <v>1</v>
      </c>
      <c r="J2037" s="23">
        <v>-362</v>
      </c>
      <c r="K2037" t="s">
        <v>17</v>
      </c>
    </row>
    <row r="2038" spans="1:11" ht="15" customHeight="1" x14ac:dyDescent="0.3">
      <c r="A2038" t="s">
        <v>22</v>
      </c>
      <c r="B2038" t="s">
        <v>11</v>
      </c>
      <c r="C2038" t="s">
        <v>12</v>
      </c>
      <c r="D2038" t="s">
        <v>28</v>
      </c>
      <c r="E2038">
        <v>1</v>
      </c>
      <c r="F2038" t="s">
        <v>33</v>
      </c>
      <c r="G2038" t="s">
        <v>15</v>
      </c>
      <c r="H2038" t="s">
        <v>32</v>
      </c>
      <c r="I2038">
        <v>1</v>
      </c>
      <c r="J2038" s="23">
        <v>-41424</v>
      </c>
      <c r="K2038" t="s">
        <v>17</v>
      </c>
    </row>
    <row r="2039" spans="1:11" ht="15" customHeight="1" x14ac:dyDescent="0.3">
      <c r="A2039" t="s">
        <v>18</v>
      </c>
      <c r="B2039" t="s">
        <v>11</v>
      </c>
      <c r="C2039" t="s">
        <v>24</v>
      </c>
      <c r="D2039" t="s">
        <v>28</v>
      </c>
      <c r="E2039">
        <v>3</v>
      </c>
      <c r="F2039" t="s">
        <v>29</v>
      </c>
      <c r="G2039" t="s">
        <v>15</v>
      </c>
      <c r="H2039" t="s">
        <v>32</v>
      </c>
      <c r="I2039">
        <v>1</v>
      </c>
      <c r="J2039" s="23">
        <v>1340216</v>
      </c>
      <c r="K2039">
        <v>4020648</v>
      </c>
    </row>
    <row r="2040" spans="1:11" ht="15" customHeight="1" x14ac:dyDescent="0.3">
      <c r="A2040" t="s">
        <v>18</v>
      </c>
      <c r="B2040" t="s">
        <v>19</v>
      </c>
      <c r="C2040" t="s">
        <v>24</v>
      </c>
      <c r="D2040" t="s">
        <v>20</v>
      </c>
      <c r="E2040">
        <v>39</v>
      </c>
      <c r="F2040"/>
      <c r="G2040" t="s">
        <v>31</v>
      </c>
      <c r="H2040" t="s">
        <v>16</v>
      </c>
      <c r="I2040">
        <v>1</v>
      </c>
      <c r="J2040" s="23">
        <v>10655961</v>
      </c>
      <c r="K2040">
        <v>415582479</v>
      </c>
    </row>
    <row r="2041" spans="1:11" ht="15" customHeight="1" x14ac:dyDescent="0.3">
      <c r="A2041" t="s">
        <v>10</v>
      </c>
      <c r="B2041" t="s">
        <v>11</v>
      </c>
      <c r="C2041" t="s">
        <v>24</v>
      </c>
      <c r="D2041" t="s">
        <v>13</v>
      </c>
      <c r="E2041">
        <v>1</v>
      </c>
      <c r="F2041" t="s">
        <v>42</v>
      </c>
      <c r="G2041" t="s">
        <v>15</v>
      </c>
      <c r="H2041" t="s">
        <v>16</v>
      </c>
      <c r="I2041">
        <v>0</v>
      </c>
      <c r="J2041" s="23">
        <v>543544</v>
      </c>
      <c r="K2041">
        <v>543544</v>
      </c>
    </row>
    <row r="2042" spans="1:11" ht="15" customHeight="1" x14ac:dyDescent="0.3">
      <c r="A2042" t="s">
        <v>10</v>
      </c>
      <c r="B2042" t="s">
        <v>19</v>
      </c>
      <c r="C2042" t="s">
        <v>24</v>
      </c>
      <c r="D2042" t="s">
        <v>20</v>
      </c>
      <c r="E2042">
        <v>39</v>
      </c>
      <c r="F2042"/>
      <c r="G2042" t="s">
        <v>15</v>
      </c>
      <c r="H2042" t="s">
        <v>16</v>
      </c>
      <c r="I2042">
        <v>0</v>
      </c>
      <c r="J2042" s="23">
        <v>24934834</v>
      </c>
      <c r="K2042">
        <v>972458526</v>
      </c>
    </row>
    <row r="2043" spans="1:11" ht="15" customHeight="1" x14ac:dyDescent="0.3">
      <c r="A2043" t="s">
        <v>18</v>
      </c>
      <c r="B2043" t="s">
        <v>11</v>
      </c>
      <c r="C2043" t="s">
        <v>12</v>
      </c>
      <c r="D2043" t="s">
        <v>28</v>
      </c>
      <c r="E2043">
        <v>9</v>
      </c>
      <c r="F2043" t="s">
        <v>29</v>
      </c>
      <c r="G2043" t="s">
        <v>31</v>
      </c>
      <c r="H2043" t="s">
        <v>32</v>
      </c>
      <c r="I2043">
        <v>1</v>
      </c>
      <c r="J2043" s="23">
        <v>-281</v>
      </c>
      <c r="K2043" t="s">
        <v>17</v>
      </c>
    </row>
    <row r="2044" spans="1:11" ht="15" customHeight="1" x14ac:dyDescent="0.3">
      <c r="A2044" t="s">
        <v>22</v>
      </c>
      <c r="B2044" t="s">
        <v>11</v>
      </c>
      <c r="C2044" t="s">
        <v>24</v>
      </c>
      <c r="D2044" t="s">
        <v>25</v>
      </c>
      <c r="E2044">
        <v>1</v>
      </c>
      <c r="F2044" t="s">
        <v>30</v>
      </c>
      <c r="G2044" t="s">
        <v>15</v>
      </c>
      <c r="H2044" t="s">
        <v>16</v>
      </c>
      <c r="I2044">
        <v>0</v>
      </c>
      <c r="J2044" s="23">
        <v>52692</v>
      </c>
      <c r="K2044">
        <v>52692</v>
      </c>
    </row>
    <row r="2045" spans="1:11" ht="15" customHeight="1" x14ac:dyDescent="0.3">
      <c r="A2045" t="s">
        <v>18</v>
      </c>
      <c r="B2045" t="s">
        <v>19</v>
      </c>
      <c r="C2045" t="s">
        <v>12</v>
      </c>
      <c r="D2045" t="s">
        <v>20</v>
      </c>
      <c r="E2045">
        <v>28</v>
      </c>
      <c r="F2045"/>
      <c r="G2045" t="s">
        <v>15</v>
      </c>
      <c r="H2045" t="s">
        <v>16</v>
      </c>
      <c r="I2045">
        <v>0</v>
      </c>
      <c r="J2045" s="23">
        <v>-369704</v>
      </c>
      <c r="K2045" t="s">
        <v>17</v>
      </c>
    </row>
    <row r="2046" spans="1:11" ht="15" customHeight="1" x14ac:dyDescent="0.3">
      <c r="A2046" t="s">
        <v>10</v>
      </c>
      <c r="B2046" t="s">
        <v>11</v>
      </c>
      <c r="C2046" t="s">
        <v>12</v>
      </c>
      <c r="D2046" t="s">
        <v>25</v>
      </c>
      <c r="E2046">
        <v>-4</v>
      </c>
      <c r="F2046" t="s">
        <v>37</v>
      </c>
      <c r="G2046" t="s">
        <v>15</v>
      </c>
      <c r="H2046" t="s">
        <v>16</v>
      </c>
      <c r="I2046">
        <v>0</v>
      </c>
      <c r="J2046" s="23">
        <v>-47</v>
      </c>
      <c r="K2046" t="s">
        <v>17</v>
      </c>
    </row>
    <row r="2047" spans="1:11" ht="15" customHeight="1" x14ac:dyDescent="0.3">
      <c r="A2047" t="s">
        <v>18</v>
      </c>
      <c r="B2047" t="s">
        <v>11</v>
      </c>
      <c r="C2047" t="s">
        <v>24</v>
      </c>
      <c r="D2047" t="s">
        <v>13</v>
      </c>
      <c r="E2047">
        <v>0</v>
      </c>
      <c r="F2047" t="s">
        <v>49</v>
      </c>
      <c r="G2047" t="s">
        <v>15</v>
      </c>
      <c r="H2047" t="s">
        <v>16</v>
      </c>
      <c r="I2047">
        <v>0</v>
      </c>
      <c r="J2047" s="23">
        <v>77711239</v>
      </c>
      <c r="K2047" t="s">
        <v>17</v>
      </c>
    </row>
    <row r="2048" spans="1:11" ht="15" customHeight="1" x14ac:dyDescent="0.3">
      <c r="A2048" t="s">
        <v>10</v>
      </c>
      <c r="B2048" t="s">
        <v>11</v>
      </c>
      <c r="C2048" t="s">
        <v>12</v>
      </c>
      <c r="D2048" t="s">
        <v>28</v>
      </c>
      <c r="E2048">
        <v>6</v>
      </c>
      <c r="F2048" t="s">
        <v>34</v>
      </c>
      <c r="G2048" t="s">
        <v>15</v>
      </c>
      <c r="H2048" t="s">
        <v>16</v>
      </c>
      <c r="I2048">
        <v>0</v>
      </c>
      <c r="J2048" s="23">
        <v>-187359</v>
      </c>
      <c r="K2048" t="s">
        <v>17</v>
      </c>
    </row>
    <row r="2049" spans="1:11" ht="15" customHeight="1" x14ac:dyDescent="0.3">
      <c r="A2049" t="s">
        <v>22</v>
      </c>
      <c r="B2049" t="s">
        <v>19</v>
      </c>
      <c r="C2049" t="s">
        <v>12</v>
      </c>
      <c r="D2049" t="s">
        <v>20</v>
      </c>
      <c r="E2049">
        <v>26</v>
      </c>
      <c r="F2049"/>
      <c r="G2049" t="s">
        <v>15</v>
      </c>
      <c r="H2049" t="s">
        <v>32</v>
      </c>
      <c r="I2049">
        <v>1</v>
      </c>
      <c r="J2049" s="23">
        <v>-35796</v>
      </c>
      <c r="K2049" t="s">
        <v>17</v>
      </c>
    </row>
    <row r="2050" spans="1:11" ht="15" customHeight="1" x14ac:dyDescent="0.3">
      <c r="A2050" t="s">
        <v>18</v>
      </c>
      <c r="B2050" t="s">
        <v>11</v>
      </c>
      <c r="C2050" t="s">
        <v>24</v>
      </c>
      <c r="D2050" t="s">
        <v>13</v>
      </c>
      <c r="E2050">
        <v>7</v>
      </c>
      <c r="F2050" t="s">
        <v>21</v>
      </c>
      <c r="G2050" t="s">
        <v>15</v>
      </c>
      <c r="H2050" t="s">
        <v>16</v>
      </c>
      <c r="I2050">
        <v>0</v>
      </c>
      <c r="J2050" s="23">
        <v>930702</v>
      </c>
      <c r="K2050">
        <v>6514914</v>
      </c>
    </row>
    <row r="2051" spans="1:11" ht="15" customHeight="1" x14ac:dyDescent="0.3">
      <c r="A2051" t="s">
        <v>22</v>
      </c>
      <c r="B2051" t="s">
        <v>11</v>
      </c>
      <c r="C2051" t="s">
        <v>12</v>
      </c>
      <c r="D2051" t="s">
        <v>28</v>
      </c>
      <c r="E2051">
        <v>11</v>
      </c>
      <c r="F2051" t="s">
        <v>34</v>
      </c>
      <c r="G2051" t="s">
        <v>15</v>
      </c>
      <c r="H2051" t="s">
        <v>16</v>
      </c>
      <c r="I2051">
        <v>0</v>
      </c>
      <c r="J2051" s="23">
        <v>-23894</v>
      </c>
      <c r="K2051" t="s">
        <v>17</v>
      </c>
    </row>
    <row r="2052" spans="1:11" ht="15" customHeight="1" x14ac:dyDescent="0.3">
      <c r="A2052" t="s">
        <v>10</v>
      </c>
      <c r="B2052" t="s">
        <v>11</v>
      </c>
      <c r="C2052" t="s">
        <v>12</v>
      </c>
      <c r="D2052" t="s">
        <v>13</v>
      </c>
      <c r="E2052">
        <v>1</v>
      </c>
      <c r="F2052" t="s">
        <v>21</v>
      </c>
      <c r="G2052" t="s">
        <v>15</v>
      </c>
      <c r="H2052" t="s">
        <v>16</v>
      </c>
      <c r="I2052">
        <v>0</v>
      </c>
      <c r="J2052" s="23">
        <v>-311593</v>
      </c>
      <c r="K2052" t="s">
        <v>17</v>
      </c>
    </row>
    <row r="2053" spans="1:11" ht="15" customHeight="1" x14ac:dyDescent="0.3">
      <c r="A2053" t="s">
        <v>22</v>
      </c>
      <c r="B2053" t="s">
        <v>19</v>
      </c>
      <c r="C2053" t="s">
        <v>24</v>
      </c>
      <c r="D2053" t="s">
        <v>20</v>
      </c>
      <c r="E2053">
        <v>17</v>
      </c>
      <c r="F2053"/>
      <c r="G2053" t="s">
        <v>15</v>
      </c>
      <c r="H2053" t="s">
        <v>16</v>
      </c>
      <c r="I2053">
        <v>0</v>
      </c>
      <c r="J2053" s="23">
        <v>5661565</v>
      </c>
      <c r="K2053">
        <v>96246605</v>
      </c>
    </row>
    <row r="2054" spans="1:11" ht="15" customHeight="1" x14ac:dyDescent="0.3">
      <c r="A2054" t="s">
        <v>18</v>
      </c>
      <c r="B2054" t="s">
        <v>11</v>
      </c>
      <c r="C2054" t="s">
        <v>12</v>
      </c>
      <c r="D2054" t="s">
        <v>25</v>
      </c>
      <c r="E2054">
        <v>0</v>
      </c>
      <c r="F2054" t="s">
        <v>40</v>
      </c>
      <c r="G2054" t="s">
        <v>15</v>
      </c>
      <c r="H2054" t="s">
        <v>16</v>
      </c>
      <c r="I2054">
        <v>0</v>
      </c>
      <c r="J2054" s="23">
        <v>-3238</v>
      </c>
      <c r="K2054" t="s">
        <v>17</v>
      </c>
    </row>
    <row r="2055" spans="1:11" ht="15" customHeight="1" x14ac:dyDescent="0.3">
      <c r="A2055" t="s">
        <v>22</v>
      </c>
      <c r="B2055" t="s">
        <v>11</v>
      </c>
      <c r="C2055" t="s">
        <v>12</v>
      </c>
      <c r="D2055" t="s">
        <v>28</v>
      </c>
      <c r="E2055">
        <v>-4</v>
      </c>
      <c r="F2055" t="s">
        <v>30</v>
      </c>
      <c r="G2055" t="s">
        <v>15</v>
      </c>
      <c r="H2055" t="s">
        <v>16</v>
      </c>
      <c r="I2055">
        <v>0</v>
      </c>
      <c r="J2055" s="23">
        <v>-11105</v>
      </c>
      <c r="K2055" t="s">
        <v>17</v>
      </c>
    </row>
    <row r="2056" spans="1:11" ht="15" customHeight="1" x14ac:dyDescent="0.3">
      <c r="A2056" t="s">
        <v>18</v>
      </c>
      <c r="B2056" t="s">
        <v>11</v>
      </c>
      <c r="C2056" t="s">
        <v>24</v>
      </c>
      <c r="D2056" t="s">
        <v>28</v>
      </c>
      <c r="E2056">
        <v>6</v>
      </c>
      <c r="F2056" t="s">
        <v>23</v>
      </c>
      <c r="G2056" t="s">
        <v>15</v>
      </c>
      <c r="H2056" t="s">
        <v>16</v>
      </c>
      <c r="I2056">
        <v>0</v>
      </c>
      <c r="J2056" s="23">
        <v>17520254</v>
      </c>
      <c r="K2056">
        <v>105121524</v>
      </c>
    </row>
    <row r="2057" spans="1:11" ht="15" customHeight="1" x14ac:dyDescent="0.3">
      <c r="A2057" t="s">
        <v>10</v>
      </c>
      <c r="B2057" t="s">
        <v>11</v>
      </c>
      <c r="C2057" t="s">
        <v>12</v>
      </c>
      <c r="D2057" t="s">
        <v>25</v>
      </c>
      <c r="E2057">
        <v>0</v>
      </c>
      <c r="F2057" t="s">
        <v>21</v>
      </c>
      <c r="G2057" t="s">
        <v>15</v>
      </c>
      <c r="H2057" t="s">
        <v>16</v>
      </c>
      <c r="I2057">
        <v>0</v>
      </c>
      <c r="J2057" s="23">
        <v>-17413</v>
      </c>
      <c r="K2057" t="s">
        <v>17</v>
      </c>
    </row>
    <row r="2058" spans="1:11" ht="15" customHeight="1" x14ac:dyDescent="0.3">
      <c r="A2058" t="s">
        <v>18</v>
      </c>
      <c r="B2058" t="s">
        <v>11</v>
      </c>
      <c r="C2058" t="s">
        <v>24</v>
      </c>
      <c r="D2058" t="s">
        <v>25</v>
      </c>
      <c r="E2058">
        <v>0</v>
      </c>
      <c r="F2058" t="s">
        <v>41</v>
      </c>
      <c r="G2058" t="s">
        <v>15</v>
      </c>
      <c r="H2058" t="s">
        <v>16</v>
      </c>
      <c r="I2058">
        <v>0</v>
      </c>
      <c r="J2058" s="23">
        <v>21496</v>
      </c>
      <c r="K2058" t="s">
        <v>17</v>
      </c>
    </row>
    <row r="2059" spans="1:11" ht="15" customHeight="1" x14ac:dyDescent="0.3">
      <c r="A2059" t="s">
        <v>18</v>
      </c>
      <c r="B2059" t="s">
        <v>19</v>
      </c>
      <c r="C2059" t="s">
        <v>24</v>
      </c>
      <c r="D2059" t="s">
        <v>20</v>
      </c>
      <c r="E2059">
        <v>15</v>
      </c>
      <c r="F2059"/>
      <c r="G2059" t="s">
        <v>15</v>
      </c>
      <c r="H2059" t="s">
        <v>16</v>
      </c>
      <c r="I2059">
        <v>0</v>
      </c>
      <c r="J2059" s="23">
        <v>274189963</v>
      </c>
      <c r="K2059">
        <v>4112849445</v>
      </c>
    </row>
    <row r="2060" spans="1:11" ht="15" customHeight="1" x14ac:dyDescent="0.3">
      <c r="A2060" t="s">
        <v>18</v>
      </c>
      <c r="B2060" t="s">
        <v>11</v>
      </c>
      <c r="C2060" t="s">
        <v>24</v>
      </c>
      <c r="D2060" t="s">
        <v>25</v>
      </c>
      <c r="E2060">
        <v>3</v>
      </c>
      <c r="F2060" t="s">
        <v>29</v>
      </c>
      <c r="G2060" t="s">
        <v>15</v>
      </c>
      <c r="H2060" t="s">
        <v>16</v>
      </c>
      <c r="I2060">
        <v>0</v>
      </c>
      <c r="J2060" s="23">
        <v>16277286</v>
      </c>
      <c r="K2060">
        <v>48831858</v>
      </c>
    </row>
    <row r="2061" spans="1:11" ht="15" customHeight="1" x14ac:dyDescent="0.3">
      <c r="A2061" t="s">
        <v>10</v>
      </c>
      <c r="B2061" t="s">
        <v>11</v>
      </c>
      <c r="C2061" t="s">
        <v>24</v>
      </c>
      <c r="D2061" t="s">
        <v>28</v>
      </c>
      <c r="E2061">
        <v>5</v>
      </c>
      <c r="F2061" t="s">
        <v>39</v>
      </c>
      <c r="G2061" t="s">
        <v>15</v>
      </c>
      <c r="H2061" t="s">
        <v>16</v>
      </c>
      <c r="I2061">
        <v>0</v>
      </c>
      <c r="J2061" s="23">
        <v>392040</v>
      </c>
      <c r="K2061">
        <v>1960200</v>
      </c>
    </row>
    <row r="2062" spans="1:11" ht="15" customHeight="1" x14ac:dyDescent="0.3">
      <c r="A2062" t="s">
        <v>18</v>
      </c>
      <c r="B2062" t="s">
        <v>11</v>
      </c>
      <c r="C2062" t="s">
        <v>12</v>
      </c>
      <c r="D2062" t="s">
        <v>28</v>
      </c>
      <c r="E2062">
        <v>1</v>
      </c>
      <c r="F2062" t="s">
        <v>21</v>
      </c>
      <c r="G2062" t="s">
        <v>15</v>
      </c>
      <c r="H2062" t="s">
        <v>16</v>
      </c>
      <c r="I2062">
        <v>0</v>
      </c>
      <c r="J2062" s="23">
        <v>-40868</v>
      </c>
      <c r="K2062" t="s">
        <v>17</v>
      </c>
    </row>
    <row r="2063" spans="1:11" ht="15" customHeight="1" x14ac:dyDescent="0.3">
      <c r="A2063" t="s">
        <v>18</v>
      </c>
      <c r="B2063" t="s">
        <v>11</v>
      </c>
      <c r="C2063" t="s">
        <v>12</v>
      </c>
      <c r="D2063" t="s">
        <v>25</v>
      </c>
      <c r="E2063">
        <v>6</v>
      </c>
      <c r="F2063" t="s">
        <v>37</v>
      </c>
      <c r="G2063" t="s">
        <v>15</v>
      </c>
      <c r="H2063" t="s">
        <v>16</v>
      </c>
      <c r="I2063">
        <v>0</v>
      </c>
      <c r="J2063" s="23">
        <v>-2470</v>
      </c>
      <c r="K2063" t="s">
        <v>17</v>
      </c>
    </row>
    <row r="2064" spans="1:11" ht="15" customHeight="1" x14ac:dyDescent="0.3">
      <c r="A2064" t="s">
        <v>18</v>
      </c>
      <c r="B2064" t="s">
        <v>11</v>
      </c>
      <c r="C2064" t="s">
        <v>12</v>
      </c>
      <c r="D2064" t="s">
        <v>28</v>
      </c>
      <c r="E2064">
        <v>-4</v>
      </c>
      <c r="F2064" t="s">
        <v>23</v>
      </c>
      <c r="G2064" t="s">
        <v>15</v>
      </c>
      <c r="H2064" t="s">
        <v>16</v>
      </c>
      <c r="I2064">
        <v>0</v>
      </c>
      <c r="J2064" s="23">
        <v>0</v>
      </c>
      <c r="K2064" t="s">
        <v>17</v>
      </c>
    </row>
    <row r="2065" spans="1:11" ht="15" customHeight="1" x14ac:dyDescent="0.3">
      <c r="A2065" t="s">
        <v>22</v>
      </c>
      <c r="B2065" t="s">
        <v>19</v>
      </c>
      <c r="C2065" t="s">
        <v>24</v>
      </c>
      <c r="D2065" t="s">
        <v>28</v>
      </c>
      <c r="E2065">
        <v>14</v>
      </c>
      <c r="F2065"/>
      <c r="G2065" t="s">
        <v>15</v>
      </c>
      <c r="H2065" t="s">
        <v>16</v>
      </c>
      <c r="I2065">
        <v>0</v>
      </c>
      <c r="J2065" s="23">
        <v>220219</v>
      </c>
      <c r="K2065">
        <v>3083066</v>
      </c>
    </row>
    <row r="2066" spans="1:11" ht="15" customHeight="1" x14ac:dyDescent="0.3">
      <c r="A2066" t="s">
        <v>22</v>
      </c>
      <c r="B2066" t="s">
        <v>11</v>
      </c>
      <c r="C2066" t="s">
        <v>12</v>
      </c>
      <c r="D2066" t="s">
        <v>28</v>
      </c>
      <c r="E2066">
        <v>11</v>
      </c>
      <c r="F2066" t="s">
        <v>23</v>
      </c>
      <c r="G2066" t="s">
        <v>15</v>
      </c>
      <c r="H2066" t="s">
        <v>16</v>
      </c>
      <c r="I2066">
        <v>0</v>
      </c>
      <c r="J2066" s="23">
        <v>-22332</v>
      </c>
      <c r="K2066" t="s">
        <v>17</v>
      </c>
    </row>
    <row r="2067" spans="1:11" ht="15" customHeight="1" x14ac:dyDescent="0.3">
      <c r="A2067" t="s">
        <v>18</v>
      </c>
      <c r="B2067" t="s">
        <v>19</v>
      </c>
      <c r="C2067" t="s">
        <v>24</v>
      </c>
      <c r="D2067" t="s">
        <v>20</v>
      </c>
      <c r="E2067">
        <v>19</v>
      </c>
      <c r="F2067"/>
      <c r="G2067" t="s">
        <v>31</v>
      </c>
      <c r="H2067" t="s">
        <v>32</v>
      </c>
      <c r="I2067">
        <v>1</v>
      </c>
      <c r="J2067" s="23">
        <v>270909</v>
      </c>
      <c r="K2067">
        <v>5147271</v>
      </c>
    </row>
    <row r="2068" spans="1:11" ht="15" customHeight="1" x14ac:dyDescent="0.3">
      <c r="A2068" t="s">
        <v>22</v>
      </c>
      <c r="B2068" t="s">
        <v>19</v>
      </c>
      <c r="C2068" t="s">
        <v>24</v>
      </c>
      <c r="D2068" t="s">
        <v>20</v>
      </c>
      <c r="E2068">
        <v>4</v>
      </c>
      <c r="F2068"/>
      <c r="G2068" t="s">
        <v>15</v>
      </c>
      <c r="H2068" t="s">
        <v>32</v>
      </c>
      <c r="I2068">
        <v>1</v>
      </c>
      <c r="J2068" s="23">
        <v>25900</v>
      </c>
      <c r="K2068">
        <v>103600</v>
      </c>
    </row>
    <row r="2069" spans="1:11" ht="15" customHeight="1" x14ac:dyDescent="0.3">
      <c r="A2069" t="s">
        <v>18</v>
      </c>
      <c r="B2069" t="s">
        <v>11</v>
      </c>
      <c r="C2069" t="s">
        <v>24</v>
      </c>
      <c r="D2069" t="s">
        <v>28</v>
      </c>
      <c r="E2069">
        <v>19</v>
      </c>
      <c r="F2069" t="s">
        <v>23</v>
      </c>
      <c r="G2069" t="s">
        <v>15</v>
      </c>
      <c r="H2069" t="s">
        <v>16</v>
      </c>
      <c r="I2069">
        <v>0</v>
      </c>
      <c r="J2069" s="23">
        <v>649886</v>
      </c>
      <c r="K2069">
        <v>12347834</v>
      </c>
    </row>
    <row r="2070" spans="1:11" ht="15" customHeight="1" x14ac:dyDescent="0.3">
      <c r="A2070" t="s">
        <v>18</v>
      </c>
      <c r="B2070" t="s">
        <v>44</v>
      </c>
      <c r="C2070" t="s">
        <v>12</v>
      </c>
      <c r="D2070" t="s">
        <v>28</v>
      </c>
      <c r="E2070">
        <v>9</v>
      </c>
      <c r="F2070" t="s">
        <v>38</v>
      </c>
      <c r="G2070" t="s">
        <v>15</v>
      </c>
      <c r="H2070" t="s">
        <v>16</v>
      </c>
      <c r="I2070">
        <v>0</v>
      </c>
      <c r="J2070" s="23">
        <v>-86</v>
      </c>
      <c r="K2070" t="s">
        <v>17</v>
      </c>
    </row>
    <row r="2071" spans="1:11" ht="15" customHeight="1" x14ac:dyDescent="0.3">
      <c r="A2071" t="s">
        <v>10</v>
      </c>
      <c r="B2071" t="s">
        <v>11</v>
      </c>
      <c r="C2071" t="s">
        <v>12</v>
      </c>
      <c r="D2071" t="s">
        <v>28</v>
      </c>
      <c r="E2071">
        <v>11</v>
      </c>
      <c r="F2071" t="s">
        <v>33</v>
      </c>
      <c r="G2071" t="s">
        <v>15</v>
      </c>
      <c r="H2071" t="s">
        <v>32</v>
      </c>
      <c r="I2071">
        <v>1</v>
      </c>
      <c r="J2071" s="23">
        <v>-33075</v>
      </c>
      <c r="K2071" t="s">
        <v>17</v>
      </c>
    </row>
    <row r="2072" spans="1:11" ht="15" customHeight="1" x14ac:dyDescent="0.3">
      <c r="A2072" t="s">
        <v>18</v>
      </c>
      <c r="B2072" t="s">
        <v>11</v>
      </c>
      <c r="C2072" t="s">
        <v>24</v>
      </c>
      <c r="D2072" t="s">
        <v>13</v>
      </c>
      <c r="E2072">
        <v>0</v>
      </c>
      <c r="F2072" t="s">
        <v>45</v>
      </c>
      <c r="G2072" t="s">
        <v>15</v>
      </c>
      <c r="H2072" t="s">
        <v>16</v>
      </c>
      <c r="I2072">
        <v>0</v>
      </c>
      <c r="J2072" s="23">
        <v>5717151</v>
      </c>
      <c r="K2072" t="s">
        <v>17</v>
      </c>
    </row>
    <row r="2073" spans="1:11" ht="15" customHeight="1" x14ac:dyDescent="0.3">
      <c r="A2073" t="s">
        <v>22</v>
      </c>
      <c r="B2073" t="s">
        <v>11</v>
      </c>
      <c r="C2073" t="s">
        <v>24</v>
      </c>
      <c r="D2073" t="s">
        <v>25</v>
      </c>
      <c r="E2073">
        <v>0</v>
      </c>
      <c r="F2073" t="s">
        <v>23</v>
      </c>
      <c r="G2073" t="s">
        <v>15</v>
      </c>
      <c r="H2073" t="s">
        <v>16</v>
      </c>
      <c r="I2073">
        <v>0</v>
      </c>
      <c r="J2073" s="23">
        <v>148281</v>
      </c>
      <c r="K2073" t="s">
        <v>17</v>
      </c>
    </row>
    <row r="2074" spans="1:11" ht="15" customHeight="1" x14ac:dyDescent="0.3">
      <c r="A2074" t="s">
        <v>18</v>
      </c>
      <c r="B2074" t="s">
        <v>11</v>
      </c>
      <c r="C2074" t="s">
        <v>24</v>
      </c>
      <c r="D2074" t="s">
        <v>25</v>
      </c>
      <c r="E2074">
        <v>5</v>
      </c>
      <c r="F2074" t="s">
        <v>21</v>
      </c>
      <c r="G2074" t="s">
        <v>15</v>
      </c>
      <c r="H2074" t="s">
        <v>16</v>
      </c>
      <c r="I2074">
        <v>0</v>
      </c>
      <c r="J2074" s="23">
        <v>4487210</v>
      </c>
      <c r="K2074">
        <v>22436050</v>
      </c>
    </row>
    <row r="2075" spans="1:11" ht="15" customHeight="1" x14ac:dyDescent="0.3">
      <c r="A2075" t="s">
        <v>18</v>
      </c>
      <c r="B2075" t="s">
        <v>11</v>
      </c>
      <c r="C2075" t="s">
        <v>12</v>
      </c>
      <c r="D2075" t="s">
        <v>28</v>
      </c>
      <c r="E2075">
        <v>-4</v>
      </c>
      <c r="F2075" t="s">
        <v>29</v>
      </c>
      <c r="G2075" t="s">
        <v>31</v>
      </c>
      <c r="H2075" t="s">
        <v>16</v>
      </c>
      <c r="I2075">
        <v>1</v>
      </c>
      <c r="J2075" s="23">
        <v>-3</v>
      </c>
      <c r="K2075" t="s">
        <v>17</v>
      </c>
    </row>
    <row r="2076" spans="1:11" ht="15" customHeight="1" x14ac:dyDescent="0.3">
      <c r="A2076" t="s">
        <v>10</v>
      </c>
      <c r="B2076" t="s">
        <v>19</v>
      </c>
      <c r="C2076" t="s">
        <v>24</v>
      </c>
      <c r="D2076" t="s">
        <v>28</v>
      </c>
      <c r="E2076">
        <v>17</v>
      </c>
      <c r="F2076"/>
      <c r="G2076" t="s">
        <v>15</v>
      </c>
      <c r="H2076" t="s">
        <v>16</v>
      </c>
      <c r="I2076">
        <v>0</v>
      </c>
      <c r="J2076" s="23">
        <v>678281</v>
      </c>
      <c r="K2076">
        <v>11530777</v>
      </c>
    </row>
    <row r="2077" spans="1:11" ht="15" customHeight="1" x14ac:dyDescent="0.3">
      <c r="A2077" t="s">
        <v>10</v>
      </c>
      <c r="B2077" t="s">
        <v>11</v>
      </c>
      <c r="C2077" t="s">
        <v>12</v>
      </c>
      <c r="D2077" t="s">
        <v>25</v>
      </c>
      <c r="E2077">
        <v>2</v>
      </c>
      <c r="F2077" t="s">
        <v>37</v>
      </c>
      <c r="G2077" t="s">
        <v>15</v>
      </c>
      <c r="H2077" t="s">
        <v>16</v>
      </c>
      <c r="I2077">
        <v>0</v>
      </c>
      <c r="J2077" s="23">
        <v>-5495</v>
      </c>
      <c r="K2077" t="s">
        <v>17</v>
      </c>
    </row>
    <row r="2078" spans="1:11" ht="15" customHeight="1" x14ac:dyDescent="0.3">
      <c r="A2078" t="s">
        <v>22</v>
      </c>
      <c r="B2078" t="s">
        <v>11</v>
      </c>
      <c r="C2078" t="s">
        <v>24</v>
      </c>
      <c r="D2078" t="s">
        <v>13</v>
      </c>
      <c r="E2078">
        <v>4</v>
      </c>
      <c r="F2078" t="s">
        <v>23</v>
      </c>
      <c r="G2078" t="s">
        <v>15</v>
      </c>
      <c r="H2078" t="s">
        <v>16</v>
      </c>
      <c r="I2078">
        <v>0</v>
      </c>
      <c r="J2078" s="23">
        <v>415578</v>
      </c>
      <c r="K2078">
        <v>1662312</v>
      </c>
    </row>
    <row r="2079" spans="1:11" ht="15" customHeight="1" x14ac:dyDescent="0.3">
      <c r="A2079" t="s">
        <v>18</v>
      </c>
      <c r="B2079" t="s">
        <v>11</v>
      </c>
      <c r="C2079" t="s">
        <v>24</v>
      </c>
      <c r="D2079" t="s">
        <v>28</v>
      </c>
      <c r="E2079">
        <v>7</v>
      </c>
      <c r="F2079" t="s">
        <v>23</v>
      </c>
      <c r="G2079" t="s">
        <v>15</v>
      </c>
      <c r="H2079" t="s">
        <v>16</v>
      </c>
      <c r="I2079">
        <v>0</v>
      </c>
      <c r="J2079" s="23">
        <v>36942716</v>
      </c>
      <c r="K2079">
        <v>258599012</v>
      </c>
    </row>
    <row r="2080" spans="1:11" ht="15" customHeight="1" x14ac:dyDescent="0.3">
      <c r="A2080" t="s">
        <v>18</v>
      </c>
      <c r="B2080" t="s">
        <v>11</v>
      </c>
      <c r="C2080" t="s">
        <v>12</v>
      </c>
      <c r="D2080" t="s">
        <v>13</v>
      </c>
      <c r="E2080">
        <v>-1</v>
      </c>
      <c r="F2080" t="s">
        <v>35</v>
      </c>
      <c r="G2080" t="s">
        <v>15</v>
      </c>
      <c r="H2080" t="s">
        <v>16</v>
      </c>
      <c r="I2080">
        <v>0</v>
      </c>
      <c r="J2080" s="23">
        <v>-70706</v>
      </c>
      <c r="K2080" t="s">
        <v>17</v>
      </c>
    </row>
    <row r="2081" spans="1:11" ht="15" customHeight="1" x14ac:dyDescent="0.3">
      <c r="A2081" t="s">
        <v>10</v>
      </c>
      <c r="B2081" t="s">
        <v>11</v>
      </c>
      <c r="C2081" t="s">
        <v>24</v>
      </c>
      <c r="D2081" t="s">
        <v>13</v>
      </c>
      <c r="E2081">
        <v>-1</v>
      </c>
      <c r="F2081" t="s">
        <v>33</v>
      </c>
      <c r="G2081" t="s">
        <v>15</v>
      </c>
      <c r="H2081" t="s">
        <v>16</v>
      </c>
      <c r="I2081">
        <v>0</v>
      </c>
      <c r="J2081" s="23">
        <v>8357746</v>
      </c>
      <c r="K2081" t="s">
        <v>17</v>
      </c>
    </row>
    <row r="2082" spans="1:11" ht="15" customHeight="1" x14ac:dyDescent="0.3">
      <c r="A2082" t="s">
        <v>22</v>
      </c>
      <c r="B2082" t="s">
        <v>11</v>
      </c>
      <c r="C2082" t="s">
        <v>12</v>
      </c>
      <c r="D2082" t="s">
        <v>13</v>
      </c>
      <c r="E2082">
        <v>7</v>
      </c>
      <c r="F2082" t="s">
        <v>34</v>
      </c>
      <c r="G2082" t="s">
        <v>15</v>
      </c>
      <c r="H2082" t="s">
        <v>16</v>
      </c>
      <c r="I2082">
        <v>0</v>
      </c>
      <c r="J2082" s="23">
        <v>-714511</v>
      </c>
      <c r="K2082" t="s">
        <v>17</v>
      </c>
    </row>
    <row r="2083" spans="1:11" ht="15" customHeight="1" x14ac:dyDescent="0.3">
      <c r="A2083" t="s">
        <v>22</v>
      </c>
      <c r="B2083" t="s">
        <v>19</v>
      </c>
      <c r="C2083" t="s">
        <v>12</v>
      </c>
      <c r="D2083" t="s">
        <v>20</v>
      </c>
      <c r="E2083">
        <v>36</v>
      </c>
      <c r="F2083"/>
      <c r="G2083" t="s">
        <v>15</v>
      </c>
      <c r="H2083" t="s">
        <v>32</v>
      </c>
      <c r="I2083">
        <v>1</v>
      </c>
      <c r="J2083" s="23">
        <v>-16985</v>
      </c>
      <c r="K2083" t="s">
        <v>17</v>
      </c>
    </row>
    <row r="2084" spans="1:11" ht="15" customHeight="1" x14ac:dyDescent="0.3">
      <c r="A2084" t="s">
        <v>10</v>
      </c>
      <c r="B2084" t="s">
        <v>11</v>
      </c>
      <c r="C2084" t="s">
        <v>24</v>
      </c>
      <c r="D2084" t="s">
        <v>25</v>
      </c>
      <c r="E2084">
        <v>6</v>
      </c>
      <c r="F2084" t="s">
        <v>37</v>
      </c>
      <c r="G2084" t="s">
        <v>15</v>
      </c>
      <c r="H2084" t="s">
        <v>16</v>
      </c>
      <c r="I2084">
        <v>0</v>
      </c>
      <c r="J2084" s="23">
        <v>100997</v>
      </c>
      <c r="K2084">
        <v>605982</v>
      </c>
    </row>
    <row r="2085" spans="1:11" ht="15" customHeight="1" x14ac:dyDescent="0.3">
      <c r="A2085" t="s">
        <v>18</v>
      </c>
      <c r="B2085" t="s">
        <v>11</v>
      </c>
      <c r="C2085" t="s">
        <v>12</v>
      </c>
      <c r="D2085" t="s">
        <v>25</v>
      </c>
      <c r="E2085">
        <v>-1</v>
      </c>
      <c r="F2085" t="s">
        <v>35</v>
      </c>
      <c r="G2085" t="s">
        <v>15</v>
      </c>
      <c r="H2085" t="s">
        <v>16</v>
      </c>
      <c r="I2085">
        <v>0</v>
      </c>
      <c r="J2085" s="23">
        <v>-737</v>
      </c>
      <c r="K2085" t="s">
        <v>17</v>
      </c>
    </row>
    <row r="2086" spans="1:11" ht="15" customHeight="1" x14ac:dyDescent="0.3">
      <c r="A2086" t="s">
        <v>18</v>
      </c>
      <c r="B2086" t="s">
        <v>19</v>
      </c>
      <c r="C2086" t="s">
        <v>12</v>
      </c>
      <c r="D2086" t="s">
        <v>20</v>
      </c>
      <c r="E2086">
        <v>8</v>
      </c>
      <c r="F2086"/>
      <c r="G2086" t="s">
        <v>31</v>
      </c>
      <c r="H2086" t="s">
        <v>32</v>
      </c>
      <c r="I2086">
        <v>1</v>
      </c>
      <c r="J2086" s="23">
        <v>-173</v>
      </c>
      <c r="K2086" t="s">
        <v>17</v>
      </c>
    </row>
    <row r="2087" spans="1:11" ht="15" customHeight="1" x14ac:dyDescent="0.3">
      <c r="A2087" t="s">
        <v>10</v>
      </c>
      <c r="B2087" t="s">
        <v>11</v>
      </c>
      <c r="C2087" t="s">
        <v>24</v>
      </c>
      <c r="D2087" t="s">
        <v>28</v>
      </c>
      <c r="E2087">
        <v>3</v>
      </c>
      <c r="F2087" t="s">
        <v>34</v>
      </c>
      <c r="G2087" t="s">
        <v>15</v>
      </c>
      <c r="H2087" t="s">
        <v>16</v>
      </c>
      <c r="I2087">
        <v>0</v>
      </c>
      <c r="J2087" s="23">
        <v>466782</v>
      </c>
      <c r="K2087">
        <v>1400346</v>
      </c>
    </row>
    <row r="2088" spans="1:11" ht="15" customHeight="1" x14ac:dyDescent="0.3">
      <c r="A2088" t="s">
        <v>10</v>
      </c>
      <c r="B2088" t="s">
        <v>19</v>
      </c>
      <c r="C2088" t="s">
        <v>12</v>
      </c>
      <c r="D2088" t="s">
        <v>28</v>
      </c>
      <c r="E2088">
        <v>7</v>
      </c>
      <c r="F2088"/>
      <c r="G2088" t="s">
        <v>15</v>
      </c>
      <c r="H2088" t="s">
        <v>32</v>
      </c>
      <c r="I2088">
        <v>1</v>
      </c>
      <c r="J2088" s="23">
        <v>-972</v>
      </c>
      <c r="K2088" t="s">
        <v>17</v>
      </c>
    </row>
    <row r="2089" spans="1:11" ht="15" customHeight="1" x14ac:dyDescent="0.3">
      <c r="A2089" t="s">
        <v>22</v>
      </c>
      <c r="B2089" t="s">
        <v>11</v>
      </c>
      <c r="C2089" t="s">
        <v>24</v>
      </c>
      <c r="D2089" t="s">
        <v>28</v>
      </c>
      <c r="E2089">
        <v>2</v>
      </c>
      <c r="F2089" t="s">
        <v>21</v>
      </c>
      <c r="G2089" t="s">
        <v>15</v>
      </c>
      <c r="H2089" t="s">
        <v>16</v>
      </c>
      <c r="I2089">
        <v>0</v>
      </c>
      <c r="J2089" s="23">
        <v>21818</v>
      </c>
      <c r="K2089">
        <v>43636</v>
      </c>
    </row>
    <row r="2090" spans="1:11" ht="15" customHeight="1" x14ac:dyDescent="0.3">
      <c r="A2090" t="s">
        <v>10</v>
      </c>
      <c r="B2090" t="s">
        <v>19</v>
      </c>
      <c r="C2090" t="s">
        <v>24</v>
      </c>
      <c r="D2090" t="s">
        <v>20</v>
      </c>
      <c r="E2090">
        <v>23</v>
      </c>
      <c r="F2090"/>
      <c r="G2090" t="s">
        <v>31</v>
      </c>
      <c r="H2090" t="s">
        <v>16</v>
      </c>
      <c r="I2090">
        <v>1</v>
      </c>
      <c r="J2090" s="23">
        <v>758927</v>
      </c>
      <c r="K2090">
        <v>17455321</v>
      </c>
    </row>
    <row r="2091" spans="1:11" ht="15" customHeight="1" x14ac:dyDescent="0.3">
      <c r="A2091" t="s">
        <v>18</v>
      </c>
      <c r="B2091" t="s">
        <v>11</v>
      </c>
      <c r="C2091" t="s">
        <v>12</v>
      </c>
      <c r="D2091" t="s">
        <v>13</v>
      </c>
      <c r="E2091">
        <v>0</v>
      </c>
      <c r="F2091" t="s">
        <v>49</v>
      </c>
      <c r="G2091" t="s">
        <v>15</v>
      </c>
      <c r="H2091" t="s">
        <v>16</v>
      </c>
      <c r="I2091">
        <v>0</v>
      </c>
      <c r="J2091" s="23">
        <v>-1194791</v>
      </c>
      <c r="K2091" t="s">
        <v>17</v>
      </c>
    </row>
    <row r="2092" spans="1:11" ht="15" customHeight="1" x14ac:dyDescent="0.3">
      <c r="A2092" t="s">
        <v>22</v>
      </c>
      <c r="B2092" t="s">
        <v>19</v>
      </c>
      <c r="C2092" t="s">
        <v>12</v>
      </c>
      <c r="D2092" t="s">
        <v>20</v>
      </c>
      <c r="E2092">
        <v>21</v>
      </c>
      <c r="F2092"/>
      <c r="G2092" t="s">
        <v>31</v>
      </c>
      <c r="H2092" t="s">
        <v>16</v>
      </c>
      <c r="I2092">
        <v>1</v>
      </c>
      <c r="J2092" s="23">
        <v>-65900</v>
      </c>
      <c r="K2092" t="s">
        <v>17</v>
      </c>
    </row>
    <row r="2093" spans="1:11" ht="15" customHeight="1" x14ac:dyDescent="0.3">
      <c r="A2093" t="s">
        <v>10</v>
      </c>
      <c r="B2093" t="s">
        <v>11</v>
      </c>
      <c r="C2093" t="s">
        <v>24</v>
      </c>
      <c r="D2093" t="s">
        <v>28</v>
      </c>
      <c r="E2093">
        <v>-4</v>
      </c>
      <c r="F2093" t="s">
        <v>21</v>
      </c>
      <c r="G2093" t="s">
        <v>31</v>
      </c>
      <c r="H2093" t="s">
        <v>32</v>
      </c>
      <c r="I2093">
        <v>1</v>
      </c>
      <c r="J2093" s="23">
        <v>88</v>
      </c>
      <c r="K2093" t="s">
        <v>17</v>
      </c>
    </row>
    <row r="2094" spans="1:11" ht="15" customHeight="1" x14ac:dyDescent="0.3">
      <c r="A2094" t="s">
        <v>10</v>
      </c>
      <c r="B2094" t="s">
        <v>11</v>
      </c>
      <c r="C2094" t="s">
        <v>12</v>
      </c>
      <c r="D2094" t="s">
        <v>28</v>
      </c>
      <c r="E2094">
        <v>16</v>
      </c>
      <c r="F2094" t="s">
        <v>33</v>
      </c>
      <c r="G2094" t="s">
        <v>15</v>
      </c>
      <c r="H2094" t="s">
        <v>32</v>
      </c>
      <c r="I2094">
        <v>1</v>
      </c>
      <c r="J2094" s="23">
        <v>-35968</v>
      </c>
      <c r="K2094" t="s">
        <v>17</v>
      </c>
    </row>
    <row r="2095" spans="1:11" ht="15" customHeight="1" x14ac:dyDescent="0.3">
      <c r="A2095" t="s">
        <v>18</v>
      </c>
      <c r="B2095" t="s">
        <v>11</v>
      </c>
      <c r="C2095" t="s">
        <v>12</v>
      </c>
      <c r="D2095" t="s">
        <v>28</v>
      </c>
      <c r="E2095">
        <v>5</v>
      </c>
      <c r="F2095" t="s">
        <v>33</v>
      </c>
      <c r="G2095" t="s">
        <v>15</v>
      </c>
      <c r="H2095" t="s">
        <v>16</v>
      </c>
      <c r="I2095">
        <v>0</v>
      </c>
      <c r="J2095" s="23">
        <v>-682</v>
      </c>
      <c r="K2095" t="s">
        <v>17</v>
      </c>
    </row>
    <row r="2096" spans="1:11" ht="15" customHeight="1" x14ac:dyDescent="0.3">
      <c r="A2096" t="s">
        <v>22</v>
      </c>
      <c r="B2096" t="s">
        <v>11</v>
      </c>
      <c r="C2096" t="s">
        <v>12</v>
      </c>
      <c r="D2096" t="s">
        <v>28</v>
      </c>
      <c r="E2096">
        <v>27</v>
      </c>
      <c r="F2096" t="s">
        <v>23</v>
      </c>
      <c r="G2096" t="s">
        <v>15</v>
      </c>
      <c r="H2096" t="s">
        <v>16</v>
      </c>
      <c r="I2096">
        <v>0</v>
      </c>
      <c r="J2096" s="23">
        <v>-6330314</v>
      </c>
      <c r="K2096" t="s">
        <v>17</v>
      </c>
    </row>
    <row r="2097" spans="1:11" ht="15" customHeight="1" x14ac:dyDescent="0.3">
      <c r="A2097" t="s">
        <v>10</v>
      </c>
      <c r="B2097" t="s">
        <v>19</v>
      </c>
      <c r="C2097" t="s">
        <v>12</v>
      </c>
      <c r="D2097" t="s">
        <v>20</v>
      </c>
      <c r="E2097">
        <v>32</v>
      </c>
      <c r="F2097"/>
      <c r="G2097" t="s">
        <v>15</v>
      </c>
      <c r="H2097" t="s">
        <v>32</v>
      </c>
      <c r="I2097">
        <v>1</v>
      </c>
      <c r="J2097" s="23">
        <v>-7445</v>
      </c>
      <c r="K2097" t="s">
        <v>17</v>
      </c>
    </row>
    <row r="2098" spans="1:11" ht="15" customHeight="1" x14ac:dyDescent="0.3">
      <c r="A2098" t="s">
        <v>18</v>
      </c>
      <c r="B2098" t="s">
        <v>19</v>
      </c>
      <c r="C2098" t="s">
        <v>12</v>
      </c>
      <c r="D2098" t="s">
        <v>20</v>
      </c>
      <c r="E2098">
        <v>29</v>
      </c>
      <c r="F2098"/>
      <c r="G2098" t="s">
        <v>31</v>
      </c>
      <c r="H2098" t="s">
        <v>16</v>
      </c>
      <c r="I2098">
        <v>1</v>
      </c>
      <c r="J2098" s="23">
        <v>-6299</v>
      </c>
      <c r="K2098" t="s">
        <v>17</v>
      </c>
    </row>
    <row r="2099" spans="1:11" ht="15" customHeight="1" x14ac:dyDescent="0.3">
      <c r="A2099" t="s">
        <v>18</v>
      </c>
      <c r="B2099" t="s">
        <v>11</v>
      </c>
      <c r="C2099" t="s">
        <v>12</v>
      </c>
      <c r="D2099" t="s">
        <v>28</v>
      </c>
      <c r="E2099">
        <v>2</v>
      </c>
      <c r="F2099" t="s">
        <v>23</v>
      </c>
      <c r="G2099" t="s">
        <v>15</v>
      </c>
      <c r="H2099" t="s">
        <v>16</v>
      </c>
      <c r="I2099">
        <v>0</v>
      </c>
      <c r="J2099" s="23">
        <v>-127539</v>
      </c>
      <c r="K2099" t="s">
        <v>17</v>
      </c>
    </row>
    <row r="2100" spans="1:11" ht="15" customHeight="1" x14ac:dyDescent="0.3">
      <c r="A2100" t="s">
        <v>10</v>
      </c>
      <c r="B2100" t="s">
        <v>11</v>
      </c>
      <c r="C2100" t="s">
        <v>24</v>
      </c>
      <c r="D2100" t="s">
        <v>28</v>
      </c>
      <c r="E2100">
        <v>7</v>
      </c>
      <c r="F2100" t="s">
        <v>30</v>
      </c>
      <c r="G2100" t="s">
        <v>15</v>
      </c>
      <c r="H2100" t="s">
        <v>16</v>
      </c>
      <c r="I2100">
        <v>0</v>
      </c>
      <c r="J2100" s="23">
        <v>557034</v>
      </c>
      <c r="K2100">
        <v>3899238</v>
      </c>
    </row>
    <row r="2101" spans="1:11" ht="15" customHeight="1" x14ac:dyDescent="0.3">
      <c r="A2101" t="s">
        <v>22</v>
      </c>
      <c r="B2101" t="s">
        <v>19</v>
      </c>
      <c r="C2101" t="s">
        <v>24</v>
      </c>
      <c r="D2101" t="s">
        <v>20</v>
      </c>
      <c r="E2101">
        <v>25</v>
      </c>
      <c r="F2101"/>
      <c r="G2101" t="s">
        <v>15</v>
      </c>
      <c r="H2101" t="s">
        <v>32</v>
      </c>
      <c r="I2101">
        <v>1</v>
      </c>
      <c r="J2101" s="23">
        <v>93473</v>
      </c>
      <c r="K2101">
        <v>2336825</v>
      </c>
    </row>
    <row r="2102" spans="1:11" ht="15" customHeight="1" x14ac:dyDescent="0.3">
      <c r="A2102" t="s">
        <v>10</v>
      </c>
      <c r="B2102" t="s">
        <v>11</v>
      </c>
      <c r="C2102" t="s">
        <v>24</v>
      </c>
      <c r="D2102" t="s">
        <v>25</v>
      </c>
      <c r="E2102">
        <v>0</v>
      </c>
      <c r="F2102" t="s">
        <v>42</v>
      </c>
      <c r="G2102" t="s">
        <v>15</v>
      </c>
      <c r="H2102" t="s">
        <v>16</v>
      </c>
      <c r="I2102">
        <v>0</v>
      </c>
      <c r="J2102" s="23">
        <v>1496</v>
      </c>
      <c r="K2102" t="s">
        <v>17</v>
      </c>
    </row>
    <row r="2103" spans="1:11" ht="15" customHeight="1" x14ac:dyDescent="0.3">
      <c r="A2103" t="s">
        <v>18</v>
      </c>
      <c r="B2103" t="s">
        <v>11</v>
      </c>
      <c r="C2103" t="s">
        <v>12</v>
      </c>
      <c r="D2103" t="s">
        <v>25</v>
      </c>
      <c r="E2103">
        <v>1</v>
      </c>
      <c r="F2103" t="s">
        <v>26</v>
      </c>
      <c r="G2103" t="s">
        <v>15</v>
      </c>
      <c r="H2103" t="s">
        <v>16</v>
      </c>
      <c r="I2103">
        <v>0</v>
      </c>
      <c r="J2103" s="23">
        <v>-1855</v>
      </c>
      <c r="K2103" t="s">
        <v>17</v>
      </c>
    </row>
    <row r="2104" spans="1:11" ht="15" customHeight="1" x14ac:dyDescent="0.3">
      <c r="A2104" t="s">
        <v>22</v>
      </c>
      <c r="B2104" t="s">
        <v>19</v>
      </c>
      <c r="C2104" t="s">
        <v>24</v>
      </c>
      <c r="D2104" t="s">
        <v>20</v>
      </c>
      <c r="E2104">
        <v>33</v>
      </c>
      <c r="F2104"/>
      <c r="G2104" t="s">
        <v>31</v>
      </c>
      <c r="H2104" t="s">
        <v>16</v>
      </c>
      <c r="I2104">
        <v>1</v>
      </c>
      <c r="J2104" s="23">
        <v>76591</v>
      </c>
      <c r="K2104">
        <v>2527503</v>
      </c>
    </row>
    <row r="2105" spans="1:11" ht="15" customHeight="1" x14ac:dyDescent="0.3">
      <c r="A2105" t="s">
        <v>10</v>
      </c>
      <c r="B2105" t="s">
        <v>11</v>
      </c>
      <c r="C2105" t="s">
        <v>24</v>
      </c>
      <c r="D2105" t="s">
        <v>25</v>
      </c>
      <c r="E2105">
        <v>0</v>
      </c>
      <c r="F2105" t="s">
        <v>39</v>
      </c>
      <c r="G2105" t="s">
        <v>15</v>
      </c>
      <c r="H2105" t="s">
        <v>16</v>
      </c>
      <c r="I2105">
        <v>0</v>
      </c>
      <c r="J2105" s="23">
        <v>136880</v>
      </c>
      <c r="K2105" t="s">
        <v>17</v>
      </c>
    </row>
    <row r="2106" spans="1:11" ht="15" customHeight="1" x14ac:dyDescent="0.3">
      <c r="A2106" t="s">
        <v>22</v>
      </c>
      <c r="B2106" t="s">
        <v>11</v>
      </c>
      <c r="C2106" t="s">
        <v>24</v>
      </c>
      <c r="D2106" t="s">
        <v>28</v>
      </c>
      <c r="E2106">
        <v>0</v>
      </c>
      <c r="F2106" t="s">
        <v>33</v>
      </c>
      <c r="G2106" t="s">
        <v>15</v>
      </c>
      <c r="H2106" t="s">
        <v>16</v>
      </c>
      <c r="I2106">
        <v>0</v>
      </c>
      <c r="J2106" s="23">
        <v>1806</v>
      </c>
      <c r="K2106" t="s">
        <v>17</v>
      </c>
    </row>
    <row r="2107" spans="1:11" ht="15" customHeight="1" x14ac:dyDescent="0.3">
      <c r="A2107" t="s">
        <v>10</v>
      </c>
      <c r="B2107" t="s">
        <v>11</v>
      </c>
      <c r="C2107" t="s">
        <v>24</v>
      </c>
      <c r="D2107" t="s">
        <v>13</v>
      </c>
      <c r="E2107">
        <v>0</v>
      </c>
      <c r="F2107" t="s">
        <v>21</v>
      </c>
      <c r="G2107" t="s">
        <v>15</v>
      </c>
      <c r="H2107" t="s">
        <v>16</v>
      </c>
      <c r="I2107">
        <v>0</v>
      </c>
      <c r="J2107" s="23">
        <v>8326313</v>
      </c>
      <c r="K2107" t="s">
        <v>17</v>
      </c>
    </row>
    <row r="2108" spans="1:11" ht="15" customHeight="1" x14ac:dyDescent="0.3">
      <c r="A2108" t="s">
        <v>10</v>
      </c>
      <c r="B2108" t="s">
        <v>19</v>
      </c>
      <c r="C2108" t="s">
        <v>24</v>
      </c>
      <c r="D2108" t="s">
        <v>28</v>
      </c>
      <c r="E2108">
        <v>35</v>
      </c>
      <c r="F2108"/>
      <c r="G2108" t="s">
        <v>15</v>
      </c>
      <c r="H2108" t="s">
        <v>16</v>
      </c>
      <c r="I2108">
        <v>0</v>
      </c>
      <c r="J2108" s="23">
        <v>103325</v>
      </c>
      <c r="K2108">
        <v>3616375</v>
      </c>
    </row>
    <row r="2109" spans="1:11" ht="15" customHeight="1" x14ac:dyDescent="0.3">
      <c r="A2109" t="s">
        <v>22</v>
      </c>
      <c r="B2109" t="s">
        <v>11</v>
      </c>
      <c r="C2109" t="s">
        <v>12</v>
      </c>
      <c r="D2109" t="s">
        <v>13</v>
      </c>
      <c r="E2109">
        <v>0</v>
      </c>
      <c r="F2109" t="s">
        <v>45</v>
      </c>
      <c r="G2109" t="s">
        <v>15</v>
      </c>
      <c r="H2109" t="s">
        <v>16</v>
      </c>
      <c r="I2109">
        <v>0</v>
      </c>
      <c r="J2109" s="23">
        <v>-35481</v>
      </c>
      <c r="K2109" t="s">
        <v>17</v>
      </c>
    </row>
    <row r="2110" spans="1:11" ht="15" customHeight="1" x14ac:dyDescent="0.3">
      <c r="A2110" t="s">
        <v>10</v>
      </c>
      <c r="B2110" t="s">
        <v>19</v>
      </c>
      <c r="C2110" t="s">
        <v>24</v>
      </c>
      <c r="D2110" t="s">
        <v>20</v>
      </c>
      <c r="E2110">
        <v>44</v>
      </c>
      <c r="F2110"/>
      <c r="G2110" t="s">
        <v>15</v>
      </c>
      <c r="H2110" t="s">
        <v>16</v>
      </c>
      <c r="I2110">
        <v>0</v>
      </c>
      <c r="J2110" s="23">
        <v>1977162</v>
      </c>
      <c r="K2110">
        <v>86995128</v>
      </c>
    </row>
    <row r="2111" spans="1:11" ht="15" customHeight="1" x14ac:dyDescent="0.3">
      <c r="A2111" t="s">
        <v>22</v>
      </c>
      <c r="B2111" t="s">
        <v>11</v>
      </c>
      <c r="C2111" t="s">
        <v>12</v>
      </c>
      <c r="D2111" t="s">
        <v>25</v>
      </c>
      <c r="E2111">
        <v>-4</v>
      </c>
      <c r="F2111" t="s">
        <v>26</v>
      </c>
      <c r="G2111" t="s">
        <v>15</v>
      </c>
      <c r="H2111" t="s">
        <v>16</v>
      </c>
      <c r="I2111">
        <v>0</v>
      </c>
      <c r="J2111" s="23">
        <v>-1848</v>
      </c>
      <c r="K2111" t="s">
        <v>17</v>
      </c>
    </row>
    <row r="2112" spans="1:11" ht="15" customHeight="1" x14ac:dyDescent="0.3">
      <c r="A2112" t="s">
        <v>10</v>
      </c>
      <c r="B2112" t="s">
        <v>11</v>
      </c>
      <c r="C2112" t="s">
        <v>12</v>
      </c>
      <c r="D2112" t="s">
        <v>13</v>
      </c>
      <c r="E2112">
        <v>5</v>
      </c>
      <c r="F2112" t="s">
        <v>37</v>
      </c>
      <c r="G2112" t="s">
        <v>15</v>
      </c>
      <c r="H2112" t="s">
        <v>16</v>
      </c>
      <c r="I2112">
        <v>0</v>
      </c>
      <c r="J2112" s="23">
        <v>-22546</v>
      </c>
      <c r="K2112" t="s">
        <v>17</v>
      </c>
    </row>
    <row r="2113" spans="1:11" ht="15" customHeight="1" x14ac:dyDescent="0.3">
      <c r="A2113" t="s">
        <v>22</v>
      </c>
      <c r="B2113" t="s">
        <v>11</v>
      </c>
      <c r="C2113" t="s">
        <v>12</v>
      </c>
      <c r="D2113" t="s">
        <v>25</v>
      </c>
      <c r="E2113">
        <v>0</v>
      </c>
      <c r="F2113" t="s">
        <v>40</v>
      </c>
      <c r="G2113" t="s">
        <v>15</v>
      </c>
      <c r="H2113" t="s">
        <v>16</v>
      </c>
      <c r="I2113">
        <v>0</v>
      </c>
      <c r="J2113" s="23">
        <v>-124512</v>
      </c>
      <c r="K2113" t="s">
        <v>17</v>
      </c>
    </row>
    <row r="2114" spans="1:11" ht="15" customHeight="1" x14ac:dyDescent="0.3">
      <c r="A2114" t="s">
        <v>22</v>
      </c>
      <c r="B2114" t="s">
        <v>11</v>
      </c>
      <c r="C2114" t="s">
        <v>12</v>
      </c>
      <c r="D2114" t="s">
        <v>13</v>
      </c>
      <c r="E2114">
        <v>4</v>
      </c>
      <c r="F2114" t="s">
        <v>30</v>
      </c>
      <c r="G2114" t="s">
        <v>15</v>
      </c>
      <c r="H2114" t="s">
        <v>16</v>
      </c>
      <c r="I2114">
        <v>0</v>
      </c>
      <c r="J2114" s="23">
        <v>-208463</v>
      </c>
      <c r="K2114" t="s">
        <v>17</v>
      </c>
    </row>
    <row r="2115" spans="1:11" ht="15" customHeight="1" x14ac:dyDescent="0.3">
      <c r="A2115" t="s">
        <v>22</v>
      </c>
      <c r="B2115" t="s">
        <v>11</v>
      </c>
      <c r="C2115" t="s">
        <v>24</v>
      </c>
      <c r="D2115" t="s">
        <v>28</v>
      </c>
      <c r="E2115">
        <v>11</v>
      </c>
      <c r="F2115" t="s">
        <v>34</v>
      </c>
      <c r="G2115" t="s">
        <v>15</v>
      </c>
      <c r="H2115" t="s">
        <v>16</v>
      </c>
      <c r="I2115">
        <v>0</v>
      </c>
      <c r="J2115" s="23">
        <v>80880</v>
      </c>
      <c r="K2115">
        <v>889680</v>
      </c>
    </row>
    <row r="2116" spans="1:11" ht="15" customHeight="1" x14ac:dyDescent="0.3">
      <c r="A2116" t="s">
        <v>18</v>
      </c>
      <c r="B2116" t="s">
        <v>19</v>
      </c>
      <c r="C2116" t="s">
        <v>24</v>
      </c>
      <c r="D2116" t="s">
        <v>20</v>
      </c>
      <c r="E2116">
        <v>29</v>
      </c>
      <c r="F2116"/>
      <c r="G2116" t="s">
        <v>31</v>
      </c>
      <c r="H2116" t="s">
        <v>16</v>
      </c>
      <c r="I2116">
        <v>1</v>
      </c>
      <c r="J2116" s="23">
        <v>14812838</v>
      </c>
      <c r="K2116">
        <v>429572302</v>
      </c>
    </row>
    <row r="2117" spans="1:11" ht="15" customHeight="1" x14ac:dyDescent="0.3">
      <c r="A2117" t="s">
        <v>10</v>
      </c>
      <c r="B2117" t="s">
        <v>11</v>
      </c>
      <c r="C2117" t="s">
        <v>24</v>
      </c>
      <c r="D2117" t="s">
        <v>25</v>
      </c>
      <c r="E2117">
        <v>1</v>
      </c>
      <c r="F2117" t="s">
        <v>21</v>
      </c>
      <c r="G2117" t="s">
        <v>15</v>
      </c>
      <c r="H2117" t="s">
        <v>16</v>
      </c>
      <c r="I2117">
        <v>0</v>
      </c>
      <c r="J2117" s="23">
        <v>592733</v>
      </c>
      <c r="K2117">
        <v>592733</v>
      </c>
    </row>
    <row r="2118" spans="1:11" ht="15" customHeight="1" x14ac:dyDescent="0.3">
      <c r="A2118" t="s">
        <v>18</v>
      </c>
      <c r="B2118" t="s">
        <v>11</v>
      </c>
      <c r="C2118" t="s">
        <v>24</v>
      </c>
      <c r="D2118" t="s">
        <v>28</v>
      </c>
      <c r="E2118">
        <v>9</v>
      </c>
      <c r="F2118" t="s">
        <v>33</v>
      </c>
      <c r="G2118" t="s">
        <v>15</v>
      </c>
      <c r="H2118" t="s">
        <v>16</v>
      </c>
      <c r="I2118">
        <v>0</v>
      </c>
      <c r="J2118" s="23">
        <v>689800</v>
      </c>
      <c r="K2118">
        <v>6208200</v>
      </c>
    </row>
    <row r="2119" spans="1:11" ht="15" customHeight="1" x14ac:dyDescent="0.3">
      <c r="A2119" t="s">
        <v>22</v>
      </c>
      <c r="B2119" t="s">
        <v>11</v>
      </c>
      <c r="C2119" t="s">
        <v>12</v>
      </c>
      <c r="D2119" t="s">
        <v>28</v>
      </c>
      <c r="E2119">
        <v>29</v>
      </c>
      <c r="F2119" t="s">
        <v>23</v>
      </c>
      <c r="G2119" t="s">
        <v>15</v>
      </c>
      <c r="H2119" t="s">
        <v>16</v>
      </c>
      <c r="I2119">
        <v>0</v>
      </c>
      <c r="J2119" s="23">
        <v>-9166504</v>
      </c>
      <c r="K2119" t="s">
        <v>17</v>
      </c>
    </row>
    <row r="2120" spans="1:11" ht="15" customHeight="1" x14ac:dyDescent="0.3">
      <c r="A2120" t="s">
        <v>10</v>
      </c>
      <c r="B2120" t="s">
        <v>19</v>
      </c>
      <c r="C2120" t="s">
        <v>12</v>
      </c>
      <c r="D2120" t="s">
        <v>28</v>
      </c>
      <c r="E2120">
        <v>19</v>
      </c>
      <c r="F2120"/>
      <c r="G2120" t="s">
        <v>15</v>
      </c>
      <c r="H2120" t="s">
        <v>16</v>
      </c>
      <c r="I2120">
        <v>0</v>
      </c>
      <c r="J2120" s="23">
        <v>-2955</v>
      </c>
      <c r="K2120" t="s">
        <v>17</v>
      </c>
    </row>
    <row r="2121" spans="1:11" ht="15" customHeight="1" x14ac:dyDescent="0.3">
      <c r="A2121" t="s">
        <v>10</v>
      </c>
      <c r="B2121" t="s">
        <v>11</v>
      </c>
      <c r="C2121" t="s">
        <v>24</v>
      </c>
      <c r="D2121" t="s">
        <v>13</v>
      </c>
      <c r="E2121">
        <v>3</v>
      </c>
      <c r="F2121" t="s">
        <v>14</v>
      </c>
      <c r="G2121" t="s">
        <v>15</v>
      </c>
      <c r="H2121" t="s">
        <v>16</v>
      </c>
      <c r="I2121">
        <v>0</v>
      </c>
      <c r="J2121" s="23">
        <v>4396162</v>
      </c>
      <c r="K2121">
        <v>13188486</v>
      </c>
    </row>
    <row r="2122" spans="1:11" ht="15" customHeight="1" x14ac:dyDescent="0.3">
      <c r="A2122" t="s">
        <v>18</v>
      </c>
      <c r="B2122" t="s">
        <v>11</v>
      </c>
      <c r="C2122" t="s">
        <v>12</v>
      </c>
      <c r="D2122" t="s">
        <v>13</v>
      </c>
      <c r="E2122">
        <v>8</v>
      </c>
      <c r="F2122" t="s">
        <v>35</v>
      </c>
      <c r="G2122" t="s">
        <v>15</v>
      </c>
      <c r="H2122" t="s">
        <v>16</v>
      </c>
      <c r="I2122">
        <v>0</v>
      </c>
      <c r="J2122" s="23">
        <v>-563</v>
      </c>
      <c r="K2122" t="s">
        <v>17</v>
      </c>
    </row>
    <row r="2123" spans="1:11" ht="15" customHeight="1" x14ac:dyDescent="0.3">
      <c r="A2123" t="s">
        <v>10</v>
      </c>
      <c r="B2123" t="s">
        <v>19</v>
      </c>
      <c r="C2123" t="s">
        <v>12</v>
      </c>
      <c r="D2123" t="s">
        <v>20</v>
      </c>
      <c r="E2123">
        <v>39</v>
      </c>
      <c r="F2123"/>
      <c r="G2123" t="s">
        <v>31</v>
      </c>
      <c r="H2123" t="s">
        <v>16</v>
      </c>
      <c r="I2123">
        <v>1</v>
      </c>
      <c r="J2123" s="23">
        <v>-58864</v>
      </c>
      <c r="K2123" t="s">
        <v>17</v>
      </c>
    </row>
    <row r="2124" spans="1:11" ht="15" customHeight="1" x14ac:dyDescent="0.3">
      <c r="A2124" t="s">
        <v>22</v>
      </c>
      <c r="B2124" t="s">
        <v>11</v>
      </c>
      <c r="C2124" t="s">
        <v>24</v>
      </c>
      <c r="D2124" t="s">
        <v>13</v>
      </c>
      <c r="E2124">
        <v>1</v>
      </c>
      <c r="F2124" t="s">
        <v>38</v>
      </c>
      <c r="G2124" t="s">
        <v>15</v>
      </c>
      <c r="H2124" t="s">
        <v>16</v>
      </c>
      <c r="I2124">
        <v>0</v>
      </c>
      <c r="J2124" s="23">
        <v>18304</v>
      </c>
      <c r="K2124">
        <v>18304</v>
      </c>
    </row>
    <row r="2125" spans="1:11" ht="15" customHeight="1" x14ac:dyDescent="0.3">
      <c r="A2125" t="s">
        <v>18</v>
      </c>
      <c r="B2125" t="s">
        <v>19</v>
      </c>
      <c r="C2125" t="s">
        <v>12</v>
      </c>
      <c r="D2125" t="s">
        <v>28</v>
      </c>
      <c r="E2125">
        <v>18</v>
      </c>
      <c r="F2125"/>
      <c r="G2125" t="s">
        <v>15</v>
      </c>
      <c r="H2125" t="s">
        <v>32</v>
      </c>
      <c r="I2125">
        <v>1</v>
      </c>
      <c r="J2125" s="23">
        <v>-62</v>
      </c>
      <c r="K2125" t="s">
        <v>17</v>
      </c>
    </row>
    <row r="2126" spans="1:11" ht="15" customHeight="1" x14ac:dyDescent="0.3">
      <c r="A2126" t="s">
        <v>18</v>
      </c>
      <c r="B2126" t="s">
        <v>44</v>
      </c>
      <c r="C2126" t="s">
        <v>24</v>
      </c>
      <c r="D2126" t="s">
        <v>28</v>
      </c>
      <c r="E2126">
        <v>-1</v>
      </c>
      <c r="F2126" t="s">
        <v>30</v>
      </c>
      <c r="G2126" t="s">
        <v>15</v>
      </c>
      <c r="H2126" t="s">
        <v>16</v>
      </c>
      <c r="I2126">
        <v>0</v>
      </c>
      <c r="J2126" s="23">
        <v>300064</v>
      </c>
      <c r="K2126" t="s">
        <v>17</v>
      </c>
    </row>
    <row r="2127" spans="1:11" ht="15" customHeight="1" x14ac:dyDescent="0.3">
      <c r="A2127" t="s">
        <v>10</v>
      </c>
      <c r="B2127" t="s">
        <v>19</v>
      </c>
      <c r="C2127" t="s">
        <v>12</v>
      </c>
      <c r="D2127" t="s">
        <v>20</v>
      </c>
      <c r="E2127">
        <v>29</v>
      </c>
      <c r="F2127"/>
      <c r="G2127" t="s">
        <v>31</v>
      </c>
      <c r="H2127" t="s">
        <v>16</v>
      </c>
      <c r="I2127">
        <v>1</v>
      </c>
      <c r="J2127" s="23">
        <v>-41519</v>
      </c>
      <c r="K2127" t="s">
        <v>17</v>
      </c>
    </row>
    <row r="2128" spans="1:11" ht="15" customHeight="1" x14ac:dyDescent="0.3">
      <c r="A2128" t="s">
        <v>22</v>
      </c>
      <c r="B2128" t="s">
        <v>11</v>
      </c>
      <c r="C2128" t="s">
        <v>12</v>
      </c>
      <c r="D2128" t="s">
        <v>28</v>
      </c>
      <c r="E2128">
        <v>5</v>
      </c>
      <c r="F2128" t="s">
        <v>34</v>
      </c>
      <c r="G2128" t="s">
        <v>15</v>
      </c>
      <c r="H2128" t="s">
        <v>16</v>
      </c>
      <c r="I2128">
        <v>0</v>
      </c>
      <c r="J2128" s="23">
        <v>-349233</v>
      </c>
      <c r="K2128" t="s">
        <v>17</v>
      </c>
    </row>
    <row r="2129" spans="1:11" ht="15" customHeight="1" x14ac:dyDescent="0.3">
      <c r="A2129" t="s">
        <v>18</v>
      </c>
      <c r="B2129" t="s">
        <v>11</v>
      </c>
      <c r="C2129" t="s">
        <v>12</v>
      </c>
      <c r="D2129" t="s">
        <v>28</v>
      </c>
      <c r="E2129">
        <v>14</v>
      </c>
      <c r="F2129" t="s">
        <v>35</v>
      </c>
      <c r="G2129" t="s">
        <v>15</v>
      </c>
      <c r="H2129" t="s">
        <v>16</v>
      </c>
      <c r="I2129">
        <v>0</v>
      </c>
      <c r="J2129" s="23">
        <v>-1541</v>
      </c>
      <c r="K2129" t="s">
        <v>17</v>
      </c>
    </row>
    <row r="2130" spans="1:11" ht="15" customHeight="1" x14ac:dyDescent="0.3">
      <c r="A2130" t="s">
        <v>10</v>
      </c>
      <c r="B2130" t="s">
        <v>11</v>
      </c>
      <c r="C2130" t="s">
        <v>24</v>
      </c>
      <c r="D2130" t="s">
        <v>13</v>
      </c>
      <c r="E2130">
        <v>4</v>
      </c>
      <c r="F2130" t="s">
        <v>37</v>
      </c>
      <c r="G2130" t="s">
        <v>15</v>
      </c>
      <c r="H2130" t="s">
        <v>16</v>
      </c>
      <c r="I2130">
        <v>0</v>
      </c>
      <c r="J2130" s="23">
        <v>840709</v>
      </c>
      <c r="K2130">
        <v>3362836</v>
      </c>
    </row>
    <row r="2131" spans="1:11" ht="15" customHeight="1" x14ac:dyDescent="0.3">
      <c r="A2131" t="s">
        <v>18</v>
      </c>
      <c r="B2131" t="s">
        <v>19</v>
      </c>
      <c r="C2131" t="s">
        <v>12</v>
      </c>
      <c r="D2131" t="s">
        <v>28</v>
      </c>
      <c r="E2131">
        <v>18</v>
      </c>
      <c r="F2131"/>
      <c r="G2131" t="s">
        <v>15</v>
      </c>
      <c r="H2131" t="s">
        <v>16</v>
      </c>
      <c r="I2131">
        <v>0</v>
      </c>
      <c r="J2131" s="23">
        <v>-1526</v>
      </c>
      <c r="K2131" t="s">
        <v>17</v>
      </c>
    </row>
    <row r="2132" spans="1:11" ht="15" customHeight="1" x14ac:dyDescent="0.3">
      <c r="A2132" t="s">
        <v>18</v>
      </c>
      <c r="B2132" t="s">
        <v>11</v>
      </c>
      <c r="C2132" t="s">
        <v>12</v>
      </c>
      <c r="D2132" t="s">
        <v>28</v>
      </c>
      <c r="E2132">
        <v>9</v>
      </c>
      <c r="F2132" t="s">
        <v>21</v>
      </c>
      <c r="G2132" t="s">
        <v>15</v>
      </c>
      <c r="H2132" t="s">
        <v>32</v>
      </c>
      <c r="I2132">
        <v>1</v>
      </c>
      <c r="J2132" s="23">
        <v>-50</v>
      </c>
      <c r="K2132" t="s">
        <v>17</v>
      </c>
    </row>
    <row r="2133" spans="1:11" ht="15" customHeight="1" x14ac:dyDescent="0.3">
      <c r="A2133" t="s">
        <v>18</v>
      </c>
      <c r="B2133" t="s">
        <v>44</v>
      </c>
      <c r="C2133" t="s">
        <v>24</v>
      </c>
      <c r="D2133" t="s">
        <v>28</v>
      </c>
      <c r="E2133">
        <v>6</v>
      </c>
      <c r="F2133" t="s">
        <v>38</v>
      </c>
      <c r="G2133" t="s">
        <v>15</v>
      </c>
      <c r="H2133" t="s">
        <v>16</v>
      </c>
      <c r="I2133">
        <v>0</v>
      </c>
      <c r="J2133" s="23">
        <v>206626</v>
      </c>
      <c r="K2133">
        <v>1239756</v>
      </c>
    </row>
    <row r="2134" spans="1:11" ht="15" customHeight="1" x14ac:dyDescent="0.3">
      <c r="A2134" t="s">
        <v>22</v>
      </c>
      <c r="B2134" t="s">
        <v>11</v>
      </c>
      <c r="C2134" t="s">
        <v>24</v>
      </c>
      <c r="D2134" t="s">
        <v>28</v>
      </c>
      <c r="E2134">
        <v>-4</v>
      </c>
      <c r="F2134" t="s">
        <v>33</v>
      </c>
      <c r="G2134" t="s">
        <v>15</v>
      </c>
      <c r="H2134" t="s">
        <v>16</v>
      </c>
      <c r="I2134">
        <v>0</v>
      </c>
      <c r="J2134" s="23">
        <v>33503</v>
      </c>
      <c r="K2134" t="s">
        <v>17</v>
      </c>
    </row>
    <row r="2135" spans="1:11" ht="15" customHeight="1" x14ac:dyDescent="0.3">
      <c r="A2135" t="s">
        <v>18</v>
      </c>
      <c r="B2135" t="s">
        <v>19</v>
      </c>
      <c r="C2135" t="s">
        <v>12</v>
      </c>
      <c r="D2135" t="s">
        <v>20</v>
      </c>
      <c r="E2135">
        <v>12</v>
      </c>
      <c r="F2135"/>
      <c r="G2135" t="s">
        <v>31</v>
      </c>
      <c r="H2135" t="s">
        <v>32</v>
      </c>
      <c r="I2135">
        <v>1</v>
      </c>
      <c r="J2135" s="23">
        <v>-85</v>
      </c>
      <c r="K2135" t="s">
        <v>17</v>
      </c>
    </row>
    <row r="2136" spans="1:11" ht="15" customHeight="1" x14ac:dyDescent="0.3">
      <c r="A2136" t="s">
        <v>22</v>
      </c>
      <c r="B2136" t="s">
        <v>11</v>
      </c>
      <c r="C2136" t="s">
        <v>24</v>
      </c>
      <c r="D2136" t="s">
        <v>28</v>
      </c>
      <c r="E2136">
        <v>-4</v>
      </c>
      <c r="F2136" t="s">
        <v>21</v>
      </c>
      <c r="G2136" t="s">
        <v>31</v>
      </c>
      <c r="H2136" t="s">
        <v>16</v>
      </c>
      <c r="I2136">
        <v>1</v>
      </c>
      <c r="J2136" s="23">
        <v>2417142</v>
      </c>
      <c r="K2136" t="s">
        <v>17</v>
      </c>
    </row>
    <row r="2137" spans="1:11" ht="15" customHeight="1" x14ac:dyDescent="0.3">
      <c r="A2137" t="s">
        <v>10</v>
      </c>
      <c r="B2137" t="s">
        <v>19</v>
      </c>
      <c r="C2137" t="s">
        <v>24</v>
      </c>
      <c r="D2137" t="s">
        <v>20</v>
      </c>
      <c r="E2137">
        <v>24</v>
      </c>
      <c r="F2137"/>
      <c r="G2137" t="s">
        <v>15</v>
      </c>
      <c r="H2137" t="s">
        <v>16</v>
      </c>
      <c r="I2137">
        <v>0</v>
      </c>
      <c r="J2137" s="23">
        <v>48979470</v>
      </c>
      <c r="K2137">
        <v>1175507280</v>
      </c>
    </row>
    <row r="2138" spans="1:11" ht="15" customHeight="1" x14ac:dyDescent="0.3">
      <c r="A2138" t="s">
        <v>10</v>
      </c>
      <c r="B2138" t="s">
        <v>11</v>
      </c>
      <c r="C2138" t="s">
        <v>24</v>
      </c>
      <c r="D2138" t="s">
        <v>13</v>
      </c>
      <c r="E2138">
        <v>15</v>
      </c>
      <c r="F2138" t="s">
        <v>21</v>
      </c>
      <c r="G2138" t="s">
        <v>15</v>
      </c>
      <c r="H2138" t="s">
        <v>16</v>
      </c>
      <c r="I2138">
        <v>0</v>
      </c>
      <c r="J2138" s="23">
        <v>69983</v>
      </c>
      <c r="K2138">
        <v>1049745</v>
      </c>
    </row>
    <row r="2139" spans="1:11" ht="15" customHeight="1" x14ac:dyDescent="0.3">
      <c r="A2139" t="s">
        <v>10</v>
      </c>
      <c r="B2139" t="s">
        <v>11</v>
      </c>
      <c r="C2139" t="s">
        <v>24</v>
      </c>
      <c r="D2139" t="s">
        <v>25</v>
      </c>
      <c r="E2139">
        <v>0</v>
      </c>
      <c r="F2139" t="s">
        <v>41</v>
      </c>
      <c r="G2139" t="s">
        <v>15</v>
      </c>
      <c r="H2139" t="s">
        <v>16</v>
      </c>
      <c r="I2139">
        <v>0</v>
      </c>
      <c r="J2139" s="23">
        <v>5854</v>
      </c>
      <c r="K2139" t="s">
        <v>17</v>
      </c>
    </row>
    <row r="2140" spans="1:11" ht="15" customHeight="1" x14ac:dyDescent="0.3">
      <c r="A2140" t="s">
        <v>10</v>
      </c>
      <c r="B2140" t="s">
        <v>11</v>
      </c>
      <c r="C2140" t="s">
        <v>12</v>
      </c>
      <c r="D2140" t="s">
        <v>28</v>
      </c>
      <c r="E2140">
        <v>3</v>
      </c>
      <c r="F2140" t="s">
        <v>34</v>
      </c>
      <c r="G2140" t="s">
        <v>15</v>
      </c>
      <c r="H2140" t="s">
        <v>16</v>
      </c>
      <c r="I2140">
        <v>0</v>
      </c>
      <c r="J2140" s="23">
        <v>-16415</v>
      </c>
      <c r="K2140" t="s">
        <v>17</v>
      </c>
    </row>
    <row r="2141" spans="1:11" ht="15" customHeight="1" x14ac:dyDescent="0.3">
      <c r="A2141" t="s">
        <v>22</v>
      </c>
      <c r="B2141" t="s">
        <v>11</v>
      </c>
      <c r="C2141" t="s">
        <v>12</v>
      </c>
      <c r="D2141" t="s">
        <v>28</v>
      </c>
      <c r="E2141">
        <v>2</v>
      </c>
      <c r="F2141" t="s">
        <v>14</v>
      </c>
      <c r="G2141" t="s">
        <v>15</v>
      </c>
      <c r="H2141" t="s">
        <v>16</v>
      </c>
      <c r="I2141">
        <v>0</v>
      </c>
      <c r="J2141" s="23">
        <v>-87545</v>
      </c>
      <c r="K2141" t="s">
        <v>17</v>
      </c>
    </row>
    <row r="2142" spans="1:11" ht="15" customHeight="1" x14ac:dyDescent="0.3">
      <c r="A2142" t="s">
        <v>18</v>
      </c>
      <c r="B2142" t="s">
        <v>11</v>
      </c>
      <c r="C2142" t="s">
        <v>12</v>
      </c>
      <c r="D2142" t="s">
        <v>28</v>
      </c>
      <c r="E2142">
        <v>10</v>
      </c>
      <c r="F2142" t="s">
        <v>34</v>
      </c>
      <c r="G2142" t="s">
        <v>15</v>
      </c>
      <c r="H2142" t="s">
        <v>16</v>
      </c>
      <c r="I2142">
        <v>0</v>
      </c>
      <c r="J2142" s="23">
        <v>-12743</v>
      </c>
      <c r="K2142" t="s">
        <v>17</v>
      </c>
    </row>
    <row r="2143" spans="1:11" ht="15" customHeight="1" x14ac:dyDescent="0.3">
      <c r="A2143" t="s">
        <v>18</v>
      </c>
      <c r="B2143" t="s">
        <v>19</v>
      </c>
      <c r="C2143" t="s">
        <v>24</v>
      </c>
      <c r="D2143" t="s">
        <v>28</v>
      </c>
      <c r="E2143">
        <v>5</v>
      </c>
      <c r="F2143"/>
      <c r="G2143" t="s">
        <v>31</v>
      </c>
      <c r="H2143" t="s">
        <v>16</v>
      </c>
      <c r="I2143">
        <v>1</v>
      </c>
      <c r="J2143" s="23">
        <v>37670</v>
      </c>
      <c r="K2143">
        <v>188350</v>
      </c>
    </row>
    <row r="2144" spans="1:11" ht="15" customHeight="1" x14ac:dyDescent="0.3">
      <c r="A2144" t="s">
        <v>18</v>
      </c>
      <c r="B2144" t="s">
        <v>19</v>
      </c>
      <c r="C2144" t="s">
        <v>12</v>
      </c>
      <c r="D2144" t="s">
        <v>20</v>
      </c>
      <c r="E2144">
        <v>36</v>
      </c>
      <c r="F2144"/>
      <c r="G2144" t="s">
        <v>15</v>
      </c>
      <c r="H2144" t="s">
        <v>32</v>
      </c>
      <c r="I2144">
        <v>1</v>
      </c>
      <c r="J2144" s="23">
        <v>-483</v>
      </c>
      <c r="K2144" t="s">
        <v>17</v>
      </c>
    </row>
    <row r="2145" spans="1:11" ht="15" customHeight="1" x14ac:dyDescent="0.3">
      <c r="A2145" t="s">
        <v>10</v>
      </c>
      <c r="B2145" t="s">
        <v>19</v>
      </c>
      <c r="C2145" t="s">
        <v>12</v>
      </c>
      <c r="D2145" t="s">
        <v>28</v>
      </c>
      <c r="E2145">
        <v>3</v>
      </c>
      <c r="F2145"/>
      <c r="G2145" t="s">
        <v>15</v>
      </c>
      <c r="H2145" t="s">
        <v>16</v>
      </c>
      <c r="I2145">
        <v>0</v>
      </c>
      <c r="J2145" s="23">
        <v>-14884</v>
      </c>
      <c r="K2145" t="s">
        <v>17</v>
      </c>
    </row>
    <row r="2146" spans="1:11" ht="15" customHeight="1" x14ac:dyDescent="0.3">
      <c r="A2146" t="s">
        <v>18</v>
      </c>
      <c r="B2146" t="s">
        <v>11</v>
      </c>
      <c r="C2146" t="s">
        <v>24</v>
      </c>
      <c r="D2146" t="s">
        <v>13</v>
      </c>
      <c r="E2146">
        <v>6</v>
      </c>
      <c r="F2146" t="s">
        <v>29</v>
      </c>
      <c r="G2146" t="s">
        <v>15</v>
      </c>
      <c r="H2146" t="s">
        <v>16</v>
      </c>
      <c r="I2146">
        <v>0</v>
      </c>
      <c r="J2146" s="23">
        <v>38898457</v>
      </c>
      <c r="K2146">
        <v>233390742</v>
      </c>
    </row>
    <row r="2147" spans="1:11" ht="15" customHeight="1" x14ac:dyDescent="0.3">
      <c r="A2147" t="s">
        <v>10</v>
      </c>
      <c r="B2147" t="s">
        <v>19</v>
      </c>
      <c r="C2147" t="s">
        <v>24</v>
      </c>
      <c r="D2147" t="s">
        <v>20</v>
      </c>
      <c r="E2147">
        <v>34</v>
      </c>
      <c r="F2147"/>
      <c r="G2147" t="s">
        <v>31</v>
      </c>
      <c r="H2147" t="s">
        <v>16</v>
      </c>
      <c r="I2147">
        <v>1</v>
      </c>
      <c r="J2147" s="23">
        <v>1140066</v>
      </c>
      <c r="K2147">
        <v>38762244</v>
      </c>
    </row>
    <row r="2148" spans="1:11" ht="15" customHeight="1" x14ac:dyDescent="0.3">
      <c r="A2148" t="s">
        <v>22</v>
      </c>
      <c r="B2148" t="s">
        <v>11</v>
      </c>
      <c r="C2148" t="s">
        <v>24</v>
      </c>
      <c r="D2148" t="s">
        <v>28</v>
      </c>
      <c r="E2148">
        <v>13</v>
      </c>
      <c r="F2148" t="s">
        <v>39</v>
      </c>
      <c r="G2148" t="s">
        <v>15</v>
      </c>
      <c r="H2148" t="s">
        <v>16</v>
      </c>
      <c r="I2148">
        <v>0</v>
      </c>
      <c r="J2148" s="23">
        <v>494415</v>
      </c>
      <c r="K2148">
        <v>6427395</v>
      </c>
    </row>
    <row r="2149" spans="1:11" ht="15" customHeight="1" x14ac:dyDescent="0.3">
      <c r="A2149" t="s">
        <v>10</v>
      </c>
      <c r="B2149" t="s">
        <v>11</v>
      </c>
      <c r="C2149" t="s">
        <v>24</v>
      </c>
      <c r="D2149" t="s">
        <v>25</v>
      </c>
      <c r="E2149">
        <v>7</v>
      </c>
      <c r="F2149" t="s">
        <v>21</v>
      </c>
      <c r="G2149" t="s">
        <v>15</v>
      </c>
      <c r="H2149" t="s">
        <v>16</v>
      </c>
      <c r="I2149">
        <v>0</v>
      </c>
      <c r="J2149" s="23">
        <v>246916</v>
      </c>
      <c r="K2149">
        <v>1728412</v>
      </c>
    </row>
    <row r="2150" spans="1:11" ht="15" customHeight="1" x14ac:dyDescent="0.3">
      <c r="A2150" t="s">
        <v>22</v>
      </c>
      <c r="B2150" t="s">
        <v>19</v>
      </c>
      <c r="C2150" t="s">
        <v>12</v>
      </c>
      <c r="D2150" t="s">
        <v>20</v>
      </c>
      <c r="E2150">
        <v>7</v>
      </c>
      <c r="F2150"/>
      <c r="G2150" t="s">
        <v>15</v>
      </c>
      <c r="H2150" t="s">
        <v>16</v>
      </c>
      <c r="I2150">
        <v>0</v>
      </c>
      <c r="J2150" s="23">
        <v>-678018</v>
      </c>
      <c r="K2150" t="s">
        <v>17</v>
      </c>
    </row>
    <row r="2151" spans="1:11" ht="15" customHeight="1" x14ac:dyDescent="0.3">
      <c r="A2151" t="s">
        <v>18</v>
      </c>
      <c r="B2151" t="s">
        <v>11</v>
      </c>
      <c r="C2151" t="s">
        <v>24</v>
      </c>
      <c r="D2151" t="s">
        <v>25</v>
      </c>
      <c r="E2151">
        <v>0</v>
      </c>
      <c r="F2151" t="s">
        <v>35</v>
      </c>
      <c r="G2151" t="s">
        <v>15</v>
      </c>
      <c r="H2151" t="s">
        <v>16</v>
      </c>
      <c r="I2151">
        <v>0</v>
      </c>
      <c r="J2151" s="23">
        <v>58557</v>
      </c>
      <c r="K2151" t="s">
        <v>17</v>
      </c>
    </row>
    <row r="2152" spans="1:11" ht="15" customHeight="1" x14ac:dyDescent="0.3">
      <c r="A2152" t="s">
        <v>10</v>
      </c>
      <c r="B2152" t="s">
        <v>19</v>
      </c>
      <c r="C2152" t="s">
        <v>24</v>
      </c>
      <c r="D2152" t="s">
        <v>20</v>
      </c>
      <c r="E2152">
        <v>26</v>
      </c>
      <c r="F2152"/>
      <c r="G2152" t="s">
        <v>31</v>
      </c>
      <c r="H2152" t="s">
        <v>16</v>
      </c>
      <c r="I2152">
        <v>1</v>
      </c>
      <c r="J2152" s="23">
        <v>676633</v>
      </c>
      <c r="K2152">
        <v>17592458</v>
      </c>
    </row>
    <row r="2153" spans="1:11" ht="15" customHeight="1" x14ac:dyDescent="0.3">
      <c r="A2153" t="s">
        <v>10</v>
      </c>
      <c r="B2153" t="s">
        <v>11</v>
      </c>
      <c r="C2153" t="s">
        <v>24</v>
      </c>
      <c r="D2153" t="s">
        <v>28</v>
      </c>
      <c r="E2153">
        <v>5</v>
      </c>
      <c r="F2153" t="s">
        <v>21</v>
      </c>
      <c r="G2153" t="s">
        <v>15</v>
      </c>
      <c r="H2153" t="s">
        <v>16</v>
      </c>
      <c r="I2153">
        <v>0</v>
      </c>
      <c r="J2153" s="23">
        <v>1172872</v>
      </c>
      <c r="K2153">
        <v>5864360</v>
      </c>
    </row>
    <row r="2154" spans="1:11" ht="15" customHeight="1" x14ac:dyDescent="0.3">
      <c r="A2154" t="s">
        <v>22</v>
      </c>
      <c r="B2154" t="s">
        <v>11</v>
      </c>
      <c r="C2154" t="s">
        <v>24</v>
      </c>
      <c r="D2154" t="s">
        <v>28</v>
      </c>
      <c r="E2154">
        <v>3</v>
      </c>
      <c r="F2154" t="s">
        <v>29</v>
      </c>
      <c r="G2154" t="s">
        <v>15</v>
      </c>
      <c r="H2154" t="s">
        <v>16</v>
      </c>
      <c r="I2154">
        <v>0</v>
      </c>
      <c r="J2154" s="23">
        <v>1108156</v>
      </c>
      <c r="K2154">
        <v>3324468</v>
      </c>
    </row>
    <row r="2155" spans="1:11" ht="15" customHeight="1" x14ac:dyDescent="0.3">
      <c r="A2155" t="s">
        <v>18</v>
      </c>
      <c r="B2155" t="s">
        <v>11</v>
      </c>
      <c r="C2155" t="s">
        <v>12</v>
      </c>
      <c r="D2155" t="s">
        <v>28</v>
      </c>
      <c r="E2155">
        <v>11</v>
      </c>
      <c r="F2155" t="s">
        <v>45</v>
      </c>
      <c r="G2155" t="s">
        <v>15</v>
      </c>
      <c r="H2155" t="s">
        <v>16</v>
      </c>
      <c r="I2155">
        <v>0</v>
      </c>
      <c r="J2155" s="23">
        <v>-384</v>
      </c>
      <c r="K2155" t="s">
        <v>17</v>
      </c>
    </row>
    <row r="2156" spans="1:11" ht="15" customHeight="1" x14ac:dyDescent="0.3">
      <c r="A2156" t="s">
        <v>22</v>
      </c>
      <c r="B2156" t="s">
        <v>44</v>
      </c>
      <c r="C2156" t="s">
        <v>12</v>
      </c>
      <c r="D2156" t="s">
        <v>28</v>
      </c>
      <c r="E2156">
        <v>2</v>
      </c>
      <c r="F2156" t="s">
        <v>34</v>
      </c>
      <c r="G2156" t="s">
        <v>15</v>
      </c>
      <c r="H2156" t="s">
        <v>16</v>
      </c>
      <c r="I2156">
        <v>0</v>
      </c>
      <c r="J2156" s="23">
        <v>-552436</v>
      </c>
      <c r="K2156" t="s">
        <v>17</v>
      </c>
    </row>
    <row r="2157" spans="1:11" ht="15" customHeight="1" x14ac:dyDescent="0.3">
      <c r="A2157" t="s">
        <v>18</v>
      </c>
      <c r="B2157" t="s">
        <v>11</v>
      </c>
      <c r="C2157" t="s">
        <v>12</v>
      </c>
      <c r="D2157" t="s">
        <v>28</v>
      </c>
      <c r="E2157">
        <v>4</v>
      </c>
      <c r="F2157" t="s">
        <v>30</v>
      </c>
      <c r="G2157" t="s">
        <v>15</v>
      </c>
      <c r="H2157" t="s">
        <v>16</v>
      </c>
      <c r="I2157">
        <v>0</v>
      </c>
      <c r="J2157" s="23">
        <v>-9179</v>
      </c>
      <c r="K2157" t="s">
        <v>17</v>
      </c>
    </row>
    <row r="2158" spans="1:11" ht="15" customHeight="1" x14ac:dyDescent="0.3">
      <c r="A2158" t="s">
        <v>18</v>
      </c>
      <c r="B2158" t="s">
        <v>11</v>
      </c>
      <c r="C2158" t="s">
        <v>24</v>
      </c>
      <c r="D2158" t="s">
        <v>13</v>
      </c>
      <c r="E2158">
        <v>8</v>
      </c>
      <c r="F2158" t="s">
        <v>42</v>
      </c>
      <c r="G2158" t="s">
        <v>15</v>
      </c>
      <c r="H2158" t="s">
        <v>16</v>
      </c>
      <c r="I2158">
        <v>0</v>
      </c>
      <c r="J2158" s="23">
        <v>1381019</v>
      </c>
      <c r="K2158">
        <v>11048152</v>
      </c>
    </row>
    <row r="2159" spans="1:11" ht="15" customHeight="1" x14ac:dyDescent="0.3">
      <c r="A2159" t="s">
        <v>10</v>
      </c>
      <c r="B2159" t="s">
        <v>19</v>
      </c>
      <c r="C2159" t="s">
        <v>12</v>
      </c>
      <c r="D2159" t="s">
        <v>20</v>
      </c>
      <c r="E2159">
        <v>38</v>
      </c>
      <c r="F2159"/>
      <c r="G2159" t="s">
        <v>31</v>
      </c>
      <c r="H2159" t="s">
        <v>16</v>
      </c>
      <c r="I2159">
        <v>1</v>
      </c>
      <c r="J2159" s="23">
        <v>-68732</v>
      </c>
      <c r="K2159" t="s">
        <v>17</v>
      </c>
    </row>
    <row r="2160" spans="1:11" ht="15" customHeight="1" x14ac:dyDescent="0.3">
      <c r="A2160" t="s">
        <v>18</v>
      </c>
      <c r="B2160" t="s">
        <v>11</v>
      </c>
      <c r="C2160" t="s">
        <v>24</v>
      </c>
      <c r="D2160" t="s">
        <v>25</v>
      </c>
      <c r="E2160">
        <v>5</v>
      </c>
      <c r="F2160" t="s">
        <v>39</v>
      </c>
      <c r="G2160" t="s">
        <v>15</v>
      </c>
      <c r="H2160" t="s">
        <v>16</v>
      </c>
      <c r="I2160">
        <v>0</v>
      </c>
      <c r="J2160" s="23">
        <v>4071772</v>
      </c>
      <c r="K2160">
        <v>20358860</v>
      </c>
    </row>
    <row r="2161" spans="1:11" ht="15" customHeight="1" x14ac:dyDescent="0.3">
      <c r="A2161" t="s">
        <v>22</v>
      </c>
      <c r="B2161" t="s">
        <v>11</v>
      </c>
      <c r="C2161" t="s">
        <v>12</v>
      </c>
      <c r="D2161" t="s">
        <v>28</v>
      </c>
      <c r="E2161">
        <v>-1</v>
      </c>
      <c r="F2161" t="s">
        <v>21</v>
      </c>
      <c r="G2161" t="s">
        <v>15</v>
      </c>
      <c r="H2161" t="s">
        <v>16</v>
      </c>
      <c r="I2161">
        <v>0</v>
      </c>
      <c r="J2161" s="23">
        <v>-4349</v>
      </c>
      <c r="K2161" t="s">
        <v>17</v>
      </c>
    </row>
    <row r="2162" spans="1:11" ht="15" customHeight="1" x14ac:dyDescent="0.3">
      <c r="A2162" t="s">
        <v>18</v>
      </c>
      <c r="B2162" t="s">
        <v>19</v>
      </c>
      <c r="C2162" t="s">
        <v>12</v>
      </c>
      <c r="D2162" t="s">
        <v>20</v>
      </c>
      <c r="E2162">
        <v>19</v>
      </c>
      <c r="F2162"/>
      <c r="G2162" t="s">
        <v>31</v>
      </c>
      <c r="H2162" t="s">
        <v>32</v>
      </c>
      <c r="I2162">
        <v>1</v>
      </c>
      <c r="J2162" s="23">
        <v>-315</v>
      </c>
      <c r="K2162" t="s">
        <v>17</v>
      </c>
    </row>
    <row r="2163" spans="1:11" ht="15" customHeight="1" x14ac:dyDescent="0.3">
      <c r="A2163" t="s">
        <v>18</v>
      </c>
      <c r="B2163" t="s">
        <v>11</v>
      </c>
      <c r="C2163" t="s">
        <v>24</v>
      </c>
      <c r="D2163" t="s">
        <v>13</v>
      </c>
      <c r="E2163">
        <v>2</v>
      </c>
      <c r="F2163" t="s">
        <v>42</v>
      </c>
      <c r="G2163" t="s">
        <v>15</v>
      </c>
      <c r="H2163" t="s">
        <v>16</v>
      </c>
      <c r="I2163">
        <v>0</v>
      </c>
      <c r="J2163" s="23">
        <v>1905054</v>
      </c>
      <c r="K2163">
        <v>3810108</v>
      </c>
    </row>
    <row r="2164" spans="1:11" ht="15" customHeight="1" x14ac:dyDescent="0.3">
      <c r="A2164" t="s">
        <v>18</v>
      </c>
      <c r="B2164" t="s">
        <v>11</v>
      </c>
      <c r="C2164" t="s">
        <v>24</v>
      </c>
      <c r="D2164" t="s">
        <v>25</v>
      </c>
      <c r="E2164">
        <v>8</v>
      </c>
      <c r="F2164" t="s">
        <v>39</v>
      </c>
      <c r="G2164" t="s">
        <v>15</v>
      </c>
      <c r="H2164" t="s">
        <v>16</v>
      </c>
      <c r="I2164">
        <v>0</v>
      </c>
      <c r="J2164" s="23">
        <v>4308217</v>
      </c>
      <c r="K2164">
        <v>34465736</v>
      </c>
    </row>
    <row r="2165" spans="1:11" ht="15" customHeight="1" x14ac:dyDescent="0.3">
      <c r="A2165" t="s">
        <v>22</v>
      </c>
      <c r="B2165" t="s">
        <v>11</v>
      </c>
      <c r="C2165" t="s">
        <v>24</v>
      </c>
      <c r="D2165" t="s">
        <v>13</v>
      </c>
      <c r="E2165">
        <v>3</v>
      </c>
      <c r="F2165" t="s">
        <v>26</v>
      </c>
      <c r="G2165" t="s">
        <v>15</v>
      </c>
      <c r="H2165" t="s">
        <v>16</v>
      </c>
      <c r="I2165">
        <v>0</v>
      </c>
      <c r="J2165" s="23">
        <v>489312</v>
      </c>
      <c r="K2165">
        <v>1467936</v>
      </c>
    </row>
    <row r="2166" spans="1:11" ht="15" customHeight="1" x14ac:dyDescent="0.3">
      <c r="A2166" t="s">
        <v>10</v>
      </c>
      <c r="B2166" t="s">
        <v>11</v>
      </c>
      <c r="C2166" t="s">
        <v>12</v>
      </c>
      <c r="D2166" t="s">
        <v>13</v>
      </c>
      <c r="E2166">
        <v>2</v>
      </c>
      <c r="F2166" t="s">
        <v>26</v>
      </c>
      <c r="G2166" t="s">
        <v>15</v>
      </c>
      <c r="H2166" t="s">
        <v>16</v>
      </c>
      <c r="I2166">
        <v>0</v>
      </c>
      <c r="J2166" s="23">
        <v>-174365</v>
      </c>
      <c r="K2166" t="s">
        <v>17</v>
      </c>
    </row>
    <row r="2167" spans="1:11" ht="15" customHeight="1" x14ac:dyDescent="0.3">
      <c r="A2167" t="s">
        <v>18</v>
      </c>
      <c r="B2167" t="s">
        <v>11</v>
      </c>
      <c r="C2167" t="s">
        <v>24</v>
      </c>
      <c r="D2167" t="s">
        <v>13</v>
      </c>
      <c r="E2167">
        <v>3</v>
      </c>
      <c r="F2167" t="s">
        <v>21</v>
      </c>
      <c r="G2167" t="s">
        <v>15</v>
      </c>
      <c r="H2167" t="s">
        <v>16</v>
      </c>
      <c r="I2167">
        <v>0</v>
      </c>
      <c r="J2167" s="23">
        <v>33756020</v>
      </c>
      <c r="K2167">
        <v>101268060</v>
      </c>
    </row>
    <row r="2168" spans="1:11" ht="15" customHeight="1" x14ac:dyDescent="0.3">
      <c r="A2168" t="s">
        <v>18</v>
      </c>
      <c r="B2168" t="s">
        <v>19</v>
      </c>
      <c r="C2168" t="s">
        <v>24</v>
      </c>
      <c r="D2168" t="s">
        <v>20</v>
      </c>
      <c r="E2168">
        <v>42</v>
      </c>
      <c r="F2168"/>
      <c r="G2168" t="s">
        <v>31</v>
      </c>
      <c r="H2168" t="s">
        <v>16</v>
      </c>
      <c r="I2168">
        <v>1</v>
      </c>
      <c r="J2168" s="23">
        <v>398959</v>
      </c>
      <c r="K2168">
        <v>16756278</v>
      </c>
    </row>
    <row r="2169" spans="1:11" ht="15" customHeight="1" x14ac:dyDescent="0.3">
      <c r="A2169" t="s">
        <v>10</v>
      </c>
      <c r="B2169" t="s">
        <v>11</v>
      </c>
      <c r="C2169" t="s">
        <v>12</v>
      </c>
      <c r="D2169" t="s">
        <v>28</v>
      </c>
      <c r="E2169">
        <v>-4</v>
      </c>
      <c r="F2169" t="s">
        <v>29</v>
      </c>
      <c r="G2169" t="s">
        <v>15</v>
      </c>
      <c r="H2169" t="s">
        <v>32</v>
      </c>
      <c r="I2169">
        <v>1</v>
      </c>
      <c r="J2169" s="23">
        <v>-25</v>
      </c>
      <c r="K2169" t="s">
        <v>17</v>
      </c>
    </row>
    <row r="2170" spans="1:11" ht="15" customHeight="1" x14ac:dyDescent="0.3">
      <c r="A2170" t="s">
        <v>10</v>
      </c>
      <c r="B2170" t="s">
        <v>19</v>
      </c>
      <c r="C2170" t="s">
        <v>12</v>
      </c>
      <c r="D2170" t="s">
        <v>28</v>
      </c>
      <c r="E2170">
        <v>10</v>
      </c>
      <c r="F2170"/>
      <c r="G2170" t="s">
        <v>15</v>
      </c>
      <c r="H2170" t="s">
        <v>16</v>
      </c>
      <c r="I2170">
        <v>0</v>
      </c>
      <c r="J2170" s="23">
        <v>-79772</v>
      </c>
      <c r="K2170" t="s">
        <v>17</v>
      </c>
    </row>
    <row r="2171" spans="1:11" ht="15" customHeight="1" x14ac:dyDescent="0.3">
      <c r="A2171" t="s">
        <v>10</v>
      </c>
      <c r="B2171" t="s">
        <v>11</v>
      </c>
      <c r="C2171" t="s">
        <v>12</v>
      </c>
      <c r="D2171" t="s">
        <v>13</v>
      </c>
      <c r="E2171">
        <v>1</v>
      </c>
      <c r="F2171" t="s">
        <v>42</v>
      </c>
      <c r="G2171" t="s">
        <v>15</v>
      </c>
      <c r="H2171" t="s">
        <v>16</v>
      </c>
      <c r="I2171">
        <v>0</v>
      </c>
      <c r="J2171" s="23">
        <v>-28365</v>
      </c>
      <c r="K2171" t="s">
        <v>17</v>
      </c>
    </row>
    <row r="2172" spans="1:11" ht="15" customHeight="1" x14ac:dyDescent="0.3">
      <c r="A2172" t="s">
        <v>10</v>
      </c>
      <c r="B2172" t="s">
        <v>11</v>
      </c>
      <c r="C2172" t="s">
        <v>12</v>
      </c>
      <c r="D2172" t="s">
        <v>13</v>
      </c>
      <c r="E2172">
        <v>4</v>
      </c>
      <c r="F2172" t="s">
        <v>27</v>
      </c>
      <c r="G2172" t="s">
        <v>15</v>
      </c>
      <c r="H2172" t="s">
        <v>16</v>
      </c>
      <c r="I2172">
        <v>0</v>
      </c>
      <c r="J2172" s="23">
        <v>-20436</v>
      </c>
      <c r="K2172" t="s">
        <v>17</v>
      </c>
    </row>
    <row r="2173" spans="1:11" ht="15" customHeight="1" x14ac:dyDescent="0.3">
      <c r="A2173" t="s">
        <v>22</v>
      </c>
      <c r="B2173" t="s">
        <v>11</v>
      </c>
      <c r="C2173" t="s">
        <v>24</v>
      </c>
      <c r="D2173" t="s">
        <v>13</v>
      </c>
      <c r="E2173">
        <v>0</v>
      </c>
      <c r="F2173" t="s">
        <v>23</v>
      </c>
      <c r="G2173" t="s">
        <v>15</v>
      </c>
      <c r="H2173" t="s">
        <v>16</v>
      </c>
      <c r="I2173">
        <v>0</v>
      </c>
      <c r="J2173" s="23">
        <v>312731</v>
      </c>
      <c r="K2173" t="s">
        <v>17</v>
      </c>
    </row>
    <row r="2174" spans="1:11" ht="15" customHeight="1" x14ac:dyDescent="0.3">
      <c r="A2174" t="s">
        <v>10</v>
      </c>
      <c r="B2174" t="s">
        <v>11</v>
      </c>
      <c r="C2174" t="s">
        <v>12</v>
      </c>
      <c r="D2174" t="s">
        <v>28</v>
      </c>
      <c r="E2174">
        <v>11</v>
      </c>
      <c r="F2174" t="s">
        <v>34</v>
      </c>
      <c r="G2174" t="s">
        <v>15</v>
      </c>
      <c r="H2174" t="s">
        <v>32</v>
      </c>
      <c r="I2174">
        <v>1</v>
      </c>
      <c r="J2174" s="23">
        <v>-11524</v>
      </c>
      <c r="K2174" t="s">
        <v>17</v>
      </c>
    </row>
    <row r="2175" spans="1:11" ht="15" customHeight="1" x14ac:dyDescent="0.3">
      <c r="A2175" t="s">
        <v>22</v>
      </c>
      <c r="B2175" t="s">
        <v>11</v>
      </c>
      <c r="C2175" t="s">
        <v>12</v>
      </c>
      <c r="D2175" t="s">
        <v>28</v>
      </c>
      <c r="E2175">
        <v>-4</v>
      </c>
      <c r="F2175" t="s">
        <v>21</v>
      </c>
      <c r="G2175" t="s">
        <v>15</v>
      </c>
      <c r="H2175" t="s">
        <v>32</v>
      </c>
      <c r="I2175">
        <v>1</v>
      </c>
      <c r="J2175" s="23">
        <v>-193</v>
      </c>
      <c r="K2175" t="s">
        <v>17</v>
      </c>
    </row>
    <row r="2176" spans="1:11" ht="15" customHeight="1" x14ac:dyDescent="0.3">
      <c r="A2176" t="s">
        <v>22</v>
      </c>
      <c r="B2176" t="s">
        <v>19</v>
      </c>
      <c r="C2176" t="s">
        <v>12</v>
      </c>
      <c r="D2176" t="s">
        <v>28</v>
      </c>
      <c r="E2176">
        <v>14</v>
      </c>
      <c r="F2176"/>
      <c r="G2176" t="s">
        <v>15</v>
      </c>
      <c r="H2176" t="s">
        <v>16</v>
      </c>
      <c r="I2176">
        <v>0</v>
      </c>
      <c r="J2176" s="23">
        <v>-100637</v>
      </c>
      <c r="K2176" t="s">
        <v>17</v>
      </c>
    </row>
    <row r="2177" spans="1:11" ht="15" customHeight="1" x14ac:dyDescent="0.3">
      <c r="A2177" t="s">
        <v>18</v>
      </c>
      <c r="B2177" t="s">
        <v>11</v>
      </c>
      <c r="C2177" t="s">
        <v>12</v>
      </c>
      <c r="D2177" t="s">
        <v>13</v>
      </c>
      <c r="E2177">
        <v>6</v>
      </c>
      <c r="F2177" t="s">
        <v>40</v>
      </c>
      <c r="G2177" t="s">
        <v>15</v>
      </c>
      <c r="H2177" t="s">
        <v>16</v>
      </c>
      <c r="I2177">
        <v>0</v>
      </c>
      <c r="J2177" s="23">
        <v>-2221</v>
      </c>
      <c r="K2177" t="s">
        <v>17</v>
      </c>
    </row>
    <row r="2178" spans="1:11" ht="15" customHeight="1" x14ac:dyDescent="0.3">
      <c r="A2178" t="s">
        <v>22</v>
      </c>
      <c r="B2178" t="s">
        <v>19</v>
      </c>
      <c r="C2178" t="s">
        <v>12</v>
      </c>
      <c r="D2178" t="s">
        <v>20</v>
      </c>
      <c r="E2178">
        <v>41</v>
      </c>
      <c r="F2178"/>
      <c r="G2178" t="s">
        <v>15</v>
      </c>
      <c r="H2178" t="s">
        <v>16</v>
      </c>
      <c r="I2178">
        <v>0</v>
      </c>
      <c r="J2178" s="23">
        <v>-181064</v>
      </c>
      <c r="K2178" t="s">
        <v>17</v>
      </c>
    </row>
    <row r="2179" spans="1:11" ht="15" customHeight="1" x14ac:dyDescent="0.3">
      <c r="A2179" t="s">
        <v>18</v>
      </c>
      <c r="B2179" t="s">
        <v>11</v>
      </c>
      <c r="C2179" t="s">
        <v>24</v>
      </c>
      <c r="D2179" t="s">
        <v>13</v>
      </c>
      <c r="E2179">
        <v>0</v>
      </c>
      <c r="F2179" t="s">
        <v>29</v>
      </c>
      <c r="G2179" t="s">
        <v>15</v>
      </c>
      <c r="H2179" t="s">
        <v>16</v>
      </c>
      <c r="I2179">
        <v>0</v>
      </c>
      <c r="J2179" s="23">
        <v>856015852</v>
      </c>
      <c r="K2179" t="s">
        <v>17</v>
      </c>
    </row>
    <row r="2180" spans="1:11" ht="15" customHeight="1" x14ac:dyDescent="0.3">
      <c r="A2180" t="s">
        <v>18</v>
      </c>
      <c r="B2180" t="s">
        <v>11</v>
      </c>
      <c r="C2180" t="s">
        <v>24</v>
      </c>
      <c r="D2180" t="s">
        <v>28</v>
      </c>
      <c r="E2180">
        <v>13</v>
      </c>
      <c r="F2180" t="s">
        <v>21</v>
      </c>
      <c r="G2180" t="s">
        <v>15</v>
      </c>
      <c r="H2180" t="s">
        <v>32</v>
      </c>
      <c r="I2180">
        <v>1</v>
      </c>
      <c r="J2180" s="23">
        <v>64865</v>
      </c>
      <c r="K2180">
        <v>843245</v>
      </c>
    </row>
    <row r="2181" spans="1:11" ht="15" customHeight="1" x14ac:dyDescent="0.3">
      <c r="A2181" t="s">
        <v>18</v>
      </c>
      <c r="B2181" t="s">
        <v>19</v>
      </c>
      <c r="C2181" t="s">
        <v>24</v>
      </c>
      <c r="D2181" t="s">
        <v>20</v>
      </c>
      <c r="E2181">
        <v>30</v>
      </c>
      <c r="F2181"/>
      <c r="G2181" t="s">
        <v>31</v>
      </c>
      <c r="H2181" t="s">
        <v>16</v>
      </c>
      <c r="I2181">
        <v>1</v>
      </c>
      <c r="J2181" s="23">
        <v>12457610</v>
      </c>
      <c r="K2181">
        <v>373728300</v>
      </c>
    </row>
    <row r="2182" spans="1:11" ht="15" customHeight="1" x14ac:dyDescent="0.3">
      <c r="A2182" t="s">
        <v>18</v>
      </c>
      <c r="B2182" t="s">
        <v>19</v>
      </c>
      <c r="C2182" t="s">
        <v>24</v>
      </c>
      <c r="D2182" t="s">
        <v>20</v>
      </c>
      <c r="E2182">
        <v>15</v>
      </c>
      <c r="F2182"/>
      <c r="G2182" t="s">
        <v>15</v>
      </c>
      <c r="H2182" t="s">
        <v>32</v>
      </c>
      <c r="I2182">
        <v>1</v>
      </c>
      <c r="J2182" s="23">
        <v>717247</v>
      </c>
      <c r="K2182">
        <v>10758705</v>
      </c>
    </row>
    <row r="2183" spans="1:11" ht="15" customHeight="1" x14ac:dyDescent="0.3">
      <c r="A2183" t="s">
        <v>18</v>
      </c>
      <c r="B2183" t="s">
        <v>19</v>
      </c>
      <c r="C2183" t="s">
        <v>24</v>
      </c>
      <c r="D2183" t="s">
        <v>20</v>
      </c>
      <c r="E2183">
        <v>31</v>
      </c>
      <c r="F2183"/>
      <c r="G2183" t="s">
        <v>15</v>
      </c>
      <c r="H2183" t="s">
        <v>16</v>
      </c>
      <c r="I2183">
        <v>0</v>
      </c>
      <c r="J2183" s="23">
        <v>702904673</v>
      </c>
      <c r="K2183">
        <v>21790044863</v>
      </c>
    </row>
    <row r="2184" spans="1:11" ht="15" customHeight="1" x14ac:dyDescent="0.3">
      <c r="A2184" t="s">
        <v>18</v>
      </c>
      <c r="B2184" t="s">
        <v>44</v>
      </c>
      <c r="C2184" t="s">
        <v>24</v>
      </c>
      <c r="D2184" t="s">
        <v>28</v>
      </c>
      <c r="E2184">
        <v>11</v>
      </c>
      <c r="F2184" t="s">
        <v>26</v>
      </c>
      <c r="G2184" t="s">
        <v>31</v>
      </c>
      <c r="H2184" t="s">
        <v>16</v>
      </c>
      <c r="I2184">
        <v>1</v>
      </c>
      <c r="J2184" s="23">
        <v>5152485</v>
      </c>
      <c r="K2184">
        <v>56677335</v>
      </c>
    </row>
    <row r="2185" spans="1:11" ht="15" customHeight="1" x14ac:dyDescent="0.3">
      <c r="A2185" t="s">
        <v>18</v>
      </c>
      <c r="B2185" t="s">
        <v>11</v>
      </c>
      <c r="C2185" t="s">
        <v>24</v>
      </c>
      <c r="D2185" t="s">
        <v>28</v>
      </c>
      <c r="E2185">
        <v>-1</v>
      </c>
      <c r="F2185" t="s">
        <v>23</v>
      </c>
      <c r="G2185" t="s">
        <v>15</v>
      </c>
      <c r="H2185" t="s">
        <v>16</v>
      </c>
      <c r="I2185">
        <v>0</v>
      </c>
      <c r="J2185" s="23">
        <v>4507375</v>
      </c>
      <c r="K2185" t="s">
        <v>17</v>
      </c>
    </row>
    <row r="2186" spans="1:11" ht="15" customHeight="1" x14ac:dyDescent="0.3">
      <c r="A2186" t="s">
        <v>22</v>
      </c>
      <c r="B2186" t="s">
        <v>19</v>
      </c>
      <c r="C2186" t="s">
        <v>12</v>
      </c>
      <c r="D2186" t="s">
        <v>20</v>
      </c>
      <c r="E2186">
        <v>45</v>
      </c>
      <c r="F2186"/>
      <c r="G2186" t="s">
        <v>15</v>
      </c>
      <c r="H2186" t="s">
        <v>16</v>
      </c>
      <c r="I2186">
        <v>0</v>
      </c>
      <c r="J2186" s="23">
        <v>-48726</v>
      </c>
      <c r="K2186" t="s">
        <v>17</v>
      </c>
    </row>
    <row r="2187" spans="1:11" ht="15" customHeight="1" x14ac:dyDescent="0.3">
      <c r="A2187" t="s">
        <v>10</v>
      </c>
      <c r="B2187" t="s">
        <v>11</v>
      </c>
      <c r="C2187" t="s">
        <v>24</v>
      </c>
      <c r="D2187" t="s">
        <v>28</v>
      </c>
      <c r="E2187">
        <v>9</v>
      </c>
      <c r="F2187" t="s">
        <v>33</v>
      </c>
      <c r="G2187" t="s">
        <v>15</v>
      </c>
      <c r="H2187" t="s">
        <v>16</v>
      </c>
      <c r="I2187">
        <v>0</v>
      </c>
      <c r="J2187" s="23">
        <v>1131278</v>
      </c>
      <c r="K2187">
        <v>10181502</v>
      </c>
    </row>
    <row r="2188" spans="1:11" ht="15" customHeight="1" x14ac:dyDescent="0.3">
      <c r="A2188" t="s">
        <v>18</v>
      </c>
      <c r="B2188" t="s">
        <v>11</v>
      </c>
      <c r="C2188" t="s">
        <v>24</v>
      </c>
      <c r="D2188" t="s">
        <v>28</v>
      </c>
      <c r="E2188">
        <v>1</v>
      </c>
      <c r="F2188" t="s">
        <v>40</v>
      </c>
      <c r="G2188" t="s">
        <v>15</v>
      </c>
      <c r="H2188" t="s">
        <v>16</v>
      </c>
      <c r="I2188">
        <v>0</v>
      </c>
      <c r="J2188" s="23">
        <v>743720</v>
      </c>
      <c r="K2188">
        <v>743720</v>
      </c>
    </row>
    <row r="2189" spans="1:11" ht="15" customHeight="1" x14ac:dyDescent="0.3">
      <c r="A2189" t="s">
        <v>22</v>
      </c>
      <c r="B2189" t="s">
        <v>11</v>
      </c>
      <c r="C2189" t="s">
        <v>12</v>
      </c>
      <c r="D2189" t="s">
        <v>13</v>
      </c>
      <c r="E2189">
        <v>3</v>
      </c>
      <c r="F2189" t="s">
        <v>45</v>
      </c>
      <c r="G2189" t="s">
        <v>15</v>
      </c>
      <c r="H2189" t="s">
        <v>16</v>
      </c>
      <c r="I2189">
        <v>0</v>
      </c>
      <c r="J2189" s="23">
        <v>-335216</v>
      </c>
      <c r="K2189" t="s">
        <v>17</v>
      </c>
    </row>
    <row r="2190" spans="1:11" ht="15" customHeight="1" x14ac:dyDescent="0.3">
      <c r="A2190" t="s">
        <v>18</v>
      </c>
      <c r="B2190" t="s">
        <v>19</v>
      </c>
      <c r="C2190" t="s">
        <v>24</v>
      </c>
      <c r="D2190" t="s">
        <v>20</v>
      </c>
      <c r="E2190">
        <v>40</v>
      </c>
      <c r="F2190"/>
      <c r="G2190" t="s">
        <v>15</v>
      </c>
      <c r="H2190" t="s">
        <v>16</v>
      </c>
      <c r="I2190">
        <v>0</v>
      </c>
      <c r="J2190" s="23">
        <v>379724208</v>
      </c>
      <c r="K2190">
        <v>15188968320</v>
      </c>
    </row>
    <row r="2191" spans="1:11" ht="15" customHeight="1" x14ac:dyDescent="0.3">
      <c r="A2191" t="s">
        <v>18</v>
      </c>
      <c r="B2191" t="s">
        <v>19</v>
      </c>
      <c r="C2191" t="s">
        <v>24</v>
      </c>
      <c r="D2191" t="s">
        <v>20</v>
      </c>
      <c r="E2191">
        <v>52</v>
      </c>
      <c r="F2191"/>
      <c r="G2191" t="s">
        <v>15</v>
      </c>
      <c r="H2191" t="s">
        <v>16</v>
      </c>
      <c r="I2191">
        <v>0</v>
      </c>
      <c r="J2191" s="23">
        <v>20849</v>
      </c>
      <c r="K2191">
        <v>1084148</v>
      </c>
    </row>
    <row r="2192" spans="1:11" ht="15" customHeight="1" x14ac:dyDescent="0.3">
      <c r="A2192" t="s">
        <v>18</v>
      </c>
      <c r="B2192" t="s">
        <v>11</v>
      </c>
      <c r="C2192" t="s">
        <v>12</v>
      </c>
      <c r="D2192" t="s">
        <v>25</v>
      </c>
      <c r="E2192">
        <v>3</v>
      </c>
      <c r="F2192" t="s">
        <v>42</v>
      </c>
      <c r="G2192" t="s">
        <v>15</v>
      </c>
      <c r="H2192" t="s">
        <v>16</v>
      </c>
      <c r="I2192">
        <v>0</v>
      </c>
      <c r="J2192" s="23">
        <v>-700</v>
      </c>
      <c r="K2192" t="s">
        <v>17</v>
      </c>
    </row>
    <row r="2193" spans="1:11" ht="15" customHeight="1" x14ac:dyDescent="0.3">
      <c r="A2193" t="s">
        <v>10</v>
      </c>
      <c r="B2193" t="s">
        <v>11</v>
      </c>
      <c r="C2193" t="s">
        <v>12</v>
      </c>
      <c r="D2193" t="s">
        <v>13</v>
      </c>
      <c r="E2193">
        <v>7</v>
      </c>
      <c r="F2193" t="s">
        <v>23</v>
      </c>
      <c r="G2193" t="s">
        <v>15</v>
      </c>
      <c r="H2193" t="s">
        <v>16</v>
      </c>
      <c r="I2193">
        <v>0</v>
      </c>
      <c r="J2193" s="23">
        <v>-36933</v>
      </c>
      <c r="K2193" t="s">
        <v>17</v>
      </c>
    </row>
    <row r="2194" spans="1:11" ht="15" customHeight="1" x14ac:dyDescent="0.3">
      <c r="A2194" t="s">
        <v>10</v>
      </c>
      <c r="B2194" t="s">
        <v>11</v>
      </c>
      <c r="C2194" t="s">
        <v>12</v>
      </c>
      <c r="D2194" t="s">
        <v>28</v>
      </c>
      <c r="E2194">
        <v>11</v>
      </c>
      <c r="F2194" t="s">
        <v>40</v>
      </c>
      <c r="G2194" t="s">
        <v>15</v>
      </c>
      <c r="H2194" t="s">
        <v>16</v>
      </c>
      <c r="I2194">
        <v>0</v>
      </c>
      <c r="J2194" s="23">
        <v>-7330</v>
      </c>
      <c r="K2194" t="s">
        <v>17</v>
      </c>
    </row>
    <row r="2195" spans="1:11" ht="15" customHeight="1" x14ac:dyDescent="0.3">
      <c r="A2195" t="s">
        <v>10</v>
      </c>
      <c r="B2195" t="s">
        <v>11</v>
      </c>
      <c r="C2195" t="s">
        <v>12</v>
      </c>
      <c r="D2195" t="s">
        <v>13</v>
      </c>
      <c r="E2195">
        <v>-1</v>
      </c>
      <c r="F2195" t="s">
        <v>21</v>
      </c>
      <c r="G2195" t="s">
        <v>15</v>
      </c>
      <c r="H2195" t="s">
        <v>16</v>
      </c>
      <c r="I2195">
        <v>0</v>
      </c>
      <c r="J2195" s="23">
        <v>-1487927</v>
      </c>
      <c r="K2195" t="s">
        <v>17</v>
      </c>
    </row>
    <row r="2196" spans="1:11" ht="15" customHeight="1" x14ac:dyDescent="0.3">
      <c r="A2196" t="s">
        <v>18</v>
      </c>
      <c r="B2196" t="s">
        <v>11</v>
      </c>
      <c r="C2196" t="s">
        <v>12</v>
      </c>
      <c r="D2196" t="s">
        <v>28</v>
      </c>
      <c r="E2196">
        <v>-1</v>
      </c>
      <c r="F2196" t="s">
        <v>29</v>
      </c>
      <c r="G2196" t="s">
        <v>15</v>
      </c>
      <c r="H2196" t="s">
        <v>32</v>
      </c>
      <c r="I2196">
        <v>1</v>
      </c>
      <c r="J2196" s="23">
        <v>-10376</v>
      </c>
      <c r="K2196" t="s">
        <v>17</v>
      </c>
    </row>
    <row r="2197" spans="1:11" ht="15" customHeight="1" x14ac:dyDescent="0.3">
      <c r="A2197" t="s">
        <v>10</v>
      </c>
      <c r="B2197" t="s">
        <v>11</v>
      </c>
      <c r="C2197" t="s">
        <v>12</v>
      </c>
      <c r="D2197" t="s">
        <v>25</v>
      </c>
      <c r="E2197">
        <v>7</v>
      </c>
      <c r="F2197" t="s">
        <v>21</v>
      </c>
      <c r="G2197" t="s">
        <v>15</v>
      </c>
      <c r="H2197" t="s">
        <v>16</v>
      </c>
      <c r="I2197">
        <v>0</v>
      </c>
      <c r="J2197" s="23">
        <v>-13890</v>
      </c>
      <c r="K2197" t="s">
        <v>17</v>
      </c>
    </row>
    <row r="2198" spans="1:11" ht="15" customHeight="1" x14ac:dyDescent="0.3">
      <c r="A2198" t="s">
        <v>18</v>
      </c>
      <c r="B2198" t="s">
        <v>11</v>
      </c>
      <c r="C2198" t="s">
        <v>12</v>
      </c>
      <c r="D2198" t="s">
        <v>28</v>
      </c>
      <c r="E2198">
        <v>8</v>
      </c>
      <c r="F2198" t="s">
        <v>45</v>
      </c>
      <c r="G2198" t="s">
        <v>15</v>
      </c>
      <c r="H2198" t="s">
        <v>16</v>
      </c>
      <c r="I2198">
        <v>0</v>
      </c>
      <c r="J2198" s="23">
        <v>-1295</v>
      </c>
      <c r="K2198" t="s">
        <v>17</v>
      </c>
    </row>
    <row r="2199" spans="1:11" ht="15" customHeight="1" x14ac:dyDescent="0.3">
      <c r="A2199" t="s">
        <v>18</v>
      </c>
      <c r="B2199" t="s">
        <v>11</v>
      </c>
      <c r="C2199" t="s">
        <v>24</v>
      </c>
      <c r="D2199" t="s">
        <v>28</v>
      </c>
      <c r="E2199">
        <v>10</v>
      </c>
      <c r="F2199" t="s">
        <v>42</v>
      </c>
      <c r="G2199" t="s">
        <v>15</v>
      </c>
      <c r="H2199" t="s">
        <v>16</v>
      </c>
      <c r="I2199">
        <v>0</v>
      </c>
      <c r="J2199" s="23">
        <v>588881</v>
      </c>
      <c r="K2199">
        <v>5888810</v>
      </c>
    </row>
    <row r="2200" spans="1:11" ht="15" customHeight="1" x14ac:dyDescent="0.3">
      <c r="A2200" t="s">
        <v>10</v>
      </c>
      <c r="B2200" t="s">
        <v>19</v>
      </c>
      <c r="C2200" t="s">
        <v>24</v>
      </c>
      <c r="D2200" t="s">
        <v>20</v>
      </c>
      <c r="E2200">
        <v>5</v>
      </c>
      <c r="F2200"/>
      <c r="G2200" t="s">
        <v>15</v>
      </c>
      <c r="H2200" t="s">
        <v>32</v>
      </c>
      <c r="I2200">
        <v>1</v>
      </c>
      <c r="J2200" s="23">
        <v>93596</v>
      </c>
      <c r="K2200">
        <v>467980</v>
      </c>
    </row>
    <row r="2201" spans="1:11" ht="15" customHeight="1" x14ac:dyDescent="0.3">
      <c r="A2201" t="s">
        <v>10</v>
      </c>
      <c r="B2201" t="s">
        <v>11</v>
      </c>
      <c r="C2201" t="s">
        <v>24</v>
      </c>
      <c r="D2201" t="s">
        <v>28</v>
      </c>
      <c r="E2201">
        <v>14</v>
      </c>
      <c r="F2201" t="s">
        <v>23</v>
      </c>
      <c r="G2201" t="s">
        <v>15</v>
      </c>
      <c r="H2201" t="s">
        <v>16</v>
      </c>
      <c r="I2201">
        <v>0</v>
      </c>
      <c r="J2201" s="23">
        <v>926281</v>
      </c>
      <c r="K2201">
        <v>12967934</v>
      </c>
    </row>
    <row r="2202" spans="1:11" ht="15" customHeight="1" x14ac:dyDescent="0.3">
      <c r="A2202" t="s">
        <v>22</v>
      </c>
      <c r="B2202" t="s">
        <v>11</v>
      </c>
      <c r="C2202" t="s">
        <v>24</v>
      </c>
      <c r="D2202" t="s">
        <v>13</v>
      </c>
      <c r="E2202">
        <v>8</v>
      </c>
      <c r="F2202" t="s">
        <v>40</v>
      </c>
      <c r="G2202" t="s">
        <v>15</v>
      </c>
      <c r="H2202" t="s">
        <v>16</v>
      </c>
      <c r="I2202">
        <v>0</v>
      </c>
      <c r="J2202" s="23">
        <v>6335</v>
      </c>
      <c r="K2202">
        <v>50680</v>
      </c>
    </row>
    <row r="2203" spans="1:11" ht="15" customHeight="1" x14ac:dyDescent="0.3">
      <c r="A2203" t="s">
        <v>10</v>
      </c>
      <c r="B2203" t="s">
        <v>11</v>
      </c>
      <c r="C2203" t="s">
        <v>24</v>
      </c>
      <c r="D2203" t="s">
        <v>28</v>
      </c>
      <c r="E2203">
        <v>2</v>
      </c>
      <c r="F2203" t="s">
        <v>42</v>
      </c>
      <c r="G2203" t="s">
        <v>15</v>
      </c>
      <c r="H2203" t="s">
        <v>16</v>
      </c>
      <c r="I2203">
        <v>0</v>
      </c>
      <c r="J2203" s="23">
        <v>270146</v>
      </c>
      <c r="K2203">
        <v>540292</v>
      </c>
    </row>
    <row r="2204" spans="1:11" ht="15" customHeight="1" x14ac:dyDescent="0.3">
      <c r="A2204" t="s">
        <v>22</v>
      </c>
      <c r="B2204" t="s">
        <v>11</v>
      </c>
      <c r="C2204" t="s">
        <v>24</v>
      </c>
      <c r="D2204" t="s">
        <v>28</v>
      </c>
      <c r="E2204">
        <v>1</v>
      </c>
      <c r="F2204" t="s">
        <v>26</v>
      </c>
      <c r="G2204" t="s">
        <v>15</v>
      </c>
      <c r="H2204" t="s">
        <v>16</v>
      </c>
      <c r="I2204">
        <v>0</v>
      </c>
      <c r="J2204" s="23">
        <v>5800872</v>
      </c>
      <c r="K2204">
        <v>5800872</v>
      </c>
    </row>
    <row r="2205" spans="1:11" ht="15" customHeight="1" x14ac:dyDescent="0.3">
      <c r="A2205" t="s">
        <v>18</v>
      </c>
      <c r="B2205" t="s">
        <v>11</v>
      </c>
      <c r="C2205" t="s">
        <v>24</v>
      </c>
      <c r="D2205" t="s">
        <v>28</v>
      </c>
      <c r="E2205">
        <v>10</v>
      </c>
      <c r="F2205" t="s">
        <v>39</v>
      </c>
      <c r="G2205" t="s">
        <v>15</v>
      </c>
      <c r="H2205" t="s">
        <v>16</v>
      </c>
      <c r="I2205">
        <v>0</v>
      </c>
      <c r="J2205" s="23">
        <v>1108642</v>
      </c>
      <c r="K2205">
        <v>11086420</v>
      </c>
    </row>
    <row r="2206" spans="1:11" ht="15" customHeight="1" x14ac:dyDescent="0.3">
      <c r="A2206" t="s">
        <v>18</v>
      </c>
      <c r="B2206" t="s">
        <v>11</v>
      </c>
      <c r="C2206" t="s">
        <v>24</v>
      </c>
      <c r="D2206" t="s">
        <v>28</v>
      </c>
      <c r="E2206">
        <v>19</v>
      </c>
      <c r="F2206" t="s">
        <v>30</v>
      </c>
      <c r="G2206" t="s">
        <v>15</v>
      </c>
      <c r="H2206" t="s">
        <v>16</v>
      </c>
      <c r="I2206">
        <v>0</v>
      </c>
      <c r="J2206" s="23">
        <v>84661</v>
      </c>
      <c r="K2206">
        <v>1608559</v>
      </c>
    </row>
    <row r="2207" spans="1:11" ht="15" customHeight="1" x14ac:dyDescent="0.3">
      <c r="A2207" t="s">
        <v>18</v>
      </c>
      <c r="B2207" t="s">
        <v>11</v>
      </c>
      <c r="C2207" t="s">
        <v>12</v>
      </c>
      <c r="D2207" t="s">
        <v>13</v>
      </c>
      <c r="E2207">
        <v>6</v>
      </c>
      <c r="F2207" t="s">
        <v>35</v>
      </c>
      <c r="G2207" t="s">
        <v>15</v>
      </c>
      <c r="H2207" t="s">
        <v>16</v>
      </c>
      <c r="I2207">
        <v>0</v>
      </c>
      <c r="J2207" s="23">
        <v>-131</v>
      </c>
      <c r="K2207" t="s">
        <v>17</v>
      </c>
    </row>
    <row r="2208" spans="1:11" ht="15" customHeight="1" x14ac:dyDescent="0.3">
      <c r="A2208" t="s">
        <v>18</v>
      </c>
      <c r="B2208" t="s">
        <v>11</v>
      </c>
      <c r="C2208" t="s">
        <v>24</v>
      </c>
      <c r="D2208" t="s">
        <v>28</v>
      </c>
      <c r="E2208">
        <v>6</v>
      </c>
      <c r="F2208" t="s">
        <v>27</v>
      </c>
      <c r="G2208" t="s">
        <v>15</v>
      </c>
      <c r="H2208" t="s">
        <v>16</v>
      </c>
      <c r="I2208">
        <v>0</v>
      </c>
      <c r="J2208" s="23">
        <v>244218</v>
      </c>
      <c r="K2208">
        <v>1465308</v>
      </c>
    </row>
    <row r="2209" spans="1:11" ht="15" customHeight="1" x14ac:dyDescent="0.3">
      <c r="A2209" t="s">
        <v>18</v>
      </c>
      <c r="B2209" t="s">
        <v>11</v>
      </c>
      <c r="C2209" t="s">
        <v>12</v>
      </c>
      <c r="D2209" t="s">
        <v>25</v>
      </c>
      <c r="E2209">
        <v>3</v>
      </c>
      <c r="F2209" t="s">
        <v>39</v>
      </c>
      <c r="G2209" t="s">
        <v>15</v>
      </c>
      <c r="H2209" t="s">
        <v>16</v>
      </c>
      <c r="I2209">
        <v>0</v>
      </c>
      <c r="J2209" s="23">
        <v>-22241</v>
      </c>
      <c r="K2209" t="s">
        <v>17</v>
      </c>
    </row>
    <row r="2210" spans="1:11" ht="15" customHeight="1" x14ac:dyDescent="0.3">
      <c r="A2210" t="s">
        <v>22</v>
      </c>
      <c r="B2210" t="s">
        <v>11</v>
      </c>
      <c r="C2210" t="s">
        <v>24</v>
      </c>
      <c r="D2210" t="s">
        <v>25</v>
      </c>
      <c r="E2210">
        <v>3</v>
      </c>
      <c r="F2210" t="s">
        <v>26</v>
      </c>
      <c r="G2210" t="s">
        <v>15</v>
      </c>
      <c r="H2210" t="s">
        <v>16</v>
      </c>
      <c r="I2210">
        <v>0</v>
      </c>
      <c r="J2210" s="23">
        <v>36113</v>
      </c>
      <c r="K2210">
        <v>108339</v>
      </c>
    </row>
    <row r="2211" spans="1:11" ht="15" customHeight="1" x14ac:dyDescent="0.3">
      <c r="A2211" t="s">
        <v>10</v>
      </c>
      <c r="B2211" t="s">
        <v>19</v>
      </c>
      <c r="C2211" t="s">
        <v>12</v>
      </c>
      <c r="D2211" t="s">
        <v>20</v>
      </c>
      <c r="E2211">
        <v>1</v>
      </c>
      <c r="F2211"/>
      <c r="G2211" t="s">
        <v>15</v>
      </c>
      <c r="H2211" t="s">
        <v>32</v>
      </c>
      <c r="I2211">
        <v>1</v>
      </c>
      <c r="J2211" s="23">
        <v>-12</v>
      </c>
      <c r="K2211" t="s">
        <v>17</v>
      </c>
    </row>
    <row r="2212" spans="1:11" ht="15" customHeight="1" x14ac:dyDescent="0.3">
      <c r="A2212" t="s">
        <v>22</v>
      </c>
      <c r="B2212" t="s">
        <v>11</v>
      </c>
      <c r="C2212" t="s">
        <v>24</v>
      </c>
      <c r="D2212" t="s">
        <v>13</v>
      </c>
      <c r="E2212">
        <v>14</v>
      </c>
      <c r="F2212" t="s">
        <v>29</v>
      </c>
      <c r="G2212" t="s">
        <v>15</v>
      </c>
      <c r="H2212" t="s">
        <v>16</v>
      </c>
      <c r="I2212">
        <v>0</v>
      </c>
      <c r="J2212" s="23">
        <v>1201994</v>
      </c>
      <c r="K2212">
        <v>16827916</v>
      </c>
    </row>
    <row r="2213" spans="1:11" ht="15" customHeight="1" x14ac:dyDescent="0.3">
      <c r="A2213" t="s">
        <v>18</v>
      </c>
      <c r="B2213" t="s">
        <v>11</v>
      </c>
      <c r="C2213" t="s">
        <v>24</v>
      </c>
      <c r="D2213" t="s">
        <v>28</v>
      </c>
      <c r="E2213">
        <v>8</v>
      </c>
      <c r="F2213" t="s">
        <v>42</v>
      </c>
      <c r="G2213" t="s">
        <v>15</v>
      </c>
      <c r="H2213" t="s">
        <v>16</v>
      </c>
      <c r="I2213">
        <v>0</v>
      </c>
      <c r="J2213" s="23">
        <v>673939</v>
      </c>
      <c r="K2213">
        <v>5391512</v>
      </c>
    </row>
    <row r="2214" spans="1:11" ht="15" customHeight="1" x14ac:dyDescent="0.3">
      <c r="A2214" t="s">
        <v>10</v>
      </c>
      <c r="B2214" t="s">
        <v>11</v>
      </c>
      <c r="C2214" t="s">
        <v>24</v>
      </c>
      <c r="D2214" t="s">
        <v>28</v>
      </c>
      <c r="E2214">
        <v>0</v>
      </c>
      <c r="F2214" t="s">
        <v>34</v>
      </c>
      <c r="G2214" t="s">
        <v>15</v>
      </c>
      <c r="H2214" t="s">
        <v>16</v>
      </c>
      <c r="I2214">
        <v>0</v>
      </c>
      <c r="J2214" s="23">
        <v>1947899</v>
      </c>
      <c r="K2214" t="s">
        <v>17</v>
      </c>
    </row>
    <row r="2215" spans="1:11" ht="15" customHeight="1" x14ac:dyDescent="0.3">
      <c r="A2215" t="s">
        <v>18</v>
      </c>
      <c r="B2215" t="s">
        <v>11</v>
      </c>
      <c r="C2215" t="s">
        <v>12</v>
      </c>
      <c r="D2215" t="s">
        <v>25</v>
      </c>
      <c r="E2215">
        <v>4</v>
      </c>
      <c r="F2215" t="s">
        <v>42</v>
      </c>
      <c r="G2215" t="s">
        <v>15</v>
      </c>
      <c r="H2215" t="s">
        <v>16</v>
      </c>
      <c r="I2215">
        <v>0</v>
      </c>
      <c r="J2215" s="23">
        <v>-1413</v>
      </c>
      <c r="K2215" t="s">
        <v>17</v>
      </c>
    </row>
    <row r="2216" spans="1:11" ht="15" customHeight="1" x14ac:dyDescent="0.3">
      <c r="A2216" t="s">
        <v>22</v>
      </c>
      <c r="B2216" t="s">
        <v>11</v>
      </c>
      <c r="C2216" t="s">
        <v>24</v>
      </c>
      <c r="D2216" t="s">
        <v>13</v>
      </c>
      <c r="E2216">
        <v>4</v>
      </c>
      <c r="F2216" t="s">
        <v>30</v>
      </c>
      <c r="G2216" t="s">
        <v>15</v>
      </c>
      <c r="H2216" t="s">
        <v>16</v>
      </c>
      <c r="I2216">
        <v>0</v>
      </c>
      <c r="J2216" s="23">
        <v>1498762</v>
      </c>
      <c r="K2216">
        <v>5995048</v>
      </c>
    </row>
    <row r="2217" spans="1:11" ht="15" customHeight="1" x14ac:dyDescent="0.3">
      <c r="A2217" t="s">
        <v>10</v>
      </c>
      <c r="B2217" t="s">
        <v>11</v>
      </c>
      <c r="C2217" t="s">
        <v>12</v>
      </c>
      <c r="D2217" t="s">
        <v>13</v>
      </c>
      <c r="E2217">
        <v>8</v>
      </c>
      <c r="F2217" t="s">
        <v>35</v>
      </c>
      <c r="G2217" t="s">
        <v>15</v>
      </c>
      <c r="H2217" t="s">
        <v>16</v>
      </c>
      <c r="I2217">
        <v>0</v>
      </c>
      <c r="J2217" s="23">
        <v>-5430</v>
      </c>
      <c r="K2217" t="s">
        <v>17</v>
      </c>
    </row>
    <row r="2218" spans="1:11" ht="15" customHeight="1" x14ac:dyDescent="0.3">
      <c r="A2218" t="s">
        <v>22</v>
      </c>
      <c r="B2218" t="s">
        <v>11</v>
      </c>
      <c r="C2218" t="s">
        <v>24</v>
      </c>
      <c r="D2218" t="s">
        <v>13</v>
      </c>
      <c r="E2218">
        <v>3</v>
      </c>
      <c r="F2218" t="s">
        <v>39</v>
      </c>
      <c r="G2218" t="s">
        <v>15</v>
      </c>
      <c r="H2218" t="s">
        <v>16</v>
      </c>
      <c r="I2218">
        <v>0</v>
      </c>
      <c r="J2218" s="23">
        <v>194901</v>
      </c>
      <c r="K2218">
        <v>584703</v>
      </c>
    </row>
    <row r="2219" spans="1:11" ht="15" customHeight="1" x14ac:dyDescent="0.3">
      <c r="A2219" t="s">
        <v>18</v>
      </c>
      <c r="B2219" t="s">
        <v>11</v>
      </c>
      <c r="C2219" t="s">
        <v>12</v>
      </c>
      <c r="D2219" t="s">
        <v>28</v>
      </c>
      <c r="E2219">
        <v>8</v>
      </c>
      <c r="F2219" t="s">
        <v>21</v>
      </c>
      <c r="G2219" t="s">
        <v>15</v>
      </c>
      <c r="H2219" t="s">
        <v>32</v>
      </c>
      <c r="I2219">
        <v>1</v>
      </c>
      <c r="J2219" s="23">
        <v>-177</v>
      </c>
      <c r="K2219" t="s">
        <v>17</v>
      </c>
    </row>
    <row r="2220" spans="1:11" ht="15" customHeight="1" x14ac:dyDescent="0.3">
      <c r="A2220" t="s">
        <v>18</v>
      </c>
      <c r="B2220" t="s">
        <v>11</v>
      </c>
      <c r="C2220" t="s">
        <v>12</v>
      </c>
      <c r="D2220" t="s">
        <v>28</v>
      </c>
      <c r="E2220">
        <v>1</v>
      </c>
      <c r="F2220" t="s">
        <v>21</v>
      </c>
      <c r="G2220" t="s">
        <v>31</v>
      </c>
      <c r="H2220" t="s">
        <v>16</v>
      </c>
      <c r="I2220">
        <v>1</v>
      </c>
      <c r="J2220" s="23">
        <v>-1176</v>
      </c>
      <c r="K2220" t="s">
        <v>17</v>
      </c>
    </row>
    <row r="2221" spans="1:11" ht="15" customHeight="1" x14ac:dyDescent="0.3">
      <c r="A2221" t="s">
        <v>18</v>
      </c>
      <c r="B2221" t="s">
        <v>11</v>
      </c>
      <c r="C2221" t="s">
        <v>24</v>
      </c>
      <c r="D2221" t="s">
        <v>13</v>
      </c>
      <c r="E2221">
        <v>2</v>
      </c>
      <c r="F2221" t="s">
        <v>37</v>
      </c>
      <c r="G2221" t="s">
        <v>15</v>
      </c>
      <c r="H2221" t="s">
        <v>16</v>
      </c>
      <c r="I2221">
        <v>0</v>
      </c>
      <c r="J2221" s="23">
        <v>2947912</v>
      </c>
      <c r="K2221">
        <v>5895824</v>
      </c>
    </row>
    <row r="2222" spans="1:11" ht="15" customHeight="1" x14ac:dyDescent="0.3">
      <c r="A2222" t="s">
        <v>18</v>
      </c>
      <c r="B2222" t="s">
        <v>11</v>
      </c>
      <c r="C2222" t="s">
        <v>24</v>
      </c>
      <c r="D2222" t="s">
        <v>28</v>
      </c>
      <c r="E2222">
        <v>13</v>
      </c>
      <c r="F2222" t="s">
        <v>30</v>
      </c>
      <c r="G2222" t="s">
        <v>31</v>
      </c>
      <c r="H2222" t="s">
        <v>16</v>
      </c>
      <c r="I2222">
        <v>1</v>
      </c>
      <c r="J2222" s="23">
        <v>113655</v>
      </c>
      <c r="K2222">
        <v>1477515</v>
      </c>
    </row>
    <row r="2223" spans="1:11" ht="15" customHeight="1" x14ac:dyDescent="0.3">
      <c r="A2223" t="s">
        <v>22</v>
      </c>
      <c r="B2223" t="s">
        <v>11</v>
      </c>
      <c r="C2223" t="s">
        <v>24</v>
      </c>
      <c r="D2223" t="s">
        <v>13</v>
      </c>
      <c r="E2223">
        <v>0</v>
      </c>
      <c r="F2223" t="s">
        <v>45</v>
      </c>
      <c r="G2223" t="s">
        <v>15</v>
      </c>
      <c r="H2223" t="s">
        <v>16</v>
      </c>
      <c r="I2223">
        <v>0</v>
      </c>
      <c r="J2223" s="23">
        <v>59451</v>
      </c>
      <c r="K2223" t="s">
        <v>17</v>
      </c>
    </row>
    <row r="2224" spans="1:11" ht="15" customHeight="1" x14ac:dyDescent="0.3">
      <c r="A2224" t="s">
        <v>10</v>
      </c>
      <c r="B2224" t="s">
        <v>19</v>
      </c>
      <c r="C2224" t="s">
        <v>24</v>
      </c>
      <c r="D2224" t="s">
        <v>20</v>
      </c>
      <c r="E2224">
        <v>10</v>
      </c>
      <c r="F2224"/>
      <c r="G2224" t="s">
        <v>15</v>
      </c>
      <c r="H2224" t="s">
        <v>32</v>
      </c>
      <c r="I2224">
        <v>1</v>
      </c>
      <c r="J2224" s="23">
        <v>185054</v>
      </c>
      <c r="K2224">
        <v>1850540</v>
      </c>
    </row>
    <row r="2225" spans="1:11" ht="15" customHeight="1" x14ac:dyDescent="0.3">
      <c r="A2225" t="s">
        <v>18</v>
      </c>
      <c r="B2225" t="s">
        <v>11</v>
      </c>
      <c r="C2225" t="s">
        <v>12</v>
      </c>
      <c r="D2225" t="s">
        <v>25</v>
      </c>
      <c r="E2225">
        <v>6</v>
      </c>
      <c r="F2225" t="s">
        <v>21</v>
      </c>
      <c r="G2225" t="s">
        <v>15</v>
      </c>
      <c r="H2225" t="s">
        <v>16</v>
      </c>
      <c r="I2225">
        <v>0</v>
      </c>
      <c r="J2225" s="23">
        <v>-2740</v>
      </c>
      <c r="K2225" t="s">
        <v>17</v>
      </c>
    </row>
    <row r="2226" spans="1:11" ht="15" customHeight="1" x14ac:dyDescent="0.3">
      <c r="A2226" t="s">
        <v>10</v>
      </c>
      <c r="B2226" t="s">
        <v>44</v>
      </c>
      <c r="C2226" t="s">
        <v>24</v>
      </c>
      <c r="D2226" t="s">
        <v>28</v>
      </c>
      <c r="E2226">
        <v>3</v>
      </c>
      <c r="F2226" t="s">
        <v>30</v>
      </c>
      <c r="G2226" t="s">
        <v>15</v>
      </c>
      <c r="H2226" t="s">
        <v>16</v>
      </c>
      <c r="I2226">
        <v>0</v>
      </c>
      <c r="J2226" s="23">
        <v>233402</v>
      </c>
      <c r="K2226">
        <v>700206</v>
      </c>
    </row>
    <row r="2227" spans="1:11" ht="15" customHeight="1" x14ac:dyDescent="0.3">
      <c r="A2227" t="s">
        <v>18</v>
      </c>
      <c r="B2227" t="s">
        <v>11</v>
      </c>
      <c r="C2227" t="s">
        <v>12</v>
      </c>
      <c r="D2227" t="s">
        <v>25</v>
      </c>
      <c r="E2227">
        <v>-4</v>
      </c>
      <c r="F2227" t="s">
        <v>40</v>
      </c>
      <c r="G2227" t="s">
        <v>15</v>
      </c>
      <c r="H2227" t="s">
        <v>16</v>
      </c>
      <c r="I2227">
        <v>0</v>
      </c>
      <c r="J2227" s="23">
        <v>-6</v>
      </c>
      <c r="K2227" t="s">
        <v>17</v>
      </c>
    </row>
    <row r="2228" spans="1:11" ht="15" customHeight="1" x14ac:dyDescent="0.3">
      <c r="A2228" t="s">
        <v>22</v>
      </c>
      <c r="B2228" t="s">
        <v>11</v>
      </c>
      <c r="C2228" t="s">
        <v>12</v>
      </c>
      <c r="D2228" t="s">
        <v>13</v>
      </c>
      <c r="E2228">
        <v>3</v>
      </c>
      <c r="F2228" t="s">
        <v>23</v>
      </c>
      <c r="G2228" t="s">
        <v>15</v>
      </c>
      <c r="H2228" t="s">
        <v>16</v>
      </c>
      <c r="I2228">
        <v>0</v>
      </c>
      <c r="J2228" s="23">
        <v>-660259</v>
      </c>
      <c r="K2228" t="s">
        <v>17</v>
      </c>
    </row>
    <row r="2229" spans="1:11" ht="15" customHeight="1" x14ac:dyDescent="0.3">
      <c r="A2229" t="s">
        <v>10</v>
      </c>
      <c r="B2229" t="s">
        <v>11</v>
      </c>
      <c r="C2229" t="s">
        <v>24</v>
      </c>
      <c r="D2229" t="s">
        <v>28</v>
      </c>
      <c r="E2229">
        <v>11</v>
      </c>
      <c r="F2229" t="s">
        <v>27</v>
      </c>
      <c r="G2229" t="s">
        <v>15</v>
      </c>
      <c r="H2229" t="s">
        <v>16</v>
      </c>
      <c r="I2229">
        <v>0</v>
      </c>
      <c r="J2229" s="23">
        <v>77105</v>
      </c>
      <c r="K2229">
        <v>848155</v>
      </c>
    </row>
    <row r="2230" spans="1:11" ht="15" customHeight="1" x14ac:dyDescent="0.3">
      <c r="A2230" t="s">
        <v>10</v>
      </c>
      <c r="B2230" t="s">
        <v>11</v>
      </c>
      <c r="C2230" t="s">
        <v>12</v>
      </c>
      <c r="D2230" t="s">
        <v>25</v>
      </c>
      <c r="E2230">
        <v>5</v>
      </c>
      <c r="F2230" t="s">
        <v>42</v>
      </c>
      <c r="G2230" t="s">
        <v>15</v>
      </c>
      <c r="H2230" t="s">
        <v>16</v>
      </c>
      <c r="I2230">
        <v>0</v>
      </c>
      <c r="J2230" s="23">
        <v>-4748</v>
      </c>
      <c r="K2230" t="s">
        <v>17</v>
      </c>
    </row>
    <row r="2231" spans="1:11" ht="15" customHeight="1" x14ac:dyDescent="0.3">
      <c r="A2231" t="s">
        <v>18</v>
      </c>
      <c r="B2231" t="s">
        <v>19</v>
      </c>
      <c r="C2231" t="s">
        <v>12</v>
      </c>
      <c r="D2231" t="s">
        <v>20</v>
      </c>
      <c r="E2231">
        <v>34</v>
      </c>
      <c r="F2231"/>
      <c r="G2231" t="s">
        <v>31</v>
      </c>
      <c r="H2231" t="s">
        <v>16</v>
      </c>
      <c r="I2231">
        <v>1</v>
      </c>
      <c r="J2231" s="23">
        <v>-7200</v>
      </c>
      <c r="K2231" t="s">
        <v>17</v>
      </c>
    </row>
    <row r="2232" spans="1:11" ht="15" customHeight="1" x14ac:dyDescent="0.3">
      <c r="A2232" t="s">
        <v>18</v>
      </c>
      <c r="B2232" t="s">
        <v>44</v>
      </c>
      <c r="C2232" t="s">
        <v>12</v>
      </c>
      <c r="D2232" t="s">
        <v>28</v>
      </c>
      <c r="E2232">
        <v>13</v>
      </c>
      <c r="F2232" t="s">
        <v>26</v>
      </c>
      <c r="G2232" t="s">
        <v>15</v>
      </c>
      <c r="H2232" t="s">
        <v>16</v>
      </c>
      <c r="I2232">
        <v>0</v>
      </c>
      <c r="J2232" s="23">
        <v>-17604</v>
      </c>
      <c r="K2232" t="s">
        <v>17</v>
      </c>
    </row>
    <row r="2233" spans="1:11" ht="15" customHeight="1" x14ac:dyDescent="0.3">
      <c r="A2233" t="s">
        <v>18</v>
      </c>
      <c r="B2233" t="s">
        <v>19</v>
      </c>
      <c r="C2233" t="s">
        <v>12</v>
      </c>
      <c r="D2233" t="s">
        <v>20</v>
      </c>
      <c r="E2233">
        <v>24</v>
      </c>
      <c r="F2233"/>
      <c r="G2233" t="s">
        <v>15</v>
      </c>
      <c r="H2233" t="s">
        <v>16</v>
      </c>
      <c r="I2233">
        <v>0</v>
      </c>
      <c r="J2233" s="23">
        <v>-295745</v>
      </c>
      <c r="K2233" t="s">
        <v>17</v>
      </c>
    </row>
    <row r="2234" spans="1:11" ht="15" customHeight="1" x14ac:dyDescent="0.3">
      <c r="A2234" t="s">
        <v>10</v>
      </c>
      <c r="B2234" t="s">
        <v>19</v>
      </c>
      <c r="C2234" t="s">
        <v>24</v>
      </c>
      <c r="D2234" t="s">
        <v>20</v>
      </c>
      <c r="E2234">
        <v>20</v>
      </c>
      <c r="F2234"/>
      <c r="G2234" t="s">
        <v>31</v>
      </c>
      <c r="H2234" t="s">
        <v>16</v>
      </c>
      <c r="I2234">
        <v>1</v>
      </c>
      <c r="J2234" s="23">
        <v>642308</v>
      </c>
      <c r="K2234">
        <v>12846160</v>
      </c>
    </row>
    <row r="2235" spans="1:11" ht="15" customHeight="1" x14ac:dyDescent="0.3">
      <c r="A2235" t="s">
        <v>10</v>
      </c>
      <c r="B2235" t="s">
        <v>11</v>
      </c>
      <c r="C2235" t="s">
        <v>24</v>
      </c>
      <c r="D2235" t="s">
        <v>28</v>
      </c>
      <c r="E2235">
        <v>-1</v>
      </c>
      <c r="F2235" t="s">
        <v>21</v>
      </c>
      <c r="G2235" t="s">
        <v>31</v>
      </c>
      <c r="H2235" t="s">
        <v>32</v>
      </c>
      <c r="I2235">
        <v>1</v>
      </c>
      <c r="J2235" s="23">
        <v>0</v>
      </c>
      <c r="K2235" t="s">
        <v>17</v>
      </c>
    </row>
    <row r="2236" spans="1:11" ht="15" customHeight="1" x14ac:dyDescent="0.3">
      <c r="A2236" t="s">
        <v>10</v>
      </c>
      <c r="B2236" t="s">
        <v>11</v>
      </c>
      <c r="C2236" t="s">
        <v>12</v>
      </c>
      <c r="D2236" t="s">
        <v>25</v>
      </c>
      <c r="E2236">
        <v>-4</v>
      </c>
      <c r="F2236" t="s">
        <v>40</v>
      </c>
      <c r="G2236" t="s">
        <v>15</v>
      </c>
      <c r="H2236" t="s">
        <v>16</v>
      </c>
      <c r="I2236">
        <v>0</v>
      </c>
      <c r="J2236" s="23">
        <v>-2258</v>
      </c>
      <c r="K2236" t="s">
        <v>17</v>
      </c>
    </row>
    <row r="2237" spans="1:11" ht="15" customHeight="1" x14ac:dyDescent="0.3">
      <c r="A2237" t="s">
        <v>10</v>
      </c>
      <c r="B2237" t="s">
        <v>11</v>
      </c>
      <c r="C2237" t="s">
        <v>12</v>
      </c>
      <c r="D2237" t="s">
        <v>28</v>
      </c>
      <c r="E2237">
        <v>6</v>
      </c>
      <c r="F2237" t="s">
        <v>29</v>
      </c>
      <c r="G2237" t="s">
        <v>15</v>
      </c>
      <c r="H2237" t="s">
        <v>16</v>
      </c>
      <c r="I2237">
        <v>0</v>
      </c>
      <c r="J2237" s="23">
        <v>-77265</v>
      </c>
      <c r="K2237" t="s">
        <v>17</v>
      </c>
    </row>
    <row r="2238" spans="1:11" ht="15" customHeight="1" x14ac:dyDescent="0.3">
      <c r="A2238" t="s">
        <v>10</v>
      </c>
      <c r="B2238" t="s">
        <v>11</v>
      </c>
      <c r="C2238" t="s">
        <v>12</v>
      </c>
      <c r="D2238" t="s">
        <v>25</v>
      </c>
      <c r="E2238">
        <v>2</v>
      </c>
      <c r="F2238" t="s">
        <v>21</v>
      </c>
      <c r="G2238" t="s">
        <v>15</v>
      </c>
      <c r="H2238" t="s">
        <v>16</v>
      </c>
      <c r="I2238">
        <v>0</v>
      </c>
      <c r="J2238" s="23">
        <v>-49736</v>
      </c>
      <c r="K2238" t="s">
        <v>17</v>
      </c>
    </row>
    <row r="2239" spans="1:11" ht="15" customHeight="1" x14ac:dyDescent="0.3">
      <c r="A2239" t="s">
        <v>18</v>
      </c>
      <c r="B2239" t="s">
        <v>19</v>
      </c>
      <c r="C2239" t="s">
        <v>24</v>
      </c>
      <c r="D2239" t="s">
        <v>20</v>
      </c>
      <c r="E2239">
        <v>2</v>
      </c>
      <c r="F2239"/>
      <c r="G2239" t="s">
        <v>31</v>
      </c>
      <c r="H2239" t="s">
        <v>16</v>
      </c>
      <c r="I2239">
        <v>1</v>
      </c>
      <c r="J2239" s="23">
        <v>500624</v>
      </c>
      <c r="K2239">
        <v>1001248</v>
      </c>
    </row>
    <row r="2240" spans="1:11" ht="15" customHeight="1" x14ac:dyDescent="0.3">
      <c r="A2240" t="s">
        <v>10</v>
      </c>
      <c r="B2240" t="s">
        <v>19</v>
      </c>
      <c r="C2240" t="s">
        <v>12</v>
      </c>
      <c r="D2240" t="s">
        <v>20</v>
      </c>
      <c r="E2240">
        <v>5</v>
      </c>
      <c r="F2240"/>
      <c r="G2240" t="s">
        <v>15</v>
      </c>
      <c r="H2240" t="s">
        <v>16</v>
      </c>
      <c r="I2240">
        <v>0</v>
      </c>
      <c r="J2240" s="23">
        <v>-203470</v>
      </c>
      <c r="K2240" t="s">
        <v>17</v>
      </c>
    </row>
    <row r="2241" spans="1:11" ht="15" customHeight="1" x14ac:dyDescent="0.3">
      <c r="A2241" t="s">
        <v>22</v>
      </c>
      <c r="B2241" t="s">
        <v>19</v>
      </c>
      <c r="C2241" t="s">
        <v>12</v>
      </c>
      <c r="D2241" t="s">
        <v>20</v>
      </c>
      <c r="E2241">
        <v>16</v>
      </c>
      <c r="F2241"/>
      <c r="G2241" t="s">
        <v>15</v>
      </c>
      <c r="H2241" t="s">
        <v>16</v>
      </c>
      <c r="I2241">
        <v>0</v>
      </c>
      <c r="J2241" s="23">
        <v>-1466702</v>
      </c>
      <c r="K2241" t="s">
        <v>17</v>
      </c>
    </row>
    <row r="2242" spans="1:11" ht="15" customHeight="1" x14ac:dyDescent="0.3">
      <c r="A2242" t="s">
        <v>18</v>
      </c>
      <c r="B2242" t="s">
        <v>11</v>
      </c>
      <c r="C2242" t="s">
        <v>24</v>
      </c>
      <c r="D2242" t="s">
        <v>25</v>
      </c>
      <c r="E2242">
        <v>-4</v>
      </c>
      <c r="F2242" t="s">
        <v>33</v>
      </c>
      <c r="G2242" t="s">
        <v>15</v>
      </c>
      <c r="H2242" t="s">
        <v>16</v>
      </c>
      <c r="I2242">
        <v>0</v>
      </c>
      <c r="J2242" s="23">
        <v>58</v>
      </c>
      <c r="K2242" t="s">
        <v>17</v>
      </c>
    </row>
    <row r="2243" spans="1:11" ht="15" customHeight="1" x14ac:dyDescent="0.3">
      <c r="A2243" t="s">
        <v>18</v>
      </c>
      <c r="B2243" t="s">
        <v>19</v>
      </c>
      <c r="C2243" t="s">
        <v>24</v>
      </c>
      <c r="D2243" t="s">
        <v>20</v>
      </c>
      <c r="E2243">
        <v>37</v>
      </c>
      <c r="F2243"/>
      <c r="G2243" t="s">
        <v>31</v>
      </c>
      <c r="H2243" t="s">
        <v>32</v>
      </c>
      <c r="I2243">
        <v>1</v>
      </c>
      <c r="J2243" s="23">
        <v>320567</v>
      </c>
      <c r="K2243">
        <v>11860979</v>
      </c>
    </row>
    <row r="2244" spans="1:11" ht="15" customHeight="1" x14ac:dyDescent="0.3">
      <c r="A2244" t="s">
        <v>10</v>
      </c>
      <c r="B2244" t="s">
        <v>11</v>
      </c>
      <c r="C2244" t="s">
        <v>12</v>
      </c>
      <c r="D2244" t="s">
        <v>28</v>
      </c>
      <c r="E2244">
        <v>9</v>
      </c>
      <c r="F2244" t="s">
        <v>23</v>
      </c>
      <c r="G2244" t="s">
        <v>15</v>
      </c>
      <c r="H2244" t="s">
        <v>16</v>
      </c>
      <c r="I2244">
        <v>0</v>
      </c>
      <c r="J2244" s="23">
        <v>-199105</v>
      </c>
      <c r="K2244" t="s">
        <v>17</v>
      </c>
    </row>
    <row r="2245" spans="1:11" ht="15" customHeight="1" x14ac:dyDescent="0.3">
      <c r="A2245" t="s">
        <v>18</v>
      </c>
      <c r="B2245" t="s">
        <v>19</v>
      </c>
      <c r="C2245" t="s">
        <v>12</v>
      </c>
      <c r="D2245" t="s">
        <v>20</v>
      </c>
      <c r="E2245">
        <v>29</v>
      </c>
      <c r="F2245"/>
      <c r="G2245" t="s">
        <v>15</v>
      </c>
      <c r="H2245" t="s">
        <v>16</v>
      </c>
      <c r="I2245">
        <v>0</v>
      </c>
      <c r="J2245" s="23">
        <v>-440693</v>
      </c>
      <c r="K2245" t="s">
        <v>17</v>
      </c>
    </row>
    <row r="2246" spans="1:11" ht="15" customHeight="1" x14ac:dyDescent="0.3">
      <c r="A2246" t="s">
        <v>18</v>
      </c>
      <c r="B2246" t="s">
        <v>19</v>
      </c>
      <c r="C2246" t="s">
        <v>12</v>
      </c>
      <c r="D2246" t="s">
        <v>20</v>
      </c>
      <c r="E2246">
        <v>6</v>
      </c>
      <c r="F2246"/>
      <c r="G2246" t="s">
        <v>31</v>
      </c>
      <c r="H2246" t="s">
        <v>32</v>
      </c>
      <c r="I2246">
        <v>1</v>
      </c>
      <c r="J2246" s="23">
        <v>-6</v>
      </c>
      <c r="K2246" t="s">
        <v>17</v>
      </c>
    </row>
    <row r="2247" spans="1:11" ht="15" customHeight="1" x14ac:dyDescent="0.3">
      <c r="A2247" t="s">
        <v>10</v>
      </c>
      <c r="B2247" t="s">
        <v>11</v>
      </c>
      <c r="C2247" t="s">
        <v>12</v>
      </c>
      <c r="D2247" t="s">
        <v>28</v>
      </c>
      <c r="E2247">
        <v>0</v>
      </c>
      <c r="F2247" t="s">
        <v>21</v>
      </c>
      <c r="G2247" t="s">
        <v>15</v>
      </c>
      <c r="H2247" t="s">
        <v>16</v>
      </c>
      <c r="I2247">
        <v>0</v>
      </c>
      <c r="J2247" s="23">
        <v>-10240</v>
      </c>
      <c r="K2247" t="s">
        <v>17</v>
      </c>
    </row>
    <row r="2248" spans="1:11" ht="15" customHeight="1" x14ac:dyDescent="0.3">
      <c r="A2248" t="s">
        <v>18</v>
      </c>
      <c r="B2248" t="s">
        <v>44</v>
      </c>
      <c r="C2248" t="s">
        <v>24</v>
      </c>
      <c r="D2248" t="s">
        <v>28</v>
      </c>
      <c r="E2248">
        <v>3</v>
      </c>
      <c r="F2248" t="s">
        <v>26</v>
      </c>
      <c r="G2248" t="s">
        <v>15</v>
      </c>
      <c r="H2248" t="s">
        <v>16</v>
      </c>
      <c r="I2248">
        <v>0</v>
      </c>
      <c r="J2248" s="23">
        <v>10244587</v>
      </c>
      <c r="K2248">
        <v>30733761</v>
      </c>
    </row>
    <row r="2249" spans="1:11" ht="15" customHeight="1" x14ac:dyDescent="0.3">
      <c r="A2249" t="s">
        <v>22</v>
      </c>
      <c r="B2249" t="s">
        <v>11</v>
      </c>
      <c r="C2249" t="s">
        <v>12</v>
      </c>
      <c r="D2249" t="s">
        <v>13</v>
      </c>
      <c r="E2249">
        <v>7</v>
      </c>
      <c r="F2249" t="s">
        <v>21</v>
      </c>
      <c r="G2249" t="s">
        <v>15</v>
      </c>
      <c r="H2249" t="s">
        <v>16</v>
      </c>
      <c r="I2249">
        <v>0</v>
      </c>
      <c r="J2249" s="23">
        <v>-38544</v>
      </c>
      <c r="K2249" t="s">
        <v>17</v>
      </c>
    </row>
    <row r="2250" spans="1:11" ht="15" customHeight="1" x14ac:dyDescent="0.3">
      <c r="A2250" t="s">
        <v>10</v>
      </c>
      <c r="B2250" t="s">
        <v>11</v>
      </c>
      <c r="C2250" t="s">
        <v>12</v>
      </c>
      <c r="D2250" t="s">
        <v>28</v>
      </c>
      <c r="E2250">
        <v>7</v>
      </c>
      <c r="F2250" t="s">
        <v>26</v>
      </c>
      <c r="G2250" t="s">
        <v>15</v>
      </c>
      <c r="H2250" t="s">
        <v>16</v>
      </c>
      <c r="I2250">
        <v>0</v>
      </c>
      <c r="J2250" s="23">
        <v>-346486</v>
      </c>
      <c r="K2250" t="s">
        <v>17</v>
      </c>
    </row>
    <row r="2251" spans="1:11" ht="15" customHeight="1" x14ac:dyDescent="0.3">
      <c r="A2251" t="s">
        <v>18</v>
      </c>
      <c r="B2251" t="s">
        <v>19</v>
      </c>
      <c r="C2251" t="s">
        <v>12</v>
      </c>
      <c r="D2251" t="s">
        <v>20</v>
      </c>
      <c r="E2251">
        <v>28</v>
      </c>
      <c r="F2251"/>
      <c r="G2251" t="s">
        <v>31</v>
      </c>
      <c r="H2251" t="s">
        <v>32</v>
      </c>
      <c r="I2251">
        <v>1</v>
      </c>
      <c r="J2251" s="23">
        <v>-346</v>
      </c>
      <c r="K2251" t="s">
        <v>17</v>
      </c>
    </row>
    <row r="2252" spans="1:11" ht="15" customHeight="1" x14ac:dyDescent="0.3">
      <c r="A2252" t="s">
        <v>10</v>
      </c>
      <c r="B2252" t="s">
        <v>11</v>
      </c>
      <c r="C2252" t="s">
        <v>24</v>
      </c>
      <c r="D2252" t="s">
        <v>13</v>
      </c>
      <c r="E2252">
        <v>3</v>
      </c>
      <c r="F2252" t="s">
        <v>41</v>
      </c>
      <c r="G2252" t="s">
        <v>15</v>
      </c>
      <c r="H2252" t="s">
        <v>16</v>
      </c>
      <c r="I2252">
        <v>0</v>
      </c>
      <c r="J2252" s="23">
        <v>138364</v>
      </c>
      <c r="K2252">
        <v>415092</v>
      </c>
    </row>
    <row r="2253" spans="1:11" ht="15" customHeight="1" x14ac:dyDescent="0.3">
      <c r="A2253" t="s">
        <v>18</v>
      </c>
      <c r="B2253" t="s">
        <v>11</v>
      </c>
      <c r="C2253" t="s">
        <v>24</v>
      </c>
      <c r="D2253" t="s">
        <v>13</v>
      </c>
      <c r="E2253">
        <v>-4</v>
      </c>
      <c r="F2253" t="s">
        <v>29</v>
      </c>
      <c r="G2253" t="s">
        <v>15</v>
      </c>
      <c r="H2253" t="s">
        <v>16</v>
      </c>
      <c r="I2253">
        <v>0</v>
      </c>
      <c r="J2253" s="23">
        <v>358975</v>
      </c>
      <c r="K2253" t="s">
        <v>17</v>
      </c>
    </row>
    <row r="2254" spans="1:11" ht="15" customHeight="1" x14ac:dyDescent="0.3">
      <c r="A2254" t="s">
        <v>10</v>
      </c>
      <c r="B2254" t="s">
        <v>11</v>
      </c>
      <c r="C2254" t="s">
        <v>12</v>
      </c>
      <c r="D2254" t="s">
        <v>28</v>
      </c>
      <c r="E2254">
        <v>14</v>
      </c>
      <c r="F2254" t="s">
        <v>40</v>
      </c>
      <c r="G2254" t="s">
        <v>15</v>
      </c>
      <c r="H2254" t="s">
        <v>16</v>
      </c>
      <c r="I2254">
        <v>0</v>
      </c>
      <c r="J2254" s="23">
        <v>-230740</v>
      </c>
      <c r="K2254" t="s">
        <v>17</v>
      </c>
    </row>
    <row r="2255" spans="1:11" ht="15" customHeight="1" x14ac:dyDescent="0.3">
      <c r="A2255" t="s">
        <v>18</v>
      </c>
      <c r="B2255" t="s">
        <v>11</v>
      </c>
      <c r="C2255" t="s">
        <v>24</v>
      </c>
      <c r="D2255" t="s">
        <v>13</v>
      </c>
      <c r="E2255">
        <v>1</v>
      </c>
      <c r="F2255" t="s">
        <v>26</v>
      </c>
      <c r="G2255" t="s">
        <v>15</v>
      </c>
      <c r="H2255" t="s">
        <v>16</v>
      </c>
      <c r="I2255">
        <v>0</v>
      </c>
      <c r="J2255" s="23">
        <v>10935332</v>
      </c>
      <c r="K2255">
        <v>10935332</v>
      </c>
    </row>
    <row r="2256" spans="1:11" ht="15" customHeight="1" x14ac:dyDescent="0.3">
      <c r="A2256" t="s">
        <v>18</v>
      </c>
      <c r="B2256" t="s">
        <v>11</v>
      </c>
      <c r="C2256" t="s">
        <v>24</v>
      </c>
      <c r="D2256" t="s">
        <v>28</v>
      </c>
      <c r="E2256">
        <v>0</v>
      </c>
      <c r="F2256" t="s">
        <v>40</v>
      </c>
      <c r="G2256" t="s">
        <v>15</v>
      </c>
      <c r="H2256" t="s">
        <v>16</v>
      </c>
      <c r="I2256">
        <v>0</v>
      </c>
      <c r="J2256" s="23">
        <v>18610</v>
      </c>
      <c r="K2256" t="s">
        <v>17</v>
      </c>
    </row>
    <row r="2257" spans="1:11" ht="15" customHeight="1" x14ac:dyDescent="0.3">
      <c r="A2257" t="s">
        <v>18</v>
      </c>
      <c r="B2257" t="s">
        <v>11</v>
      </c>
      <c r="C2257" t="s">
        <v>12</v>
      </c>
      <c r="D2257" t="s">
        <v>28</v>
      </c>
      <c r="E2257">
        <v>16</v>
      </c>
      <c r="F2257" t="s">
        <v>33</v>
      </c>
      <c r="G2257" t="s">
        <v>15</v>
      </c>
      <c r="H2257" t="s">
        <v>32</v>
      </c>
      <c r="I2257">
        <v>1</v>
      </c>
      <c r="J2257" s="23">
        <v>-3822</v>
      </c>
      <c r="K2257" t="s">
        <v>17</v>
      </c>
    </row>
    <row r="2258" spans="1:11" ht="15" customHeight="1" x14ac:dyDescent="0.3">
      <c r="A2258" t="s">
        <v>18</v>
      </c>
      <c r="B2258" t="s">
        <v>11</v>
      </c>
      <c r="C2258" t="s">
        <v>24</v>
      </c>
      <c r="D2258" t="s">
        <v>28</v>
      </c>
      <c r="E2258">
        <v>21</v>
      </c>
      <c r="F2258" t="s">
        <v>14</v>
      </c>
      <c r="G2258" t="s">
        <v>15</v>
      </c>
      <c r="H2258" t="s">
        <v>16</v>
      </c>
      <c r="I2258">
        <v>0</v>
      </c>
      <c r="J2258" s="23">
        <v>445505</v>
      </c>
      <c r="K2258">
        <v>9355605</v>
      </c>
    </row>
    <row r="2259" spans="1:11" ht="15" customHeight="1" x14ac:dyDescent="0.3">
      <c r="A2259" t="s">
        <v>10</v>
      </c>
      <c r="B2259" t="s">
        <v>19</v>
      </c>
      <c r="C2259" t="s">
        <v>12</v>
      </c>
      <c r="D2259" t="s">
        <v>20</v>
      </c>
      <c r="E2259">
        <v>22</v>
      </c>
      <c r="F2259"/>
      <c r="G2259" t="s">
        <v>31</v>
      </c>
      <c r="H2259" t="s">
        <v>32</v>
      </c>
      <c r="I2259">
        <v>1</v>
      </c>
      <c r="J2259" s="23">
        <v>-683</v>
      </c>
      <c r="K2259" t="s">
        <v>17</v>
      </c>
    </row>
    <row r="2260" spans="1:11" ht="15" customHeight="1" x14ac:dyDescent="0.3">
      <c r="A2260" t="s">
        <v>22</v>
      </c>
      <c r="B2260" t="s">
        <v>11</v>
      </c>
      <c r="C2260" t="s">
        <v>12</v>
      </c>
      <c r="D2260" t="s">
        <v>13</v>
      </c>
      <c r="E2260">
        <v>8</v>
      </c>
      <c r="F2260" t="s">
        <v>45</v>
      </c>
      <c r="G2260" t="s">
        <v>15</v>
      </c>
      <c r="H2260" t="s">
        <v>16</v>
      </c>
      <c r="I2260">
        <v>0</v>
      </c>
      <c r="J2260" s="23">
        <v>-407175</v>
      </c>
      <c r="K2260" t="s">
        <v>17</v>
      </c>
    </row>
    <row r="2261" spans="1:11" ht="15" customHeight="1" x14ac:dyDescent="0.3">
      <c r="A2261" t="s">
        <v>18</v>
      </c>
      <c r="B2261" t="s">
        <v>11</v>
      </c>
      <c r="C2261" t="s">
        <v>24</v>
      </c>
      <c r="D2261" t="s">
        <v>28</v>
      </c>
      <c r="E2261">
        <v>-4</v>
      </c>
      <c r="F2261" t="s">
        <v>29</v>
      </c>
      <c r="G2261" t="s">
        <v>31</v>
      </c>
      <c r="H2261" t="s">
        <v>16</v>
      </c>
      <c r="I2261">
        <v>1</v>
      </c>
      <c r="J2261" s="23">
        <v>2953</v>
      </c>
      <c r="K2261" t="s">
        <v>17</v>
      </c>
    </row>
    <row r="2262" spans="1:11" ht="15" customHeight="1" x14ac:dyDescent="0.3">
      <c r="A2262" t="s">
        <v>18</v>
      </c>
      <c r="B2262" t="s">
        <v>11</v>
      </c>
      <c r="C2262" t="s">
        <v>12</v>
      </c>
      <c r="D2262" t="s">
        <v>28</v>
      </c>
      <c r="E2262">
        <v>7</v>
      </c>
      <c r="F2262" t="s">
        <v>34</v>
      </c>
      <c r="G2262" t="s">
        <v>31</v>
      </c>
      <c r="H2262" t="s">
        <v>16</v>
      </c>
      <c r="I2262">
        <v>1</v>
      </c>
      <c r="J2262" s="23">
        <v>-41</v>
      </c>
      <c r="K2262" t="s">
        <v>17</v>
      </c>
    </row>
    <row r="2263" spans="1:11" ht="15" customHeight="1" x14ac:dyDescent="0.3">
      <c r="A2263" t="s">
        <v>18</v>
      </c>
      <c r="B2263" t="s">
        <v>11</v>
      </c>
      <c r="C2263" t="s">
        <v>12</v>
      </c>
      <c r="D2263" t="s">
        <v>28</v>
      </c>
      <c r="E2263">
        <v>2</v>
      </c>
      <c r="F2263" t="s">
        <v>40</v>
      </c>
      <c r="G2263" t="s">
        <v>15</v>
      </c>
      <c r="H2263" t="s">
        <v>16</v>
      </c>
      <c r="I2263">
        <v>0</v>
      </c>
      <c r="J2263" s="23">
        <v>-260</v>
      </c>
      <c r="K2263" t="s">
        <v>17</v>
      </c>
    </row>
    <row r="2264" spans="1:11" ht="15" customHeight="1" x14ac:dyDescent="0.3">
      <c r="A2264" t="s">
        <v>18</v>
      </c>
      <c r="B2264" t="s">
        <v>11</v>
      </c>
      <c r="C2264" t="s">
        <v>24</v>
      </c>
      <c r="D2264" t="s">
        <v>25</v>
      </c>
      <c r="E2264">
        <v>2</v>
      </c>
      <c r="F2264" t="s">
        <v>40</v>
      </c>
      <c r="G2264" t="s">
        <v>15</v>
      </c>
      <c r="H2264" t="s">
        <v>16</v>
      </c>
      <c r="I2264">
        <v>0</v>
      </c>
      <c r="J2264" s="23">
        <v>9091484</v>
      </c>
      <c r="K2264">
        <v>18182968</v>
      </c>
    </row>
    <row r="2265" spans="1:11" ht="15" customHeight="1" x14ac:dyDescent="0.3">
      <c r="A2265" t="s">
        <v>18</v>
      </c>
      <c r="B2265" t="s">
        <v>11</v>
      </c>
      <c r="C2265" t="s">
        <v>12</v>
      </c>
      <c r="D2265" t="s">
        <v>13</v>
      </c>
      <c r="E2265">
        <v>2</v>
      </c>
      <c r="F2265" t="s">
        <v>29</v>
      </c>
      <c r="G2265" t="s">
        <v>15</v>
      </c>
      <c r="H2265" t="s">
        <v>16</v>
      </c>
      <c r="I2265">
        <v>0</v>
      </c>
      <c r="J2265" s="23">
        <v>-409616</v>
      </c>
      <c r="K2265" t="s">
        <v>17</v>
      </c>
    </row>
    <row r="2266" spans="1:11" ht="15" customHeight="1" x14ac:dyDescent="0.3">
      <c r="A2266" t="s">
        <v>18</v>
      </c>
      <c r="B2266" t="s">
        <v>19</v>
      </c>
      <c r="C2266" t="s">
        <v>12</v>
      </c>
      <c r="D2266" t="s">
        <v>20</v>
      </c>
      <c r="E2266">
        <v>1</v>
      </c>
      <c r="F2266"/>
      <c r="G2266" t="s">
        <v>31</v>
      </c>
      <c r="H2266" t="s">
        <v>32</v>
      </c>
      <c r="I2266">
        <v>1</v>
      </c>
      <c r="J2266" s="23">
        <v>-1</v>
      </c>
      <c r="K2266" t="s">
        <v>17</v>
      </c>
    </row>
    <row r="2267" spans="1:11" ht="15" customHeight="1" x14ac:dyDescent="0.3">
      <c r="A2267" t="s">
        <v>10</v>
      </c>
      <c r="B2267" t="s">
        <v>11</v>
      </c>
      <c r="C2267" t="s">
        <v>24</v>
      </c>
      <c r="D2267" t="s">
        <v>25</v>
      </c>
      <c r="E2267">
        <v>5</v>
      </c>
      <c r="F2267" t="s">
        <v>38</v>
      </c>
      <c r="G2267" t="s">
        <v>15</v>
      </c>
      <c r="H2267" t="s">
        <v>16</v>
      </c>
      <c r="I2267">
        <v>0</v>
      </c>
      <c r="J2267" s="23">
        <v>16542</v>
      </c>
      <c r="K2267">
        <v>82710</v>
      </c>
    </row>
    <row r="2268" spans="1:11" ht="15" customHeight="1" x14ac:dyDescent="0.3">
      <c r="A2268" t="s">
        <v>22</v>
      </c>
      <c r="B2268" t="s">
        <v>11</v>
      </c>
      <c r="C2268" t="s">
        <v>24</v>
      </c>
      <c r="D2268" t="s">
        <v>25</v>
      </c>
      <c r="E2268">
        <v>7</v>
      </c>
      <c r="F2268" t="s">
        <v>40</v>
      </c>
      <c r="G2268" t="s">
        <v>15</v>
      </c>
      <c r="H2268" t="s">
        <v>16</v>
      </c>
      <c r="I2268">
        <v>0</v>
      </c>
      <c r="J2268" s="23">
        <v>5030</v>
      </c>
      <c r="K2268">
        <v>35210</v>
      </c>
    </row>
    <row r="2269" spans="1:11" ht="15" customHeight="1" x14ac:dyDescent="0.3">
      <c r="A2269" t="s">
        <v>18</v>
      </c>
      <c r="B2269" t="s">
        <v>11</v>
      </c>
      <c r="C2269" t="s">
        <v>24</v>
      </c>
      <c r="D2269" t="s">
        <v>28</v>
      </c>
      <c r="E2269">
        <v>17</v>
      </c>
      <c r="F2269" t="s">
        <v>33</v>
      </c>
      <c r="G2269" t="s">
        <v>15</v>
      </c>
      <c r="H2269" t="s">
        <v>16</v>
      </c>
      <c r="I2269">
        <v>0</v>
      </c>
      <c r="J2269" s="23">
        <v>209625</v>
      </c>
      <c r="K2269">
        <v>3563625</v>
      </c>
    </row>
    <row r="2270" spans="1:11" ht="15" customHeight="1" x14ac:dyDescent="0.3">
      <c r="A2270" t="s">
        <v>22</v>
      </c>
      <c r="B2270" t="s">
        <v>11</v>
      </c>
      <c r="C2270" t="s">
        <v>12</v>
      </c>
      <c r="D2270" t="s">
        <v>25</v>
      </c>
      <c r="E2270">
        <v>-4</v>
      </c>
      <c r="F2270" t="s">
        <v>14</v>
      </c>
      <c r="G2270" t="s">
        <v>15</v>
      </c>
      <c r="H2270" t="s">
        <v>16</v>
      </c>
      <c r="I2270">
        <v>0</v>
      </c>
      <c r="J2270" s="23">
        <v>-8435</v>
      </c>
      <c r="K2270" t="s">
        <v>17</v>
      </c>
    </row>
    <row r="2271" spans="1:11" ht="15" customHeight="1" x14ac:dyDescent="0.3">
      <c r="A2271" t="s">
        <v>10</v>
      </c>
      <c r="B2271" t="s">
        <v>11</v>
      </c>
      <c r="C2271" t="s">
        <v>12</v>
      </c>
      <c r="D2271" t="s">
        <v>28</v>
      </c>
      <c r="E2271">
        <v>3</v>
      </c>
      <c r="F2271" t="s">
        <v>34</v>
      </c>
      <c r="G2271" t="s">
        <v>15</v>
      </c>
      <c r="H2271" t="s">
        <v>32</v>
      </c>
      <c r="I2271">
        <v>1</v>
      </c>
      <c r="J2271" s="23">
        <v>-3250</v>
      </c>
      <c r="K2271" t="s">
        <v>17</v>
      </c>
    </row>
    <row r="2272" spans="1:11" ht="15" customHeight="1" x14ac:dyDescent="0.3">
      <c r="A2272" t="s">
        <v>18</v>
      </c>
      <c r="B2272" t="s">
        <v>11</v>
      </c>
      <c r="C2272" t="s">
        <v>12</v>
      </c>
      <c r="D2272" t="s">
        <v>28</v>
      </c>
      <c r="E2272">
        <v>2</v>
      </c>
      <c r="F2272" t="s">
        <v>21</v>
      </c>
      <c r="G2272" t="s">
        <v>15</v>
      </c>
      <c r="H2272" t="s">
        <v>16</v>
      </c>
      <c r="I2272">
        <v>0</v>
      </c>
      <c r="J2272" s="23">
        <v>-381402</v>
      </c>
      <c r="K2272" t="s">
        <v>17</v>
      </c>
    </row>
    <row r="2273" spans="1:11" ht="15" customHeight="1" x14ac:dyDescent="0.3">
      <c r="A2273" t="s">
        <v>22</v>
      </c>
      <c r="B2273" t="s">
        <v>11</v>
      </c>
      <c r="C2273" t="s">
        <v>24</v>
      </c>
      <c r="D2273" t="s">
        <v>28</v>
      </c>
      <c r="E2273">
        <v>14</v>
      </c>
      <c r="F2273" t="s">
        <v>39</v>
      </c>
      <c r="G2273" t="s">
        <v>15</v>
      </c>
      <c r="H2273" t="s">
        <v>16</v>
      </c>
      <c r="I2273">
        <v>0</v>
      </c>
      <c r="J2273" s="23">
        <v>139174</v>
      </c>
      <c r="K2273">
        <v>1948436</v>
      </c>
    </row>
    <row r="2274" spans="1:11" ht="15" customHeight="1" x14ac:dyDescent="0.3">
      <c r="A2274" t="s">
        <v>22</v>
      </c>
      <c r="B2274" t="s">
        <v>11</v>
      </c>
      <c r="C2274" t="s">
        <v>12</v>
      </c>
      <c r="D2274" t="s">
        <v>25</v>
      </c>
      <c r="E2274">
        <v>3</v>
      </c>
      <c r="F2274" t="s">
        <v>34</v>
      </c>
      <c r="G2274" t="s">
        <v>15</v>
      </c>
      <c r="H2274" t="s">
        <v>16</v>
      </c>
      <c r="I2274">
        <v>0</v>
      </c>
      <c r="J2274" s="23">
        <v>-115231</v>
      </c>
      <c r="K2274" t="s">
        <v>17</v>
      </c>
    </row>
    <row r="2275" spans="1:11" ht="15" customHeight="1" x14ac:dyDescent="0.3">
      <c r="A2275" t="s">
        <v>18</v>
      </c>
      <c r="B2275" t="s">
        <v>11</v>
      </c>
      <c r="C2275" t="s">
        <v>12</v>
      </c>
      <c r="D2275" t="s">
        <v>13</v>
      </c>
      <c r="E2275">
        <v>4</v>
      </c>
      <c r="F2275" t="s">
        <v>37</v>
      </c>
      <c r="G2275" t="s">
        <v>15</v>
      </c>
      <c r="H2275" t="s">
        <v>16</v>
      </c>
      <c r="I2275">
        <v>0</v>
      </c>
      <c r="J2275" s="23">
        <v>-7551</v>
      </c>
      <c r="K2275" t="s">
        <v>17</v>
      </c>
    </row>
    <row r="2276" spans="1:11" ht="15" customHeight="1" x14ac:dyDescent="0.3">
      <c r="A2276" t="s">
        <v>18</v>
      </c>
      <c r="B2276" t="s">
        <v>11</v>
      </c>
      <c r="C2276" t="s">
        <v>12</v>
      </c>
      <c r="D2276" t="s">
        <v>13</v>
      </c>
      <c r="E2276">
        <v>-1</v>
      </c>
      <c r="F2276" t="s">
        <v>45</v>
      </c>
      <c r="G2276" t="s">
        <v>15</v>
      </c>
      <c r="H2276" t="s">
        <v>16</v>
      </c>
      <c r="I2276">
        <v>0</v>
      </c>
      <c r="J2276" s="23">
        <v>-36947</v>
      </c>
      <c r="K2276" t="s">
        <v>17</v>
      </c>
    </row>
    <row r="2277" spans="1:11" ht="15" customHeight="1" x14ac:dyDescent="0.3">
      <c r="A2277" t="s">
        <v>18</v>
      </c>
      <c r="B2277" t="s">
        <v>11</v>
      </c>
      <c r="C2277" t="s">
        <v>12</v>
      </c>
      <c r="D2277" t="s">
        <v>28</v>
      </c>
      <c r="E2277">
        <v>9</v>
      </c>
      <c r="F2277" t="s">
        <v>21</v>
      </c>
      <c r="G2277" t="s">
        <v>15</v>
      </c>
      <c r="H2277" t="s">
        <v>16</v>
      </c>
      <c r="I2277">
        <v>0</v>
      </c>
      <c r="J2277" s="23">
        <v>-41212</v>
      </c>
      <c r="K2277" t="s">
        <v>17</v>
      </c>
    </row>
    <row r="2278" spans="1:11" ht="15" customHeight="1" x14ac:dyDescent="0.3">
      <c r="A2278" t="s">
        <v>10</v>
      </c>
      <c r="B2278" t="s">
        <v>11</v>
      </c>
      <c r="C2278" t="s">
        <v>24</v>
      </c>
      <c r="D2278" t="s">
        <v>13</v>
      </c>
      <c r="E2278">
        <v>-1</v>
      </c>
      <c r="F2278" t="s">
        <v>39</v>
      </c>
      <c r="G2278" t="s">
        <v>15</v>
      </c>
      <c r="H2278" t="s">
        <v>16</v>
      </c>
      <c r="I2278">
        <v>0</v>
      </c>
      <c r="J2278" s="23">
        <v>7210881</v>
      </c>
      <c r="K2278" t="s">
        <v>17</v>
      </c>
    </row>
    <row r="2279" spans="1:11" ht="15" customHeight="1" x14ac:dyDescent="0.3">
      <c r="A2279" t="s">
        <v>18</v>
      </c>
      <c r="B2279" t="s">
        <v>11</v>
      </c>
      <c r="C2279" t="s">
        <v>12</v>
      </c>
      <c r="D2279" t="s">
        <v>13</v>
      </c>
      <c r="E2279">
        <v>9</v>
      </c>
      <c r="F2279" t="s">
        <v>23</v>
      </c>
      <c r="G2279" t="s">
        <v>15</v>
      </c>
      <c r="H2279" t="s">
        <v>16</v>
      </c>
      <c r="I2279">
        <v>0</v>
      </c>
      <c r="J2279" s="23">
        <v>-10448</v>
      </c>
      <c r="K2279" t="s">
        <v>17</v>
      </c>
    </row>
    <row r="2280" spans="1:11" ht="15" customHeight="1" x14ac:dyDescent="0.3">
      <c r="A2280" t="s">
        <v>22</v>
      </c>
      <c r="B2280" t="s">
        <v>19</v>
      </c>
      <c r="C2280" t="s">
        <v>24</v>
      </c>
      <c r="D2280" t="s">
        <v>20</v>
      </c>
      <c r="E2280">
        <v>1</v>
      </c>
      <c r="F2280"/>
      <c r="G2280" t="s">
        <v>31</v>
      </c>
      <c r="H2280" t="s">
        <v>16</v>
      </c>
      <c r="I2280">
        <v>1</v>
      </c>
      <c r="J2280" s="23">
        <v>5543</v>
      </c>
      <c r="K2280">
        <v>5543</v>
      </c>
    </row>
    <row r="2281" spans="1:11" ht="15" customHeight="1" x14ac:dyDescent="0.3">
      <c r="A2281" t="s">
        <v>22</v>
      </c>
      <c r="B2281" t="s">
        <v>19</v>
      </c>
      <c r="C2281" t="s">
        <v>24</v>
      </c>
      <c r="D2281" t="s">
        <v>20</v>
      </c>
      <c r="E2281">
        <v>24</v>
      </c>
      <c r="F2281"/>
      <c r="G2281" t="s">
        <v>15</v>
      </c>
      <c r="H2281" t="s">
        <v>32</v>
      </c>
      <c r="I2281">
        <v>1</v>
      </c>
      <c r="J2281" s="23">
        <v>48098</v>
      </c>
      <c r="K2281">
        <v>1154352</v>
      </c>
    </row>
    <row r="2282" spans="1:11" ht="15" customHeight="1" x14ac:dyDescent="0.3">
      <c r="A2282" t="s">
        <v>18</v>
      </c>
      <c r="B2282" t="s">
        <v>11</v>
      </c>
      <c r="C2282" t="s">
        <v>12</v>
      </c>
      <c r="D2282" t="s">
        <v>28</v>
      </c>
      <c r="E2282">
        <v>5</v>
      </c>
      <c r="F2282" t="s">
        <v>42</v>
      </c>
      <c r="G2282" t="s">
        <v>15</v>
      </c>
      <c r="H2282" t="s">
        <v>16</v>
      </c>
      <c r="I2282">
        <v>0</v>
      </c>
      <c r="J2282" s="23">
        <v>-1729</v>
      </c>
      <c r="K2282" t="s">
        <v>17</v>
      </c>
    </row>
    <row r="2283" spans="1:11" ht="15" customHeight="1" x14ac:dyDescent="0.3">
      <c r="A2283" t="s">
        <v>10</v>
      </c>
      <c r="B2283" t="s">
        <v>11</v>
      </c>
      <c r="C2283" t="s">
        <v>12</v>
      </c>
      <c r="D2283" t="s">
        <v>28</v>
      </c>
      <c r="E2283">
        <v>5</v>
      </c>
      <c r="F2283" t="s">
        <v>14</v>
      </c>
      <c r="G2283" t="s">
        <v>15</v>
      </c>
      <c r="H2283" t="s">
        <v>16</v>
      </c>
      <c r="I2283">
        <v>0</v>
      </c>
      <c r="J2283" s="23">
        <v>-11199</v>
      </c>
      <c r="K2283" t="s">
        <v>17</v>
      </c>
    </row>
    <row r="2284" spans="1:11" ht="15" customHeight="1" x14ac:dyDescent="0.3">
      <c r="A2284" t="s">
        <v>22</v>
      </c>
      <c r="B2284" t="s">
        <v>11</v>
      </c>
      <c r="C2284" t="s">
        <v>24</v>
      </c>
      <c r="D2284" t="s">
        <v>25</v>
      </c>
      <c r="E2284">
        <v>2</v>
      </c>
      <c r="F2284" t="s">
        <v>30</v>
      </c>
      <c r="G2284" t="s">
        <v>15</v>
      </c>
      <c r="H2284" t="s">
        <v>16</v>
      </c>
      <c r="I2284">
        <v>0</v>
      </c>
      <c r="J2284" s="23">
        <v>18072</v>
      </c>
      <c r="K2284">
        <v>36144</v>
      </c>
    </row>
    <row r="2285" spans="1:11" ht="15" customHeight="1" x14ac:dyDescent="0.3">
      <c r="A2285" t="s">
        <v>18</v>
      </c>
      <c r="B2285" t="s">
        <v>11</v>
      </c>
      <c r="C2285" t="s">
        <v>24</v>
      </c>
      <c r="D2285" t="s">
        <v>25</v>
      </c>
      <c r="E2285">
        <v>-1</v>
      </c>
      <c r="F2285" t="s">
        <v>40</v>
      </c>
      <c r="G2285" t="s">
        <v>15</v>
      </c>
      <c r="H2285" t="s">
        <v>16</v>
      </c>
      <c r="I2285">
        <v>0</v>
      </c>
      <c r="J2285" s="23">
        <v>267677</v>
      </c>
      <c r="K2285" t="s">
        <v>17</v>
      </c>
    </row>
    <row r="2286" spans="1:11" ht="15" customHeight="1" x14ac:dyDescent="0.3">
      <c r="A2286" t="s">
        <v>18</v>
      </c>
      <c r="B2286" t="s">
        <v>11</v>
      </c>
      <c r="C2286" t="s">
        <v>24</v>
      </c>
      <c r="D2286" t="s">
        <v>28</v>
      </c>
      <c r="E2286">
        <v>5</v>
      </c>
      <c r="F2286" t="s">
        <v>26</v>
      </c>
      <c r="G2286" t="s">
        <v>31</v>
      </c>
      <c r="H2286" t="s">
        <v>16</v>
      </c>
      <c r="I2286">
        <v>1</v>
      </c>
      <c r="J2286" s="23">
        <v>966189</v>
      </c>
      <c r="K2286">
        <v>4830945</v>
      </c>
    </row>
    <row r="2287" spans="1:11" ht="15" customHeight="1" x14ac:dyDescent="0.3">
      <c r="A2287" t="s">
        <v>22</v>
      </c>
      <c r="B2287" t="s">
        <v>11</v>
      </c>
      <c r="C2287" t="s">
        <v>24</v>
      </c>
      <c r="D2287" t="s">
        <v>13</v>
      </c>
      <c r="E2287">
        <v>17</v>
      </c>
      <c r="F2287" t="s">
        <v>40</v>
      </c>
      <c r="G2287" t="s">
        <v>15</v>
      </c>
      <c r="H2287" t="s">
        <v>16</v>
      </c>
      <c r="I2287">
        <v>0</v>
      </c>
      <c r="J2287" s="23">
        <v>80418</v>
      </c>
      <c r="K2287">
        <v>1367106</v>
      </c>
    </row>
    <row r="2288" spans="1:11" ht="15" customHeight="1" x14ac:dyDescent="0.3">
      <c r="A2288" t="s">
        <v>18</v>
      </c>
      <c r="B2288" t="s">
        <v>19</v>
      </c>
      <c r="C2288" t="s">
        <v>24</v>
      </c>
      <c r="D2288" t="s">
        <v>20</v>
      </c>
      <c r="E2288">
        <v>14</v>
      </c>
      <c r="F2288"/>
      <c r="G2288" t="s">
        <v>15</v>
      </c>
      <c r="H2288" t="s">
        <v>32</v>
      </c>
      <c r="I2288">
        <v>1</v>
      </c>
      <c r="J2288" s="23">
        <v>1674322</v>
      </c>
      <c r="K2288">
        <v>23440508</v>
      </c>
    </row>
    <row r="2289" spans="1:11" ht="15" customHeight="1" x14ac:dyDescent="0.3">
      <c r="A2289" t="s">
        <v>18</v>
      </c>
      <c r="B2289" t="s">
        <v>11</v>
      </c>
      <c r="C2289" t="s">
        <v>12</v>
      </c>
      <c r="D2289" t="s">
        <v>28</v>
      </c>
      <c r="E2289">
        <v>3</v>
      </c>
      <c r="F2289" t="s">
        <v>23</v>
      </c>
      <c r="G2289" t="s">
        <v>15</v>
      </c>
      <c r="H2289" t="s">
        <v>16</v>
      </c>
      <c r="I2289">
        <v>0</v>
      </c>
      <c r="J2289" s="23">
        <v>-71420</v>
      </c>
      <c r="K2289" t="s">
        <v>17</v>
      </c>
    </row>
    <row r="2290" spans="1:11" ht="15" customHeight="1" x14ac:dyDescent="0.3">
      <c r="A2290" t="s">
        <v>10</v>
      </c>
      <c r="B2290" t="s">
        <v>11</v>
      </c>
      <c r="C2290" t="s">
        <v>24</v>
      </c>
      <c r="D2290" t="s">
        <v>25</v>
      </c>
      <c r="E2290">
        <v>0</v>
      </c>
      <c r="F2290" t="s">
        <v>30</v>
      </c>
      <c r="G2290" t="s">
        <v>15</v>
      </c>
      <c r="H2290" t="s">
        <v>16</v>
      </c>
      <c r="I2290">
        <v>0</v>
      </c>
      <c r="J2290" s="23">
        <v>86549</v>
      </c>
      <c r="K2290" t="s">
        <v>17</v>
      </c>
    </row>
    <row r="2291" spans="1:11" ht="15" customHeight="1" x14ac:dyDescent="0.3">
      <c r="A2291" t="s">
        <v>10</v>
      </c>
      <c r="B2291" t="s">
        <v>19</v>
      </c>
      <c r="C2291" t="s">
        <v>12</v>
      </c>
      <c r="D2291" t="s">
        <v>28</v>
      </c>
      <c r="E2291">
        <v>6</v>
      </c>
      <c r="F2291"/>
      <c r="G2291" t="s">
        <v>15</v>
      </c>
      <c r="H2291" t="s">
        <v>16</v>
      </c>
      <c r="I2291">
        <v>0</v>
      </c>
      <c r="J2291" s="23">
        <v>-84099</v>
      </c>
      <c r="K2291" t="s">
        <v>17</v>
      </c>
    </row>
    <row r="2292" spans="1:11" ht="15" customHeight="1" x14ac:dyDescent="0.3">
      <c r="A2292" t="s">
        <v>22</v>
      </c>
      <c r="B2292" t="s">
        <v>11</v>
      </c>
      <c r="C2292" t="s">
        <v>12</v>
      </c>
      <c r="D2292" t="s">
        <v>13</v>
      </c>
      <c r="E2292">
        <v>-1</v>
      </c>
      <c r="F2292" t="s">
        <v>45</v>
      </c>
      <c r="G2292" t="s">
        <v>15</v>
      </c>
      <c r="H2292" t="s">
        <v>16</v>
      </c>
      <c r="I2292">
        <v>0</v>
      </c>
      <c r="J2292" s="23">
        <v>-57871</v>
      </c>
      <c r="K2292" t="s">
        <v>17</v>
      </c>
    </row>
    <row r="2293" spans="1:11" ht="15" customHeight="1" x14ac:dyDescent="0.3">
      <c r="A2293" t="s">
        <v>18</v>
      </c>
      <c r="B2293" t="s">
        <v>19</v>
      </c>
      <c r="C2293" t="s">
        <v>24</v>
      </c>
      <c r="D2293" t="s">
        <v>28</v>
      </c>
      <c r="E2293">
        <v>25</v>
      </c>
      <c r="F2293"/>
      <c r="G2293" t="s">
        <v>15</v>
      </c>
      <c r="H2293" t="s">
        <v>16</v>
      </c>
      <c r="I2293">
        <v>0</v>
      </c>
      <c r="J2293" s="23">
        <v>432298</v>
      </c>
      <c r="K2293">
        <v>10807450</v>
      </c>
    </row>
    <row r="2294" spans="1:11" ht="15" customHeight="1" x14ac:dyDescent="0.3">
      <c r="A2294" t="s">
        <v>10</v>
      </c>
      <c r="B2294" t="s">
        <v>11</v>
      </c>
      <c r="C2294" t="s">
        <v>12</v>
      </c>
      <c r="D2294" t="s">
        <v>28</v>
      </c>
      <c r="E2294">
        <v>9</v>
      </c>
      <c r="F2294" t="s">
        <v>45</v>
      </c>
      <c r="G2294" t="s">
        <v>15</v>
      </c>
      <c r="H2294" t="s">
        <v>16</v>
      </c>
      <c r="I2294">
        <v>0</v>
      </c>
      <c r="J2294" s="23">
        <v>-12797</v>
      </c>
      <c r="K2294" t="s">
        <v>17</v>
      </c>
    </row>
    <row r="2295" spans="1:11" ht="15" customHeight="1" x14ac:dyDescent="0.3">
      <c r="A2295" t="s">
        <v>10</v>
      </c>
      <c r="B2295" t="s">
        <v>11</v>
      </c>
      <c r="C2295" t="s">
        <v>12</v>
      </c>
      <c r="D2295" t="s">
        <v>25</v>
      </c>
      <c r="E2295">
        <v>-1</v>
      </c>
      <c r="F2295" t="s">
        <v>34</v>
      </c>
      <c r="G2295" t="s">
        <v>15</v>
      </c>
      <c r="H2295" t="s">
        <v>16</v>
      </c>
      <c r="I2295">
        <v>0</v>
      </c>
      <c r="J2295" s="23">
        <v>-24046</v>
      </c>
      <c r="K2295" t="s">
        <v>17</v>
      </c>
    </row>
    <row r="2296" spans="1:11" ht="15" customHeight="1" x14ac:dyDescent="0.3">
      <c r="A2296" t="s">
        <v>10</v>
      </c>
      <c r="B2296" t="s">
        <v>19</v>
      </c>
      <c r="C2296" t="s">
        <v>24</v>
      </c>
      <c r="D2296" t="s">
        <v>20</v>
      </c>
      <c r="E2296">
        <v>44</v>
      </c>
      <c r="F2296"/>
      <c r="G2296" t="s">
        <v>31</v>
      </c>
      <c r="H2296" t="s">
        <v>16</v>
      </c>
      <c r="I2296">
        <v>1</v>
      </c>
      <c r="J2296" s="23">
        <v>147933</v>
      </c>
      <c r="K2296">
        <v>6509052</v>
      </c>
    </row>
    <row r="2297" spans="1:11" ht="15" customHeight="1" x14ac:dyDescent="0.3">
      <c r="A2297" t="s">
        <v>18</v>
      </c>
      <c r="B2297" t="s">
        <v>11</v>
      </c>
      <c r="C2297" t="s">
        <v>12</v>
      </c>
      <c r="D2297" t="s">
        <v>25</v>
      </c>
      <c r="E2297">
        <v>1</v>
      </c>
      <c r="F2297" t="s">
        <v>46</v>
      </c>
      <c r="G2297" t="s">
        <v>15</v>
      </c>
      <c r="H2297" t="s">
        <v>16</v>
      </c>
      <c r="I2297">
        <v>0</v>
      </c>
      <c r="J2297" s="23">
        <v>-19</v>
      </c>
      <c r="K2297" t="s">
        <v>17</v>
      </c>
    </row>
    <row r="2298" spans="1:11" ht="15" customHeight="1" x14ac:dyDescent="0.3">
      <c r="A2298" t="s">
        <v>18</v>
      </c>
      <c r="B2298" t="s">
        <v>11</v>
      </c>
      <c r="C2298" t="s">
        <v>12</v>
      </c>
      <c r="D2298" t="s">
        <v>13</v>
      </c>
      <c r="E2298">
        <v>0</v>
      </c>
      <c r="F2298" t="s">
        <v>21</v>
      </c>
      <c r="G2298" t="s">
        <v>15</v>
      </c>
      <c r="H2298" t="s">
        <v>16</v>
      </c>
      <c r="I2298">
        <v>0</v>
      </c>
      <c r="J2298" s="23">
        <v>-478427</v>
      </c>
      <c r="K2298" t="s">
        <v>17</v>
      </c>
    </row>
    <row r="2299" spans="1:11" ht="15" customHeight="1" x14ac:dyDescent="0.3">
      <c r="A2299" t="s">
        <v>10</v>
      </c>
      <c r="B2299" t="s">
        <v>11</v>
      </c>
      <c r="C2299" t="s">
        <v>12</v>
      </c>
      <c r="D2299" t="s">
        <v>28</v>
      </c>
      <c r="E2299">
        <v>2</v>
      </c>
      <c r="F2299" t="s">
        <v>45</v>
      </c>
      <c r="G2299" t="s">
        <v>15</v>
      </c>
      <c r="H2299" t="s">
        <v>16</v>
      </c>
      <c r="I2299">
        <v>0</v>
      </c>
      <c r="J2299" s="23">
        <v>-333</v>
      </c>
      <c r="K2299" t="s">
        <v>17</v>
      </c>
    </row>
    <row r="2300" spans="1:11" ht="15" customHeight="1" x14ac:dyDescent="0.3">
      <c r="A2300" t="s">
        <v>10</v>
      </c>
      <c r="B2300" t="s">
        <v>11</v>
      </c>
      <c r="C2300" t="s">
        <v>12</v>
      </c>
      <c r="D2300" t="s">
        <v>13</v>
      </c>
      <c r="E2300">
        <v>5</v>
      </c>
      <c r="F2300" t="s">
        <v>30</v>
      </c>
      <c r="G2300" t="s">
        <v>15</v>
      </c>
      <c r="H2300" t="s">
        <v>16</v>
      </c>
      <c r="I2300">
        <v>0</v>
      </c>
      <c r="J2300" s="23">
        <v>-378239</v>
      </c>
      <c r="K2300" t="s">
        <v>17</v>
      </c>
    </row>
    <row r="2301" spans="1:11" ht="15" customHeight="1" x14ac:dyDescent="0.3">
      <c r="A2301" t="s">
        <v>18</v>
      </c>
      <c r="B2301" t="s">
        <v>11</v>
      </c>
      <c r="C2301" t="s">
        <v>12</v>
      </c>
      <c r="D2301" t="s">
        <v>13</v>
      </c>
      <c r="E2301">
        <v>4</v>
      </c>
      <c r="F2301" t="s">
        <v>42</v>
      </c>
      <c r="G2301" t="s">
        <v>15</v>
      </c>
      <c r="H2301" t="s">
        <v>16</v>
      </c>
      <c r="I2301">
        <v>0</v>
      </c>
      <c r="J2301" s="23">
        <v>-2114</v>
      </c>
      <c r="K2301" t="s">
        <v>17</v>
      </c>
    </row>
    <row r="2302" spans="1:11" ht="15" customHeight="1" x14ac:dyDescent="0.3">
      <c r="A2302" t="s">
        <v>10</v>
      </c>
      <c r="B2302" t="s">
        <v>19</v>
      </c>
      <c r="C2302" t="s">
        <v>24</v>
      </c>
      <c r="D2302" t="s">
        <v>20</v>
      </c>
      <c r="E2302">
        <v>3</v>
      </c>
      <c r="F2302"/>
      <c r="G2302" t="s">
        <v>31</v>
      </c>
      <c r="H2302" t="s">
        <v>16</v>
      </c>
      <c r="I2302">
        <v>1</v>
      </c>
      <c r="J2302" s="23">
        <v>23752</v>
      </c>
      <c r="K2302">
        <v>71256</v>
      </c>
    </row>
    <row r="2303" spans="1:11" ht="15" customHeight="1" x14ac:dyDescent="0.3">
      <c r="A2303" t="s">
        <v>18</v>
      </c>
      <c r="B2303" t="s">
        <v>19</v>
      </c>
      <c r="C2303" t="s">
        <v>12</v>
      </c>
      <c r="D2303" t="s">
        <v>20</v>
      </c>
      <c r="E2303">
        <v>-1</v>
      </c>
      <c r="F2303"/>
      <c r="G2303" t="s">
        <v>15</v>
      </c>
      <c r="H2303" t="s">
        <v>32</v>
      </c>
      <c r="I2303">
        <v>1</v>
      </c>
      <c r="J2303" s="23">
        <v>-245</v>
      </c>
      <c r="K2303" t="s">
        <v>17</v>
      </c>
    </row>
    <row r="2304" spans="1:11" ht="15" customHeight="1" x14ac:dyDescent="0.3">
      <c r="A2304" t="s">
        <v>10</v>
      </c>
      <c r="B2304" t="s">
        <v>19</v>
      </c>
      <c r="C2304" t="s">
        <v>24</v>
      </c>
      <c r="D2304" t="s">
        <v>20</v>
      </c>
      <c r="E2304">
        <v>28</v>
      </c>
      <c r="F2304"/>
      <c r="G2304" t="s">
        <v>15</v>
      </c>
      <c r="H2304" t="s">
        <v>16</v>
      </c>
      <c r="I2304">
        <v>0</v>
      </c>
      <c r="J2304" s="23">
        <v>49497198</v>
      </c>
      <c r="K2304">
        <v>1385921544</v>
      </c>
    </row>
    <row r="2305" spans="1:11" ht="15" customHeight="1" x14ac:dyDescent="0.3">
      <c r="A2305" t="s">
        <v>22</v>
      </c>
      <c r="B2305" t="s">
        <v>11</v>
      </c>
      <c r="C2305" t="s">
        <v>12</v>
      </c>
      <c r="D2305" t="s">
        <v>13</v>
      </c>
      <c r="E2305">
        <v>4</v>
      </c>
      <c r="F2305" t="s">
        <v>37</v>
      </c>
      <c r="G2305" t="s">
        <v>15</v>
      </c>
      <c r="H2305" t="s">
        <v>16</v>
      </c>
      <c r="I2305">
        <v>0</v>
      </c>
      <c r="J2305" s="23">
        <v>-42476</v>
      </c>
      <c r="K2305" t="s">
        <v>17</v>
      </c>
    </row>
    <row r="2306" spans="1:11" ht="15" customHeight="1" x14ac:dyDescent="0.3">
      <c r="A2306" t="s">
        <v>10</v>
      </c>
      <c r="B2306" t="s">
        <v>19</v>
      </c>
      <c r="C2306" t="s">
        <v>12</v>
      </c>
      <c r="D2306" t="s">
        <v>28</v>
      </c>
      <c r="E2306">
        <v>12</v>
      </c>
      <c r="F2306"/>
      <c r="G2306" t="s">
        <v>31</v>
      </c>
      <c r="H2306" t="s">
        <v>16</v>
      </c>
      <c r="I2306">
        <v>1</v>
      </c>
      <c r="J2306" s="23">
        <v>-2173</v>
      </c>
      <c r="K2306" t="s">
        <v>17</v>
      </c>
    </row>
    <row r="2307" spans="1:11" ht="15" customHeight="1" x14ac:dyDescent="0.3">
      <c r="A2307" t="s">
        <v>18</v>
      </c>
      <c r="B2307" t="s">
        <v>11</v>
      </c>
      <c r="C2307" t="s">
        <v>12</v>
      </c>
      <c r="D2307" t="s">
        <v>28</v>
      </c>
      <c r="E2307">
        <v>14</v>
      </c>
      <c r="F2307" t="s">
        <v>45</v>
      </c>
      <c r="G2307" t="s">
        <v>15</v>
      </c>
      <c r="H2307" t="s">
        <v>16</v>
      </c>
      <c r="I2307">
        <v>0</v>
      </c>
      <c r="J2307" s="23">
        <v>-918</v>
      </c>
      <c r="K2307" t="s">
        <v>17</v>
      </c>
    </row>
    <row r="2308" spans="1:11" ht="15" customHeight="1" x14ac:dyDescent="0.3">
      <c r="A2308" t="s">
        <v>10</v>
      </c>
      <c r="B2308" t="s">
        <v>19</v>
      </c>
      <c r="C2308" t="s">
        <v>12</v>
      </c>
      <c r="D2308" t="s">
        <v>20</v>
      </c>
      <c r="E2308">
        <v>44</v>
      </c>
      <c r="F2308"/>
      <c r="G2308" t="s">
        <v>31</v>
      </c>
      <c r="H2308" t="s">
        <v>16</v>
      </c>
      <c r="I2308">
        <v>1</v>
      </c>
      <c r="J2308" s="23">
        <v>-6353</v>
      </c>
      <c r="K2308" t="s">
        <v>17</v>
      </c>
    </row>
    <row r="2309" spans="1:11" ht="15" customHeight="1" x14ac:dyDescent="0.3">
      <c r="A2309" t="s">
        <v>10</v>
      </c>
      <c r="B2309" t="s">
        <v>19</v>
      </c>
      <c r="C2309" t="s">
        <v>12</v>
      </c>
      <c r="D2309" t="s">
        <v>20</v>
      </c>
      <c r="E2309">
        <v>31</v>
      </c>
      <c r="F2309"/>
      <c r="G2309" t="s">
        <v>15</v>
      </c>
      <c r="H2309" t="s">
        <v>16</v>
      </c>
      <c r="I2309">
        <v>0</v>
      </c>
      <c r="J2309" s="23">
        <v>-1082672</v>
      </c>
      <c r="K2309" t="s">
        <v>17</v>
      </c>
    </row>
    <row r="2310" spans="1:11" ht="15" customHeight="1" x14ac:dyDescent="0.3">
      <c r="A2310" t="s">
        <v>10</v>
      </c>
      <c r="B2310" t="s">
        <v>11</v>
      </c>
      <c r="C2310" t="s">
        <v>24</v>
      </c>
      <c r="D2310" t="s">
        <v>28</v>
      </c>
      <c r="E2310">
        <v>13</v>
      </c>
      <c r="F2310" t="s">
        <v>23</v>
      </c>
      <c r="G2310" t="s">
        <v>15</v>
      </c>
      <c r="H2310" t="s">
        <v>16</v>
      </c>
      <c r="I2310">
        <v>0</v>
      </c>
      <c r="J2310" s="23">
        <v>1494592</v>
      </c>
      <c r="K2310">
        <v>19429696</v>
      </c>
    </row>
    <row r="2311" spans="1:11" ht="15" customHeight="1" x14ac:dyDescent="0.3">
      <c r="A2311" t="s">
        <v>10</v>
      </c>
      <c r="B2311" t="s">
        <v>19</v>
      </c>
      <c r="C2311" t="s">
        <v>24</v>
      </c>
      <c r="D2311" t="s">
        <v>20</v>
      </c>
      <c r="E2311">
        <v>12</v>
      </c>
      <c r="F2311"/>
      <c r="G2311" t="s">
        <v>15</v>
      </c>
      <c r="H2311" t="s">
        <v>32</v>
      </c>
      <c r="I2311">
        <v>1</v>
      </c>
      <c r="J2311" s="23">
        <v>71685</v>
      </c>
      <c r="K2311">
        <v>860220</v>
      </c>
    </row>
    <row r="2312" spans="1:11" ht="15" customHeight="1" x14ac:dyDescent="0.3">
      <c r="A2312" t="s">
        <v>10</v>
      </c>
      <c r="B2312" t="s">
        <v>19</v>
      </c>
      <c r="C2312" t="s">
        <v>12</v>
      </c>
      <c r="D2312" t="s">
        <v>20</v>
      </c>
      <c r="E2312">
        <v>19</v>
      </c>
      <c r="F2312"/>
      <c r="G2312" t="s">
        <v>15</v>
      </c>
      <c r="H2312" t="s">
        <v>32</v>
      </c>
      <c r="I2312">
        <v>1</v>
      </c>
      <c r="J2312" s="23">
        <v>-4206</v>
      </c>
      <c r="K2312" t="s">
        <v>17</v>
      </c>
    </row>
    <row r="2313" spans="1:11" ht="15" customHeight="1" x14ac:dyDescent="0.3">
      <c r="A2313" t="s">
        <v>18</v>
      </c>
      <c r="B2313" t="s">
        <v>11</v>
      </c>
      <c r="C2313" t="s">
        <v>12</v>
      </c>
      <c r="D2313" t="s">
        <v>28</v>
      </c>
      <c r="E2313">
        <v>2</v>
      </c>
      <c r="F2313" t="s">
        <v>35</v>
      </c>
      <c r="G2313" t="s">
        <v>15</v>
      </c>
      <c r="H2313" t="s">
        <v>16</v>
      </c>
      <c r="I2313">
        <v>0</v>
      </c>
      <c r="J2313" s="23">
        <v>-153</v>
      </c>
      <c r="K2313" t="s">
        <v>17</v>
      </c>
    </row>
    <row r="2314" spans="1:11" ht="15" customHeight="1" x14ac:dyDescent="0.3">
      <c r="A2314" t="s">
        <v>18</v>
      </c>
      <c r="B2314" t="s">
        <v>19</v>
      </c>
      <c r="C2314" t="s">
        <v>12</v>
      </c>
      <c r="D2314" t="s">
        <v>20</v>
      </c>
      <c r="E2314">
        <v>27</v>
      </c>
      <c r="F2314"/>
      <c r="G2314" t="s">
        <v>15</v>
      </c>
      <c r="H2314" t="s">
        <v>32</v>
      </c>
      <c r="I2314">
        <v>1</v>
      </c>
      <c r="J2314" s="23">
        <v>-559</v>
      </c>
      <c r="K2314" t="s">
        <v>17</v>
      </c>
    </row>
    <row r="2315" spans="1:11" ht="15" customHeight="1" x14ac:dyDescent="0.3">
      <c r="A2315" t="s">
        <v>22</v>
      </c>
      <c r="B2315" t="s">
        <v>11</v>
      </c>
      <c r="C2315" t="s">
        <v>12</v>
      </c>
      <c r="D2315" t="s">
        <v>28</v>
      </c>
      <c r="E2315">
        <v>5</v>
      </c>
      <c r="F2315" t="s">
        <v>21</v>
      </c>
      <c r="G2315" t="s">
        <v>15</v>
      </c>
      <c r="H2315" t="s">
        <v>16</v>
      </c>
      <c r="I2315">
        <v>0</v>
      </c>
      <c r="J2315" s="23">
        <v>-69244</v>
      </c>
      <c r="K2315" t="s">
        <v>17</v>
      </c>
    </row>
    <row r="2316" spans="1:11" ht="15" customHeight="1" x14ac:dyDescent="0.3">
      <c r="A2316" t="s">
        <v>18</v>
      </c>
      <c r="B2316" t="s">
        <v>11</v>
      </c>
      <c r="C2316" t="s">
        <v>12</v>
      </c>
      <c r="D2316" t="s">
        <v>13</v>
      </c>
      <c r="E2316">
        <v>-1</v>
      </c>
      <c r="F2316" t="s">
        <v>17</v>
      </c>
      <c r="G2316" t="s">
        <v>15</v>
      </c>
      <c r="H2316" t="s">
        <v>16</v>
      </c>
      <c r="I2316">
        <v>0</v>
      </c>
      <c r="J2316" s="23">
        <v>-1411092</v>
      </c>
      <c r="K2316" t="s">
        <v>17</v>
      </c>
    </row>
    <row r="2317" spans="1:11" ht="15" customHeight="1" x14ac:dyDescent="0.3">
      <c r="A2317" t="s">
        <v>18</v>
      </c>
      <c r="B2317" t="s">
        <v>19</v>
      </c>
      <c r="C2317" t="s">
        <v>12</v>
      </c>
      <c r="D2317" t="s">
        <v>20</v>
      </c>
      <c r="E2317">
        <v>22</v>
      </c>
      <c r="F2317"/>
      <c r="G2317" t="s">
        <v>31</v>
      </c>
      <c r="H2317" t="s">
        <v>32</v>
      </c>
      <c r="I2317">
        <v>1</v>
      </c>
      <c r="J2317" s="23">
        <v>-46</v>
      </c>
      <c r="K2317" t="s">
        <v>17</v>
      </c>
    </row>
    <row r="2318" spans="1:11" ht="15" customHeight="1" x14ac:dyDescent="0.3">
      <c r="A2318" t="s">
        <v>18</v>
      </c>
      <c r="B2318" t="s">
        <v>19</v>
      </c>
      <c r="C2318" t="s">
        <v>24</v>
      </c>
      <c r="D2318" t="s">
        <v>28</v>
      </c>
      <c r="E2318">
        <v>2</v>
      </c>
      <c r="F2318"/>
      <c r="G2318" t="s">
        <v>15</v>
      </c>
      <c r="H2318" t="s">
        <v>16</v>
      </c>
      <c r="I2318">
        <v>0</v>
      </c>
      <c r="J2318" s="23">
        <v>1631566</v>
      </c>
      <c r="K2318">
        <v>3263132</v>
      </c>
    </row>
    <row r="2319" spans="1:11" ht="15" customHeight="1" x14ac:dyDescent="0.3">
      <c r="A2319" t="s">
        <v>22</v>
      </c>
      <c r="B2319" t="s">
        <v>11</v>
      </c>
      <c r="C2319" t="s">
        <v>24</v>
      </c>
      <c r="D2319" t="s">
        <v>25</v>
      </c>
      <c r="E2319">
        <v>2</v>
      </c>
      <c r="F2319" t="s">
        <v>33</v>
      </c>
      <c r="G2319" t="s">
        <v>15</v>
      </c>
      <c r="H2319" t="s">
        <v>16</v>
      </c>
      <c r="I2319">
        <v>0</v>
      </c>
      <c r="J2319" s="23">
        <v>132073</v>
      </c>
      <c r="K2319">
        <v>264146</v>
      </c>
    </row>
    <row r="2320" spans="1:11" ht="15" customHeight="1" x14ac:dyDescent="0.3">
      <c r="A2320" t="s">
        <v>18</v>
      </c>
      <c r="B2320" t="s">
        <v>11</v>
      </c>
      <c r="C2320" t="s">
        <v>12</v>
      </c>
      <c r="D2320" t="s">
        <v>28</v>
      </c>
      <c r="E2320">
        <v>10</v>
      </c>
      <c r="F2320" t="s">
        <v>21</v>
      </c>
      <c r="G2320" t="s">
        <v>15</v>
      </c>
      <c r="H2320" t="s">
        <v>16</v>
      </c>
      <c r="I2320">
        <v>0</v>
      </c>
      <c r="J2320" s="23">
        <v>-24083</v>
      </c>
      <c r="K2320" t="s">
        <v>17</v>
      </c>
    </row>
    <row r="2321" spans="1:11" ht="15" customHeight="1" x14ac:dyDescent="0.3">
      <c r="A2321" t="s">
        <v>10</v>
      </c>
      <c r="B2321" t="s">
        <v>11</v>
      </c>
      <c r="C2321" t="s">
        <v>12</v>
      </c>
      <c r="D2321" t="s">
        <v>28</v>
      </c>
      <c r="E2321">
        <v>10</v>
      </c>
      <c r="F2321" t="s">
        <v>34</v>
      </c>
      <c r="G2321" t="s">
        <v>15</v>
      </c>
      <c r="H2321" t="s">
        <v>16</v>
      </c>
      <c r="I2321">
        <v>0</v>
      </c>
      <c r="J2321" s="23">
        <v>-73815</v>
      </c>
      <c r="K2321" t="s">
        <v>17</v>
      </c>
    </row>
    <row r="2322" spans="1:11" ht="15" customHeight="1" x14ac:dyDescent="0.3">
      <c r="A2322" t="s">
        <v>22</v>
      </c>
      <c r="B2322" t="s">
        <v>11</v>
      </c>
      <c r="C2322" t="s">
        <v>12</v>
      </c>
      <c r="D2322" t="s">
        <v>13</v>
      </c>
      <c r="E2322">
        <v>1</v>
      </c>
      <c r="F2322" t="s">
        <v>33</v>
      </c>
      <c r="G2322" t="s">
        <v>15</v>
      </c>
      <c r="H2322" t="s">
        <v>16</v>
      </c>
      <c r="I2322">
        <v>0</v>
      </c>
      <c r="J2322" s="23">
        <v>-338321</v>
      </c>
      <c r="K2322" t="s">
        <v>17</v>
      </c>
    </row>
    <row r="2323" spans="1:11" ht="15" customHeight="1" x14ac:dyDescent="0.3">
      <c r="A2323" t="s">
        <v>10</v>
      </c>
      <c r="B2323" t="s">
        <v>19</v>
      </c>
      <c r="C2323" t="s">
        <v>12</v>
      </c>
      <c r="D2323" t="s">
        <v>20</v>
      </c>
      <c r="E2323">
        <v>29</v>
      </c>
      <c r="F2323"/>
      <c r="G2323" t="s">
        <v>15</v>
      </c>
      <c r="H2323" t="s">
        <v>16</v>
      </c>
      <c r="I2323">
        <v>0</v>
      </c>
      <c r="J2323" s="23">
        <v>-1826647</v>
      </c>
      <c r="K2323" t="s">
        <v>17</v>
      </c>
    </row>
    <row r="2324" spans="1:11" ht="15" customHeight="1" x14ac:dyDescent="0.3">
      <c r="A2324" t="s">
        <v>18</v>
      </c>
      <c r="B2324" t="s">
        <v>11</v>
      </c>
      <c r="C2324" t="s">
        <v>24</v>
      </c>
      <c r="D2324" t="s">
        <v>13</v>
      </c>
      <c r="E2324">
        <v>1</v>
      </c>
      <c r="F2324" t="s">
        <v>42</v>
      </c>
      <c r="G2324" t="s">
        <v>15</v>
      </c>
      <c r="H2324" t="s">
        <v>16</v>
      </c>
      <c r="I2324">
        <v>0</v>
      </c>
      <c r="J2324" s="23">
        <v>5617312</v>
      </c>
      <c r="K2324">
        <v>5617312</v>
      </c>
    </row>
    <row r="2325" spans="1:11" ht="15" customHeight="1" x14ac:dyDescent="0.3">
      <c r="A2325" t="s">
        <v>10</v>
      </c>
      <c r="B2325" t="s">
        <v>11</v>
      </c>
      <c r="C2325" t="s">
        <v>24</v>
      </c>
      <c r="D2325" t="s">
        <v>13</v>
      </c>
      <c r="E2325">
        <v>4</v>
      </c>
      <c r="F2325" t="s">
        <v>30</v>
      </c>
      <c r="G2325" t="s">
        <v>15</v>
      </c>
      <c r="H2325" t="s">
        <v>16</v>
      </c>
      <c r="I2325">
        <v>0</v>
      </c>
      <c r="J2325" s="23">
        <v>1627136</v>
      </c>
      <c r="K2325">
        <v>6508544</v>
      </c>
    </row>
    <row r="2326" spans="1:11" ht="15" customHeight="1" x14ac:dyDescent="0.3">
      <c r="A2326" t="s">
        <v>18</v>
      </c>
      <c r="B2326" t="s">
        <v>44</v>
      </c>
      <c r="C2326" t="s">
        <v>12</v>
      </c>
      <c r="D2326" t="s">
        <v>28</v>
      </c>
      <c r="E2326">
        <v>3</v>
      </c>
      <c r="F2326" t="s">
        <v>14</v>
      </c>
      <c r="G2326" t="s">
        <v>15</v>
      </c>
      <c r="H2326" t="s">
        <v>16</v>
      </c>
      <c r="I2326">
        <v>0</v>
      </c>
      <c r="J2326" s="23">
        <v>-1438</v>
      </c>
      <c r="K2326" t="s">
        <v>17</v>
      </c>
    </row>
    <row r="2327" spans="1:11" ht="15" customHeight="1" x14ac:dyDescent="0.3">
      <c r="A2327" t="s">
        <v>18</v>
      </c>
      <c r="B2327" t="s">
        <v>11</v>
      </c>
      <c r="C2327" t="s">
        <v>24</v>
      </c>
      <c r="D2327" t="s">
        <v>13</v>
      </c>
      <c r="E2327">
        <v>7</v>
      </c>
      <c r="F2327" t="s">
        <v>33</v>
      </c>
      <c r="G2327" t="s">
        <v>15</v>
      </c>
      <c r="H2327" t="s">
        <v>16</v>
      </c>
      <c r="I2327">
        <v>0</v>
      </c>
      <c r="J2327" s="23">
        <v>2535878</v>
      </c>
      <c r="K2327">
        <v>17751146</v>
      </c>
    </row>
    <row r="2328" spans="1:11" ht="15" customHeight="1" x14ac:dyDescent="0.3">
      <c r="A2328" t="s">
        <v>10</v>
      </c>
      <c r="B2328" t="s">
        <v>19</v>
      </c>
      <c r="C2328" t="s">
        <v>12</v>
      </c>
      <c r="D2328" t="s">
        <v>20</v>
      </c>
      <c r="E2328">
        <v>2</v>
      </c>
      <c r="F2328"/>
      <c r="G2328" t="s">
        <v>15</v>
      </c>
      <c r="H2328" t="s">
        <v>16</v>
      </c>
      <c r="I2328">
        <v>0</v>
      </c>
      <c r="J2328" s="23">
        <v>-130152</v>
      </c>
      <c r="K2328" t="s">
        <v>17</v>
      </c>
    </row>
    <row r="2329" spans="1:11" ht="15" customHeight="1" x14ac:dyDescent="0.3">
      <c r="A2329" t="s">
        <v>22</v>
      </c>
      <c r="B2329" t="s">
        <v>19</v>
      </c>
      <c r="C2329" t="s">
        <v>12</v>
      </c>
      <c r="D2329" t="s">
        <v>20</v>
      </c>
      <c r="E2329">
        <v>10</v>
      </c>
      <c r="F2329"/>
      <c r="G2329" t="s">
        <v>15</v>
      </c>
      <c r="H2329" t="s">
        <v>16</v>
      </c>
      <c r="I2329">
        <v>0</v>
      </c>
      <c r="J2329" s="23">
        <v>-665015</v>
      </c>
      <c r="K2329" t="s">
        <v>17</v>
      </c>
    </row>
    <row r="2330" spans="1:11" ht="15" customHeight="1" x14ac:dyDescent="0.3">
      <c r="A2330" t="s">
        <v>18</v>
      </c>
      <c r="B2330" t="s">
        <v>19</v>
      </c>
      <c r="C2330" t="s">
        <v>12</v>
      </c>
      <c r="D2330" t="s">
        <v>20</v>
      </c>
      <c r="E2330">
        <v>3</v>
      </c>
      <c r="F2330"/>
      <c r="G2330" t="s">
        <v>15</v>
      </c>
      <c r="H2330" t="s">
        <v>16</v>
      </c>
      <c r="I2330">
        <v>0</v>
      </c>
      <c r="J2330" s="23">
        <v>-10878</v>
      </c>
      <c r="K2330" t="s">
        <v>17</v>
      </c>
    </row>
    <row r="2331" spans="1:11" ht="15" customHeight="1" x14ac:dyDescent="0.3">
      <c r="A2331" t="s">
        <v>18</v>
      </c>
      <c r="B2331" t="s">
        <v>11</v>
      </c>
      <c r="C2331" t="s">
        <v>12</v>
      </c>
      <c r="D2331" t="s">
        <v>25</v>
      </c>
      <c r="E2331">
        <v>5</v>
      </c>
      <c r="F2331" t="s">
        <v>27</v>
      </c>
      <c r="G2331" t="s">
        <v>15</v>
      </c>
      <c r="H2331" t="s">
        <v>16</v>
      </c>
      <c r="I2331">
        <v>0</v>
      </c>
      <c r="J2331" s="23">
        <v>-1744</v>
      </c>
      <c r="K2331" t="s">
        <v>17</v>
      </c>
    </row>
    <row r="2332" spans="1:11" ht="15" customHeight="1" x14ac:dyDescent="0.3">
      <c r="A2332" t="s">
        <v>18</v>
      </c>
      <c r="B2332" t="s">
        <v>19</v>
      </c>
      <c r="C2332" t="s">
        <v>12</v>
      </c>
      <c r="D2332" t="s">
        <v>20</v>
      </c>
      <c r="E2332">
        <v>18</v>
      </c>
      <c r="F2332"/>
      <c r="G2332" t="s">
        <v>31</v>
      </c>
      <c r="H2332" t="s">
        <v>16</v>
      </c>
      <c r="I2332">
        <v>1</v>
      </c>
      <c r="J2332" s="23">
        <v>-1512</v>
      </c>
      <c r="K2332" t="s">
        <v>17</v>
      </c>
    </row>
    <row r="2333" spans="1:11" ht="15" customHeight="1" x14ac:dyDescent="0.3">
      <c r="A2333" t="s">
        <v>18</v>
      </c>
      <c r="B2333" t="s">
        <v>11</v>
      </c>
      <c r="C2333" t="s">
        <v>24</v>
      </c>
      <c r="D2333" t="s">
        <v>25</v>
      </c>
      <c r="E2333">
        <v>0</v>
      </c>
      <c r="F2333" t="s">
        <v>38</v>
      </c>
      <c r="G2333" t="s">
        <v>15</v>
      </c>
      <c r="H2333" t="s">
        <v>16</v>
      </c>
      <c r="I2333">
        <v>0</v>
      </c>
      <c r="J2333" s="23">
        <v>26290</v>
      </c>
      <c r="K2333" t="s">
        <v>17</v>
      </c>
    </row>
    <row r="2334" spans="1:11" ht="15" customHeight="1" x14ac:dyDescent="0.3">
      <c r="A2334" t="s">
        <v>10</v>
      </c>
      <c r="B2334" t="s">
        <v>11</v>
      </c>
      <c r="C2334" t="s">
        <v>24</v>
      </c>
      <c r="D2334" t="s">
        <v>28</v>
      </c>
      <c r="E2334">
        <v>2</v>
      </c>
      <c r="F2334" t="s">
        <v>29</v>
      </c>
      <c r="G2334" t="s">
        <v>15</v>
      </c>
      <c r="H2334" t="s">
        <v>16</v>
      </c>
      <c r="I2334">
        <v>0</v>
      </c>
      <c r="J2334" s="23">
        <v>293769</v>
      </c>
      <c r="K2334">
        <v>587538</v>
      </c>
    </row>
    <row r="2335" spans="1:11" ht="15" customHeight="1" x14ac:dyDescent="0.3">
      <c r="A2335" t="s">
        <v>18</v>
      </c>
      <c r="B2335" t="s">
        <v>11</v>
      </c>
      <c r="C2335" t="s">
        <v>24</v>
      </c>
      <c r="D2335" t="s">
        <v>13</v>
      </c>
      <c r="E2335">
        <v>0</v>
      </c>
      <c r="F2335" t="s">
        <v>37</v>
      </c>
      <c r="G2335" t="s">
        <v>15</v>
      </c>
      <c r="H2335" t="s">
        <v>16</v>
      </c>
      <c r="I2335">
        <v>0</v>
      </c>
      <c r="J2335" s="23">
        <v>4910548</v>
      </c>
      <c r="K2335" t="s">
        <v>17</v>
      </c>
    </row>
    <row r="2336" spans="1:11" ht="15" customHeight="1" x14ac:dyDescent="0.3">
      <c r="A2336" t="s">
        <v>18</v>
      </c>
      <c r="B2336" t="s">
        <v>11</v>
      </c>
      <c r="C2336" t="s">
        <v>12</v>
      </c>
      <c r="D2336" t="s">
        <v>28</v>
      </c>
      <c r="E2336">
        <v>-1</v>
      </c>
      <c r="F2336" t="s">
        <v>23</v>
      </c>
      <c r="G2336" t="s">
        <v>31</v>
      </c>
      <c r="H2336" t="s">
        <v>16</v>
      </c>
      <c r="I2336">
        <v>1</v>
      </c>
      <c r="J2336" s="23">
        <v>-582</v>
      </c>
      <c r="K2336" t="s">
        <v>17</v>
      </c>
    </row>
    <row r="2337" spans="1:11" ht="15" customHeight="1" x14ac:dyDescent="0.3">
      <c r="A2337" t="s">
        <v>18</v>
      </c>
      <c r="B2337" t="s">
        <v>11</v>
      </c>
      <c r="C2337" t="s">
        <v>12</v>
      </c>
      <c r="D2337" t="s">
        <v>28</v>
      </c>
      <c r="E2337">
        <v>17</v>
      </c>
      <c r="F2337" t="s">
        <v>33</v>
      </c>
      <c r="G2337" t="s">
        <v>15</v>
      </c>
      <c r="H2337" t="s">
        <v>16</v>
      </c>
      <c r="I2337">
        <v>0</v>
      </c>
      <c r="J2337" s="23">
        <v>-640</v>
      </c>
      <c r="K2337" t="s">
        <v>17</v>
      </c>
    </row>
    <row r="2338" spans="1:11" ht="15" customHeight="1" x14ac:dyDescent="0.3">
      <c r="A2338" t="s">
        <v>18</v>
      </c>
      <c r="B2338" t="s">
        <v>11</v>
      </c>
      <c r="C2338" t="s">
        <v>24</v>
      </c>
      <c r="D2338" t="s">
        <v>13</v>
      </c>
      <c r="E2338">
        <v>14</v>
      </c>
      <c r="F2338" t="s">
        <v>36</v>
      </c>
      <c r="G2338" t="s">
        <v>15</v>
      </c>
      <c r="H2338" t="s">
        <v>16</v>
      </c>
      <c r="I2338">
        <v>0</v>
      </c>
      <c r="J2338" s="23">
        <v>500278</v>
      </c>
      <c r="K2338">
        <v>7003892</v>
      </c>
    </row>
    <row r="2339" spans="1:11" ht="15" customHeight="1" x14ac:dyDescent="0.3">
      <c r="A2339" t="s">
        <v>18</v>
      </c>
      <c r="B2339" t="s">
        <v>11</v>
      </c>
      <c r="C2339" t="s">
        <v>12</v>
      </c>
      <c r="D2339" t="s">
        <v>25</v>
      </c>
      <c r="E2339">
        <v>0</v>
      </c>
      <c r="F2339" t="s">
        <v>14</v>
      </c>
      <c r="G2339" t="s">
        <v>15</v>
      </c>
      <c r="H2339" t="s">
        <v>16</v>
      </c>
      <c r="I2339">
        <v>0</v>
      </c>
      <c r="J2339" s="23">
        <v>-584</v>
      </c>
      <c r="K2339" t="s">
        <v>17</v>
      </c>
    </row>
    <row r="2340" spans="1:11" ht="15" customHeight="1" x14ac:dyDescent="0.3">
      <c r="A2340" t="s">
        <v>18</v>
      </c>
      <c r="B2340" t="s">
        <v>19</v>
      </c>
      <c r="C2340" t="s">
        <v>12</v>
      </c>
      <c r="D2340" t="s">
        <v>20</v>
      </c>
      <c r="E2340">
        <v>15</v>
      </c>
      <c r="F2340"/>
      <c r="G2340" t="s">
        <v>15</v>
      </c>
      <c r="H2340" t="s">
        <v>16</v>
      </c>
      <c r="I2340">
        <v>0</v>
      </c>
      <c r="J2340" s="23">
        <v>-115384</v>
      </c>
      <c r="K2340" t="s">
        <v>17</v>
      </c>
    </row>
    <row r="2341" spans="1:11" ht="15" customHeight="1" x14ac:dyDescent="0.3">
      <c r="A2341" t="s">
        <v>10</v>
      </c>
      <c r="B2341" t="s">
        <v>19</v>
      </c>
      <c r="C2341" t="s">
        <v>12</v>
      </c>
      <c r="D2341" t="s">
        <v>20</v>
      </c>
      <c r="E2341">
        <v>34</v>
      </c>
      <c r="F2341"/>
      <c r="G2341" t="s">
        <v>15</v>
      </c>
      <c r="H2341" t="s">
        <v>16</v>
      </c>
      <c r="I2341">
        <v>0</v>
      </c>
      <c r="J2341" s="23">
        <v>-1751124</v>
      </c>
      <c r="K2341" t="s">
        <v>17</v>
      </c>
    </row>
    <row r="2342" spans="1:11" ht="15" customHeight="1" x14ac:dyDescent="0.3">
      <c r="A2342" t="s">
        <v>10</v>
      </c>
      <c r="B2342" t="s">
        <v>19</v>
      </c>
      <c r="C2342" t="s">
        <v>24</v>
      </c>
      <c r="D2342" t="s">
        <v>20</v>
      </c>
      <c r="E2342">
        <v>32</v>
      </c>
      <c r="F2342"/>
      <c r="G2342" t="s">
        <v>31</v>
      </c>
      <c r="H2342" t="s">
        <v>16</v>
      </c>
      <c r="I2342">
        <v>1</v>
      </c>
      <c r="J2342" s="23">
        <v>1032483</v>
      </c>
      <c r="K2342">
        <v>33039456</v>
      </c>
    </row>
    <row r="2343" spans="1:11" ht="15" customHeight="1" x14ac:dyDescent="0.3">
      <c r="A2343" t="s">
        <v>10</v>
      </c>
      <c r="B2343" t="s">
        <v>11</v>
      </c>
      <c r="C2343" t="s">
        <v>24</v>
      </c>
      <c r="D2343" t="s">
        <v>28</v>
      </c>
      <c r="E2343">
        <v>4</v>
      </c>
      <c r="F2343" t="s">
        <v>34</v>
      </c>
      <c r="G2343" t="s">
        <v>15</v>
      </c>
      <c r="H2343" t="s">
        <v>16</v>
      </c>
      <c r="I2343">
        <v>0</v>
      </c>
      <c r="J2343" s="23">
        <v>1135074</v>
      </c>
      <c r="K2343">
        <v>4540296</v>
      </c>
    </row>
    <row r="2344" spans="1:11" ht="15" customHeight="1" x14ac:dyDescent="0.3">
      <c r="A2344" t="s">
        <v>18</v>
      </c>
      <c r="B2344" t="s">
        <v>11</v>
      </c>
      <c r="C2344" t="s">
        <v>12</v>
      </c>
      <c r="D2344" t="s">
        <v>28</v>
      </c>
      <c r="E2344">
        <v>1</v>
      </c>
      <c r="F2344" t="s">
        <v>41</v>
      </c>
      <c r="G2344" t="s">
        <v>15</v>
      </c>
      <c r="H2344" t="s">
        <v>32</v>
      </c>
      <c r="I2344">
        <v>1</v>
      </c>
      <c r="J2344" s="23">
        <v>-29</v>
      </c>
      <c r="K2344" t="s">
        <v>17</v>
      </c>
    </row>
    <row r="2345" spans="1:11" ht="15" customHeight="1" x14ac:dyDescent="0.3">
      <c r="A2345" t="s">
        <v>22</v>
      </c>
      <c r="B2345" t="s">
        <v>11</v>
      </c>
      <c r="C2345" t="s">
        <v>24</v>
      </c>
      <c r="D2345" t="s">
        <v>28</v>
      </c>
      <c r="E2345">
        <v>1</v>
      </c>
      <c r="F2345" t="s">
        <v>33</v>
      </c>
      <c r="G2345" t="s">
        <v>15</v>
      </c>
      <c r="H2345" t="s">
        <v>32</v>
      </c>
      <c r="I2345">
        <v>1</v>
      </c>
      <c r="J2345" s="23">
        <v>45195</v>
      </c>
      <c r="K2345">
        <v>45195</v>
      </c>
    </row>
    <row r="2346" spans="1:11" ht="15" customHeight="1" x14ac:dyDescent="0.3">
      <c r="A2346" t="s">
        <v>18</v>
      </c>
      <c r="B2346" t="s">
        <v>11</v>
      </c>
      <c r="C2346" t="s">
        <v>12</v>
      </c>
      <c r="D2346" t="s">
        <v>13</v>
      </c>
      <c r="E2346">
        <v>6</v>
      </c>
      <c r="F2346" t="s">
        <v>34</v>
      </c>
      <c r="G2346" t="s">
        <v>15</v>
      </c>
      <c r="H2346" t="s">
        <v>16</v>
      </c>
      <c r="I2346">
        <v>0</v>
      </c>
      <c r="J2346" s="23">
        <v>-39942</v>
      </c>
      <c r="K2346" t="s">
        <v>17</v>
      </c>
    </row>
    <row r="2347" spans="1:11" ht="15" customHeight="1" x14ac:dyDescent="0.3">
      <c r="A2347" t="s">
        <v>10</v>
      </c>
      <c r="B2347" t="s">
        <v>11</v>
      </c>
      <c r="C2347" t="s">
        <v>24</v>
      </c>
      <c r="D2347" t="s">
        <v>28</v>
      </c>
      <c r="E2347">
        <v>17</v>
      </c>
      <c r="F2347" t="s">
        <v>30</v>
      </c>
      <c r="G2347" t="s">
        <v>15</v>
      </c>
      <c r="H2347" t="s">
        <v>16</v>
      </c>
      <c r="I2347">
        <v>0</v>
      </c>
      <c r="J2347" s="23">
        <v>59206</v>
      </c>
      <c r="K2347">
        <v>1006502</v>
      </c>
    </row>
    <row r="2348" spans="1:11" ht="15" customHeight="1" x14ac:dyDescent="0.3">
      <c r="A2348" t="s">
        <v>10</v>
      </c>
      <c r="B2348" t="s">
        <v>11</v>
      </c>
      <c r="C2348" t="s">
        <v>12</v>
      </c>
      <c r="D2348" t="s">
        <v>28</v>
      </c>
      <c r="E2348">
        <v>6</v>
      </c>
      <c r="F2348" t="s">
        <v>42</v>
      </c>
      <c r="G2348" t="s">
        <v>15</v>
      </c>
      <c r="H2348" t="s">
        <v>16</v>
      </c>
      <c r="I2348">
        <v>0</v>
      </c>
      <c r="J2348" s="23">
        <v>-27631</v>
      </c>
      <c r="K2348" t="s">
        <v>17</v>
      </c>
    </row>
    <row r="2349" spans="1:11" ht="15" customHeight="1" x14ac:dyDescent="0.3">
      <c r="A2349" t="s">
        <v>18</v>
      </c>
      <c r="B2349" t="s">
        <v>19</v>
      </c>
      <c r="C2349" t="s">
        <v>24</v>
      </c>
      <c r="D2349" t="s">
        <v>20</v>
      </c>
      <c r="E2349">
        <v>30</v>
      </c>
      <c r="F2349"/>
      <c r="G2349" t="s">
        <v>15</v>
      </c>
      <c r="H2349" t="s">
        <v>16</v>
      </c>
      <c r="I2349">
        <v>0</v>
      </c>
      <c r="J2349" s="23">
        <v>829655216</v>
      </c>
      <c r="K2349">
        <v>24889656480</v>
      </c>
    </row>
    <row r="2350" spans="1:11" ht="15" customHeight="1" x14ac:dyDescent="0.3">
      <c r="A2350" t="s">
        <v>18</v>
      </c>
      <c r="B2350" t="s">
        <v>11</v>
      </c>
      <c r="C2350" t="s">
        <v>24</v>
      </c>
      <c r="D2350" t="s">
        <v>25</v>
      </c>
      <c r="E2350">
        <v>5</v>
      </c>
      <c r="F2350" t="s">
        <v>33</v>
      </c>
      <c r="G2350" t="s">
        <v>15</v>
      </c>
      <c r="H2350" t="s">
        <v>16</v>
      </c>
      <c r="I2350">
        <v>0</v>
      </c>
      <c r="J2350" s="23">
        <v>2054490</v>
      </c>
      <c r="K2350">
        <v>10272450</v>
      </c>
    </row>
    <row r="2351" spans="1:11" ht="15" customHeight="1" x14ac:dyDescent="0.3">
      <c r="A2351" t="s">
        <v>22</v>
      </c>
      <c r="B2351" t="s">
        <v>19</v>
      </c>
      <c r="C2351" t="s">
        <v>24</v>
      </c>
      <c r="D2351" t="s">
        <v>20</v>
      </c>
      <c r="E2351">
        <v>10</v>
      </c>
      <c r="F2351"/>
      <c r="G2351" t="s">
        <v>15</v>
      </c>
      <c r="H2351" t="s">
        <v>16</v>
      </c>
      <c r="I2351">
        <v>0</v>
      </c>
      <c r="J2351" s="23">
        <v>2599067</v>
      </c>
      <c r="K2351">
        <v>25990670</v>
      </c>
    </row>
    <row r="2352" spans="1:11" ht="15" customHeight="1" x14ac:dyDescent="0.3">
      <c r="A2352" t="s">
        <v>18</v>
      </c>
      <c r="B2352" t="s">
        <v>11</v>
      </c>
      <c r="C2352" t="s">
        <v>24</v>
      </c>
      <c r="D2352" t="s">
        <v>28</v>
      </c>
      <c r="E2352">
        <v>7</v>
      </c>
      <c r="F2352" t="s">
        <v>23</v>
      </c>
      <c r="G2352" t="s">
        <v>31</v>
      </c>
      <c r="H2352" t="s">
        <v>16</v>
      </c>
      <c r="I2352">
        <v>1</v>
      </c>
      <c r="J2352" s="23">
        <v>375447</v>
      </c>
      <c r="K2352">
        <v>2628129</v>
      </c>
    </row>
    <row r="2353" spans="1:11" ht="15" customHeight="1" x14ac:dyDescent="0.3">
      <c r="A2353" t="s">
        <v>18</v>
      </c>
      <c r="B2353" t="s">
        <v>11</v>
      </c>
      <c r="C2353" t="s">
        <v>24</v>
      </c>
      <c r="D2353" t="s">
        <v>13</v>
      </c>
      <c r="E2353">
        <v>6</v>
      </c>
      <c r="F2353" t="s">
        <v>37</v>
      </c>
      <c r="G2353" t="s">
        <v>15</v>
      </c>
      <c r="H2353" t="s">
        <v>16</v>
      </c>
      <c r="I2353">
        <v>0</v>
      </c>
      <c r="J2353" s="23">
        <v>9585801</v>
      </c>
      <c r="K2353">
        <v>57514806</v>
      </c>
    </row>
    <row r="2354" spans="1:11" ht="15" customHeight="1" x14ac:dyDescent="0.3">
      <c r="A2354" t="s">
        <v>18</v>
      </c>
      <c r="B2354" t="s">
        <v>11</v>
      </c>
      <c r="C2354" t="s">
        <v>24</v>
      </c>
      <c r="D2354" t="s">
        <v>25</v>
      </c>
      <c r="E2354">
        <v>-4</v>
      </c>
      <c r="F2354" t="s">
        <v>37</v>
      </c>
      <c r="G2354" t="s">
        <v>15</v>
      </c>
      <c r="H2354" t="s">
        <v>16</v>
      </c>
      <c r="I2354">
        <v>0</v>
      </c>
      <c r="J2354" s="23">
        <v>38</v>
      </c>
      <c r="K2354" t="s">
        <v>17</v>
      </c>
    </row>
    <row r="2355" spans="1:11" ht="15" customHeight="1" x14ac:dyDescent="0.3">
      <c r="A2355" t="s">
        <v>10</v>
      </c>
      <c r="B2355" t="s">
        <v>11</v>
      </c>
      <c r="C2355" t="s">
        <v>12</v>
      </c>
      <c r="D2355" t="s">
        <v>28</v>
      </c>
      <c r="E2355">
        <v>6</v>
      </c>
      <c r="F2355" t="s">
        <v>29</v>
      </c>
      <c r="G2355" t="s">
        <v>15</v>
      </c>
      <c r="H2355" t="s">
        <v>32</v>
      </c>
      <c r="I2355">
        <v>1</v>
      </c>
      <c r="J2355" s="23">
        <v>-94611</v>
      </c>
      <c r="K2355" t="s">
        <v>17</v>
      </c>
    </row>
    <row r="2356" spans="1:11" ht="15" customHeight="1" x14ac:dyDescent="0.3">
      <c r="A2356" t="s">
        <v>22</v>
      </c>
      <c r="B2356" t="s">
        <v>11</v>
      </c>
      <c r="C2356" t="s">
        <v>12</v>
      </c>
      <c r="D2356" t="s">
        <v>28</v>
      </c>
      <c r="E2356">
        <v>4</v>
      </c>
      <c r="F2356" t="s">
        <v>21</v>
      </c>
      <c r="G2356" t="s">
        <v>15</v>
      </c>
      <c r="H2356" t="s">
        <v>16</v>
      </c>
      <c r="I2356">
        <v>0</v>
      </c>
      <c r="J2356" s="23">
        <v>-327564</v>
      </c>
      <c r="K2356" t="s">
        <v>17</v>
      </c>
    </row>
    <row r="2357" spans="1:11" ht="15" customHeight="1" x14ac:dyDescent="0.3">
      <c r="A2357" t="s">
        <v>18</v>
      </c>
      <c r="B2357" t="s">
        <v>19</v>
      </c>
      <c r="C2357" t="s">
        <v>24</v>
      </c>
      <c r="D2357" t="s">
        <v>28</v>
      </c>
      <c r="E2357">
        <v>19</v>
      </c>
      <c r="F2357"/>
      <c r="G2357" t="s">
        <v>31</v>
      </c>
      <c r="H2357" t="s">
        <v>16</v>
      </c>
      <c r="I2357">
        <v>1</v>
      </c>
      <c r="J2357" s="23">
        <v>72801</v>
      </c>
      <c r="K2357">
        <v>1383219</v>
      </c>
    </row>
    <row r="2358" spans="1:11" ht="15" customHeight="1" x14ac:dyDescent="0.3">
      <c r="A2358" t="s">
        <v>18</v>
      </c>
      <c r="B2358" t="s">
        <v>11</v>
      </c>
      <c r="C2358" t="s">
        <v>12</v>
      </c>
      <c r="D2358" t="s">
        <v>28</v>
      </c>
      <c r="E2358">
        <v>8</v>
      </c>
      <c r="F2358" t="s">
        <v>26</v>
      </c>
      <c r="G2358" t="s">
        <v>31</v>
      </c>
      <c r="H2358" t="s">
        <v>16</v>
      </c>
      <c r="I2358">
        <v>1</v>
      </c>
      <c r="J2358" s="23">
        <v>-1307</v>
      </c>
      <c r="K2358" t="s">
        <v>17</v>
      </c>
    </row>
    <row r="2359" spans="1:11" ht="15" customHeight="1" x14ac:dyDescent="0.3">
      <c r="A2359" t="s">
        <v>10</v>
      </c>
      <c r="B2359" t="s">
        <v>11</v>
      </c>
      <c r="C2359" t="s">
        <v>24</v>
      </c>
      <c r="D2359" t="s">
        <v>28</v>
      </c>
      <c r="E2359">
        <v>12</v>
      </c>
      <c r="F2359" t="s">
        <v>35</v>
      </c>
      <c r="G2359" t="s">
        <v>15</v>
      </c>
      <c r="H2359" t="s">
        <v>16</v>
      </c>
      <c r="I2359">
        <v>0</v>
      </c>
      <c r="J2359" s="23">
        <v>89790</v>
      </c>
      <c r="K2359">
        <v>1077480</v>
      </c>
    </row>
    <row r="2360" spans="1:11" ht="15" customHeight="1" x14ac:dyDescent="0.3">
      <c r="A2360" t="s">
        <v>18</v>
      </c>
      <c r="B2360" t="s">
        <v>11</v>
      </c>
      <c r="C2360" t="s">
        <v>12</v>
      </c>
      <c r="D2360" t="s">
        <v>13</v>
      </c>
      <c r="E2360">
        <v>3</v>
      </c>
      <c r="F2360" t="s">
        <v>21</v>
      </c>
      <c r="G2360" t="s">
        <v>15</v>
      </c>
      <c r="H2360" t="s">
        <v>16</v>
      </c>
      <c r="I2360">
        <v>0</v>
      </c>
      <c r="J2360" s="23">
        <v>-162604</v>
      </c>
      <c r="K2360" t="s">
        <v>17</v>
      </c>
    </row>
    <row r="2361" spans="1:11" ht="15" customHeight="1" x14ac:dyDescent="0.3">
      <c r="A2361" t="s">
        <v>18</v>
      </c>
      <c r="B2361" t="s">
        <v>11</v>
      </c>
      <c r="C2361" t="s">
        <v>24</v>
      </c>
      <c r="D2361" t="s">
        <v>13</v>
      </c>
      <c r="E2361">
        <v>8</v>
      </c>
      <c r="F2361" t="s">
        <v>33</v>
      </c>
      <c r="G2361" t="s">
        <v>15</v>
      </c>
      <c r="H2361" t="s">
        <v>16</v>
      </c>
      <c r="I2361">
        <v>0</v>
      </c>
      <c r="J2361" s="23">
        <v>1942673</v>
      </c>
      <c r="K2361">
        <v>15541384</v>
      </c>
    </row>
    <row r="2362" spans="1:11" ht="15" customHeight="1" x14ac:dyDescent="0.3">
      <c r="A2362" t="s">
        <v>18</v>
      </c>
      <c r="B2362" t="s">
        <v>11</v>
      </c>
      <c r="C2362" t="s">
        <v>24</v>
      </c>
      <c r="D2362" t="s">
        <v>28</v>
      </c>
      <c r="E2362">
        <v>1</v>
      </c>
      <c r="F2362" t="s">
        <v>23</v>
      </c>
      <c r="G2362" t="s">
        <v>15</v>
      </c>
      <c r="H2362" t="s">
        <v>16</v>
      </c>
      <c r="I2362">
        <v>0</v>
      </c>
      <c r="J2362" s="23">
        <v>18093634</v>
      </c>
      <c r="K2362">
        <v>18093634</v>
      </c>
    </row>
    <row r="2363" spans="1:11" ht="15" customHeight="1" x14ac:dyDescent="0.3">
      <c r="A2363" t="s">
        <v>18</v>
      </c>
      <c r="B2363" t="s">
        <v>11</v>
      </c>
      <c r="C2363" t="s">
        <v>12</v>
      </c>
      <c r="D2363" t="s">
        <v>13</v>
      </c>
      <c r="E2363">
        <v>5</v>
      </c>
      <c r="F2363" t="s">
        <v>14</v>
      </c>
      <c r="G2363" t="s">
        <v>15</v>
      </c>
      <c r="H2363" t="s">
        <v>16</v>
      </c>
      <c r="I2363">
        <v>0</v>
      </c>
      <c r="J2363" s="23">
        <v>-9512</v>
      </c>
      <c r="K2363" t="s">
        <v>17</v>
      </c>
    </row>
    <row r="2364" spans="1:11" ht="15" customHeight="1" x14ac:dyDescent="0.3">
      <c r="A2364" t="s">
        <v>10</v>
      </c>
      <c r="B2364" t="s">
        <v>11</v>
      </c>
      <c r="C2364" t="s">
        <v>24</v>
      </c>
      <c r="D2364" t="s">
        <v>13</v>
      </c>
      <c r="E2364">
        <v>1</v>
      </c>
      <c r="F2364" t="s">
        <v>34</v>
      </c>
      <c r="G2364" t="s">
        <v>15</v>
      </c>
      <c r="H2364" t="s">
        <v>16</v>
      </c>
      <c r="I2364">
        <v>0</v>
      </c>
      <c r="J2364" s="23">
        <v>16475783</v>
      </c>
      <c r="K2364">
        <v>16475783</v>
      </c>
    </row>
    <row r="2365" spans="1:11" ht="15" customHeight="1" x14ac:dyDescent="0.3">
      <c r="A2365" t="s">
        <v>22</v>
      </c>
      <c r="B2365" t="s">
        <v>11</v>
      </c>
      <c r="C2365" t="s">
        <v>24</v>
      </c>
      <c r="D2365" t="s">
        <v>28</v>
      </c>
      <c r="E2365">
        <v>3</v>
      </c>
      <c r="F2365" t="s">
        <v>26</v>
      </c>
      <c r="G2365" t="s">
        <v>15</v>
      </c>
      <c r="H2365" t="s">
        <v>16</v>
      </c>
      <c r="I2365">
        <v>0</v>
      </c>
      <c r="J2365" s="23">
        <v>788608</v>
      </c>
      <c r="K2365">
        <v>2365824</v>
      </c>
    </row>
    <row r="2366" spans="1:11" ht="15" customHeight="1" x14ac:dyDescent="0.3">
      <c r="A2366" t="s">
        <v>10</v>
      </c>
      <c r="B2366" t="s">
        <v>11</v>
      </c>
      <c r="C2366" t="s">
        <v>12</v>
      </c>
      <c r="D2366" t="s">
        <v>25</v>
      </c>
      <c r="E2366">
        <v>4</v>
      </c>
      <c r="F2366" t="s">
        <v>30</v>
      </c>
      <c r="G2366" t="s">
        <v>15</v>
      </c>
      <c r="H2366" t="s">
        <v>16</v>
      </c>
      <c r="I2366">
        <v>0</v>
      </c>
      <c r="J2366" s="23">
        <v>-48383</v>
      </c>
      <c r="K2366" t="s">
        <v>17</v>
      </c>
    </row>
    <row r="2367" spans="1:11" ht="15" customHeight="1" x14ac:dyDescent="0.3">
      <c r="A2367" t="s">
        <v>18</v>
      </c>
      <c r="B2367" t="s">
        <v>11</v>
      </c>
      <c r="C2367" t="s">
        <v>24</v>
      </c>
      <c r="D2367" t="s">
        <v>25</v>
      </c>
      <c r="E2367">
        <v>0</v>
      </c>
      <c r="F2367" t="s">
        <v>45</v>
      </c>
      <c r="G2367" t="s">
        <v>15</v>
      </c>
      <c r="H2367" t="s">
        <v>16</v>
      </c>
      <c r="I2367">
        <v>0</v>
      </c>
      <c r="J2367" s="23">
        <v>114792</v>
      </c>
      <c r="K2367" t="s">
        <v>17</v>
      </c>
    </row>
    <row r="2368" spans="1:11" ht="15" customHeight="1" x14ac:dyDescent="0.3">
      <c r="A2368" t="s">
        <v>10</v>
      </c>
      <c r="B2368" t="s">
        <v>11</v>
      </c>
      <c r="C2368" t="s">
        <v>24</v>
      </c>
      <c r="D2368" t="s">
        <v>25</v>
      </c>
      <c r="E2368">
        <v>4</v>
      </c>
      <c r="F2368" t="s">
        <v>33</v>
      </c>
      <c r="G2368" t="s">
        <v>15</v>
      </c>
      <c r="H2368" t="s">
        <v>16</v>
      </c>
      <c r="I2368">
        <v>0</v>
      </c>
      <c r="J2368" s="23">
        <v>746016</v>
      </c>
      <c r="K2368">
        <v>2984064</v>
      </c>
    </row>
    <row r="2369" spans="1:11" ht="15" customHeight="1" x14ac:dyDescent="0.3">
      <c r="A2369" t="s">
        <v>22</v>
      </c>
      <c r="B2369" t="s">
        <v>11</v>
      </c>
      <c r="C2369" t="s">
        <v>24</v>
      </c>
      <c r="D2369" t="s">
        <v>25</v>
      </c>
      <c r="E2369">
        <v>3</v>
      </c>
      <c r="F2369" t="s">
        <v>27</v>
      </c>
      <c r="G2369" t="s">
        <v>15</v>
      </c>
      <c r="H2369" t="s">
        <v>16</v>
      </c>
      <c r="I2369">
        <v>0</v>
      </c>
      <c r="J2369" s="23">
        <v>46071</v>
      </c>
      <c r="K2369">
        <v>138213</v>
      </c>
    </row>
    <row r="2370" spans="1:11" ht="15" customHeight="1" x14ac:dyDescent="0.3">
      <c r="A2370" t="s">
        <v>10</v>
      </c>
      <c r="B2370" t="s">
        <v>11</v>
      </c>
      <c r="C2370" t="s">
        <v>12</v>
      </c>
      <c r="D2370" t="s">
        <v>25</v>
      </c>
      <c r="E2370">
        <v>0</v>
      </c>
      <c r="F2370" t="s">
        <v>29</v>
      </c>
      <c r="G2370" t="s">
        <v>15</v>
      </c>
      <c r="H2370" t="s">
        <v>16</v>
      </c>
      <c r="I2370">
        <v>0</v>
      </c>
      <c r="J2370" s="23">
        <v>-6511</v>
      </c>
      <c r="K2370" t="s">
        <v>17</v>
      </c>
    </row>
    <row r="2371" spans="1:11" ht="15" customHeight="1" x14ac:dyDescent="0.3">
      <c r="A2371" t="s">
        <v>10</v>
      </c>
      <c r="B2371" t="s">
        <v>11</v>
      </c>
      <c r="C2371" t="s">
        <v>12</v>
      </c>
      <c r="D2371" t="s">
        <v>28</v>
      </c>
      <c r="E2371">
        <v>11</v>
      </c>
      <c r="F2371" t="s">
        <v>23</v>
      </c>
      <c r="G2371" t="s">
        <v>15</v>
      </c>
      <c r="H2371" t="s">
        <v>16</v>
      </c>
      <c r="I2371">
        <v>0</v>
      </c>
      <c r="J2371" s="23">
        <v>-657412</v>
      </c>
      <c r="K2371" t="s">
        <v>17</v>
      </c>
    </row>
    <row r="2372" spans="1:11" ht="15" customHeight="1" x14ac:dyDescent="0.3">
      <c r="A2372" t="s">
        <v>22</v>
      </c>
      <c r="B2372" t="s">
        <v>11</v>
      </c>
      <c r="C2372" t="s">
        <v>24</v>
      </c>
      <c r="D2372" t="s">
        <v>28</v>
      </c>
      <c r="E2372">
        <v>3</v>
      </c>
      <c r="F2372" t="s">
        <v>23</v>
      </c>
      <c r="G2372" t="s">
        <v>31</v>
      </c>
      <c r="H2372" t="s">
        <v>16</v>
      </c>
      <c r="I2372">
        <v>1</v>
      </c>
      <c r="J2372" s="23">
        <v>24109</v>
      </c>
      <c r="K2372">
        <v>72327</v>
      </c>
    </row>
    <row r="2373" spans="1:11" ht="15" customHeight="1" x14ac:dyDescent="0.3">
      <c r="A2373" t="s">
        <v>18</v>
      </c>
      <c r="B2373" t="s">
        <v>11</v>
      </c>
      <c r="C2373" t="s">
        <v>12</v>
      </c>
      <c r="D2373" t="s">
        <v>25</v>
      </c>
      <c r="E2373">
        <v>2</v>
      </c>
      <c r="F2373" t="s">
        <v>23</v>
      </c>
      <c r="G2373" t="s">
        <v>15</v>
      </c>
      <c r="H2373" t="s">
        <v>16</v>
      </c>
      <c r="I2373">
        <v>0</v>
      </c>
      <c r="J2373" s="23">
        <v>-3472</v>
      </c>
      <c r="K2373" t="s">
        <v>17</v>
      </c>
    </row>
    <row r="2374" spans="1:11" ht="15" customHeight="1" x14ac:dyDescent="0.3">
      <c r="A2374" t="s">
        <v>18</v>
      </c>
      <c r="B2374" t="s">
        <v>11</v>
      </c>
      <c r="C2374" t="s">
        <v>12</v>
      </c>
      <c r="D2374" t="s">
        <v>28</v>
      </c>
      <c r="E2374">
        <v>-1</v>
      </c>
      <c r="F2374" t="s">
        <v>14</v>
      </c>
      <c r="G2374" t="s">
        <v>15</v>
      </c>
      <c r="H2374" t="s">
        <v>16</v>
      </c>
      <c r="I2374">
        <v>0</v>
      </c>
      <c r="J2374" s="23">
        <v>-1230</v>
      </c>
      <c r="K2374" t="s">
        <v>17</v>
      </c>
    </row>
    <row r="2375" spans="1:11" ht="15" customHeight="1" x14ac:dyDescent="0.3">
      <c r="A2375" t="s">
        <v>10</v>
      </c>
      <c r="B2375" t="s">
        <v>19</v>
      </c>
      <c r="C2375" t="s">
        <v>24</v>
      </c>
      <c r="D2375" t="s">
        <v>20</v>
      </c>
      <c r="E2375">
        <v>17</v>
      </c>
      <c r="F2375"/>
      <c r="G2375" t="s">
        <v>15</v>
      </c>
      <c r="H2375" t="s">
        <v>16</v>
      </c>
      <c r="I2375">
        <v>0</v>
      </c>
      <c r="J2375" s="23">
        <v>27649682</v>
      </c>
      <c r="K2375">
        <v>470044594</v>
      </c>
    </row>
    <row r="2376" spans="1:11" ht="15" customHeight="1" x14ac:dyDescent="0.3">
      <c r="A2376" t="s">
        <v>22</v>
      </c>
      <c r="B2376" t="s">
        <v>11</v>
      </c>
      <c r="C2376" t="s">
        <v>24</v>
      </c>
      <c r="D2376" t="s">
        <v>13</v>
      </c>
      <c r="E2376">
        <v>2</v>
      </c>
      <c r="F2376" t="s">
        <v>23</v>
      </c>
      <c r="G2376" t="s">
        <v>15</v>
      </c>
      <c r="H2376" t="s">
        <v>16</v>
      </c>
      <c r="I2376">
        <v>0</v>
      </c>
      <c r="J2376" s="23">
        <v>511946</v>
      </c>
      <c r="K2376">
        <v>1023892</v>
      </c>
    </row>
    <row r="2377" spans="1:11" ht="15" customHeight="1" x14ac:dyDescent="0.3">
      <c r="A2377" t="s">
        <v>22</v>
      </c>
      <c r="B2377" t="s">
        <v>11</v>
      </c>
      <c r="C2377" t="s">
        <v>12</v>
      </c>
      <c r="D2377" t="s">
        <v>28</v>
      </c>
      <c r="E2377">
        <v>6</v>
      </c>
      <c r="F2377" t="s">
        <v>23</v>
      </c>
      <c r="G2377" t="s">
        <v>15</v>
      </c>
      <c r="H2377" t="s">
        <v>16</v>
      </c>
      <c r="I2377">
        <v>0</v>
      </c>
      <c r="J2377" s="23">
        <v>-1095509</v>
      </c>
      <c r="K2377" t="s">
        <v>17</v>
      </c>
    </row>
    <row r="2378" spans="1:11" ht="15" customHeight="1" x14ac:dyDescent="0.3">
      <c r="A2378" t="s">
        <v>10</v>
      </c>
      <c r="B2378" t="s">
        <v>11</v>
      </c>
      <c r="C2378" t="s">
        <v>12</v>
      </c>
      <c r="D2378" t="s">
        <v>25</v>
      </c>
      <c r="E2378">
        <v>2</v>
      </c>
      <c r="F2378" t="s">
        <v>23</v>
      </c>
      <c r="G2378" t="s">
        <v>15</v>
      </c>
      <c r="H2378" t="s">
        <v>16</v>
      </c>
      <c r="I2378">
        <v>0</v>
      </c>
      <c r="J2378" s="23">
        <v>-17814</v>
      </c>
      <c r="K2378" t="s">
        <v>17</v>
      </c>
    </row>
    <row r="2379" spans="1:11" ht="15" customHeight="1" x14ac:dyDescent="0.3">
      <c r="A2379" t="s">
        <v>22</v>
      </c>
      <c r="B2379" t="s">
        <v>11</v>
      </c>
      <c r="C2379" t="s">
        <v>24</v>
      </c>
      <c r="D2379" t="s">
        <v>25</v>
      </c>
      <c r="E2379">
        <v>5</v>
      </c>
      <c r="F2379" t="s">
        <v>40</v>
      </c>
      <c r="G2379" t="s">
        <v>15</v>
      </c>
      <c r="H2379" t="s">
        <v>16</v>
      </c>
      <c r="I2379">
        <v>0</v>
      </c>
      <c r="J2379" s="23">
        <v>76979</v>
      </c>
      <c r="K2379">
        <v>384895</v>
      </c>
    </row>
    <row r="2380" spans="1:11" ht="15" customHeight="1" x14ac:dyDescent="0.3">
      <c r="A2380" t="s">
        <v>18</v>
      </c>
      <c r="B2380" t="s">
        <v>11</v>
      </c>
      <c r="C2380" t="s">
        <v>24</v>
      </c>
      <c r="D2380" t="s">
        <v>13</v>
      </c>
      <c r="E2380">
        <v>6</v>
      </c>
      <c r="F2380" t="s">
        <v>39</v>
      </c>
      <c r="G2380" t="s">
        <v>15</v>
      </c>
      <c r="H2380" t="s">
        <v>16</v>
      </c>
      <c r="I2380">
        <v>0</v>
      </c>
      <c r="J2380" s="23">
        <v>4123540</v>
      </c>
      <c r="K2380">
        <v>24741240</v>
      </c>
    </row>
    <row r="2381" spans="1:11" ht="15" customHeight="1" x14ac:dyDescent="0.3">
      <c r="A2381" t="s">
        <v>10</v>
      </c>
      <c r="B2381" t="s">
        <v>11</v>
      </c>
      <c r="C2381" t="s">
        <v>12</v>
      </c>
      <c r="D2381" t="s">
        <v>13</v>
      </c>
      <c r="E2381">
        <v>4</v>
      </c>
      <c r="F2381" t="s">
        <v>39</v>
      </c>
      <c r="G2381" t="s">
        <v>15</v>
      </c>
      <c r="H2381" t="s">
        <v>16</v>
      </c>
      <c r="I2381">
        <v>0</v>
      </c>
      <c r="J2381" s="23">
        <v>-64076</v>
      </c>
      <c r="K2381" t="s">
        <v>17</v>
      </c>
    </row>
    <row r="2382" spans="1:11" ht="15" customHeight="1" x14ac:dyDescent="0.3">
      <c r="A2382" t="s">
        <v>18</v>
      </c>
      <c r="B2382" t="s">
        <v>11</v>
      </c>
      <c r="C2382" t="s">
        <v>24</v>
      </c>
      <c r="D2382" t="s">
        <v>28</v>
      </c>
      <c r="E2382">
        <v>1</v>
      </c>
      <c r="F2382" t="s">
        <v>26</v>
      </c>
      <c r="G2382" t="s">
        <v>31</v>
      </c>
      <c r="H2382" t="s">
        <v>16</v>
      </c>
      <c r="I2382">
        <v>1</v>
      </c>
      <c r="J2382" s="23">
        <v>1865651</v>
      </c>
      <c r="K2382">
        <v>1865651</v>
      </c>
    </row>
    <row r="2383" spans="1:11" ht="15" customHeight="1" x14ac:dyDescent="0.3">
      <c r="A2383" t="s">
        <v>10</v>
      </c>
      <c r="B2383" t="s">
        <v>11</v>
      </c>
      <c r="C2383" t="s">
        <v>12</v>
      </c>
      <c r="D2383" t="s">
        <v>13</v>
      </c>
      <c r="E2383">
        <v>2</v>
      </c>
      <c r="F2383" t="s">
        <v>33</v>
      </c>
      <c r="G2383" t="s">
        <v>15</v>
      </c>
      <c r="H2383" t="s">
        <v>16</v>
      </c>
      <c r="I2383">
        <v>0</v>
      </c>
      <c r="J2383" s="23">
        <v>-143661</v>
      </c>
      <c r="K2383" t="s">
        <v>17</v>
      </c>
    </row>
    <row r="2384" spans="1:11" ht="15" customHeight="1" x14ac:dyDescent="0.3">
      <c r="A2384" t="s">
        <v>18</v>
      </c>
      <c r="B2384" t="s">
        <v>11</v>
      </c>
      <c r="C2384" t="s">
        <v>24</v>
      </c>
      <c r="D2384" t="s">
        <v>28</v>
      </c>
      <c r="E2384">
        <v>19</v>
      </c>
      <c r="F2384" t="s">
        <v>26</v>
      </c>
      <c r="G2384" t="s">
        <v>15</v>
      </c>
      <c r="H2384" t="s">
        <v>16</v>
      </c>
      <c r="I2384">
        <v>0</v>
      </c>
      <c r="J2384" s="23">
        <v>5747036</v>
      </c>
      <c r="K2384">
        <v>109193684</v>
      </c>
    </row>
    <row r="2385" spans="1:11" ht="15" customHeight="1" x14ac:dyDescent="0.3">
      <c r="A2385" t="s">
        <v>10</v>
      </c>
      <c r="B2385" t="s">
        <v>11</v>
      </c>
      <c r="C2385" t="s">
        <v>12</v>
      </c>
      <c r="D2385" t="s">
        <v>25</v>
      </c>
      <c r="E2385">
        <v>5</v>
      </c>
      <c r="F2385" t="s">
        <v>33</v>
      </c>
      <c r="G2385" t="s">
        <v>15</v>
      </c>
      <c r="H2385" t="s">
        <v>16</v>
      </c>
      <c r="I2385">
        <v>0</v>
      </c>
      <c r="J2385" s="23">
        <v>-22103</v>
      </c>
      <c r="K2385" t="s">
        <v>17</v>
      </c>
    </row>
    <row r="2386" spans="1:11" ht="15" customHeight="1" x14ac:dyDescent="0.3">
      <c r="A2386" t="s">
        <v>10</v>
      </c>
      <c r="B2386" t="s">
        <v>44</v>
      </c>
      <c r="C2386" t="s">
        <v>24</v>
      </c>
      <c r="D2386" t="s">
        <v>28</v>
      </c>
      <c r="E2386">
        <v>6</v>
      </c>
      <c r="F2386" t="s">
        <v>21</v>
      </c>
      <c r="G2386" t="s">
        <v>15</v>
      </c>
      <c r="H2386" t="s">
        <v>16</v>
      </c>
      <c r="I2386">
        <v>0</v>
      </c>
      <c r="J2386" s="23">
        <v>95837</v>
      </c>
      <c r="K2386">
        <v>575022</v>
      </c>
    </row>
    <row r="2387" spans="1:11" ht="15" customHeight="1" x14ac:dyDescent="0.3">
      <c r="A2387" t="s">
        <v>18</v>
      </c>
      <c r="B2387" t="s">
        <v>11</v>
      </c>
      <c r="C2387" t="s">
        <v>24</v>
      </c>
      <c r="D2387" t="s">
        <v>13</v>
      </c>
      <c r="E2387">
        <v>4</v>
      </c>
      <c r="F2387" t="s">
        <v>21</v>
      </c>
      <c r="G2387" t="s">
        <v>15</v>
      </c>
      <c r="H2387" t="s">
        <v>16</v>
      </c>
      <c r="I2387">
        <v>0</v>
      </c>
      <c r="J2387" s="23">
        <v>32283064</v>
      </c>
      <c r="K2387">
        <v>129132256</v>
      </c>
    </row>
    <row r="2388" spans="1:11" ht="15" customHeight="1" x14ac:dyDescent="0.3">
      <c r="A2388" t="s">
        <v>18</v>
      </c>
      <c r="B2388" t="s">
        <v>11</v>
      </c>
      <c r="C2388" t="s">
        <v>24</v>
      </c>
      <c r="D2388" t="s">
        <v>13</v>
      </c>
      <c r="E2388">
        <v>-1</v>
      </c>
      <c r="F2388" t="s">
        <v>23</v>
      </c>
      <c r="G2388" t="s">
        <v>15</v>
      </c>
      <c r="H2388" t="s">
        <v>16</v>
      </c>
      <c r="I2388">
        <v>0</v>
      </c>
      <c r="J2388" s="23">
        <v>18878051</v>
      </c>
      <c r="K2388" t="s">
        <v>17</v>
      </c>
    </row>
    <row r="2389" spans="1:11" ht="15" customHeight="1" x14ac:dyDescent="0.3">
      <c r="A2389" t="s">
        <v>18</v>
      </c>
      <c r="B2389" t="s">
        <v>11</v>
      </c>
      <c r="C2389" t="s">
        <v>24</v>
      </c>
      <c r="D2389" t="s">
        <v>28</v>
      </c>
      <c r="E2389">
        <v>7</v>
      </c>
      <c r="F2389" t="s">
        <v>26</v>
      </c>
      <c r="G2389" t="s">
        <v>15</v>
      </c>
      <c r="H2389" t="s">
        <v>16</v>
      </c>
      <c r="I2389">
        <v>0</v>
      </c>
      <c r="J2389" s="23">
        <v>66605971</v>
      </c>
      <c r="K2389">
        <v>466241797</v>
      </c>
    </row>
    <row r="2390" spans="1:11" ht="15" customHeight="1" x14ac:dyDescent="0.3">
      <c r="A2390" t="s">
        <v>10</v>
      </c>
      <c r="B2390" t="s">
        <v>11</v>
      </c>
      <c r="C2390" t="s">
        <v>12</v>
      </c>
      <c r="D2390" t="s">
        <v>28</v>
      </c>
      <c r="E2390">
        <v>12</v>
      </c>
      <c r="F2390" t="s">
        <v>21</v>
      </c>
      <c r="G2390" t="s">
        <v>15</v>
      </c>
      <c r="H2390" t="s">
        <v>16</v>
      </c>
      <c r="I2390">
        <v>0</v>
      </c>
      <c r="J2390" s="23">
        <v>-71545</v>
      </c>
      <c r="K2390" t="s">
        <v>17</v>
      </c>
    </row>
    <row r="2391" spans="1:11" ht="15" customHeight="1" x14ac:dyDescent="0.3">
      <c r="A2391" t="s">
        <v>18</v>
      </c>
      <c r="B2391" t="s">
        <v>11</v>
      </c>
      <c r="C2391" t="s">
        <v>12</v>
      </c>
      <c r="D2391" t="s">
        <v>13</v>
      </c>
      <c r="E2391">
        <v>6</v>
      </c>
      <c r="F2391" t="s">
        <v>45</v>
      </c>
      <c r="G2391" t="s">
        <v>15</v>
      </c>
      <c r="H2391" t="s">
        <v>16</v>
      </c>
      <c r="I2391">
        <v>0</v>
      </c>
      <c r="J2391" s="23">
        <v>-5924</v>
      </c>
      <c r="K2391" t="s">
        <v>17</v>
      </c>
    </row>
    <row r="2392" spans="1:11" ht="15" customHeight="1" x14ac:dyDescent="0.3">
      <c r="A2392" t="s">
        <v>10</v>
      </c>
      <c r="B2392" t="s">
        <v>19</v>
      </c>
      <c r="C2392" t="s">
        <v>12</v>
      </c>
      <c r="D2392" t="s">
        <v>20</v>
      </c>
      <c r="E2392">
        <v>5</v>
      </c>
      <c r="F2392"/>
      <c r="G2392" t="s">
        <v>31</v>
      </c>
      <c r="H2392" t="s">
        <v>16</v>
      </c>
      <c r="I2392">
        <v>1</v>
      </c>
      <c r="J2392" s="23">
        <v>-2517</v>
      </c>
      <c r="K2392" t="s">
        <v>17</v>
      </c>
    </row>
    <row r="2393" spans="1:11" ht="15" customHeight="1" x14ac:dyDescent="0.3">
      <c r="A2393" t="s">
        <v>10</v>
      </c>
      <c r="B2393" t="s">
        <v>11</v>
      </c>
      <c r="C2393" t="s">
        <v>12</v>
      </c>
      <c r="D2393" t="s">
        <v>28</v>
      </c>
      <c r="E2393">
        <v>15</v>
      </c>
      <c r="F2393" t="s">
        <v>35</v>
      </c>
      <c r="G2393" t="s">
        <v>15</v>
      </c>
      <c r="H2393" t="s">
        <v>16</v>
      </c>
      <c r="I2393">
        <v>0</v>
      </c>
      <c r="J2393" s="23">
        <v>-2050</v>
      </c>
      <c r="K2393" t="s">
        <v>17</v>
      </c>
    </row>
    <row r="2394" spans="1:11" ht="15" customHeight="1" x14ac:dyDescent="0.3">
      <c r="A2394" t="s">
        <v>18</v>
      </c>
      <c r="B2394" t="s">
        <v>19</v>
      </c>
      <c r="C2394" t="s">
        <v>12</v>
      </c>
      <c r="D2394" t="s">
        <v>20</v>
      </c>
      <c r="E2394">
        <v>7</v>
      </c>
      <c r="F2394"/>
      <c r="G2394" t="s">
        <v>31</v>
      </c>
      <c r="H2394" t="s">
        <v>16</v>
      </c>
      <c r="I2394">
        <v>1</v>
      </c>
      <c r="J2394" s="23">
        <v>-764</v>
      </c>
      <c r="K2394" t="s">
        <v>17</v>
      </c>
    </row>
    <row r="2395" spans="1:11" ht="15" customHeight="1" x14ac:dyDescent="0.3">
      <c r="A2395" t="s">
        <v>18</v>
      </c>
      <c r="B2395" t="s">
        <v>11</v>
      </c>
      <c r="C2395" t="s">
        <v>12</v>
      </c>
      <c r="D2395" t="s">
        <v>28</v>
      </c>
      <c r="E2395">
        <v>1</v>
      </c>
      <c r="F2395" t="s">
        <v>27</v>
      </c>
      <c r="G2395" t="s">
        <v>15</v>
      </c>
      <c r="H2395" t="s">
        <v>16</v>
      </c>
      <c r="I2395">
        <v>0</v>
      </c>
      <c r="J2395" s="23">
        <v>-213</v>
      </c>
      <c r="K2395" t="s">
        <v>17</v>
      </c>
    </row>
    <row r="2396" spans="1:11" ht="15" customHeight="1" x14ac:dyDescent="0.3">
      <c r="A2396" t="s">
        <v>18</v>
      </c>
      <c r="B2396" t="s">
        <v>11</v>
      </c>
      <c r="C2396" t="s">
        <v>12</v>
      </c>
      <c r="D2396" t="s">
        <v>25</v>
      </c>
      <c r="E2396">
        <v>6</v>
      </c>
      <c r="F2396" t="s">
        <v>34</v>
      </c>
      <c r="G2396" t="s">
        <v>15</v>
      </c>
      <c r="H2396" t="s">
        <v>16</v>
      </c>
      <c r="I2396">
        <v>0</v>
      </c>
      <c r="J2396" s="23">
        <v>-3569</v>
      </c>
      <c r="K2396" t="s">
        <v>17</v>
      </c>
    </row>
    <row r="2397" spans="1:11" ht="15" customHeight="1" x14ac:dyDescent="0.3">
      <c r="A2397" t="s">
        <v>10</v>
      </c>
      <c r="B2397" t="s">
        <v>11</v>
      </c>
      <c r="C2397" t="s">
        <v>24</v>
      </c>
      <c r="D2397" t="s">
        <v>13</v>
      </c>
      <c r="E2397">
        <v>1</v>
      </c>
      <c r="F2397" t="s">
        <v>49</v>
      </c>
      <c r="G2397" t="s">
        <v>15</v>
      </c>
      <c r="H2397" t="s">
        <v>16</v>
      </c>
      <c r="I2397">
        <v>0</v>
      </c>
      <c r="J2397" s="23">
        <v>178921</v>
      </c>
      <c r="K2397">
        <v>178921</v>
      </c>
    </row>
    <row r="2398" spans="1:11" ht="15" customHeight="1" x14ac:dyDescent="0.3">
      <c r="A2398" t="s">
        <v>22</v>
      </c>
      <c r="B2398" t="s">
        <v>11</v>
      </c>
      <c r="C2398" t="s">
        <v>12</v>
      </c>
      <c r="D2398" t="s">
        <v>28</v>
      </c>
      <c r="E2398">
        <v>6</v>
      </c>
      <c r="F2398" t="s">
        <v>34</v>
      </c>
      <c r="G2398" t="s">
        <v>15</v>
      </c>
      <c r="H2398" t="s">
        <v>16</v>
      </c>
      <c r="I2398">
        <v>0</v>
      </c>
      <c r="J2398" s="23">
        <v>-851118</v>
      </c>
      <c r="K2398" t="s">
        <v>17</v>
      </c>
    </row>
    <row r="2399" spans="1:11" ht="15" customHeight="1" x14ac:dyDescent="0.3">
      <c r="A2399" t="s">
        <v>18</v>
      </c>
      <c r="B2399" t="s">
        <v>11</v>
      </c>
      <c r="C2399" t="s">
        <v>12</v>
      </c>
      <c r="D2399" t="s">
        <v>28</v>
      </c>
      <c r="E2399">
        <v>8</v>
      </c>
      <c r="F2399" t="s">
        <v>35</v>
      </c>
      <c r="G2399" t="s">
        <v>15</v>
      </c>
      <c r="H2399" t="s">
        <v>16</v>
      </c>
      <c r="I2399">
        <v>0</v>
      </c>
      <c r="J2399" s="23">
        <v>-6024</v>
      </c>
      <c r="K2399" t="s">
        <v>17</v>
      </c>
    </row>
    <row r="2400" spans="1:11" ht="15" customHeight="1" x14ac:dyDescent="0.3">
      <c r="A2400" t="s">
        <v>18</v>
      </c>
      <c r="B2400" t="s">
        <v>11</v>
      </c>
      <c r="C2400" t="s">
        <v>24</v>
      </c>
      <c r="D2400" t="s">
        <v>28</v>
      </c>
      <c r="E2400">
        <v>5</v>
      </c>
      <c r="F2400" t="s">
        <v>21</v>
      </c>
      <c r="G2400" t="s">
        <v>31</v>
      </c>
      <c r="H2400" t="s">
        <v>32</v>
      </c>
      <c r="I2400">
        <v>1</v>
      </c>
      <c r="J2400" s="23">
        <v>48285</v>
      </c>
      <c r="K2400">
        <v>241425</v>
      </c>
    </row>
    <row r="2401" spans="1:11" ht="15" customHeight="1" x14ac:dyDescent="0.3">
      <c r="A2401" t="s">
        <v>22</v>
      </c>
      <c r="B2401" t="s">
        <v>19</v>
      </c>
      <c r="C2401" t="s">
        <v>12</v>
      </c>
      <c r="D2401" t="s">
        <v>20</v>
      </c>
      <c r="E2401">
        <v>8</v>
      </c>
      <c r="F2401"/>
      <c r="G2401" t="s">
        <v>15</v>
      </c>
      <c r="H2401" t="s">
        <v>32</v>
      </c>
      <c r="I2401">
        <v>1</v>
      </c>
      <c r="J2401" s="23">
        <v>-12274</v>
      </c>
      <c r="K2401" t="s">
        <v>17</v>
      </c>
    </row>
    <row r="2402" spans="1:11" ht="15" customHeight="1" x14ac:dyDescent="0.3">
      <c r="A2402" t="s">
        <v>22</v>
      </c>
      <c r="B2402" t="s">
        <v>11</v>
      </c>
      <c r="C2402" t="s">
        <v>24</v>
      </c>
      <c r="D2402" t="s">
        <v>28</v>
      </c>
      <c r="E2402">
        <v>10</v>
      </c>
      <c r="F2402" t="s">
        <v>34</v>
      </c>
      <c r="G2402" t="s">
        <v>15</v>
      </c>
      <c r="H2402" t="s">
        <v>16</v>
      </c>
      <c r="I2402">
        <v>0</v>
      </c>
      <c r="J2402" s="23">
        <v>179815</v>
      </c>
      <c r="K2402">
        <v>1798150</v>
      </c>
    </row>
    <row r="2403" spans="1:11" ht="15" customHeight="1" x14ac:dyDescent="0.3">
      <c r="A2403" t="s">
        <v>22</v>
      </c>
      <c r="B2403" t="s">
        <v>11</v>
      </c>
      <c r="C2403" t="s">
        <v>24</v>
      </c>
      <c r="D2403" t="s">
        <v>13</v>
      </c>
      <c r="E2403">
        <v>8</v>
      </c>
      <c r="F2403" t="s">
        <v>34</v>
      </c>
      <c r="G2403" t="s">
        <v>15</v>
      </c>
      <c r="H2403" t="s">
        <v>16</v>
      </c>
      <c r="I2403">
        <v>0</v>
      </c>
      <c r="J2403" s="23">
        <v>845214</v>
      </c>
      <c r="K2403">
        <v>6761712</v>
      </c>
    </row>
    <row r="2404" spans="1:11" ht="15" customHeight="1" x14ac:dyDescent="0.3">
      <c r="A2404" t="s">
        <v>22</v>
      </c>
      <c r="B2404" t="s">
        <v>19</v>
      </c>
      <c r="C2404" t="s">
        <v>24</v>
      </c>
      <c r="D2404" t="s">
        <v>28</v>
      </c>
      <c r="E2404">
        <v>8</v>
      </c>
      <c r="F2404"/>
      <c r="G2404" t="s">
        <v>15</v>
      </c>
      <c r="H2404" t="s">
        <v>16</v>
      </c>
      <c r="I2404">
        <v>0</v>
      </c>
      <c r="J2404" s="23">
        <v>126770</v>
      </c>
      <c r="K2404">
        <v>1014160</v>
      </c>
    </row>
    <row r="2405" spans="1:11" ht="15" customHeight="1" x14ac:dyDescent="0.3">
      <c r="A2405" t="s">
        <v>10</v>
      </c>
      <c r="B2405" t="s">
        <v>19</v>
      </c>
      <c r="C2405" t="s">
        <v>12</v>
      </c>
      <c r="D2405" t="s">
        <v>28</v>
      </c>
      <c r="E2405">
        <v>8</v>
      </c>
      <c r="F2405"/>
      <c r="G2405" t="s">
        <v>15</v>
      </c>
      <c r="H2405" t="s">
        <v>16</v>
      </c>
      <c r="I2405">
        <v>0</v>
      </c>
      <c r="J2405" s="23">
        <v>-29768</v>
      </c>
      <c r="K2405" t="s">
        <v>17</v>
      </c>
    </row>
    <row r="2406" spans="1:11" ht="15" customHeight="1" x14ac:dyDescent="0.3">
      <c r="A2406" t="s">
        <v>22</v>
      </c>
      <c r="B2406" t="s">
        <v>19</v>
      </c>
      <c r="C2406" t="s">
        <v>12</v>
      </c>
      <c r="D2406" t="s">
        <v>20</v>
      </c>
      <c r="E2406">
        <v>18</v>
      </c>
      <c r="F2406"/>
      <c r="G2406" t="s">
        <v>31</v>
      </c>
      <c r="H2406" t="s">
        <v>16</v>
      </c>
      <c r="I2406">
        <v>1</v>
      </c>
      <c r="J2406" s="23">
        <v>-155915</v>
      </c>
      <c r="K2406" t="s">
        <v>17</v>
      </c>
    </row>
    <row r="2407" spans="1:11" ht="15" customHeight="1" x14ac:dyDescent="0.3">
      <c r="A2407" t="s">
        <v>10</v>
      </c>
      <c r="B2407" t="s">
        <v>11</v>
      </c>
      <c r="C2407" t="s">
        <v>12</v>
      </c>
      <c r="D2407" t="s">
        <v>28</v>
      </c>
      <c r="E2407">
        <v>10</v>
      </c>
      <c r="F2407" t="s">
        <v>14</v>
      </c>
      <c r="G2407" t="s">
        <v>15</v>
      </c>
      <c r="H2407" t="s">
        <v>16</v>
      </c>
      <c r="I2407">
        <v>0</v>
      </c>
      <c r="J2407" s="23">
        <v>-13088</v>
      </c>
      <c r="K2407" t="s">
        <v>17</v>
      </c>
    </row>
    <row r="2408" spans="1:11" ht="15" customHeight="1" x14ac:dyDescent="0.3">
      <c r="A2408" t="s">
        <v>10</v>
      </c>
      <c r="B2408" t="s">
        <v>19</v>
      </c>
      <c r="C2408" t="s">
        <v>24</v>
      </c>
      <c r="D2408" t="s">
        <v>20</v>
      </c>
      <c r="E2408">
        <v>41</v>
      </c>
      <c r="F2408"/>
      <c r="G2408" t="s">
        <v>15</v>
      </c>
      <c r="H2408" t="s">
        <v>16</v>
      </c>
      <c r="I2408">
        <v>0</v>
      </c>
      <c r="J2408" s="23">
        <v>3528706</v>
      </c>
      <c r="K2408">
        <v>144676946</v>
      </c>
    </row>
    <row r="2409" spans="1:11" ht="15" customHeight="1" x14ac:dyDescent="0.3">
      <c r="A2409" t="s">
        <v>10</v>
      </c>
      <c r="B2409" t="s">
        <v>11</v>
      </c>
      <c r="C2409" t="s">
        <v>24</v>
      </c>
      <c r="D2409" t="s">
        <v>13</v>
      </c>
      <c r="E2409">
        <v>-1</v>
      </c>
      <c r="F2409" t="s">
        <v>48</v>
      </c>
      <c r="G2409" t="s">
        <v>15</v>
      </c>
      <c r="H2409" t="s">
        <v>16</v>
      </c>
      <c r="I2409">
        <v>0</v>
      </c>
      <c r="J2409" s="23">
        <v>13</v>
      </c>
      <c r="K2409" t="s">
        <v>17</v>
      </c>
    </row>
    <row r="2410" spans="1:11" ht="15" customHeight="1" x14ac:dyDescent="0.3">
      <c r="A2410" t="s">
        <v>10</v>
      </c>
      <c r="B2410" t="s">
        <v>11</v>
      </c>
      <c r="C2410" t="s">
        <v>12</v>
      </c>
      <c r="D2410" t="s">
        <v>28</v>
      </c>
      <c r="E2410">
        <v>2</v>
      </c>
      <c r="F2410" t="s">
        <v>29</v>
      </c>
      <c r="G2410" t="s">
        <v>15</v>
      </c>
      <c r="H2410" t="s">
        <v>16</v>
      </c>
      <c r="I2410">
        <v>0</v>
      </c>
      <c r="J2410" s="23">
        <v>-12579</v>
      </c>
      <c r="K2410" t="s">
        <v>17</v>
      </c>
    </row>
    <row r="2411" spans="1:11" ht="15" customHeight="1" x14ac:dyDescent="0.3">
      <c r="A2411" t="s">
        <v>18</v>
      </c>
      <c r="B2411" t="s">
        <v>11</v>
      </c>
      <c r="C2411" t="s">
        <v>12</v>
      </c>
      <c r="D2411" t="s">
        <v>13</v>
      </c>
      <c r="E2411">
        <v>1</v>
      </c>
      <c r="F2411" t="s">
        <v>49</v>
      </c>
      <c r="G2411" t="s">
        <v>15</v>
      </c>
      <c r="H2411" t="s">
        <v>16</v>
      </c>
      <c r="I2411">
        <v>0</v>
      </c>
      <c r="J2411" s="23">
        <v>-423430</v>
      </c>
      <c r="K2411" t="s">
        <v>17</v>
      </c>
    </row>
    <row r="2412" spans="1:11" ht="15" customHeight="1" x14ac:dyDescent="0.3">
      <c r="A2412" t="s">
        <v>18</v>
      </c>
      <c r="B2412" t="s">
        <v>11</v>
      </c>
      <c r="C2412" t="s">
        <v>24</v>
      </c>
      <c r="D2412" t="s">
        <v>25</v>
      </c>
      <c r="E2412">
        <v>4</v>
      </c>
      <c r="F2412" t="s">
        <v>14</v>
      </c>
      <c r="G2412" t="s">
        <v>15</v>
      </c>
      <c r="H2412" t="s">
        <v>16</v>
      </c>
      <c r="I2412">
        <v>0</v>
      </c>
      <c r="J2412" s="23">
        <v>9984662</v>
      </c>
      <c r="K2412">
        <v>39938648</v>
      </c>
    </row>
    <row r="2413" spans="1:11" ht="15" customHeight="1" x14ac:dyDescent="0.3">
      <c r="A2413" t="s">
        <v>18</v>
      </c>
      <c r="B2413" t="s">
        <v>11</v>
      </c>
      <c r="C2413" t="s">
        <v>24</v>
      </c>
      <c r="D2413" t="s">
        <v>25</v>
      </c>
      <c r="E2413">
        <v>-1</v>
      </c>
      <c r="F2413" t="s">
        <v>37</v>
      </c>
      <c r="G2413" t="s">
        <v>15</v>
      </c>
      <c r="H2413" t="s">
        <v>16</v>
      </c>
      <c r="I2413">
        <v>0</v>
      </c>
      <c r="J2413" s="23">
        <v>40268</v>
      </c>
      <c r="K2413" t="s">
        <v>17</v>
      </c>
    </row>
    <row r="2414" spans="1:11" ht="15" customHeight="1" x14ac:dyDescent="0.3">
      <c r="A2414" t="s">
        <v>18</v>
      </c>
      <c r="B2414" t="s">
        <v>11</v>
      </c>
      <c r="C2414" t="s">
        <v>12</v>
      </c>
      <c r="D2414" t="s">
        <v>28</v>
      </c>
      <c r="E2414">
        <v>3</v>
      </c>
      <c r="F2414" t="s">
        <v>14</v>
      </c>
      <c r="G2414" t="s">
        <v>15</v>
      </c>
      <c r="H2414" t="s">
        <v>16</v>
      </c>
      <c r="I2414">
        <v>0</v>
      </c>
      <c r="J2414" s="23">
        <v>-2716</v>
      </c>
      <c r="K2414" t="s">
        <v>17</v>
      </c>
    </row>
    <row r="2415" spans="1:11" ht="15" customHeight="1" x14ac:dyDescent="0.3">
      <c r="A2415" t="s">
        <v>18</v>
      </c>
      <c r="B2415" t="s">
        <v>19</v>
      </c>
      <c r="C2415" t="s">
        <v>12</v>
      </c>
      <c r="D2415" t="s">
        <v>20</v>
      </c>
      <c r="E2415">
        <v>43</v>
      </c>
      <c r="F2415"/>
      <c r="G2415" t="s">
        <v>15</v>
      </c>
      <c r="H2415" t="s">
        <v>16</v>
      </c>
      <c r="I2415">
        <v>0</v>
      </c>
      <c r="J2415" s="23">
        <v>-11594</v>
      </c>
      <c r="K2415" t="s">
        <v>17</v>
      </c>
    </row>
    <row r="2416" spans="1:11" ht="15" customHeight="1" x14ac:dyDescent="0.3">
      <c r="A2416" t="s">
        <v>10</v>
      </c>
      <c r="B2416" t="s">
        <v>19</v>
      </c>
      <c r="C2416" t="s">
        <v>24</v>
      </c>
      <c r="D2416" t="s">
        <v>20</v>
      </c>
      <c r="E2416">
        <v>14</v>
      </c>
      <c r="F2416"/>
      <c r="G2416" t="s">
        <v>31</v>
      </c>
      <c r="H2416" t="s">
        <v>16</v>
      </c>
      <c r="I2416">
        <v>1</v>
      </c>
      <c r="J2416" s="23">
        <v>293008</v>
      </c>
      <c r="K2416">
        <v>4102112</v>
      </c>
    </row>
    <row r="2417" spans="1:11" ht="15" customHeight="1" x14ac:dyDescent="0.3">
      <c r="A2417" t="s">
        <v>10</v>
      </c>
      <c r="B2417" t="s">
        <v>11</v>
      </c>
      <c r="C2417" t="s">
        <v>24</v>
      </c>
      <c r="D2417" t="s">
        <v>13</v>
      </c>
      <c r="E2417">
        <v>7</v>
      </c>
      <c r="F2417" t="s">
        <v>42</v>
      </c>
      <c r="G2417" t="s">
        <v>15</v>
      </c>
      <c r="H2417" t="s">
        <v>16</v>
      </c>
      <c r="I2417">
        <v>0</v>
      </c>
      <c r="J2417" s="23">
        <v>708588</v>
      </c>
      <c r="K2417">
        <v>4960116</v>
      </c>
    </row>
    <row r="2418" spans="1:11" ht="15" customHeight="1" x14ac:dyDescent="0.3">
      <c r="A2418" t="s">
        <v>10</v>
      </c>
      <c r="B2418" t="s">
        <v>11</v>
      </c>
      <c r="C2418" t="s">
        <v>24</v>
      </c>
      <c r="D2418" t="s">
        <v>25</v>
      </c>
      <c r="E2418">
        <v>1</v>
      </c>
      <c r="F2418" t="s">
        <v>33</v>
      </c>
      <c r="G2418" t="s">
        <v>15</v>
      </c>
      <c r="H2418" t="s">
        <v>16</v>
      </c>
      <c r="I2418">
        <v>0</v>
      </c>
      <c r="J2418" s="23">
        <v>1262191</v>
      </c>
      <c r="K2418">
        <v>1262191</v>
      </c>
    </row>
    <row r="2419" spans="1:11" ht="15" customHeight="1" x14ac:dyDescent="0.3">
      <c r="A2419" t="s">
        <v>18</v>
      </c>
      <c r="B2419" t="s">
        <v>11</v>
      </c>
      <c r="C2419" t="s">
        <v>24</v>
      </c>
      <c r="D2419" t="s">
        <v>25</v>
      </c>
      <c r="E2419">
        <v>7</v>
      </c>
      <c r="F2419" t="s">
        <v>34</v>
      </c>
      <c r="G2419" t="s">
        <v>15</v>
      </c>
      <c r="H2419" t="s">
        <v>16</v>
      </c>
      <c r="I2419">
        <v>0</v>
      </c>
      <c r="J2419" s="23">
        <v>371407</v>
      </c>
      <c r="K2419">
        <v>2599849</v>
      </c>
    </row>
    <row r="2420" spans="1:11" ht="15" customHeight="1" x14ac:dyDescent="0.3">
      <c r="A2420" t="s">
        <v>22</v>
      </c>
      <c r="B2420" t="s">
        <v>11</v>
      </c>
      <c r="C2420" t="s">
        <v>12</v>
      </c>
      <c r="D2420" t="s">
        <v>28</v>
      </c>
      <c r="E2420">
        <v>0</v>
      </c>
      <c r="F2420" t="s">
        <v>23</v>
      </c>
      <c r="G2420" t="s">
        <v>15</v>
      </c>
      <c r="H2420" t="s">
        <v>16</v>
      </c>
      <c r="I2420">
        <v>0</v>
      </c>
      <c r="J2420" s="23">
        <v>-6225</v>
      </c>
      <c r="K2420" t="s">
        <v>17</v>
      </c>
    </row>
    <row r="2421" spans="1:11" ht="15" customHeight="1" x14ac:dyDescent="0.3">
      <c r="A2421" t="s">
        <v>10</v>
      </c>
      <c r="B2421" t="s">
        <v>11</v>
      </c>
      <c r="C2421" t="s">
        <v>24</v>
      </c>
      <c r="D2421" t="s">
        <v>13</v>
      </c>
      <c r="E2421">
        <v>3</v>
      </c>
      <c r="F2421" t="s">
        <v>40</v>
      </c>
      <c r="G2421" t="s">
        <v>15</v>
      </c>
      <c r="H2421" t="s">
        <v>16</v>
      </c>
      <c r="I2421">
        <v>0</v>
      </c>
      <c r="J2421" s="23">
        <v>7618858</v>
      </c>
      <c r="K2421">
        <v>22856574</v>
      </c>
    </row>
    <row r="2422" spans="1:11" ht="15" customHeight="1" x14ac:dyDescent="0.3">
      <c r="A2422" t="s">
        <v>22</v>
      </c>
      <c r="B2422" t="s">
        <v>11</v>
      </c>
      <c r="C2422" t="s">
        <v>24</v>
      </c>
      <c r="D2422" t="s">
        <v>28</v>
      </c>
      <c r="E2422">
        <v>4</v>
      </c>
      <c r="F2422" t="s">
        <v>23</v>
      </c>
      <c r="G2422" t="s">
        <v>15</v>
      </c>
      <c r="H2422" t="s">
        <v>16</v>
      </c>
      <c r="I2422">
        <v>0</v>
      </c>
      <c r="J2422" s="23">
        <v>289875</v>
      </c>
      <c r="K2422">
        <v>1159500</v>
      </c>
    </row>
    <row r="2423" spans="1:11" ht="15" customHeight="1" x14ac:dyDescent="0.3">
      <c r="A2423" t="s">
        <v>22</v>
      </c>
      <c r="B2423" t="s">
        <v>11</v>
      </c>
      <c r="C2423" t="s">
        <v>24</v>
      </c>
      <c r="D2423" t="s">
        <v>28</v>
      </c>
      <c r="E2423">
        <v>11</v>
      </c>
      <c r="F2423" t="s">
        <v>39</v>
      </c>
      <c r="G2423" t="s">
        <v>15</v>
      </c>
      <c r="H2423" t="s">
        <v>16</v>
      </c>
      <c r="I2423">
        <v>0</v>
      </c>
      <c r="J2423" s="23">
        <v>5604</v>
      </c>
      <c r="K2423">
        <v>61644</v>
      </c>
    </row>
    <row r="2424" spans="1:11" ht="15" customHeight="1" x14ac:dyDescent="0.3">
      <c r="A2424" t="s">
        <v>10</v>
      </c>
      <c r="B2424" t="s">
        <v>11</v>
      </c>
      <c r="C2424" t="s">
        <v>12</v>
      </c>
      <c r="D2424" t="s">
        <v>28</v>
      </c>
      <c r="E2424">
        <v>9</v>
      </c>
      <c r="F2424" t="s">
        <v>30</v>
      </c>
      <c r="G2424" t="s">
        <v>15</v>
      </c>
      <c r="H2424" t="s">
        <v>16</v>
      </c>
      <c r="I2424">
        <v>0</v>
      </c>
      <c r="J2424" s="23">
        <v>-81142</v>
      </c>
      <c r="K2424" t="s">
        <v>17</v>
      </c>
    </row>
    <row r="2425" spans="1:11" ht="15" customHeight="1" x14ac:dyDescent="0.3">
      <c r="A2425" t="s">
        <v>18</v>
      </c>
      <c r="B2425" t="s">
        <v>11</v>
      </c>
      <c r="C2425" t="s">
        <v>12</v>
      </c>
      <c r="D2425" t="s">
        <v>28</v>
      </c>
      <c r="E2425">
        <v>9</v>
      </c>
      <c r="F2425" t="s">
        <v>26</v>
      </c>
      <c r="G2425" t="s">
        <v>15</v>
      </c>
      <c r="H2425" t="s">
        <v>16</v>
      </c>
      <c r="I2425">
        <v>0</v>
      </c>
      <c r="J2425" s="23">
        <v>-65353</v>
      </c>
      <c r="K2425" t="s">
        <v>17</v>
      </c>
    </row>
    <row r="2426" spans="1:11" ht="15" customHeight="1" x14ac:dyDescent="0.3">
      <c r="A2426" t="s">
        <v>18</v>
      </c>
      <c r="B2426" t="s">
        <v>11</v>
      </c>
      <c r="C2426" t="s">
        <v>12</v>
      </c>
      <c r="D2426" t="s">
        <v>28</v>
      </c>
      <c r="E2426">
        <v>0</v>
      </c>
      <c r="F2426" t="s">
        <v>29</v>
      </c>
      <c r="G2426" t="s">
        <v>15</v>
      </c>
      <c r="H2426" t="s">
        <v>16</v>
      </c>
      <c r="I2426">
        <v>0</v>
      </c>
      <c r="J2426" s="23">
        <v>-9362</v>
      </c>
      <c r="K2426" t="s">
        <v>17</v>
      </c>
    </row>
    <row r="2427" spans="1:11" ht="15" customHeight="1" x14ac:dyDescent="0.3">
      <c r="A2427" t="s">
        <v>22</v>
      </c>
      <c r="B2427" t="s">
        <v>11</v>
      </c>
      <c r="C2427" t="s">
        <v>12</v>
      </c>
      <c r="D2427" t="s">
        <v>13</v>
      </c>
      <c r="E2427">
        <v>-4</v>
      </c>
      <c r="F2427" t="s">
        <v>39</v>
      </c>
      <c r="G2427" t="s">
        <v>15</v>
      </c>
      <c r="H2427" t="s">
        <v>16</v>
      </c>
      <c r="I2427">
        <v>0</v>
      </c>
      <c r="J2427" s="23">
        <v>-554193</v>
      </c>
      <c r="K2427" t="s">
        <v>17</v>
      </c>
    </row>
    <row r="2428" spans="1:11" ht="15" customHeight="1" x14ac:dyDescent="0.3">
      <c r="A2428" t="s">
        <v>22</v>
      </c>
      <c r="B2428" t="s">
        <v>19</v>
      </c>
      <c r="C2428" t="s">
        <v>24</v>
      </c>
      <c r="D2428" t="s">
        <v>28</v>
      </c>
      <c r="E2428">
        <v>1</v>
      </c>
      <c r="F2428"/>
      <c r="G2428" t="s">
        <v>15</v>
      </c>
      <c r="H2428" t="s">
        <v>16</v>
      </c>
      <c r="I2428">
        <v>0</v>
      </c>
      <c r="J2428" s="23">
        <v>15548</v>
      </c>
      <c r="K2428">
        <v>15548</v>
      </c>
    </row>
    <row r="2429" spans="1:11" ht="15" customHeight="1" x14ac:dyDescent="0.3">
      <c r="A2429" t="s">
        <v>18</v>
      </c>
      <c r="B2429" t="s">
        <v>19</v>
      </c>
      <c r="C2429" t="s">
        <v>12</v>
      </c>
      <c r="D2429" t="s">
        <v>28</v>
      </c>
      <c r="E2429">
        <v>12</v>
      </c>
      <c r="F2429"/>
      <c r="G2429" t="s">
        <v>31</v>
      </c>
      <c r="H2429" t="s">
        <v>16</v>
      </c>
      <c r="I2429">
        <v>1</v>
      </c>
      <c r="J2429" s="23">
        <v>-91</v>
      </c>
      <c r="K2429" t="s">
        <v>17</v>
      </c>
    </row>
    <row r="2430" spans="1:11" ht="15" customHeight="1" x14ac:dyDescent="0.3">
      <c r="A2430" t="s">
        <v>22</v>
      </c>
      <c r="B2430" t="s">
        <v>19</v>
      </c>
      <c r="C2430" t="s">
        <v>12</v>
      </c>
      <c r="D2430" t="s">
        <v>20</v>
      </c>
      <c r="E2430">
        <v>29</v>
      </c>
      <c r="F2430"/>
      <c r="G2430" t="s">
        <v>15</v>
      </c>
      <c r="H2430" t="s">
        <v>32</v>
      </c>
      <c r="I2430">
        <v>1</v>
      </c>
      <c r="J2430" s="23">
        <v>-5428</v>
      </c>
      <c r="K2430" t="s">
        <v>17</v>
      </c>
    </row>
    <row r="2431" spans="1:11" ht="15" customHeight="1" x14ac:dyDescent="0.3">
      <c r="A2431" t="s">
        <v>10</v>
      </c>
      <c r="B2431" t="s">
        <v>11</v>
      </c>
      <c r="C2431" t="s">
        <v>24</v>
      </c>
      <c r="D2431" t="s">
        <v>28</v>
      </c>
      <c r="E2431">
        <v>7</v>
      </c>
      <c r="F2431" t="s">
        <v>21</v>
      </c>
      <c r="G2431" t="s">
        <v>15</v>
      </c>
      <c r="H2431" t="s">
        <v>16</v>
      </c>
      <c r="I2431">
        <v>0</v>
      </c>
      <c r="J2431" s="23">
        <v>117315</v>
      </c>
      <c r="K2431">
        <v>821205</v>
      </c>
    </row>
    <row r="2432" spans="1:11" ht="15" customHeight="1" x14ac:dyDescent="0.3">
      <c r="A2432" t="s">
        <v>22</v>
      </c>
      <c r="B2432" t="s">
        <v>19</v>
      </c>
      <c r="C2432" t="s">
        <v>12</v>
      </c>
      <c r="D2432" t="s">
        <v>20</v>
      </c>
      <c r="E2432">
        <v>-4</v>
      </c>
      <c r="F2432"/>
      <c r="G2432" t="s">
        <v>15</v>
      </c>
      <c r="H2432" t="s">
        <v>16</v>
      </c>
      <c r="I2432">
        <v>0</v>
      </c>
      <c r="J2432" s="23">
        <v>-538310</v>
      </c>
      <c r="K2432" t="s">
        <v>17</v>
      </c>
    </row>
    <row r="2433" spans="1:11" ht="15" customHeight="1" x14ac:dyDescent="0.3">
      <c r="A2433" t="s">
        <v>10</v>
      </c>
      <c r="B2433" t="s">
        <v>44</v>
      </c>
      <c r="C2433" t="s">
        <v>24</v>
      </c>
      <c r="D2433" t="s">
        <v>28</v>
      </c>
      <c r="E2433">
        <v>5</v>
      </c>
      <c r="F2433" t="s">
        <v>38</v>
      </c>
      <c r="G2433" t="s">
        <v>15</v>
      </c>
      <c r="H2433" t="s">
        <v>16</v>
      </c>
      <c r="I2433">
        <v>0</v>
      </c>
      <c r="J2433" s="23">
        <v>95018</v>
      </c>
      <c r="K2433">
        <v>475090</v>
      </c>
    </row>
    <row r="2434" spans="1:11" ht="15" customHeight="1" x14ac:dyDescent="0.3">
      <c r="A2434" t="s">
        <v>18</v>
      </c>
      <c r="B2434" t="s">
        <v>11</v>
      </c>
      <c r="C2434" t="s">
        <v>24</v>
      </c>
      <c r="D2434" t="s">
        <v>13</v>
      </c>
      <c r="E2434">
        <v>1</v>
      </c>
      <c r="F2434" t="s">
        <v>40</v>
      </c>
      <c r="G2434" t="s">
        <v>15</v>
      </c>
      <c r="H2434" t="s">
        <v>16</v>
      </c>
      <c r="I2434">
        <v>0</v>
      </c>
      <c r="J2434" s="23">
        <v>34397761</v>
      </c>
      <c r="K2434">
        <v>34397761</v>
      </c>
    </row>
    <row r="2435" spans="1:11" ht="15" customHeight="1" x14ac:dyDescent="0.3">
      <c r="A2435" t="s">
        <v>10</v>
      </c>
      <c r="B2435" t="s">
        <v>11</v>
      </c>
      <c r="C2435" t="s">
        <v>12</v>
      </c>
      <c r="D2435" t="s">
        <v>28</v>
      </c>
      <c r="E2435">
        <v>2</v>
      </c>
      <c r="F2435" t="s">
        <v>30</v>
      </c>
      <c r="G2435" t="s">
        <v>15</v>
      </c>
      <c r="H2435" t="s">
        <v>16</v>
      </c>
      <c r="I2435">
        <v>0</v>
      </c>
      <c r="J2435" s="23">
        <v>-403</v>
      </c>
      <c r="K2435" t="s">
        <v>17</v>
      </c>
    </row>
    <row r="2436" spans="1:11" ht="15" customHeight="1" x14ac:dyDescent="0.3">
      <c r="A2436" t="s">
        <v>10</v>
      </c>
      <c r="B2436" t="s">
        <v>19</v>
      </c>
      <c r="C2436" t="s">
        <v>12</v>
      </c>
      <c r="D2436" t="s">
        <v>20</v>
      </c>
      <c r="E2436">
        <v>5</v>
      </c>
      <c r="F2436"/>
      <c r="G2436" t="s">
        <v>31</v>
      </c>
      <c r="H2436" t="s">
        <v>32</v>
      </c>
      <c r="I2436">
        <v>1</v>
      </c>
      <c r="J2436" s="23">
        <v>-102</v>
      </c>
      <c r="K2436" t="s">
        <v>17</v>
      </c>
    </row>
    <row r="2437" spans="1:11" ht="15" customHeight="1" x14ac:dyDescent="0.3">
      <c r="A2437" t="s">
        <v>10</v>
      </c>
      <c r="B2437" t="s">
        <v>11</v>
      </c>
      <c r="C2437" t="s">
        <v>24</v>
      </c>
      <c r="D2437" t="s">
        <v>13</v>
      </c>
      <c r="E2437">
        <v>0</v>
      </c>
      <c r="F2437" t="s">
        <v>27</v>
      </c>
      <c r="G2437" t="s">
        <v>15</v>
      </c>
      <c r="H2437" t="s">
        <v>16</v>
      </c>
      <c r="I2437">
        <v>0</v>
      </c>
      <c r="J2437" s="23">
        <v>61685</v>
      </c>
      <c r="K2437" t="s">
        <v>17</v>
      </c>
    </row>
    <row r="2438" spans="1:11" ht="15" customHeight="1" x14ac:dyDescent="0.3">
      <c r="A2438" t="s">
        <v>18</v>
      </c>
      <c r="B2438" t="s">
        <v>11</v>
      </c>
      <c r="C2438" t="s">
        <v>24</v>
      </c>
      <c r="D2438" t="s">
        <v>25</v>
      </c>
      <c r="E2438">
        <v>2</v>
      </c>
      <c r="F2438" t="s">
        <v>26</v>
      </c>
      <c r="G2438" t="s">
        <v>15</v>
      </c>
      <c r="H2438" t="s">
        <v>16</v>
      </c>
      <c r="I2438">
        <v>0</v>
      </c>
      <c r="J2438" s="23">
        <v>16746142</v>
      </c>
      <c r="K2438">
        <v>33492284</v>
      </c>
    </row>
    <row r="2439" spans="1:11" ht="15" customHeight="1" x14ac:dyDescent="0.3">
      <c r="A2439" t="s">
        <v>10</v>
      </c>
      <c r="B2439" t="s">
        <v>19</v>
      </c>
      <c r="C2439" t="s">
        <v>24</v>
      </c>
      <c r="D2439" t="s">
        <v>20</v>
      </c>
      <c r="E2439">
        <v>7</v>
      </c>
      <c r="F2439"/>
      <c r="G2439" t="s">
        <v>31</v>
      </c>
      <c r="H2439" t="s">
        <v>16</v>
      </c>
      <c r="I2439">
        <v>1</v>
      </c>
      <c r="J2439" s="23">
        <v>373684</v>
      </c>
      <c r="K2439">
        <v>2615788</v>
      </c>
    </row>
    <row r="2440" spans="1:11" ht="15" customHeight="1" x14ac:dyDescent="0.3">
      <c r="A2440" t="s">
        <v>22</v>
      </c>
      <c r="B2440" t="s">
        <v>11</v>
      </c>
      <c r="C2440" t="s">
        <v>12</v>
      </c>
      <c r="D2440" t="s">
        <v>13</v>
      </c>
      <c r="E2440">
        <v>2</v>
      </c>
      <c r="F2440" t="s">
        <v>23</v>
      </c>
      <c r="G2440" t="s">
        <v>15</v>
      </c>
      <c r="H2440" t="s">
        <v>16</v>
      </c>
      <c r="I2440">
        <v>0</v>
      </c>
      <c r="J2440" s="23">
        <v>-310906</v>
      </c>
      <c r="K2440" t="s">
        <v>17</v>
      </c>
    </row>
    <row r="2441" spans="1:11" ht="15" customHeight="1" x14ac:dyDescent="0.3">
      <c r="A2441" t="s">
        <v>18</v>
      </c>
      <c r="B2441" t="s">
        <v>11</v>
      </c>
      <c r="C2441" t="s">
        <v>12</v>
      </c>
      <c r="D2441" t="s">
        <v>13</v>
      </c>
      <c r="E2441">
        <v>8</v>
      </c>
      <c r="F2441" t="s">
        <v>33</v>
      </c>
      <c r="G2441" t="s">
        <v>15</v>
      </c>
      <c r="H2441" t="s">
        <v>16</v>
      </c>
      <c r="I2441">
        <v>0</v>
      </c>
      <c r="J2441" s="23">
        <v>-7438</v>
      </c>
      <c r="K2441" t="s">
        <v>17</v>
      </c>
    </row>
    <row r="2442" spans="1:11" ht="15" customHeight="1" x14ac:dyDescent="0.3">
      <c r="A2442" t="s">
        <v>10</v>
      </c>
      <c r="B2442" t="s">
        <v>11</v>
      </c>
      <c r="C2442" t="s">
        <v>12</v>
      </c>
      <c r="D2442" t="s">
        <v>13</v>
      </c>
      <c r="E2442">
        <v>5</v>
      </c>
      <c r="F2442" t="s">
        <v>34</v>
      </c>
      <c r="G2442" t="s">
        <v>15</v>
      </c>
      <c r="H2442" t="s">
        <v>16</v>
      </c>
      <c r="I2442">
        <v>0</v>
      </c>
      <c r="J2442" s="23">
        <v>-341972</v>
      </c>
      <c r="K2442" t="s">
        <v>17</v>
      </c>
    </row>
    <row r="2443" spans="1:11" ht="15" customHeight="1" x14ac:dyDescent="0.3">
      <c r="A2443" t="s">
        <v>22</v>
      </c>
      <c r="B2443" t="s">
        <v>11</v>
      </c>
      <c r="C2443" t="s">
        <v>12</v>
      </c>
      <c r="D2443" t="s">
        <v>13</v>
      </c>
      <c r="E2443">
        <v>-1</v>
      </c>
      <c r="F2443" t="s">
        <v>14</v>
      </c>
      <c r="G2443" t="s">
        <v>15</v>
      </c>
      <c r="H2443" t="s">
        <v>16</v>
      </c>
      <c r="I2443">
        <v>0</v>
      </c>
      <c r="J2443" s="23">
        <v>-666363</v>
      </c>
      <c r="K2443" t="s">
        <v>17</v>
      </c>
    </row>
    <row r="2444" spans="1:11" ht="15" customHeight="1" x14ac:dyDescent="0.3">
      <c r="A2444" t="s">
        <v>18</v>
      </c>
      <c r="B2444" t="s">
        <v>19</v>
      </c>
      <c r="C2444" t="s">
        <v>12</v>
      </c>
      <c r="D2444" t="s">
        <v>20</v>
      </c>
      <c r="E2444">
        <v>-4</v>
      </c>
      <c r="F2444"/>
      <c r="G2444" t="s">
        <v>15</v>
      </c>
      <c r="H2444" t="s">
        <v>16</v>
      </c>
      <c r="I2444">
        <v>0</v>
      </c>
      <c r="J2444" s="23">
        <v>-60</v>
      </c>
      <c r="K2444" t="s">
        <v>17</v>
      </c>
    </row>
    <row r="2445" spans="1:11" ht="15" customHeight="1" x14ac:dyDescent="0.3">
      <c r="A2445" t="s">
        <v>18</v>
      </c>
      <c r="B2445" t="s">
        <v>11</v>
      </c>
      <c r="C2445" t="s">
        <v>12</v>
      </c>
      <c r="D2445" t="s">
        <v>13</v>
      </c>
      <c r="E2445">
        <v>-1</v>
      </c>
      <c r="F2445" t="s">
        <v>27</v>
      </c>
      <c r="G2445" t="s">
        <v>15</v>
      </c>
      <c r="H2445" t="s">
        <v>16</v>
      </c>
      <c r="I2445">
        <v>0</v>
      </c>
      <c r="J2445" s="23">
        <v>-30205</v>
      </c>
      <c r="K2445" t="s">
        <v>17</v>
      </c>
    </row>
    <row r="2446" spans="1:11" ht="15" customHeight="1" x14ac:dyDescent="0.3">
      <c r="A2446" t="s">
        <v>18</v>
      </c>
      <c r="B2446" t="s">
        <v>11</v>
      </c>
      <c r="C2446" t="s">
        <v>12</v>
      </c>
      <c r="D2446" t="s">
        <v>28</v>
      </c>
      <c r="E2446">
        <v>9</v>
      </c>
      <c r="F2446" t="s">
        <v>29</v>
      </c>
      <c r="G2446" t="s">
        <v>15</v>
      </c>
      <c r="H2446" t="s">
        <v>32</v>
      </c>
      <c r="I2446">
        <v>1</v>
      </c>
      <c r="J2446" s="23">
        <v>-5978</v>
      </c>
      <c r="K2446" t="s">
        <v>17</v>
      </c>
    </row>
    <row r="2447" spans="1:11" ht="15" customHeight="1" x14ac:dyDescent="0.3">
      <c r="A2447" t="s">
        <v>18</v>
      </c>
      <c r="B2447" t="s">
        <v>11</v>
      </c>
      <c r="C2447" t="s">
        <v>24</v>
      </c>
      <c r="D2447" t="s">
        <v>25</v>
      </c>
      <c r="E2447">
        <v>2</v>
      </c>
      <c r="F2447" t="s">
        <v>42</v>
      </c>
      <c r="G2447" t="s">
        <v>15</v>
      </c>
      <c r="H2447" t="s">
        <v>16</v>
      </c>
      <c r="I2447">
        <v>0</v>
      </c>
      <c r="J2447" s="23">
        <v>217181</v>
      </c>
      <c r="K2447">
        <v>434362</v>
      </c>
    </row>
    <row r="2448" spans="1:11" ht="15" customHeight="1" x14ac:dyDescent="0.3">
      <c r="A2448" t="s">
        <v>22</v>
      </c>
      <c r="B2448" t="s">
        <v>11</v>
      </c>
      <c r="C2448" t="s">
        <v>12</v>
      </c>
      <c r="D2448" t="s">
        <v>13</v>
      </c>
      <c r="E2448">
        <v>-4</v>
      </c>
      <c r="F2448" t="s">
        <v>26</v>
      </c>
      <c r="G2448" t="s">
        <v>15</v>
      </c>
      <c r="H2448" t="s">
        <v>16</v>
      </c>
      <c r="I2448">
        <v>0</v>
      </c>
      <c r="J2448" s="23">
        <v>-976981</v>
      </c>
      <c r="K2448" t="s">
        <v>17</v>
      </c>
    </row>
    <row r="2449" spans="1:11" ht="15" customHeight="1" x14ac:dyDescent="0.3">
      <c r="A2449" t="s">
        <v>22</v>
      </c>
      <c r="B2449" t="s">
        <v>11</v>
      </c>
      <c r="C2449" t="s">
        <v>12</v>
      </c>
      <c r="D2449" t="s">
        <v>28</v>
      </c>
      <c r="E2449">
        <v>10</v>
      </c>
      <c r="F2449" t="s">
        <v>21</v>
      </c>
      <c r="G2449" t="s">
        <v>15</v>
      </c>
      <c r="H2449" t="s">
        <v>16</v>
      </c>
      <c r="I2449">
        <v>0</v>
      </c>
      <c r="J2449" s="23">
        <v>-15361</v>
      </c>
      <c r="K2449" t="s">
        <v>17</v>
      </c>
    </row>
    <row r="2450" spans="1:11" ht="15" customHeight="1" x14ac:dyDescent="0.3">
      <c r="A2450" t="s">
        <v>22</v>
      </c>
      <c r="B2450" t="s">
        <v>19</v>
      </c>
      <c r="C2450" t="s">
        <v>24</v>
      </c>
      <c r="D2450" t="s">
        <v>20</v>
      </c>
      <c r="E2450">
        <v>29</v>
      </c>
      <c r="F2450"/>
      <c r="G2450" t="s">
        <v>15</v>
      </c>
      <c r="H2450" t="s">
        <v>16</v>
      </c>
      <c r="I2450">
        <v>0</v>
      </c>
      <c r="J2450" s="23">
        <v>10700102</v>
      </c>
      <c r="K2450">
        <v>310302958</v>
      </c>
    </row>
    <row r="2451" spans="1:11" ht="15" customHeight="1" x14ac:dyDescent="0.3">
      <c r="A2451" t="s">
        <v>18</v>
      </c>
      <c r="B2451" t="s">
        <v>19</v>
      </c>
      <c r="C2451" t="s">
        <v>12</v>
      </c>
      <c r="D2451" t="s">
        <v>20</v>
      </c>
      <c r="E2451">
        <v>18</v>
      </c>
      <c r="F2451"/>
      <c r="G2451" t="s">
        <v>31</v>
      </c>
      <c r="H2451" t="s">
        <v>32</v>
      </c>
      <c r="I2451">
        <v>1</v>
      </c>
      <c r="J2451" s="23">
        <v>-81</v>
      </c>
      <c r="K2451" t="s">
        <v>17</v>
      </c>
    </row>
    <row r="2452" spans="1:11" ht="15" customHeight="1" x14ac:dyDescent="0.3">
      <c r="A2452" t="s">
        <v>18</v>
      </c>
      <c r="B2452" t="s">
        <v>11</v>
      </c>
      <c r="C2452" t="s">
        <v>24</v>
      </c>
      <c r="D2452" t="s">
        <v>28</v>
      </c>
      <c r="E2452">
        <v>5</v>
      </c>
      <c r="F2452" t="s">
        <v>29</v>
      </c>
      <c r="G2452" t="s">
        <v>15</v>
      </c>
      <c r="H2452" t="s">
        <v>32</v>
      </c>
      <c r="I2452">
        <v>1</v>
      </c>
      <c r="J2452" s="23">
        <v>2418458</v>
      </c>
      <c r="K2452">
        <v>12092290</v>
      </c>
    </row>
    <row r="2453" spans="1:11" ht="15" customHeight="1" x14ac:dyDescent="0.3">
      <c r="A2453" t="s">
        <v>18</v>
      </c>
      <c r="B2453" t="s">
        <v>11</v>
      </c>
      <c r="C2453" t="s">
        <v>12</v>
      </c>
      <c r="D2453" t="s">
        <v>13</v>
      </c>
      <c r="E2453">
        <v>1</v>
      </c>
      <c r="F2453" t="s">
        <v>34</v>
      </c>
      <c r="G2453" t="s">
        <v>15</v>
      </c>
      <c r="H2453" t="s">
        <v>16</v>
      </c>
      <c r="I2453">
        <v>0</v>
      </c>
      <c r="J2453" s="23">
        <v>-577104</v>
      </c>
      <c r="K2453" t="s">
        <v>17</v>
      </c>
    </row>
    <row r="2454" spans="1:11" ht="15" customHeight="1" x14ac:dyDescent="0.3">
      <c r="A2454" t="s">
        <v>18</v>
      </c>
      <c r="B2454" t="s">
        <v>11</v>
      </c>
      <c r="C2454" t="s">
        <v>24</v>
      </c>
      <c r="D2454" t="s">
        <v>25</v>
      </c>
      <c r="E2454">
        <v>4</v>
      </c>
      <c r="F2454" t="s">
        <v>29</v>
      </c>
      <c r="G2454" t="s">
        <v>15</v>
      </c>
      <c r="H2454" t="s">
        <v>16</v>
      </c>
      <c r="I2454">
        <v>0</v>
      </c>
      <c r="J2454" s="23">
        <v>12491760</v>
      </c>
      <c r="K2454">
        <v>49967040</v>
      </c>
    </row>
    <row r="2455" spans="1:11" ht="15" customHeight="1" x14ac:dyDescent="0.3">
      <c r="A2455" t="s">
        <v>10</v>
      </c>
      <c r="B2455" t="s">
        <v>11</v>
      </c>
      <c r="C2455" t="s">
        <v>24</v>
      </c>
      <c r="D2455" t="s">
        <v>25</v>
      </c>
      <c r="E2455">
        <v>3</v>
      </c>
      <c r="F2455" t="s">
        <v>21</v>
      </c>
      <c r="G2455" t="s">
        <v>15</v>
      </c>
      <c r="H2455" t="s">
        <v>16</v>
      </c>
      <c r="I2455">
        <v>0</v>
      </c>
      <c r="J2455" s="23">
        <v>1993740</v>
      </c>
      <c r="K2455">
        <v>5981220</v>
      </c>
    </row>
    <row r="2456" spans="1:11" ht="15" customHeight="1" x14ac:dyDescent="0.3">
      <c r="A2456" t="s">
        <v>10</v>
      </c>
      <c r="B2456" t="s">
        <v>11</v>
      </c>
      <c r="C2456" t="s">
        <v>12</v>
      </c>
      <c r="D2456" t="s">
        <v>13</v>
      </c>
      <c r="E2456">
        <v>3</v>
      </c>
      <c r="F2456" t="s">
        <v>39</v>
      </c>
      <c r="G2456" t="s">
        <v>15</v>
      </c>
      <c r="H2456" t="s">
        <v>16</v>
      </c>
      <c r="I2456">
        <v>0</v>
      </c>
      <c r="J2456" s="23">
        <v>-281571</v>
      </c>
      <c r="K2456" t="s">
        <v>17</v>
      </c>
    </row>
    <row r="2457" spans="1:11" ht="15" customHeight="1" x14ac:dyDescent="0.3">
      <c r="A2457" t="s">
        <v>22</v>
      </c>
      <c r="B2457" t="s">
        <v>11</v>
      </c>
      <c r="C2457" t="s">
        <v>12</v>
      </c>
      <c r="D2457" t="s">
        <v>13</v>
      </c>
      <c r="E2457">
        <v>0</v>
      </c>
      <c r="F2457" t="s">
        <v>39</v>
      </c>
      <c r="G2457" t="s">
        <v>15</v>
      </c>
      <c r="H2457" t="s">
        <v>16</v>
      </c>
      <c r="I2457">
        <v>0</v>
      </c>
      <c r="J2457" s="23">
        <v>-9968</v>
      </c>
      <c r="K2457" t="s">
        <v>17</v>
      </c>
    </row>
    <row r="2458" spans="1:11" ht="15" customHeight="1" x14ac:dyDescent="0.3">
      <c r="A2458" t="s">
        <v>10</v>
      </c>
      <c r="B2458" t="s">
        <v>11</v>
      </c>
      <c r="C2458" t="s">
        <v>24</v>
      </c>
      <c r="D2458" t="s">
        <v>28</v>
      </c>
      <c r="E2458">
        <v>1</v>
      </c>
      <c r="F2458" t="s">
        <v>29</v>
      </c>
      <c r="G2458" t="s">
        <v>15</v>
      </c>
      <c r="H2458" t="s">
        <v>16</v>
      </c>
      <c r="I2458">
        <v>0</v>
      </c>
      <c r="J2458" s="23">
        <v>669887</v>
      </c>
      <c r="K2458">
        <v>669887</v>
      </c>
    </row>
    <row r="2459" spans="1:11" ht="15" customHeight="1" x14ac:dyDescent="0.3">
      <c r="A2459" t="s">
        <v>10</v>
      </c>
      <c r="B2459" t="s">
        <v>11</v>
      </c>
      <c r="C2459" t="s">
        <v>24</v>
      </c>
      <c r="D2459" t="s">
        <v>28</v>
      </c>
      <c r="E2459">
        <v>1</v>
      </c>
      <c r="F2459" t="s">
        <v>29</v>
      </c>
      <c r="G2459" t="s">
        <v>15</v>
      </c>
      <c r="H2459" t="s">
        <v>32</v>
      </c>
      <c r="I2459">
        <v>1</v>
      </c>
      <c r="J2459" s="23">
        <v>1327507</v>
      </c>
      <c r="K2459">
        <v>1327507</v>
      </c>
    </row>
    <row r="2460" spans="1:11" ht="15" customHeight="1" x14ac:dyDescent="0.3">
      <c r="A2460" t="s">
        <v>10</v>
      </c>
      <c r="B2460" t="s">
        <v>19</v>
      </c>
      <c r="C2460" t="s">
        <v>12</v>
      </c>
      <c r="D2460" t="s">
        <v>20</v>
      </c>
      <c r="E2460">
        <v>23</v>
      </c>
      <c r="F2460"/>
      <c r="G2460" t="s">
        <v>15</v>
      </c>
      <c r="H2460" t="s">
        <v>32</v>
      </c>
      <c r="I2460">
        <v>1</v>
      </c>
      <c r="J2460" s="23">
        <v>-45896</v>
      </c>
      <c r="K2460" t="s">
        <v>17</v>
      </c>
    </row>
    <row r="2461" spans="1:11" ht="15" customHeight="1" x14ac:dyDescent="0.3">
      <c r="A2461" t="s">
        <v>18</v>
      </c>
      <c r="B2461" t="s">
        <v>11</v>
      </c>
      <c r="C2461" t="s">
        <v>12</v>
      </c>
      <c r="D2461" t="s">
        <v>28</v>
      </c>
      <c r="E2461">
        <v>9</v>
      </c>
      <c r="F2461" t="s">
        <v>39</v>
      </c>
      <c r="G2461" t="s">
        <v>15</v>
      </c>
      <c r="H2461" t="s">
        <v>16</v>
      </c>
      <c r="I2461">
        <v>0</v>
      </c>
      <c r="J2461" s="23">
        <v>-4759</v>
      </c>
      <c r="K2461" t="s">
        <v>17</v>
      </c>
    </row>
    <row r="2462" spans="1:11" ht="15" customHeight="1" x14ac:dyDescent="0.3">
      <c r="A2462" t="s">
        <v>18</v>
      </c>
      <c r="B2462" t="s">
        <v>19</v>
      </c>
      <c r="C2462" t="s">
        <v>12</v>
      </c>
      <c r="D2462" t="s">
        <v>20</v>
      </c>
      <c r="E2462">
        <v>31</v>
      </c>
      <c r="F2462"/>
      <c r="G2462" t="s">
        <v>15</v>
      </c>
      <c r="H2462" t="s">
        <v>32</v>
      </c>
      <c r="I2462">
        <v>1</v>
      </c>
      <c r="J2462" s="23">
        <v>-1428</v>
      </c>
      <c r="K2462" t="s">
        <v>17</v>
      </c>
    </row>
    <row r="2463" spans="1:11" ht="15" customHeight="1" x14ac:dyDescent="0.3">
      <c r="A2463" t="s">
        <v>10</v>
      </c>
      <c r="B2463" t="s">
        <v>11</v>
      </c>
      <c r="C2463" t="s">
        <v>24</v>
      </c>
      <c r="D2463" t="s">
        <v>25</v>
      </c>
      <c r="E2463">
        <v>3</v>
      </c>
      <c r="F2463" t="s">
        <v>40</v>
      </c>
      <c r="G2463" t="s">
        <v>15</v>
      </c>
      <c r="H2463" t="s">
        <v>16</v>
      </c>
      <c r="I2463">
        <v>0</v>
      </c>
      <c r="J2463" s="23">
        <v>3071846</v>
      </c>
      <c r="K2463">
        <v>9215538</v>
      </c>
    </row>
    <row r="2464" spans="1:11" ht="15" customHeight="1" x14ac:dyDescent="0.3">
      <c r="A2464" t="s">
        <v>18</v>
      </c>
      <c r="B2464" t="s">
        <v>11</v>
      </c>
      <c r="C2464" t="s">
        <v>24</v>
      </c>
      <c r="D2464" t="s">
        <v>25</v>
      </c>
      <c r="E2464">
        <v>-1</v>
      </c>
      <c r="F2464" t="s">
        <v>39</v>
      </c>
      <c r="G2464" t="s">
        <v>15</v>
      </c>
      <c r="H2464" t="s">
        <v>16</v>
      </c>
      <c r="I2464">
        <v>0</v>
      </c>
      <c r="J2464" s="23">
        <v>1601916</v>
      </c>
      <c r="K2464" t="s">
        <v>17</v>
      </c>
    </row>
    <row r="2465" spans="1:11" ht="15" customHeight="1" x14ac:dyDescent="0.3">
      <c r="A2465" t="s">
        <v>18</v>
      </c>
      <c r="B2465" t="s">
        <v>11</v>
      </c>
      <c r="C2465" t="s">
        <v>12</v>
      </c>
      <c r="D2465" t="s">
        <v>25</v>
      </c>
      <c r="E2465">
        <v>-1</v>
      </c>
      <c r="F2465" t="s">
        <v>29</v>
      </c>
      <c r="G2465" t="s">
        <v>15</v>
      </c>
      <c r="H2465" t="s">
        <v>16</v>
      </c>
      <c r="I2465">
        <v>0</v>
      </c>
      <c r="J2465" s="23">
        <v>-5457</v>
      </c>
      <c r="K2465" t="s">
        <v>17</v>
      </c>
    </row>
    <row r="2466" spans="1:11" ht="15" customHeight="1" x14ac:dyDescent="0.3">
      <c r="A2466" t="s">
        <v>22</v>
      </c>
      <c r="B2466" t="s">
        <v>19</v>
      </c>
      <c r="C2466" t="s">
        <v>24</v>
      </c>
      <c r="D2466" t="s">
        <v>20</v>
      </c>
      <c r="E2466">
        <v>38</v>
      </c>
      <c r="F2466"/>
      <c r="G2466" t="s">
        <v>15</v>
      </c>
      <c r="H2466" t="s">
        <v>16</v>
      </c>
      <c r="I2466">
        <v>0</v>
      </c>
      <c r="J2466" s="23">
        <v>6190374</v>
      </c>
      <c r="K2466">
        <v>235234212</v>
      </c>
    </row>
    <row r="2467" spans="1:11" ht="15" customHeight="1" x14ac:dyDescent="0.3">
      <c r="A2467" t="s">
        <v>18</v>
      </c>
      <c r="B2467" t="s">
        <v>11</v>
      </c>
      <c r="C2467" t="s">
        <v>24</v>
      </c>
      <c r="D2467" t="s">
        <v>25</v>
      </c>
      <c r="E2467">
        <v>4</v>
      </c>
      <c r="F2467" t="s">
        <v>30</v>
      </c>
      <c r="G2467" t="s">
        <v>15</v>
      </c>
      <c r="H2467" t="s">
        <v>16</v>
      </c>
      <c r="I2467">
        <v>0</v>
      </c>
      <c r="J2467" s="23">
        <v>8361781</v>
      </c>
      <c r="K2467">
        <v>33447124</v>
      </c>
    </row>
    <row r="2468" spans="1:11" ht="15" customHeight="1" x14ac:dyDescent="0.3">
      <c r="A2468" t="s">
        <v>18</v>
      </c>
      <c r="B2468" t="s">
        <v>19</v>
      </c>
      <c r="C2468" t="s">
        <v>24</v>
      </c>
      <c r="D2468" t="s">
        <v>20</v>
      </c>
      <c r="E2468">
        <v>31</v>
      </c>
      <c r="F2468"/>
      <c r="G2468" t="s">
        <v>31</v>
      </c>
      <c r="H2468" t="s">
        <v>32</v>
      </c>
      <c r="I2468">
        <v>1</v>
      </c>
      <c r="J2468" s="23">
        <v>188809</v>
      </c>
      <c r="K2468">
        <v>5853079</v>
      </c>
    </row>
    <row r="2469" spans="1:11" ht="15" customHeight="1" x14ac:dyDescent="0.3">
      <c r="A2469" t="s">
        <v>18</v>
      </c>
      <c r="B2469" t="s">
        <v>19</v>
      </c>
      <c r="C2469" t="s">
        <v>24</v>
      </c>
      <c r="D2469" t="s">
        <v>20</v>
      </c>
      <c r="E2469">
        <v>9</v>
      </c>
      <c r="F2469"/>
      <c r="G2469" t="s">
        <v>15</v>
      </c>
      <c r="H2469" t="s">
        <v>16</v>
      </c>
      <c r="I2469">
        <v>0</v>
      </c>
      <c r="J2469" s="23">
        <v>184809693</v>
      </c>
      <c r="K2469">
        <v>1663287237</v>
      </c>
    </row>
    <row r="2470" spans="1:11" ht="15" customHeight="1" x14ac:dyDescent="0.3">
      <c r="A2470" t="s">
        <v>18</v>
      </c>
      <c r="B2470" t="s">
        <v>19</v>
      </c>
      <c r="C2470" t="s">
        <v>24</v>
      </c>
      <c r="D2470" t="s">
        <v>20</v>
      </c>
      <c r="E2470">
        <v>19</v>
      </c>
      <c r="F2470"/>
      <c r="G2470" t="s">
        <v>15</v>
      </c>
      <c r="H2470" t="s">
        <v>32</v>
      </c>
      <c r="I2470">
        <v>1</v>
      </c>
      <c r="J2470" s="23">
        <v>1776268</v>
      </c>
      <c r="K2470">
        <v>33749092</v>
      </c>
    </row>
    <row r="2471" spans="1:11" ht="15" customHeight="1" x14ac:dyDescent="0.3">
      <c r="A2471" t="s">
        <v>18</v>
      </c>
      <c r="B2471" t="s">
        <v>19</v>
      </c>
      <c r="C2471" t="s">
        <v>12</v>
      </c>
      <c r="D2471" t="s">
        <v>20</v>
      </c>
      <c r="E2471">
        <v>35</v>
      </c>
      <c r="F2471"/>
      <c r="G2471" t="s">
        <v>15</v>
      </c>
      <c r="H2471" t="s">
        <v>32</v>
      </c>
      <c r="I2471">
        <v>1</v>
      </c>
      <c r="J2471" s="23">
        <v>-780</v>
      </c>
      <c r="K2471" t="s">
        <v>17</v>
      </c>
    </row>
    <row r="2472" spans="1:11" ht="15" customHeight="1" x14ac:dyDescent="0.3">
      <c r="A2472" t="s">
        <v>10</v>
      </c>
      <c r="B2472" t="s">
        <v>11</v>
      </c>
      <c r="C2472" t="s">
        <v>24</v>
      </c>
      <c r="D2472" t="s">
        <v>28</v>
      </c>
      <c r="E2472">
        <v>8</v>
      </c>
      <c r="F2472" t="s">
        <v>23</v>
      </c>
      <c r="G2472" t="s">
        <v>15</v>
      </c>
      <c r="H2472" t="s">
        <v>16</v>
      </c>
      <c r="I2472">
        <v>0</v>
      </c>
      <c r="J2472" s="23">
        <v>921107</v>
      </c>
      <c r="K2472">
        <v>7368856</v>
      </c>
    </row>
    <row r="2473" spans="1:11" ht="15" customHeight="1" x14ac:dyDescent="0.3">
      <c r="A2473" t="s">
        <v>22</v>
      </c>
      <c r="B2473" t="s">
        <v>19</v>
      </c>
      <c r="C2473" t="s">
        <v>24</v>
      </c>
      <c r="D2473" t="s">
        <v>20</v>
      </c>
      <c r="E2473">
        <v>24</v>
      </c>
      <c r="F2473"/>
      <c r="G2473" t="s">
        <v>15</v>
      </c>
      <c r="H2473" t="s">
        <v>16</v>
      </c>
      <c r="I2473">
        <v>0</v>
      </c>
      <c r="J2473" s="23">
        <v>8049954</v>
      </c>
      <c r="K2473">
        <v>193198896</v>
      </c>
    </row>
    <row r="2474" spans="1:11" ht="15" customHeight="1" x14ac:dyDescent="0.3">
      <c r="A2474" t="s">
        <v>10</v>
      </c>
      <c r="B2474" t="s">
        <v>19</v>
      </c>
      <c r="C2474" t="s">
        <v>24</v>
      </c>
      <c r="D2474" t="s">
        <v>20</v>
      </c>
      <c r="E2474">
        <v>18</v>
      </c>
      <c r="F2474"/>
      <c r="G2474" t="s">
        <v>15</v>
      </c>
      <c r="H2474" t="s">
        <v>32</v>
      </c>
      <c r="I2474">
        <v>1</v>
      </c>
      <c r="J2474" s="23">
        <v>272745</v>
      </c>
      <c r="K2474">
        <v>4909410</v>
      </c>
    </row>
    <row r="2475" spans="1:11" ht="15" customHeight="1" x14ac:dyDescent="0.3">
      <c r="A2475" t="s">
        <v>18</v>
      </c>
      <c r="B2475" t="s">
        <v>19</v>
      </c>
      <c r="C2475" t="s">
        <v>12</v>
      </c>
      <c r="D2475" t="s">
        <v>20</v>
      </c>
      <c r="E2475">
        <v>39</v>
      </c>
      <c r="F2475"/>
      <c r="G2475" t="s">
        <v>15</v>
      </c>
      <c r="H2475" t="s">
        <v>32</v>
      </c>
      <c r="I2475">
        <v>1</v>
      </c>
      <c r="J2475" s="23">
        <v>-208</v>
      </c>
      <c r="K2475" t="s">
        <v>17</v>
      </c>
    </row>
    <row r="2476" spans="1:11" ht="15" customHeight="1" x14ac:dyDescent="0.3">
      <c r="A2476" t="s">
        <v>18</v>
      </c>
      <c r="B2476" t="s">
        <v>11</v>
      </c>
      <c r="C2476" t="s">
        <v>12</v>
      </c>
      <c r="D2476" t="s">
        <v>28</v>
      </c>
      <c r="E2476">
        <v>3</v>
      </c>
      <c r="F2476" t="s">
        <v>27</v>
      </c>
      <c r="G2476" t="s">
        <v>15</v>
      </c>
      <c r="H2476" t="s">
        <v>16</v>
      </c>
      <c r="I2476">
        <v>0</v>
      </c>
      <c r="J2476" s="23">
        <v>-37</v>
      </c>
      <c r="K2476" t="s">
        <v>17</v>
      </c>
    </row>
    <row r="2477" spans="1:11" ht="15" customHeight="1" x14ac:dyDescent="0.3">
      <c r="A2477" t="s">
        <v>18</v>
      </c>
      <c r="B2477" t="s">
        <v>11</v>
      </c>
      <c r="C2477" t="s">
        <v>24</v>
      </c>
      <c r="D2477" t="s">
        <v>28</v>
      </c>
      <c r="E2477">
        <v>12</v>
      </c>
      <c r="F2477" t="s">
        <v>39</v>
      </c>
      <c r="G2477" t="s">
        <v>15</v>
      </c>
      <c r="H2477" t="s">
        <v>16</v>
      </c>
      <c r="I2477">
        <v>0</v>
      </c>
      <c r="J2477" s="23">
        <v>2359718</v>
      </c>
      <c r="K2477">
        <v>28316616</v>
      </c>
    </row>
    <row r="2478" spans="1:11" ht="15" customHeight="1" x14ac:dyDescent="0.3">
      <c r="A2478" t="s">
        <v>10</v>
      </c>
      <c r="B2478" t="s">
        <v>19</v>
      </c>
      <c r="C2478" t="s">
        <v>12</v>
      </c>
      <c r="D2478" t="s">
        <v>20</v>
      </c>
      <c r="E2478">
        <v>47</v>
      </c>
      <c r="F2478"/>
      <c r="G2478" t="s">
        <v>15</v>
      </c>
      <c r="H2478" t="s">
        <v>16</v>
      </c>
      <c r="I2478">
        <v>0</v>
      </c>
      <c r="J2478" s="23">
        <v>-8544</v>
      </c>
      <c r="K2478" t="s">
        <v>17</v>
      </c>
    </row>
    <row r="2479" spans="1:11" ht="15" customHeight="1" x14ac:dyDescent="0.3">
      <c r="A2479" t="s">
        <v>18</v>
      </c>
      <c r="B2479" t="s">
        <v>11</v>
      </c>
      <c r="C2479" t="s">
        <v>24</v>
      </c>
      <c r="D2479" t="s">
        <v>28</v>
      </c>
      <c r="E2479">
        <v>0</v>
      </c>
      <c r="F2479" t="s">
        <v>34</v>
      </c>
      <c r="G2479" t="s">
        <v>31</v>
      </c>
      <c r="H2479" t="s">
        <v>16</v>
      </c>
      <c r="I2479">
        <v>1</v>
      </c>
      <c r="J2479" s="23">
        <v>7485</v>
      </c>
      <c r="K2479" t="s">
        <v>17</v>
      </c>
    </row>
    <row r="2480" spans="1:11" ht="15" customHeight="1" x14ac:dyDescent="0.3">
      <c r="A2480" t="s">
        <v>10</v>
      </c>
      <c r="B2480" t="s">
        <v>11</v>
      </c>
      <c r="C2480" t="s">
        <v>24</v>
      </c>
      <c r="D2480" t="s">
        <v>28</v>
      </c>
      <c r="E2480">
        <v>3</v>
      </c>
      <c r="F2480" t="s">
        <v>39</v>
      </c>
      <c r="G2480" t="s">
        <v>15</v>
      </c>
      <c r="H2480" t="s">
        <v>16</v>
      </c>
      <c r="I2480">
        <v>0</v>
      </c>
      <c r="J2480" s="23">
        <v>201666</v>
      </c>
      <c r="K2480">
        <v>604998</v>
      </c>
    </row>
    <row r="2481" spans="1:11" ht="15" customHeight="1" x14ac:dyDescent="0.3">
      <c r="A2481" t="s">
        <v>22</v>
      </c>
      <c r="B2481" t="s">
        <v>11</v>
      </c>
      <c r="C2481" t="s">
        <v>12</v>
      </c>
      <c r="D2481" t="s">
        <v>28</v>
      </c>
      <c r="E2481">
        <v>-1</v>
      </c>
      <c r="F2481" t="s">
        <v>30</v>
      </c>
      <c r="G2481" t="s">
        <v>15</v>
      </c>
      <c r="H2481" t="s">
        <v>16</v>
      </c>
      <c r="I2481">
        <v>0</v>
      </c>
      <c r="J2481" s="23">
        <v>-166</v>
      </c>
      <c r="K2481" t="s">
        <v>17</v>
      </c>
    </row>
    <row r="2482" spans="1:11" ht="15" customHeight="1" x14ac:dyDescent="0.3">
      <c r="A2482" t="s">
        <v>22</v>
      </c>
      <c r="B2482" t="s">
        <v>11</v>
      </c>
      <c r="C2482" t="s">
        <v>24</v>
      </c>
      <c r="D2482" t="s">
        <v>13</v>
      </c>
      <c r="E2482">
        <v>5</v>
      </c>
      <c r="F2482" t="s">
        <v>23</v>
      </c>
      <c r="G2482" t="s">
        <v>15</v>
      </c>
      <c r="H2482" t="s">
        <v>16</v>
      </c>
      <c r="I2482">
        <v>0</v>
      </c>
      <c r="J2482" s="23">
        <v>194436</v>
      </c>
      <c r="K2482">
        <v>972180</v>
      </c>
    </row>
    <row r="2483" spans="1:11" ht="15" customHeight="1" x14ac:dyDescent="0.3">
      <c r="A2483" t="s">
        <v>18</v>
      </c>
      <c r="B2483" t="s">
        <v>19</v>
      </c>
      <c r="C2483" t="s">
        <v>24</v>
      </c>
      <c r="D2483" t="s">
        <v>20</v>
      </c>
      <c r="E2483">
        <v>28</v>
      </c>
      <c r="F2483"/>
      <c r="G2483" t="s">
        <v>31</v>
      </c>
      <c r="H2483" t="s">
        <v>32</v>
      </c>
      <c r="I2483">
        <v>1</v>
      </c>
      <c r="J2483" s="23">
        <v>431186</v>
      </c>
      <c r="K2483">
        <v>12073208</v>
      </c>
    </row>
    <row r="2484" spans="1:11" ht="15" customHeight="1" x14ac:dyDescent="0.3">
      <c r="A2484" t="s">
        <v>10</v>
      </c>
      <c r="B2484" t="s">
        <v>19</v>
      </c>
      <c r="C2484" t="s">
        <v>12</v>
      </c>
      <c r="D2484" t="s">
        <v>20</v>
      </c>
      <c r="E2484">
        <v>33</v>
      </c>
      <c r="F2484"/>
      <c r="G2484" t="s">
        <v>31</v>
      </c>
      <c r="H2484" t="s">
        <v>16</v>
      </c>
      <c r="I2484">
        <v>1</v>
      </c>
      <c r="J2484" s="23">
        <v>-67796</v>
      </c>
      <c r="K2484" t="s">
        <v>17</v>
      </c>
    </row>
    <row r="2485" spans="1:11" ht="15" customHeight="1" x14ac:dyDescent="0.3">
      <c r="A2485" t="s">
        <v>22</v>
      </c>
      <c r="B2485" t="s">
        <v>11</v>
      </c>
      <c r="C2485" t="s">
        <v>24</v>
      </c>
      <c r="D2485" t="s">
        <v>13</v>
      </c>
      <c r="E2485">
        <v>4</v>
      </c>
      <c r="F2485" t="s">
        <v>35</v>
      </c>
      <c r="G2485" t="s">
        <v>15</v>
      </c>
      <c r="H2485" t="s">
        <v>16</v>
      </c>
      <c r="I2485">
        <v>0</v>
      </c>
      <c r="J2485" s="23">
        <v>251840</v>
      </c>
      <c r="K2485">
        <v>1007360</v>
      </c>
    </row>
    <row r="2486" spans="1:11" ht="15" customHeight="1" x14ac:dyDescent="0.3">
      <c r="A2486" t="s">
        <v>22</v>
      </c>
      <c r="B2486" t="s">
        <v>11</v>
      </c>
      <c r="C2486" t="s">
        <v>24</v>
      </c>
      <c r="D2486" t="s">
        <v>13</v>
      </c>
      <c r="E2486">
        <v>2</v>
      </c>
      <c r="F2486" t="s">
        <v>14</v>
      </c>
      <c r="G2486" t="s">
        <v>15</v>
      </c>
      <c r="H2486" t="s">
        <v>16</v>
      </c>
      <c r="I2486">
        <v>0</v>
      </c>
      <c r="J2486" s="23">
        <v>782867</v>
      </c>
      <c r="K2486">
        <v>1565734</v>
      </c>
    </row>
    <row r="2487" spans="1:11" ht="15" customHeight="1" x14ac:dyDescent="0.3">
      <c r="A2487" t="s">
        <v>10</v>
      </c>
      <c r="B2487" t="s">
        <v>11</v>
      </c>
      <c r="C2487" t="s">
        <v>12</v>
      </c>
      <c r="D2487" t="s">
        <v>28</v>
      </c>
      <c r="E2487">
        <v>-1</v>
      </c>
      <c r="F2487" t="s">
        <v>40</v>
      </c>
      <c r="G2487" t="s">
        <v>15</v>
      </c>
      <c r="H2487" t="s">
        <v>16</v>
      </c>
      <c r="I2487">
        <v>0</v>
      </c>
      <c r="J2487" s="23">
        <v>-1891</v>
      </c>
      <c r="K2487" t="s">
        <v>17</v>
      </c>
    </row>
    <row r="2488" spans="1:11" ht="15" customHeight="1" x14ac:dyDescent="0.3">
      <c r="A2488" t="s">
        <v>18</v>
      </c>
      <c r="B2488" t="s">
        <v>11</v>
      </c>
      <c r="C2488" t="s">
        <v>12</v>
      </c>
      <c r="D2488" t="s">
        <v>28</v>
      </c>
      <c r="E2488">
        <v>-1</v>
      </c>
      <c r="F2488" t="s">
        <v>23</v>
      </c>
      <c r="G2488" t="s">
        <v>15</v>
      </c>
      <c r="H2488" t="s">
        <v>16</v>
      </c>
      <c r="I2488">
        <v>0</v>
      </c>
      <c r="J2488" s="23">
        <v>-9614</v>
      </c>
      <c r="K2488" t="s">
        <v>17</v>
      </c>
    </row>
    <row r="2489" spans="1:11" ht="15" customHeight="1" x14ac:dyDescent="0.3">
      <c r="A2489" t="s">
        <v>18</v>
      </c>
      <c r="B2489" t="s">
        <v>11</v>
      </c>
      <c r="C2489" t="s">
        <v>24</v>
      </c>
      <c r="D2489" t="s">
        <v>13</v>
      </c>
      <c r="E2489">
        <v>3</v>
      </c>
      <c r="F2489" t="s">
        <v>30</v>
      </c>
      <c r="G2489" t="s">
        <v>15</v>
      </c>
      <c r="H2489" t="s">
        <v>16</v>
      </c>
      <c r="I2489">
        <v>0</v>
      </c>
      <c r="J2489" s="23">
        <v>120497854</v>
      </c>
      <c r="K2489">
        <v>361493562</v>
      </c>
    </row>
    <row r="2490" spans="1:11" ht="15" customHeight="1" x14ac:dyDescent="0.3">
      <c r="A2490" t="s">
        <v>22</v>
      </c>
      <c r="B2490" t="s">
        <v>19</v>
      </c>
      <c r="C2490" t="s">
        <v>12</v>
      </c>
      <c r="D2490" t="s">
        <v>20</v>
      </c>
      <c r="E2490">
        <v>33</v>
      </c>
      <c r="F2490"/>
      <c r="G2490" t="s">
        <v>31</v>
      </c>
      <c r="H2490" t="s">
        <v>16</v>
      </c>
      <c r="I2490">
        <v>1</v>
      </c>
      <c r="J2490" s="23">
        <v>-10854</v>
      </c>
      <c r="K2490" t="s">
        <v>17</v>
      </c>
    </row>
    <row r="2491" spans="1:11" ht="15" customHeight="1" x14ac:dyDescent="0.3">
      <c r="A2491" t="s">
        <v>10</v>
      </c>
      <c r="B2491" t="s">
        <v>11</v>
      </c>
      <c r="C2491" t="s">
        <v>12</v>
      </c>
      <c r="D2491" t="s">
        <v>28</v>
      </c>
      <c r="E2491">
        <v>11</v>
      </c>
      <c r="F2491" t="s">
        <v>14</v>
      </c>
      <c r="G2491" t="s">
        <v>15</v>
      </c>
      <c r="H2491" t="s">
        <v>16</v>
      </c>
      <c r="I2491">
        <v>0</v>
      </c>
      <c r="J2491" s="23">
        <v>-266608</v>
      </c>
      <c r="K2491" t="s">
        <v>17</v>
      </c>
    </row>
    <row r="2492" spans="1:11" ht="15" customHeight="1" x14ac:dyDescent="0.3">
      <c r="A2492" t="s">
        <v>10</v>
      </c>
      <c r="B2492" t="s">
        <v>19</v>
      </c>
      <c r="C2492" t="s">
        <v>24</v>
      </c>
      <c r="D2492" t="s">
        <v>20</v>
      </c>
      <c r="E2492">
        <v>8</v>
      </c>
      <c r="F2492"/>
      <c r="G2492" t="s">
        <v>15</v>
      </c>
      <c r="H2492" t="s">
        <v>16</v>
      </c>
      <c r="I2492">
        <v>0</v>
      </c>
      <c r="J2492" s="23">
        <v>19849709</v>
      </c>
      <c r="K2492">
        <v>158797672</v>
      </c>
    </row>
    <row r="2493" spans="1:11" ht="15" customHeight="1" x14ac:dyDescent="0.3">
      <c r="A2493" t="s">
        <v>10</v>
      </c>
      <c r="B2493" t="s">
        <v>11</v>
      </c>
      <c r="C2493" t="s">
        <v>24</v>
      </c>
      <c r="D2493" t="s">
        <v>13</v>
      </c>
      <c r="E2493">
        <v>-4</v>
      </c>
      <c r="F2493" t="s">
        <v>26</v>
      </c>
      <c r="G2493" t="s">
        <v>15</v>
      </c>
      <c r="H2493" t="s">
        <v>16</v>
      </c>
      <c r="I2493">
        <v>0</v>
      </c>
      <c r="J2493" s="23">
        <v>39380</v>
      </c>
      <c r="K2493" t="s">
        <v>17</v>
      </c>
    </row>
    <row r="2494" spans="1:11" ht="15" customHeight="1" x14ac:dyDescent="0.3">
      <c r="A2494" t="s">
        <v>18</v>
      </c>
      <c r="B2494" t="s">
        <v>11</v>
      </c>
      <c r="C2494" t="s">
        <v>24</v>
      </c>
      <c r="D2494" t="s">
        <v>28</v>
      </c>
      <c r="E2494">
        <v>-1</v>
      </c>
      <c r="F2494" t="s">
        <v>26</v>
      </c>
      <c r="G2494" t="s">
        <v>15</v>
      </c>
      <c r="H2494" t="s">
        <v>16</v>
      </c>
      <c r="I2494">
        <v>0</v>
      </c>
      <c r="J2494" s="23">
        <v>4217531</v>
      </c>
      <c r="K2494" t="s">
        <v>17</v>
      </c>
    </row>
    <row r="2495" spans="1:11" ht="15" customHeight="1" x14ac:dyDescent="0.3">
      <c r="A2495" t="s">
        <v>10</v>
      </c>
      <c r="B2495" t="s">
        <v>11</v>
      </c>
      <c r="C2495" t="s">
        <v>24</v>
      </c>
      <c r="D2495" t="s">
        <v>28</v>
      </c>
      <c r="E2495">
        <v>-4</v>
      </c>
      <c r="F2495" t="s">
        <v>37</v>
      </c>
      <c r="G2495" t="s">
        <v>15</v>
      </c>
      <c r="H2495" t="s">
        <v>16</v>
      </c>
      <c r="I2495">
        <v>0</v>
      </c>
      <c r="J2495" s="23">
        <v>128</v>
      </c>
      <c r="K2495" t="s">
        <v>17</v>
      </c>
    </row>
    <row r="2496" spans="1:11" ht="15" customHeight="1" x14ac:dyDescent="0.3">
      <c r="A2496" t="s">
        <v>10</v>
      </c>
      <c r="B2496" t="s">
        <v>11</v>
      </c>
      <c r="C2496" t="s">
        <v>24</v>
      </c>
      <c r="D2496" t="s">
        <v>13</v>
      </c>
      <c r="E2496">
        <v>1</v>
      </c>
      <c r="F2496" t="s">
        <v>29</v>
      </c>
      <c r="G2496" t="s">
        <v>15</v>
      </c>
      <c r="H2496" t="s">
        <v>16</v>
      </c>
      <c r="I2496">
        <v>0</v>
      </c>
      <c r="J2496" s="23">
        <v>28509944</v>
      </c>
      <c r="K2496">
        <v>28509944</v>
      </c>
    </row>
    <row r="2497" spans="1:11" ht="15" customHeight="1" x14ac:dyDescent="0.3">
      <c r="A2497" t="s">
        <v>18</v>
      </c>
      <c r="B2497" t="s">
        <v>19</v>
      </c>
      <c r="C2497" t="s">
        <v>24</v>
      </c>
      <c r="D2497" t="s">
        <v>20</v>
      </c>
      <c r="E2497">
        <v>8</v>
      </c>
      <c r="F2497"/>
      <c r="G2497" t="s">
        <v>31</v>
      </c>
      <c r="H2497" t="s">
        <v>16</v>
      </c>
      <c r="I2497">
        <v>1</v>
      </c>
      <c r="J2497" s="23">
        <v>2792759</v>
      </c>
      <c r="K2497">
        <v>22342072</v>
      </c>
    </row>
    <row r="2498" spans="1:11" ht="15" customHeight="1" x14ac:dyDescent="0.3">
      <c r="A2498" t="s">
        <v>10</v>
      </c>
      <c r="B2498" t="s">
        <v>11</v>
      </c>
      <c r="C2498" t="s">
        <v>12</v>
      </c>
      <c r="D2498" t="s">
        <v>25</v>
      </c>
      <c r="E2498">
        <v>7</v>
      </c>
      <c r="F2498" t="s">
        <v>33</v>
      </c>
      <c r="G2498" t="s">
        <v>15</v>
      </c>
      <c r="H2498" t="s">
        <v>16</v>
      </c>
      <c r="I2498">
        <v>0</v>
      </c>
      <c r="J2498" s="23">
        <v>-1924</v>
      </c>
      <c r="K2498" t="s">
        <v>17</v>
      </c>
    </row>
    <row r="2499" spans="1:11" ht="15" customHeight="1" x14ac:dyDescent="0.3">
      <c r="A2499" t="s">
        <v>18</v>
      </c>
      <c r="B2499" t="s">
        <v>19</v>
      </c>
      <c r="C2499" t="s">
        <v>12</v>
      </c>
      <c r="D2499" t="s">
        <v>28</v>
      </c>
      <c r="E2499">
        <v>26</v>
      </c>
      <c r="F2499"/>
      <c r="G2499" t="s">
        <v>15</v>
      </c>
      <c r="H2499" t="s">
        <v>16</v>
      </c>
      <c r="I2499">
        <v>0</v>
      </c>
      <c r="J2499" s="23">
        <v>-475</v>
      </c>
      <c r="K2499" t="s">
        <v>17</v>
      </c>
    </row>
    <row r="2500" spans="1:11" ht="15" customHeight="1" x14ac:dyDescent="0.3">
      <c r="A2500" t="s">
        <v>18</v>
      </c>
      <c r="B2500" t="s">
        <v>47</v>
      </c>
      <c r="C2500" t="s">
        <v>12</v>
      </c>
      <c r="D2500" t="s">
        <v>20</v>
      </c>
      <c r="E2500">
        <v>4</v>
      </c>
      <c r="F2500" t="s">
        <v>46</v>
      </c>
      <c r="G2500" t="s">
        <v>15</v>
      </c>
      <c r="H2500" t="s">
        <v>16</v>
      </c>
      <c r="I2500">
        <v>0</v>
      </c>
      <c r="J2500" s="23">
        <v>-24</v>
      </c>
      <c r="K2500" t="s">
        <v>17</v>
      </c>
    </row>
    <row r="2501" spans="1:11" ht="15" customHeight="1" x14ac:dyDescent="0.3">
      <c r="A2501" t="s">
        <v>10</v>
      </c>
      <c r="B2501" t="s">
        <v>11</v>
      </c>
      <c r="C2501" t="s">
        <v>12</v>
      </c>
      <c r="D2501" t="s">
        <v>28</v>
      </c>
      <c r="E2501">
        <v>12</v>
      </c>
      <c r="F2501" t="s">
        <v>29</v>
      </c>
      <c r="G2501" t="s">
        <v>15</v>
      </c>
      <c r="H2501" t="s">
        <v>32</v>
      </c>
      <c r="I2501">
        <v>1</v>
      </c>
      <c r="J2501" s="23">
        <v>-60371</v>
      </c>
      <c r="K2501" t="s">
        <v>17</v>
      </c>
    </row>
    <row r="2502" spans="1:11" ht="15" customHeight="1" x14ac:dyDescent="0.3">
      <c r="A2502" t="s">
        <v>10</v>
      </c>
      <c r="B2502" t="s">
        <v>19</v>
      </c>
      <c r="C2502" t="s">
        <v>24</v>
      </c>
      <c r="D2502" t="s">
        <v>20</v>
      </c>
      <c r="E2502">
        <v>29</v>
      </c>
      <c r="F2502"/>
      <c r="G2502" t="s">
        <v>31</v>
      </c>
      <c r="H2502" t="s">
        <v>32</v>
      </c>
      <c r="I2502">
        <v>1</v>
      </c>
      <c r="J2502" s="23">
        <v>94075</v>
      </c>
      <c r="K2502">
        <v>2728175</v>
      </c>
    </row>
    <row r="2503" spans="1:11" ht="15" customHeight="1" x14ac:dyDescent="0.3">
      <c r="A2503" t="s">
        <v>10</v>
      </c>
      <c r="B2503" t="s">
        <v>19</v>
      </c>
      <c r="C2503" t="s">
        <v>12</v>
      </c>
      <c r="D2503" t="s">
        <v>20</v>
      </c>
      <c r="E2503">
        <v>6</v>
      </c>
      <c r="F2503"/>
      <c r="G2503" t="s">
        <v>31</v>
      </c>
      <c r="H2503" t="s">
        <v>16</v>
      </c>
      <c r="I2503">
        <v>1</v>
      </c>
      <c r="J2503" s="23">
        <v>-2297</v>
      </c>
      <c r="K2503" t="s">
        <v>17</v>
      </c>
    </row>
    <row r="2504" spans="1:11" ht="15" customHeight="1" x14ac:dyDescent="0.3">
      <c r="A2504" t="s">
        <v>18</v>
      </c>
      <c r="B2504" t="s">
        <v>11</v>
      </c>
      <c r="C2504" t="s">
        <v>24</v>
      </c>
      <c r="D2504" t="s">
        <v>13</v>
      </c>
      <c r="E2504">
        <v>10</v>
      </c>
      <c r="F2504" t="s">
        <v>40</v>
      </c>
      <c r="G2504" t="s">
        <v>15</v>
      </c>
      <c r="H2504" t="s">
        <v>16</v>
      </c>
      <c r="I2504">
        <v>0</v>
      </c>
      <c r="J2504" s="23">
        <v>1177433</v>
      </c>
      <c r="K2504">
        <v>11774330</v>
      </c>
    </row>
    <row r="2505" spans="1:11" ht="15" customHeight="1" x14ac:dyDescent="0.3">
      <c r="A2505" t="s">
        <v>22</v>
      </c>
      <c r="B2505" t="s">
        <v>19</v>
      </c>
      <c r="C2505" t="s">
        <v>12</v>
      </c>
      <c r="D2505" t="s">
        <v>20</v>
      </c>
      <c r="E2505">
        <v>9</v>
      </c>
      <c r="F2505"/>
      <c r="G2505" t="s">
        <v>15</v>
      </c>
      <c r="H2505" t="s">
        <v>16</v>
      </c>
      <c r="I2505">
        <v>0</v>
      </c>
      <c r="J2505" s="23">
        <v>-909061</v>
      </c>
      <c r="K2505" t="s">
        <v>17</v>
      </c>
    </row>
    <row r="2506" spans="1:11" ht="15" customHeight="1" x14ac:dyDescent="0.3">
      <c r="A2506" t="s">
        <v>18</v>
      </c>
      <c r="B2506" t="s">
        <v>19</v>
      </c>
      <c r="C2506" t="s">
        <v>24</v>
      </c>
      <c r="D2506" t="s">
        <v>28</v>
      </c>
      <c r="E2506">
        <v>1</v>
      </c>
      <c r="F2506"/>
      <c r="G2506" t="s">
        <v>15</v>
      </c>
      <c r="H2506" t="s">
        <v>16</v>
      </c>
      <c r="I2506">
        <v>0</v>
      </c>
      <c r="J2506" s="23">
        <v>2712185</v>
      </c>
      <c r="K2506">
        <v>2712185</v>
      </c>
    </row>
    <row r="2507" spans="1:11" ht="15" customHeight="1" x14ac:dyDescent="0.3">
      <c r="A2507" t="s">
        <v>10</v>
      </c>
      <c r="B2507" t="s">
        <v>19</v>
      </c>
      <c r="C2507" t="s">
        <v>12</v>
      </c>
      <c r="D2507" t="s">
        <v>20</v>
      </c>
      <c r="E2507">
        <v>15</v>
      </c>
      <c r="F2507"/>
      <c r="G2507" t="s">
        <v>15</v>
      </c>
      <c r="H2507" t="s">
        <v>32</v>
      </c>
      <c r="I2507">
        <v>1</v>
      </c>
      <c r="J2507" s="23">
        <v>-1432</v>
      </c>
      <c r="K2507" t="s">
        <v>17</v>
      </c>
    </row>
    <row r="2508" spans="1:11" ht="15" customHeight="1" x14ac:dyDescent="0.3">
      <c r="A2508" t="s">
        <v>10</v>
      </c>
      <c r="B2508" t="s">
        <v>19</v>
      </c>
      <c r="C2508" t="s">
        <v>24</v>
      </c>
      <c r="D2508" t="s">
        <v>20</v>
      </c>
      <c r="E2508">
        <v>10</v>
      </c>
      <c r="F2508"/>
      <c r="G2508" t="s">
        <v>31</v>
      </c>
      <c r="H2508" t="s">
        <v>16</v>
      </c>
      <c r="I2508">
        <v>1</v>
      </c>
      <c r="J2508" s="23">
        <v>316943</v>
      </c>
      <c r="K2508">
        <v>3169430</v>
      </c>
    </row>
    <row r="2509" spans="1:11" ht="15" customHeight="1" x14ac:dyDescent="0.3">
      <c r="A2509" t="s">
        <v>18</v>
      </c>
      <c r="B2509" t="s">
        <v>11</v>
      </c>
      <c r="C2509" t="s">
        <v>24</v>
      </c>
      <c r="D2509" t="s">
        <v>13</v>
      </c>
      <c r="E2509">
        <v>-1</v>
      </c>
      <c r="F2509" t="s">
        <v>33</v>
      </c>
      <c r="G2509" t="s">
        <v>15</v>
      </c>
      <c r="H2509" t="s">
        <v>16</v>
      </c>
      <c r="I2509">
        <v>0</v>
      </c>
      <c r="J2509" s="23">
        <v>38545125</v>
      </c>
      <c r="K2509" t="s">
        <v>17</v>
      </c>
    </row>
    <row r="2510" spans="1:11" ht="15" customHeight="1" x14ac:dyDescent="0.3">
      <c r="A2510" t="s">
        <v>18</v>
      </c>
      <c r="B2510" t="s">
        <v>11</v>
      </c>
      <c r="C2510" t="s">
        <v>12</v>
      </c>
      <c r="D2510" t="s">
        <v>13</v>
      </c>
      <c r="E2510">
        <v>5</v>
      </c>
      <c r="F2510" t="s">
        <v>45</v>
      </c>
      <c r="G2510" t="s">
        <v>15</v>
      </c>
      <c r="H2510" t="s">
        <v>16</v>
      </c>
      <c r="I2510">
        <v>0</v>
      </c>
      <c r="J2510" s="23">
        <v>-1992</v>
      </c>
      <c r="K2510" t="s">
        <v>17</v>
      </c>
    </row>
    <row r="2511" spans="1:11" ht="15" customHeight="1" x14ac:dyDescent="0.3">
      <c r="A2511" t="s">
        <v>18</v>
      </c>
      <c r="B2511" t="s">
        <v>19</v>
      </c>
      <c r="C2511" t="s">
        <v>12</v>
      </c>
      <c r="D2511" t="s">
        <v>20</v>
      </c>
      <c r="E2511">
        <v>10</v>
      </c>
      <c r="F2511"/>
      <c r="G2511" t="s">
        <v>15</v>
      </c>
      <c r="H2511" t="s">
        <v>32</v>
      </c>
      <c r="I2511">
        <v>1</v>
      </c>
      <c r="J2511" s="23">
        <v>-637</v>
      </c>
      <c r="K2511" t="s">
        <v>17</v>
      </c>
    </row>
    <row r="2512" spans="1:11" ht="15" customHeight="1" x14ac:dyDescent="0.3">
      <c r="A2512" t="s">
        <v>22</v>
      </c>
      <c r="B2512" t="s">
        <v>19</v>
      </c>
      <c r="C2512" t="s">
        <v>12</v>
      </c>
      <c r="D2512" t="s">
        <v>20</v>
      </c>
      <c r="E2512">
        <v>3</v>
      </c>
      <c r="F2512"/>
      <c r="G2512" t="s">
        <v>15</v>
      </c>
      <c r="H2512" t="s">
        <v>32</v>
      </c>
      <c r="I2512">
        <v>1</v>
      </c>
      <c r="J2512" s="23">
        <v>-12188</v>
      </c>
      <c r="K2512" t="s">
        <v>17</v>
      </c>
    </row>
    <row r="2513" spans="1:11" ht="15" customHeight="1" x14ac:dyDescent="0.3">
      <c r="A2513" t="s">
        <v>10</v>
      </c>
      <c r="B2513" t="s">
        <v>11</v>
      </c>
      <c r="C2513" t="s">
        <v>12</v>
      </c>
      <c r="D2513" t="s">
        <v>25</v>
      </c>
      <c r="E2513">
        <v>5</v>
      </c>
      <c r="F2513" t="s">
        <v>23</v>
      </c>
      <c r="G2513" t="s">
        <v>15</v>
      </c>
      <c r="H2513" t="s">
        <v>16</v>
      </c>
      <c r="I2513">
        <v>0</v>
      </c>
      <c r="J2513" s="23">
        <v>-45100</v>
      </c>
      <c r="K2513" t="s">
        <v>17</v>
      </c>
    </row>
    <row r="2514" spans="1:11" ht="15" customHeight="1" x14ac:dyDescent="0.3">
      <c r="A2514" t="s">
        <v>18</v>
      </c>
      <c r="B2514" t="s">
        <v>11</v>
      </c>
      <c r="C2514" t="s">
        <v>12</v>
      </c>
      <c r="D2514" t="s">
        <v>28</v>
      </c>
      <c r="E2514">
        <v>-1</v>
      </c>
      <c r="F2514" t="s">
        <v>34</v>
      </c>
      <c r="G2514" t="s">
        <v>15</v>
      </c>
      <c r="H2514" t="s">
        <v>16</v>
      </c>
      <c r="I2514">
        <v>0</v>
      </c>
      <c r="J2514" s="23">
        <v>-10029</v>
      </c>
      <c r="K2514" t="s">
        <v>17</v>
      </c>
    </row>
    <row r="2515" spans="1:11" ht="15" customHeight="1" x14ac:dyDescent="0.3">
      <c r="A2515" t="s">
        <v>18</v>
      </c>
      <c r="B2515" t="s">
        <v>11</v>
      </c>
      <c r="C2515" t="s">
        <v>12</v>
      </c>
      <c r="D2515" t="s">
        <v>13</v>
      </c>
      <c r="E2515">
        <v>6</v>
      </c>
      <c r="F2515" t="s">
        <v>29</v>
      </c>
      <c r="G2515" t="s">
        <v>15</v>
      </c>
      <c r="H2515" t="s">
        <v>16</v>
      </c>
      <c r="I2515">
        <v>0</v>
      </c>
      <c r="J2515" s="23">
        <v>-97173</v>
      </c>
      <c r="K2515" t="s">
        <v>17</v>
      </c>
    </row>
    <row r="2516" spans="1:11" ht="15" customHeight="1" x14ac:dyDescent="0.3">
      <c r="A2516" t="s">
        <v>18</v>
      </c>
      <c r="B2516" t="s">
        <v>11</v>
      </c>
      <c r="C2516" t="s">
        <v>24</v>
      </c>
      <c r="D2516" t="s">
        <v>28</v>
      </c>
      <c r="E2516">
        <v>10</v>
      </c>
      <c r="F2516" t="s">
        <v>34</v>
      </c>
      <c r="G2516" t="s">
        <v>15</v>
      </c>
      <c r="H2516" t="s">
        <v>16</v>
      </c>
      <c r="I2516">
        <v>0</v>
      </c>
      <c r="J2516" s="23">
        <v>10699257</v>
      </c>
      <c r="K2516">
        <v>106992570</v>
      </c>
    </row>
    <row r="2517" spans="1:11" ht="15" customHeight="1" x14ac:dyDescent="0.3">
      <c r="A2517" t="s">
        <v>22</v>
      </c>
      <c r="B2517" t="s">
        <v>19</v>
      </c>
      <c r="C2517" t="s">
        <v>24</v>
      </c>
      <c r="D2517" t="s">
        <v>20</v>
      </c>
      <c r="E2517">
        <v>42</v>
      </c>
      <c r="F2517"/>
      <c r="G2517" t="s">
        <v>15</v>
      </c>
      <c r="H2517" t="s">
        <v>16</v>
      </c>
      <c r="I2517">
        <v>0</v>
      </c>
      <c r="J2517" s="23">
        <v>1157956</v>
      </c>
      <c r="K2517">
        <v>48634152</v>
      </c>
    </row>
    <row r="2518" spans="1:11" ht="15" customHeight="1" x14ac:dyDescent="0.3">
      <c r="A2518" t="s">
        <v>18</v>
      </c>
      <c r="B2518" t="s">
        <v>19</v>
      </c>
      <c r="C2518" t="s">
        <v>24</v>
      </c>
      <c r="D2518" t="s">
        <v>28</v>
      </c>
      <c r="E2518">
        <v>24</v>
      </c>
      <c r="F2518"/>
      <c r="G2518" t="s">
        <v>15</v>
      </c>
      <c r="H2518" t="s">
        <v>16</v>
      </c>
      <c r="I2518">
        <v>0</v>
      </c>
      <c r="J2518" s="23">
        <v>496124</v>
      </c>
      <c r="K2518">
        <v>11906976</v>
      </c>
    </row>
    <row r="2519" spans="1:11" ht="15" customHeight="1" x14ac:dyDescent="0.3">
      <c r="A2519" t="s">
        <v>22</v>
      </c>
      <c r="B2519" t="s">
        <v>19</v>
      </c>
      <c r="C2519" t="s">
        <v>12</v>
      </c>
      <c r="D2519" t="s">
        <v>20</v>
      </c>
      <c r="E2519">
        <v>12</v>
      </c>
      <c r="F2519"/>
      <c r="G2519" t="s">
        <v>15</v>
      </c>
      <c r="H2519" t="s">
        <v>16</v>
      </c>
      <c r="I2519">
        <v>0</v>
      </c>
      <c r="J2519" s="23">
        <v>-1415751</v>
      </c>
      <c r="K2519" t="s">
        <v>17</v>
      </c>
    </row>
    <row r="2520" spans="1:11" ht="15" customHeight="1" x14ac:dyDescent="0.3">
      <c r="A2520" t="s">
        <v>18</v>
      </c>
      <c r="B2520" t="s">
        <v>44</v>
      </c>
      <c r="C2520" t="s">
        <v>12</v>
      </c>
      <c r="D2520" t="s">
        <v>28</v>
      </c>
      <c r="E2520">
        <v>0</v>
      </c>
      <c r="F2520" t="s">
        <v>38</v>
      </c>
      <c r="G2520" t="s">
        <v>15</v>
      </c>
      <c r="H2520" t="s">
        <v>16</v>
      </c>
      <c r="I2520">
        <v>0</v>
      </c>
      <c r="J2520" s="23">
        <v>-42</v>
      </c>
      <c r="K2520" t="s">
        <v>17</v>
      </c>
    </row>
    <row r="2521" spans="1:11" ht="15" customHeight="1" x14ac:dyDescent="0.3">
      <c r="A2521" t="s">
        <v>18</v>
      </c>
      <c r="B2521" t="s">
        <v>11</v>
      </c>
      <c r="C2521" t="s">
        <v>24</v>
      </c>
      <c r="D2521" t="s">
        <v>25</v>
      </c>
      <c r="E2521">
        <v>3</v>
      </c>
      <c r="F2521" t="s">
        <v>37</v>
      </c>
      <c r="G2521" t="s">
        <v>15</v>
      </c>
      <c r="H2521" t="s">
        <v>16</v>
      </c>
      <c r="I2521">
        <v>0</v>
      </c>
      <c r="J2521" s="23">
        <v>576450</v>
      </c>
      <c r="K2521">
        <v>1729350</v>
      </c>
    </row>
    <row r="2522" spans="1:11" ht="15" customHeight="1" x14ac:dyDescent="0.3">
      <c r="A2522" t="s">
        <v>22</v>
      </c>
      <c r="B2522" t="s">
        <v>11</v>
      </c>
      <c r="C2522" t="s">
        <v>24</v>
      </c>
      <c r="D2522" t="s">
        <v>28</v>
      </c>
      <c r="E2522">
        <v>1</v>
      </c>
      <c r="F2522" t="s">
        <v>34</v>
      </c>
      <c r="G2522" t="s">
        <v>15</v>
      </c>
      <c r="H2522" t="s">
        <v>16</v>
      </c>
      <c r="I2522">
        <v>0</v>
      </c>
      <c r="J2522" s="23">
        <v>57819</v>
      </c>
      <c r="K2522">
        <v>57819</v>
      </c>
    </row>
    <row r="2523" spans="1:11" ht="15" customHeight="1" x14ac:dyDescent="0.3">
      <c r="A2523" t="s">
        <v>10</v>
      </c>
      <c r="B2523" t="s">
        <v>19</v>
      </c>
      <c r="C2523" t="s">
        <v>24</v>
      </c>
      <c r="D2523" t="s">
        <v>28</v>
      </c>
      <c r="E2523">
        <v>14</v>
      </c>
      <c r="F2523"/>
      <c r="G2523" t="s">
        <v>15</v>
      </c>
      <c r="H2523" t="s">
        <v>16</v>
      </c>
      <c r="I2523">
        <v>0</v>
      </c>
      <c r="J2523" s="23">
        <v>210556</v>
      </c>
      <c r="K2523">
        <v>2947784</v>
      </c>
    </row>
    <row r="2524" spans="1:11" ht="15" customHeight="1" x14ac:dyDescent="0.3">
      <c r="A2524" t="s">
        <v>18</v>
      </c>
      <c r="B2524" t="s">
        <v>11</v>
      </c>
      <c r="C2524" t="s">
        <v>12</v>
      </c>
      <c r="D2524" t="s">
        <v>28</v>
      </c>
      <c r="E2524">
        <v>4</v>
      </c>
      <c r="F2524" t="s">
        <v>35</v>
      </c>
      <c r="G2524" t="s">
        <v>15</v>
      </c>
      <c r="H2524" t="s">
        <v>16</v>
      </c>
      <c r="I2524">
        <v>0</v>
      </c>
      <c r="J2524" s="23">
        <v>-711</v>
      </c>
      <c r="K2524" t="s">
        <v>17</v>
      </c>
    </row>
    <row r="2525" spans="1:11" ht="15" customHeight="1" x14ac:dyDescent="0.3">
      <c r="A2525" t="s">
        <v>18</v>
      </c>
      <c r="B2525" t="s">
        <v>11</v>
      </c>
      <c r="C2525" t="s">
        <v>24</v>
      </c>
      <c r="D2525" t="s">
        <v>28</v>
      </c>
      <c r="E2525">
        <v>15</v>
      </c>
      <c r="F2525" t="s">
        <v>14</v>
      </c>
      <c r="G2525" t="s">
        <v>15</v>
      </c>
      <c r="H2525" t="s">
        <v>16</v>
      </c>
      <c r="I2525">
        <v>0</v>
      </c>
      <c r="J2525" s="23">
        <v>4198206</v>
      </c>
      <c r="K2525">
        <v>62973090</v>
      </c>
    </row>
    <row r="2526" spans="1:11" ht="15" customHeight="1" x14ac:dyDescent="0.3">
      <c r="A2526" t="s">
        <v>10</v>
      </c>
      <c r="B2526" t="s">
        <v>11</v>
      </c>
      <c r="C2526" t="s">
        <v>12</v>
      </c>
      <c r="D2526" t="s">
        <v>28</v>
      </c>
      <c r="E2526">
        <v>9</v>
      </c>
      <c r="F2526" t="s">
        <v>29</v>
      </c>
      <c r="G2526" t="s">
        <v>31</v>
      </c>
      <c r="H2526" t="s">
        <v>32</v>
      </c>
      <c r="I2526">
        <v>1</v>
      </c>
      <c r="J2526" s="23">
        <v>-8707</v>
      </c>
      <c r="K2526" t="s">
        <v>17</v>
      </c>
    </row>
    <row r="2527" spans="1:11" ht="15" customHeight="1" x14ac:dyDescent="0.3">
      <c r="A2527" t="s">
        <v>10</v>
      </c>
      <c r="B2527" t="s">
        <v>19</v>
      </c>
      <c r="C2527" t="s">
        <v>12</v>
      </c>
      <c r="D2527" t="s">
        <v>20</v>
      </c>
      <c r="E2527">
        <v>12</v>
      </c>
      <c r="F2527"/>
      <c r="G2527" t="s">
        <v>15</v>
      </c>
      <c r="H2527" t="s">
        <v>16</v>
      </c>
      <c r="I2527">
        <v>0</v>
      </c>
      <c r="J2527" s="23">
        <v>-353635</v>
      </c>
      <c r="K2527" t="s">
        <v>17</v>
      </c>
    </row>
    <row r="2528" spans="1:11" ht="15" customHeight="1" x14ac:dyDescent="0.3">
      <c r="A2528" t="s">
        <v>10</v>
      </c>
      <c r="B2528" t="s">
        <v>19</v>
      </c>
      <c r="C2528" t="s">
        <v>12</v>
      </c>
      <c r="D2528" t="s">
        <v>20</v>
      </c>
      <c r="E2528">
        <v>22</v>
      </c>
      <c r="F2528"/>
      <c r="G2528" t="s">
        <v>31</v>
      </c>
      <c r="H2528" t="s">
        <v>16</v>
      </c>
      <c r="I2528">
        <v>1</v>
      </c>
      <c r="J2528" s="23">
        <v>-4449</v>
      </c>
      <c r="K2528" t="s">
        <v>17</v>
      </c>
    </row>
    <row r="2529" spans="1:11" ht="15" customHeight="1" x14ac:dyDescent="0.3">
      <c r="A2529" t="s">
        <v>10</v>
      </c>
      <c r="B2529" t="s">
        <v>11</v>
      </c>
      <c r="C2529" t="s">
        <v>24</v>
      </c>
      <c r="D2529" t="s">
        <v>28</v>
      </c>
      <c r="E2529">
        <v>2</v>
      </c>
      <c r="F2529" t="s">
        <v>45</v>
      </c>
      <c r="G2529" t="s">
        <v>15</v>
      </c>
      <c r="H2529" t="s">
        <v>16</v>
      </c>
      <c r="I2529">
        <v>0</v>
      </c>
      <c r="J2529" s="23">
        <v>5040</v>
      </c>
      <c r="K2529">
        <v>10080</v>
      </c>
    </row>
    <row r="2530" spans="1:11" ht="15" customHeight="1" x14ac:dyDescent="0.3">
      <c r="A2530" t="s">
        <v>10</v>
      </c>
      <c r="B2530" t="s">
        <v>11</v>
      </c>
      <c r="C2530" t="s">
        <v>24</v>
      </c>
      <c r="D2530" t="s">
        <v>28</v>
      </c>
      <c r="E2530">
        <v>5</v>
      </c>
      <c r="F2530" t="s">
        <v>33</v>
      </c>
      <c r="G2530" t="s">
        <v>15</v>
      </c>
      <c r="H2530" t="s">
        <v>16</v>
      </c>
      <c r="I2530">
        <v>0</v>
      </c>
      <c r="J2530" s="23">
        <v>137239</v>
      </c>
      <c r="K2530">
        <v>686195</v>
      </c>
    </row>
    <row r="2531" spans="1:11" ht="15" customHeight="1" x14ac:dyDescent="0.3">
      <c r="A2531" t="s">
        <v>18</v>
      </c>
      <c r="B2531" t="s">
        <v>11</v>
      </c>
      <c r="C2531" t="s">
        <v>24</v>
      </c>
      <c r="D2531" t="s">
        <v>13</v>
      </c>
      <c r="E2531">
        <v>9</v>
      </c>
      <c r="F2531" t="s">
        <v>30</v>
      </c>
      <c r="G2531" t="s">
        <v>15</v>
      </c>
      <c r="H2531" t="s">
        <v>16</v>
      </c>
      <c r="I2531">
        <v>0</v>
      </c>
      <c r="J2531" s="23">
        <v>14738831</v>
      </c>
      <c r="K2531">
        <v>132649479</v>
      </c>
    </row>
    <row r="2532" spans="1:11" ht="15" customHeight="1" x14ac:dyDescent="0.3">
      <c r="A2532" t="s">
        <v>18</v>
      </c>
      <c r="B2532" t="s">
        <v>11</v>
      </c>
      <c r="C2532" t="s">
        <v>12</v>
      </c>
      <c r="D2532" t="s">
        <v>25</v>
      </c>
      <c r="E2532">
        <v>-4</v>
      </c>
      <c r="F2532" t="s">
        <v>30</v>
      </c>
      <c r="G2532" t="s">
        <v>15</v>
      </c>
      <c r="H2532" t="s">
        <v>16</v>
      </c>
      <c r="I2532">
        <v>0</v>
      </c>
      <c r="J2532" s="23">
        <v>-4</v>
      </c>
      <c r="K2532" t="s">
        <v>17</v>
      </c>
    </row>
    <row r="2533" spans="1:11" ht="15" customHeight="1" x14ac:dyDescent="0.3">
      <c r="A2533" t="s">
        <v>22</v>
      </c>
      <c r="B2533" t="s">
        <v>11</v>
      </c>
      <c r="C2533" t="s">
        <v>12</v>
      </c>
      <c r="D2533" t="s">
        <v>13</v>
      </c>
      <c r="E2533">
        <v>3</v>
      </c>
      <c r="F2533" t="s">
        <v>26</v>
      </c>
      <c r="G2533" t="s">
        <v>15</v>
      </c>
      <c r="H2533" t="s">
        <v>16</v>
      </c>
      <c r="I2533">
        <v>0</v>
      </c>
      <c r="J2533" s="23">
        <v>-220701</v>
      </c>
      <c r="K2533" t="s">
        <v>17</v>
      </c>
    </row>
    <row r="2534" spans="1:11" ht="15" customHeight="1" x14ac:dyDescent="0.3">
      <c r="A2534" t="s">
        <v>10</v>
      </c>
      <c r="B2534" t="s">
        <v>11</v>
      </c>
      <c r="C2534" t="s">
        <v>12</v>
      </c>
      <c r="D2534" t="s">
        <v>25</v>
      </c>
      <c r="E2534">
        <v>7</v>
      </c>
      <c r="F2534" t="s">
        <v>30</v>
      </c>
      <c r="G2534" t="s">
        <v>15</v>
      </c>
      <c r="H2534" t="s">
        <v>16</v>
      </c>
      <c r="I2534">
        <v>0</v>
      </c>
      <c r="J2534" s="23">
        <v>-9692</v>
      </c>
      <c r="K2534" t="s">
        <v>17</v>
      </c>
    </row>
    <row r="2535" spans="1:11" ht="15" customHeight="1" x14ac:dyDescent="0.3">
      <c r="A2535" t="s">
        <v>18</v>
      </c>
      <c r="B2535" t="s">
        <v>44</v>
      </c>
      <c r="C2535" t="s">
        <v>24</v>
      </c>
      <c r="D2535" t="s">
        <v>28</v>
      </c>
      <c r="E2535">
        <v>4</v>
      </c>
      <c r="F2535" t="s">
        <v>38</v>
      </c>
      <c r="G2535" t="s">
        <v>15</v>
      </c>
      <c r="H2535" t="s">
        <v>16</v>
      </c>
      <c r="I2535">
        <v>0</v>
      </c>
      <c r="J2535" s="23">
        <v>36988167</v>
      </c>
      <c r="K2535">
        <v>147952668</v>
      </c>
    </row>
    <row r="2536" spans="1:11" ht="15" customHeight="1" x14ac:dyDescent="0.3">
      <c r="A2536" t="s">
        <v>18</v>
      </c>
      <c r="B2536" t="s">
        <v>11</v>
      </c>
      <c r="C2536" t="s">
        <v>12</v>
      </c>
      <c r="D2536" t="s">
        <v>28</v>
      </c>
      <c r="E2536">
        <v>6</v>
      </c>
      <c r="F2536" t="s">
        <v>34</v>
      </c>
      <c r="G2536" t="s">
        <v>15</v>
      </c>
      <c r="H2536" t="s">
        <v>16</v>
      </c>
      <c r="I2536">
        <v>0</v>
      </c>
      <c r="J2536" s="23">
        <v>-21115</v>
      </c>
      <c r="K2536" t="s">
        <v>17</v>
      </c>
    </row>
    <row r="2537" spans="1:11" ht="15" customHeight="1" x14ac:dyDescent="0.3">
      <c r="A2537" t="s">
        <v>10</v>
      </c>
      <c r="B2537" t="s">
        <v>11</v>
      </c>
      <c r="C2537" t="s">
        <v>12</v>
      </c>
      <c r="D2537" t="s">
        <v>28</v>
      </c>
      <c r="E2537">
        <v>6</v>
      </c>
      <c r="F2537" t="s">
        <v>21</v>
      </c>
      <c r="G2537" t="s">
        <v>15</v>
      </c>
      <c r="H2537" t="s">
        <v>16</v>
      </c>
      <c r="I2537">
        <v>0</v>
      </c>
      <c r="J2537" s="23">
        <v>-48566</v>
      </c>
      <c r="K2537" t="s">
        <v>17</v>
      </c>
    </row>
    <row r="2538" spans="1:11" ht="15" customHeight="1" x14ac:dyDescent="0.3">
      <c r="A2538" t="s">
        <v>18</v>
      </c>
      <c r="B2538" t="s">
        <v>44</v>
      </c>
      <c r="C2538" t="s">
        <v>12</v>
      </c>
      <c r="D2538" t="s">
        <v>28</v>
      </c>
      <c r="E2538">
        <v>5</v>
      </c>
      <c r="F2538" t="s">
        <v>26</v>
      </c>
      <c r="G2538" t="s">
        <v>15</v>
      </c>
      <c r="H2538" t="s">
        <v>16</v>
      </c>
      <c r="I2538">
        <v>0</v>
      </c>
      <c r="J2538" s="23">
        <v>-7318</v>
      </c>
      <c r="K2538" t="s">
        <v>17</v>
      </c>
    </row>
    <row r="2539" spans="1:11" ht="15" customHeight="1" x14ac:dyDescent="0.3">
      <c r="A2539" t="s">
        <v>18</v>
      </c>
      <c r="B2539" t="s">
        <v>11</v>
      </c>
      <c r="C2539" t="s">
        <v>24</v>
      </c>
      <c r="D2539" t="s">
        <v>28</v>
      </c>
      <c r="E2539">
        <v>1</v>
      </c>
      <c r="F2539" t="s">
        <v>21</v>
      </c>
      <c r="G2539" t="s">
        <v>31</v>
      </c>
      <c r="H2539" t="s">
        <v>16</v>
      </c>
      <c r="I2539">
        <v>1</v>
      </c>
      <c r="J2539" s="23">
        <v>404282</v>
      </c>
      <c r="K2539">
        <v>404282</v>
      </c>
    </row>
    <row r="2540" spans="1:11" ht="15" customHeight="1" x14ac:dyDescent="0.3">
      <c r="A2540" t="s">
        <v>22</v>
      </c>
      <c r="B2540" t="s">
        <v>11</v>
      </c>
      <c r="C2540" t="s">
        <v>24</v>
      </c>
      <c r="D2540" t="s">
        <v>13</v>
      </c>
      <c r="E2540">
        <v>8</v>
      </c>
      <c r="F2540" t="s">
        <v>29</v>
      </c>
      <c r="G2540" t="s">
        <v>15</v>
      </c>
      <c r="H2540" t="s">
        <v>16</v>
      </c>
      <c r="I2540">
        <v>0</v>
      </c>
      <c r="J2540" s="23">
        <v>1163553</v>
      </c>
      <c r="K2540">
        <v>9308424</v>
      </c>
    </row>
    <row r="2541" spans="1:11" ht="15" customHeight="1" x14ac:dyDescent="0.3">
      <c r="A2541" t="s">
        <v>18</v>
      </c>
      <c r="B2541" t="s">
        <v>11</v>
      </c>
      <c r="C2541" t="s">
        <v>12</v>
      </c>
      <c r="D2541" t="s">
        <v>28</v>
      </c>
      <c r="E2541">
        <v>-4</v>
      </c>
      <c r="F2541" t="s">
        <v>21</v>
      </c>
      <c r="G2541" t="s">
        <v>15</v>
      </c>
      <c r="H2541" t="s">
        <v>16</v>
      </c>
      <c r="I2541">
        <v>0</v>
      </c>
      <c r="J2541" s="23">
        <v>-245</v>
      </c>
      <c r="K2541" t="s">
        <v>17</v>
      </c>
    </row>
    <row r="2542" spans="1:11" ht="15" customHeight="1" x14ac:dyDescent="0.3">
      <c r="A2542" t="s">
        <v>18</v>
      </c>
      <c r="B2542" t="s">
        <v>11</v>
      </c>
      <c r="C2542" t="s">
        <v>12</v>
      </c>
      <c r="D2542" t="s">
        <v>25</v>
      </c>
      <c r="E2542">
        <v>0</v>
      </c>
      <c r="F2542" t="s">
        <v>23</v>
      </c>
      <c r="G2542" t="s">
        <v>15</v>
      </c>
      <c r="H2542" t="s">
        <v>16</v>
      </c>
      <c r="I2542">
        <v>0</v>
      </c>
      <c r="J2542" s="23">
        <v>-445</v>
      </c>
      <c r="K2542" t="s">
        <v>17</v>
      </c>
    </row>
    <row r="2543" spans="1:11" ht="15" customHeight="1" x14ac:dyDescent="0.3">
      <c r="A2543" t="s">
        <v>22</v>
      </c>
      <c r="B2543" t="s">
        <v>19</v>
      </c>
      <c r="C2543" t="s">
        <v>24</v>
      </c>
      <c r="D2543" t="s">
        <v>20</v>
      </c>
      <c r="E2543">
        <v>5</v>
      </c>
      <c r="F2543"/>
      <c r="G2543" t="s">
        <v>15</v>
      </c>
      <c r="H2543" t="s">
        <v>32</v>
      </c>
      <c r="I2543">
        <v>1</v>
      </c>
      <c r="J2543" s="23">
        <v>30112</v>
      </c>
      <c r="K2543">
        <v>150560</v>
      </c>
    </row>
    <row r="2544" spans="1:11" ht="15" customHeight="1" x14ac:dyDescent="0.3">
      <c r="A2544" t="s">
        <v>22</v>
      </c>
      <c r="B2544" t="s">
        <v>19</v>
      </c>
      <c r="C2544" t="s">
        <v>12</v>
      </c>
      <c r="D2544" t="s">
        <v>20</v>
      </c>
      <c r="E2544">
        <v>20</v>
      </c>
      <c r="F2544"/>
      <c r="G2544" t="s">
        <v>31</v>
      </c>
      <c r="H2544" t="s">
        <v>16</v>
      </c>
      <c r="I2544">
        <v>1</v>
      </c>
      <c r="J2544" s="23">
        <v>-12330</v>
      </c>
      <c r="K2544" t="s">
        <v>17</v>
      </c>
    </row>
    <row r="2545" spans="1:11" ht="15" customHeight="1" x14ac:dyDescent="0.3">
      <c r="A2545" t="s">
        <v>10</v>
      </c>
      <c r="B2545" t="s">
        <v>11</v>
      </c>
      <c r="C2545" t="s">
        <v>24</v>
      </c>
      <c r="D2545" t="s">
        <v>25</v>
      </c>
      <c r="E2545">
        <v>7</v>
      </c>
      <c r="F2545" t="s">
        <v>33</v>
      </c>
      <c r="G2545" t="s">
        <v>15</v>
      </c>
      <c r="H2545" t="s">
        <v>16</v>
      </c>
      <c r="I2545">
        <v>0</v>
      </c>
      <c r="J2545" s="23">
        <v>34059</v>
      </c>
      <c r="K2545">
        <v>238413</v>
      </c>
    </row>
    <row r="2546" spans="1:11" ht="15" customHeight="1" x14ac:dyDescent="0.3">
      <c r="A2546" t="s">
        <v>10</v>
      </c>
      <c r="B2546" t="s">
        <v>19</v>
      </c>
      <c r="C2546" t="s">
        <v>24</v>
      </c>
      <c r="D2546" t="s">
        <v>20</v>
      </c>
      <c r="E2546">
        <v>47</v>
      </c>
      <c r="F2546"/>
      <c r="G2546" t="s">
        <v>15</v>
      </c>
      <c r="H2546" t="s">
        <v>16</v>
      </c>
      <c r="I2546">
        <v>0</v>
      </c>
      <c r="J2546" s="23">
        <v>228045</v>
      </c>
      <c r="K2546">
        <v>10718115</v>
      </c>
    </row>
    <row r="2547" spans="1:11" ht="15" customHeight="1" x14ac:dyDescent="0.3">
      <c r="A2547" t="s">
        <v>10</v>
      </c>
      <c r="B2547" t="s">
        <v>11</v>
      </c>
      <c r="C2547" t="s">
        <v>12</v>
      </c>
      <c r="D2547" t="s">
        <v>25</v>
      </c>
      <c r="E2547">
        <v>4</v>
      </c>
      <c r="F2547" t="s">
        <v>38</v>
      </c>
      <c r="G2547" t="s">
        <v>15</v>
      </c>
      <c r="H2547" t="s">
        <v>16</v>
      </c>
      <c r="I2547">
        <v>0</v>
      </c>
      <c r="J2547" s="23">
        <v>-2954</v>
      </c>
      <c r="K2547" t="s">
        <v>17</v>
      </c>
    </row>
    <row r="2548" spans="1:11" ht="15" customHeight="1" x14ac:dyDescent="0.3">
      <c r="A2548" t="s">
        <v>18</v>
      </c>
      <c r="B2548" t="s">
        <v>11</v>
      </c>
      <c r="C2548" t="s">
        <v>12</v>
      </c>
      <c r="D2548" t="s">
        <v>28</v>
      </c>
      <c r="E2548">
        <v>11</v>
      </c>
      <c r="F2548" t="s">
        <v>26</v>
      </c>
      <c r="G2548" t="s">
        <v>15</v>
      </c>
      <c r="H2548" t="s">
        <v>16</v>
      </c>
      <c r="I2548">
        <v>0</v>
      </c>
      <c r="J2548" s="23">
        <v>-56108</v>
      </c>
      <c r="K2548" t="s">
        <v>17</v>
      </c>
    </row>
    <row r="2549" spans="1:11" ht="15" customHeight="1" x14ac:dyDescent="0.3">
      <c r="A2549" t="s">
        <v>18</v>
      </c>
      <c r="B2549" t="s">
        <v>11</v>
      </c>
      <c r="C2549" t="s">
        <v>12</v>
      </c>
      <c r="D2549" t="s">
        <v>28</v>
      </c>
      <c r="E2549">
        <v>17</v>
      </c>
      <c r="F2549" t="s">
        <v>23</v>
      </c>
      <c r="G2549" t="s">
        <v>15</v>
      </c>
      <c r="H2549" t="s">
        <v>16</v>
      </c>
      <c r="I2549">
        <v>0</v>
      </c>
      <c r="J2549" s="23">
        <v>-5570</v>
      </c>
      <c r="K2549" t="s">
        <v>17</v>
      </c>
    </row>
    <row r="2550" spans="1:11" ht="15" customHeight="1" x14ac:dyDescent="0.3">
      <c r="A2550" t="s">
        <v>10</v>
      </c>
      <c r="B2550" t="s">
        <v>11</v>
      </c>
      <c r="C2550" t="s">
        <v>24</v>
      </c>
      <c r="D2550" t="s">
        <v>25</v>
      </c>
      <c r="E2550">
        <v>4</v>
      </c>
      <c r="F2550" t="s">
        <v>34</v>
      </c>
      <c r="G2550" t="s">
        <v>15</v>
      </c>
      <c r="H2550" t="s">
        <v>16</v>
      </c>
      <c r="I2550">
        <v>0</v>
      </c>
      <c r="J2550" s="23">
        <v>3430493</v>
      </c>
      <c r="K2550">
        <v>13721972</v>
      </c>
    </row>
    <row r="2551" spans="1:11" ht="15" customHeight="1" x14ac:dyDescent="0.3">
      <c r="A2551" t="s">
        <v>18</v>
      </c>
      <c r="B2551" t="s">
        <v>11</v>
      </c>
      <c r="C2551" t="s">
        <v>24</v>
      </c>
      <c r="D2551" t="s">
        <v>28</v>
      </c>
      <c r="E2551">
        <v>16</v>
      </c>
      <c r="F2551" t="s">
        <v>14</v>
      </c>
      <c r="G2551" t="s">
        <v>15</v>
      </c>
      <c r="H2551" t="s">
        <v>16</v>
      </c>
      <c r="I2551">
        <v>0</v>
      </c>
      <c r="J2551" s="23">
        <v>7442339</v>
      </c>
      <c r="K2551">
        <v>119077424</v>
      </c>
    </row>
    <row r="2552" spans="1:11" ht="15" customHeight="1" x14ac:dyDescent="0.3">
      <c r="A2552" t="s">
        <v>18</v>
      </c>
      <c r="B2552" t="s">
        <v>11</v>
      </c>
      <c r="C2552" t="s">
        <v>12</v>
      </c>
      <c r="D2552" t="s">
        <v>25</v>
      </c>
      <c r="E2552">
        <v>-4</v>
      </c>
      <c r="F2552" t="s">
        <v>29</v>
      </c>
      <c r="G2552" t="s">
        <v>15</v>
      </c>
      <c r="H2552" t="s">
        <v>16</v>
      </c>
      <c r="I2552">
        <v>0</v>
      </c>
      <c r="J2552" s="23">
        <v>-7</v>
      </c>
      <c r="K2552" t="s">
        <v>17</v>
      </c>
    </row>
    <row r="2553" spans="1:11" ht="15" customHeight="1" x14ac:dyDescent="0.3">
      <c r="A2553" t="s">
        <v>22</v>
      </c>
      <c r="B2553" t="s">
        <v>11</v>
      </c>
      <c r="C2553" t="s">
        <v>24</v>
      </c>
      <c r="D2553" t="s">
        <v>13</v>
      </c>
      <c r="E2553">
        <v>2</v>
      </c>
      <c r="F2553" t="s">
        <v>30</v>
      </c>
      <c r="G2553" t="s">
        <v>15</v>
      </c>
      <c r="H2553" t="s">
        <v>16</v>
      </c>
      <c r="I2553">
        <v>0</v>
      </c>
      <c r="J2553" s="23">
        <v>517347</v>
      </c>
      <c r="K2553">
        <v>1034694</v>
      </c>
    </row>
    <row r="2554" spans="1:11" ht="15" customHeight="1" x14ac:dyDescent="0.3">
      <c r="A2554" t="s">
        <v>22</v>
      </c>
      <c r="B2554" t="s">
        <v>19</v>
      </c>
      <c r="C2554" t="s">
        <v>24</v>
      </c>
      <c r="D2554" t="s">
        <v>28</v>
      </c>
      <c r="E2554">
        <v>3</v>
      </c>
      <c r="F2554"/>
      <c r="G2554" t="s">
        <v>15</v>
      </c>
      <c r="H2554" t="s">
        <v>16</v>
      </c>
      <c r="I2554">
        <v>0</v>
      </c>
      <c r="J2554" s="23">
        <v>2083520</v>
      </c>
      <c r="K2554">
        <v>6250560</v>
      </c>
    </row>
    <row r="2555" spans="1:11" ht="15" customHeight="1" x14ac:dyDescent="0.3">
      <c r="A2555" t="s">
        <v>10</v>
      </c>
      <c r="B2555" t="s">
        <v>11</v>
      </c>
      <c r="C2555" t="s">
        <v>12</v>
      </c>
      <c r="D2555" t="s">
        <v>13</v>
      </c>
      <c r="E2555">
        <v>8</v>
      </c>
      <c r="F2555" t="s">
        <v>14</v>
      </c>
      <c r="G2555" t="s">
        <v>15</v>
      </c>
      <c r="H2555" t="s">
        <v>16</v>
      </c>
      <c r="I2555">
        <v>0</v>
      </c>
      <c r="J2555" s="23">
        <v>-143400</v>
      </c>
      <c r="K2555" t="s">
        <v>17</v>
      </c>
    </row>
    <row r="2556" spans="1:11" ht="15" customHeight="1" x14ac:dyDescent="0.3">
      <c r="A2556" t="s">
        <v>18</v>
      </c>
      <c r="B2556" t="s">
        <v>11</v>
      </c>
      <c r="C2556" t="s">
        <v>24</v>
      </c>
      <c r="D2556" t="s">
        <v>13</v>
      </c>
      <c r="E2556">
        <v>6</v>
      </c>
      <c r="F2556" t="s">
        <v>35</v>
      </c>
      <c r="G2556" t="s">
        <v>15</v>
      </c>
      <c r="H2556" t="s">
        <v>16</v>
      </c>
      <c r="I2556">
        <v>0</v>
      </c>
      <c r="J2556" s="23">
        <v>33909</v>
      </c>
      <c r="K2556">
        <v>203454</v>
      </c>
    </row>
    <row r="2557" spans="1:11" ht="15" customHeight="1" x14ac:dyDescent="0.3">
      <c r="A2557" t="s">
        <v>18</v>
      </c>
      <c r="B2557" t="s">
        <v>11</v>
      </c>
      <c r="C2557" t="s">
        <v>24</v>
      </c>
      <c r="D2557" t="s">
        <v>28</v>
      </c>
      <c r="E2557">
        <v>7</v>
      </c>
      <c r="F2557" t="s">
        <v>14</v>
      </c>
      <c r="G2557" t="s">
        <v>31</v>
      </c>
      <c r="H2557" t="s">
        <v>16</v>
      </c>
      <c r="I2557">
        <v>1</v>
      </c>
      <c r="J2557" s="23">
        <v>99766</v>
      </c>
      <c r="K2557">
        <v>698362</v>
      </c>
    </row>
    <row r="2558" spans="1:11" ht="15" customHeight="1" x14ac:dyDescent="0.3">
      <c r="A2558" t="s">
        <v>10</v>
      </c>
      <c r="B2558" t="s">
        <v>11</v>
      </c>
      <c r="C2558" t="s">
        <v>24</v>
      </c>
      <c r="D2558" t="s">
        <v>13</v>
      </c>
      <c r="E2558">
        <v>1</v>
      </c>
      <c r="F2558" t="s">
        <v>33</v>
      </c>
      <c r="G2558" t="s">
        <v>15</v>
      </c>
      <c r="H2558" t="s">
        <v>16</v>
      </c>
      <c r="I2558">
        <v>0</v>
      </c>
      <c r="J2558" s="23">
        <v>2028618</v>
      </c>
      <c r="K2558">
        <v>2028618</v>
      </c>
    </row>
    <row r="2559" spans="1:11" ht="15" customHeight="1" x14ac:dyDescent="0.3">
      <c r="A2559" t="s">
        <v>10</v>
      </c>
      <c r="B2559" t="s">
        <v>19</v>
      </c>
      <c r="C2559" t="s">
        <v>24</v>
      </c>
      <c r="D2559" t="s">
        <v>20</v>
      </c>
      <c r="E2559">
        <v>-1</v>
      </c>
      <c r="F2559"/>
      <c r="G2559" t="s">
        <v>15</v>
      </c>
      <c r="H2559" t="s">
        <v>16</v>
      </c>
      <c r="I2559">
        <v>0</v>
      </c>
      <c r="J2559" s="23">
        <v>63615</v>
      </c>
      <c r="K2559" t="s">
        <v>17</v>
      </c>
    </row>
    <row r="2560" spans="1:11" ht="15" customHeight="1" x14ac:dyDescent="0.3">
      <c r="A2560" t="s">
        <v>10</v>
      </c>
      <c r="B2560" t="s">
        <v>11</v>
      </c>
      <c r="C2560" t="s">
        <v>12</v>
      </c>
      <c r="D2560" t="s">
        <v>25</v>
      </c>
      <c r="E2560">
        <v>-4</v>
      </c>
      <c r="F2560" t="s">
        <v>29</v>
      </c>
      <c r="G2560" t="s">
        <v>15</v>
      </c>
      <c r="H2560" t="s">
        <v>16</v>
      </c>
      <c r="I2560">
        <v>0</v>
      </c>
      <c r="J2560" s="23">
        <v>-1685</v>
      </c>
      <c r="K2560" t="s">
        <v>17</v>
      </c>
    </row>
    <row r="2561" spans="1:11" ht="15" customHeight="1" x14ac:dyDescent="0.3">
      <c r="A2561" t="s">
        <v>22</v>
      </c>
      <c r="B2561" t="s">
        <v>11</v>
      </c>
      <c r="C2561" t="s">
        <v>12</v>
      </c>
      <c r="D2561" t="s">
        <v>28</v>
      </c>
      <c r="E2561">
        <v>-4</v>
      </c>
      <c r="F2561" t="s">
        <v>21</v>
      </c>
      <c r="G2561" t="s">
        <v>31</v>
      </c>
      <c r="H2561" t="s">
        <v>16</v>
      </c>
      <c r="I2561">
        <v>1</v>
      </c>
      <c r="J2561" s="23">
        <v>-2417142</v>
      </c>
      <c r="K2561" t="s">
        <v>17</v>
      </c>
    </row>
    <row r="2562" spans="1:11" ht="15" customHeight="1" x14ac:dyDescent="0.3">
      <c r="A2562" t="s">
        <v>10</v>
      </c>
      <c r="B2562" t="s">
        <v>19</v>
      </c>
      <c r="C2562" t="s">
        <v>24</v>
      </c>
      <c r="D2562" t="s">
        <v>28</v>
      </c>
      <c r="E2562">
        <v>21</v>
      </c>
      <c r="F2562"/>
      <c r="G2562" t="s">
        <v>15</v>
      </c>
      <c r="H2562" t="s">
        <v>16</v>
      </c>
      <c r="I2562">
        <v>0</v>
      </c>
      <c r="J2562" s="23">
        <v>193568</v>
      </c>
      <c r="K2562">
        <v>4064928</v>
      </c>
    </row>
    <row r="2563" spans="1:11" ht="15" customHeight="1" x14ac:dyDescent="0.3">
      <c r="A2563" t="s">
        <v>22</v>
      </c>
      <c r="B2563" t="s">
        <v>11</v>
      </c>
      <c r="C2563" t="s">
        <v>12</v>
      </c>
      <c r="D2563" t="s">
        <v>28</v>
      </c>
      <c r="E2563">
        <v>6</v>
      </c>
      <c r="F2563" t="s">
        <v>27</v>
      </c>
      <c r="G2563" t="s">
        <v>15</v>
      </c>
      <c r="H2563" t="s">
        <v>16</v>
      </c>
      <c r="I2563">
        <v>0</v>
      </c>
      <c r="J2563" s="23">
        <v>-45011</v>
      </c>
      <c r="K2563" t="s">
        <v>17</v>
      </c>
    </row>
    <row r="2564" spans="1:11" ht="15" customHeight="1" x14ac:dyDescent="0.3">
      <c r="A2564" t="s">
        <v>22</v>
      </c>
      <c r="B2564" t="s">
        <v>11</v>
      </c>
      <c r="C2564" t="s">
        <v>24</v>
      </c>
      <c r="D2564" t="s">
        <v>25</v>
      </c>
      <c r="E2564">
        <v>0</v>
      </c>
      <c r="F2564" t="s">
        <v>40</v>
      </c>
      <c r="G2564" t="s">
        <v>15</v>
      </c>
      <c r="H2564" t="s">
        <v>16</v>
      </c>
      <c r="I2564">
        <v>0</v>
      </c>
      <c r="J2564" s="23">
        <v>155688</v>
      </c>
      <c r="K2564" t="s">
        <v>17</v>
      </c>
    </row>
    <row r="2565" spans="1:11" ht="15" customHeight="1" x14ac:dyDescent="0.3">
      <c r="A2565" t="s">
        <v>22</v>
      </c>
      <c r="B2565" t="s">
        <v>11</v>
      </c>
      <c r="C2565" t="s">
        <v>12</v>
      </c>
      <c r="D2565" t="s">
        <v>13</v>
      </c>
      <c r="E2565">
        <v>11</v>
      </c>
      <c r="F2565" t="s">
        <v>39</v>
      </c>
      <c r="G2565" t="s">
        <v>15</v>
      </c>
      <c r="H2565" t="s">
        <v>16</v>
      </c>
      <c r="I2565">
        <v>0</v>
      </c>
      <c r="J2565" s="23">
        <v>-4361741</v>
      </c>
      <c r="K2565" t="s">
        <v>17</v>
      </c>
    </row>
    <row r="2566" spans="1:11" ht="15" customHeight="1" x14ac:dyDescent="0.3">
      <c r="A2566" t="s">
        <v>18</v>
      </c>
      <c r="B2566" t="s">
        <v>11</v>
      </c>
      <c r="C2566" t="s">
        <v>24</v>
      </c>
      <c r="D2566" t="s">
        <v>13</v>
      </c>
      <c r="E2566">
        <v>5</v>
      </c>
      <c r="F2566" t="s">
        <v>33</v>
      </c>
      <c r="G2566" t="s">
        <v>15</v>
      </c>
      <c r="H2566" t="s">
        <v>16</v>
      </c>
      <c r="I2566">
        <v>0</v>
      </c>
      <c r="J2566" s="23">
        <v>4057699</v>
      </c>
      <c r="K2566">
        <v>20288495</v>
      </c>
    </row>
    <row r="2567" spans="1:11" ht="15" customHeight="1" x14ac:dyDescent="0.3">
      <c r="A2567" t="s">
        <v>10</v>
      </c>
      <c r="B2567" t="s">
        <v>11</v>
      </c>
      <c r="C2567" t="s">
        <v>12</v>
      </c>
      <c r="D2567" t="s">
        <v>25</v>
      </c>
      <c r="E2567">
        <v>2</v>
      </c>
      <c r="F2567" t="s">
        <v>27</v>
      </c>
      <c r="G2567" t="s">
        <v>15</v>
      </c>
      <c r="H2567" t="s">
        <v>16</v>
      </c>
      <c r="I2567">
        <v>0</v>
      </c>
      <c r="J2567" s="23">
        <v>-5379</v>
      </c>
      <c r="K2567" t="s">
        <v>17</v>
      </c>
    </row>
    <row r="2568" spans="1:11" ht="15" customHeight="1" x14ac:dyDescent="0.3">
      <c r="A2568" t="s">
        <v>18</v>
      </c>
      <c r="B2568" t="s">
        <v>11</v>
      </c>
      <c r="C2568" t="s">
        <v>24</v>
      </c>
      <c r="D2568" t="s">
        <v>28</v>
      </c>
      <c r="E2568">
        <v>7</v>
      </c>
      <c r="F2568" t="s">
        <v>40</v>
      </c>
      <c r="G2568" t="s">
        <v>15</v>
      </c>
      <c r="H2568" t="s">
        <v>16</v>
      </c>
      <c r="I2568">
        <v>0</v>
      </c>
      <c r="J2568" s="23">
        <v>388517</v>
      </c>
      <c r="K2568">
        <v>2719619</v>
      </c>
    </row>
    <row r="2569" spans="1:11" ht="15" customHeight="1" x14ac:dyDescent="0.3">
      <c r="A2569" t="s">
        <v>18</v>
      </c>
      <c r="B2569" t="s">
        <v>11</v>
      </c>
      <c r="C2569" t="s">
        <v>12</v>
      </c>
      <c r="D2569" t="s">
        <v>25</v>
      </c>
      <c r="E2569">
        <v>6</v>
      </c>
      <c r="F2569" t="s">
        <v>30</v>
      </c>
      <c r="G2569" t="s">
        <v>15</v>
      </c>
      <c r="H2569" t="s">
        <v>16</v>
      </c>
      <c r="I2569">
        <v>0</v>
      </c>
      <c r="J2569" s="23">
        <v>-1115</v>
      </c>
      <c r="K2569" t="s">
        <v>17</v>
      </c>
    </row>
    <row r="2570" spans="1:11" ht="15" customHeight="1" x14ac:dyDescent="0.3">
      <c r="A2570" t="s">
        <v>18</v>
      </c>
      <c r="B2570" t="s">
        <v>11</v>
      </c>
      <c r="C2570" t="s">
        <v>12</v>
      </c>
      <c r="D2570" t="s">
        <v>13</v>
      </c>
      <c r="E2570">
        <v>2</v>
      </c>
      <c r="F2570" t="s">
        <v>21</v>
      </c>
      <c r="G2570" t="s">
        <v>15</v>
      </c>
      <c r="H2570" t="s">
        <v>16</v>
      </c>
      <c r="I2570">
        <v>0</v>
      </c>
      <c r="J2570" s="23">
        <v>-158753</v>
      </c>
      <c r="K2570" t="s">
        <v>17</v>
      </c>
    </row>
    <row r="2571" spans="1:11" ht="15" customHeight="1" x14ac:dyDescent="0.3">
      <c r="A2571" t="s">
        <v>10</v>
      </c>
      <c r="B2571" t="s">
        <v>11</v>
      </c>
      <c r="C2571" t="s">
        <v>12</v>
      </c>
      <c r="D2571" t="s">
        <v>28</v>
      </c>
      <c r="E2571">
        <v>-4</v>
      </c>
      <c r="F2571" t="s">
        <v>21</v>
      </c>
      <c r="G2571" t="s">
        <v>31</v>
      </c>
      <c r="H2571" t="s">
        <v>32</v>
      </c>
      <c r="I2571">
        <v>1</v>
      </c>
      <c r="J2571" s="23">
        <v>-6</v>
      </c>
      <c r="K2571" t="s">
        <v>17</v>
      </c>
    </row>
    <row r="2572" spans="1:11" ht="15" customHeight="1" x14ac:dyDescent="0.3">
      <c r="A2572" t="s">
        <v>22</v>
      </c>
      <c r="B2572" t="s">
        <v>19</v>
      </c>
      <c r="C2572" t="s">
        <v>12</v>
      </c>
      <c r="D2572" t="s">
        <v>28</v>
      </c>
      <c r="E2572">
        <v>8</v>
      </c>
      <c r="F2572"/>
      <c r="G2572" t="s">
        <v>15</v>
      </c>
      <c r="H2572" t="s">
        <v>16</v>
      </c>
      <c r="I2572">
        <v>0</v>
      </c>
      <c r="J2572" s="23">
        <v>-113470</v>
      </c>
      <c r="K2572" t="s">
        <v>17</v>
      </c>
    </row>
    <row r="2573" spans="1:11" ht="15" customHeight="1" x14ac:dyDescent="0.3">
      <c r="A2573" t="s">
        <v>10</v>
      </c>
      <c r="B2573" t="s">
        <v>11</v>
      </c>
      <c r="C2573" t="s">
        <v>24</v>
      </c>
      <c r="D2573" t="s">
        <v>28</v>
      </c>
      <c r="E2573">
        <v>8</v>
      </c>
      <c r="F2573" t="s">
        <v>27</v>
      </c>
      <c r="G2573" t="s">
        <v>31</v>
      </c>
      <c r="H2573" t="s">
        <v>16</v>
      </c>
      <c r="I2573">
        <v>1</v>
      </c>
      <c r="J2573" s="23">
        <v>68274</v>
      </c>
      <c r="K2573">
        <v>546192</v>
      </c>
    </row>
    <row r="2574" spans="1:11" ht="15" customHeight="1" x14ac:dyDescent="0.3">
      <c r="A2574" t="s">
        <v>18</v>
      </c>
      <c r="B2574" t="s">
        <v>11</v>
      </c>
      <c r="C2574" t="s">
        <v>12</v>
      </c>
      <c r="D2574" t="s">
        <v>28</v>
      </c>
      <c r="E2574">
        <v>9</v>
      </c>
      <c r="F2574" t="s">
        <v>23</v>
      </c>
      <c r="G2574" t="s">
        <v>31</v>
      </c>
      <c r="H2574" t="s">
        <v>16</v>
      </c>
      <c r="I2574">
        <v>1</v>
      </c>
      <c r="J2574" s="23">
        <v>-483</v>
      </c>
      <c r="K2574" t="s">
        <v>17</v>
      </c>
    </row>
    <row r="2575" spans="1:11" ht="15" customHeight="1" x14ac:dyDescent="0.3">
      <c r="A2575" t="s">
        <v>10</v>
      </c>
      <c r="B2575" t="s">
        <v>19</v>
      </c>
      <c r="C2575" t="s">
        <v>24</v>
      </c>
      <c r="D2575" t="s">
        <v>28</v>
      </c>
      <c r="E2575">
        <v>1</v>
      </c>
      <c r="F2575"/>
      <c r="G2575" t="s">
        <v>15</v>
      </c>
      <c r="H2575" t="s">
        <v>16</v>
      </c>
      <c r="I2575">
        <v>0</v>
      </c>
      <c r="J2575" s="23">
        <v>105382</v>
      </c>
      <c r="K2575">
        <v>105382</v>
      </c>
    </row>
    <row r="2576" spans="1:11" ht="15" customHeight="1" x14ac:dyDescent="0.3">
      <c r="A2576" t="s">
        <v>18</v>
      </c>
      <c r="B2576" t="s">
        <v>11</v>
      </c>
      <c r="C2576" t="s">
        <v>12</v>
      </c>
      <c r="D2576" t="s">
        <v>28</v>
      </c>
      <c r="E2576">
        <v>3</v>
      </c>
      <c r="F2576" t="s">
        <v>29</v>
      </c>
      <c r="G2576" t="s">
        <v>15</v>
      </c>
      <c r="H2576" t="s">
        <v>32</v>
      </c>
      <c r="I2576">
        <v>1</v>
      </c>
      <c r="J2576" s="23">
        <v>-1987</v>
      </c>
      <c r="K2576" t="s">
        <v>17</v>
      </c>
    </row>
    <row r="2577" spans="1:11" ht="15" customHeight="1" x14ac:dyDescent="0.3">
      <c r="A2577" t="s">
        <v>18</v>
      </c>
      <c r="B2577" t="s">
        <v>19</v>
      </c>
      <c r="C2577" t="s">
        <v>24</v>
      </c>
      <c r="D2577" t="s">
        <v>20</v>
      </c>
      <c r="E2577">
        <v>16</v>
      </c>
      <c r="F2577"/>
      <c r="G2577" t="s">
        <v>31</v>
      </c>
      <c r="H2577" t="s">
        <v>32</v>
      </c>
      <c r="I2577">
        <v>1</v>
      </c>
      <c r="J2577" s="23">
        <v>80663</v>
      </c>
      <c r="K2577">
        <v>1290608</v>
      </c>
    </row>
    <row r="2578" spans="1:11" ht="15" customHeight="1" x14ac:dyDescent="0.3">
      <c r="A2578" t="s">
        <v>18</v>
      </c>
      <c r="B2578" t="s">
        <v>11</v>
      </c>
      <c r="C2578" t="s">
        <v>24</v>
      </c>
      <c r="D2578" t="s">
        <v>25</v>
      </c>
      <c r="E2578">
        <v>2</v>
      </c>
      <c r="F2578" t="s">
        <v>29</v>
      </c>
      <c r="G2578" t="s">
        <v>15</v>
      </c>
      <c r="H2578" t="s">
        <v>16</v>
      </c>
      <c r="I2578">
        <v>0</v>
      </c>
      <c r="J2578" s="23">
        <v>8025103</v>
      </c>
      <c r="K2578">
        <v>16050206</v>
      </c>
    </row>
    <row r="2579" spans="1:11" ht="15" customHeight="1" x14ac:dyDescent="0.3">
      <c r="A2579" t="s">
        <v>18</v>
      </c>
      <c r="B2579" t="s">
        <v>11</v>
      </c>
      <c r="C2579" t="s">
        <v>12</v>
      </c>
      <c r="D2579" t="s">
        <v>28</v>
      </c>
      <c r="E2579">
        <v>7</v>
      </c>
      <c r="F2579" t="s">
        <v>26</v>
      </c>
      <c r="G2579" t="s">
        <v>31</v>
      </c>
      <c r="H2579" t="s">
        <v>16</v>
      </c>
      <c r="I2579">
        <v>1</v>
      </c>
      <c r="J2579" s="23">
        <v>-1376</v>
      </c>
      <c r="K2579" t="s">
        <v>17</v>
      </c>
    </row>
    <row r="2580" spans="1:11" ht="15" customHeight="1" x14ac:dyDescent="0.3">
      <c r="A2580" t="s">
        <v>18</v>
      </c>
      <c r="B2580" t="s">
        <v>19</v>
      </c>
      <c r="C2580" t="s">
        <v>12</v>
      </c>
      <c r="D2580" t="s">
        <v>28</v>
      </c>
      <c r="E2580">
        <v>21</v>
      </c>
      <c r="F2580"/>
      <c r="G2580" t="s">
        <v>31</v>
      </c>
      <c r="H2580" t="s">
        <v>16</v>
      </c>
      <c r="I2580">
        <v>1</v>
      </c>
      <c r="J2580" s="23">
        <v>-4</v>
      </c>
      <c r="K2580" t="s">
        <v>17</v>
      </c>
    </row>
    <row r="2581" spans="1:11" ht="15" customHeight="1" x14ac:dyDescent="0.3">
      <c r="A2581" t="s">
        <v>18</v>
      </c>
      <c r="B2581" t="s">
        <v>11</v>
      </c>
      <c r="C2581" t="s">
        <v>12</v>
      </c>
      <c r="D2581" t="s">
        <v>13</v>
      </c>
      <c r="E2581">
        <v>8</v>
      </c>
      <c r="F2581" t="s">
        <v>26</v>
      </c>
      <c r="G2581" t="s">
        <v>15</v>
      </c>
      <c r="H2581" t="s">
        <v>16</v>
      </c>
      <c r="I2581">
        <v>0</v>
      </c>
      <c r="J2581" s="23">
        <v>-6023</v>
      </c>
      <c r="K2581" t="s">
        <v>17</v>
      </c>
    </row>
    <row r="2582" spans="1:11" ht="15" customHeight="1" x14ac:dyDescent="0.3">
      <c r="A2582" t="s">
        <v>10</v>
      </c>
      <c r="B2582" t="s">
        <v>11</v>
      </c>
      <c r="C2582" t="s">
        <v>24</v>
      </c>
      <c r="D2582" t="s">
        <v>25</v>
      </c>
      <c r="E2582">
        <v>5</v>
      </c>
      <c r="F2582" t="s">
        <v>42</v>
      </c>
      <c r="G2582" t="s">
        <v>15</v>
      </c>
      <c r="H2582" t="s">
        <v>16</v>
      </c>
      <c r="I2582">
        <v>0</v>
      </c>
      <c r="J2582" s="23">
        <v>98950</v>
      </c>
      <c r="K2582">
        <v>494750</v>
      </c>
    </row>
    <row r="2583" spans="1:11" ht="15" customHeight="1" x14ac:dyDescent="0.3">
      <c r="A2583" t="s">
        <v>18</v>
      </c>
      <c r="B2583" t="s">
        <v>11</v>
      </c>
      <c r="C2583" t="s">
        <v>12</v>
      </c>
      <c r="D2583" t="s">
        <v>28</v>
      </c>
      <c r="E2583">
        <v>9</v>
      </c>
      <c r="F2583" t="s">
        <v>29</v>
      </c>
      <c r="G2583" t="s">
        <v>15</v>
      </c>
      <c r="H2583" t="s">
        <v>16</v>
      </c>
      <c r="I2583">
        <v>0</v>
      </c>
      <c r="J2583" s="23">
        <v>-7940</v>
      </c>
      <c r="K2583" t="s">
        <v>17</v>
      </c>
    </row>
    <row r="2584" spans="1:11" ht="15" customHeight="1" x14ac:dyDescent="0.3">
      <c r="A2584" t="s">
        <v>18</v>
      </c>
      <c r="B2584" t="s">
        <v>11</v>
      </c>
      <c r="C2584" t="s">
        <v>24</v>
      </c>
      <c r="D2584" t="s">
        <v>28</v>
      </c>
      <c r="E2584">
        <v>9</v>
      </c>
      <c r="F2584" t="s">
        <v>34</v>
      </c>
      <c r="G2584" t="s">
        <v>15</v>
      </c>
      <c r="H2584" t="s">
        <v>16</v>
      </c>
      <c r="I2584">
        <v>0</v>
      </c>
      <c r="J2584" s="23">
        <v>10077100</v>
      </c>
      <c r="K2584">
        <v>90693900</v>
      </c>
    </row>
    <row r="2585" spans="1:11" ht="15" customHeight="1" x14ac:dyDescent="0.3">
      <c r="A2585" t="s">
        <v>10</v>
      </c>
      <c r="B2585" t="s">
        <v>11</v>
      </c>
      <c r="C2585" t="s">
        <v>24</v>
      </c>
      <c r="D2585" t="s">
        <v>25</v>
      </c>
      <c r="E2585">
        <v>-4</v>
      </c>
      <c r="F2585" t="s">
        <v>29</v>
      </c>
      <c r="G2585" t="s">
        <v>15</v>
      </c>
      <c r="H2585" t="s">
        <v>16</v>
      </c>
      <c r="I2585">
        <v>0</v>
      </c>
      <c r="J2585" s="23">
        <v>8066</v>
      </c>
      <c r="K2585" t="s">
        <v>17</v>
      </c>
    </row>
    <row r="2586" spans="1:11" ht="15" customHeight="1" x14ac:dyDescent="0.3">
      <c r="A2586" t="s">
        <v>18</v>
      </c>
      <c r="B2586" t="s">
        <v>19</v>
      </c>
      <c r="C2586" t="s">
        <v>24</v>
      </c>
      <c r="D2586" t="s">
        <v>20</v>
      </c>
      <c r="E2586">
        <v>43</v>
      </c>
      <c r="F2586"/>
      <c r="G2586" t="s">
        <v>31</v>
      </c>
      <c r="H2586" t="s">
        <v>16</v>
      </c>
      <c r="I2586">
        <v>1</v>
      </c>
      <c r="J2586" s="23">
        <v>227307</v>
      </c>
      <c r="K2586">
        <v>9774201</v>
      </c>
    </row>
    <row r="2587" spans="1:11" ht="15" customHeight="1" x14ac:dyDescent="0.3">
      <c r="A2587" t="s">
        <v>18</v>
      </c>
      <c r="B2587" t="s">
        <v>11</v>
      </c>
      <c r="C2587" t="s">
        <v>12</v>
      </c>
      <c r="D2587" t="s">
        <v>13</v>
      </c>
      <c r="E2587">
        <v>4</v>
      </c>
      <c r="F2587" t="s">
        <v>23</v>
      </c>
      <c r="G2587" t="s">
        <v>15</v>
      </c>
      <c r="H2587" t="s">
        <v>16</v>
      </c>
      <c r="I2587">
        <v>0</v>
      </c>
      <c r="J2587" s="23">
        <v>-67328</v>
      </c>
      <c r="K2587" t="s">
        <v>17</v>
      </c>
    </row>
    <row r="2588" spans="1:11" ht="15" customHeight="1" x14ac:dyDescent="0.3">
      <c r="A2588" t="s">
        <v>18</v>
      </c>
      <c r="B2588" t="s">
        <v>11</v>
      </c>
      <c r="C2588" t="s">
        <v>24</v>
      </c>
      <c r="D2588" t="s">
        <v>28</v>
      </c>
      <c r="E2588">
        <v>5</v>
      </c>
      <c r="F2588" t="s">
        <v>39</v>
      </c>
      <c r="G2588" t="s">
        <v>15</v>
      </c>
      <c r="H2588" t="s">
        <v>16</v>
      </c>
      <c r="I2588">
        <v>0</v>
      </c>
      <c r="J2588" s="23">
        <v>538604</v>
      </c>
      <c r="K2588">
        <v>2693020</v>
      </c>
    </row>
    <row r="2589" spans="1:11" ht="15" customHeight="1" x14ac:dyDescent="0.3">
      <c r="A2589" t="s">
        <v>10</v>
      </c>
      <c r="B2589" t="s">
        <v>19</v>
      </c>
      <c r="C2589" t="s">
        <v>24</v>
      </c>
      <c r="D2589" t="s">
        <v>20</v>
      </c>
      <c r="E2589">
        <v>14</v>
      </c>
      <c r="F2589"/>
      <c r="G2589" t="s">
        <v>15</v>
      </c>
      <c r="H2589" t="s">
        <v>16</v>
      </c>
      <c r="I2589">
        <v>0</v>
      </c>
      <c r="J2589" s="23">
        <v>27369445</v>
      </c>
      <c r="K2589">
        <v>383172230</v>
      </c>
    </row>
    <row r="2590" spans="1:11" ht="15" customHeight="1" x14ac:dyDescent="0.3">
      <c r="A2590" t="s">
        <v>10</v>
      </c>
      <c r="B2590" t="s">
        <v>11</v>
      </c>
      <c r="C2590" t="s">
        <v>12</v>
      </c>
      <c r="D2590" t="s">
        <v>28</v>
      </c>
      <c r="E2590">
        <v>5</v>
      </c>
      <c r="F2590" t="s">
        <v>34</v>
      </c>
      <c r="G2590" t="s">
        <v>15</v>
      </c>
      <c r="H2590" t="s">
        <v>32</v>
      </c>
      <c r="I2590">
        <v>1</v>
      </c>
      <c r="J2590" s="23">
        <v>-1298</v>
      </c>
      <c r="K2590" t="s">
        <v>17</v>
      </c>
    </row>
    <row r="2591" spans="1:11" ht="15" customHeight="1" x14ac:dyDescent="0.3">
      <c r="A2591" t="s">
        <v>10</v>
      </c>
      <c r="B2591" t="s">
        <v>11</v>
      </c>
      <c r="C2591" t="s">
        <v>12</v>
      </c>
      <c r="D2591" t="s">
        <v>28</v>
      </c>
      <c r="E2591">
        <v>7</v>
      </c>
      <c r="F2591" t="s">
        <v>34</v>
      </c>
      <c r="G2591" t="s">
        <v>15</v>
      </c>
      <c r="H2591" t="s">
        <v>16</v>
      </c>
      <c r="I2591">
        <v>0</v>
      </c>
      <c r="J2591" s="23">
        <v>-118215</v>
      </c>
      <c r="K2591" t="s">
        <v>17</v>
      </c>
    </row>
    <row r="2592" spans="1:11" ht="15" customHeight="1" x14ac:dyDescent="0.3">
      <c r="A2592" t="s">
        <v>10</v>
      </c>
      <c r="B2592" t="s">
        <v>11</v>
      </c>
      <c r="C2592" t="s">
        <v>24</v>
      </c>
      <c r="D2592" t="s">
        <v>25</v>
      </c>
      <c r="E2592">
        <v>1</v>
      </c>
      <c r="F2592" t="s">
        <v>39</v>
      </c>
      <c r="G2592" t="s">
        <v>15</v>
      </c>
      <c r="H2592" t="s">
        <v>16</v>
      </c>
      <c r="I2592">
        <v>0</v>
      </c>
      <c r="J2592" s="23">
        <v>422529</v>
      </c>
      <c r="K2592">
        <v>422529</v>
      </c>
    </row>
    <row r="2593" spans="1:11" ht="15" customHeight="1" x14ac:dyDescent="0.3">
      <c r="A2593" t="s">
        <v>10</v>
      </c>
      <c r="B2593" t="s">
        <v>11</v>
      </c>
      <c r="C2593" t="s">
        <v>24</v>
      </c>
      <c r="D2593" t="s">
        <v>13</v>
      </c>
      <c r="E2593">
        <v>5</v>
      </c>
      <c r="F2593" t="s">
        <v>23</v>
      </c>
      <c r="G2593" t="s">
        <v>15</v>
      </c>
      <c r="H2593" t="s">
        <v>16</v>
      </c>
      <c r="I2593">
        <v>0</v>
      </c>
      <c r="J2593" s="23">
        <v>2697940</v>
      </c>
      <c r="K2593">
        <v>13489700</v>
      </c>
    </row>
    <row r="2594" spans="1:11" ht="15" customHeight="1" x14ac:dyDescent="0.3">
      <c r="A2594" t="s">
        <v>18</v>
      </c>
      <c r="B2594" t="s">
        <v>11</v>
      </c>
      <c r="C2594" t="s">
        <v>12</v>
      </c>
      <c r="D2594" t="s">
        <v>25</v>
      </c>
      <c r="E2594">
        <v>1</v>
      </c>
      <c r="F2594" t="s">
        <v>21</v>
      </c>
      <c r="G2594" t="s">
        <v>15</v>
      </c>
      <c r="H2594" t="s">
        <v>16</v>
      </c>
      <c r="I2594">
        <v>0</v>
      </c>
      <c r="J2594" s="23">
        <v>-11994</v>
      </c>
      <c r="K2594" t="s">
        <v>17</v>
      </c>
    </row>
    <row r="2595" spans="1:11" ht="15" customHeight="1" x14ac:dyDescent="0.3">
      <c r="A2595" t="s">
        <v>22</v>
      </c>
      <c r="B2595" t="s">
        <v>11</v>
      </c>
      <c r="C2595" t="s">
        <v>12</v>
      </c>
      <c r="D2595" t="s">
        <v>25</v>
      </c>
      <c r="E2595">
        <v>4</v>
      </c>
      <c r="F2595" t="s">
        <v>26</v>
      </c>
      <c r="G2595" t="s">
        <v>15</v>
      </c>
      <c r="H2595" t="s">
        <v>16</v>
      </c>
      <c r="I2595">
        <v>0</v>
      </c>
      <c r="J2595" s="23">
        <v>-27685</v>
      </c>
      <c r="K2595" t="s">
        <v>17</v>
      </c>
    </row>
    <row r="2596" spans="1:11" ht="15" customHeight="1" x14ac:dyDescent="0.3">
      <c r="A2596" t="s">
        <v>18</v>
      </c>
      <c r="B2596" t="s">
        <v>11</v>
      </c>
      <c r="C2596" t="s">
        <v>12</v>
      </c>
      <c r="D2596" t="s">
        <v>13</v>
      </c>
      <c r="E2596">
        <v>7</v>
      </c>
      <c r="F2596" t="s">
        <v>33</v>
      </c>
      <c r="G2596" t="s">
        <v>15</v>
      </c>
      <c r="H2596" t="s">
        <v>16</v>
      </c>
      <c r="I2596">
        <v>0</v>
      </c>
      <c r="J2596" s="23">
        <v>-7540</v>
      </c>
      <c r="K2596" t="s">
        <v>17</v>
      </c>
    </row>
    <row r="2597" spans="1:11" ht="15" customHeight="1" x14ac:dyDescent="0.3">
      <c r="A2597" t="s">
        <v>22</v>
      </c>
      <c r="B2597" t="s">
        <v>19</v>
      </c>
      <c r="C2597" t="s">
        <v>12</v>
      </c>
      <c r="D2597" t="s">
        <v>20</v>
      </c>
      <c r="E2597">
        <v>15</v>
      </c>
      <c r="F2597"/>
      <c r="G2597" t="s">
        <v>31</v>
      </c>
      <c r="H2597" t="s">
        <v>32</v>
      </c>
      <c r="I2597">
        <v>1</v>
      </c>
      <c r="J2597" s="23">
        <v>-13029</v>
      </c>
      <c r="K2597" t="s">
        <v>17</v>
      </c>
    </row>
    <row r="2598" spans="1:11" ht="15" customHeight="1" x14ac:dyDescent="0.3">
      <c r="A2598" t="s">
        <v>10</v>
      </c>
      <c r="B2598" t="s">
        <v>11</v>
      </c>
      <c r="C2598" t="s">
        <v>12</v>
      </c>
      <c r="D2598" t="s">
        <v>28</v>
      </c>
      <c r="E2598">
        <v>9</v>
      </c>
      <c r="F2598" t="s">
        <v>26</v>
      </c>
      <c r="G2598" t="s">
        <v>15</v>
      </c>
      <c r="H2598" t="s">
        <v>16</v>
      </c>
      <c r="I2598">
        <v>0</v>
      </c>
      <c r="J2598" s="23">
        <v>-288226</v>
      </c>
      <c r="K2598" t="s">
        <v>17</v>
      </c>
    </row>
    <row r="2599" spans="1:11" ht="15" customHeight="1" x14ac:dyDescent="0.3">
      <c r="A2599" t="s">
        <v>18</v>
      </c>
      <c r="B2599" t="s">
        <v>19</v>
      </c>
      <c r="C2599" t="s">
        <v>24</v>
      </c>
      <c r="D2599" t="s">
        <v>20</v>
      </c>
      <c r="E2599">
        <v>33</v>
      </c>
      <c r="F2599"/>
      <c r="G2599" t="s">
        <v>31</v>
      </c>
      <c r="H2599" t="s">
        <v>16</v>
      </c>
      <c r="I2599">
        <v>1</v>
      </c>
      <c r="J2599" s="23">
        <v>17387982</v>
      </c>
      <c r="K2599">
        <v>573803406</v>
      </c>
    </row>
    <row r="2600" spans="1:11" ht="15" customHeight="1" x14ac:dyDescent="0.3">
      <c r="A2600" t="s">
        <v>22</v>
      </c>
      <c r="B2600" t="s">
        <v>11</v>
      </c>
      <c r="C2600" t="s">
        <v>12</v>
      </c>
      <c r="D2600" t="s">
        <v>13</v>
      </c>
      <c r="E2600">
        <v>-1</v>
      </c>
      <c r="F2600" t="s">
        <v>26</v>
      </c>
      <c r="G2600" t="s">
        <v>15</v>
      </c>
      <c r="H2600" t="s">
        <v>16</v>
      </c>
      <c r="I2600">
        <v>0</v>
      </c>
      <c r="J2600" s="23">
        <v>-987911</v>
      </c>
      <c r="K2600" t="s">
        <v>17</v>
      </c>
    </row>
    <row r="2601" spans="1:11" ht="15" customHeight="1" x14ac:dyDescent="0.3">
      <c r="A2601" t="s">
        <v>10</v>
      </c>
      <c r="B2601" t="s">
        <v>11</v>
      </c>
      <c r="C2601" t="s">
        <v>24</v>
      </c>
      <c r="D2601" t="s">
        <v>13</v>
      </c>
      <c r="E2601">
        <v>2</v>
      </c>
      <c r="F2601" t="s">
        <v>14</v>
      </c>
      <c r="G2601" t="s">
        <v>15</v>
      </c>
      <c r="H2601" t="s">
        <v>16</v>
      </c>
      <c r="I2601">
        <v>0</v>
      </c>
      <c r="J2601" s="23">
        <v>2426969</v>
      </c>
      <c r="K2601">
        <v>4853938</v>
      </c>
    </row>
    <row r="2602" spans="1:11" ht="15" customHeight="1" x14ac:dyDescent="0.3">
      <c r="A2602" t="s">
        <v>18</v>
      </c>
      <c r="B2602" t="s">
        <v>11</v>
      </c>
      <c r="C2602" t="s">
        <v>12</v>
      </c>
      <c r="D2602" t="s">
        <v>28</v>
      </c>
      <c r="E2602">
        <v>2</v>
      </c>
      <c r="F2602" t="s">
        <v>27</v>
      </c>
      <c r="G2602" t="s">
        <v>15</v>
      </c>
      <c r="H2602" t="s">
        <v>16</v>
      </c>
      <c r="I2602">
        <v>0</v>
      </c>
      <c r="J2602" s="23">
        <v>-28</v>
      </c>
      <c r="K2602" t="s">
        <v>17</v>
      </c>
    </row>
    <row r="2603" spans="1:11" ht="15" customHeight="1" x14ac:dyDescent="0.3">
      <c r="A2603" t="s">
        <v>18</v>
      </c>
      <c r="B2603" t="s">
        <v>11</v>
      </c>
      <c r="C2603" t="s">
        <v>12</v>
      </c>
      <c r="D2603" t="s">
        <v>28</v>
      </c>
      <c r="E2603">
        <v>2</v>
      </c>
      <c r="F2603" t="s">
        <v>34</v>
      </c>
      <c r="G2603" t="s">
        <v>31</v>
      </c>
      <c r="H2603" t="s">
        <v>16</v>
      </c>
      <c r="I2603">
        <v>1</v>
      </c>
      <c r="J2603" s="23">
        <v>-113</v>
      </c>
      <c r="K2603" t="s">
        <v>17</v>
      </c>
    </row>
    <row r="2604" spans="1:11" ht="15" customHeight="1" x14ac:dyDescent="0.3">
      <c r="A2604" t="s">
        <v>10</v>
      </c>
      <c r="B2604" t="s">
        <v>44</v>
      </c>
      <c r="C2604" t="s">
        <v>24</v>
      </c>
      <c r="D2604" t="s">
        <v>28</v>
      </c>
      <c r="E2604">
        <v>-4</v>
      </c>
      <c r="F2604" t="s">
        <v>38</v>
      </c>
      <c r="G2604" t="s">
        <v>15</v>
      </c>
      <c r="H2604" t="s">
        <v>16</v>
      </c>
      <c r="I2604">
        <v>0</v>
      </c>
      <c r="J2604" s="23">
        <v>42</v>
      </c>
      <c r="K2604" t="s">
        <v>17</v>
      </c>
    </row>
    <row r="2605" spans="1:11" ht="15" customHeight="1" x14ac:dyDescent="0.3">
      <c r="A2605" t="s">
        <v>22</v>
      </c>
      <c r="B2605" t="s">
        <v>11</v>
      </c>
      <c r="C2605" t="s">
        <v>12</v>
      </c>
      <c r="D2605" t="s">
        <v>28</v>
      </c>
      <c r="E2605">
        <v>9</v>
      </c>
      <c r="F2605" t="s">
        <v>23</v>
      </c>
      <c r="G2605" t="s">
        <v>15</v>
      </c>
      <c r="H2605" t="s">
        <v>16</v>
      </c>
      <c r="I2605">
        <v>0</v>
      </c>
      <c r="J2605" s="23">
        <v>-599063</v>
      </c>
      <c r="K2605" t="s">
        <v>17</v>
      </c>
    </row>
    <row r="2606" spans="1:11" ht="15" customHeight="1" x14ac:dyDescent="0.3">
      <c r="A2606" t="s">
        <v>18</v>
      </c>
      <c r="B2606" t="s">
        <v>11</v>
      </c>
      <c r="C2606" t="s">
        <v>12</v>
      </c>
      <c r="D2606" t="s">
        <v>13</v>
      </c>
      <c r="E2606">
        <v>4</v>
      </c>
      <c r="F2606" t="s">
        <v>34</v>
      </c>
      <c r="G2606" t="s">
        <v>15</v>
      </c>
      <c r="H2606" t="s">
        <v>16</v>
      </c>
      <c r="I2606">
        <v>0</v>
      </c>
      <c r="J2606" s="23">
        <v>-251218</v>
      </c>
      <c r="K2606" t="s">
        <v>17</v>
      </c>
    </row>
    <row r="2607" spans="1:11" ht="15" customHeight="1" x14ac:dyDescent="0.3">
      <c r="A2607" t="s">
        <v>10</v>
      </c>
      <c r="B2607" t="s">
        <v>19</v>
      </c>
      <c r="C2607" t="s">
        <v>24</v>
      </c>
      <c r="D2607" t="s">
        <v>20</v>
      </c>
      <c r="E2607">
        <v>7</v>
      </c>
      <c r="F2607"/>
      <c r="G2607" t="s">
        <v>15</v>
      </c>
      <c r="H2607" t="s">
        <v>16</v>
      </c>
      <c r="I2607">
        <v>0</v>
      </c>
      <c r="J2607" s="23">
        <v>18899787</v>
      </c>
      <c r="K2607">
        <v>132298509</v>
      </c>
    </row>
    <row r="2608" spans="1:11" ht="15" customHeight="1" x14ac:dyDescent="0.3">
      <c r="A2608" t="s">
        <v>10</v>
      </c>
      <c r="B2608" t="s">
        <v>11</v>
      </c>
      <c r="C2608" t="s">
        <v>24</v>
      </c>
      <c r="D2608" t="s">
        <v>28</v>
      </c>
      <c r="E2608">
        <v>3</v>
      </c>
      <c r="F2608" t="s">
        <v>29</v>
      </c>
      <c r="G2608" t="s">
        <v>15</v>
      </c>
      <c r="H2608" t="s">
        <v>32</v>
      </c>
      <c r="I2608">
        <v>1</v>
      </c>
      <c r="J2608" s="23">
        <v>1947115</v>
      </c>
      <c r="K2608">
        <v>5841345</v>
      </c>
    </row>
    <row r="2609" spans="1:11" ht="15" customHeight="1" x14ac:dyDescent="0.3">
      <c r="A2609" t="s">
        <v>10</v>
      </c>
      <c r="B2609" t="s">
        <v>11</v>
      </c>
      <c r="C2609" t="s">
        <v>12</v>
      </c>
      <c r="D2609" t="s">
        <v>28</v>
      </c>
      <c r="E2609">
        <v>9</v>
      </c>
      <c r="F2609" t="s">
        <v>37</v>
      </c>
      <c r="G2609" t="s">
        <v>15</v>
      </c>
      <c r="H2609" t="s">
        <v>16</v>
      </c>
      <c r="I2609">
        <v>0</v>
      </c>
      <c r="J2609" s="23">
        <v>-9625</v>
      </c>
      <c r="K2609" t="s">
        <v>17</v>
      </c>
    </row>
    <row r="2610" spans="1:11" ht="15" customHeight="1" x14ac:dyDescent="0.3">
      <c r="A2610" t="s">
        <v>18</v>
      </c>
      <c r="B2610" t="s">
        <v>19</v>
      </c>
      <c r="C2610" t="s">
        <v>24</v>
      </c>
      <c r="D2610" t="s">
        <v>20</v>
      </c>
      <c r="E2610">
        <v>7</v>
      </c>
      <c r="F2610"/>
      <c r="G2610" t="s">
        <v>31</v>
      </c>
      <c r="H2610" t="s">
        <v>16</v>
      </c>
      <c r="I2610">
        <v>1</v>
      </c>
      <c r="J2610" s="23">
        <v>2080463</v>
      </c>
      <c r="K2610">
        <v>14563241</v>
      </c>
    </row>
    <row r="2611" spans="1:11" ht="15" customHeight="1" x14ac:dyDescent="0.3">
      <c r="A2611" t="s">
        <v>22</v>
      </c>
      <c r="B2611" t="s">
        <v>11</v>
      </c>
      <c r="C2611" t="s">
        <v>24</v>
      </c>
      <c r="D2611" t="s">
        <v>13</v>
      </c>
      <c r="E2611">
        <v>-4</v>
      </c>
      <c r="F2611" t="s">
        <v>26</v>
      </c>
      <c r="G2611" t="s">
        <v>15</v>
      </c>
      <c r="H2611" t="s">
        <v>16</v>
      </c>
      <c r="I2611">
        <v>0</v>
      </c>
      <c r="J2611" s="23">
        <v>1738444</v>
      </c>
      <c r="K2611" t="s">
        <v>17</v>
      </c>
    </row>
    <row r="2612" spans="1:11" ht="15" customHeight="1" x14ac:dyDescent="0.3">
      <c r="A2612" t="s">
        <v>18</v>
      </c>
      <c r="B2612" t="s">
        <v>19</v>
      </c>
      <c r="C2612" t="s">
        <v>12</v>
      </c>
      <c r="D2612" t="s">
        <v>20</v>
      </c>
      <c r="E2612">
        <v>10</v>
      </c>
      <c r="F2612"/>
      <c r="G2612" t="s">
        <v>31</v>
      </c>
      <c r="H2612" t="s">
        <v>32</v>
      </c>
      <c r="I2612">
        <v>1</v>
      </c>
      <c r="J2612" s="23">
        <v>-147</v>
      </c>
      <c r="K2612" t="s">
        <v>17</v>
      </c>
    </row>
    <row r="2613" spans="1:11" ht="15" customHeight="1" x14ac:dyDescent="0.3">
      <c r="A2613" t="s">
        <v>10</v>
      </c>
      <c r="B2613" t="s">
        <v>11</v>
      </c>
      <c r="C2613" t="s">
        <v>24</v>
      </c>
      <c r="D2613" t="s">
        <v>13</v>
      </c>
      <c r="E2613">
        <v>6</v>
      </c>
      <c r="F2613" t="s">
        <v>41</v>
      </c>
      <c r="G2613" t="s">
        <v>15</v>
      </c>
      <c r="H2613" t="s">
        <v>16</v>
      </c>
      <c r="I2613">
        <v>0</v>
      </c>
      <c r="J2613" s="23">
        <v>150757</v>
      </c>
      <c r="K2613">
        <v>904542</v>
      </c>
    </row>
    <row r="2614" spans="1:11" ht="15" customHeight="1" x14ac:dyDescent="0.3">
      <c r="A2614" t="s">
        <v>18</v>
      </c>
      <c r="B2614" t="s">
        <v>19</v>
      </c>
      <c r="C2614" t="s">
        <v>12</v>
      </c>
      <c r="D2614" t="s">
        <v>20</v>
      </c>
      <c r="E2614">
        <v>27</v>
      </c>
      <c r="F2614"/>
      <c r="G2614" t="s">
        <v>31</v>
      </c>
      <c r="H2614" t="s">
        <v>16</v>
      </c>
      <c r="I2614">
        <v>1</v>
      </c>
      <c r="J2614" s="23">
        <v>-4322</v>
      </c>
      <c r="K2614" t="s">
        <v>17</v>
      </c>
    </row>
    <row r="2615" spans="1:11" ht="15" customHeight="1" x14ac:dyDescent="0.3">
      <c r="A2615" t="s">
        <v>18</v>
      </c>
      <c r="B2615" t="s">
        <v>19</v>
      </c>
      <c r="C2615" t="s">
        <v>12</v>
      </c>
      <c r="D2615" t="s">
        <v>20</v>
      </c>
      <c r="E2615">
        <v>2</v>
      </c>
      <c r="F2615"/>
      <c r="G2615" t="s">
        <v>31</v>
      </c>
      <c r="H2615" t="s">
        <v>32</v>
      </c>
      <c r="I2615">
        <v>1</v>
      </c>
      <c r="J2615" s="23">
        <v>-1</v>
      </c>
      <c r="K2615" t="s">
        <v>17</v>
      </c>
    </row>
    <row r="2616" spans="1:11" ht="15" customHeight="1" x14ac:dyDescent="0.3">
      <c r="A2616" t="s">
        <v>10</v>
      </c>
      <c r="B2616" t="s">
        <v>11</v>
      </c>
      <c r="C2616" t="s">
        <v>12</v>
      </c>
      <c r="D2616" t="s">
        <v>28</v>
      </c>
      <c r="E2616">
        <v>2</v>
      </c>
      <c r="F2616" t="s">
        <v>26</v>
      </c>
      <c r="G2616" t="s">
        <v>15</v>
      </c>
      <c r="H2616" t="s">
        <v>16</v>
      </c>
      <c r="I2616">
        <v>0</v>
      </c>
      <c r="J2616" s="23">
        <v>-47225</v>
      </c>
      <c r="K2616" t="s">
        <v>17</v>
      </c>
    </row>
    <row r="2617" spans="1:11" ht="15" customHeight="1" x14ac:dyDescent="0.3">
      <c r="A2617" t="s">
        <v>10</v>
      </c>
      <c r="B2617" t="s">
        <v>11</v>
      </c>
      <c r="C2617" t="s">
        <v>24</v>
      </c>
      <c r="D2617" t="s">
        <v>28</v>
      </c>
      <c r="E2617">
        <v>13</v>
      </c>
      <c r="F2617" t="s">
        <v>26</v>
      </c>
      <c r="G2617" t="s">
        <v>15</v>
      </c>
      <c r="H2617" t="s">
        <v>16</v>
      </c>
      <c r="I2617">
        <v>0</v>
      </c>
      <c r="J2617" s="23">
        <v>2336949</v>
      </c>
      <c r="K2617">
        <v>30380337</v>
      </c>
    </row>
    <row r="2618" spans="1:11" ht="15" customHeight="1" x14ac:dyDescent="0.3">
      <c r="A2618" t="s">
        <v>22</v>
      </c>
      <c r="B2618" t="s">
        <v>11</v>
      </c>
      <c r="C2618" t="s">
        <v>24</v>
      </c>
      <c r="D2618" t="s">
        <v>28</v>
      </c>
      <c r="E2618">
        <v>14</v>
      </c>
      <c r="F2618" t="s">
        <v>34</v>
      </c>
      <c r="G2618" t="s">
        <v>15</v>
      </c>
      <c r="H2618" t="s">
        <v>16</v>
      </c>
      <c r="I2618">
        <v>0</v>
      </c>
      <c r="J2618" s="23">
        <v>149408</v>
      </c>
      <c r="K2618">
        <v>2091712</v>
      </c>
    </row>
    <row r="2619" spans="1:11" ht="15" customHeight="1" x14ac:dyDescent="0.3">
      <c r="A2619" t="s">
        <v>18</v>
      </c>
      <c r="B2619" t="s">
        <v>44</v>
      </c>
      <c r="C2619" t="s">
        <v>12</v>
      </c>
      <c r="D2619" t="s">
        <v>28</v>
      </c>
      <c r="E2619">
        <v>6</v>
      </c>
      <c r="F2619" t="s">
        <v>26</v>
      </c>
      <c r="G2619" t="s">
        <v>15</v>
      </c>
      <c r="H2619" t="s">
        <v>16</v>
      </c>
      <c r="I2619">
        <v>0</v>
      </c>
      <c r="J2619" s="23">
        <v>-1328</v>
      </c>
      <c r="K2619" t="s">
        <v>17</v>
      </c>
    </row>
    <row r="2620" spans="1:11" ht="15" customHeight="1" x14ac:dyDescent="0.3">
      <c r="A2620" t="s">
        <v>10</v>
      </c>
      <c r="B2620" t="s">
        <v>19</v>
      </c>
      <c r="C2620" t="s">
        <v>12</v>
      </c>
      <c r="D2620" t="s">
        <v>20</v>
      </c>
      <c r="E2620">
        <v>27</v>
      </c>
      <c r="F2620"/>
      <c r="G2620" t="s">
        <v>31</v>
      </c>
      <c r="H2620" t="s">
        <v>16</v>
      </c>
      <c r="I2620">
        <v>1</v>
      </c>
      <c r="J2620" s="23">
        <v>-1287</v>
      </c>
      <c r="K2620" t="s">
        <v>17</v>
      </c>
    </row>
    <row r="2621" spans="1:11" ht="15" customHeight="1" x14ac:dyDescent="0.3">
      <c r="A2621" t="s">
        <v>18</v>
      </c>
      <c r="B2621" t="s">
        <v>44</v>
      </c>
      <c r="C2621" t="s">
        <v>24</v>
      </c>
      <c r="D2621" t="s">
        <v>28</v>
      </c>
      <c r="E2621">
        <v>8</v>
      </c>
      <c r="F2621" t="s">
        <v>26</v>
      </c>
      <c r="G2621" t="s">
        <v>15</v>
      </c>
      <c r="H2621" t="s">
        <v>16</v>
      </c>
      <c r="I2621">
        <v>0</v>
      </c>
      <c r="J2621" s="23">
        <v>946857</v>
      </c>
      <c r="K2621">
        <v>7574856</v>
      </c>
    </row>
    <row r="2622" spans="1:11" ht="15" customHeight="1" x14ac:dyDescent="0.3">
      <c r="A2622" t="s">
        <v>18</v>
      </c>
      <c r="B2622" t="s">
        <v>19</v>
      </c>
      <c r="C2622" t="s">
        <v>24</v>
      </c>
      <c r="D2622" t="s">
        <v>20</v>
      </c>
      <c r="E2622">
        <v>11</v>
      </c>
      <c r="F2622"/>
      <c r="G2622" t="s">
        <v>15</v>
      </c>
      <c r="H2622" t="s">
        <v>16</v>
      </c>
      <c r="I2622">
        <v>0</v>
      </c>
      <c r="J2622" s="23">
        <v>173100723</v>
      </c>
      <c r="K2622">
        <v>1904107953</v>
      </c>
    </row>
    <row r="2623" spans="1:11" ht="15" customHeight="1" x14ac:dyDescent="0.3">
      <c r="A2623" t="s">
        <v>22</v>
      </c>
      <c r="B2623" t="s">
        <v>19</v>
      </c>
      <c r="C2623" t="s">
        <v>24</v>
      </c>
      <c r="D2623" t="s">
        <v>28</v>
      </c>
      <c r="E2623">
        <v>7</v>
      </c>
      <c r="F2623"/>
      <c r="G2623" t="s">
        <v>15</v>
      </c>
      <c r="H2623" t="s">
        <v>16</v>
      </c>
      <c r="I2623">
        <v>0</v>
      </c>
      <c r="J2623" s="23">
        <v>320322</v>
      </c>
      <c r="K2623">
        <v>2242254</v>
      </c>
    </row>
    <row r="2624" spans="1:11" ht="15" customHeight="1" x14ac:dyDescent="0.3">
      <c r="A2624" t="s">
        <v>18</v>
      </c>
      <c r="B2624" t="s">
        <v>19</v>
      </c>
      <c r="C2624" t="s">
        <v>12</v>
      </c>
      <c r="D2624" t="s">
        <v>20</v>
      </c>
      <c r="E2624">
        <v>14</v>
      </c>
      <c r="F2624"/>
      <c r="G2624" t="s">
        <v>31</v>
      </c>
      <c r="H2624" t="s">
        <v>32</v>
      </c>
      <c r="I2624">
        <v>1</v>
      </c>
      <c r="J2624" s="23">
        <v>-64</v>
      </c>
      <c r="K2624" t="s">
        <v>17</v>
      </c>
    </row>
    <row r="2625" spans="1:11" ht="15" customHeight="1" x14ac:dyDescent="0.3">
      <c r="A2625" t="s">
        <v>10</v>
      </c>
      <c r="B2625" t="s">
        <v>11</v>
      </c>
      <c r="C2625" t="s">
        <v>24</v>
      </c>
      <c r="D2625" t="s">
        <v>13</v>
      </c>
      <c r="E2625">
        <v>7</v>
      </c>
      <c r="F2625" t="s">
        <v>29</v>
      </c>
      <c r="G2625" t="s">
        <v>15</v>
      </c>
      <c r="H2625" t="s">
        <v>16</v>
      </c>
      <c r="I2625">
        <v>0</v>
      </c>
      <c r="J2625" s="23">
        <v>1679236</v>
      </c>
      <c r="K2625">
        <v>11754652</v>
      </c>
    </row>
    <row r="2626" spans="1:11" ht="15" customHeight="1" x14ac:dyDescent="0.3">
      <c r="A2626" t="s">
        <v>22</v>
      </c>
      <c r="B2626" t="s">
        <v>11</v>
      </c>
      <c r="C2626" t="s">
        <v>12</v>
      </c>
      <c r="D2626" t="s">
        <v>28</v>
      </c>
      <c r="E2626">
        <v>5</v>
      </c>
      <c r="F2626" t="s">
        <v>29</v>
      </c>
      <c r="G2626" t="s">
        <v>15</v>
      </c>
      <c r="H2626" t="s">
        <v>16</v>
      </c>
      <c r="I2626">
        <v>0</v>
      </c>
      <c r="J2626" s="23">
        <v>-1104168</v>
      </c>
      <c r="K2626" t="s">
        <v>17</v>
      </c>
    </row>
    <row r="2627" spans="1:11" ht="15" customHeight="1" x14ac:dyDescent="0.3">
      <c r="A2627" t="s">
        <v>18</v>
      </c>
      <c r="B2627" t="s">
        <v>11</v>
      </c>
      <c r="C2627" t="s">
        <v>12</v>
      </c>
      <c r="D2627" t="s">
        <v>13</v>
      </c>
      <c r="E2627">
        <v>-1</v>
      </c>
      <c r="F2627" t="s">
        <v>37</v>
      </c>
      <c r="G2627" t="s">
        <v>15</v>
      </c>
      <c r="H2627" t="s">
        <v>16</v>
      </c>
      <c r="I2627">
        <v>0</v>
      </c>
      <c r="J2627" s="23">
        <v>-27191</v>
      </c>
      <c r="K2627" t="s">
        <v>17</v>
      </c>
    </row>
    <row r="2628" spans="1:11" ht="15" customHeight="1" x14ac:dyDescent="0.3">
      <c r="A2628" t="s">
        <v>10</v>
      </c>
      <c r="B2628" t="s">
        <v>11</v>
      </c>
      <c r="C2628" t="s">
        <v>24</v>
      </c>
      <c r="D2628" t="s">
        <v>28</v>
      </c>
      <c r="E2628">
        <v>4</v>
      </c>
      <c r="F2628" t="s">
        <v>33</v>
      </c>
      <c r="G2628" t="s">
        <v>31</v>
      </c>
      <c r="H2628" t="s">
        <v>32</v>
      </c>
      <c r="I2628">
        <v>1</v>
      </c>
      <c r="J2628" s="23">
        <v>677127</v>
      </c>
      <c r="K2628">
        <v>2708508</v>
      </c>
    </row>
    <row r="2629" spans="1:11" ht="15" customHeight="1" x14ac:dyDescent="0.3">
      <c r="A2629" t="s">
        <v>10</v>
      </c>
      <c r="B2629" t="s">
        <v>11</v>
      </c>
      <c r="C2629" t="s">
        <v>12</v>
      </c>
      <c r="D2629" t="s">
        <v>28</v>
      </c>
      <c r="E2629">
        <v>9</v>
      </c>
      <c r="F2629" t="s">
        <v>29</v>
      </c>
      <c r="G2629" t="s">
        <v>15</v>
      </c>
      <c r="H2629" t="s">
        <v>32</v>
      </c>
      <c r="I2629">
        <v>1</v>
      </c>
      <c r="J2629" s="23">
        <v>-146534</v>
      </c>
      <c r="K2629" t="s">
        <v>17</v>
      </c>
    </row>
    <row r="2630" spans="1:11" ht="15" customHeight="1" x14ac:dyDescent="0.3">
      <c r="A2630" t="s">
        <v>18</v>
      </c>
      <c r="B2630" t="s">
        <v>44</v>
      </c>
      <c r="C2630" t="s">
        <v>24</v>
      </c>
      <c r="D2630" t="s">
        <v>28</v>
      </c>
      <c r="E2630">
        <v>3</v>
      </c>
      <c r="F2630" t="s">
        <v>38</v>
      </c>
      <c r="G2630" t="s">
        <v>15</v>
      </c>
      <c r="H2630" t="s">
        <v>16</v>
      </c>
      <c r="I2630">
        <v>0</v>
      </c>
      <c r="J2630" s="23">
        <v>55736584</v>
      </c>
      <c r="K2630">
        <v>167209752</v>
      </c>
    </row>
    <row r="2631" spans="1:11" ht="15" customHeight="1" x14ac:dyDescent="0.3">
      <c r="A2631" t="s">
        <v>18</v>
      </c>
      <c r="B2631" t="s">
        <v>19</v>
      </c>
      <c r="C2631" t="s">
        <v>12</v>
      </c>
      <c r="D2631" t="s">
        <v>20</v>
      </c>
      <c r="E2631">
        <v>15</v>
      </c>
      <c r="F2631"/>
      <c r="G2631" t="s">
        <v>31</v>
      </c>
      <c r="H2631" t="s">
        <v>32</v>
      </c>
      <c r="I2631">
        <v>1</v>
      </c>
      <c r="J2631" s="23">
        <v>-189</v>
      </c>
      <c r="K2631" t="s">
        <v>17</v>
      </c>
    </row>
    <row r="2632" spans="1:11" ht="15" customHeight="1" x14ac:dyDescent="0.3">
      <c r="A2632" t="s">
        <v>18</v>
      </c>
      <c r="B2632" t="s">
        <v>11</v>
      </c>
      <c r="C2632" t="s">
        <v>24</v>
      </c>
      <c r="D2632" t="s">
        <v>25</v>
      </c>
      <c r="E2632">
        <v>2</v>
      </c>
      <c r="F2632" t="s">
        <v>14</v>
      </c>
      <c r="G2632" t="s">
        <v>15</v>
      </c>
      <c r="H2632" t="s">
        <v>16</v>
      </c>
      <c r="I2632">
        <v>0</v>
      </c>
      <c r="J2632" s="23">
        <v>3369145</v>
      </c>
      <c r="K2632">
        <v>6738290</v>
      </c>
    </row>
    <row r="2633" spans="1:11" ht="15" customHeight="1" x14ac:dyDescent="0.3">
      <c r="A2633" t="s">
        <v>18</v>
      </c>
      <c r="B2633" t="s">
        <v>11</v>
      </c>
      <c r="C2633" t="s">
        <v>12</v>
      </c>
      <c r="D2633" t="s">
        <v>28</v>
      </c>
      <c r="E2633">
        <v>7</v>
      </c>
      <c r="F2633" t="s">
        <v>35</v>
      </c>
      <c r="G2633" t="s">
        <v>15</v>
      </c>
      <c r="H2633" t="s">
        <v>16</v>
      </c>
      <c r="I2633">
        <v>0</v>
      </c>
      <c r="J2633" s="23">
        <v>-3185</v>
      </c>
      <c r="K2633" t="s">
        <v>17</v>
      </c>
    </row>
    <row r="2634" spans="1:11" ht="15" customHeight="1" x14ac:dyDescent="0.3">
      <c r="A2634" t="s">
        <v>18</v>
      </c>
      <c r="B2634" t="s">
        <v>11</v>
      </c>
      <c r="C2634" t="s">
        <v>12</v>
      </c>
      <c r="D2634" t="s">
        <v>25</v>
      </c>
      <c r="E2634">
        <v>1</v>
      </c>
      <c r="F2634" t="s">
        <v>36</v>
      </c>
      <c r="G2634" t="s">
        <v>15</v>
      </c>
      <c r="H2634" t="s">
        <v>16</v>
      </c>
      <c r="I2634">
        <v>0</v>
      </c>
      <c r="J2634" s="23">
        <v>-515</v>
      </c>
      <c r="K2634" t="s">
        <v>17</v>
      </c>
    </row>
    <row r="2635" spans="1:11" ht="15" customHeight="1" x14ac:dyDescent="0.3">
      <c r="A2635" t="s">
        <v>22</v>
      </c>
      <c r="B2635" t="s">
        <v>11</v>
      </c>
      <c r="C2635" t="s">
        <v>12</v>
      </c>
      <c r="D2635" t="s">
        <v>13</v>
      </c>
      <c r="E2635">
        <v>9</v>
      </c>
      <c r="F2635" t="s">
        <v>41</v>
      </c>
      <c r="G2635" t="s">
        <v>15</v>
      </c>
      <c r="H2635" t="s">
        <v>16</v>
      </c>
      <c r="I2635">
        <v>0</v>
      </c>
      <c r="J2635" s="23">
        <v>-177956</v>
      </c>
      <c r="K2635" t="s">
        <v>17</v>
      </c>
    </row>
    <row r="2636" spans="1:11" ht="15" customHeight="1" x14ac:dyDescent="0.3">
      <c r="A2636" t="s">
        <v>10</v>
      </c>
      <c r="B2636" t="s">
        <v>11</v>
      </c>
      <c r="C2636" t="s">
        <v>12</v>
      </c>
      <c r="D2636" t="s">
        <v>25</v>
      </c>
      <c r="E2636">
        <v>-1</v>
      </c>
      <c r="F2636" t="s">
        <v>26</v>
      </c>
      <c r="G2636" t="s">
        <v>15</v>
      </c>
      <c r="H2636" t="s">
        <v>16</v>
      </c>
      <c r="I2636">
        <v>0</v>
      </c>
      <c r="J2636" s="23">
        <v>-39305</v>
      </c>
      <c r="K2636" t="s">
        <v>17</v>
      </c>
    </row>
    <row r="2637" spans="1:11" ht="15" customHeight="1" x14ac:dyDescent="0.3">
      <c r="A2637" t="s">
        <v>22</v>
      </c>
      <c r="B2637" t="s">
        <v>11</v>
      </c>
      <c r="C2637" t="s">
        <v>12</v>
      </c>
      <c r="D2637" t="s">
        <v>28</v>
      </c>
      <c r="E2637">
        <v>3</v>
      </c>
      <c r="F2637" t="s">
        <v>21</v>
      </c>
      <c r="G2637" t="s">
        <v>15</v>
      </c>
      <c r="H2637" t="s">
        <v>16</v>
      </c>
      <c r="I2637">
        <v>0</v>
      </c>
      <c r="J2637" s="23">
        <v>-2241235</v>
      </c>
      <c r="K2637" t="s">
        <v>17</v>
      </c>
    </row>
    <row r="2638" spans="1:11" ht="15" customHeight="1" x14ac:dyDescent="0.3">
      <c r="A2638" t="s">
        <v>18</v>
      </c>
      <c r="B2638" t="s">
        <v>11</v>
      </c>
      <c r="C2638" t="s">
        <v>24</v>
      </c>
      <c r="D2638" t="s">
        <v>28</v>
      </c>
      <c r="E2638">
        <v>14</v>
      </c>
      <c r="F2638" t="s">
        <v>33</v>
      </c>
      <c r="G2638" t="s">
        <v>15</v>
      </c>
      <c r="H2638" t="s">
        <v>32</v>
      </c>
      <c r="I2638">
        <v>1</v>
      </c>
      <c r="J2638" s="23">
        <v>18330384</v>
      </c>
      <c r="K2638">
        <v>256625376</v>
      </c>
    </row>
    <row r="2639" spans="1:11" ht="15" customHeight="1" x14ac:dyDescent="0.3">
      <c r="A2639" t="s">
        <v>18</v>
      </c>
      <c r="B2639" t="s">
        <v>11</v>
      </c>
      <c r="C2639" t="s">
        <v>12</v>
      </c>
      <c r="D2639" t="s">
        <v>13</v>
      </c>
      <c r="E2639">
        <v>8</v>
      </c>
      <c r="F2639" t="s">
        <v>42</v>
      </c>
      <c r="G2639" t="s">
        <v>15</v>
      </c>
      <c r="H2639" t="s">
        <v>16</v>
      </c>
      <c r="I2639">
        <v>0</v>
      </c>
      <c r="J2639" s="23">
        <v>-8795</v>
      </c>
      <c r="K2639" t="s">
        <v>17</v>
      </c>
    </row>
    <row r="2640" spans="1:11" ht="15" customHeight="1" x14ac:dyDescent="0.3">
      <c r="A2640" t="s">
        <v>18</v>
      </c>
      <c r="B2640" t="s">
        <v>11</v>
      </c>
      <c r="C2640" t="s">
        <v>24</v>
      </c>
      <c r="D2640" t="s">
        <v>28</v>
      </c>
      <c r="E2640">
        <v>12</v>
      </c>
      <c r="F2640" t="s">
        <v>14</v>
      </c>
      <c r="G2640" t="s">
        <v>15</v>
      </c>
      <c r="H2640" t="s">
        <v>16</v>
      </c>
      <c r="I2640">
        <v>0</v>
      </c>
      <c r="J2640" s="23">
        <v>31779257</v>
      </c>
      <c r="K2640">
        <v>381351084</v>
      </c>
    </row>
    <row r="2641" spans="1:11" ht="15" customHeight="1" x14ac:dyDescent="0.3">
      <c r="A2641" t="s">
        <v>22</v>
      </c>
      <c r="B2641" t="s">
        <v>11</v>
      </c>
      <c r="C2641" t="s">
        <v>24</v>
      </c>
      <c r="D2641" t="s">
        <v>13</v>
      </c>
      <c r="E2641">
        <v>21</v>
      </c>
      <c r="F2641" t="s">
        <v>39</v>
      </c>
      <c r="G2641" t="s">
        <v>15</v>
      </c>
      <c r="H2641" t="s">
        <v>16</v>
      </c>
      <c r="I2641">
        <v>0</v>
      </c>
      <c r="J2641" s="23">
        <v>4442523</v>
      </c>
      <c r="K2641">
        <v>93292983</v>
      </c>
    </row>
    <row r="2642" spans="1:11" ht="15" customHeight="1" x14ac:dyDescent="0.3">
      <c r="A2642" t="s">
        <v>22</v>
      </c>
      <c r="B2642" t="s">
        <v>11</v>
      </c>
      <c r="C2642" t="s">
        <v>24</v>
      </c>
      <c r="D2642" t="s">
        <v>28</v>
      </c>
      <c r="E2642">
        <v>12</v>
      </c>
      <c r="F2642" t="s">
        <v>23</v>
      </c>
      <c r="G2642" t="s">
        <v>15</v>
      </c>
      <c r="H2642" t="s">
        <v>16</v>
      </c>
      <c r="I2642">
        <v>0</v>
      </c>
      <c r="J2642" s="23">
        <v>78949</v>
      </c>
      <c r="K2642">
        <v>947388</v>
      </c>
    </row>
    <row r="2643" spans="1:11" ht="15" customHeight="1" x14ac:dyDescent="0.3">
      <c r="A2643" t="s">
        <v>18</v>
      </c>
      <c r="B2643" t="s">
        <v>11</v>
      </c>
      <c r="C2643" t="s">
        <v>12</v>
      </c>
      <c r="D2643" t="s">
        <v>28</v>
      </c>
      <c r="E2643">
        <v>9</v>
      </c>
      <c r="F2643" t="s">
        <v>33</v>
      </c>
      <c r="G2643" t="s">
        <v>15</v>
      </c>
      <c r="H2643" t="s">
        <v>16</v>
      </c>
      <c r="I2643">
        <v>0</v>
      </c>
      <c r="J2643" s="23">
        <v>-2910</v>
      </c>
      <c r="K2643" t="s">
        <v>17</v>
      </c>
    </row>
    <row r="2644" spans="1:11" ht="15" customHeight="1" x14ac:dyDescent="0.3">
      <c r="A2644" t="s">
        <v>22</v>
      </c>
      <c r="B2644" t="s">
        <v>19</v>
      </c>
      <c r="C2644" t="s">
        <v>24</v>
      </c>
      <c r="D2644" t="s">
        <v>20</v>
      </c>
      <c r="E2644">
        <v>38</v>
      </c>
      <c r="F2644"/>
      <c r="G2644" t="s">
        <v>31</v>
      </c>
      <c r="H2644" t="s">
        <v>16</v>
      </c>
      <c r="I2644">
        <v>1</v>
      </c>
      <c r="J2644" s="23">
        <v>114725</v>
      </c>
      <c r="K2644">
        <v>4359550</v>
      </c>
    </row>
    <row r="2645" spans="1:11" ht="15" customHeight="1" x14ac:dyDescent="0.3">
      <c r="A2645" t="s">
        <v>10</v>
      </c>
      <c r="B2645" t="s">
        <v>11</v>
      </c>
      <c r="C2645" t="s">
        <v>24</v>
      </c>
      <c r="D2645" t="s">
        <v>13</v>
      </c>
      <c r="E2645">
        <v>5</v>
      </c>
      <c r="F2645" t="s">
        <v>45</v>
      </c>
      <c r="G2645" t="s">
        <v>15</v>
      </c>
      <c r="H2645" t="s">
        <v>16</v>
      </c>
      <c r="I2645">
        <v>0</v>
      </c>
      <c r="J2645" s="23">
        <v>447117</v>
      </c>
      <c r="K2645">
        <v>2235585</v>
      </c>
    </row>
    <row r="2646" spans="1:11" ht="15" customHeight="1" x14ac:dyDescent="0.3">
      <c r="A2646" t="s">
        <v>22</v>
      </c>
      <c r="B2646" t="s">
        <v>11</v>
      </c>
      <c r="C2646" t="s">
        <v>24</v>
      </c>
      <c r="D2646" t="s">
        <v>13</v>
      </c>
      <c r="E2646">
        <v>1</v>
      </c>
      <c r="F2646" t="s">
        <v>14</v>
      </c>
      <c r="G2646" t="s">
        <v>15</v>
      </c>
      <c r="H2646" t="s">
        <v>16</v>
      </c>
      <c r="I2646">
        <v>0</v>
      </c>
      <c r="J2646" s="23">
        <v>99088</v>
      </c>
      <c r="K2646">
        <v>99088</v>
      </c>
    </row>
    <row r="2647" spans="1:11" ht="15" customHeight="1" x14ac:dyDescent="0.3">
      <c r="A2647" t="s">
        <v>10</v>
      </c>
      <c r="B2647" t="s">
        <v>11</v>
      </c>
      <c r="C2647" t="s">
        <v>24</v>
      </c>
      <c r="D2647" t="s">
        <v>28</v>
      </c>
      <c r="E2647">
        <v>8</v>
      </c>
      <c r="F2647" t="s">
        <v>40</v>
      </c>
      <c r="G2647" t="s">
        <v>15</v>
      </c>
      <c r="H2647" t="s">
        <v>16</v>
      </c>
      <c r="I2647">
        <v>0</v>
      </c>
      <c r="J2647" s="23">
        <v>269071</v>
      </c>
      <c r="K2647">
        <v>2152568</v>
      </c>
    </row>
    <row r="2648" spans="1:11" ht="15" customHeight="1" x14ac:dyDescent="0.3">
      <c r="A2648" t="s">
        <v>18</v>
      </c>
      <c r="B2648" t="s">
        <v>11</v>
      </c>
      <c r="C2648" t="s">
        <v>12</v>
      </c>
      <c r="D2648" t="s">
        <v>28</v>
      </c>
      <c r="E2648">
        <v>13</v>
      </c>
      <c r="F2648" t="s">
        <v>37</v>
      </c>
      <c r="G2648" t="s">
        <v>15</v>
      </c>
      <c r="H2648" t="s">
        <v>16</v>
      </c>
      <c r="I2648">
        <v>0</v>
      </c>
      <c r="J2648" s="23">
        <v>-24896</v>
      </c>
      <c r="K2648" t="s">
        <v>17</v>
      </c>
    </row>
    <row r="2649" spans="1:11" ht="15" customHeight="1" x14ac:dyDescent="0.3">
      <c r="A2649" t="s">
        <v>22</v>
      </c>
      <c r="B2649" t="s">
        <v>11</v>
      </c>
      <c r="C2649" t="s">
        <v>12</v>
      </c>
      <c r="D2649" t="s">
        <v>13</v>
      </c>
      <c r="E2649">
        <v>18</v>
      </c>
      <c r="F2649" t="s">
        <v>29</v>
      </c>
      <c r="G2649" t="s">
        <v>15</v>
      </c>
      <c r="H2649" t="s">
        <v>16</v>
      </c>
      <c r="I2649">
        <v>0</v>
      </c>
      <c r="J2649" s="23">
        <v>-21065</v>
      </c>
      <c r="K2649" t="s">
        <v>17</v>
      </c>
    </row>
    <row r="2650" spans="1:11" ht="15" customHeight="1" x14ac:dyDescent="0.3">
      <c r="A2650" t="s">
        <v>18</v>
      </c>
      <c r="B2650" t="s">
        <v>11</v>
      </c>
      <c r="C2650" t="s">
        <v>12</v>
      </c>
      <c r="D2650" t="s">
        <v>13</v>
      </c>
      <c r="E2650">
        <v>2</v>
      </c>
      <c r="F2650" t="s">
        <v>36</v>
      </c>
      <c r="G2650" t="s">
        <v>15</v>
      </c>
      <c r="H2650" t="s">
        <v>16</v>
      </c>
      <c r="I2650">
        <v>0</v>
      </c>
      <c r="J2650" s="23">
        <v>-5010</v>
      </c>
      <c r="K2650" t="s">
        <v>17</v>
      </c>
    </row>
    <row r="2651" spans="1:11" ht="15" customHeight="1" x14ac:dyDescent="0.3">
      <c r="A2651" t="s">
        <v>10</v>
      </c>
      <c r="B2651" t="s">
        <v>11</v>
      </c>
      <c r="C2651" t="s">
        <v>24</v>
      </c>
      <c r="D2651" t="s">
        <v>13</v>
      </c>
      <c r="E2651">
        <v>6</v>
      </c>
      <c r="F2651" t="s">
        <v>39</v>
      </c>
      <c r="G2651" t="s">
        <v>15</v>
      </c>
      <c r="H2651" t="s">
        <v>16</v>
      </c>
      <c r="I2651">
        <v>0</v>
      </c>
      <c r="J2651" s="23">
        <v>218373</v>
      </c>
      <c r="K2651">
        <v>1310238</v>
      </c>
    </row>
    <row r="2652" spans="1:11" ht="15" customHeight="1" x14ac:dyDescent="0.3">
      <c r="A2652" t="s">
        <v>18</v>
      </c>
      <c r="B2652" t="s">
        <v>19</v>
      </c>
      <c r="C2652" t="s">
        <v>24</v>
      </c>
      <c r="D2652" t="s">
        <v>28</v>
      </c>
      <c r="E2652">
        <v>8</v>
      </c>
      <c r="F2652"/>
      <c r="G2652" t="s">
        <v>15</v>
      </c>
      <c r="H2652" t="s">
        <v>32</v>
      </c>
      <c r="I2652">
        <v>1</v>
      </c>
      <c r="J2652" s="23">
        <v>188341</v>
      </c>
      <c r="K2652">
        <v>1506728</v>
      </c>
    </row>
    <row r="2653" spans="1:11" ht="15" customHeight="1" x14ac:dyDescent="0.3">
      <c r="A2653" t="s">
        <v>18</v>
      </c>
      <c r="B2653" t="s">
        <v>11</v>
      </c>
      <c r="C2653" t="s">
        <v>24</v>
      </c>
      <c r="D2653" t="s">
        <v>28</v>
      </c>
      <c r="E2653">
        <v>7</v>
      </c>
      <c r="F2653" t="s">
        <v>26</v>
      </c>
      <c r="G2653" t="s">
        <v>31</v>
      </c>
      <c r="H2653" t="s">
        <v>16</v>
      </c>
      <c r="I2653">
        <v>1</v>
      </c>
      <c r="J2653" s="23">
        <v>447490</v>
      </c>
      <c r="K2653">
        <v>3132430</v>
      </c>
    </row>
    <row r="2654" spans="1:11" ht="15" customHeight="1" x14ac:dyDescent="0.3">
      <c r="A2654" t="s">
        <v>18</v>
      </c>
      <c r="B2654" t="s">
        <v>11</v>
      </c>
      <c r="C2654" t="s">
        <v>24</v>
      </c>
      <c r="D2654" t="s">
        <v>13</v>
      </c>
      <c r="E2654">
        <v>3</v>
      </c>
      <c r="F2654" t="s">
        <v>26</v>
      </c>
      <c r="G2654" t="s">
        <v>15</v>
      </c>
      <c r="H2654" t="s">
        <v>16</v>
      </c>
      <c r="I2654">
        <v>0</v>
      </c>
      <c r="J2654" s="23">
        <v>8786405</v>
      </c>
      <c r="K2654">
        <v>26359215</v>
      </c>
    </row>
    <row r="2655" spans="1:11" ht="15" customHeight="1" x14ac:dyDescent="0.3">
      <c r="A2655" t="s">
        <v>18</v>
      </c>
      <c r="B2655" t="s">
        <v>11</v>
      </c>
      <c r="C2655" t="s">
        <v>12</v>
      </c>
      <c r="D2655" t="s">
        <v>13</v>
      </c>
      <c r="E2655">
        <v>6</v>
      </c>
      <c r="F2655" t="s">
        <v>26</v>
      </c>
      <c r="G2655" t="s">
        <v>15</v>
      </c>
      <c r="H2655" t="s">
        <v>16</v>
      </c>
      <c r="I2655">
        <v>0</v>
      </c>
      <c r="J2655" s="23">
        <v>-21413</v>
      </c>
      <c r="K2655" t="s">
        <v>17</v>
      </c>
    </row>
    <row r="2656" spans="1:11" ht="15" customHeight="1" x14ac:dyDescent="0.3">
      <c r="A2656" t="s">
        <v>10</v>
      </c>
      <c r="B2656" t="s">
        <v>11</v>
      </c>
      <c r="C2656" t="s">
        <v>12</v>
      </c>
      <c r="D2656" t="s">
        <v>13</v>
      </c>
      <c r="E2656">
        <v>7</v>
      </c>
      <c r="F2656" t="s">
        <v>14</v>
      </c>
      <c r="G2656" t="s">
        <v>15</v>
      </c>
      <c r="H2656" t="s">
        <v>16</v>
      </c>
      <c r="I2656">
        <v>0</v>
      </c>
      <c r="J2656" s="23">
        <v>-40451</v>
      </c>
      <c r="K2656" t="s">
        <v>17</v>
      </c>
    </row>
    <row r="2657" spans="1:11" ht="15" customHeight="1" x14ac:dyDescent="0.3">
      <c r="A2657" t="s">
        <v>22</v>
      </c>
      <c r="B2657" t="s">
        <v>11</v>
      </c>
      <c r="C2657" t="s">
        <v>12</v>
      </c>
      <c r="D2657" t="s">
        <v>28</v>
      </c>
      <c r="E2657">
        <v>4</v>
      </c>
      <c r="F2657" t="s">
        <v>29</v>
      </c>
      <c r="G2657" t="s">
        <v>15</v>
      </c>
      <c r="H2657" t="s">
        <v>16</v>
      </c>
      <c r="I2657">
        <v>0</v>
      </c>
      <c r="J2657" s="23">
        <v>-35064</v>
      </c>
      <c r="K2657" t="s">
        <v>17</v>
      </c>
    </row>
    <row r="2658" spans="1:11" ht="15" customHeight="1" x14ac:dyDescent="0.3">
      <c r="A2658" t="s">
        <v>10</v>
      </c>
      <c r="B2658" t="s">
        <v>11</v>
      </c>
      <c r="C2658" t="s">
        <v>12</v>
      </c>
      <c r="D2658" t="s">
        <v>13</v>
      </c>
      <c r="E2658">
        <v>9</v>
      </c>
      <c r="F2658" t="s">
        <v>26</v>
      </c>
      <c r="G2658" t="s">
        <v>15</v>
      </c>
      <c r="H2658" t="s">
        <v>16</v>
      </c>
      <c r="I2658">
        <v>0</v>
      </c>
      <c r="J2658" s="23">
        <v>-29023</v>
      </c>
      <c r="K2658" t="s">
        <v>17</v>
      </c>
    </row>
    <row r="2659" spans="1:11" ht="15" customHeight="1" x14ac:dyDescent="0.3">
      <c r="A2659" t="s">
        <v>18</v>
      </c>
      <c r="B2659" t="s">
        <v>11</v>
      </c>
      <c r="C2659" t="s">
        <v>12</v>
      </c>
      <c r="D2659" t="s">
        <v>25</v>
      </c>
      <c r="E2659">
        <v>6</v>
      </c>
      <c r="F2659" t="s">
        <v>42</v>
      </c>
      <c r="G2659" t="s">
        <v>15</v>
      </c>
      <c r="H2659" t="s">
        <v>16</v>
      </c>
      <c r="I2659">
        <v>0</v>
      </c>
      <c r="J2659" s="23">
        <v>-465</v>
      </c>
      <c r="K2659" t="s">
        <v>17</v>
      </c>
    </row>
    <row r="2660" spans="1:11" ht="15" customHeight="1" x14ac:dyDescent="0.3">
      <c r="A2660" t="s">
        <v>18</v>
      </c>
      <c r="B2660" t="s">
        <v>19</v>
      </c>
      <c r="C2660" t="s">
        <v>24</v>
      </c>
      <c r="D2660" t="s">
        <v>20</v>
      </c>
      <c r="E2660">
        <v>29</v>
      </c>
      <c r="F2660"/>
      <c r="G2660" t="s">
        <v>31</v>
      </c>
      <c r="H2660" t="s">
        <v>32</v>
      </c>
      <c r="I2660">
        <v>1</v>
      </c>
      <c r="J2660" s="23">
        <v>332246</v>
      </c>
      <c r="K2660">
        <v>9635134</v>
      </c>
    </row>
    <row r="2661" spans="1:11" ht="15" customHeight="1" x14ac:dyDescent="0.3">
      <c r="A2661" t="s">
        <v>10</v>
      </c>
      <c r="B2661" t="s">
        <v>11</v>
      </c>
      <c r="C2661" t="s">
        <v>24</v>
      </c>
      <c r="D2661" t="s">
        <v>28</v>
      </c>
      <c r="E2661">
        <v>4</v>
      </c>
      <c r="F2661" t="s">
        <v>37</v>
      </c>
      <c r="G2661" t="s">
        <v>15</v>
      </c>
      <c r="H2661" t="s">
        <v>16</v>
      </c>
      <c r="I2661">
        <v>0</v>
      </c>
      <c r="J2661" s="23">
        <v>27341</v>
      </c>
      <c r="K2661">
        <v>109364</v>
      </c>
    </row>
    <row r="2662" spans="1:11" ht="15" customHeight="1" x14ac:dyDescent="0.3">
      <c r="A2662" t="s">
        <v>10</v>
      </c>
      <c r="B2662" t="s">
        <v>11</v>
      </c>
      <c r="C2662" t="s">
        <v>24</v>
      </c>
      <c r="D2662" t="s">
        <v>13</v>
      </c>
      <c r="E2662">
        <v>-4</v>
      </c>
      <c r="F2662" t="s">
        <v>30</v>
      </c>
      <c r="G2662" t="s">
        <v>15</v>
      </c>
      <c r="H2662" t="s">
        <v>16</v>
      </c>
      <c r="I2662">
        <v>0</v>
      </c>
      <c r="J2662" s="23">
        <v>1009</v>
      </c>
      <c r="K2662" t="s">
        <v>17</v>
      </c>
    </row>
    <row r="2663" spans="1:11" ht="15" customHeight="1" x14ac:dyDescent="0.3">
      <c r="A2663" t="s">
        <v>18</v>
      </c>
      <c r="B2663" t="s">
        <v>11</v>
      </c>
      <c r="C2663" t="s">
        <v>12</v>
      </c>
      <c r="D2663" t="s">
        <v>28</v>
      </c>
      <c r="E2663">
        <v>12</v>
      </c>
      <c r="F2663" t="s">
        <v>42</v>
      </c>
      <c r="G2663" t="s">
        <v>15</v>
      </c>
      <c r="H2663" t="s">
        <v>16</v>
      </c>
      <c r="I2663">
        <v>0</v>
      </c>
      <c r="J2663" s="23">
        <v>-5875</v>
      </c>
      <c r="K2663" t="s">
        <v>17</v>
      </c>
    </row>
    <row r="2664" spans="1:11" ht="15" customHeight="1" x14ac:dyDescent="0.3">
      <c r="A2664" t="s">
        <v>22</v>
      </c>
      <c r="B2664" t="s">
        <v>11</v>
      </c>
      <c r="C2664" t="s">
        <v>12</v>
      </c>
      <c r="D2664" t="s">
        <v>13</v>
      </c>
      <c r="E2664">
        <v>3</v>
      </c>
      <c r="F2664" t="s">
        <v>33</v>
      </c>
      <c r="G2664" t="s">
        <v>15</v>
      </c>
      <c r="H2664" t="s">
        <v>16</v>
      </c>
      <c r="I2664">
        <v>0</v>
      </c>
      <c r="J2664" s="23">
        <v>-257238</v>
      </c>
      <c r="K2664" t="s">
        <v>17</v>
      </c>
    </row>
    <row r="2665" spans="1:11" ht="15" customHeight="1" x14ac:dyDescent="0.3">
      <c r="A2665" t="s">
        <v>22</v>
      </c>
      <c r="B2665" t="s">
        <v>11</v>
      </c>
      <c r="C2665" t="s">
        <v>24</v>
      </c>
      <c r="D2665" t="s">
        <v>13</v>
      </c>
      <c r="E2665">
        <v>0</v>
      </c>
      <c r="F2665" t="s">
        <v>27</v>
      </c>
      <c r="G2665" t="s">
        <v>15</v>
      </c>
      <c r="H2665" t="s">
        <v>16</v>
      </c>
      <c r="I2665">
        <v>0</v>
      </c>
      <c r="J2665" s="23">
        <v>56945</v>
      </c>
      <c r="K2665" t="s">
        <v>17</v>
      </c>
    </row>
    <row r="2666" spans="1:11" ht="15" customHeight="1" x14ac:dyDescent="0.3">
      <c r="A2666" t="s">
        <v>22</v>
      </c>
      <c r="B2666" t="s">
        <v>11</v>
      </c>
      <c r="C2666" t="s">
        <v>12</v>
      </c>
      <c r="D2666" t="s">
        <v>28</v>
      </c>
      <c r="E2666">
        <v>4</v>
      </c>
      <c r="F2666" t="s">
        <v>23</v>
      </c>
      <c r="G2666" t="s">
        <v>31</v>
      </c>
      <c r="H2666" t="s">
        <v>16</v>
      </c>
      <c r="I2666">
        <v>1</v>
      </c>
      <c r="J2666" s="23">
        <v>-2840</v>
      </c>
      <c r="K2666" t="s">
        <v>17</v>
      </c>
    </row>
    <row r="2667" spans="1:11" ht="15" customHeight="1" x14ac:dyDescent="0.3">
      <c r="A2667" t="s">
        <v>18</v>
      </c>
      <c r="B2667" t="s">
        <v>11</v>
      </c>
      <c r="C2667" t="s">
        <v>24</v>
      </c>
      <c r="D2667" t="s">
        <v>25</v>
      </c>
      <c r="E2667">
        <v>3</v>
      </c>
      <c r="F2667" t="s">
        <v>33</v>
      </c>
      <c r="G2667" t="s">
        <v>15</v>
      </c>
      <c r="H2667" t="s">
        <v>16</v>
      </c>
      <c r="I2667">
        <v>0</v>
      </c>
      <c r="J2667" s="23">
        <v>1674035</v>
      </c>
      <c r="K2667">
        <v>5022105</v>
      </c>
    </row>
    <row r="2668" spans="1:11" ht="15" customHeight="1" x14ac:dyDescent="0.3">
      <c r="A2668" t="s">
        <v>10</v>
      </c>
      <c r="B2668" t="s">
        <v>11</v>
      </c>
      <c r="C2668" t="s">
        <v>24</v>
      </c>
      <c r="D2668" t="s">
        <v>13</v>
      </c>
      <c r="E2668">
        <v>1</v>
      </c>
      <c r="F2668" t="s">
        <v>26</v>
      </c>
      <c r="G2668" t="s">
        <v>15</v>
      </c>
      <c r="H2668" t="s">
        <v>16</v>
      </c>
      <c r="I2668">
        <v>0</v>
      </c>
      <c r="J2668" s="23">
        <v>1314662</v>
      </c>
      <c r="K2668">
        <v>1314662</v>
      </c>
    </row>
    <row r="2669" spans="1:11" ht="15" customHeight="1" x14ac:dyDescent="0.3">
      <c r="A2669" t="s">
        <v>18</v>
      </c>
      <c r="B2669" t="s">
        <v>11</v>
      </c>
      <c r="C2669" t="s">
        <v>12</v>
      </c>
      <c r="D2669" t="s">
        <v>25</v>
      </c>
      <c r="E2669">
        <v>7</v>
      </c>
      <c r="F2669" t="s">
        <v>39</v>
      </c>
      <c r="G2669" t="s">
        <v>15</v>
      </c>
      <c r="H2669" t="s">
        <v>16</v>
      </c>
      <c r="I2669">
        <v>0</v>
      </c>
      <c r="J2669" s="23">
        <v>-4643</v>
      </c>
      <c r="K2669" t="s">
        <v>17</v>
      </c>
    </row>
    <row r="2670" spans="1:11" ht="15" customHeight="1" x14ac:dyDescent="0.3">
      <c r="A2670" t="s">
        <v>22</v>
      </c>
      <c r="B2670" t="s">
        <v>19</v>
      </c>
      <c r="C2670" t="s">
        <v>12</v>
      </c>
      <c r="D2670" t="s">
        <v>20</v>
      </c>
      <c r="E2670">
        <v>18</v>
      </c>
      <c r="F2670"/>
      <c r="G2670" t="s">
        <v>15</v>
      </c>
      <c r="H2670" t="s">
        <v>32</v>
      </c>
      <c r="I2670">
        <v>1</v>
      </c>
      <c r="J2670" s="23">
        <v>-67881</v>
      </c>
      <c r="K2670" t="s">
        <v>17</v>
      </c>
    </row>
    <row r="2671" spans="1:11" ht="15" customHeight="1" x14ac:dyDescent="0.3">
      <c r="A2671" t="s">
        <v>10</v>
      </c>
      <c r="B2671" t="s">
        <v>11</v>
      </c>
      <c r="C2671" t="s">
        <v>24</v>
      </c>
      <c r="D2671" t="s">
        <v>28</v>
      </c>
      <c r="E2671">
        <v>2</v>
      </c>
      <c r="F2671" t="s">
        <v>21</v>
      </c>
      <c r="G2671" t="s">
        <v>15</v>
      </c>
      <c r="H2671" t="s">
        <v>16</v>
      </c>
      <c r="I2671">
        <v>0</v>
      </c>
      <c r="J2671" s="23">
        <v>1352252</v>
      </c>
      <c r="K2671">
        <v>2704504</v>
      </c>
    </row>
    <row r="2672" spans="1:11" ht="15" customHeight="1" x14ac:dyDescent="0.3">
      <c r="A2672" t="s">
        <v>22</v>
      </c>
      <c r="B2672" t="s">
        <v>11</v>
      </c>
      <c r="C2672" t="s">
        <v>12</v>
      </c>
      <c r="D2672" t="s">
        <v>28</v>
      </c>
      <c r="E2672">
        <v>-4</v>
      </c>
      <c r="F2672" t="s">
        <v>33</v>
      </c>
      <c r="G2672" t="s">
        <v>15</v>
      </c>
      <c r="H2672" t="s">
        <v>16</v>
      </c>
      <c r="I2672">
        <v>0</v>
      </c>
      <c r="J2672" s="23">
        <v>-29086</v>
      </c>
      <c r="K2672" t="s">
        <v>17</v>
      </c>
    </row>
    <row r="2673" spans="1:11" ht="15" customHeight="1" x14ac:dyDescent="0.3">
      <c r="A2673" t="s">
        <v>10</v>
      </c>
      <c r="B2673" t="s">
        <v>11</v>
      </c>
      <c r="C2673" t="s">
        <v>12</v>
      </c>
      <c r="D2673" t="s">
        <v>25</v>
      </c>
      <c r="E2673">
        <v>7</v>
      </c>
      <c r="F2673" t="s">
        <v>39</v>
      </c>
      <c r="G2673" t="s">
        <v>15</v>
      </c>
      <c r="H2673" t="s">
        <v>16</v>
      </c>
      <c r="I2673">
        <v>0</v>
      </c>
      <c r="J2673" s="23">
        <v>-9548</v>
      </c>
      <c r="K2673" t="s">
        <v>17</v>
      </c>
    </row>
    <row r="2674" spans="1:11" ht="15" customHeight="1" x14ac:dyDescent="0.3">
      <c r="A2674" t="s">
        <v>18</v>
      </c>
      <c r="B2674" t="s">
        <v>11</v>
      </c>
      <c r="C2674" t="s">
        <v>12</v>
      </c>
      <c r="D2674" t="s">
        <v>25</v>
      </c>
      <c r="E2674">
        <v>7</v>
      </c>
      <c r="F2674" t="s">
        <v>42</v>
      </c>
      <c r="G2674" t="s">
        <v>15</v>
      </c>
      <c r="H2674" t="s">
        <v>16</v>
      </c>
      <c r="I2674">
        <v>0</v>
      </c>
      <c r="J2674" s="23">
        <v>-158</v>
      </c>
      <c r="K2674" t="s">
        <v>17</v>
      </c>
    </row>
    <row r="2675" spans="1:11" ht="15" customHeight="1" x14ac:dyDescent="0.3">
      <c r="A2675" t="s">
        <v>18</v>
      </c>
      <c r="B2675" t="s">
        <v>19</v>
      </c>
      <c r="C2675" t="s">
        <v>12</v>
      </c>
      <c r="D2675" t="s">
        <v>20</v>
      </c>
      <c r="E2675">
        <v>20</v>
      </c>
      <c r="F2675"/>
      <c r="G2675" t="s">
        <v>15</v>
      </c>
      <c r="H2675" t="s">
        <v>16</v>
      </c>
      <c r="I2675">
        <v>0</v>
      </c>
      <c r="J2675" s="23">
        <v>-273800</v>
      </c>
      <c r="K2675" t="s">
        <v>17</v>
      </c>
    </row>
    <row r="2676" spans="1:11" ht="15" customHeight="1" x14ac:dyDescent="0.3">
      <c r="A2676" t="s">
        <v>10</v>
      </c>
      <c r="B2676" t="s">
        <v>11</v>
      </c>
      <c r="C2676" t="s">
        <v>24</v>
      </c>
      <c r="D2676" t="s">
        <v>28</v>
      </c>
      <c r="E2676">
        <v>7</v>
      </c>
      <c r="F2676" t="s">
        <v>21</v>
      </c>
      <c r="G2676" t="s">
        <v>31</v>
      </c>
      <c r="H2676" t="s">
        <v>32</v>
      </c>
      <c r="I2676">
        <v>1</v>
      </c>
      <c r="J2676" s="23">
        <v>233322</v>
      </c>
      <c r="K2676">
        <v>1633254</v>
      </c>
    </row>
    <row r="2677" spans="1:11" ht="15" customHeight="1" x14ac:dyDescent="0.3">
      <c r="A2677" t="s">
        <v>22</v>
      </c>
      <c r="B2677" t="s">
        <v>11</v>
      </c>
      <c r="C2677" t="s">
        <v>12</v>
      </c>
      <c r="D2677" t="s">
        <v>28</v>
      </c>
      <c r="E2677">
        <v>1</v>
      </c>
      <c r="F2677" t="s">
        <v>29</v>
      </c>
      <c r="G2677" t="s">
        <v>15</v>
      </c>
      <c r="H2677" t="s">
        <v>32</v>
      </c>
      <c r="I2677">
        <v>1</v>
      </c>
      <c r="J2677" s="23">
        <v>-722795</v>
      </c>
      <c r="K2677" t="s">
        <v>17</v>
      </c>
    </row>
    <row r="2678" spans="1:11" ht="15" customHeight="1" x14ac:dyDescent="0.3">
      <c r="A2678" t="s">
        <v>10</v>
      </c>
      <c r="B2678" t="s">
        <v>19</v>
      </c>
      <c r="C2678" t="s">
        <v>12</v>
      </c>
      <c r="D2678" t="s">
        <v>20</v>
      </c>
      <c r="E2678">
        <v>16</v>
      </c>
      <c r="F2678"/>
      <c r="G2678" t="s">
        <v>15</v>
      </c>
      <c r="H2678" t="s">
        <v>32</v>
      </c>
      <c r="I2678">
        <v>1</v>
      </c>
      <c r="J2678" s="23">
        <v>-9678</v>
      </c>
      <c r="K2678" t="s">
        <v>17</v>
      </c>
    </row>
    <row r="2679" spans="1:11" ht="15" customHeight="1" x14ac:dyDescent="0.3">
      <c r="A2679" t="s">
        <v>10</v>
      </c>
      <c r="B2679" t="s">
        <v>19</v>
      </c>
      <c r="C2679" t="s">
        <v>12</v>
      </c>
      <c r="D2679" t="s">
        <v>20</v>
      </c>
      <c r="E2679">
        <v>29</v>
      </c>
      <c r="F2679"/>
      <c r="G2679" t="s">
        <v>31</v>
      </c>
      <c r="H2679" t="s">
        <v>32</v>
      </c>
      <c r="I2679">
        <v>1</v>
      </c>
      <c r="J2679" s="23">
        <v>-9535</v>
      </c>
      <c r="K2679" t="s">
        <v>17</v>
      </c>
    </row>
    <row r="2680" spans="1:11" ht="15" customHeight="1" x14ac:dyDescent="0.3">
      <c r="A2680" t="s">
        <v>10</v>
      </c>
      <c r="B2680" t="s">
        <v>11</v>
      </c>
      <c r="C2680" t="s">
        <v>24</v>
      </c>
      <c r="D2680" t="s">
        <v>28</v>
      </c>
      <c r="E2680">
        <v>12</v>
      </c>
      <c r="F2680" t="s">
        <v>33</v>
      </c>
      <c r="G2680" t="s">
        <v>15</v>
      </c>
      <c r="H2680" t="s">
        <v>32</v>
      </c>
      <c r="I2680">
        <v>1</v>
      </c>
      <c r="J2680" s="23">
        <v>15014</v>
      </c>
      <c r="K2680">
        <v>180168</v>
      </c>
    </row>
    <row r="2681" spans="1:11" ht="15" customHeight="1" x14ac:dyDescent="0.3">
      <c r="A2681" t="s">
        <v>22</v>
      </c>
      <c r="B2681" t="s">
        <v>19</v>
      </c>
      <c r="C2681" t="s">
        <v>12</v>
      </c>
      <c r="D2681" t="s">
        <v>20</v>
      </c>
      <c r="E2681">
        <v>9</v>
      </c>
      <c r="F2681"/>
      <c r="G2681" t="s">
        <v>31</v>
      </c>
      <c r="H2681" t="s">
        <v>16</v>
      </c>
      <c r="I2681">
        <v>1</v>
      </c>
      <c r="J2681" s="23">
        <v>-3099</v>
      </c>
      <c r="K2681" t="s">
        <v>17</v>
      </c>
    </row>
    <row r="2682" spans="1:11" ht="15" customHeight="1" x14ac:dyDescent="0.3">
      <c r="A2682" t="s">
        <v>10</v>
      </c>
      <c r="B2682" t="s">
        <v>11</v>
      </c>
      <c r="C2682" t="s">
        <v>12</v>
      </c>
      <c r="D2682" t="s">
        <v>13</v>
      </c>
      <c r="E2682">
        <v>-1</v>
      </c>
      <c r="F2682" t="s">
        <v>42</v>
      </c>
      <c r="G2682" t="s">
        <v>15</v>
      </c>
      <c r="H2682" t="s">
        <v>16</v>
      </c>
      <c r="I2682">
        <v>0</v>
      </c>
      <c r="J2682" s="23">
        <v>-45030</v>
      </c>
      <c r="K2682" t="s">
        <v>17</v>
      </c>
    </row>
    <row r="2683" spans="1:11" ht="15" customHeight="1" x14ac:dyDescent="0.3">
      <c r="A2683" t="s">
        <v>10</v>
      </c>
      <c r="B2683" t="s">
        <v>11</v>
      </c>
      <c r="C2683" t="s">
        <v>12</v>
      </c>
      <c r="D2683" t="s">
        <v>13</v>
      </c>
      <c r="E2683">
        <v>2</v>
      </c>
      <c r="F2683" t="s">
        <v>40</v>
      </c>
      <c r="G2683" t="s">
        <v>15</v>
      </c>
      <c r="H2683" t="s">
        <v>16</v>
      </c>
      <c r="I2683">
        <v>0</v>
      </c>
      <c r="J2683" s="23">
        <v>-427922</v>
      </c>
      <c r="K2683" t="s">
        <v>17</v>
      </c>
    </row>
    <row r="2684" spans="1:11" ht="15" customHeight="1" x14ac:dyDescent="0.3">
      <c r="A2684" t="s">
        <v>22</v>
      </c>
      <c r="B2684" t="s">
        <v>11</v>
      </c>
      <c r="C2684" t="s">
        <v>24</v>
      </c>
      <c r="D2684" t="s">
        <v>13</v>
      </c>
      <c r="E2684">
        <v>0</v>
      </c>
      <c r="F2684" t="s">
        <v>29</v>
      </c>
      <c r="G2684" t="s">
        <v>15</v>
      </c>
      <c r="H2684" t="s">
        <v>16</v>
      </c>
      <c r="I2684">
        <v>0</v>
      </c>
      <c r="J2684" s="23">
        <v>1922248</v>
      </c>
      <c r="K2684" t="s">
        <v>17</v>
      </c>
    </row>
    <row r="2685" spans="1:11" ht="15" customHeight="1" x14ac:dyDescent="0.3">
      <c r="A2685" t="s">
        <v>10</v>
      </c>
      <c r="B2685" t="s">
        <v>11</v>
      </c>
      <c r="C2685" t="s">
        <v>12</v>
      </c>
      <c r="D2685" t="s">
        <v>28</v>
      </c>
      <c r="E2685">
        <v>8</v>
      </c>
      <c r="F2685" t="s">
        <v>29</v>
      </c>
      <c r="G2685" t="s">
        <v>15</v>
      </c>
      <c r="H2685" t="s">
        <v>32</v>
      </c>
      <c r="I2685">
        <v>1</v>
      </c>
      <c r="J2685" s="23">
        <v>-55935</v>
      </c>
      <c r="K2685" t="s">
        <v>17</v>
      </c>
    </row>
    <row r="2686" spans="1:11" ht="15" customHeight="1" x14ac:dyDescent="0.3">
      <c r="A2686" t="s">
        <v>10</v>
      </c>
      <c r="B2686" t="s">
        <v>11</v>
      </c>
      <c r="C2686" t="s">
        <v>24</v>
      </c>
      <c r="D2686" t="s">
        <v>28</v>
      </c>
      <c r="E2686">
        <v>11</v>
      </c>
      <c r="F2686" t="s">
        <v>23</v>
      </c>
      <c r="G2686" t="s">
        <v>15</v>
      </c>
      <c r="H2686" t="s">
        <v>16</v>
      </c>
      <c r="I2686">
        <v>0</v>
      </c>
      <c r="J2686" s="23">
        <v>5433417</v>
      </c>
      <c r="K2686">
        <v>59767587</v>
      </c>
    </row>
    <row r="2687" spans="1:11" ht="15" customHeight="1" x14ac:dyDescent="0.3">
      <c r="A2687" t="s">
        <v>22</v>
      </c>
      <c r="B2687" t="s">
        <v>11</v>
      </c>
      <c r="C2687" t="s">
        <v>24</v>
      </c>
      <c r="D2687" t="s">
        <v>28</v>
      </c>
      <c r="E2687">
        <v>6</v>
      </c>
      <c r="F2687" t="s">
        <v>33</v>
      </c>
      <c r="G2687" t="s">
        <v>15</v>
      </c>
      <c r="H2687" t="s">
        <v>32</v>
      </c>
      <c r="I2687">
        <v>1</v>
      </c>
      <c r="J2687" s="23">
        <v>659988</v>
      </c>
      <c r="K2687">
        <v>3959928</v>
      </c>
    </row>
    <row r="2688" spans="1:11" ht="15" customHeight="1" x14ac:dyDescent="0.3">
      <c r="A2688" t="s">
        <v>22</v>
      </c>
      <c r="B2688" t="s">
        <v>11</v>
      </c>
      <c r="C2688" t="s">
        <v>24</v>
      </c>
      <c r="D2688" t="s">
        <v>28</v>
      </c>
      <c r="E2688">
        <v>6</v>
      </c>
      <c r="F2688" t="s">
        <v>33</v>
      </c>
      <c r="G2688" t="s">
        <v>15</v>
      </c>
      <c r="H2688" t="s">
        <v>16</v>
      </c>
      <c r="I2688">
        <v>0</v>
      </c>
      <c r="J2688" s="23">
        <v>57889</v>
      </c>
      <c r="K2688">
        <v>347334</v>
      </c>
    </row>
    <row r="2689" spans="1:11" ht="15" customHeight="1" x14ac:dyDescent="0.3">
      <c r="A2689" t="s">
        <v>18</v>
      </c>
      <c r="B2689" t="s">
        <v>19</v>
      </c>
      <c r="C2689" t="s">
        <v>12</v>
      </c>
      <c r="D2689" t="s">
        <v>20</v>
      </c>
      <c r="E2689">
        <v>16</v>
      </c>
      <c r="F2689"/>
      <c r="G2689" t="s">
        <v>15</v>
      </c>
      <c r="H2689" t="s">
        <v>32</v>
      </c>
      <c r="I2689">
        <v>1</v>
      </c>
      <c r="J2689" s="23">
        <v>-1665</v>
      </c>
      <c r="K2689" t="s">
        <v>17</v>
      </c>
    </row>
    <row r="2690" spans="1:11" ht="15" customHeight="1" x14ac:dyDescent="0.3">
      <c r="A2690" t="s">
        <v>10</v>
      </c>
      <c r="B2690" t="s">
        <v>19</v>
      </c>
      <c r="C2690" t="s">
        <v>12</v>
      </c>
      <c r="D2690" t="s">
        <v>20</v>
      </c>
      <c r="E2690">
        <v>13</v>
      </c>
      <c r="F2690"/>
      <c r="G2690" t="s">
        <v>31</v>
      </c>
      <c r="H2690" t="s">
        <v>16</v>
      </c>
      <c r="I2690">
        <v>1</v>
      </c>
      <c r="J2690" s="23">
        <v>-9806</v>
      </c>
      <c r="K2690" t="s">
        <v>17</v>
      </c>
    </row>
    <row r="2691" spans="1:11" ht="15" customHeight="1" x14ac:dyDescent="0.3">
      <c r="A2691" t="s">
        <v>10</v>
      </c>
      <c r="B2691" t="s">
        <v>19</v>
      </c>
      <c r="C2691" t="s">
        <v>24</v>
      </c>
      <c r="D2691" t="s">
        <v>20</v>
      </c>
      <c r="E2691">
        <v>32</v>
      </c>
      <c r="F2691"/>
      <c r="G2691" t="s">
        <v>15</v>
      </c>
      <c r="H2691" t="s">
        <v>32</v>
      </c>
      <c r="I2691">
        <v>1</v>
      </c>
      <c r="J2691" s="23">
        <v>565675</v>
      </c>
      <c r="K2691">
        <v>18101600</v>
      </c>
    </row>
    <row r="2692" spans="1:11" ht="15" customHeight="1" x14ac:dyDescent="0.3">
      <c r="A2692" t="s">
        <v>22</v>
      </c>
      <c r="B2692" t="s">
        <v>11</v>
      </c>
      <c r="C2692" t="s">
        <v>24</v>
      </c>
      <c r="D2692" t="s">
        <v>13</v>
      </c>
      <c r="E2692">
        <v>6</v>
      </c>
      <c r="F2692" t="s">
        <v>14</v>
      </c>
      <c r="G2692" t="s">
        <v>15</v>
      </c>
      <c r="H2692" t="s">
        <v>16</v>
      </c>
      <c r="I2692">
        <v>0</v>
      </c>
      <c r="J2692" s="23">
        <v>49462</v>
      </c>
      <c r="K2692">
        <v>296772</v>
      </c>
    </row>
    <row r="2693" spans="1:11" ht="15" customHeight="1" x14ac:dyDescent="0.3">
      <c r="A2693" t="s">
        <v>10</v>
      </c>
      <c r="B2693" t="s">
        <v>19</v>
      </c>
      <c r="C2693" t="s">
        <v>24</v>
      </c>
      <c r="D2693" t="s">
        <v>20</v>
      </c>
      <c r="E2693">
        <v>23</v>
      </c>
      <c r="F2693"/>
      <c r="G2693" t="s">
        <v>31</v>
      </c>
      <c r="H2693" t="s">
        <v>32</v>
      </c>
      <c r="I2693">
        <v>1</v>
      </c>
      <c r="J2693" s="23">
        <v>95419</v>
      </c>
      <c r="K2693">
        <v>2194637</v>
      </c>
    </row>
    <row r="2694" spans="1:11" ht="15" customHeight="1" x14ac:dyDescent="0.3">
      <c r="A2694" t="s">
        <v>18</v>
      </c>
      <c r="B2694" t="s">
        <v>11</v>
      </c>
      <c r="C2694" t="s">
        <v>24</v>
      </c>
      <c r="D2694" t="s">
        <v>13</v>
      </c>
      <c r="E2694">
        <v>9</v>
      </c>
      <c r="F2694" t="s">
        <v>26</v>
      </c>
      <c r="G2694" t="s">
        <v>15</v>
      </c>
      <c r="H2694" t="s">
        <v>16</v>
      </c>
      <c r="I2694">
        <v>0</v>
      </c>
      <c r="J2694" s="23">
        <v>80259</v>
      </c>
      <c r="K2694">
        <v>722331</v>
      </c>
    </row>
    <row r="2695" spans="1:11" ht="15" customHeight="1" x14ac:dyDescent="0.3">
      <c r="A2695" t="s">
        <v>10</v>
      </c>
      <c r="B2695" t="s">
        <v>19</v>
      </c>
      <c r="C2695" t="s">
        <v>12</v>
      </c>
      <c r="D2695" t="s">
        <v>20</v>
      </c>
      <c r="E2695">
        <v>0</v>
      </c>
      <c r="F2695"/>
      <c r="G2695" t="s">
        <v>15</v>
      </c>
      <c r="H2695" t="s">
        <v>16</v>
      </c>
      <c r="I2695">
        <v>0</v>
      </c>
      <c r="J2695" s="23">
        <v>-2602</v>
      </c>
      <c r="K2695" t="s">
        <v>17</v>
      </c>
    </row>
    <row r="2696" spans="1:11" ht="15" customHeight="1" x14ac:dyDescent="0.3">
      <c r="A2696" t="s">
        <v>10</v>
      </c>
      <c r="B2696" t="s">
        <v>19</v>
      </c>
      <c r="C2696" t="s">
        <v>12</v>
      </c>
      <c r="D2696" t="s">
        <v>20</v>
      </c>
      <c r="E2696">
        <v>26</v>
      </c>
      <c r="F2696"/>
      <c r="G2696" t="s">
        <v>15</v>
      </c>
      <c r="H2696" t="s">
        <v>32</v>
      </c>
      <c r="I2696">
        <v>1</v>
      </c>
      <c r="J2696" s="23">
        <v>-571</v>
      </c>
      <c r="K2696" t="s">
        <v>17</v>
      </c>
    </row>
    <row r="2697" spans="1:11" ht="15" customHeight="1" x14ac:dyDescent="0.3">
      <c r="A2697" t="s">
        <v>18</v>
      </c>
      <c r="B2697" t="s">
        <v>19</v>
      </c>
      <c r="C2697" t="s">
        <v>12</v>
      </c>
      <c r="D2697" t="s">
        <v>28</v>
      </c>
      <c r="E2697">
        <v>10</v>
      </c>
      <c r="F2697"/>
      <c r="G2697" t="s">
        <v>15</v>
      </c>
      <c r="H2697" t="s">
        <v>16</v>
      </c>
      <c r="I2697">
        <v>0</v>
      </c>
      <c r="J2697" s="23">
        <v>-5889</v>
      </c>
      <c r="K2697" t="s">
        <v>17</v>
      </c>
    </row>
    <row r="2698" spans="1:11" ht="15" customHeight="1" x14ac:dyDescent="0.3">
      <c r="A2698" t="s">
        <v>18</v>
      </c>
      <c r="B2698" t="s">
        <v>11</v>
      </c>
      <c r="C2698" t="s">
        <v>24</v>
      </c>
      <c r="D2698" t="s">
        <v>28</v>
      </c>
      <c r="E2698">
        <v>13</v>
      </c>
      <c r="F2698" t="s">
        <v>42</v>
      </c>
      <c r="G2698" t="s">
        <v>15</v>
      </c>
      <c r="H2698" t="s">
        <v>16</v>
      </c>
      <c r="I2698">
        <v>0</v>
      </c>
      <c r="J2698" s="23">
        <v>204204</v>
      </c>
      <c r="K2698">
        <v>2654652</v>
      </c>
    </row>
    <row r="2699" spans="1:11" ht="15" customHeight="1" x14ac:dyDescent="0.3">
      <c r="A2699" t="s">
        <v>18</v>
      </c>
      <c r="B2699" t="s">
        <v>11</v>
      </c>
      <c r="C2699" t="s">
        <v>12</v>
      </c>
      <c r="D2699" t="s">
        <v>28</v>
      </c>
      <c r="E2699">
        <v>20</v>
      </c>
      <c r="F2699" t="s">
        <v>34</v>
      </c>
      <c r="G2699" t="s">
        <v>15</v>
      </c>
      <c r="H2699" t="s">
        <v>16</v>
      </c>
      <c r="I2699">
        <v>0</v>
      </c>
      <c r="J2699" s="23">
        <v>-132</v>
      </c>
      <c r="K2699" t="s">
        <v>17</v>
      </c>
    </row>
    <row r="2700" spans="1:11" ht="15" customHeight="1" x14ac:dyDescent="0.3">
      <c r="A2700" t="s">
        <v>10</v>
      </c>
      <c r="B2700" t="s">
        <v>11</v>
      </c>
      <c r="C2700" t="s">
        <v>12</v>
      </c>
      <c r="D2700" t="s">
        <v>13</v>
      </c>
      <c r="E2700">
        <v>15</v>
      </c>
      <c r="F2700" t="s">
        <v>21</v>
      </c>
      <c r="G2700" t="s">
        <v>15</v>
      </c>
      <c r="H2700" t="s">
        <v>16</v>
      </c>
      <c r="I2700">
        <v>0</v>
      </c>
      <c r="J2700" s="23">
        <v>-2753</v>
      </c>
      <c r="K2700" t="s">
        <v>17</v>
      </c>
    </row>
    <row r="2701" spans="1:11" ht="15" customHeight="1" x14ac:dyDescent="0.3">
      <c r="A2701" t="s">
        <v>22</v>
      </c>
      <c r="B2701" t="s">
        <v>11</v>
      </c>
      <c r="C2701" t="s">
        <v>12</v>
      </c>
      <c r="D2701" t="s">
        <v>25</v>
      </c>
      <c r="E2701">
        <v>-1</v>
      </c>
      <c r="F2701" t="s">
        <v>21</v>
      </c>
      <c r="G2701" t="s">
        <v>15</v>
      </c>
      <c r="H2701" t="s">
        <v>16</v>
      </c>
      <c r="I2701">
        <v>0</v>
      </c>
      <c r="J2701" s="23">
        <v>-1502</v>
      </c>
      <c r="K2701" t="s">
        <v>17</v>
      </c>
    </row>
    <row r="2702" spans="1:11" ht="15" customHeight="1" x14ac:dyDescent="0.3">
      <c r="A2702" t="s">
        <v>18</v>
      </c>
      <c r="B2702" t="s">
        <v>11</v>
      </c>
      <c r="C2702" t="s">
        <v>12</v>
      </c>
      <c r="D2702" t="s">
        <v>28</v>
      </c>
      <c r="E2702">
        <v>17</v>
      </c>
      <c r="F2702" t="s">
        <v>21</v>
      </c>
      <c r="G2702" t="s">
        <v>15</v>
      </c>
      <c r="H2702" t="s">
        <v>16</v>
      </c>
      <c r="I2702">
        <v>0</v>
      </c>
      <c r="J2702" s="23">
        <v>-12130</v>
      </c>
      <c r="K2702" t="s">
        <v>17</v>
      </c>
    </row>
    <row r="2703" spans="1:11" ht="15" customHeight="1" x14ac:dyDescent="0.3">
      <c r="A2703" t="s">
        <v>18</v>
      </c>
      <c r="B2703" t="s">
        <v>11</v>
      </c>
      <c r="C2703" t="s">
        <v>12</v>
      </c>
      <c r="D2703" t="s">
        <v>25</v>
      </c>
      <c r="E2703">
        <v>2</v>
      </c>
      <c r="F2703" t="s">
        <v>41</v>
      </c>
      <c r="G2703" t="s">
        <v>15</v>
      </c>
      <c r="H2703" t="s">
        <v>16</v>
      </c>
      <c r="I2703">
        <v>0</v>
      </c>
      <c r="J2703" s="23">
        <v>-4217</v>
      </c>
      <c r="K2703" t="s">
        <v>17</v>
      </c>
    </row>
    <row r="2704" spans="1:11" ht="15" customHeight="1" x14ac:dyDescent="0.3">
      <c r="A2704" t="s">
        <v>18</v>
      </c>
      <c r="B2704" t="s">
        <v>11</v>
      </c>
      <c r="C2704" t="s">
        <v>24</v>
      </c>
      <c r="D2704" t="s">
        <v>28</v>
      </c>
      <c r="E2704">
        <v>6</v>
      </c>
      <c r="F2704" t="s">
        <v>34</v>
      </c>
      <c r="G2704" t="s">
        <v>15</v>
      </c>
      <c r="H2704" t="s">
        <v>16</v>
      </c>
      <c r="I2704">
        <v>0</v>
      </c>
      <c r="J2704" s="23">
        <v>12781934</v>
      </c>
      <c r="K2704">
        <v>76691604</v>
      </c>
    </row>
    <row r="2705" spans="1:11" ht="15" customHeight="1" x14ac:dyDescent="0.3">
      <c r="A2705" t="s">
        <v>18</v>
      </c>
      <c r="B2705" t="s">
        <v>19</v>
      </c>
      <c r="C2705" t="s">
        <v>24</v>
      </c>
      <c r="D2705" t="s">
        <v>28</v>
      </c>
      <c r="E2705">
        <v>-1</v>
      </c>
      <c r="F2705"/>
      <c r="G2705" t="s">
        <v>15</v>
      </c>
      <c r="H2705" t="s">
        <v>16</v>
      </c>
      <c r="I2705">
        <v>0</v>
      </c>
      <c r="J2705" s="23">
        <v>8233023</v>
      </c>
      <c r="K2705" t="s">
        <v>17</v>
      </c>
    </row>
    <row r="2706" spans="1:11" ht="15" customHeight="1" x14ac:dyDescent="0.3">
      <c r="A2706" t="s">
        <v>10</v>
      </c>
      <c r="B2706" t="s">
        <v>11</v>
      </c>
      <c r="C2706" t="s">
        <v>12</v>
      </c>
      <c r="D2706" t="s">
        <v>28</v>
      </c>
      <c r="E2706">
        <v>4</v>
      </c>
      <c r="F2706" t="s">
        <v>34</v>
      </c>
      <c r="G2706" t="s">
        <v>15</v>
      </c>
      <c r="H2706" t="s">
        <v>32</v>
      </c>
      <c r="I2706">
        <v>1</v>
      </c>
      <c r="J2706" s="23">
        <v>-6807</v>
      </c>
      <c r="K2706" t="s">
        <v>17</v>
      </c>
    </row>
    <row r="2707" spans="1:11" ht="15" customHeight="1" x14ac:dyDescent="0.3">
      <c r="A2707" t="s">
        <v>18</v>
      </c>
      <c r="B2707" t="s">
        <v>11</v>
      </c>
      <c r="C2707" t="s">
        <v>24</v>
      </c>
      <c r="D2707" t="s">
        <v>28</v>
      </c>
      <c r="E2707">
        <v>15</v>
      </c>
      <c r="F2707" t="s">
        <v>39</v>
      </c>
      <c r="G2707" t="s">
        <v>15</v>
      </c>
      <c r="H2707" t="s">
        <v>16</v>
      </c>
      <c r="I2707">
        <v>0</v>
      </c>
      <c r="J2707" s="23">
        <v>2629289</v>
      </c>
      <c r="K2707">
        <v>39439335</v>
      </c>
    </row>
    <row r="2708" spans="1:11" ht="15" customHeight="1" x14ac:dyDescent="0.3">
      <c r="A2708" t="s">
        <v>10</v>
      </c>
      <c r="B2708" t="s">
        <v>11</v>
      </c>
      <c r="C2708" t="s">
        <v>24</v>
      </c>
      <c r="D2708" t="s">
        <v>28</v>
      </c>
      <c r="E2708">
        <v>14</v>
      </c>
      <c r="F2708" t="s">
        <v>29</v>
      </c>
      <c r="G2708" t="s">
        <v>15</v>
      </c>
      <c r="H2708" t="s">
        <v>32</v>
      </c>
      <c r="I2708">
        <v>1</v>
      </c>
      <c r="J2708" s="23">
        <v>297691</v>
      </c>
      <c r="K2708">
        <v>4167674</v>
      </c>
    </row>
    <row r="2709" spans="1:11" ht="15" customHeight="1" x14ac:dyDescent="0.3">
      <c r="A2709" t="s">
        <v>18</v>
      </c>
      <c r="B2709" t="s">
        <v>19</v>
      </c>
      <c r="C2709" t="s">
        <v>12</v>
      </c>
      <c r="D2709" t="s">
        <v>20</v>
      </c>
      <c r="E2709">
        <v>31</v>
      </c>
      <c r="F2709"/>
      <c r="G2709" t="s">
        <v>31</v>
      </c>
      <c r="H2709" t="s">
        <v>32</v>
      </c>
      <c r="I2709">
        <v>1</v>
      </c>
      <c r="J2709" s="23">
        <v>-634</v>
      </c>
      <c r="K2709" t="s">
        <v>17</v>
      </c>
    </row>
    <row r="2710" spans="1:11" ht="15" customHeight="1" x14ac:dyDescent="0.3">
      <c r="A2710" t="s">
        <v>22</v>
      </c>
      <c r="B2710" t="s">
        <v>19</v>
      </c>
      <c r="C2710" t="s">
        <v>24</v>
      </c>
      <c r="D2710" t="s">
        <v>20</v>
      </c>
      <c r="E2710">
        <v>20</v>
      </c>
      <c r="F2710"/>
      <c r="G2710" t="s">
        <v>15</v>
      </c>
      <c r="H2710" t="s">
        <v>16</v>
      </c>
      <c r="I2710">
        <v>0</v>
      </c>
      <c r="J2710" s="23">
        <v>7088272</v>
      </c>
      <c r="K2710">
        <v>141765440</v>
      </c>
    </row>
    <row r="2711" spans="1:11" ht="15" customHeight="1" x14ac:dyDescent="0.3">
      <c r="A2711" t="s">
        <v>10</v>
      </c>
      <c r="B2711" t="s">
        <v>11</v>
      </c>
      <c r="C2711" t="s">
        <v>12</v>
      </c>
      <c r="D2711" t="s">
        <v>28</v>
      </c>
      <c r="E2711">
        <v>11</v>
      </c>
      <c r="F2711" t="s">
        <v>26</v>
      </c>
      <c r="G2711" t="s">
        <v>15</v>
      </c>
      <c r="H2711" t="s">
        <v>16</v>
      </c>
      <c r="I2711">
        <v>0</v>
      </c>
      <c r="J2711" s="23">
        <v>-317466</v>
      </c>
      <c r="K2711" t="s">
        <v>17</v>
      </c>
    </row>
    <row r="2712" spans="1:11" ht="15" customHeight="1" x14ac:dyDescent="0.3">
      <c r="A2712" t="s">
        <v>18</v>
      </c>
      <c r="B2712" t="s">
        <v>11</v>
      </c>
      <c r="C2712" t="s">
        <v>12</v>
      </c>
      <c r="D2712" t="s">
        <v>28</v>
      </c>
      <c r="E2712">
        <v>11</v>
      </c>
      <c r="F2712" t="s">
        <v>30</v>
      </c>
      <c r="G2712" t="s">
        <v>15</v>
      </c>
      <c r="H2712" t="s">
        <v>16</v>
      </c>
      <c r="I2712">
        <v>0</v>
      </c>
      <c r="J2712" s="23">
        <v>-11175</v>
      </c>
      <c r="K2712" t="s">
        <v>17</v>
      </c>
    </row>
    <row r="2713" spans="1:11" ht="15" customHeight="1" x14ac:dyDescent="0.3">
      <c r="A2713" t="s">
        <v>10</v>
      </c>
      <c r="B2713" t="s">
        <v>11</v>
      </c>
      <c r="C2713" t="s">
        <v>12</v>
      </c>
      <c r="D2713" t="s">
        <v>28</v>
      </c>
      <c r="E2713">
        <v>1</v>
      </c>
      <c r="F2713" t="s">
        <v>34</v>
      </c>
      <c r="G2713" t="s">
        <v>15</v>
      </c>
      <c r="H2713" t="s">
        <v>16</v>
      </c>
      <c r="I2713">
        <v>0</v>
      </c>
      <c r="J2713" s="23">
        <v>-10921</v>
      </c>
      <c r="K2713" t="s">
        <v>17</v>
      </c>
    </row>
    <row r="2714" spans="1:11" ht="15" customHeight="1" x14ac:dyDescent="0.3">
      <c r="A2714" t="s">
        <v>10</v>
      </c>
      <c r="B2714" t="s">
        <v>11</v>
      </c>
      <c r="C2714" t="s">
        <v>24</v>
      </c>
      <c r="D2714" t="s">
        <v>25</v>
      </c>
      <c r="E2714">
        <v>4</v>
      </c>
      <c r="F2714" t="s">
        <v>21</v>
      </c>
      <c r="G2714" t="s">
        <v>15</v>
      </c>
      <c r="H2714" t="s">
        <v>16</v>
      </c>
      <c r="I2714">
        <v>0</v>
      </c>
      <c r="J2714" s="23">
        <v>2003225</v>
      </c>
      <c r="K2714">
        <v>8012900</v>
      </c>
    </row>
    <row r="2715" spans="1:11" ht="15" customHeight="1" x14ac:dyDescent="0.3">
      <c r="A2715" t="s">
        <v>18</v>
      </c>
      <c r="B2715" t="s">
        <v>11</v>
      </c>
      <c r="C2715" t="s">
        <v>12</v>
      </c>
      <c r="D2715" t="s">
        <v>13</v>
      </c>
      <c r="E2715">
        <v>3</v>
      </c>
      <c r="F2715" t="s">
        <v>33</v>
      </c>
      <c r="G2715" t="s">
        <v>15</v>
      </c>
      <c r="H2715" t="s">
        <v>16</v>
      </c>
      <c r="I2715">
        <v>0</v>
      </c>
      <c r="J2715" s="23">
        <v>-49873</v>
      </c>
      <c r="K2715" t="s">
        <v>17</v>
      </c>
    </row>
    <row r="2716" spans="1:11" ht="15" customHeight="1" x14ac:dyDescent="0.3">
      <c r="A2716" t="s">
        <v>18</v>
      </c>
      <c r="B2716" t="s">
        <v>19</v>
      </c>
      <c r="C2716" t="s">
        <v>24</v>
      </c>
      <c r="D2716" t="s">
        <v>20</v>
      </c>
      <c r="E2716">
        <v>47</v>
      </c>
      <c r="F2716"/>
      <c r="G2716" t="s">
        <v>15</v>
      </c>
      <c r="H2716" t="s">
        <v>16</v>
      </c>
      <c r="I2716">
        <v>0</v>
      </c>
      <c r="J2716" s="23">
        <v>136614</v>
      </c>
      <c r="K2716">
        <v>6420858</v>
      </c>
    </row>
    <row r="2717" spans="1:11" ht="15" customHeight="1" x14ac:dyDescent="0.3">
      <c r="A2717" t="s">
        <v>10</v>
      </c>
      <c r="B2717" t="s">
        <v>11</v>
      </c>
      <c r="C2717" t="s">
        <v>12</v>
      </c>
      <c r="D2717" t="s">
        <v>25</v>
      </c>
      <c r="E2717">
        <v>2</v>
      </c>
      <c r="F2717" t="s">
        <v>26</v>
      </c>
      <c r="G2717" t="s">
        <v>15</v>
      </c>
      <c r="H2717" t="s">
        <v>16</v>
      </c>
      <c r="I2717">
        <v>0</v>
      </c>
      <c r="J2717" s="23">
        <v>-9865</v>
      </c>
      <c r="K2717" t="s">
        <v>17</v>
      </c>
    </row>
    <row r="2718" spans="1:11" ht="15" customHeight="1" x14ac:dyDescent="0.3">
      <c r="A2718" t="s">
        <v>22</v>
      </c>
      <c r="B2718" t="s">
        <v>11</v>
      </c>
      <c r="C2718" t="s">
        <v>12</v>
      </c>
      <c r="D2718" t="s">
        <v>28</v>
      </c>
      <c r="E2718">
        <v>-1</v>
      </c>
      <c r="F2718" t="s">
        <v>29</v>
      </c>
      <c r="G2718" t="s">
        <v>15</v>
      </c>
      <c r="H2718" t="s">
        <v>32</v>
      </c>
      <c r="I2718">
        <v>1</v>
      </c>
      <c r="J2718" s="23">
        <v>-307</v>
      </c>
      <c r="K2718" t="s">
        <v>17</v>
      </c>
    </row>
    <row r="2719" spans="1:11" ht="15" customHeight="1" x14ac:dyDescent="0.3">
      <c r="A2719" t="s">
        <v>18</v>
      </c>
      <c r="B2719" t="s">
        <v>11</v>
      </c>
      <c r="C2719" t="s">
        <v>24</v>
      </c>
      <c r="D2719" t="s">
        <v>28</v>
      </c>
      <c r="E2719">
        <v>1</v>
      </c>
      <c r="F2719" t="s">
        <v>39</v>
      </c>
      <c r="G2719" t="s">
        <v>15</v>
      </c>
      <c r="H2719" t="s">
        <v>16</v>
      </c>
      <c r="I2719">
        <v>0</v>
      </c>
      <c r="J2719" s="23">
        <v>73550</v>
      </c>
      <c r="K2719">
        <v>73550</v>
      </c>
    </row>
    <row r="2720" spans="1:11" ht="15" customHeight="1" x14ac:dyDescent="0.3">
      <c r="A2720" t="s">
        <v>10</v>
      </c>
      <c r="B2720" t="s">
        <v>11</v>
      </c>
      <c r="C2720" t="s">
        <v>12</v>
      </c>
      <c r="D2720" t="s">
        <v>13</v>
      </c>
      <c r="E2720">
        <v>2</v>
      </c>
      <c r="F2720" t="s">
        <v>36</v>
      </c>
      <c r="G2720" t="s">
        <v>15</v>
      </c>
      <c r="H2720" t="s">
        <v>16</v>
      </c>
      <c r="I2720">
        <v>0</v>
      </c>
      <c r="J2720" s="23">
        <v>-3524</v>
      </c>
      <c r="K2720" t="s">
        <v>17</v>
      </c>
    </row>
    <row r="2721" spans="1:11" ht="15" customHeight="1" x14ac:dyDescent="0.3">
      <c r="A2721" t="s">
        <v>18</v>
      </c>
      <c r="B2721" t="s">
        <v>11</v>
      </c>
      <c r="C2721" t="s">
        <v>24</v>
      </c>
      <c r="D2721" t="s">
        <v>28</v>
      </c>
      <c r="E2721">
        <v>10</v>
      </c>
      <c r="F2721" t="s">
        <v>30</v>
      </c>
      <c r="G2721" t="s">
        <v>31</v>
      </c>
      <c r="H2721" t="s">
        <v>16</v>
      </c>
      <c r="I2721">
        <v>1</v>
      </c>
      <c r="J2721" s="23">
        <v>99981</v>
      </c>
      <c r="K2721">
        <v>999810</v>
      </c>
    </row>
    <row r="2722" spans="1:11" ht="15" customHeight="1" x14ac:dyDescent="0.3">
      <c r="A2722" t="s">
        <v>10</v>
      </c>
      <c r="B2722" t="s">
        <v>11</v>
      </c>
      <c r="C2722" t="s">
        <v>12</v>
      </c>
      <c r="D2722" t="s">
        <v>13</v>
      </c>
      <c r="E2722">
        <v>7</v>
      </c>
      <c r="F2722" t="s">
        <v>27</v>
      </c>
      <c r="G2722" t="s">
        <v>15</v>
      </c>
      <c r="H2722" t="s">
        <v>16</v>
      </c>
      <c r="I2722">
        <v>0</v>
      </c>
      <c r="J2722" s="23">
        <v>-4010</v>
      </c>
      <c r="K2722" t="s">
        <v>17</v>
      </c>
    </row>
    <row r="2723" spans="1:11" ht="15" customHeight="1" x14ac:dyDescent="0.3">
      <c r="A2723" t="s">
        <v>22</v>
      </c>
      <c r="B2723" t="s">
        <v>11</v>
      </c>
      <c r="C2723" t="s">
        <v>12</v>
      </c>
      <c r="D2723" t="s">
        <v>28</v>
      </c>
      <c r="E2723">
        <v>-4</v>
      </c>
      <c r="F2723" t="s">
        <v>27</v>
      </c>
      <c r="G2723" t="s">
        <v>15</v>
      </c>
      <c r="H2723" t="s">
        <v>16</v>
      </c>
      <c r="I2723">
        <v>0</v>
      </c>
      <c r="J2723" s="23">
        <v>-84411</v>
      </c>
      <c r="K2723" t="s">
        <v>17</v>
      </c>
    </row>
    <row r="2724" spans="1:11" ht="15" customHeight="1" x14ac:dyDescent="0.3">
      <c r="A2724" t="s">
        <v>10</v>
      </c>
      <c r="B2724" t="s">
        <v>11</v>
      </c>
      <c r="C2724" t="s">
        <v>12</v>
      </c>
      <c r="D2724" t="s">
        <v>28</v>
      </c>
      <c r="E2724">
        <v>12</v>
      </c>
      <c r="F2724" t="s">
        <v>30</v>
      </c>
      <c r="G2724" t="s">
        <v>15</v>
      </c>
      <c r="H2724" t="s">
        <v>16</v>
      </c>
      <c r="I2724">
        <v>0</v>
      </c>
      <c r="J2724" s="23">
        <v>-3353668</v>
      </c>
      <c r="K2724" t="s">
        <v>17</v>
      </c>
    </row>
    <row r="2725" spans="1:11" ht="15" customHeight="1" x14ac:dyDescent="0.3">
      <c r="A2725" t="s">
        <v>22</v>
      </c>
      <c r="B2725" t="s">
        <v>11</v>
      </c>
      <c r="C2725" t="s">
        <v>12</v>
      </c>
      <c r="D2725" t="s">
        <v>13</v>
      </c>
      <c r="E2725">
        <v>5</v>
      </c>
      <c r="F2725" t="s">
        <v>35</v>
      </c>
      <c r="G2725" t="s">
        <v>15</v>
      </c>
      <c r="H2725" t="s">
        <v>16</v>
      </c>
      <c r="I2725">
        <v>0</v>
      </c>
      <c r="J2725" s="23">
        <v>-44234</v>
      </c>
      <c r="K2725" t="s">
        <v>17</v>
      </c>
    </row>
    <row r="2726" spans="1:11" ht="15" customHeight="1" x14ac:dyDescent="0.3">
      <c r="A2726" t="s">
        <v>18</v>
      </c>
      <c r="B2726" t="s">
        <v>11</v>
      </c>
      <c r="C2726" t="s">
        <v>24</v>
      </c>
      <c r="D2726" t="s">
        <v>28</v>
      </c>
      <c r="E2726">
        <v>1</v>
      </c>
      <c r="F2726" t="s">
        <v>42</v>
      </c>
      <c r="G2726" t="s">
        <v>15</v>
      </c>
      <c r="H2726" t="s">
        <v>16</v>
      </c>
      <c r="I2726">
        <v>0</v>
      </c>
      <c r="J2726" s="23">
        <v>835839</v>
      </c>
      <c r="K2726">
        <v>835839</v>
      </c>
    </row>
    <row r="2727" spans="1:11" ht="15" customHeight="1" x14ac:dyDescent="0.3">
      <c r="A2727" t="s">
        <v>22</v>
      </c>
      <c r="B2727" t="s">
        <v>11</v>
      </c>
      <c r="C2727" t="s">
        <v>12</v>
      </c>
      <c r="D2727" t="s">
        <v>28</v>
      </c>
      <c r="E2727">
        <v>-1</v>
      </c>
      <c r="F2727" t="s">
        <v>39</v>
      </c>
      <c r="G2727" t="s">
        <v>15</v>
      </c>
      <c r="H2727" t="s">
        <v>16</v>
      </c>
      <c r="I2727">
        <v>0</v>
      </c>
      <c r="J2727" s="23">
        <v>-15828</v>
      </c>
      <c r="K2727" t="s">
        <v>17</v>
      </c>
    </row>
    <row r="2728" spans="1:11" ht="15" customHeight="1" x14ac:dyDescent="0.3">
      <c r="A2728" t="s">
        <v>18</v>
      </c>
      <c r="B2728" t="s">
        <v>11</v>
      </c>
      <c r="C2728" t="s">
        <v>12</v>
      </c>
      <c r="D2728" t="s">
        <v>25</v>
      </c>
      <c r="E2728">
        <v>6</v>
      </c>
      <c r="F2728" t="s">
        <v>26</v>
      </c>
      <c r="G2728" t="s">
        <v>15</v>
      </c>
      <c r="H2728" t="s">
        <v>16</v>
      </c>
      <c r="I2728">
        <v>0</v>
      </c>
      <c r="J2728" s="23">
        <v>-732</v>
      </c>
      <c r="K2728" t="s">
        <v>17</v>
      </c>
    </row>
    <row r="2729" spans="1:11" ht="15" customHeight="1" x14ac:dyDescent="0.3">
      <c r="A2729" t="s">
        <v>18</v>
      </c>
      <c r="B2729" t="s">
        <v>11</v>
      </c>
      <c r="C2729" t="s">
        <v>24</v>
      </c>
      <c r="D2729" t="s">
        <v>25</v>
      </c>
      <c r="E2729">
        <v>7</v>
      </c>
      <c r="F2729" t="s">
        <v>26</v>
      </c>
      <c r="G2729" t="s">
        <v>15</v>
      </c>
      <c r="H2729" t="s">
        <v>16</v>
      </c>
      <c r="I2729">
        <v>0</v>
      </c>
      <c r="J2729" s="23">
        <v>2352191</v>
      </c>
      <c r="K2729">
        <v>16465337</v>
      </c>
    </row>
    <row r="2730" spans="1:11" ht="15" customHeight="1" x14ac:dyDescent="0.3">
      <c r="A2730" t="s">
        <v>10</v>
      </c>
      <c r="B2730" t="s">
        <v>19</v>
      </c>
      <c r="C2730" t="s">
        <v>12</v>
      </c>
      <c r="D2730" t="s">
        <v>20</v>
      </c>
      <c r="E2730">
        <v>36</v>
      </c>
      <c r="F2730"/>
      <c r="G2730" t="s">
        <v>15</v>
      </c>
      <c r="H2730" t="s">
        <v>32</v>
      </c>
      <c r="I2730">
        <v>1</v>
      </c>
      <c r="J2730" s="23">
        <v>-1504</v>
      </c>
      <c r="K2730" t="s">
        <v>17</v>
      </c>
    </row>
    <row r="2731" spans="1:11" ht="15" customHeight="1" x14ac:dyDescent="0.3">
      <c r="A2731" t="s">
        <v>18</v>
      </c>
      <c r="B2731" t="s">
        <v>11</v>
      </c>
      <c r="C2731" t="s">
        <v>12</v>
      </c>
      <c r="D2731" t="s">
        <v>25</v>
      </c>
      <c r="E2731">
        <v>1</v>
      </c>
      <c r="F2731" t="s">
        <v>41</v>
      </c>
      <c r="G2731" t="s">
        <v>15</v>
      </c>
      <c r="H2731" t="s">
        <v>16</v>
      </c>
      <c r="I2731">
        <v>0</v>
      </c>
      <c r="J2731" s="23">
        <v>-1473</v>
      </c>
      <c r="K2731" t="s">
        <v>17</v>
      </c>
    </row>
    <row r="2732" spans="1:11" ht="15" customHeight="1" x14ac:dyDescent="0.3">
      <c r="A2732" t="s">
        <v>18</v>
      </c>
      <c r="B2732" t="s">
        <v>11</v>
      </c>
      <c r="C2732" t="s">
        <v>12</v>
      </c>
      <c r="D2732" t="s">
        <v>28</v>
      </c>
      <c r="E2732">
        <v>9</v>
      </c>
      <c r="F2732" t="s">
        <v>23</v>
      </c>
      <c r="G2732" t="s">
        <v>15</v>
      </c>
      <c r="H2732" t="s">
        <v>16</v>
      </c>
      <c r="I2732">
        <v>0</v>
      </c>
      <c r="J2732" s="23">
        <v>-64687</v>
      </c>
      <c r="K2732" t="s">
        <v>17</v>
      </c>
    </row>
    <row r="2733" spans="1:11" ht="15" customHeight="1" x14ac:dyDescent="0.3">
      <c r="A2733" t="s">
        <v>18</v>
      </c>
      <c r="B2733" t="s">
        <v>11</v>
      </c>
      <c r="C2733" t="s">
        <v>12</v>
      </c>
      <c r="D2733" t="s">
        <v>28</v>
      </c>
      <c r="E2733">
        <v>7</v>
      </c>
      <c r="F2733" t="s">
        <v>26</v>
      </c>
      <c r="G2733" t="s">
        <v>15</v>
      </c>
      <c r="H2733" t="s">
        <v>16</v>
      </c>
      <c r="I2733">
        <v>0</v>
      </c>
      <c r="J2733" s="23">
        <v>-118183</v>
      </c>
      <c r="K2733" t="s">
        <v>17</v>
      </c>
    </row>
    <row r="2734" spans="1:11" ht="15" customHeight="1" x14ac:dyDescent="0.3">
      <c r="A2734" t="s">
        <v>10</v>
      </c>
      <c r="B2734" t="s">
        <v>11</v>
      </c>
      <c r="C2734" t="s">
        <v>24</v>
      </c>
      <c r="D2734" t="s">
        <v>13</v>
      </c>
      <c r="E2734">
        <v>0</v>
      </c>
      <c r="F2734" t="s">
        <v>40</v>
      </c>
      <c r="G2734" t="s">
        <v>15</v>
      </c>
      <c r="H2734" t="s">
        <v>16</v>
      </c>
      <c r="I2734">
        <v>0</v>
      </c>
      <c r="J2734" s="23">
        <v>5224082</v>
      </c>
      <c r="K2734" t="s">
        <v>17</v>
      </c>
    </row>
    <row r="2735" spans="1:11" ht="15" customHeight="1" x14ac:dyDescent="0.3">
      <c r="A2735" t="s">
        <v>10</v>
      </c>
      <c r="B2735" t="s">
        <v>11</v>
      </c>
      <c r="C2735" t="s">
        <v>12</v>
      </c>
      <c r="D2735" t="s">
        <v>13</v>
      </c>
      <c r="E2735">
        <v>3</v>
      </c>
      <c r="F2735" t="s">
        <v>23</v>
      </c>
      <c r="G2735" t="s">
        <v>15</v>
      </c>
      <c r="H2735" t="s">
        <v>16</v>
      </c>
      <c r="I2735">
        <v>0</v>
      </c>
      <c r="J2735" s="23">
        <v>-433952</v>
      </c>
      <c r="K2735" t="s">
        <v>17</v>
      </c>
    </row>
    <row r="2736" spans="1:11" ht="15" customHeight="1" x14ac:dyDescent="0.3">
      <c r="A2736" t="s">
        <v>10</v>
      </c>
      <c r="B2736" t="s">
        <v>11</v>
      </c>
      <c r="C2736" t="s">
        <v>24</v>
      </c>
      <c r="D2736" t="s">
        <v>28</v>
      </c>
      <c r="E2736">
        <v>3</v>
      </c>
      <c r="F2736" t="s">
        <v>34</v>
      </c>
      <c r="G2736" t="s">
        <v>15</v>
      </c>
      <c r="H2736" t="s">
        <v>32</v>
      </c>
      <c r="I2736">
        <v>1</v>
      </c>
      <c r="J2736" s="23">
        <v>278262</v>
      </c>
      <c r="K2736">
        <v>834786</v>
      </c>
    </row>
    <row r="2737" spans="1:11" ht="15" customHeight="1" x14ac:dyDescent="0.3">
      <c r="A2737" t="s">
        <v>18</v>
      </c>
      <c r="B2737" t="s">
        <v>11</v>
      </c>
      <c r="C2737" t="s">
        <v>12</v>
      </c>
      <c r="D2737" t="s">
        <v>28</v>
      </c>
      <c r="E2737">
        <v>14</v>
      </c>
      <c r="F2737" t="s">
        <v>40</v>
      </c>
      <c r="G2737" t="s">
        <v>15</v>
      </c>
      <c r="H2737" t="s">
        <v>16</v>
      </c>
      <c r="I2737">
        <v>0</v>
      </c>
      <c r="J2737" s="23">
        <v>-366</v>
      </c>
      <c r="K2737" t="s">
        <v>17</v>
      </c>
    </row>
    <row r="2738" spans="1:11" ht="15" customHeight="1" x14ac:dyDescent="0.3">
      <c r="A2738" t="s">
        <v>10</v>
      </c>
      <c r="B2738" t="s">
        <v>11</v>
      </c>
      <c r="C2738" t="s">
        <v>24</v>
      </c>
      <c r="D2738" t="s">
        <v>28</v>
      </c>
      <c r="E2738">
        <v>7</v>
      </c>
      <c r="F2738" t="s">
        <v>29</v>
      </c>
      <c r="G2738" t="s">
        <v>15</v>
      </c>
      <c r="H2738" t="s">
        <v>32</v>
      </c>
      <c r="I2738">
        <v>1</v>
      </c>
      <c r="J2738" s="23">
        <v>684735</v>
      </c>
      <c r="K2738">
        <v>4793145</v>
      </c>
    </row>
    <row r="2739" spans="1:11" ht="15" customHeight="1" x14ac:dyDescent="0.3">
      <c r="A2739" t="s">
        <v>22</v>
      </c>
      <c r="B2739" t="s">
        <v>19</v>
      </c>
      <c r="C2739" t="s">
        <v>12</v>
      </c>
      <c r="D2739" t="s">
        <v>20</v>
      </c>
      <c r="E2739">
        <v>32</v>
      </c>
      <c r="F2739"/>
      <c r="G2739" t="s">
        <v>15</v>
      </c>
      <c r="H2739" t="s">
        <v>32</v>
      </c>
      <c r="I2739">
        <v>1</v>
      </c>
      <c r="J2739" s="23">
        <v>-32079</v>
      </c>
      <c r="K2739" t="s">
        <v>17</v>
      </c>
    </row>
    <row r="2740" spans="1:11" ht="15" customHeight="1" x14ac:dyDescent="0.3">
      <c r="A2740" t="s">
        <v>10</v>
      </c>
      <c r="B2740" t="s">
        <v>44</v>
      </c>
      <c r="C2740" t="s">
        <v>24</v>
      </c>
      <c r="D2740" t="s">
        <v>28</v>
      </c>
      <c r="E2740">
        <v>-4</v>
      </c>
      <c r="F2740" t="s">
        <v>14</v>
      </c>
      <c r="G2740" t="s">
        <v>15</v>
      </c>
      <c r="H2740" t="s">
        <v>16</v>
      </c>
      <c r="I2740">
        <v>0</v>
      </c>
      <c r="J2740" s="23">
        <v>11</v>
      </c>
      <c r="K2740" t="s">
        <v>17</v>
      </c>
    </row>
    <row r="2741" spans="1:11" ht="15" customHeight="1" x14ac:dyDescent="0.3">
      <c r="A2741" t="s">
        <v>22</v>
      </c>
      <c r="B2741" t="s">
        <v>11</v>
      </c>
      <c r="C2741" t="s">
        <v>12</v>
      </c>
      <c r="D2741" t="s">
        <v>25</v>
      </c>
      <c r="E2741">
        <v>3</v>
      </c>
      <c r="F2741" t="s">
        <v>40</v>
      </c>
      <c r="G2741" t="s">
        <v>15</v>
      </c>
      <c r="H2741" t="s">
        <v>16</v>
      </c>
      <c r="I2741">
        <v>0</v>
      </c>
      <c r="J2741" s="23">
        <v>-105183</v>
      </c>
      <c r="K2741" t="s">
        <v>17</v>
      </c>
    </row>
    <row r="2742" spans="1:11" ht="15" customHeight="1" x14ac:dyDescent="0.3">
      <c r="A2742" t="s">
        <v>10</v>
      </c>
      <c r="B2742" t="s">
        <v>19</v>
      </c>
      <c r="C2742" t="s">
        <v>12</v>
      </c>
      <c r="D2742" t="s">
        <v>28</v>
      </c>
      <c r="E2742">
        <v>7</v>
      </c>
      <c r="F2742"/>
      <c r="G2742" t="s">
        <v>15</v>
      </c>
      <c r="H2742" t="s">
        <v>16</v>
      </c>
      <c r="I2742">
        <v>0</v>
      </c>
      <c r="J2742" s="23">
        <v>-28366</v>
      </c>
      <c r="K2742" t="s">
        <v>17</v>
      </c>
    </row>
    <row r="2743" spans="1:11" ht="15" customHeight="1" x14ac:dyDescent="0.3">
      <c r="A2743" t="s">
        <v>18</v>
      </c>
      <c r="B2743" t="s">
        <v>11</v>
      </c>
      <c r="C2743" t="s">
        <v>24</v>
      </c>
      <c r="D2743" t="s">
        <v>28</v>
      </c>
      <c r="E2743">
        <v>12</v>
      </c>
      <c r="F2743" t="s">
        <v>34</v>
      </c>
      <c r="G2743" t="s">
        <v>15</v>
      </c>
      <c r="H2743" t="s">
        <v>16</v>
      </c>
      <c r="I2743">
        <v>0</v>
      </c>
      <c r="J2743" s="23">
        <v>6739770</v>
      </c>
      <c r="K2743">
        <v>80877240</v>
      </c>
    </row>
    <row r="2744" spans="1:11" ht="15" customHeight="1" x14ac:dyDescent="0.3">
      <c r="A2744" t="s">
        <v>22</v>
      </c>
      <c r="B2744" t="s">
        <v>44</v>
      </c>
      <c r="C2744" t="s">
        <v>12</v>
      </c>
      <c r="D2744" t="s">
        <v>28</v>
      </c>
      <c r="E2744">
        <v>-1</v>
      </c>
      <c r="F2744" t="s">
        <v>37</v>
      </c>
      <c r="G2744" t="s">
        <v>15</v>
      </c>
      <c r="H2744" t="s">
        <v>16</v>
      </c>
      <c r="I2744">
        <v>0</v>
      </c>
      <c r="J2744" s="23">
        <v>-2903188</v>
      </c>
      <c r="K2744" t="s">
        <v>17</v>
      </c>
    </row>
    <row r="2745" spans="1:11" ht="15" customHeight="1" x14ac:dyDescent="0.3">
      <c r="A2745" t="s">
        <v>18</v>
      </c>
      <c r="B2745" t="s">
        <v>11</v>
      </c>
      <c r="C2745" t="s">
        <v>12</v>
      </c>
      <c r="D2745" t="s">
        <v>28</v>
      </c>
      <c r="E2745">
        <v>7</v>
      </c>
      <c r="F2745" t="s">
        <v>37</v>
      </c>
      <c r="G2745" t="s">
        <v>15</v>
      </c>
      <c r="H2745" t="s">
        <v>16</v>
      </c>
      <c r="I2745">
        <v>0</v>
      </c>
      <c r="J2745" s="23">
        <v>-773</v>
      </c>
      <c r="K2745" t="s">
        <v>17</v>
      </c>
    </row>
    <row r="2746" spans="1:11" ht="15" customHeight="1" x14ac:dyDescent="0.3">
      <c r="A2746" t="s">
        <v>18</v>
      </c>
      <c r="B2746" t="s">
        <v>11</v>
      </c>
      <c r="C2746" t="s">
        <v>24</v>
      </c>
      <c r="D2746" t="s">
        <v>25</v>
      </c>
      <c r="E2746">
        <v>2</v>
      </c>
      <c r="F2746" t="s">
        <v>23</v>
      </c>
      <c r="G2746" t="s">
        <v>15</v>
      </c>
      <c r="H2746" t="s">
        <v>16</v>
      </c>
      <c r="I2746">
        <v>0</v>
      </c>
      <c r="J2746" s="23">
        <v>2890819</v>
      </c>
      <c r="K2746">
        <v>5781638</v>
      </c>
    </row>
    <row r="2747" spans="1:11" ht="15" customHeight="1" x14ac:dyDescent="0.3">
      <c r="A2747" t="s">
        <v>22</v>
      </c>
      <c r="B2747" t="s">
        <v>11</v>
      </c>
      <c r="C2747" t="s">
        <v>12</v>
      </c>
      <c r="D2747" t="s">
        <v>28</v>
      </c>
      <c r="E2747">
        <v>2</v>
      </c>
      <c r="F2747" t="s">
        <v>29</v>
      </c>
      <c r="G2747" t="s">
        <v>15</v>
      </c>
      <c r="H2747" t="s">
        <v>16</v>
      </c>
      <c r="I2747">
        <v>0</v>
      </c>
      <c r="J2747" s="23">
        <v>-2808991</v>
      </c>
      <c r="K2747" t="s">
        <v>17</v>
      </c>
    </row>
    <row r="2748" spans="1:11" ht="15" customHeight="1" x14ac:dyDescent="0.3">
      <c r="A2748" t="s">
        <v>22</v>
      </c>
      <c r="B2748" t="s">
        <v>11</v>
      </c>
      <c r="C2748" t="s">
        <v>24</v>
      </c>
      <c r="D2748" t="s">
        <v>28</v>
      </c>
      <c r="E2748">
        <v>5</v>
      </c>
      <c r="F2748" t="s">
        <v>26</v>
      </c>
      <c r="G2748" t="s">
        <v>15</v>
      </c>
      <c r="H2748" t="s">
        <v>16</v>
      </c>
      <c r="I2748">
        <v>0</v>
      </c>
      <c r="J2748" s="23">
        <v>2533202</v>
      </c>
      <c r="K2748">
        <v>12666010</v>
      </c>
    </row>
    <row r="2749" spans="1:11" ht="15" customHeight="1" x14ac:dyDescent="0.3">
      <c r="A2749" t="s">
        <v>22</v>
      </c>
      <c r="B2749" t="s">
        <v>11</v>
      </c>
      <c r="C2749" t="s">
        <v>24</v>
      </c>
      <c r="D2749" t="s">
        <v>13</v>
      </c>
      <c r="E2749">
        <v>1</v>
      </c>
      <c r="F2749" t="s">
        <v>23</v>
      </c>
      <c r="G2749" t="s">
        <v>15</v>
      </c>
      <c r="H2749" t="s">
        <v>16</v>
      </c>
      <c r="I2749">
        <v>0</v>
      </c>
      <c r="J2749" s="23">
        <v>954208</v>
      </c>
      <c r="K2749">
        <v>954208</v>
      </c>
    </row>
    <row r="2750" spans="1:11" ht="15" customHeight="1" x14ac:dyDescent="0.3">
      <c r="A2750" t="s">
        <v>22</v>
      </c>
      <c r="B2750" t="s">
        <v>11</v>
      </c>
      <c r="C2750" t="s">
        <v>12</v>
      </c>
      <c r="D2750" t="s">
        <v>25</v>
      </c>
      <c r="E2750">
        <v>5</v>
      </c>
      <c r="F2750" t="s">
        <v>40</v>
      </c>
      <c r="G2750" t="s">
        <v>15</v>
      </c>
      <c r="H2750" t="s">
        <v>16</v>
      </c>
      <c r="I2750">
        <v>0</v>
      </c>
      <c r="J2750" s="23">
        <v>-49022</v>
      </c>
      <c r="K2750" t="s">
        <v>17</v>
      </c>
    </row>
    <row r="2751" spans="1:11" ht="15" customHeight="1" x14ac:dyDescent="0.3">
      <c r="A2751" t="s">
        <v>10</v>
      </c>
      <c r="B2751" t="s">
        <v>11</v>
      </c>
      <c r="C2751" t="s">
        <v>12</v>
      </c>
      <c r="D2751" t="s">
        <v>25</v>
      </c>
      <c r="E2751">
        <v>1</v>
      </c>
      <c r="F2751" t="s">
        <v>37</v>
      </c>
      <c r="G2751" t="s">
        <v>15</v>
      </c>
      <c r="H2751" t="s">
        <v>16</v>
      </c>
      <c r="I2751">
        <v>0</v>
      </c>
      <c r="J2751" s="23">
        <v>-1212</v>
      </c>
      <c r="K2751" t="s">
        <v>17</v>
      </c>
    </row>
    <row r="2752" spans="1:11" ht="15" customHeight="1" x14ac:dyDescent="0.3">
      <c r="A2752" t="s">
        <v>18</v>
      </c>
      <c r="B2752" t="s">
        <v>19</v>
      </c>
      <c r="C2752" t="s">
        <v>24</v>
      </c>
      <c r="D2752" t="s">
        <v>20</v>
      </c>
      <c r="E2752">
        <v>18</v>
      </c>
      <c r="F2752"/>
      <c r="G2752" t="s">
        <v>15</v>
      </c>
      <c r="H2752" t="s">
        <v>16</v>
      </c>
      <c r="I2752">
        <v>0</v>
      </c>
      <c r="J2752" s="23">
        <v>401403471</v>
      </c>
      <c r="K2752">
        <v>7225262478</v>
      </c>
    </row>
    <row r="2753" spans="1:11" ht="15" customHeight="1" x14ac:dyDescent="0.3">
      <c r="A2753" t="s">
        <v>18</v>
      </c>
      <c r="B2753" t="s">
        <v>11</v>
      </c>
      <c r="C2753" t="s">
        <v>12</v>
      </c>
      <c r="D2753" t="s">
        <v>13</v>
      </c>
      <c r="E2753">
        <v>4</v>
      </c>
      <c r="F2753" t="s">
        <v>27</v>
      </c>
      <c r="G2753" t="s">
        <v>15</v>
      </c>
      <c r="H2753" t="s">
        <v>16</v>
      </c>
      <c r="I2753">
        <v>0</v>
      </c>
      <c r="J2753" s="23">
        <v>-5082</v>
      </c>
      <c r="K2753" t="s">
        <v>17</v>
      </c>
    </row>
    <row r="2754" spans="1:11" ht="15" customHeight="1" x14ac:dyDescent="0.3">
      <c r="A2754" t="s">
        <v>10</v>
      </c>
      <c r="B2754" t="s">
        <v>11</v>
      </c>
      <c r="C2754" t="s">
        <v>24</v>
      </c>
      <c r="D2754" t="s">
        <v>13</v>
      </c>
      <c r="E2754">
        <v>12</v>
      </c>
      <c r="F2754" t="s">
        <v>30</v>
      </c>
      <c r="G2754" t="s">
        <v>15</v>
      </c>
      <c r="H2754" t="s">
        <v>16</v>
      </c>
      <c r="I2754">
        <v>0</v>
      </c>
      <c r="J2754" s="23">
        <v>4126180</v>
      </c>
      <c r="K2754">
        <v>49514160</v>
      </c>
    </row>
    <row r="2755" spans="1:11" ht="15" customHeight="1" x14ac:dyDescent="0.3">
      <c r="A2755" t="s">
        <v>10</v>
      </c>
      <c r="B2755" t="s">
        <v>11</v>
      </c>
      <c r="C2755" t="s">
        <v>24</v>
      </c>
      <c r="D2755" t="s">
        <v>25</v>
      </c>
      <c r="E2755">
        <v>-4</v>
      </c>
      <c r="F2755" t="s">
        <v>34</v>
      </c>
      <c r="G2755" t="s">
        <v>15</v>
      </c>
      <c r="H2755" t="s">
        <v>16</v>
      </c>
      <c r="I2755">
        <v>0</v>
      </c>
      <c r="J2755" s="23">
        <v>29120</v>
      </c>
      <c r="K2755" t="s">
        <v>17</v>
      </c>
    </row>
    <row r="2756" spans="1:11" ht="15" customHeight="1" x14ac:dyDescent="0.3">
      <c r="A2756" t="s">
        <v>18</v>
      </c>
      <c r="B2756" t="s">
        <v>11</v>
      </c>
      <c r="C2756" t="s">
        <v>12</v>
      </c>
      <c r="D2756" t="s">
        <v>13</v>
      </c>
      <c r="E2756">
        <v>0</v>
      </c>
      <c r="F2756" t="s">
        <v>45</v>
      </c>
      <c r="G2756" t="s">
        <v>15</v>
      </c>
      <c r="H2756" t="s">
        <v>16</v>
      </c>
      <c r="I2756">
        <v>0</v>
      </c>
      <c r="J2756" s="23">
        <v>-29355</v>
      </c>
      <c r="K2756" t="s">
        <v>17</v>
      </c>
    </row>
    <row r="2757" spans="1:11" ht="15" customHeight="1" x14ac:dyDescent="0.3">
      <c r="A2757" t="s">
        <v>22</v>
      </c>
      <c r="B2757" t="s">
        <v>11</v>
      </c>
      <c r="C2757" t="s">
        <v>12</v>
      </c>
      <c r="D2757" t="s">
        <v>28</v>
      </c>
      <c r="E2757">
        <v>16</v>
      </c>
      <c r="F2757" t="s">
        <v>34</v>
      </c>
      <c r="G2757" t="s">
        <v>15</v>
      </c>
      <c r="H2757" t="s">
        <v>16</v>
      </c>
      <c r="I2757">
        <v>0</v>
      </c>
      <c r="J2757" s="23">
        <v>-65486</v>
      </c>
      <c r="K2757" t="s">
        <v>17</v>
      </c>
    </row>
    <row r="2758" spans="1:11" ht="15" customHeight="1" x14ac:dyDescent="0.3">
      <c r="A2758" t="s">
        <v>18</v>
      </c>
      <c r="B2758" t="s">
        <v>11</v>
      </c>
      <c r="C2758" t="s">
        <v>12</v>
      </c>
      <c r="D2758" t="s">
        <v>13</v>
      </c>
      <c r="E2758">
        <v>1</v>
      </c>
      <c r="F2758" t="s">
        <v>39</v>
      </c>
      <c r="G2758" t="s">
        <v>15</v>
      </c>
      <c r="H2758" t="s">
        <v>16</v>
      </c>
      <c r="I2758">
        <v>0</v>
      </c>
      <c r="J2758" s="23">
        <v>-43947</v>
      </c>
      <c r="K2758" t="s">
        <v>17</v>
      </c>
    </row>
    <row r="2759" spans="1:11" ht="15" customHeight="1" x14ac:dyDescent="0.3">
      <c r="A2759" t="s">
        <v>10</v>
      </c>
      <c r="B2759" t="s">
        <v>11</v>
      </c>
      <c r="C2759" t="s">
        <v>12</v>
      </c>
      <c r="D2759" t="s">
        <v>13</v>
      </c>
      <c r="E2759">
        <v>5</v>
      </c>
      <c r="F2759" t="s">
        <v>42</v>
      </c>
      <c r="G2759" t="s">
        <v>15</v>
      </c>
      <c r="H2759" t="s">
        <v>16</v>
      </c>
      <c r="I2759">
        <v>0</v>
      </c>
      <c r="J2759" s="23">
        <v>-1507</v>
      </c>
      <c r="K2759" t="s">
        <v>17</v>
      </c>
    </row>
    <row r="2760" spans="1:11" ht="15" customHeight="1" x14ac:dyDescent="0.3">
      <c r="A2760" t="s">
        <v>10</v>
      </c>
      <c r="B2760" t="s">
        <v>11</v>
      </c>
      <c r="C2760" t="s">
        <v>12</v>
      </c>
      <c r="D2760" t="s">
        <v>28</v>
      </c>
      <c r="E2760">
        <v>5</v>
      </c>
      <c r="F2760" t="s">
        <v>29</v>
      </c>
      <c r="G2760" t="s">
        <v>15</v>
      </c>
      <c r="H2760" t="s">
        <v>32</v>
      </c>
      <c r="I2760">
        <v>1</v>
      </c>
      <c r="J2760" s="23">
        <v>-44437</v>
      </c>
      <c r="K2760" t="s">
        <v>17</v>
      </c>
    </row>
    <row r="2761" spans="1:11" ht="15" customHeight="1" x14ac:dyDescent="0.3">
      <c r="A2761" t="s">
        <v>18</v>
      </c>
      <c r="B2761" t="s">
        <v>19</v>
      </c>
      <c r="C2761" t="s">
        <v>24</v>
      </c>
      <c r="D2761" t="s">
        <v>20</v>
      </c>
      <c r="E2761">
        <v>6</v>
      </c>
      <c r="F2761"/>
      <c r="G2761" t="s">
        <v>15</v>
      </c>
      <c r="H2761" t="s">
        <v>32</v>
      </c>
      <c r="I2761">
        <v>1</v>
      </c>
      <c r="J2761" s="23">
        <v>597849</v>
      </c>
      <c r="K2761">
        <v>3587094</v>
      </c>
    </row>
    <row r="2762" spans="1:11" ht="15" customHeight="1" x14ac:dyDescent="0.3">
      <c r="A2762" t="s">
        <v>22</v>
      </c>
      <c r="B2762" t="s">
        <v>11</v>
      </c>
      <c r="C2762" t="s">
        <v>24</v>
      </c>
      <c r="D2762" t="s">
        <v>28</v>
      </c>
      <c r="E2762">
        <v>0</v>
      </c>
      <c r="F2762" t="s">
        <v>29</v>
      </c>
      <c r="G2762" t="s">
        <v>15</v>
      </c>
      <c r="H2762" t="s">
        <v>16</v>
      </c>
      <c r="I2762">
        <v>0</v>
      </c>
      <c r="J2762" s="23">
        <v>340004</v>
      </c>
      <c r="K2762" t="s">
        <v>17</v>
      </c>
    </row>
    <row r="2763" spans="1:11" ht="15" customHeight="1" x14ac:dyDescent="0.3">
      <c r="A2763" t="s">
        <v>18</v>
      </c>
      <c r="B2763" t="s">
        <v>11</v>
      </c>
      <c r="C2763" t="s">
        <v>24</v>
      </c>
      <c r="D2763" t="s">
        <v>25</v>
      </c>
      <c r="E2763">
        <v>4</v>
      </c>
      <c r="F2763" t="s">
        <v>40</v>
      </c>
      <c r="G2763" t="s">
        <v>15</v>
      </c>
      <c r="H2763" t="s">
        <v>16</v>
      </c>
      <c r="I2763">
        <v>0</v>
      </c>
      <c r="J2763" s="23">
        <v>27485472</v>
      </c>
      <c r="K2763">
        <v>109941888</v>
      </c>
    </row>
    <row r="2764" spans="1:11" ht="15" customHeight="1" x14ac:dyDescent="0.3">
      <c r="A2764" t="s">
        <v>18</v>
      </c>
      <c r="B2764" t="s">
        <v>11</v>
      </c>
      <c r="C2764" t="s">
        <v>12</v>
      </c>
      <c r="D2764" t="s">
        <v>25</v>
      </c>
      <c r="E2764">
        <v>-1</v>
      </c>
      <c r="F2764" t="s">
        <v>21</v>
      </c>
      <c r="G2764" t="s">
        <v>15</v>
      </c>
      <c r="H2764" t="s">
        <v>16</v>
      </c>
      <c r="I2764">
        <v>0</v>
      </c>
      <c r="J2764" s="23">
        <v>-5821</v>
      </c>
      <c r="K2764" t="s">
        <v>17</v>
      </c>
    </row>
    <row r="2765" spans="1:11" ht="15" customHeight="1" x14ac:dyDescent="0.3">
      <c r="A2765" t="s">
        <v>10</v>
      </c>
      <c r="B2765" t="s">
        <v>11</v>
      </c>
      <c r="C2765" t="s">
        <v>12</v>
      </c>
      <c r="D2765" t="s">
        <v>28</v>
      </c>
      <c r="E2765">
        <v>3</v>
      </c>
      <c r="F2765" t="s">
        <v>23</v>
      </c>
      <c r="G2765" t="s">
        <v>15</v>
      </c>
      <c r="H2765" t="s">
        <v>16</v>
      </c>
      <c r="I2765">
        <v>0</v>
      </c>
      <c r="J2765" s="23">
        <v>-103652</v>
      </c>
      <c r="K2765" t="s">
        <v>17</v>
      </c>
    </row>
    <row r="2766" spans="1:11" ht="15" customHeight="1" x14ac:dyDescent="0.3">
      <c r="A2766" t="s">
        <v>10</v>
      </c>
      <c r="B2766" t="s">
        <v>11</v>
      </c>
      <c r="C2766" t="s">
        <v>24</v>
      </c>
      <c r="D2766" t="s">
        <v>28</v>
      </c>
      <c r="E2766">
        <v>19</v>
      </c>
      <c r="F2766" t="s">
        <v>14</v>
      </c>
      <c r="G2766" t="s">
        <v>15</v>
      </c>
      <c r="H2766" t="s">
        <v>16</v>
      </c>
      <c r="I2766">
        <v>0</v>
      </c>
      <c r="J2766" s="23">
        <v>318478</v>
      </c>
      <c r="K2766">
        <v>6051082</v>
      </c>
    </row>
    <row r="2767" spans="1:11" ht="15" customHeight="1" x14ac:dyDescent="0.3">
      <c r="A2767" t="s">
        <v>18</v>
      </c>
      <c r="B2767" t="s">
        <v>19</v>
      </c>
      <c r="C2767" t="s">
        <v>24</v>
      </c>
      <c r="D2767" t="s">
        <v>28</v>
      </c>
      <c r="E2767">
        <v>29</v>
      </c>
      <c r="F2767"/>
      <c r="G2767" t="s">
        <v>15</v>
      </c>
      <c r="H2767" t="s">
        <v>16</v>
      </c>
      <c r="I2767">
        <v>0</v>
      </c>
      <c r="J2767" s="23">
        <v>85817</v>
      </c>
      <c r="K2767">
        <v>2488693</v>
      </c>
    </row>
    <row r="2768" spans="1:11" ht="15" customHeight="1" x14ac:dyDescent="0.3">
      <c r="A2768" t="s">
        <v>10</v>
      </c>
      <c r="B2768" t="s">
        <v>11</v>
      </c>
      <c r="C2768" t="s">
        <v>24</v>
      </c>
      <c r="D2768" t="s">
        <v>13</v>
      </c>
      <c r="E2768">
        <v>4</v>
      </c>
      <c r="F2768" t="s">
        <v>41</v>
      </c>
      <c r="G2768" t="s">
        <v>15</v>
      </c>
      <c r="H2768" t="s">
        <v>16</v>
      </c>
      <c r="I2768">
        <v>0</v>
      </c>
      <c r="J2768" s="23">
        <v>389740</v>
      </c>
      <c r="K2768">
        <v>1558960</v>
      </c>
    </row>
    <row r="2769" spans="1:11" ht="15" customHeight="1" x14ac:dyDescent="0.3">
      <c r="A2769" t="s">
        <v>18</v>
      </c>
      <c r="B2769" t="s">
        <v>11</v>
      </c>
      <c r="C2769" t="s">
        <v>12</v>
      </c>
      <c r="D2769" t="s">
        <v>28</v>
      </c>
      <c r="E2769">
        <v>9</v>
      </c>
      <c r="F2769" t="s">
        <v>45</v>
      </c>
      <c r="G2769" t="s">
        <v>15</v>
      </c>
      <c r="H2769" t="s">
        <v>16</v>
      </c>
      <c r="I2769">
        <v>0</v>
      </c>
      <c r="J2769" s="23">
        <v>-92</v>
      </c>
      <c r="K2769" t="s">
        <v>17</v>
      </c>
    </row>
    <row r="2770" spans="1:11" ht="15" customHeight="1" x14ac:dyDescent="0.3">
      <c r="A2770" t="s">
        <v>10</v>
      </c>
      <c r="B2770" t="s">
        <v>11</v>
      </c>
      <c r="C2770" t="s">
        <v>24</v>
      </c>
      <c r="D2770" t="s">
        <v>28</v>
      </c>
      <c r="E2770">
        <v>7</v>
      </c>
      <c r="F2770" t="s">
        <v>14</v>
      </c>
      <c r="G2770" t="s">
        <v>15</v>
      </c>
      <c r="H2770" t="s">
        <v>16</v>
      </c>
      <c r="I2770">
        <v>0</v>
      </c>
      <c r="J2770" s="23">
        <v>389281</v>
      </c>
      <c r="K2770">
        <v>2724967</v>
      </c>
    </row>
    <row r="2771" spans="1:11" ht="15" customHeight="1" x14ac:dyDescent="0.3">
      <c r="A2771" t="s">
        <v>10</v>
      </c>
      <c r="B2771" t="s">
        <v>11</v>
      </c>
      <c r="C2771" t="s">
        <v>12</v>
      </c>
      <c r="D2771" t="s">
        <v>25</v>
      </c>
      <c r="E2771">
        <v>-1</v>
      </c>
      <c r="F2771" t="s">
        <v>21</v>
      </c>
      <c r="G2771" t="s">
        <v>15</v>
      </c>
      <c r="H2771" t="s">
        <v>16</v>
      </c>
      <c r="I2771">
        <v>0</v>
      </c>
      <c r="J2771" s="23">
        <v>-10651</v>
      </c>
      <c r="K2771" t="s">
        <v>17</v>
      </c>
    </row>
    <row r="2772" spans="1:11" ht="15" customHeight="1" x14ac:dyDescent="0.3">
      <c r="A2772" t="s">
        <v>18</v>
      </c>
      <c r="B2772" t="s">
        <v>11</v>
      </c>
      <c r="C2772" t="s">
        <v>12</v>
      </c>
      <c r="D2772" t="s">
        <v>13</v>
      </c>
      <c r="E2772">
        <v>0</v>
      </c>
      <c r="F2772" t="s">
        <v>34</v>
      </c>
      <c r="G2772" t="s">
        <v>15</v>
      </c>
      <c r="H2772" t="s">
        <v>16</v>
      </c>
      <c r="I2772">
        <v>0</v>
      </c>
      <c r="J2772" s="23">
        <v>-2019074</v>
      </c>
      <c r="K2772" t="s">
        <v>17</v>
      </c>
    </row>
    <row r="2773" spans="1:11" ht="15" customHeight="1" x14ac:dyDescent="0.3">
      <c r="A2773" t="s">
        <v>18</v>
      </c>
      <c r="B2773" t="s">
        <v>44</v>
      </c>
      <c r="C2773" t="s">
        <v>24</v>
      </c>
      <c r="D2773" t="s">
        <v>28</v>
      </c>
      <c r="E2773">
        <v>13</v>
      </c>
      <c r="F2773" t="s">
        <v>26</v>
      </c>
      <c r="G2773" t="s">
        <v>15</v>
      </c>
      <c r="H2773" t="s">
        <v>16</v>
      </c>
      <c r="I2773">
        <v>0</v>
      </c>
      <c r="J2773" s="23">
        <v>15373877</v>
      </c>
      <c r="K2773">
        <v>199860401</v>
      </c>
    </row>
    <row r="2774" spans="1:11" ht="15" customHeight="1" x14ac:dyDescent="0.3">
      <c r="A2774" t="s">
        <v>18</v>
      </c>
      <c r="B2774" t="s">
        <v>11</v>
      </c>
      <c r="C2774" t="s">
        <v>12</v>
      </c>
      <c r="D2774" t="s">
        <v>28</v>
      </c>
      <c r="E2774">
        <v>19</v>
      </c>
      <c r="F2774" t="s">
        <v>26</v>
      </c>
      <c r="G2774" t="s">
        <v>15</v>
      </c>
      <c r="H2774" t="s">
        <v>16</v>
      </c>
      <c r="I2774">
        <v>0</v>
      </c>
      <c r="J2774" s="23">
        <v>-9370</v>
      </c>
      <c r="K2774" t="s">
        <v>17</v>
      </c>
    </row>
    <row r="2775" spans="1:11" ht="15" customHeight="1" x14ac:dyDescent="0.3">
      <c r="A2775" t="s">
        <v>22</v>
      </c>
      <c r="B2775" t="s">
        <v>11</v>
      </c>
      <c r="C2775" t="s">
        <v>24</v>
      </c>
      <c r="D2775" t="s">
        <v>28</v>
      </c>
      <c r="E2775">
        <v>9</v>
      </c>
      <c r="F2775" t="s">
        <v>34</v>
      </c>
      <c r="G2775" t="s">
        <v>15</v>
      </c>
      <c r="H2775" t="s">
        <v>16</v>
      </c>
      <c r="I2775">
        <v>0</v>
      </c>
      <c r="J2775" s="23">
        <v>696277</v>
      </c>
      <c r="K2775">
        <v>6266493</v>
      </c>
    </row>
    <row r="2776" spans="1:11" ht="15" customHeight="1" x14ac:dyDescent="0.3">
      <c r="A2776" t="s">
        <v>10</v>
      </c>
      <c r="B2776" t="s">
        <v>11</v>
      </c>
      <c r="C2776" t="s">
        <v>24</v>
      </c>
      <c r="D2776" t="s">
        <v>13</v>
      </c>
      <c r="E2776">
        <v>2</v>
      </c>
      <c r="F2776" t="s">
        <v>34</v>
      </c>
      <c r="G2776" t="s">
        <v>15</v>
      </c>
      <c r="H2776" t="s">
        <v>16</v>
      </c>
      <c r="I2776">
        <v>0</v>
      </c>
      <c r="J2776" s="23">
        <v>25525977</v>
      </c>
      <c r="K2776">
        <v>51051954</v>
      </c>
    </row>
    <row r="2777" spans="1:11" ht="15" customHeight="1" x14ac:dyDescent="0.3">
      <c r="A2777" t="s">
        <v>10</v>
      </c>
      <c r="B2777" t="s">
        <v>11</v>
      </c>
      <c r="C2777" t="s">
        <v>12</v>
      </c>
      <c r="D2777" t="s">
        <v>13</v>
      </c>
      <c r="E2777">
        <v>5</v>
      </c>
      <c r="F2777" t="s">
        <v>26</v>
      </c>
      <c r="G2777" t="s">
        <v>15</v>
      </c>
      <c r="H2777" t="s">
        <v>16</v>
      </c>
      <c r="I2777">
        <v>0</v>
      </c>
      <c r="J2777" s="23">
        <v>-36925</v>
      </c>
      <c r="K2777" t="s">
        <v>17</v>
      </c>
    </row>
    <row r="2778" spans="1:11" ht="15" customHeight="1" x14ac:dyDescent="0.3">
      <c r="A2778" t="s">
        <v>10</v>
      </c>
      <c r="B2778" t="s">
        <v>11</v>
      </c>
      <c r="C2778" t="s">
        <v>24</v>
      </c>
      <c r="D2778" t="s">
        <v>13</v>
      </c>
      <c r="E2778">
        <v>9</v>
      </c>
      <c r="F2778" t="s">
        <v>29</v>
      </c>
      <c r="G2778" t="s">
        <v>15</v>
      </c>
      <c r="H2778" t="s">
        <v>16</v>
      </c>
      <c r="I2778">
        <v>0</v>
      </c>
      <c r="J2778" s="23">
        <v>364754</v>
      </c>
      <c r="K2778">
        <v>3282786</v>
      </c>
    </row>
    <row r="2779" spans="1:11" ht="15" customHeight="1" x14ac:dyDescent="0.3">
      <c r="A2779" t="s">
        <v>22</v>
      </c>
      <c r="B2779" t="s">
        <v>11</v>
      </c>
      <c r="C2779" t="s">
        <v>24</v>
      </c>
      <c r="D2779" t="s">
        <v>28</v>
      </c>
      <c r="E2779">
        <v>2</v>
      </c>
      <c r="F2779" t="s">
        <v>35</v>
      </c>
      <c r="G2779" t="s">
        <v>15</v>
      </c>
      <c r="H2779" t="s">
        <v>16</v>
      </c>
      <c r="I2779">
        <v>0</v>
      </c>
      <c r="J2779" s="23">
        <v>33421</v>
      </c>
      <c r="K2779">
        <v>66842</v>
      </c>
    </row>
    <row r="2780" spans="1:11" ht="15" customHeight="1" x14ac:dyDescent="0.3">
      <c r="A2780" t="s">
        <v>22</v>
      </c>
      <c r="B2780" t="s">
        <v>19</v>
      </c>
      <c r="C2780" t="s">
        <v>24</v>
      </c>
      <c r="D2780" t="s">
        <v>28</v>
      </c>
      <c r="E2780">
        <v>5</v>
      </c>
      <c r="F2780"/>
      <c r="G2780" t="s">
        <v>15</v>
      </c>
      <c r="H2780" t="s">
        <v>16</v>
      </c>
      <c r="I2780">
        <v>0</v>
      </c>
      <c r="J2780" s="23">
        <v>153061</v>
      </c>
      <c r="K2780">
        <v>765305</v>
      </c>
    </row>
    <row r="2781" spans="1:11" ht="15" customHeight="1" x14ac:dyDescent="0.3">
      <c r="A2781" t="s">
        <v>10</v>
      </c>
      <c r="B2781" t="s">
        <v>11</v>
      </c>
      <c r="C2781" t="s">
        <v>24</v>
      </c>
      <c r="D2781" t="s">
        <v>13</v>
      </c>
      <c r="E2781">
        <v>7</v>
      </c>
      <c r="F2781" t="s">
        <v>23</v>
      </c>
      <c r="G2781" t="s">
        <v>15</v>
      </c>
      <c r="H2781" t="s">
        <v>16</v>
      </c>
      <c r="I2781">
        <v>0</v>
      </c>
      <c r="J2781" s="23">
        <v>724981</v>
      </c>
      <c r="K2781">
        <v>5074867</v>
      </c>
    </row>
    <row r="2782" spans="1:11" ht="15" customHeight="1" x14ac:dyDescent="0.3">
      <c r="A2782" t="s">
        <v>10</v>
      </c>
      <c r="B2782" t="s">
        <v>19</v>
      </c>
      <c r="C2782" t="s">
        <v>12</v>
      </c>
      <c r="D2782" t="s">
        <v>20</v>
      </c>
      <c r="E2782">
        <v>40</v>
      </c>
      <c r="F2782"/>
      <c r="G2782" t="s">
        <v>15</v>
      </c>
      <c r="H2782" t="s">
        <v>16</v>
      </c>
      <c r="I2782">
        <v>0</v>
      </c>
      <c r="J2782" s="23">
        <v>-296156</v>
      </c>
      <c r="K2782" t="s">
        <v>17</v>
      </c>
    </row>
    <row r="2783" spans="1:11" ht="15" customHeight="1" x14ac:dyDescent="0.3">
      <c r="A2783" t="s">
        <v>18</v>
      </c>
      <c r="B2783" t="s">
        <v>19</v>
      </c>
      <c r="C2783" t="s">
        <v>24</v>
      </c>
      <c r="D2783" t="s">
        <v>20</v>
      </c>
      <c r="E2783">
        <v>35</v>
      </c>
      <c r="F2783"/>
      <c r="G2783" t="s">
        <v>15</v>
      </c>
      <c r="H2783" t="s">
        <v>32</v>
      </c>
      <c r="I2783">
        <v>1</v>
      </c>
      <c r="J2783" s="23">
        <v>1647474</v>
      </c>
      <c r="K2783">
        <v>57661590</v>
      </c>
    </row>
    <row r="2784" spans="1:11" ht="15" customHeight="1" x14ac:dyDescent="0.3">
      <c r="A2784" t="s">
        <v>18</v>
      </c>
      <c r="B2784" t="s">
        <v>19</v>
      </c>
      <c r="C2784" t="s">
        <v>24</v>
      </c>
      <c r="D2784" t="s">
        <v>20</v>
      </c>
      <c r="E2784">
        <v>36</v>
      </c>
      <c r="F2784"/>
      <c r="G2784" t="s">
        <v>15</v>
      </c>
      <c r="H2784" t="s">
        <v>16</v>
      </c>
      <c r="I2784">
        <v>0</v>
      </c>
      <c r="J2784" s="23">
        <v>1358751431</v>
      </c>
      <c r="K2784">
        <v>48915051516</v>
      </c>
    </row>
    <row r="2785" spans="1:11" ht="15" customHeight="1" x14ac:dyDescent="0.3">
      <c r="A2785" t="s">
        <v>10</v>
      </c>
      <c r="B2785" t="s">
        <v>11</v>
      </c>
      <c r="C2785" t="s">
        <v>12</v>
      </c>
      <c r="D2785" t="s">
        <v>28</v>
      </c>
      <c r="E2785">
        <v>7</v>
      </c>
      <c r="F2785" t="s">
        <v>14</v>
      </c>
      <c r="G2785" t="s">
        <v>15</v>
      </c>
      <c r="H2785" t="s">
        <v>16</v>
      </c>
      <c r="I2785">
        <v>0</v>
      </c>
      <c r="J2785" s="23">
        <v>-6125</v>
      </c>
      <c r="K2785" t="s">
        <v>17</v>
      </c>
    </row>
    <row r="2786" spans="1:11" ht="15" customHeight="1" x14ac:dyDescent="0.3">
      <c r="A2786" t="s">
        <v>18</v>
      </c>
      <c r="B2786" t="s">
        <v>11</v>
      </c>
      <c r="C2786" t="s">
        <v>12</v>
      </c>
      <c r="D2786" t="s">
        <v>28</v>
      </c>
      <c r="E2786">
        <v>7</v>
      </c>
      <c r="F2786" t="s">
        <v>42</v>
      </c>
      <c r="G2786" t="s">
        <v>15</v>
      </c>
      <c r="H2786" t="s">
        <v>16</v>
      </c>
      <c r="I2786">
        <v>0</v>
      </c>
      <c r="J2786" s="23">
        <v>-1184</v>
      </c>
      <c r="K2786" t="s">
        <v>17</v>
      </c>
    </row>
    <row r="2787" spans="1:11" ht="15" customHeight="1" x14ac:dyDescent="0.3">
      <c r="A2787" t="s">
        <v>10</v>
      </c>
      <c r="B2787" t="s">
        <v>19</v>
      </c>
      <c r="C2787" t="s">
        <v>24</v>
      </c>
      <c r="D2787" t="s">
        <v>20</v>
      </c>
      <c r="E2787">
        <v>25</v>
      </c>
      <c r="F2787"/>
      <c r="G2787" t="s">
        <v>31</v>
      </c>
      <c r="H2787" t="s">
        <v>16</v>
      </c>
      <c r="I2787">
        <v>1</v>
      </c>
      <c r="J2787" s="23">
        <v>772033</v>
      </c>
      <c r="K2787">
        <v>19300825</v>
      </c>
    </row>
    <row r="2788" spans="1:11" ht="15" customHeight="1" x14ac:dyDescent="0.3">
      <c r="A2788" t="s">
        <v>18</v>
      </c>
      <c r="B2788" t="s">
        <v>11</v>
      </c>
      <c r="C2788" t="s">
        <v>24</v>
      </c>
      <c r="D2788" t="s">
        <v>28</v>
      </c>
      <c r="E2788">
        <v>3</v>
      </c>
      <c r="F2788" t="s">
        <v>21</v>
      </c>
      <c r="G2788" t="s">
        <v>31</v>
      </c>
      <c r="H2788" t="s">
        <v>32</v>
      </c>
      <c r="I2788">
        <v>1</v>
      </c>
      <c r="J2788" s="23">
        <v>83784</v>
      </c>
      <c r="K2788">
        <v>251352</v>
      </c>
    </row>
    <row r="2789" spans="1:11" ht="15" customHeight="1" x14ac:dyDescent="0.3">
      <c r="A2789" t="s">
        <v>18</v>
      </c>
      <c r="B2789" t="s">
        <v>11</v>
      </c>
      <c r="C2789" t="s">
        <v>24</v>
      </c>
      <c r="D2789" t="s">
        <v>28</v>
      </c>
      <c r="E2789">
        <v>-4</v>
      </c>
      <c r="F2789" t="s">
        <v>34</v>
      </c>
      <c r="G2789" t="s">
        <v>15</v>
      </c>
      <c r="H2789" t="s">
        <v>16</v>
      </c>
      <c r="I2789">
        <v>0</v>
      </c>
      <c r="J2789" s="23">
        <v>205854</v>
      </c>
      <c r="K2789" t="s">
        <v>17</v>
      </c>
    </row>
    <row r="2790" spans="1:11" ht="15" customHeight="1" x14ac:dyDescent="0.3">
      <c r="A2790" t="s">
        <v>18</v>
      </c>
      <c r="B2790" t="s">
        <v>11</v>
      </c>
      <c r="C2790" t="s">
        <v>24</v>
      </c>
      <c r="D2790" t="s">
        <v>28</v>
      </c>
      <c r="E2790">
        <v>4</v>
      </c>
      <c r="F2790" t="s">
        <v>21</v>
      </c>
      <c r="G2790" t="s">
        <v>15</v>
      </c>
      <c r="H2790" t="s">
        <v>16</v>
      </c>
      <c r="I2790">
        <v>0</v>
      </c>
      <c r="J2790" s="23">
        <v>9279076</v>
      </c>
      <c r="K2790">
        <v>37116304</v>
      </c>
    </row>
    <row r="2791" spans="1:11" ht="15" customHeight="1" x14ac:dyDescent="0.3">
      <c r="A2791" t="s">
        <v>22</v>
      </c>
      <c r="B2791" t="s">
        <v>19</v>
      </c>
      <c r="C2791" t="s">
        <v>12</v>
      </c>
      <c r="D2791" t="s">
        <v>20</v>
      </c>
      <c r="E2791">
        <v>44</v>
      </c>
      <c r="F2791"/>
      <c r="G2791" t="s">
        <v>15</v>
      </c>
      <c r="H2791" t="s">
        <v>16</v>
      </c>
      <c r="I2791">
        <v>0</v>
      </c>
      <c r="J2791" s="23">
        <v>-31951</v>
      </c>
      <c r="K2791" t="s">
        <v>17</v>
      </c>
    </row>
    <row r="2792" spans="1:11" ht="15" customHeight="1" x14ac:dyDescent="0.3">
      <c r="A2792" t="s">
        <v>18</v>
      </c>
      <c r="B2792" t="s">
        <v>19</v>
      </c>
      <c r="C2792" t="s">
        <v>24</v>
      </c>
      <c r="D2792" t="s">
        <v>20</v>
      </c>
      <c r="E2792">
        <v>24</v>
      </c>
      <c r="F2792"/>
      <c r="G2792" t="s">
        <v>31</v>
      </c>
      <c r="H2792" t="s">
        <v>16</v>
      </c>
      <c r="I2792">
        <v>1</v>
      </c>
      <c r="J2792" s="23">
        <v>10142960</v>
      </c>
      <c r="K2792">
        <v>243431040</v>
      </c>
    </row>
    <row r="2793" spans="1:11" ht="15" customHeight="1" x14ac:dyDescent="0.3">
      <c r="A2793" t="s">
        <v>18</v>
      </c>
      <c r="B2793" t="s">
        <v>19</v>
      </c>
      <c r="C2793" t="s">
        <v>12</v>
      </c>
      <c r="D2793" t="s">
        <v>28</v>
      </c>
      <c r="E2793">
        <v>12</v>
      </c>
      <c r="F2793"/>
      <c r="G2793" t="s">
        <v>15</v>
      </c>
      <c r="H2793" t="s">
        <v>32</v>
      </c>
      <c r="I2793">
        <v>1</v>
      </c>
      <c r="J2793" s="23">
        <v>-5407</v>
      </c>
      <c r="K2793" t="s">
        <v>17</v>
      </c>
    </row>
    <row r="2794" spans="1:11" ht="15" customHeight="1" x14ac:dyDescent="0.3">
      <c r="A2794" t="s">
        <v>18</v>
      </c>
      <c r="B2794" t="s">
        <v>11</v>
      </c>
      <c r="C2794" t="s">
        <v>24</v>
      </c>
      <c r="D2794" t="s">
        <v>25</v>
      </c>
      <c r="E2794">
        <v>4</v>
      </c>
      <c r="F2794" t="s">
        <v>21</v>
      </c>
      <c r="G2794" t="s">
        <v>15</v>
      </c>
      <c r="H2794" t="s">
        <v>16</v>
      </c>
      <c r="I2794">
        <v>0</v>
      </c>
      <c r="J2794" s="23">
        <v>11429400</v>
      </c>
      <c r="K2794">
        <v>45717600</v>
      </c>
    </row>
    <row r="2795" spans="1:11" ht="15" customHeight="1" x14ac:dyDescent="0.3">
      <c r="A2795" t="s">
        <v>22</v>
      </c>
      <c r="B2795" t="s">
        <v>11</v>
      </c>
      <c r="C2795" t="s">
        <v>12</v>
      </c>
      <c r="D2795" t="s">
        <v>13</v>
      </c>
      <c r="E2795">
        <v>9</v>
      </c>
      <c r="F2795" t="s">
        <v>21</v>
      </c>
      <c r="G2795" t="s">
        <v>15</v>
      </c>
      <c r="H2795" t="s">
        <v>16</v>
      </c>
      <c r="I2795">
        <v>0</v>
      </c>
      <c r="J2795" s="23">
        <v>-1466952</v>
      </c>
      <c r="K2795" t="s">
        <v>17</v>
      </c>
    </row>
    <row r="2796" spans="1:11" ht="15" customHeight="1" x14ac:dyDescent="0.3">
      <c r="A2796" t="s">
        <v>22</v>
      </c>
      <c r="B2796" t="s">
        <v>11</v>
      </c>
      <c r="C2796" t="s">
        <v>12</v>
      </c>
      <c r="D2796" t="s">
        <v>13</v>
      </c>
      <c r="E2796">
        <v>4</v>
      </c>
      <c r="F2796" t="s">
        <v>29</v>
      </c>
      <c r="G2796" t="s">
        <v>15</v>
      </c>
      <c r="H2796" t="s">
        <v>16</v>
      </c>
      <c r="I2796">
        <v>0</v>
      </c>
      <c r="J2796" s="23">
        <v>-1702127</v>
      </c>
      <c r="K2796" t="s">
        <v>17</v>
      </c>
    </row>
    <row r="2797" spans="1:11" ht="15" customHeight="1" x14ac:dyDescent="0.3">
      <c r="A2797" t="s">
        <v>18</v>
      </c>
      <c r="B2797" t="s">
        <v>11</v>
      </c>
      <c r="C2797" t="s">
        <v>24</v>
      </c>
      <c r="D2797" t="s">
        <v>25</v>
      </c>
      <c r="E2797">
        <v>7</v>
      </c>
      <c r="F2797" t="s">
        <v>39</v>
      </c>
      <c r="G2797" t="s">
        <v>15</v>
      </c>
      <c r="H2797" t="s">
        <v>16</v>
      </c>
      <c r="I2797">
        <v>0</v>
      </c>
      <c r="J2797" s="23">
        <v>3817864</v>
      </c>
      <c r="K2797">
        <v>26725048</v>
      </c>
    </row>
    <row r="2798" spans="1:11" ht="15" customHeight="1" x14ac:dyDescent="0.3">
      <c r="A2798" t="s">
        <v>10</v>
      </c>
      <c r="B2798" t="s">
        <v>11</v>
      </c>
      <c r="C2798" t="s">
        <v>24</v>
      </c>
      <c r="D2798" t="s">
        <v>28</v>
      </c>
      <c r="E2798">
        <v>1</v>
      </c>
      <c r="F2798" t="s">
        <v>21</v>
      </c>
      <c r="G2798" t="s">
        <v>15</v>
      </c>
      <c r="H2798" t="s">
        <v>32</v>
      </c>
      <c r="I2798">
        <v>1</v>
      </c>
      <c r="J2798" s="23">
        <v>17128</v>
      </c>
      <c r="K2798">
        <v>17128</v>
      </c>
    </row>
    <row r="2799" spans="1:11" ht="15" customHeight="1" x14ac:dyDescent="0.3">
      <c r="A2799" t="s">
        <v>10</v>
      </c>
      <c r="B2799" t="s">
        <v>19</v>
      </c>
      <c r="C2799" t="s">
        <v>24</v>
      </c>
      <c r="D2799" t="s">
        <v>20</v>
      </c>
      <c r="E2799">
        <v>33</v>
      </c>
      <c r="F2799"/>
      <c r="G2799" t="s">
        <v>15</v>
      </c>
      <c r="H2799" t="s">
        <v>32</v>
      </c>
      <c r="I2799">
        <v>1</v>
      </c>
      <c r="J2799" s="23">
        <v>575771</v>
      </c>
      <c r="K2799">
        <v>19000443</v>
      </c>
    </row>
    <row r="2800" spans="1:11" ht="15" customHeight="1" x14ac:dyDescent="0.3">
      <c r="A2800" t="s">
        <v>10</v>
      </c>
      <c r="B2800" t="s">
        <v>19</v>
      </c>
      <c r="C2800" t="s">
        <v>12</v>
      </c>
      <c r="D2800" t="s">
        <v>20</v>
      </c>
      <c r="E2800">
        <v>31</v>
      </c>
      <c r="F2800"/>
      <c r="G2800" t="s">
        <v>31</v>
      </c>
      <c r="H2800" t="s">
        <v>16</v>
      </c>
      <c r="I2800">
        <v>1</v>
      </c>
      <c r="J2800" s="23">
        <v>-22080</v>
      </c>
      <c r="K2800" t="s">
        <v>17</v>
      </c>
    </row>
    <row r="2801" spans="1:11" ht="15" customHeight="1" x14ac:dyDescent="0.3">
      <c r="A2801" t="s">
        <v>10</v>
      </c>
      <c r="B2801" t="s">
        <v>11</v>
      </c>
      <c r="C2801" t="s">
        <v>24</v>
      </c>
      <c r="D2801" t="s">
        <v>25</v>
      </c>
      <c r="E2801">
        <v>1</v>
      </c>
      <c r="F2801" t="s">
        <v>40</v>
      </c>
      <c r="G2801" t="s">
        <v>15</v>
      </c>
      <c r="H2801" t="s">
        <v>16</v>
      </c>
      <c r="I2801">
        <v>0</v>
      </c>
      <c r="J2801" s="23">
        <v>1573017</v>
      </c>
      <c r="K2801">
        <v>1573017</v>
      </c>
    </row>
    <row r="2802" spans="1:11" ht="15" customHeight="1" x14ac:dyDescent="0.3">
      <c r="A2802" t="s">
        <v>18</v>
      </c>
      <c r="B2802" t="s">
        <v>11</v>
      </c>
      <c r="C2802" t="s">
        <v>12</v>
      </c>
      <c r="D2802" t="s">
        <v>13</v>
      </c>
      <c r="E2802">
        <v>0</v>
      </c>
      <c r="F2802" t="s">
        <v>23</v>
      </c>
      <c r="G2802" t="s">
        <v>15</v>
      </c>
      <c r="H2802" t="s">
        <v>16</v>
      </c>
      <c r="I2802">
        <v>0</v>
      </c>
      <c r="J2802" s="23">
        <v>-77011</v>
      </c>
      <c r="K2802" t="s">
        <v>17</v>
      </c>
    </row>
    <row r="2803" spans="1:11" ht="15" customHeight="1" x14ac:dyDescent="0.3">
      <c r="A2803" t="s">
        <v>18</v>
      </c>
      <c r="B2803" t="s">
        <v>11</v>
      </c>
      <c r="C2803" t="s">
        <v>12</v>
      </c>
      <c r="D2803" t="s">
        <v>13</v>
      </c>
      <c r="E2803">
        <v>-4</v>
      </c>
      <c r="F2803" t="s">
        <v>38</v>
      </c>
      <c r="G2803" t="s">
        <v>15</v>
      </c>
      <c r="H2803" t="s">
        <v>16</v>
      </c>
      <c r="I2803">
        <v>0</v>
      </c>
      <c r="J2803" s="23">
        <v>-333880</v>
      </c>
      <c r="K2803" t="s">
        <v>17</v>
      </c>
    </row>
    <row r="2804" spans="1:11" ht="15" customHeight="1" x14ac:dyDescent="0.3">
      <c r="A2804" t="s">
        <v>18</v>
      </c>
      <c r="B2804" t="s">
        <v>11</v>
      </c>
      <c r="C2804" t="s">
        <v>12</v>
      </c>
      <c r="D2804" t="s">
        <v>28</v>
      </c>
      <c r="E2804">
        <v>9</v>
      </c>
      <c r="F2804" t="s">
        <v>38</v>
      </c>
      <c r="G2804" t="s">
        <v>15</v>
      </c>
      <c r="H2804" t="s">
        <v>16</v>
      </c>
      <c r="I2804">
        <v>0</v>
      </c>
      <c r="J2804" s="23">
        <v>-185</v>
      </c>
      <c r="K2804" t="s">
        <v>17</v>
      </c>
    </row>
    <row r="2805" spans="1:11" ht="15" customHeight="1" x14ac:dyDescent="0.3">
      <c r="A2805" t="s">
        <v>10</v>
      </c>
      <c r="B2805" t="s">
        <v>11</v>
      </c>
      <c r="C2805" t="s">
        <v>24</v>
      </c>
      <c r="D2805" t="s">
        <v>13</v>
      </c>
      <c r="E2805">
        <v>4</v>
      </c>
      <c r="F2805" t="s">
        <v>26</v>
      </c>
      <c r="G2805" t="s">
        <v>15</v>
      </c>
      <c r="H2805" t="s">
        <v>16</v>
      </c>
      <c r="I2805">
        <v>0</v>
      </c>
      <c r="J2805" s="23">
        <v>1279250</v>
      </c>
      <c r="K2805">
        <v>5117000</v>
      </c>
    </row>
    <row r="2806" spans="1:11" ht="15" customHeight="1" x14ac:dyDescent="0.3">
      <c r="A2806" t="s">
        <v>10</v>
      </c>
      <c r="B2806" t="s">
        <v>11</v>
      </c>
      <c r="C2806" t="s">
        <v>12</v>
      </c>
      <c r="D2806" t="s">
        <v>25</v>
      </c>
      <c r="E2806">
        <v>-4</v>
      </c>
      <c r="F2806" t="s">
        <v>35</v>
      </c>
      <c r="G2806" t="s">
        <v>15</v>
      </c>
      <c r="H2806" t="s">
        <v>16</v>
      </c>
      <c r="I2806">
        <v>0</v>
      </c>
      <c r="J2806" s="23">
        <v>-191</v>
      </c>
      <c r="K2806" t="s">
        <v>17</v>
      </c>
    </row>
    <row r="2807" spans="1:11" ht="15" customHeight="1" x14ac:dyDescent="0.3">
      <c r="A2807" t="s">
        <v>18</v>
      </c>
      <c r="B2807" t="s">
        <v>19</v>
      </c>
      <c r="C2807" t="s">
        <v>12</v>
      </c>
      <c r="D2807" t="s">
        <v>20</v>
      </c>
      <c r="E2807">
        <v>17</v>
      </c>
      <c r="F2807"/>
      <c r="G2807" t="s">
        <v>31</v>
      </c>
      <c r="H2807" t="s">
        <v>32</v>
      </c>
      <c r="I2807">
        <v>1</v>
      </c>
      <c r="J2807" s="23">
        <v>-1770</v>
      </c>
      <c r="K2807" t="s">
        <v>17</v>
      </c>
    </row>
    <row r="2808" spans="1:11" ht="15" customHeight="1" x14ac:dyDescent="0.3">
      <c r="A2808" t="s">
        <v>10</v>
      </c>
      <c r="B2808" t="s">
        <v>11</v>
      </c>
      <c r="C2808" t="s">
        <v>12</v>
      </c>
      <c r="D2808" t="s">
        <v>28</v>
      </c>
      <c r="E2808">
        <v>4</v>
      </c>
      <c r="F2808" t="s">
        <v>33</v>
      </c>
      <c r="G2808" t="s">
        <v>15</v>
      </c>
      <c r="H2808" t="s">
        <v>32</v>
      </c>
      <c r="I2808">
        <v>1</v>
      </c>
      <c r="J2808" s="23">
        <v>-4752</v>
      </c>
      <c r="K2808" t="s">
        <v>17</v>
      </c>
    </row>
    <row r="2809" spans="1:11" ht="15" customHeight="1" x14ac:dyDescent="0.3">
      <c r="A2809" t="s">
        <v>22</v>
      </c>
      <c r="B2809" t="s">
        <v>11</v>
      </c>
      <c r="C2809" t="s">
        <v>24</v>
      </c>
      <c r="D2809" t="s">
        <v>13</v>
      </c>
      <c r="E2809">
        <v>6</v>
      </c>
      <c r="F2809" t="s">
        <v>23</v>
      </c>
      <c r="G2809" t="s">
        <v>15</v>
      </c>
      <c r="H2809" t="s">
        <v>16</v>
      </c>
      <c r="I2809">
        <v>0</v>
      </c>
      <c r="J2809" s="23">
        <v>415184</v>
      </c>
      <c r="K2809">
        <v>2491104</v>
      </c>
    </row>
    <row r="2810" spans="1:11" ht="15" customHeight="1" x14ac:dyDescent="0.3">
      <c r="A2810" t="s">
        <v>18</v>
      </c>
      <c r="B2810" t="s">
        <v>11</v>
      </c>
      <c r="C2810" t="s">
        <v>24</v>
      </c>
      <c r="D2810" t="s">
        <v>28</v>
      </c>
      <c r="E2810">
        <v>-1</v>
      </c>
      <c r="F2810" t="s">
        <v>34</v>
      </c>
      <c r="G2810" t="s">
        <v>15</v>
      </c>
      <c r="H2810" t="s">
        <v>16</v>
      </c>
      <c r="I2810">
        <v>0</v>
      </c>
      <c r="J2810" s="23">
        <v>1313758</v>
      </c>
      <c r="K2810" t="s">
        <v>17</v>
      </c>
    </row>
    <row r="2811" spans="1:11" ht="15" customHeight="1" x14ac:dyDescent="0.3">
      <c r="A2811" t="s">
        <v>22</v>
      </c>
      <c r="B2811" t="s">
        <v>11</v>
      </c>
      <c r="C2811" t="s">
        <v>12</v>
      </c>
      <c r="D2811" t="s">
        <v>25</v>
      </c>
      <c r="E2811">
        <v>1</v>
      </c>
      <c r="F2811" t="s">
        <v>40</v>
      </c>
      <c r="G2811" t="s">
        <v>15</v>
      </c>
      <c r="H2811" t="s">
        <v>16</v>
      </c>
      <c r="I2811">
        <v>0</v>
      </c>
      <c r="J2811" s="23">
        <v>-154291</v>
      </c>
      <c r="K2811" t="s">
        <v>17</v>
      </c>
    </row>
    <row r="2812" spans="1:11" ht="15" customHeight="1" x14ac:dyDescent="0.3">
      <c r="A2812" t="s">
        <v>18</v>
      </c>
      <c r="B2812" t="s">
        <v>11</v>
      </c>
      <c r="C2812" t="s">
        <v>12</v>
      </c>
      <c r="D2812" t="s">
        <v>25</v>
      </c>
      <c r="E2812">
        <v>0</v>
      </c>
      <c r="F2812" t="s">
        <v>39</v>
      </c>
      <c r="G2812" t="s">
        <v>15</v>
      </c>
      <c r="H2812" t="s">
        <v>16</v>
      </c>
      <c r="I2812">
        <v>0</v>
      </c>
      <c r="J2812" s="23">
        <v>-19230</v>
      </c>
      <c r="K2812" t="s">
        <v>17</v>
      </c>
    </row>
    <row r="2813" spans="1:11" ht="15" customHeight="1" x14ac:dyDescent="0.3">
      <c r="A2813" t="s">
        <v>18</v>
      </c>
      <c r="B2813" t="s">
        <v>11</v>
      </c>
      <c r="C2813" t="s">
        <v>12</v>
      </c>
      <c r="D2813" t="s">
        <v>28</v>
      </c>
      <c r="E2813">
        <v>11</v>
      </c>
      <c r="F2813" t="s">
        <v>14</v>
      </c>
      <c r="G2813" t="s">
        <v>31</v>
      </c>
      <c r="H2813" t="s">
        <v>16</v>
      </c>
      <c r="I2813">
        <v>1</v>
      </c>
      <c r="J2813" s="23">
        <v>-170</v>
      </c>
      <c r="K2813" t="s">
        <v>17</v>
      </c>
    </row>
    <row r="2814" spans="1:11" ht="15" customHeight="1" x14ac:dyDescent="0.3">
      <c r="A2814" t="s">
        <v>10</v>
      </c>
      <c r="B2814" t="s">
        <v>19</v>
      </c>
      <c r="C2814" t="s">
        <v>12</v>
      </c>
      <c r="D2814" t="s">
        <v>20</v>
      </c>
      <c r="E2814">
        <v>34</v>
      </c>
      <c r="F2814"/>
      <c r="G2814" t="s">
        <v>31</v>
      </c>
      <c r="H2814" t="s">
        <v>16</v>
      </c>
      <c r="I2814">
        <v>1</v>
      </c>
      <c r="J2814" s="23">
        <v>-36764</v>
      </c>
      <c r="K2814" t="s">
        <v>17</v>
      </c>
    </row>
    <row r="2815" spans="1:11" ht="15" customHeight="1" x14ac:dyDescent="0.3">
      <c r="A2815" t="s">
        <v>10</v>
      </c>
      <c r="B2815" t="s">
        <v>11</v>
      </c>
      <c r="C2815" t="s">
        <v>24</v>
      </c>
      <c r="D2815" t="s">
        <v>28</v>
      </c>
      <c r="E2815">
        <v>5</v>
      </c>
      <c r="F2815" t="s">
        <v>21</v>
      </c>
      <c r="G2815" t="s">
        <v>15</v>
      </c>
      <c r="H2815" t="s">
        <v>32</v>
      </c>
      <c r="I2815">
        <v>1</v>
      </c>
      <c r="J2815" s="23">
        <v>124008</v>
      </c>
      <c r="K2815">
        <v>620040</v>
      </c>
    </row>
    <row r="2816" spans="1:11" ht="15" customHeight="1" x14ac:dyDescent="0.3">
      <c r="A2816" t="s">
        <v>10</v>
      </c>
      <c r="B2816" t="s">
        <v>11</v>
      </c>
      <c r="C2816" t="s">
        <v>12</v>
      </c>
      <c r="D2816" t="s">
        <v>25</v>
      </c>
      <c r="E2816">
        <v>4</v>
      </c>
      <c r="F2816" t="s">
        <v>41</v>
      </c>
      <c r="G2816" t="s">
        <v>15</v>
      </c>
      <c r="H2816" t="s">
        <v>16</v>
      </c>
      <c r="I2816">
        <v>0</v>
      </c>
      <c r="J2816" s="23">
        <v>-3632</v>
      </c>
      <c r="K2816" t="s">
        <v>17</v>
      </c>
    </row>
    <row r="2817" spans="1:11" ht="15" customHeight="1" x14ac:dyDescent="0.3">
      <c r="A2817" t="s">
        <v>22</v>
      </c>
      <c r="B2817" t="s">
        <v>11</v>
      </c>
      <c r="C2817" t="s">
        <v>24</v>
      </c>
      <c r="D2817" t="s">
        <v>28</v>
      </c>
      <c r="E2817">
        <v>7</v>
      </c>
      <c r="F2817" t="s">
        <v>34</v>
      </c>
      <c r="G2817" t="s">
        <v>15</v>
      </c>
      <c r="H2817" t="s">
        <v>16</v>
      </c>
      <c r="I2817">
        <v>0</v>
      </c>
      <c r="J2817" s="23">
        <v>37507</v>
      </c>
      <c r="K2817">
        <v>262549</v>
      </c>
    </row>
    <row r="2818" spans="1:11" ht="15" customHeight="1" x14ac:dyDescent="0.3">
      <c r="A2818" t="s">
        <v>18</v>
      </c>
      <c r="B2818" t="s">
        <v>11</v>
      </c>
      <c r="C2818" t="s">
        <v>24</v>
      </c>
      <c r="D2818" t="s">
        <v>13</v>
      </c>
      <c r="E2818">
        <v>0</v>
      </c>
      <c r="F2818" t="s">
        <v>27</v>
      </c>
      <c r="G2818" t="s">
        <v>15</v>
      </c>
      <c r="H2818" t="s">
        <v>16</v>
      </c>
      <c r="I2818">
        <v>0</v>
      </c>
      <c r="J2818" s="23">
        <v>1840562</v>
      </c>
      <c r="K2818" t="s">
        <v>17</v>
      </c>
    </row>
    <row r="2819" spans="1:11" ht="15" customHeight="1" x14ac:dyDescent="0.3">
      <c r="A2819" t="s">
        <v>22</v>
      </c>
      <c r="B2819" t="s">
        <v>11</v>
      </c>
      <c r="C2819" t="s">
        <v>24</v>
      </c>
      <c r="D2819" t="s">
        <v>28</v>
      </c>
      <c r="E2819">
        <v>6</v>
      </c>
      <c r="F2819" t="s">
        <v>34</v>
      </c>
      <c r="G2819" t="s">
        <v>15</v>
      </c>
      <c r="H2819" t="s">
        <v>16</v>
      </c>
      <c r="I2819">
        <v>0</v>
      </c>
      <c r="J2819" s="23">
        <v>1130383</v>
      </c>
      <c r="K2819">
        <v>6782298</v>
      </c>
    </row>
    <row r="2820" spans="1:11" ht="15" customHeight="1" x14ac:dyDescent="0.3">
      <c r="A2820" t="s">
        <v>18</v>
      </c>
      <c r="B2820" t="s">
        <v>11</v>
      </c>
      <c r="C2820" t="s">
        <v>24</v>
      </c>
      <c r="D2820" t="s">
        <v>28</v>
      </c>
      <c r="E2820">
        <v>7</v>
      </c>
      <c r="F2820" t="s">
        <v>33</v>
      </c>
      <c r="G2820" t="s">
        <v>15</v>
      </c>
      <c r="H2820" t="s">
        <v>16</v>
      </c>
      <c r="I2820">
        <v>0</v>
      </c>
      <c r="J2820" s="23">
        <v>153101</v>
      </c>
      <c r="K2820">
        <v>1071707</v>
      </c>
    </row>
    <row r="2821" spans="1:11" ht="15" customHeight="1" x14ac:dyDescent="0.3">
      <c r="A2821" t="s">
        <v>18</v>
      </c>
      <c r="B2821" t="s">
        <v>11</v>
      </c>
      <c r="C2821" t="s">
        <v>24</v>
      </c>
      <c r="D2821" t="s">
        <v>13</v>
      </c>
      <c r="E2821">
        <v>5</v>
      </c>
      <c r="F2821" t="s">
        <v>40</v>
      </c>
      <c r="G2821" t="s">
        <v>15</v>
      </c>
      <c r="H2821" t="s">
        <v>16</v>
      </c>
      <c r="I2821">
        <v>0</v>
      </c>
      <c r="J2821" s="23">
        <v>17457518</v>
      </c>
      <c r="K2821">
        <v>87287590</v>
      </c>
    </row>
    <row r="2822" spans="1:11" ht="15" customHeight="1" x14ac:dyDescent="0.3">
      <c r="A2822" t="s">
        <v>18</v>
      </c>
      <c r="B2822" t="s">
        <v>11</v>
      </c>
      <c r="C2822" t="s">
        <v>24</v>
      </c>
      <c r="D2822" t="s">
        <v>13</v>
      </c>
      <c r="E2822">
        <v>-1</v>
      </c>
      <c r="F2822" t="s">
        <v>36</v>
      </c>
      <c r="G2822" t="s">
        <v>15</v>
      </c>
      <c r="H2822" t="s">
        <v>16</v>
      </c>
      <c r="I2822">
        <v>0</v>
      </c>
      <c r="J2822" s="23">
        <v>7989139</v>
      </c>
      <c r="K2822" t="s">
        <v>17</v>
      </c>
    </row>
    <row r="2823" spans="1:11" ht="15" customHeight="1" x14ac:dyDescent="0.3">
      <c r="A2823" t="s">
        <v>10</v>
      </c>
      <c r="B2823" t="s">
        <v>19</v>
      </c>
      <c r="C2823" t="s">
        <v>24</v>
      </c>
      <c r="D2823" t="s">
        <v>20</v>
      </c>
      <c r="E2823">
        <v>13</v>
      </c>
      <c r="F2823"/>
      <c r="G2823" t="s">
        <v>15</v>
      </c>
      <c r="H2823" t="s">
        <v>32</v>
      </c>
      <c r="I2823">
        <v>1</v>
      </c>
      <c r="J2823" s="23">
        <v>151186</v>
      </c>
      <c r="K2823">
        <v>1965418</v>
      </c>
    </row>
    <row r="2824" spans="1:11" ht="15" customHeight="1" x14ac:dyDescent="0.3">
      <c r="A2824" t="s">
        <v>10</v>
      </c>
      <c r="B2824" t="s">
        <v>11</v>
      </c>
      <c r="C2824" t="s">
        <v>24</v>
      </c>
      <c r="D2824" t="s">
        <v>28</v>
      </c>
      <c r="E2824">
        <v>4</v>
      </c>
      <c r="F2824" t="s">
        <v>21</v>
      </c>
      <c r="G2824" t="s">
        <v>15</v>
      </c>
      <c r="H2824" t="s">
        <v>16</v>
      </c>
      <c r="I2824">
        <v>0</v>
      </c>
      <c r="J2824" s="23">
        <v>225566</v>
      </c>
      <c r="K2824">
        <v>902264</v>
      </c>
    </row>
    <row r="2825" spans="1:11" ht="15" customHeight="1" x14ac:dyDescent="0.3">
      <c r="A2825" t="s">
        <v>10</v>
      </c>
      <c r="B2825" t="s">
        <v>19</v>
      </c>
      <c r="C2825" t="s">
        <v>24</v>
      </c>
      <c r="D2825" t="s">
        <v>20</v>
      </c>
      <c r="E2825">
        <v>27</v>
      </c>
      <c r="F2825"/>
      <c r="G2825" t="s">
        <v>15</v>
      </c>
      <c r="H2825" t="s">
        <v>16</v>
      </c>
      <c r="I2825">
        <v>0</v>
      </c>
      <c r="J2825" s="23">
        <v>50629732</v>
      </c>
      <c r="K2825">
        <v>1367002764</v>
      </c>
    </row>
    <row r="2826" spans="1:11" ht="15" customHeight="1" x14ac:dyDescent="0.3">
      <c r="A2826" t="s">
        <v>18</v>
      </c>
      <c r="B2826" t="s">
        <v>11</v>
      </c>
      <c r="C2826" t="s">
        <v>24</v>
      </c>
      <c r="D2826" t="s">
        <v>25</v>
      </c>
      <c r="E2826">
        <v>6</v>
      </c>
      <c r="F2826" t="s">
        <v>21</v>
      </c>
      <c r="G2826" t="s">
        <v>15</v>
      </c>
      <c r="H2826" t="s">
        <v>16</v>
      </c>
      <c r="I2826">
        <v>0</v>
      </c>
      <c r="J2826" s="23">
        <v>864141</v>
      </c>
      <c r="K2826">
        <v>5184846</v>
      </c>
    </row>
    <row r="2827" spans="1:11" ht="15" customHeight="1" x14ac:dyDescent="0.3">
      <c r="A2827" t="s">
        <v>18</v>
      </c>
      <c r="B2827" t="s">
        <v>11</v>
      </c>
      <c r="C2827" t="s">
        <v>12</v>
      </c>
      <c r="D2827" t="s">
        <v>28</v>
      </c>
      <c r="E2827">
        <v>1</v>
      </c>
      <c r="F2827" t="s">
        <v>29</v>
      </c>
      <c r="G2827" t="s">
        <v>15</v>
      </c>
      <c r="H2827" t="s">
        <v>32</v>
      </c>
      <c r="I2827">
        <v>1</v>
      </c>
      <c r="J2827" s="23">
        <v>-718</v>
      </c>
      <c r="K2827" t="s">
        <v>17</v>
      </c>
    </row>
    <row r="2828" spans="1:11" ht="15" customHeight="1" x14ac:dyDescent="0.3">
      <c r="A2828" t="s">
        <v>18</v>
      </c>
      <c r="B2828" t="s">
        <v>11</v>
      </c>
      <c r="C2828" t="s">
        <v>24</v>
      </c>
      <c r="D2828" t="s">
        <v>13</v>
      </c>
      <c r="E2828">
        <v>0</v>
      </c>
      <c r="F2828" t="s">
        <v>30</v>
      </c>
      <c r="G2828" t="s">
        <v>15</v>
      </c>
      <c r="H2828" t="s">
        <v>16</v>
      </c>
      <c r="I2828">
        <v>0</v>
      </c>
      <c r="J2828" s="23">
        <v>1067937491</v>
      </c>
      <c r="K2828" t="s">
        <v>17</v>
      </c>
    </row>
    <row r="2829" spans="1:11" ht="15" customHeight="1" x14ac:dyDescent="0.3">
      <c r="A2829" t="s">
        <v>22</v>
      </c>
      <c r="B2829" t="s">
        <v>19</v>
      </c>
      <c r="C2829" t="s">
        <v>12</v>
      </c>
      <c r="D2829" t="s">
        <v>20</v>
      </c>
      <c r="E2829">
        <v>22</v>
      </c>
      <c r="F2829"/>
      <c r="G2829" t="s">
        <v>15</v>
      </c>
      <c r="H2829" t="s">
        <v>32</v>
      </c>
      <c r="I2829">
        <v>1</v>
      </c>
      <c r="J2829" s="23">
        <v>-69354</v>
      </c>
      <c r="K2829" t="s">
        <v>17</v>
      </c>
    </row>
    <row r="2830" spans="1:11" ht="15" customHeight="1" x14ac:dyDescent="0.3">
      <c r="A2830" t="s">
        <v>18</v>
      </c>
      <c r="B2830" t="s">
        <v>11</v>
      </c>
      <c r="C2830" t="s">
        <v>12</v>
      </c>
      <c r="D2830" t="s">
        <v>13</v>
      </c>
      <c r="E2830">
        <v>6</v>
      </c>
      <c r="F2830" t="s">
        <v>21</v>
      </c>
      <c r="G2830" t="s">
        <v>15</v>
      </c>
      <c r="H2830" t="s">
        <v>16</v>
      </c>
      <c r="I2830">
        <v>0</v>
      </c>
      <c r="J2830" s="23">
        <v>-1013</v>
      </c>
      <c r="K2830" t="s">
        <v>17</v>
      </c>
    </row>
    <row r="2831" spans="1:11" ht="15" customHeight="1" x14ac:dyDescent="0.3">
      <c r="A2831" t="s">
        <v>10</v>
      </c>
      <c r="B2831" t="s">
        <v>11</v>
      </c>
      <c r="C2831" t="s">
        <v>24</v>
      </c>
      <c r="D2831" t="s">
        <v>25</v>
      </c>
      <c r="E2831">
        <v>4</v>
      </c>
      <c r="F2831" t="s">
        <v>42</v>
      </c>
      <c r="G2831" t="s">
        <v>15</v>
      </c>
      <c r="H2831" t="s">
        <v>16</v>
      </c>
      <c r="I2831">
        <v>0</v>
      </c>
      <c r="J2831" s="23">
        <v>90791</v>
      </c>
      <c r="K2831">
        <v>363164</v>
      </c>
    </row>
    <row r="2832" spans="1:11" ht="15" customHeight="1" x14ac:dyDescent="0.3">
      <c r="A2832" t="s">
        <v>10</v>
      </c>
      <c r="B2832" t="s">
        <v>11</v>
      </c>
      <c r="C2832" t="s">
        <v>12</v>
      </c>
      <c r="D2832" t="s">
        <v>13</v>
      </c>
      <c r="E2832">
        <v>0</v>
      </c>
      <c r="F2832" t="s">
        <v>49</v>
      </c>
      <c r="G2832" t="s">
        <v>15</v>
      </c>
      <c r="H2832" t="s">
        <v>16</v>
      </c>
      <c r="I2832">
        <v>0</v>
      </c>
      <c r="J2832" s="23">
        <v>-1983</v>
      </c>
      <c r="K2832" t="s">
        <v>17</v>
      </c>
    </row>
    <row r="2833" spans="1:11" ht="15" customHeight="1" x14ac:dyDescent="0.3">
      <c r="A2833" t="s">
        <v>10</v>
      </c>
      <c r="B2833" t="s">
        <v>11</v>
      </c>
      <c r="C2833" t="s">
        <v>24</v>
      </c>
      <c r="D2833" t="s">
        <v>28</v>
      </c>
      <c r="E2833">
        <v>-4</v>
      </c>
      <c r="F2833" t="s">
        <v>23</v>
      </c>
      <c r="G2833" t="s">
        <v>15</v>
      </c>
      <c r="H2833" t="s">
        <v>16</v>
      </c>
      <c r="I2833">
        <v>0</v>
      </c>
      <c r="J2833" s="23">
        <v>746</v>
      </c>
      <c r="K2833" t="s">
        <v>17</v>
      </c>
    </row>
    <row r="2834" spans="1:11" ht="15" customHeight="1" x14ac:dyDescent="0.3">
      <c r="A2834" t="s">
        <v>18</v>
      </c>
      <c r="B2834" t="s">
        <v>11</v>
      </c>
      <c r="C2834" t="s">
        <v>24</v>
      </c>
      <c r="D2834" t="s">
        <v>25</v>
      </c>
      <c r="E2834">
        <v>-4</v>
      </c>
      <c r="F2834" t="s">
        <v>27</v>
      </c>
      <c r="G2834" t="s">
        <v>15</v>
      </c>
      <c r="H2834" t="s">
        <v>16</v>
      </c>
      <c r="I2834">
        <v>0</v>
      </c>
      <c r="J2834" s="23">
        <v>73</v>
      </c>
      <c r="K2834" t="s">
        <v>17</v>
      </c>
    </row>
    <row r="2835" spans="1:11" ht="15" customHeight="1" x14ac:dyDescent="0.3">
      <c r="A2835" t="s">
        <v>18</v>
      </c>
      <c r="B2835" t="s">
        <v>11</v>
      </c>
      <c r="C2835" t="s">
        <v>24</v>
      </c>
      <c r="D2835" t="s">
        <v>28</v>
      </c>
      <c r="E2835">
        <v>10</v>
      </c>
      <c r="F2835" t="s">
        <v>26</v>
      </c>
      <c r="G2835" t="s">
        <v>15</v>
      </c>
      <c r="H2835" t="s">
        <v>16</v>
      </c>
      <c r="I2835">
        <v>0</v>
      </c>
      <c r="J2835" s="23">
        <v>78778175</v>
      </c>
      <c r="K2835">
        <v>787781750</v>
      </c>
    </row>
    <row r="2836" spans="1:11" ht="15" customHeight="1" x14ac:dyDescent="0.3">
      <c r="A2836" t="s">
        <v>10</v>
      </c>
      <c r="B2836" t="s">
        <v>11</v>
      </c>
      <c r="C2836" t="s">
        <v>24</v>
      </c>
      <c r="D2836" t="s">
        <v>28</v>
      </c>
      <c r="E2836">
        <v>11</v>
      </c>
      <c r="F2836" t="s">
        <v>33</v>
      </c>
      <c r="G2836" t="s">
        <v>15</v>
      </c>
      <c r="H2836" t="s">
        <v>32</v>
      </c>
      <c r="I2836">
        <v>1</v>
      </c>
      <c r="J2836" s="23">
        <v>486981</v>
      </c>
      <c r="K2836">
        <v>5356791</v>
      </c>
    </row>
    <row r="2837" spans="1:11" ht="15" customHeight="1" x14ac:dyDescent="0.3">
      <c r="A2837" t="s">
        <v>18</v>
      </c>
      <c r="B2837" t="s">
        <v>11</v>
      </c>
      <c r="C2837" t="s">
        <v>24</v>
      </c>
      <c r="D2837" t="s">
        <v>28</v>
      </c>
      <c r="E2837">
        <v>13</v>
      </c>
      <c r="F2837" t="s">
        <v>21</v>
      </c>
      <c r="G2837" t="s">
        <v>15</v>
      </c>
      <c r="H2837" t="s">
        <v>16</v>
      </c>
      <c r="I2837">
        <v>0</v>
      </c>
      <c r="J2837" s="23">
        <v>12567769</v>
      </c>
      <c r="K2837">
        <v>163380997</v>
      </c>
    </row>
    <row r="2838" spans="1:11" ht="15" customHeight="1" x14ac:dyDescent="0.3">
      <c r="A2838" t="s">
        <v>10</v>
      </c>
      <c r="B2838" t="s">
        <v>19</v>
      </c>
      <c r="C2838" t="s">
        <v>12</v>
      </c>
      <c r="D2838" t="s">
        <v>28</v>
      </c>
      <c r="E2838">
        <v>10</v>
      </c>
      <c r="F2838"/>
      <c r="G2838" t="s">
        <v>15</v>
      </c>
      <c r="H2838" t="s">
        <v>32</v>
      </c>
      <c r="I2838">
        <v>1</v>
      </c>
      <c r="J2838" s="23">
        <v>-2842</v>
      </c>
      <c r="K2838" t="s">
        <v>17</v>
      </c>
    </row>
    <row r="2839" spans="1:11" ht="15" customHeight="1" x14ac:dyDescent="0.3">
      <c r="A2839" t="s">
        <v>10</v>
      </c>
      <c r="B2839" t="s">
        <v>11</v>
      </c>
      <c r="C2839" t="s">
        <v>24</v>
      </c>
      <c r="D2839" t="s">
        <v>28</v>
      </c>
      <c r="E2839">
        <v>12</v>
      </c>
      <c r="F2839" t="s">
        <v>38</v>
      </c>
      <c r="G2839" t="s">
        <v>15</v>
      </c>
      <c r="H2839" t="s">
        <v>16</v>
      </c>
      <c r="I2839">
        <v>0</v>
      </c>
      <c r="J2839" s="23">
        <v>150486</v>
      </c>
      <c r="K2839">
        <v>1805832</v>
      </c>
    </row>
    <row r="2840" spans="1:11" ht="15" customHeight="1" x14ac:dyDescent="0.3">
      <c r="A2840" t="s">
        <v>10</v>
      </c>
      <c r="B2840" t="s">
        <v>11</v>
      </c>
      <c r="C2840" t="s">
        <v>12</v>
      </c>
      <c r="D2840" t="s">
        <v>25</v>
      </c>
      <c r="E2840">
        <v>2</v>
      </c>
      <c r="F2840" t="s">
        <v>35</v>
      </c>
      <c r="G2840" t="s">
        <v>15</v>
      </c>
      <c r="H2840" t="s">
        <v>16</v>
      </c>
      <c r="I2840">
        <v>0</v>
      </c>
      <c r="J2840" s="23">
        <v>-2359</v>
      </c>
      <c r="K2840" t="s">
        <v>17</v>
      </c>
    </row>
    <row r="2841" spans="1:11" ht="15" customHeight="1" x14ac:dyDescent="0.3">
      <c r="A2841" t="s">
        <v>10</v>
      </c>
      <c r="B2841" t="s">
        <v>11</v>
      </c>
      <c r="C2841" t="s">
        <v>12</v>
      </c>
      <c r="D2841" t="s">
        <v>13</v>
      </c>
      <c r="E2841">
        <v>1</v>
      </c>
      <c r="F2841" t="s">
        <v>39</v>
      </c>
      <c r="G2841" t="s">
        <v>15</v>
      </c>
      <c r="H2841" t="s">
        <v>16</v>
      </c>
      <c r="I2841">
        <v>0</v>
      </c>
      <c r="J2841" s="23">
        <v>-86910</v>
      </c>
      <c r="K2841" t="s">
        <v>17</v>
      </c>
    </row>
    <row r="2842" spans="1:11" ht="15" customHeight="1" x14ac:dyDescent="0.3">
      <c r="A2842" t="s">
        <v>18</v>
      </c>
      <c r="B2842" t="s">
        <v>11</v>
      </c>
      <c r="C2842" t="s">
        <v>12</v>
      </c>
      <c r="D2842" t="s">
        <v>25</v>
      </c>
      <c r="E2842">
        <v>4</v>
      </c>
      <c r="F2842" t="s">
        <v>26</v>
      </c>
      <c r="G2842" t="s">
        <v>15</v>
      </c>
      <c r="H2842" t="s">
        <v>16</v>
      </c>
      <c r="I2842">
        <v>0</v>
      </c>
      <c r="J2842" s="23">
        <v>-5288</v>
      </c>
      <c r="K2842" t="s">
        <v>17</v>
      </c>
    </row>
    <row r="2843" spans="1:11" ht="15" customHeight="1" x14ac:dyDescent="0.3">
      <c r="A2843" t="s">
        <v>10</v>
      </c>
      <c r="B2843" t="s">
        <v>11</v>
      </c>
      <c r="C2843" t="s">
        <v>24</v>
      </c>
      <c r="D2843" t="s">
        <v>13</v>
      </c>
      <c r="E2843">
        <v>1</v>
      </c>
      <c r="F2843" t="s">
        <v>21</v>
      </c>
      <c r="G2843" t="s">
        <v>15</v>
      </c>
      <c r="H2843" t="s">
        <v>16</v>
      </c>
      <c r="I2843">
        <v>0</v>
      </c>
      <c r="J2843" s="23">
        <v>6558245</v>
      </c>
      <c r="K2843">
        <v>6558245</v>
      </c>
    </row>
    <row r="2844" spans="1:11" ht="15" customHeight="1" x14ac:dyDescent="0.3">
      <c r="A2844" t="s">
        <v>22</v>
      </c>
      <c r="B2844" t="s">
        <v>19</v>
      </c>
      <c r="C2844" t="s">
        <v>24</v>
      </c>
      <c r="D2844" t="s">
        <v>28</v>
      </c>
      <c r="E2844">
        <v>15</v>
      </c>
      <c r="F2844"/>
      <c r="G2844" t="s">
        <v>15</v>
      </c>
      <c r="H2844" t="s">
        <v>16</v>
      </c>
      <c r="I2844">
        <v>0</v>
      </c>
      <c r="J2844" s="23">
        <v>39577</v>
      </c>
      <c r="K2844">
        <v>593655</v>
      </c>
    </row>
    <row r="2845" spans="1:11" ht="15" customHeight="1" x14ac:dyDescent="0.3">
      <c r="A2845" t="s">
        <v>18</v>
      </c>
      <c r="B2845" t="s">
        <v>19</v>
      </c>
      <c r="C2845" t="s">
        <v>12</v>
      </c>
      <c r="D2845" t="s">
        <v>20</v>
      </c>
      <c r="E2845">
        <v>37</v>
      </c>
      <c r="F2845"/>
      <c r="G2845" t="s">
        <v>15</v>
      </c>
      <c r="H2845" t="s">
        <v>32</v>
      </c>
      <c r="I2845">
        <v>1</v>
      </c>
      <c r="J2845" s="23">
        <v>-520</v>
      </c>
      <c r="K2845" t="s">
        <v>17</v>
      </c>
    </row>
    <row r="2846" spans="1:11" ht="15" customHeight="1" x14ac:dyDescent="0.3">
      <c r="A2846" t="s">
        <v>18</v>
      </c>
      <c r="B2846" t="s">
        <v>11</v>
      </c>
      <c r="C2846" t="s">
        <v>24</v>
      </c>
      <c r="D2846" t="s">
        <v>13</v>
      </c>
      <c r="E2846">
        <v>11</v>
      </c>
      <c r="F2846" t="s">
        <v>34</v>
      </c>
      <c r="G2846" t="s">
        <v>15</v>
      </c>
      <c r="H2846" t="s">
        <v>16</v>
      </c>
      <c r="I2846">
        <v>0</v>
      </c>
      <c r="J2846" s="23">
        <v>1246410</v>
      </c>
      <c r="K2846">
        <v>13710510</v>
      </c>
    </row>
    <row r="2847" spans="1:11" ht="15" customHeight="1" x14ac:dyDescent="0.3">
      <c r="A2847" t="s">
        <v>22</v>
      </c>
      <c r="B2847" t="s">
        <v>11</v>
      </c>
      <c r="C2847" t="s">
        <v>24</v>
      </c>
      <c r="D2847" t="s">
        <v>28</v>
      </c>
      <c r="E2847">
        <v>3</v>
      </c>
      <c r="F2847" t="s">
        <v>30</v>
      </c>
      <c r="G2847" t="s">
        <v>15</v>
      </c>
      <c r="H2847" t="s">
        <v>16</v>
      </c>
      <c r="I2847">
        <v>0</v>
      </c>
      <c r="J2847" s="23">
        <v>1212861</v>
      </c>
      <c r="K2847">
        <v>3638583</v>
      </c>
    </row>
    <row r="2848" spans="1:11" ht="15" customHeight="1" x14ac:dyDescent="0.3">
      <c r="A2848" t="s">
        <v>10</v>
      </c>
      <c r="B2848" t="s">
        <v>11</v>
      </c>
      <c r="C2848" t="s">
        <v>12</v>
      </c>
      <c r="D2848" t="s">
        <v>13</v>
      </c>
      <c r="E2848">
        <v>-4</v>
      </c>
      <c r="F2848" t="s">
        <v>34</v>
      </c>
      <c r="G2848" t="s">
        <v>15</v>
      </c>
      <c r="H2848" t="s">
        <v>16</v>
      </c>
      <c r="I2848">
        <v>0</v>
      </c>
      <c r="J2848" s="23">
        <v>-82023</v>
      </c>
      <c r="K2848" t="s">
        <v>17</v>
      </c>
    </row>
    <row r="2849" spans="1:11" ht="15" customHeight="1" x14ac:dyDescent="0.3">
      <c r="A2849" t="s">
        <v>18</v>
      </c>
      <c r="B2849" t="s">
        <v>11</v>
      </c>
      <c r="C2849" t="s">
        <v>12</v>
      </c>
      <c r="D2849" t="s">
        <v>25</v>
      </c>
      <c r="E2849">
        <v>2</v>
      </c>
      <c r="F2849" t="s">
        <v>35</v>
      </c>
      <c r="G2849" t="s">
        <v>15</v>
      </c>
      <c r="H2849" t="s">
        <v>16</v>
      </c>
      <c r="I2849">
        <v>0</v>
      </c>
      <c r="J2849" s="23">
        <v>-7676</v>
      </c>
      <c r="K2849" t="s">
        <v>17</v>
      </c>
    </row>
    <row r="2850" spans="1:11" ht="15" customHeight="1" x14ac:dyDescent="0.3">
      <c r="A2850" t="s">
        <v>18</v>
      </c>
      <c r="B2850" t="s">
        <v>11</v>
      </c>
      <c r="C2850" t="s">
        <v>12</v>
      </c>
      <c r="D2850" t="s">
        <v>25</v>
      </c>
      <c r="E2850">
        <v>3</v>
      </c>
      <c r="F2850" t="s">
        <v>37</v>
      </c>
      <c r="G2850" t="s">
        <v>15</v>
      </c>
      <c r="H2850" t="s">
        <v>16</v>
      </c>
      <c r="I2850">
        <v>0</v>
      </c>
      <c r="J2850" s="23">
        <v>-1012</v>
      </c>
      <c r="K2850" t="s">
        <v>17</v>
      </c>
    </row>
    <row r="2851" spans="1:11" ht="15" customHeight="1" x14ac:dyDescent="0.3">
      <c r="A2851" t="s">
        <v>18</v>
      </c>
      <c r="B2851" t="s">
        <v>19</v>
      </c>
      <c r="C2851" t="s">
        <v>24</v>
      </c>
      <c r="D2851" t="s">
        <v>20</v>
      </c>
      <c r="E2851">
        <v>9</v>
      </c>
      <c r="F2851"/>
      <c r="G2851" t="s">
        <v>31</v>
      </c>
      <c r="H2851" t="s">
        <v>32</v>
      </c>
      <c r="I2851">
        <v>1</v>
      </c>
      <c r="J2851" s="23">
        <v>251647</v>
      </c>
      <c r="K2851">
        <v>2264823</v>
      </c>
    </row>
    <row r="2852" spans="1:11" ht="15" customHeight="1" x14ac:dyDescent="0.3">
      <c r="A2852" t="s">
        <v>18</v>
      </c>
      <c r="B2852" t="s">
        <v>11</v>
      </c>
      <c r="C2852" t="s">
        <v>24</v>
      </c>
      <c r="D2852" t="s">
        <v>28</v>
      </c>
      <c r="E2852">
        <v>6</v>
      </c>
      <c r="F2852" t="s">
        <v>30</v>
      </c>
      <c r="G2852" t="s">
        <v>15</v>
      </c>
      <c r="H2852" t="s">
        <v>16</v>
      </c>
      <c r="I2852">
        <v>0</v>
      </c>
      <c r="J2852" s="23">
        <v>3948315</v>
      </c>
      <c r="K2852">
        <v>23689890</v>
      </c>
    </row>
    <row r="2853" spans="1:11" ht="15" customHeight="1" x14ac:dyDescent="0.3">
      <c r="A2853" t="s">
        <v>10</v>
      </c>
      <c r="B2853" t="s">
        <v>11</v>
      </c>
      <c r="C2853" t="s">
        <v>24</v>
      </c>
      <c r="D2853" t="s">
        <v>25</v>
      </c>
      <c r="E2853">
        <v>2</v>
      </c>
      <c r="F2853" t="s">
        <v>14</v>
      </c>
      <c r="G2853" t="s">
        <v>15</v>
      </c>
      <c r="H2853" t="s">
        <v>16</v>
      </c>
      <c r="I2853">
        <v>0</v>
      </c>
      <c r="J2853" s="23">
        <v>513479</v>
      </c>
      <c r="K2853">
        <v>1026958</v>
      </c>
    </row>
    <row r="2854" spans="1:11" ht="15" customHeight="1" x14ac:dyDescent="0.3">
      <c r="A2854" t="s">
        <v>18</v>
      </c>
      <c r="B2854" t="s">
        <v>11</v>
      </c>
      <c r="C2854" t="s">
        <v>24</v>
      </c>
      <c r="D2854" t="s">
        <v>25</v>
      </c>
      <c r="E2854">
        <v>3</v>
      </c>
      <c r="F2854" t="s">
        <v>34</v>
      </c>
      <c r="G2854" t="s">
        <v>15</v>
      </c>
      <c r="H2854" t="s">
        <v>16</v>
      </c>
      <c r="I2854">
        <v>0</v>
      </c>
      <c r="J2854" s="23">
        <v>12183882</v>
      </c>
      <c r="K2854">
        <v>36551646</v>
      </c>
    </row>
    <row r="2855" spans="1:11" ht="15" customHeight="1" x14ac:dyDescent="0.3">
      <c r="A2855" t="s">
        <v>10</v>
      </c>
      <c r="B2855" t="s">
        <v>11</v>
      </c>
      <c r="C2855" t="s">
        <v>24</v>
      </c>
      <c r="D2855" t="s">
        <v>25</v>
      </c>
      <c r="E2855">
        <v>-1</v>
      </c>
      <c r="F2855" t="s">
        <v>33</v>
      </c>
      <c r="G2855" t="s">
        <v>15</v>
      </c>
      <c r="H2855" t="s">
        <v>16</v>
      </c>
      <c r="I2855">
        <v>0</v>
      </c>
      <c r="J2855" s="23">
        <v>1050864</v>
      </c>
      <c r="K2855" t="s">
        <v>17</v>
      </c>
    </row>
    <row r="2856" spans="1:11" ht="15" customHeight="1" x14ac:dyDescent="0.3">
      <c r="A2856" t="s">
        <v>10</v>
      </c>
      <c r="B2856" t="s">
        <v>11</v>
      </c>
      <c r="C2856" t="s">
        <v>12</v>
      </c>
      <c r="D2856" t="s">
        <v>25</v>
      </c>
      <c r="E2856">
        <v>-4</v>
      </c>
      <c r="F2856" t="s">
        <v>21</v>
      </c>
      <c r="G2856" t="s">
        <v>15</v>
      </c>
      <c r="H2856" t="s">
        <v>16</v>
      </c>
      <c r="I2856">
        <v>0</v>
      </c>
      <c r="J2856" s="23">
        <v>-1060</v>
      </c>
      <c r="K2856" t="s">
        <v>17</v>
      </c>
    </row>
    <row r="2857" spans="1:11" ht="15" customHeight="1" x14ac:dyDescent="0.3">
      <c r="A2857" t="s">
        <v>10</v>
      </c>
      <c r="B2857" t="s">
        <v>11</v>
      </c>
      <c r="C2857" t="s">
        <v>24</v>
      </c>
      <c r="D2857" t="s">
        <v>13</v>
      </c>
      <c r="E2857">
        <v>1</v>
      </c>
      <c r="F2857" t="s">
        <v>36</v>
      </c>
      <c r="G2857" t="s">
        <v>15</v>
      </c>
      <c r="H2857" t="s">
        <v>16</v>
      </c>
      <c r="I2857">
        <v>0</v>
      </c>
      <c r="J2857" s="23">
        <v>36178</v>
      </c>
      <c r="K2857">
        <v>36178</v>
      </c>
    </row>
    <row r="2858" spans="1:11" ht="15" customHeight="1" x14ac:dyDescent="0.3">
      <c r="A2858" t="s">
        <v>10</v>
      </c>
      <c r="B2858" t="s">
        <v>11</v>
      </c>
      <c r="C2858" t="s">
        <v>24</v>
      </c>
      <c r="D2858" t="s">
        <v>28</v>
      </c>
      <c r="E2858">
        <v>9</v>
      </c>
      <c r="F2858" t="s">
        <v>29</v>
      </c>
      <c r="G2858" t="s">
        <v>15</v>
      </c>
      <c r="H2858" t="s">
        <v>16</v>
      </c>
      <c r="I2858">
        <v>0</v>
      </c>
      <c r="J2858" s="23">
        <v>2665668</v>
      </c>
      <c r="K2858">
        <v>23991012</v>
      </c>
    </row>
    <row r="2859" spans="1:11" ht="15" customHeight="1" x14ac:dyDescent="0.3">
      <c r="A2859" t="s">
        <v>18</v>
      </c>
      <c r="B2859" t="s">
        <v>11</v>
      </c>
      <c r="C2859" t="s">
        <v>24</v>
      </c>
      <c r="D2859" t="s">
        <v>28</v>
      </c>
      <c r="E2859">
        <v>8</v>
      </c>
      <c r="F2859" t="s">
        <v>39</v>
      </c>
      <c r="G2859" t="s">
        <v>15</v>
      </c>
      <c r="H2859" t="s">
        <v>16</v>
      </c>
      <c r="I2859">
        <v>0</v>
      </c>
      <c r="J2859" s="23">
        <v>1074705</v>
      </c>
      <c r="K2859">
        <v>8597640</v>
      </c>
    </row>
    <row r="2860" spans="1:11" ht="15" customHeight="1" x14ac:dyDescent="0.3">
      <c r="A2860" t="s">
        <v>10</v>
      </c>
      <c r="B2860" t="s">
        <v>11</v>
      </c>
      <c r="C2860" t="s">
        <v>24</v>
      </c>
      <c r="D2860" t="s">
        <v>28</v>
      </c>
      <c r="E2860">
        <v>9</v>
      </c>
      <c r="F2860" t="s">
        <v>29</v>
      </c>
      <c r="G2860" t="s">
        <v>15</v>
      </c>
      <c r="H2860" t="s">
        <v>32</v>
      </c>
      <c r="I2860">
        <v>1</v>
      </c>
      <c r="J2860" s="23">
        <v>1431602</v>
      </c>
      <c r="K2860">
        <v>12884418</v>
      </c>
    </row>
    <row r="2861" spans="1:11" ht="15" customHeight="1" x14ac:dyDescent="0.3">
      <c r="A2861" t="s">
        <v>18</v>
      </c>
      <c r="B2861" t="s">
        <v>19</v>
      </c>
      <c r="C2861" t="s">
        <v>24</v>
      </c>
      <c r="D2861" t="s">
        <v>20</v>
      </c>
      <c r="E2861">
        <v>17</v>
      </c>
      <c r="F2861"/>
      <c r="G2861" t="s">
        <v>15</v>
      </c>
      <c r="H2861" t="s">
        <v>16</v>
      </c>
      <c r="I2861">
        <v>0</v>
      </c>
      <c r="J2861" s="23">
        <v>331800026</v>
      </c>
      <c r="K2861">
        <v>5640600442</v>
      </c>
    </row>
    <row r="2862" spans="1:11" ht="15" customHeight="1" x14ac:dyDescent="0.3">
      <c r="A2862" t="s">
        <v>18</v>
      </c>
      <c r="B2862" t="s">
        <v>11</v>
      </c>
      <c r="C2862" t="s">
        <v>24</v>
      </c>
      <c r="D2862" t="s">
        <v>28</v>
      </c>
      <c r="E2862">
        <v>10</v>
      </c>
      <c r="F2862" t="s">
        <v>23</v>
      </c>
      <c r="G2862" t="s">
        <v>31</v>
      </c>
      <c r="H2862" t="s">
        <v>16</v>
      </c>
      <c r="I2862">
        <v>1</v>
      </c>
      <c r="J2862" s="23">
        <v>5870868</v>
      </c>
      <c r="K2862">
        <v>58708680</v>
      </c>
    </row>
    <row r="2863" spans="1:11" ht="15" customHeight="1" x14ac:dyDescent="0.3">
      <c r="A2863" t="s">
        <v>18</v>
      </c>
      <c r="B2863" t="s">
        <v>19</v>
      </c>
      <c r="C2863" t="s">
        <v>24</v>
      </c>
      <c r="D2863" t="s">
        <v>20</v>
      </c>
      <c r="E2863">
        <v>16</v>
      </c>
      <c r="F2863"/>
      <c r="G2863" t="s">
        <v>31</v>
      </c>
      <c r="H2863" t="s">
        <v>16</v>
      </c>
      <c r="I2863">
        <v>1</v>
      </c>
      <c r="J2863" s="23">
        <v>3407527</v>
      </c>
      <c r="K2863">
        <v>54520432</v>
      </c>
    </row>
    <row r="2864" spans="1:11" ht="15" customHeight="1" x14ac:dyDescent="0.3">
      <c r="A2864" t="s">
        <v>18</v>
      </c>
      <c r="B2864" t="s">
        <v>44</v>
      </c>
      <c r="C2864" t="s">
        <v>12</v>
      </c>
      <c r="D2864" t="s">
        <v>28</v>
      </c>
      <c r="E2864">
        <v>16</v>
      </c>
      <c r="F2864" t="s">
        <v>38</v>
      </c>
      <c r="G2864" t="s">
        <v>15</v>
      </c>
      <c r="H2864" t="s">
        <v>16</v>
      </c>
      <c r="I2864">
        <v>0</v>
      </c>
      <c r="J2864" s="23">
        <v>-6165</v>
      </c>
      <c r="K2864" t="s">
        <v>17</v>
      </c>
    </row>
    <row r="2865" spans="1:11" ht="15" customHeight="1" x14ac:dyDescent="0.3">
      <c r="A2865" t="s">
        <v>22</v>
      </c>
      <c r="B2865" t="s">
        <v>11</v>
      </c>
      <c r="C2865" t="s">
        <v>24</v>
      </c>
      <c r="D2865" t="s">
        <v>28</v>
      </c>
      <c r="E2865">
        <v>3</v>
      </c>
      <c r="F2865" t="s">
        <v>14</v>
      </c>
      <c r="G2865" t="s">
        <v>15</v>
      </c>
      <c r="H2865" t="s">
        <v>16</v>
      </c>
      <c r="I2865">
        <v>0</v>
      </c>
      <c r="J2865" s="23">
        <v>71568</v>
      </c>
      <c r="K2865">
        <v>214704</v>
      </c>
    </row>
    <row r="2866" spans="1:11" ht="15" customHeight="1" x14ac:dyDescent="0.3">
      <c r="A2866" t="s">
        <v>10</v>
      </c>
      <c r="B2866" t="s">
        <v>19</v>
      </c>
      <c r="C2866" t="s">
        <v>24</v>
      </c>
      <c r="D2866" t="s">
        <v>28</v>
      </c>
      <c r="E2866">
        <v>8</v>
      </c>
      <c r="F2866"/>
      <c r="G2866" t="s">
        <v>15</v>
      </c>
      <c r="H2866" t="s">
        <v>16</v>
      </c>
      <c r="I2866">
        <v>0</v>
      </c>
      <c r="J2866" s="23">
        <v>794919</v>
      </c>
      <c r="K2866">
        <v>6359352</v>
      </c>
    </row>
    <row r="2867" spans="1:11" ht="15" customHeight="1" x14ac:dyDescent="0.3">
      <c r="A2867" t="s">
        <v>22</v>
      </c>
      <c r="B2867" t="s">
        <v>11</v>
      </c>
      <c r="C2867" t="s">
        <v>12</v>
      </c>
      <c r="D2867" t="s">
        <v>13</v>
      </c>
      <c r="E2867">
        <v>5</v>
      </c>
      <c r="F2867" t="s">
        <v>39</v>
      </c>
      <c r="G2867" t="s">
        <v>15</v>
      </c>
      <c r="H2867" t="s">
        <v>16</v>
      </c>
      <c r="I2867">
        <v>0</v>
      </c>
      <c r="J2867" s="23">
        <v>-357313</v>
      </c>
      <c r="K2867" t="s">
        <v>17</v>
      </c>
    </row>
    <row r="2868" spans="1:11" ht="15" customHeight="1" x14ac:dyDescent="0.3">
      <c r="A2868" t="s">
        <v>22</v>
      </c>
      <c r="B2868" t="s">
        <v>11</v>
      </c>
      <c r="C2868" t="s">
        <v>24</v>
      </c>
      <c r="D2868" t="s">
        <v>25</v>
      </c>
      <c r="E2868">
        <v>1</v>
      </c>
      <c r="F2868" t="s">
        <v>34</v>
      </c>
      <c r="G2868" t="s">
        <v>15</v>
      </c>
      <c r="H2868" t="s">
        <v>16</v>
      </c>
      <c r="I2868">
        <v>0</v>
      </c>
      <c r="J2868" s="23">
        <v>115564</v>
      </c>
      <c r="K2868">
        <v>115564</v>
      </c>
    </row>
    <row r="2869" spans="1:11" ht="15" customHeight="1" x14ac:dyDescent="0.3">
      <c r="A2869" t="s">
        <v>18</v>
      </c>
      <c r="B2869" t="s">
        <v>11</v>
      </c>
      <c r="C2869" t="s">
        <v>24</v>
      </c>
      <c r="D2869" t="s">
        <v>13</v>
      </c>
      <c r="E2869">
        <v>7</v>
      </c>
      <c r="F2869" t="s">
        <v>37</v>
      </c>
      <c r="G2869" t="s">
        <v>15</v>
      </c>
      <c r="H2869" t="s">
        <v>16</v>
      </c>
      <c r="I2869">
        <v>0</v>
      </c>
      <c r="J2869" s="23">
        <v>1336045</v>
      </c>
      <c r="K2869">
        <v>9352315</v>
      </c>
    </row>
    <row r="2870" spans="1:11" ht="15" customHeight="1" x14ac:dyDescent="0.3">
      <c r="A2870" t="s">
        <v>22</v>
      </c>
      <c r="B2870" t="s">
        <v>11</v>
      </c>
      <c r="C2870" t="s">
        <v>24</v>
      </c>
      <c r="D2870" t="s">
        <v>13</v>
      </c>
      <c r="E2870">
        <v>5</v>
      </c>
      <c r="F2870" t="s">
        <v>39</v>
      </c>
      <c r="G2870" t="s">
        <v>15</v>
      </c>
      <c r="H2870" t="s">
        <v>16</v>
      </c>
      <c r="I2870">
        <v>0</v>
      </c>
      <c r="J2870" s="23">
        <v>385690</v>
      </c>
      <c r="K2870">
        <v>1928450</v>
      </c>
    </row>
    <row r="2871" spans="1:11" ht="15" customHeight="1" x14ac:dyDescent="0.3">
      <c r="A2871" t="s">
        <v>18</v>
      </c>
      <c r="B2871" t="s">
        <v>11</v>
      </c>
      <c r="C2871" t="s">
        <v>24</v>
      </c>
      <c r="D2871" t="s">
        <v>28</v>
      </c>
      <c r="E2871">
        <v>7</v>
      </c>
      <c r="F2871" t="s">
        <v>30</v>
      </c>
      <c r="G2871" t="s">
        <v>15</v>
      </c>
      <c r="H2871" t="s">
        <v>16</v>
      </c>
      <c r="I2871">
        <v>0</v>
      </c>
      <c r="J2871" s="23">
        <v>5060455</v>
      </c>
      <c r="K2871">
        <v>35423185</v>
      </c>
    </row>
    <row r="2872" spans="1:11" ht="15" customHeight="1" x14ac:dyDescent="0.3">
      <c r="A2872" t="s">
        <v>10</v>
      </c>
      <c r="B2872" t="s">
        <v>11</v>
      </c>
      <c r="C2872" t="s">
        <v>12</v>
      </c>
      <c r="D2872" t="s">
        <v>13</v>
      </c>
      <c r="E2872">
        <v>1</v>
      </c>
      <c r="F2872" t="s">
        <v>37</v>
      </c>
      <c r="G2872" t="s">
        <v>15</v>
      </c>
      <c r="H2872" t="s">
        <v>16</v>
      </c>
      <c r="I2872">
        <v>0</v>
      </c>
      <c r="J2872" s="23">
        <v>-41007</v>
      </c>
      <c r="K2872" t="s">
        <v>17</v>
      </c>
    </row>
    <row r="2873" spans="1:11" ht="15" customHeight="1" x14ac:dyDescent="0.3">
      <c r="A2873" t="s">
        <v>18</v>
      </c>
      <c r="B2873" t="s">
        <v>19</v>
      </c>
      <c r="C2873" t="s">
        <v>24</v>
      </c>
      <c r="D2873" t="s">
        <v>28</v>
      </c>
      <c r="E2873">
        <v>5</v>
      </c>
      <c r="F2873"/>
      <c r="G2873" t="s">
        <v>15</v>
      </c>
      <c r="H2873" t="s">
        <v>16</v>
      </c>
      <c r="I2873">
        <v>0</v>
      </c>
      <c r="J2873" s="23">
        <v>53746089</v>
      </c>
      <c r="K2873">
        <v>268730445</v>
      </c>
    </row>
    <row r="2874" spans="1:11" ht="15" customHeight="1" x14ac:dyDescent="0.3">
      <c r="A2874" t="s">
        <v>10</v>
      </c>
      <c r="B2874" t="s">
        <v>11</v>
      </c>
      <c r="C2874" t="s">
        <v>24</v>
      </c>
      <c r="D2874" t="s">
        <v>25</v>
      </c>
      <c r="E2874">
        <v>2</v>
      </c>
      <c r="F2874" t="s">
        <v>33</v>
      </c>
      <c r="G2874" t="s">
        <v>15</v>
      </c>
      <c r="H2874" t="s">
        <v>16</v>
      </c>
      <c r="I2874">
        <v>0</v>
      </c>
      <c r="J2874" s="23">
        <v>392902</v>
      </c>
      <c r="K2874">
        <v>785804</v>
      </c>
    </row>
    <row r="2875" spans="1:11" ht="15" customHeight="1" x14ac:dyDescent="0.3">
      <c r="A2875" t="s">
        <v>22</v>
      </c>
      <c r="B2875" t="s">
        <v>11</v>
      </c>
      <c r="C2875" t="s">
        <v>24</v>
      </c>
      <c r="D2875" t="s">
        <v>25</v>
      </c>
      <c r="E2875">
        <v>0</v>
      </c>
      <c r="F2875" t="s">
        <v>29</v>
      </c>
      <c r="G2875" t="s">
        <v>15</v>
      </c>
      <c r="H2875" t="s">
        <v>16</v>
      </c>
      <c r="I2875">
        <v>0</v>
      </c>
      <c r="J2875" s="23">
        <v>71452</v>
      </c>
      <c r="K2875" t="s">
        <v>17</v>
      </c>
    </row>
    <row r="2876" spans="1:11" ht="15" customHeight="1" x14ac:dyDescent="0.3">
      <c r="A2876" t="s">
        <v>18</v>
      </c>
      <c r="B2876" t="s">
        <v>11</v>
      </c>
      <c r="C2876" t="s">
        <v>24</v>
      </c>
      <c r="D2876" t="s">
        <v>13</v>
      </c>
      <c r="E2876">
        <v>0</v>
      </c>
      <c r="F2876" t="s">
        <v>46</v>
      </c>
      <c r="G2876" t="s">
        <v>15</v>
      </c>
      <c r="H2876" t="s">
        <v>16</v>
      </c>
      <c r="I2876">
        <v>0</v>
      </c>
      <c r="J2876" s="23">
        <v>469</v>
      </c>
      <c r="K2876" t="s">
        <v>17</v>
      </c>
    </row>
    <row r="2877" spans="1:11" ht="15" customHeight="1" x14ac:dyDescent="0.3">
      <c r="A2877" t="s">
        <v>10</v>
      </c>
      <c r="B2877" t="s">
        <v>19</v>
      </c>
      <c r="C2877" t="s">
        <v>24</v>
      </c>
      <c r="D2877" t="s">
        <v>20</v>
      </c>
      <c r="E2877">
        <v>12</v>
      </c>
      <c r="F2877"/>
      <c r="G2877" t="s">
        <v>31</v>
      </c>
      <c r="H2877" t="s">
        <v>32</v>
      </c>
      <c r="I2877">
        <v>1</v>
      </c>
      <c r="J2877" s="23">
        <v>52347</v>
      </c>
      <c r="K2877">
        <v>628164</v>
      </c>
    </row>
    <row r="2878" spans="1:11" ht="15" customHeight="1" x14ac:dyDescent="0.3">
      <c r="A2878" t="s">
        <v>10</v>
      </c>
      <c r="B2878" t="s">
        <v>11</v>
      </c>
      <c r="C2878" t="s">
        <v>24</v>
      </c>
      <c r="D2878" t="s">
        <v>25</v>
      </c>
      <c r="E2878">
        <v>4</v>
      </c>
      <c r="F2878" t="s">
        <v>37</v>
      </c>
      <c r="G2878" t="s">
        <v>15</v>
      </c>
      <c r="H2878" t="s">
        <v>16</v>
      </c>
      <c r="I2878">
        <v>0</v>
      </c>
      <c r="J2878" s="23">
        <v>257081</v>
      </c>
      <c r="K2878">
        <v>1028324</v>
      </c>
    </row>
    <row r="2879" spans="1:11" ht="15" customHeight="1" x14ac:dyDescent="0.3">
      <c r="A2879" t="s">
        <v>18</v>
      </c>
      <c r="B2879" t="s">
        <v>19</v>
      </c>
      <c r="C2879" t="s">
        <v>12</v>
      </c>
      <c r="D2879" t="s">
        <v>20</v>
      </c>
      <c r="E2879">
        <v>27</v>
      </c>
      <c r="F2879"/>
      <c r="G2879" t="s">
        <v>31</v>
      </c>
      <c r="H2879" t="s">
        <v>32</v>
      </c>
      <c r="I2879">
        <v>1</v>
      </c>
      <c r="J2879" s="23">
        <v>-123</v>
      </c>
      <c r="K2879" t="s">
        <v>17</v>
      </c>
    </row>
    <row r="2880" spans="1:11" ht="15" customHeight="1" x14ac:dyDescent="0.3">
      <c r="A2880" t="s">
        <v>18</v>
      </c>
      <c r="B2880" t="s">
        <v>11</v>
      </c>
      <c r="C2880" t="s">
        <v>12</v>
      </c>
      <c r="D2880" t="s">
        <v>25</v>
      </c>
      <c r="E2880">
        <v>0</v>
      </c>
      <c r="F2880" t="s">
        <v>37</v>
      </c>
      <c r="G2880" t="s">
        <v>15</v>
      </c>
      <c r="H2880" t="s">
        <v>16</v>
      </c>
      <c r="I2880">
        <v>0</v>
      </c>
      <c r="J2880" s="23">
        <v>-12</v>
      </c>
      <c r="K2880" t="s">
        <v>17</v>
      </c>
    </row>
    <row r="2881" spans="1:11" ht="15" customHeight="1" x14ac:dyDescent="0.3">
      <c r="A2881" t="s">
        <v>22</v>
      </c>
      <c r="B2881" t="s">
        <v>11</v>
      </c>
      <c r="C2881" t="s">
        <v>12</v>
      </c>
      <c r="D2881" t="s">
        <v>13</v>
      </c>
      <c r="E2881">
        <v>13</v>
      </c>
      <c r="F2881" t="s">
        <v>29</v>
      </c>
      <c r="G2881" t="s">
        <v>15</v>
      </c>
      <c r="H2881" t="s">
        <v>16</v>
      </c>
      <c r="I2881">
        <v>0</v>
      </c>
      <c r="J2881" s="23">
        <v>-90522</v>
      </c>
      <c r="K2881" t="s">
        <v>17</v>
      </c>
    </row>
    <row r="2882" spans="1:11" ht="15" customHeight="1" x14ac:dyDescent="0.3">
      <c r="A2882" t="s">
        <v>10</v>
      </c>
      <c r="B2882" t="s">
        <v>11</v>
      </c>
      <c r="C2882" t="s">
        <v>12</v>
      </c>
      <c r="D2882" t="s">
        <v>28</v>
      </c>
      <c r="E2882">
        <v>4</v>
      </c>
      <c r="F2882" t="s">
        <v>39</v>
      </c>
      <c r="G2882" t="s">
        <v>15</v>
      </c>
      <c r="H2882" t="s">
        <v>16</v>
      </c>
      <c r="I2882">
        <v>0</v>
      </c>
      <c r="J2882" s="23">
        <v>-1061</v>
      </c>
      <c r="K2882" t="s">
        <v>17</v>
      </c>
    </row>
    <row r="2883" spans="1:11" ht="15" customHeight="1" x14ac:dyDescent="0.3">
      <c r="A2883" t="s">
        <v>10</v>
      </c>
      <c r="B2883" t="s">
        <v>11</v>
      </c>
      <c r="C2883" t="s">
        <v>24</v>
      </c>
      <c r="D2883" t="s">
        <v>28</v>
      </c>
      <c r="E2883">
        <v>-4</v>
      </c>
      <c r="F2883" t="s">
        <v>45</v>
      </c>
      <c r="G2883" t="s">
        <v>15</v>
      </c>
      <c r="H2883" t="s">
        <v>16</v>
      </c>
      <c r="I2883">
        <v>0</v>
      </c>
      <c r="J2883" s="23">
        <v>127</v>
      </c>
      <c r="K2883" t="s">
        <v>17</v>
      </c>
    </row>
    <row r="2884" spans="1:11" ht="15" customHeight="1" x14ac:dyDescent="0.3">
      <c r="A2884" t="s">
        <v>18</v>
      </c>
      <c r="B2884" t="s">
        <v>44</v>
      </c>
      <c r="C2884" t="s">
        <v>12</v>
      </c>
      <c r="D2884" t="s">
        <v>28</v>
      </c>
      <c r="E2884">
        <v>3</v>
      </c>
      <c r="F2884" t="s">
        <v>26</v>
      </c>
      <c r="G2884" t="s">
        <v>15</v>
      </c>
      <c r="H2884" t="s">
        <v>16</v>
      </c>
      <c r="I2884">
        <v>0</v>
      </c>
      <c r="J2884" s="23">
        <v>-7551</v>
      </c>
      <c r="K2884" t="s">
        <v>17</v>
      </c>
    </row>
    <row r="2885" spans="1:11" ht="15" customHeight="1" x14ac:dyDescent="0.3">
      <c r="A2885" t="s">
        <v>22</v>
      </c>
      <c r="B2885" t="s">
        <v>11</v>
      </c>
      <c r="C2885" t="s">
        <v>24</v>
      </c>
      <c r="D2885" t="s">
        <v>25</v>
      </c>
      <c r="E2885">
        <v>1</v>
      </c>
      <c r="F2885" t="s">
        <v>23</v>
      </c>
      <c r="G2885" t="s">
        <v>15</v>
      </c>
      <c r="H2885" t="s">
        <v>16</v>
      </c>
      <c r="I2885">
        <v>0</v>
      </c>
      <c r="J2885" s="23">
        <v>58471</v>
      </c>
      <c r="K2885">
        <v>58471</v>
      </c>
    </row>
    <row r="2886" spans="1:11" ht="15" customHeight="1" x14ac:dyDescent="0.3">
      <c r="A2886" t="s">
        <v>18</v>
      </c>
      <c r="B2886" t="s">
        <v>11</v>
      </c>
      <c r="C2886" t="s">
        <v>24</v>
      </c>
      <c r="D2886" t="s">
        <v>25</v>
      </c>
      <c r="E2886">
        <v>5</v>
      </c>
      <c r="F2886" t="s">
        <v>26</v>
      </c>
      <c r="G2886" t="s">
        <v>15</v>
      </c>
      <c r="H2886" t="s">
        <v>16</v>
      </c>
      <c r="I2886">
        <v>0</v>
      </c>
      <c r="J2886" s="23">
        <v>1463921</v>
      </c>
      <c r="K2886">
        <v>7319605</v>
      </c>
    </row>
    <row r="2887" spans="1:11" ht="15" customHeight="1" x14ac:dyDescent="0.3">
      <c r="A2887" t="s">
        <v>10</v>
      </c>
      <c r="B2887" t="s">
        <v>11</v>
      </c>
      <c r="C2887" t="s">
        <v>12</v>
      </c>
      <c r="D2887" t="s">
        <v>28</v>
      </c>
      <c r="E2887">
        <v>1</v>
      </c>
      <c r="F2887" t="s">
        <v>30</v>
      </c>
      <c r="G2887" t="s">
        <v>15</v>
      </c>
      <c r="H2887" t="s">
        <v>16</v>
      </c>
      <c r="I2887">
        <v>0</v>
      </c>
      <c r="J2887" s="23">
        <v>-3677</v>
      </c>
      <c r="K2887" t="s">
        <v>17</v>
      </c>
    </row>
    <row r="2888" spans="1:11" ht="15" customHeight="1" x14ac:dyDescent="0.3">
      <c r="A2888" t="s">
        <v>18</v>
      </c>
      <c r="B2888" t="s">
        <v>11</v>
      </c>
      <c r="C2888" t="s">
        <v>24</v>
      </c>
      <c r="D2888" t="s">
        <v>25</v>
      </c>
      <c r="E2888">
        <v>0</v>
      </c>
      <c r="F2888" t="s">
        <v>40</v>
      </c>
      <c r="G2888" t="s">
        <v>15</v>
      </c>
      <c r="H2888" t="s">
        <v>16</v>
      </c>
      <c r="I2888">
        <v>0</v>
      </c>
      <c r="J2888" s="23">
        <v>1367800</v>
      </c>
      <c r="K2888" t="s">
        <v>17</v>
      </c>
    </row>
    <row r="2889" spans="1:11" ht="15" customHeight="1" x14ac:dyDescent="0.3">
      <c r="A2889" t="s">
        <v>22</v>
      </c>
      <c r="B2889" t="s">
        <v>19</v>
      </c>
      <c r="C2889" t="s">
        <v>12</v>
      </c>
      <c r="D2889" t="s">
        <v>20</v>
      </c>
      <c r="E2889">
        <v>6</v>
      </c>
      <c r="F2889"/>
      <c r="G2889" t="s">
        <v>15</v>
      </c>
      <c r="H2889" t="s">
        <v>32</v>
      </c>
      <c r="I2889">
        <v>1</v>
      </c>
      <c r="J2889" s="23">
        <v>-25170</v>
      </c>
      <c r="K2889" t="s">
        <v>17</v>
      </c>
    </row>
    <row r="2890" spans="1:11" ht="15" customHeight="1" x14ac:dyDescent="0.3">
      <c r="A2890" t="s">
        <v>18</v>
      </c>
      <c r="B2890" t="s">
        <v>11</v>
      </c>
      <c r="C2890" t="s">
        <v>12</v>
      </c>
      <c r="D2890" t="s">
        <v>28</v>
      </c>
      <c r="E2890">
        <v>8</v>
      </c>
      <c r="F2890" t="s">
        <v>38</v>
      </c>
      <c r="G2890" t="s">
        <v>15</v>
      </c>
      <c r="H2890" t="s">
        <v>16</v>
      </c>
      <c r="I2890">
        <v>0</v>
      </c>
      <c r="J2890" s="23">
        <v>-739</v>
      </c>
      <c r="K2890" t="s">
        <v>17</v>
      </c>
    </row>
    <row r="2891" spans="1:11" ht="15" customHeight="1" x14ac:dyDescent="0.3">
      <c r="A2891" t="s">
        <v>10</v>
      </c>
      <c r="B2891" t="s">
        <v>11</v>
      </c>
      <c r="C2891" t="s">
        <v>12</v>
      </c>
      <c r="D2891" t="s">
        <v>28</v>
      </c>
      <c r="E2891">
        <v>11</v>
      </c>
      <c r="F2891" t="s">
        <v>21</v>
      </c>
      <c r="G2891" t="s">
        <v>15</v>
      </c>
      <c r="H2891" t="s">
        <v>16</v>
      </c>
      <c r="I2891">
        <v>0</v>
      </c>
      <c r="J2891" s="23">
        <v>-54020</v>
      </c>
      <c r="K2891" t="s">
        <v>17</v>
      </c>
    </row>
    <row r="2892" spans="1:11" ht="15" customHeight="1" x14ac:dyDescent="0.3">
      <c r="A2892" t="s">
        <v>18</v>
      </c>
      <c r="B2892" t="s">
        <v>11</v>
      </c>
      <c r="C2892" t="s">
        <v>12</v>
      </c>
      <c r="D2892" t="s">
        <v>28</v>
      </c>
      <c r="E2892">
        <v>11</v>
      </c>
      <c r="F2892" t="s">
        <v>34</v>
      </c>
      <c r="G2892" t="s">
        <v>15</v>
      </c>
      <c r="H2892" t="s">
        <v>16</v>
      </c>
      <c r="I2892">
        <v>0</v>
      </c>
      <c r="J2892" s="23">
        <v>-11116</v>
      </c>
      <c r="K2892" t="s">
        <v>17</v>
      </c>
    </row>
    <row r="2893" spans="1:11" ht="15" customHeight="1" x14ac:dyDescent="0.3">
      <c r="A2893" t="s">
        <v>10</v>
      </c>
      <c r="B2893" t="s">
        <v>11</v>
      </c>
      <c r="C2893" t="s">
        <v>12</v>
      </c>
      <c r="D2893" t="s">
        <v>25</v>
      </c>
      <c r="E2893">
        <v>7</v>
      </c>
      <c r="F2893" t="s">
        <v>40</v>
      </c>
      <c r="G2893" t="s">
        <v>15</v>
      </c>
      <c r="H2893" t="s">
        <v>16</v>
      </c>
      <c r="I2893">
        <v>0</v>
      </c>
      <c r="J2893" s="23">
        <v>-53290</v>
      </c>
      <c r="K2893" t="s">
        <v>17</v>
      </c>
    </row>
    <row r="2894" spans="1:11" ht="15" customHeight="1" x14ac:dyDescent="0.3">
      <c r="A2894" t="s">
        <v>22</v>
      </c>
      <c r="B2894" t="s">
        <v>19</v>
      </c>
      <c r="C2894" t="s">
        <v>12</v>
      </c>
      <c r="D2894" t="s">
        <v>20</v>
      </c>
      <c r="E2894">
        <v>5</v>
      </c>
      <c r="F2894"/>
      <c r="G2894" t="s">
        <v>15</v>
      </c>
      <c r="H2894" t="s">
        <v>16</v>
      </c>
      <c r="I2894">
        <v>0</v>
      </c>
      <c r="J2894" s="23">
        <v>-448839</v>
      </c>
      <c r="K2894" t="s">
        <v>17</v>
      </c>
    </row>
    <row r="2895" spans="1:11" ht="15" customHeight="1" x14ac:dyDescent="0.3">
      <c r="A2895" t="s">
        <v>18</v>
      </c>
      <c r="B2895" t="s">
        <v>11</v>
      </c>
      <c r="C2895" t="s">
        <v>12</v>
      </c>
      <c r="D2895" t="s">
        <v>25</v>
      </c>
      <c r="E2895">
        <v>2</v>
      </c>
      <c r="F2895" t="s">
        <v>21</v>
      </c>
      <c r="G2895" t="s">
        <v>15</v>
      </c>
      <c r="H2895" t="s">
        <v>16</v>
      </c>
      <c r="I2895">
        <v>0</v>
      </c>
      <c r="J2895" s="23">
        <v>-17443</v>
      </c>
      <c r="K2895" t="s">
        <v>17</v>
      </c>
    </row>
    <row r="2896" spans="1:11" ht="15" customHeight="1" x14ac:dyDescent="0.3">
      <c r="A2896" t="s">
        <v>10</v>
      </c>
      <c r="B2896" t="s">
        <v>19</v>
      </c>
      <c r="C2896" t="s">
        <v>24</v>
      </c>
      <c r="D2896" t="s">
        <v>20</v>
      </c>
      <c r="E2896">
        <v>2</v>
      </c>
      <c r="F2896"/>
      <c r="G2896" t="s">
        <v>15</v>
      </c>
      <c r="H2896" t="s">
        <v>16</v>
      </c>
      <c r="I2896">
        <v>0</v>
      </c>
      <c r="J2896" s="23">
        <v>3144465</v>
      </c>
      <c r="K2896">
        <v>6288930</v>
      </c>
    </row>
    <row r="2897" spans="1:11" ht="15" customHeight="1" x14ac:dyDescent="0.3">
      <c r="A2897" t="s">
        <v>18</v>
      </c>
      <c r="B2897" t="s">
        <v>19</v>
      </c>
      <c r="C2897" t="s">
        <v>12</v>
      </c>
      <c r="D2897" t="s">
        <v>28</v>
      </c>
      <c r="E2897">
        <v>11</v>
      </c>
      <c r="F2897"/>
      <c r="G2897" t="s">
        <v>15</v>
      </c>
      <c r="H2897" t="s">
        <v>32</v>
      </c>
      <c r="I2897">
        <v>1</v>
      </c>
      <c r="J2897" s="23">
        <v>-54</v>
      </c>
      <c r="K2897" t="s">
        <v>17</v>
      </c>
    </row>
    <row r="2898" spans="1:11" ht="15" customHeight="1" x14ac:dyDescent="0.3">
      <c r="A2898" t="s">
        <v>22</v>
      </c>
      <c r="B2898" t="s">
        <v>11</v>
      </c>
      <c r="C2898" t="s">
        <v>24</v>
      </c>
      <c r="D2898" t="s">
        <v>28</v>
      </c>
      <c r="E2898">
        <v>10</v>
      </c>
      <c r="F2898" t="s">
        <v>21</v>
      </c>
      <c r="G2898" t="s">
        <v>15</v>
      </c>
      <c r="H2898" t="s">
        <v>16</v>
      </c>
      <c r="I2898">
        <v>0</v>
      </c>
      <c r="J2898" s="23">
        <v>46213</v>
      </c>
      <c r="K2898">
        <v>462130</v>
      </c>
    </row>
    <row r="2899" spans="1:11" ht="15" customHeight="1" x14ac:dyDescent="0.3">
      <c r="A2899" t="s">
        <v>18</v>
      </c>
      <c r="B2899" t="s">
        <v>19</v>
      </c>
      <c r="C2899" t="s">
        <v>12</v>
      </c>
      <c r="D2899" t="s">
        <v>20</v>
      </c>
      <c r="E2899">
        <v>7</v>
      </c>
      <c r="F2899"/>
      <c r="G2899" t="s">
        <v>15</v>
      </c>
      <c r="H2899" t="s">
        <v>16</v>
      </c>
      <c r="I2899">
        <v>0</v>
      </c>
      <c r="J2899" s="23">
        <v>-57859</v>
      </c>
      <c r="K2899" t="s">
        <v>17</v>
      </c>
    </row>
    <row r="2900" spans="1:11" ht="15" customHeight="1" x14ac:dyDescent="0.3">
      <c r="A2900" t="s">
        <v>18</v>
      </c>
      <c r="B2900" t="s">
        <v>11</v>
      </c>
      <c r="C2900" t="s">
        <v>12</v>
      </c>
      <c r="D2900" t="s">
        <v>28</v>
      </c>
      <c r="E2900">
        <v>4</v>
      </c>
      <c r="F2900" t="s">
        <v>14</v>
      </c>
      <c r="G2900" t="s">
        <v>15</v>
      </c>
      <c r="H2900" t="s">
        <v>16</v>
      </c>
      <c r="I2900">
        <v>0</v>
      </c>
      <c r="J2900" s="23">
        <v>-2519</v>
      </c>
      <c r="K2900" t="s">
        <v>17</v>
      </c>
    </row>
    <row r="2901" spans="1:11" ht="15" customHeight="1" x14ac:dyDescent="0.3">
      <c r="A2901" t="s">
        <v>10</v>
      </c>
      <c r="B2901" t="s">
        <v>11</v>
      </c>
      <c r="C2901" t="s">
        <v>24</v>
      </c>
      <c r="D2901" t="s">
        <v>28</v>
      </c>
      <c r="E2901">
        <v>14</v>
      </c>
      <c r="F2901" t="s">
        <v>34</v>
      </c>
      <c r="G2901" t="s">
        <v>15</v>
      </c>
      <c r="H2901" t="s">
        <v>16</v>
      </c>
      <c r="I2901">
        <v>0</v>
      </c>
      <c r="J2901" s="23">
        <v>509551</v>
      </c>
      <c r="K2901">
        <v>7133714</v>
      </c>
    </row>
    <row r="2902" spans="1:11" ht="15" customHeight="1" x14ac:dyDescent="0.3">
      <c r="A2902" t="s">
        <v>22</v>
      </c>
      <c r="B2902" t="s">
        <v>11</v>
      </c>
      <c r="C2902" t="s">
        <v>24</v>
      </c>
      <c r="D2902" t="s">
        <v>13</v>
      </c>
      <c r="E2902">
        <v>7</v>
      </c>
      <c r="F2902" t="s">
        <v>40</v>
      </c>
      <c r="G2902" t="s">
        <v>15</v>
      </c>
      <c r="H2902" t="s">
        <v>16</v>
      </c>
      <c r="I2902">
        <v>0</v>
      </c>
      <c r="J2902" s="23">
        <v>2174400</v>
      </c>
      <c r="K2902">
        <v>15220800</v>
      </c>
    </row>
    <row r="2903" spans="1:11" ht="15" customHeight="1" x14ac:dyDescent="0.3">
      <c r="A2903" t="s">
        <v>10</v>
      </c>
      <c r="B2903" t="s">
        <v>11</v>
      </c>
      <c r="C2903" t="s">
        <v>12</v>
      </c>
      <c r="D2903" t="s">
        <v>28</v>
      </c>
      <c r="E2903">
        <v>4</v>
      </c>
      <c r="F2903" t="s">
        <v>33</v>
      </c>
      <c r="G2903" t="s">
        <v>31</v>
      </c>
      <c r="H2903" t="s">
        <v>32</v>
      </c>
      <c r="I2903">
        <v>1</v>
      </c>
      <c r="J2903" s="23">
        <v>-14724</v>
      </c>
      <c r="K2903" t="s">
        <v>17</v>
      </c>
    </row>
    <row r="2904" spans="1:11" ht="15" customHeight="1" x14ac:dyDescent="0.3">
      <c r="A2904" t="s">
        <v>18</v>
      </c>
      <c r="B2904" t="s">
        <v>11</v>
      </c>
      <c r="C2904" t="s">
        <v>24</v>
      </c>
      <c r="D2904" t="s">
        <v>25</v>
      </c>
      <c r="E2904">
        <v>7</v>
      </c>
      <c r="F2904" t="s">
        <v>30</v>
      </c>
      <c r="G2904" t="s">
        <v>15</v>
      </c>
      <c r="H2904" t="s">
        <v>16</v>
      </c>
      <c r="I2904">
        <v>0</v>
      </c>
      <c r="J2904" s="23">
        <v>223276</v>
      </c>
      <c r="K2904">
        <v>1562932</v>
      </c>
    </row>
    <row r="2905" spans="1:11" ht="15" customHeight="1" x14ac:dyDescent="0.3">
      <c r="A2905" t="s">
        <v>18</v>
      </c>
      <c r="B2905" t="s">
        <v>11</v>
      </c>
      <c r="C2905" t="s">
        <v>12</v>
      </c>
      <c r="D2905" t="s">
        <v>28</v>
      </c>
      <c r="E2905">
        <v>16</v>
      </c>
      <c r="F2905" t="s">
        <v>26</v>
      </c>
      <c r="G2905" t="s">
        <v>15</v>
      </c>
      <c r="H2905" t="s">
        <v>16</v>
      </c>
      <c r="I2905">
        <v>0</v>
      </c>
      <c r="J2905" s="23">
        <v>-3573</v>
      </c>
      <c r="K2905" t="s">
        <v>17</v>
      </c>
    </row>
    <row r="2906" spans="1:11" ht="15" customHeight="1" x14ac:dyDescent="0.3">
      <c r="A2906" t="s">
        <v>10</v>
      </c>
      <c r="B2906" t="s">
        <v>19</v>
      </c>
      <c r="C2906" t="s">
        <v>24</v>
      </c>
      <c r="D2906" t="s">
        <v>20</v>
      </c>
      <c r="E2906">
        <v>22</v>
      </c>
      <c r="F2906"/>
      <c r="G2906" t="s">
        <v>31</v>
      </c>
      <c r="H2906" t="s">
        <v>16</v>
      </c>
      <c r="I2906">
        <v>1</v>
      </c>
      <c r="J2906" s="23">
        <v>462534</v>
      </c>
      <c r="K2906">
        <v>10175748</v>
      </c>
    </row>
    <row r="2907" spans="1:11" ht="15" customHeight="1" x14ac:dyDescent="0.3">
      <c r="A2907" t="s">
        <v>18</v>
      </c>
      <c r="B2907" t="s">
        <v>11</v>
      </c>
      <c r="C2907" t="s">
        <v>24</v>
      </c>
      <c r="D2907" t="s">
        <v>13</v>
      </c>
      <c r="E2907">
        <v>1</v>
      </c>
      <c r="F2907" t="s">
        <v>37</v>
      </c>
      <c r="G2907" t="s">
        <v>15</v>
      </c>
      <c r="H2907" t="s">
        <v>16</v>
      </c>
      <c r="I2907">
        <v>0</v>
      </c>
      <c r="J2907" s="23">
        <v>2948568</v>
      </c>
      <c r="K2907">
        <v>2948568</v>
      </c>
    </row>
    <row r="2908" spans="1:11" ht="15" customHeight="1" x14ac:dyDescent="0.3">
      <c r="A2908" t="s">
        <v>10</v>
      </c>
      <c r="B2908" t="s">
        <v>11</v>
      </c>
      <c r="C2908" t="s">
        <v>24</v>
      </c>
      <c r="D2908" t="s">
        <v>25</v>
      </c>
      <c r="E2908">
        <v>6</v>
      </c>
      <c r="F2908" t="s">
        <v>27</v>
      </c>
      <c r="G2908" t="s">
        <v>15</v>
      </c>
      <c r="H2908" t="s">
        <v>16</v>
      </c>
      <c r="I2908">
        <v>0</v>
      </c>
      <c r="J2908" s="23">
        <v>14784</v>
      </c>
      <c r="K2908">
        <v>88704</v>
      </c>
    </row>
    <row r="2909" spans="1:11" ht="15" customHeight="1" x14ac:dyDescent="0.3">
      <c r="A2909" t="s">
        <v>22</v>
      </c>
      <c r="B2909" t="s">
        <v>19</v>
      </c>
      <c r="C2909" t="s">
        <v>24</v>
      </c>
      <c r="D2909" t="s">
        <v>20</v>
      </c>
      <c r="E2909">
        <v>43</v>
      </c>
      <c r="F2909"/>
      <c r="G2909" t="s">
        <v>15</v>
      </c>
      <c r="H2909" t="s">
        <v>16</v>
      </c>
      <c r="I2909">
        <v>0</v>
      </c>
      <c r="J2909" s="23">
        <v>389575</v>
      </c>
      <c r="K2909">
        <v>16751725</v>
      </c>
    </row>
    <row r="2910" spans="1:11" ht="15" customHeight="1" x14ac:dyDescent="0.3">
      <c r="A2910" t="s">
        <v>22</v>
      </c>
      <c r="B2910" t="s">
        <v>11</v>
      </c>
      <c r="C2910" t="s">
        <v>24</v>
      </c>
      <c r="D2910" t="s">
        <v>28</v>
      </c>
      <c r="E2910">
        <v>4</v>
      </c>
      <c r="F2910" t="s">
        <v>29</v>
      </c>
      <c r="G2910" t="s">
        <v>15</v>
      </c>
      <c r="H2910" t="s">
        <v>32</v>
      </c>
      <c r="I2910">
        <v>1</v>
      </c>
      <c r="J2910" s="23">
        <v>30442</v>
      </c>
      <c r="K2910">
        <v>121768</v>
      </c>
    </row>
    <row r="2911" spans="1:11" ht="15" customHeight="1" x14ac:dyDescent="0.3">
      <c r="A2911" t="s">
        <v>10</v>
      </c>
      <c r="B2911" t="s">
        <v>11</v>
      </c>
      <c r="C2911" t="s">
        <v>12</v>
      </c>
      <c r="D2911" t="s">
        <v>25</v>
      </c>
      <c r="E2911">
        <v>1</v>
      </c>
      <c r="F2911" t="s">
        <v>29</v>
      </c>
      <c r="G2911" t="s">
        <v>15</v>
      </c>
      <c r="H2911" t="s">
        <v>16</v>
      </c>
      <c r="I2911">
        <v>0</v>
      </c>
      <c r="J2911" s="23">
        <v>-65950</v>
      </c>
      <c r="K2911" t="s">
        <v>17</v>
      </c>
    </row>
    <row r="2912" spans="1:11" ht="15" customHeight="1" x14ac:dyDescent="0.3">
      <c r="A2912" t="s">
        <v>22</v>
      </c>
      <c r="B2912" t="s">
        <v>11</v>
      </c>
      <c r="C2912" t="s">
        <v>12</v>
      </c>
      <c r="D2912" t="s">
        <v>13</v>
      </c>
      <c r="E2912">
        <v>2</v>
      </c>
      <c r="F2912" t="s">
        <v>14</v>
      </c>
      <c r="G2912" t="s">
        <v>15</v>
      </c>
      <c r="H2912" t="s">
        <v>16</v>
      </c>
      <c r="I2912">
        <v>0</v>
      </c>
      <c r="J2912" s="23">
        <v>-477421</v>
      </c>
      <c r="K2912" t="s">
        <v>17</v>
      </c>
    </row>
    <row r="2913" spans="1:11" ht="15" customHeight="1" x14ac:dyDescent="0.3">
      <c r="A2913" t="s">
        <v>10</v>
      </c>
      <c r="B2913" t="s">
        <v>19</v>
      </c>
      <c r="C2913" t="s">
        <v>12</v>
      </c>
      <c r="D2913" t="s">
        <v>28</v>
      </c>
      <c r="E2913">
        <v>33</v>
      </c>
      <c r="F2913"/>
      <c r="G2913" t="s">
        <v>15</v>
      </c>
      <c r="H2913" t="s">
        <v>16</v>
      </c>
      <c r="I2913">
        <v>0</v>
      </c>
      <c r="J2913" s="23">
        <v>-8370</v>
      </c>
      <c r="K2913" t="s">
        <v>17</v>
      </c>
    </row>
    <row r="2914" spans="1:11" ht="15" customHeight="1" x14ac:dyDescent="0.3">
      <c r="A2914" t="s">
        <v>22</v>
      </c>
      <c r="B2914" t="s">
        <v>11</v>
      </c>
      <c r="C2914" t="s">
        <v>12</v>
      </c>
      <c r="D2914" t="s">
        <v>28</v>
      </c>
      <c r="E2914">
        <v>2</v>
      </c>
      <c r="F2914" t="s">
        <v>26</v>
      </c>
      <c r="G2914" t="s">
        <v>15</v>
      </c>
      <c r="H2914" t="s">
        <v>16</v>
      </c>
      <c r="I2914">
        <v>0</v>
      </c>
      <c r="J2914" s="23">
        <v>-2488328</v>
      </c>
      <c r="K2914" t="s">
        <v>17</v>
      </c>
    </row>
    <row r="2915" spans="1:11" ht="15" customHeight="1" x14ac:dyDescent="0.3">
      <c r="A2915" t="s">
        <v>22</v>
      </c>
      <c r="B2915" t="s">
        <v>19</v>
      </c>
      <c r="C2915" t="s">
        <v>24</v>
      </c>
      <c r="D2915" t="s">
        <v>20</v>
      </c>
      <c r="E2915">
        <v>3</v>
      </c>
      <c r="F2915"/>
      <c r="G2915" t="s">
        <v>15</v>
      </c>
      <c r="H2915" t="s">
        <v>32</v>
      </c>
      <c r="I2915">
        <v>1</v>
      </c>
      <c r="J2915" s="23">
        <v>12188</v>
      </c>
      <c r="K2915">
        <v>36564</v>
      </c>
    </row>
    <row r="2916" spans="1:11" ht="15" customHeight="1" x14ac:dyDescent="0.3">
      <c r="A2916" t="s">
        <v>22</v>
      </c>
      <c r="B2916" t="s">
        <v>11</v>
      </c>
      <c r="C2916" t="s">
        <v>24</v>
      </c>
      <c r="D2916" t="s">
        <v>28</v>
      </c>
      <c r="E2916">
        <v>5</v>
      </c>
      <c r="F2916" t="s">
        <v>29</v>
      </c>
      <c r="G2916" t="s">
        <v>15</v>
      </c>
      <c r="H2916" t="s">
        <v>16</v>
      </c>
      <c r="I2916">
        <v>0</v>
      </c>
      <c r="J2916" s="23">
        <v>1201440</v>
      </c>
      <c r="K2916">
        <v>6007200</v>
      </c>
    </row>
    <row r="2917" spans="1:11" ht="15" customHeight="1" x14ac:dyDescent="0.3">
      <c r="A2917" t="s">
        <v>10</v>
      </c>
      <c r="B2917" t="s">
        <v>11</v>
      </c>
      <c r="C2917" t="s">
        <v>24</v>
      </c>
      <c r="D2917" t="s">
        <v>13</v>
      </c>
      <c r="E2917">
        <v>5</v>
      </c>
      <c r="F2917" t="s">
        <v>37</v>
      </c>
      <c r="G2917" t="s">
        <v>15</v>
      </c>
      <c r="H2917" t="s">
        <v>16</v>
      </c>
      <c r="I2917">
        <v>0</v>
      </c>
      <c r="J2917" s="23">
        <v>112431</v>
      </c>
      <c r="K2917">
        <v>562155</v>
      </c>
    </row>
    <row r="2918" spans="1:11" ht="15" customHeight="1" x14ac:dyDescent="0.3">
      <c r="A2918" t="s">
        <v>10</v>
      </c>
      <c r="B2918" t="s">
        <v>19</v>
      </c>
      <c r="C2918" t="s">
        <v>24</v>
      </c>
      <c r="D2918" t="s">
        <v>20</v>
      </c>
      <c r="E2918">
        <v>11</v>
      </c>
      <c r="F2918"/>
      <c r="G2918" t="s">
        <v>15</v>
      </c>
      <c r="H2918" t="s">
        <v>32</v>
      </c>
      <c r="I2918">
        <v>1</v>
      </c>
      <c r="J2918" s="23">
        <v>229278</v>
      </c>
      <c r="K2918">
        <v>2522058</v>
      </c>
    </row>
    <row r="2919" spans="1:11" ht="15" customHeight="1" x14ac:dyDescent="0.3">
      <c r="A2919" t="s">
        <v>18</v>
      </c>
      <c r="B2919" t="s">
        <v>19</v>
      </c>
      <c r="C2919" t="s">
        <v>12</v>
      </c>
      <c r="D2919" t="s">
        <v>20</v>
      </c>
      <c r="E2919">
        <v>19</v>
      </c>
      <c r="F2919"/>
      <c r="G2919" t="s">
        <v>15</v>
      </c>
      <c r="H2919" t="s">
        <v>32</v>
      </c>
      <c r="I2919">
        <v>1</v>
      </c>
      <c r="J2919" s="23">
        <v>-930</v>
      </c>
      <c r="K2919" t="s">
        <v>17</v>
      </c>
    </row>
    <row r="2920" spans="1:11" ht="15" customHeight="1" x14ac:dyDescent="0.3">
      <c r="A2920" t="s">
        <v>22</v>
      </c>
      <c r="B2920" t="s">
        <v>11</v>
      </c>
      <c r="C2920" t="s">
        <v>24</v>
      </c>
      <c r="D2920" t="s">
        <v>25</v>
      </c>
      <c r="E2920">
        <v>4</v>
      </c>
      <c r="F2920" t="s">
        <v>39</v>
      </c>
      <c r="G2920" t="s">
        <v>15</v>
      </c>
      <c r="H2920" t="s">
        <v>16</v>
      </c>
      <c r="I2920">
        <v>0</v>
      </c>
      <c r="J2920" s="23">
        <v>41120</v>
      </c>
      <c r="K2920">
        <v>164480</v>
      </c>
    </row>
    <row r="2921" spans="1:11" ht="15" customHeight="1" x14ac:dyDescent="0.3">
      <c r="A2921" t="s">
        <v>10</v>
      </c>
      <c r="B2921" t="s">
        <v>11</v>
      </c>
      <c r="C2921" t="s">
        <v>12</v>
      </c>
      <c r="D2921" t="s">
        <v>13</v>
      </c>
      <c r="E2921">
        <v>5</v>
      </c>
      <c r="F2921" t="s">
        <v>33</v>
      </c>
      <c r="G2921" t="s">
        <v>15</v>
      </c>
      <c r="H2921" t="s">
        <v>16</v>
      </c>
      <c r="I2921">
        <v>0</v>
      </c>
      <c r="J2921" s="23">
        <v>-66570</v>
      </c>
      <c r="K2921" t="s">
        <v>17</v>
      </c>
    </row>
    <row r="2922" spans="1:11" ht="15" customHeight="1" x14ac:dyDescent="0.3">
      <c r="A2922" t="s">
        <v>10</v>
      </c>
      <c r="B2922" t="s">
        <v>44</v>
      </c>
      <c r="C2922" t="s">
        <v>12</v>
      </c>
      <c r="D2922" t="s">
        <v>28</v>
      </c>
      <c r="E2922">
        <v>-4</v>
      </c>
      <c r="F2922" t="s">
        <v>38</v>
      </c>
      <c r="G2922" t="s">
        <v>15</v>
      </c>
      <c r="H2922" t="s">
        <v>16</v>
      </c>
      <c r="I2922">
        <v>0</v>
      </c>
      <c r="J2922" s="23">
        <v>0</v>
      </c>
      <c r="K2922" t="s">
        <v>17</v>
      </c>
    </row>
    <row r="2923" spans="1:11" ht="15" customHeight="1" x14ac:dyDescent="0.3">
      <c r="A2923" t="s">
        <v>10</v>
      </c>
      <c r="B2923" t="s">
        <v>11</v>
      </c>
      <c r="C2923" t="s">
        <v>24</v>
      </c>
      <c r="D2923" t="s">
        <v>28</v>
      </c>
      <c r="E2923">
        <v>10</v>
      </c>
      <c r="F2923" t="s">
        <v>33</v>
      </c>
      <c r="G2923" t="s">
        <v>15</v>
      </c>
      <c r="H2923" t="s">
        <v>32</v>
      </c>
      <c r="I2923">
        <v>1</v>
      </c>
      <c r="J2923" s="23">
        <v>897802</v>
      </c>
      <c r="K2923">
        <v>8978020</v>
      </c>
    </row>
    <row r="2924" spans="1:11" ht="15" customHeight="1" x14ac:dyDescent="0.3">
      <c r="A2924" t="s">
        <v>22</v>
      </c>
      <c r="B2924" t="s">
        <v>11</v>
      </c>
      <c r="C2924" t="s">
        <v>12</v>
      </c>
      <c r="D2924" t="s">
        <v>13</v>
      </c>
      <c r="E2924">
        <v>1</v>
      </c>
      <c r="F2924" t="s">
        <v>27</v>
      </c>
      <c r="G2924" t="s">
        <v>15</v>
      </c>
      <c r="H2924" t="s">
        <v>16</v>
      </c>
      <c r="I2924">
        <v>0</v>
      </c>
      <c r="J2924" s="23">
        <v>-158055</v>
      </c>
      <c r="K2924" t="s">
        <v>17</v>
      </c>
    </row>
    <row r="2925" spans="1:11" ht="15" customHeight="1" x14ac:dyDescent="0.3">
      <c r="A2925" t="s">
        <v>10</v>
      </c>
      <c r="B2925" t="s">
        <v>11</v>
      </c>
      <c r="C2925" t="s">
        <v>24</v>
      </c>
      <c r="D2925" t="s">
        <v>13</v>
      </c>
      <c r="E2925">
        <v>6</v>
      </c>
      <c r="F2925" t="s">
        <v>23</v>
      </c>
      <c r="G2925" t="s">
        <v>15</v>
      </c>
      <c r="H2925" t="s">
        <v>16</v>
      </c>
      <c r="I2925">
        <v>0</v>
      </c>
      <c r="J2925" s="23">
        <v>783108</v>
      </c>
      <c r="K2925">
        <v>4698648</v>
      </c>
    </row>
    <row r="2926" spans="1:11" ht="15" customHeight="1" x14ac:dyDescent="0.3">
      <c r="A2926" t="s">
        <v>10</v>
      </c>
      <c r="B2926" t="s">
        <v>11</v>
      </c>
      <c r="C2926" t="s">
        <v>12</v>
      </c>
      <c r="D2926" t="s">
        <v>13</v>
      </c>
      <c r="E2926">
        <v>6</v>
      </c>
      <c r="F2926" t="s">
        <v>23</v>
      </c>
      <c r="G2926" t="s">
        <v>15</v>
      </c>
      <c r="H2926" t="s">
        <v>16</v>
      </c>
      <c r="I2926">
        <v>0</v>
      </c>
      <c r="J2926" s="23">
        <v>-62073</v>
      </c>
      <c r="K2926" t="s">
        <v>17</v>
      </c>
    </row>
    <row r="2927" spans="1:11" ht="15" customHeight="1" x14ac:dyDescent="0.3">
      <c r="A2927" t="s">
        <v>18</v>
      </c>
      <c r="B2927" t="s">
        <v>11</v>
      </c>
      <c r="C2927" t="s">
        <v>24</v>
      </c>
      <c r="D2927" t="s">
        <v>13</v>
      </c>
      <c r="E2927">
        <v>1</v>
      </c>
      <c r="F2927" t="s">
        <v>41</v>
      </c>
      <c r="G2927" t="s">
        <v>15</v>
      </c>
      <c r="H2927" t="s">
        <v>16</v>
      </c>
      <c r="I2927">
        <v>0</v>
      </c>
      <c r="J2927" s="23">
        <v>410311</v>
      </c>
      <c r="K2927">
        <v>410311</v>
      </c>
    </row>
    <row r="2928" spans="1:11" ht="15" customHeight="1" x14ac:dyDescent="0.3">
      <c r="A2928" t="s">
        <v>18</v>
      </c>
      <c r="B2928" t="s">
        <v>44</v>
      </c>
      <c r="C2928" t="s">
        <v>12</v>
      </c>
      <c r="D2928" t="s">
        <v>28</v>
      </c>
      <c r="E2928">
        <v>1</v>
      </c>
      <c r="F2928" t="s">
        <v>38</v>
      </c>
      <c r="G2928" t="s">
        <v>15</v>
      </c>
      <c r="H2928" t="s">
        <v>16</v>
      </c>
      <c r="I2928">
        <v>0</v>
      </c>
      <c r="J2928" s="23">
        <v>-4176</v>
      </c>
      <c r="K2928" t="s">
        <v>17</v>
      </c>
    </row>
    <row r="2929" spans="1:11" ht="15" customHeight="1" x14ac:dyDescent="0.3">
      <c r="A2929" t="s">
        <v>18</v>
      </c>
      <c r="B2929" t="s">
        <v>11</v>
      </c>
      <c r="C2929" t="s">
        <v>24</v>
      </c>
      <c r="D2929" t="s">
        <v>28</v>
      </c>
      <c r="E2929">
        <v>2</v>
      </c>
      <c r="F2929" t="s">
        <v>14</v>
      </c>
      <c r="G2929" t="s">
        <v>15</v>
      </c>
      <c r="H2929" t="s">
        <v>16</v>
      </c>
      <c r="I2929">
        <v>0</v>
      </c>
      <c r="J2929" s="23">
        <v>1174677</v>
      </c>
      <c r="K2929">
        <v>2349354</v>
      </c>
    </row>
    <row r="2930" spans="1:11" ht="15" customHeight="1" x14ac:dyDescent="0.3">
      <c r="A2930" t="s">
        <v>10</v>
      </c>
      <c r="B2930" t="s">
        <v>11</v>
      </c>
      <c r="C2930" t="s">
        <v>12</v>
      </c>
      <c r="D2930" t="s">
        <v>25</v>
      </c>
      <c r="E2930">
        <v>1</v>
      </c>
      <c r="F2930" t="s">
        <v>27</v>
      </c>
      <c r="G2930" t="s">
        <v>15</v>
      </c>
      <c r="H2930" t="s">
        <v>16</v>
      </c>
      <c r="I2930">
        <v>0</v>
      </c>
      <c r="J2930" s="23">
        <v>-589</v>
      </c>
      <c r="K2930" t="s">
        <v>17</v>
      </c>
    </row>
    <row r="2931" spans="1:11" ht="15" customHeight="1" x14ac:dyDescent="0.3">
      <c r="A2931" t="s">
        <v>10</v>
      </c>
      <c r="B2931" t="s">
        <v>11</v>
      </c>
      <c r="C2931" t="s">
        <v>24</v>
      </c>
      <c r="D2931" t="s">
        <v>13</v>
      </c>
      <c r="E2931">
        <v>3</v>
      </c>
      <c r="F2931" t="s">
        <v>37</v>
      </c>
      <c r="G2931" t="s">
        <v>15</v>
      </c>
      <c r="H2931" t="s">
        <v>16</v>
      </c>
      <c r="I2931">
        <v>0</v>
      </c>
      <c r="J2931" s="23">
        <v>1176445</v>
      </c>
      <c r="K2931">
        <v>3529335</v>
      </c>
    </row>
    <row r="2932" spans="1:11" ht="15" customHeight="1" x14ac:dyDescent="0.3">
      <c r="A2932" t="s">
        <v>10</v>
      </c>
      <c r="B2932" t="s">
        <v>11</v>
      </c>
      <c r="C2932" t="s">
        <v>24</v>
      </c>
      <c r="D2932" t="s">
        <v>25</v>
      </c>
      <c r="E2932">
        <v>0</v>
      </c>
      <c r="F2932" t="s">
        <v>14</v>
      </c>
      <c r="G2932" t="s">
        <v>15</v>
      </c>
      <c r="H2932" t="s">
        <v>16</v>
      </c>
      <c r="I2932">
        <v>0</v>
      </c>
      <c r="J2932" s="23">
        <v>44338</v>
      </c>
      <c r="K2932" t="s">
        <v>17</v>
      </c>
    </row>
    <row r="2933" spans="1:11" ht="15" customHeight="1" x14ac:dyDescent="0.3">
      <c r="A2933" t="s">
        <v>18</v>
      </c>
      <c r="B2933" t="s">
        <v>19</v>
      </c>
      <c r="C2933" t="s">
        <v>24</v>
      </c>
      <c r="D2933" t="s">
        <v>20</v>
      </c>
      <c r="E2933">
        <v>48</v>
      </c>
      <c r="F2933"/>
      <c r="G2933" t="s">
        <v>15</v>
      </c>
      <c r="H2933" t="s">
        <v>16</v>
      </c>
      <c r="I2933">
        <v>0</v>
      </c>
      <c r="J2933" s="23">
        <v>102988</v>
      </c>
      <c r="K2933">
        <v>4943424</v>
      </c>
    </row>
    <row r="2934" spans="1:11" ht="15" customHeight="1" x14ac:dyDescent="0.3">
      <c r="A2934" t="s">
        <v>10</v>
      </c>
      <c r="B2934" t="s">
        <v>11</v>
      </c>
      <c r="C2934" t="s">
        <v>12</v>
      </c>
      <c r="D2934" t="s">
        <v>28</v>
      </c>
      <c r="E2934">
        <v>0</v>
      </c>
      <c r="F2934" t="s">
        <v>40</v>
      </c>
      <c r="G2934" t="s">
        <v>15</v>
      </c>
      <c r="H2934" t="s">
        <v>16</v>
      </c>
      <c r="I2934">
        <v>0</v>
      </c>
      <c r="J2934" s="23">
        <v>-2859</v>
      </c>
      <c r="K2934" t="s">
        <v>17</v>
      </c>
    </row>
    <row r="2935" spans="1:11" ht="15" customHeight="1" x14ac:dyDescent="0.3">
      <c r="A2935" t="s">
        <v>18</v>
      </c>
      <c r="B2935" t="s">
        <v>11</v>
      </c>
      <c r="C2935" t="s">
        <v>12</v>
      </c>
      <c r="D2935" t="s">
        <v>28</v>
      </c>
      <c r="E2935">
        <v>13</v>
      </c>
      <c r="F2935" t="s">
        <v>21</v>
      </c>
      <c r="G2935" t="s">
        <v>15</v>
      </c>
      <c r="H2935" t="s">
        <v>32</v>
      </c>
      <c r="I2935">
        <v>1</v>
      </c>
      <c r="J2935" s="23">
        <v>-56</v>
      </c>
      <c r="K2935" t="s">
        <v>17</v>
      </c>
    </row>
    <row r="2936" spans="1:11" ht="15" customHeight="1" x14ac:dyDescent="0.3">
      <c r="A2936" t="s">
        <v>22</v>
      </c>
      <c r="B2936" t="s">
        <v>11</v>
      </c>
      <c r="C2936" t="s">
        <v>12</v>
      </c>
      <c r="D2936" t="s">
        <v>28</v>
      </c>
      <c r="E2936">
        <v>5</v>
      </c>
      <c r="F2936" t="s">
        <v>34</v>
      </c>
      <c r="G2936" t="s">
        <v>15</v>
      </c>
      <c r="H2936" t="s">
        <v>32</v>
      </c>
      <c r="I2936">
        <v>1</v>
      </c>
      <c r="J2936" s="23">
        <v>-37909</v>
      </c>
      <c r="K2936" t="s">
        <v>17</v>
      </c>
    </row>
    <row r="2937" spans="1:11" ht="15" customHeight="1" x14ac:dyDescent="0.3">
      <c r="A2937" t="s">
        <v>18</v>
      </c>
      <c r="B2937" t="s">
        <v>11</v>
      </c>
      <c r="C2937" t="s">
        <v>12</v>
      </c>
      <c r="D2937" t="s">
        <v>13</v>
      </c>
      <c r="E2937">
        <v>0</v>
      </c>
      <c r="F2937" t="s">
        <v>36</v>
      </c>
      <c r="G2937" t="s">
        <v>15</v>
      </c>
      <c r="H2937" t="s">
        <v>16</v>
      </c>
      <c r="I2937">
        <v>0</v>
      </c>
      <c r="J2937" s="23">
        <v>-60712</v>
      </c>
      <c r="K2937" t="s">
        <v>17</v>
      </c>
    </row>
    <row r="2938" spans="1:11" ht="15" customHeight="1" x14ac:dyDescent="0.3">
      <c r="A2938" t="s">
        <v>10</v>
      </c>
      <c r="B2938" t="s">
        <v>11</v>
      </c>
      <c r="C2938" t="s">
        <v>24</v>
      </c>
      <c r="D2938" t="s">
        <v>25</v>
      </c>
      <c r="E2938">
        <v>1</v>
      </c>
      <c r="F2938" t="s">
        <v>45</v>
      </c>
      <c r="G2938" t="s">
        <v>15</v>
      </c>
      <c r="H2938" t="s">
        <v>16</v>
      </c>
      <c r="I2938">
        <v>0</v>
      </c>
      <c r="J2938" s="23">
        <v>48253</v>
      </c>
      <c r="K2938">
        <v>48253</v>
      </c>
    </row>
    <row r="2939" spans="1:11" ht="15" customHeight="1" x14ac:dyDescent="0.3">
      <c r="A2939" t="s">
        <v>10</v>
      </c>
      <c r="B2939" t="s">
        <v>11</v>
      </c>
      <c r="C2939" t="s">
        <v>24</v>
      </c>
      <c r="D2939" t="s">
        <v>25</v>
      </c>
      <c r="E2939">
        <v>-4</v>
      </c>
      <c r="F2939" t="s">
        <v>21</v>
      </c>
      <c r="G2939" t="s">
        <v>15</v>
      </c>
      <c r="H2939" t="s">
        <v>16</v>
      </c>
      <c r="I2939">
        <v>0</v>
      </c>
      <c r="J2939" s="23">
        <v>22204</v>
      </c>
      <c r="K2939" t="s">
        <v>17</v>
      </c>
    </row>
    <row r="2940" spans="1:11" ht="15" customHeight="1" x14ac:dyDescent="0.3">
      <c r="A2940" t="s">
        <v>18</v>
      </c>
      <c r="B2940" t="s">
        <v>47</v>
      </c>
      <c r="C2940" t="s">
        <v>12</v>
      </c>
      <c r="D2940" t="s">
        <v>20</v>
      </c>
      <c r="E2940">
        <v>3</v>
      </c>
      <c r="F2940" t="s">
        <v>46</v>
      </c>
      <c r="G2940" t="s">
        <v>15</v>
      </c>
      <c r="H2940" t="s">
        <v>16</v>
      </c>
      <c r="I2940">
        <v>0</v>
      </c>
      <c r="J2940" s="23">
        <v>-21</v>
      </c>
      <c r="K2940" t="s">
        <v>17</v>
      </c>
    </row>
    <row r="2941" spans="1:11" ht="15" customHeight="1" x14ac:dyDescent="0.3">
      <c r="A2941" t="s">
        <v>10</v>
      </c>
      <c r="B2941" t="s">
        <v>11</v>
      </c>
      <c r="C2941" t="s">
        <v>24</v>
      </c>
      <c r="D2941" t="s">
        <v>13</v>
      </c>
      <c r="E2941">
        <v>3</v>
      </c>
      <c r="F2941" t="s">
        <v>26</v>
      </c>
      <c r="G2941" t="s">
        <v>15</v>
      </c>
      <c r="H2941" t="s">
        <v>16</v>
      </c>
      <c r="I2941">
        <v>0</v>
      </c>
      <c r="J2941" s="23">
        <v>5647501</v>
      </c>
      <c r="K2941">
        <v>16942503</v>
      </c>
    </row>
    <row r="2942" spans="1:11" ht="15" customHeight="1" x14ac:dyDescent="0.3">
      <c r="A2942" t="s">
        <v>22</v>
      </c>
      <c r="B2942" t="s">
        <v>11</v>
      </c>
      <c r="C2942" t="s">
        <v>12</v>
      </c>
      <c r="D2942" t="s">
        <v>13</v>
      </c>
      <c r="E2942">
        <v>0</v>
      </c>
      <c r="F2942" t="s">
        <v>21</v>
      </c>
      <c r="G2942" t="s">
        <v>15</v>
      </c>
      <c r="H2942" t="s">
        <v>16</v>
      </c>
      <c r="I2942">
        <v>0</v>
      </c>
      <c r="J2942" s="23">
        <v>-514181</v>
      </c>
      <c r="K2942" t="s">
        <v>17</v>
      </c>
    </row>
    <row r="2943" spans="1:11" ht="15" customHeight="1" x14ac:dyDescent="0.3">
      <c r="A2943" t="s">
        <v>10</v>
      </c>
      <c r="B2943" t="s">
        <v>11</v>
      </c>
      <c r="C2943" t="s">
        <v>24</v>
      </c>
      <c r="D2943" t="s">
        <v>25</v>
      </c>
      <c r="E2943">
        <v>3</v>
      </c>
      <c r="F2943" t="s">
        <v>39</v>
      </c>
      <c r="G2943" t="s">
        <v>15</v>
      </c>
      <c r="H2943" t="s">
        <v>16</v>
      </c>
      <c r="I2943">
        <v>0</v>
      </c>
      <c r="J2943" s="23">
        <v>730151</v>
      </c>
      <c r="K2943">
        <v>2190453</v>
      </c>
    </row>
    <row r="2944" spans="1:11" ht="15" customHeight="1" x14ac:dyDescent="0.3">
      <c r="A2944" t="s">
        <v>22</v>
      </c>
      <c r="B2944" t="s">
        <v>11</v>
      </c>
      <c r="C2944" t="s">
        <v>12</v>
      </c>
      <c r="D2944" t="s">
        <v>13</v>
      </c>
      <c r="E2944">
        <v>-4</v>
      </c>
      <c r="F2944" t="s">
        <v>36</v>
      </c>
      <c r="G2944" t="s">
        <v>15</v>
      </c>
      <c r="H2944" t="s">
        <v>16</v>
      </c>
      <c r="I2944">
        <v>0</v>
      </c>
      <c r="J2944" s="23">
        <v>-42866</v>
      </c>
      <c r="K2944" t="s">
        <v>17</v>
      </c>
    </row>
    <row r="2945" spans="1:11" ht="15" customHeight="1" x14ac:dyDescent="0.3">
      <c r="A2945" t="s">
        <v>18</v>
      </c>
      <c r="B2945" t="s">
        <v>11</v>
      </c>
      <c r="C2945" t="s">
        <v>24</v>
      </c>
      <c r="D2945" t="s">
        <v>28</v>
      </c>
      <c r="E2945">
        <v>5</v>
      </c>
      <c r="F2945" t="s">
        <v>38</v>
      </c>
      <c r="G2945" t="s">
        <v>15</v>
      </c>
      <c r="H2945" t="s">
        <v>16</v>
      </c>
      <c r="I2945">
        <v>0</v>
      </c>
      <c r="J2945" s="23">
        <v>4602070</v>
      </c>
      <c r="K2945">
        <v>23010350</v>
      </c>
    </row>
    <row r="2946" spans="1:11" ht="15" customHeight="1" x14ac:dyDescent="0.3">
      <c r="A2946" t="s">
        <v>10</v>
      </c>
      <c r="B2946" t="s">
        <v>11</v>
      </c>
      <c r="C2946" t="s">
        <v>12</v>
      </c>
      <c r="D2946" t="s">
        <v>28</v>
      </c>
      <c r="E2946">
        <v>12</v>
      </c>
      <c r="F2946" t="s">
        <v>21</v>
      </c>
      <c r="G2946" t="s">
        <v>31</v>
      </c>
      <c r="H2946" t="s">
        <v>32</v>
      </c>
      <c r="I2946">
        <v>1</v>
      </c>
      <c r="J2946" s="23">
        <v>-549</v>
      </c>
      <c r="K2946" t="s">
        <v>17</v>
      </c>
    </row>
    <row r="2947" spans="1:11" ht="15" customHeight="1" x14ac:dyDescent="0.3">
      <c r="A2947" t="s">
        <v>18</v>
      </c>
      <c r="B2947" t="s">
        <v>11</v>
      </c>
      <c r="C2947" t="s">
        <v>24</v>
      </c>
      <c r="D2947" t="s">
        <v>25</v>
      </c>
      <c r="E2947">
        <v>4</v>
      </c>
      <c r="F2947" t="s">
        <v>23</v>
      </c>
      <c r="G2947" t="s">
        <v>15</v>
      </c>
      <c r="H2947" t="s">
        <v>16</v>
      </c>
      <c r="I2947">
        <v>0</v>
      </c>
      <c r="J2947" s="23">
        <v>2582309</v>
      </c>
      <c r="K2947">
        <v>10329236</v>
      </c>
    </row>
    <row r="2948" spans="1:11" ht="15" customHeight="1" x14ac:dyDescent="0.3">
      <c r="A2948" t="s">
        <v>18</v>
      </c>
      <c r="B2948" t="s">
        <v>19</v>
      </c>
      <c r="C2948" t="s">
        <v>24</v>
      </c>
      <c r="D2948" t="s">
        <v>20</v>
      </c>
      <c r="E2948">
        <v>29</v>
      </c>
      <c r="F2948"/>
      <c r="G2948" t="s">
        <v>15</v>
      </c>
      <c r="H2948" t="s">
        <v>16</v>
      </c>
      <c r="I2948">
        <v>0</v>
      </c>
      <c r="J2948" s="23">
        <v>1087455306</v>
      </c>
      <c r="K2948">
        <v>31536203874</v>
      </c>
    </row>
    <row r="2949" spans="1:11" ht="15" customHeight="1" x14ac:dyDescent="0.3">
      <c r="A2949" t="s">
        <v>18</v>
      </c>
      <c r="B2949" t="s">
        <v>11</v>
      </c>
      <c r="C2949" t="s">
        <v>12</v>
      </c>
      <c r="D2949" t="s">
        <v>25</v>
      </c>
      <c r="E2949">
        <v>-1</v>
      </c>
      <c r="F2949" t="s">
        <v>34</v>
      </c>
      <c r="G2949" t="s">
        <v>15</v>
      </c>
      <c r="H2949" t="s">
        <v>16</v>
      </c>
      <c r="I2949">
        <v>0</v>
      </c>
      <c r="J2949" s="23">
        <v>-15270</v>
      </c>
      <c r="K2949" t="s">
        <v>17</v>
      </c>
    </row>
    <row r="2950" spans="1:11" ht="15" customHeight="1" x14ac:dyDescent="0.3">
      <c r="A2950" t="s">
        <v>18</v>
      </c>
      <c r="B2950" t="s">
        <v>11</v>
      </c>
      <c r="C2950" t="s">
        <v>12</v>
      </c>
      <c r="D2950" t="s">
        <v>13</v>
      </c>
      <c r="E2950">
        <v>1</v>
      </c>
      <c r="F2950" t="s">
        <v>30</v>
      </c>
      <c r="G2950" t="s">
        <v>15</v>
      </c>
      <c r="H2950" t="s">
        <v>16</v>
      </c>
      <c r="I2950">
        <v>0</v>
      </c>
      <c r="J2950" s="23">
        <v>-73631</v>
      </c>
      <c r="K2950" t="s">
        <v>17</v>
      </c>
    </row>
    <row r="2951" spans="1:11" ht="15" customHeight="1" x14ac:dyDescent="0.3">
      <c r="A2951" t="s">
        <v>22</v>
      </c>
      <c r="B2951" t="s">
        <v>19</v>
      </c>
      <c r="C2951" t="s">
        <v>12</v>
      </c>
      <c r="D2951" t="s">
        <v>20</v>
      </c>
      <c r="E2951">
        <v>39</v>
      </c>
      <c r="F2951"/>
      <c r="G2951" t="s">
        <v>15</v>
      </c>
      <c r="H2951" t="s">
        <v>16</v>
      </c>
      <c r="I2951">
        <v>0</v>
      </c>
      <c r="J2951" s="23">
        <v>-495013</v>
      </c>
      <c r="K2951" t="s">
        <v>17</v>
      </c>
    </row>
    <row r="2952" spans="1:11" ht="15" customHeight="1" x14ac:dyDescent="0.3">
      <c r="A2952" t="s">
        <v>10</v>
      </c>
      <c r="B2952" t="s">
        <v>11</v>
      </c>
      <c r="C2952" t="s">
        <v>24</v>
      </c>
      <c r="D2952" t="s">
        <v>13</v>
      </c>
      <c r="E2952">
        <v>0</v>
      </c>
      <c r="F2952" t="s">
        <v>45</v>
      </c>
      <c r="G2952" t="s">
        <v>15</v>
      </c>
      <c r="H2952" t="s">
        <v>16</v>
      </c>
      <c r="I2952">
        <v>0</v>
      </c>
      <c r="J2952" s="23">
        <v>32970</v>
      </c>
      <c r="K2952" t="s">
        <v>17</v>
      </c>
    </row>
    <row r="2953" spans="1:11" ht="15" customHeight="1" x14ac:dyDescent="0.3">
      <c r="A2953" t="s">
        <v>18</v>
      </c>
      <c r="B2953" t="s">
        <v>11</v>
      </c>
      <c r="C2953" t="s">
        <v>24</v>
      </c>
      <c r="D2953" t="s">
        <v>28</v>
      </c>
      <c r="E2953">
        <v>2</v>
      </c>
      <c r="F2953" t="s">
        <v>30</v>
      </c>
      <c r="G2953" t="s">
        <v>15</v>
      </c>
      <c r="H2953" t="s">
        <v>16</v>
      </c>
      <c r="I2953">
        <v>0</v>
      </c>
      <c r="J2953" s="23">
        <v>6606868</v>
      </c>
      <c r="K2953">
        <v>13213736</v>
      </c>
    </row>
    <row r="2954" spans="1:11" ht="15" customHeight="1" x14ac:dyDescent="0.3">
      <c r="A2954" t="s">
        <v>18</v>
      </c>
      <c r="B2954" t="s">
        <v>11</v>
      </c>
      <c r="C2954" t="s">
        <v>12</v>
      </c>
      <c r="D2954" t="s">
        <v>13</v>
      </c>
      <c r="E2954">
        <v>7</v>
      </c>
      <c r="F2954" t="s">
        <v>40</v>
      </c>
      <c r="G2954" t="s">
        <v>15</v>
      </c>
      <c r="H2954" t="s">
        <v>16</v>
      </c>
      <c r="I2954">
        <v>0</v>
      </c>
      <c r="J2954" s="23">
        <v>-131717</v>
      </c>
      <c r="K2954" t="s">
        <v>17</v>
      </c>
    </row>
    <row r="2955" spans="1:11" ht="15" customHeight="1" x14ac:dyDescent="0.3">
      <c r="A2955" t="s">
        <v>10</v>
      </c>
      <c r="B2955" t="s">
        <v>11</v>
      </c>
      <c r="C2955" t="s">
        <v>24</v>
      </c>
      <c r="D2955" t="s">
        <v>13</v>
      </c>
      <c r="E2955">
        <v>4</v>
      </c>
      <c r="F2955" t="s">
        <v>29</v>
      </c>
      <c r="G2955" t="s">
        <v>15</v>
      </c>
      <c r="H2955" t="s">
        <v>16</v>
      </c>
      <c r="I2955">
        <v>0</v>
      </c>
      <c r="J2955" s="23">
        <v>18650902</v>
      </c>
      <c r="K2955">
        <v>74603608</v>
      </c>
    </row>
    <row r="2956" spans="1:11" ht="15" customHeight="1" x14ac:dyDescent="0.3">
      <c r="A2956" t="s">
        <v>22</v>
      </c>
      <c r="B2956" t="s">
        <v>19</v>
      </c>
      <c r="C2956" t="s">
        <v>12</v>
      </c>
      <c r="D2956" t="s">
        <v>28</v>
      </c>
      <c r="E2956">
        <v>4</v>
      </c>
      <c r="F2956"/>
      <c r="G2956" t="s">
        <v>15</v>
      </c>
      <c r="H2956" t="s">
        <v>16</v>
      </c>
      <c r="I2956">
        <v>0</v>
      </c>
      <c r="J2956" s="23">
        <v>-5282500</v>
      </c>
      <c r="K2956" t="s">
        <v>17</v>
      </c>
    </row>
    <row r="2957" spans="1:11" ht="15" customHeight="1" x14ac:dyDescent="0.3">
      <c r="A2957" t="s">
        <v>18</v>
      </c>
      <c r="B2957" t="s">
        <v>19</v>
      </c>
      <c r="C2957" t="s">
        <v>12</v>
      </c>
      <c r="D2957" t="s">
        <v>20</v>
      </c>
      <c r="E2957">
        <v>43</v>
      </c>
      <c r="F2957"/>
      <c r="G2957" t="s">
        <v>15</v>
      </c>
      <c r="H2957" t="s">
        <v>32</v>
      </c>
      <c r="I2957">
        <v>1</v>
      </c>
      <c r="J2957" s="23">
        <v>-14</v>
      </c>
      <c r="K2957" t="s">
        <v>17</v>
      </c>
    </row>
    <row r="2958" spans="1:11" ht="15" customHeight="1" x14ac:dyDescent="0.3">
      <c r="A2958" t="s">
        <v>18</v>
      </c>
      <c r="B2958" t="s">
        <v>11</v>
      </c>
      <c r="C2958" t="s">
        <v>24</v>
      </c>
      <c r="D2958" t="s">
        <v>28</v>
      </c>
      <c r="E2958">
        <v>2</v>
      </c>
      <c r="F2958" t="s">
        <v>27</v>
      </c>
      <c r="G2958" t="s">
        <v>15</v>
      </c>
      <c r="H2958" t="s">
        <v>16</v>
      </c>
      <c r="I2958">
        <v>0</v>
      </c>
      <c r="J2958" s="23">
        <v>32947</v>
      </c>
      <c r="K2958">
        <v>65894</v>
      </c>
    </row>
    <row r="2959" spans="1:11" ht="15" customHeight="1" x14ac:dyDescent="0.3">
      <c r="A2959" t="s">
        <v>10</v>
      </c>
      <c r="B2959" t="s">
        <v>44</v>
      </c>
      <c r="C2959" t="s">
        <v>12</v>
      </c>
      <c r="D2959" t="s">
        <v>28</v>
      </c>
      <c r="E2959">
        <v>6</v>
      </c>
      <c r="F2959" t="s">
        <v>21</v>
      </c>
      <c r="G2959" t="s">
        <v>15</v>
      </c>
      <c r="H2959" t="s">
        <v>16</v>
      </c>
      <c r="I2959">
        <v>0</v>
      </c>
      <c r="J2959" s="23">
        <v>-3111</v>
      </c>
      <c r="K2959" t="s">
        <v>17</v>
      </c>
    </row>
    <row r="2960" spans="1:11" ht="15" customHeight="1" x14ac:dyDescent="0.3">
      <c r="A2960" t="s">
        <v>10</v>
      </c>
      <c r="B2960" t="s">
        <v>11</v>
      </c>
      <c r="C2960" t="s">
        <v>12</v>
      </c>
      <c r="D2960" t="s">
        <v>28</v>
      </c>
      <c r="E2960">
        <v>5</v>
      </c>
      <c r="F2960" t="s">
        <v>30</v>
      </c>
      <c r="G2960" t="s">
        <v>15</v>
      </c>
      <c r="H2960" t="s">
        <v>16</v>
      </c>
      <c r="I2960">
        <v>0</v>
      </c>
      <c r="J2960" s="23">
        <v>-5851</v>
      </c>
      <c r="K2960" t="s">
        <v>17</v>
      </c>
    </row>
    <row r="2961" spans="1:11" ht="15" customHeight="1" x14ac:dyDescent="0.3">
      <c r="A2961" t="s">
        <v>22</v>
      </c>
      <c r="B2961" t="s">
        <v>19</v>
      </c>
      <c r="C2961" t="s">
        <v>24</v>
      </c>
      <c r="D2961" t="s">
        <v>28</v>
      </c>
      <c r="E2961">
        <v>4</v>
      </c>
      <c r="F2961"/>
      <c r="G2961" t="s">
        <v>15</v>
      </c>
      <c r="H2961" t="s">
        <v>16</v>
      </c>
      <c r="I2961">
        <v>0</v>
      </c>
      <c r="J2961" s="23">
        <v>6121596</v>
      </c>
      <c r="K2961">
        <v>24486384</v>
      </c>
    </row>
    <row r="2962" spans="1:11" ht="15" customHeight="1" x14ac:dyDescent="0.3">
      <c r="A2962" t="s">
        <v>10</v>
      </c>
      <c r="B2962" t="s">
        <v>11</v>
      </c>
      <c r="C2962" t="s">
        <v>24</v>
      </c>
      <c r="D2962" t="s">
        <v>28</v>
      </c>
      <c r="E2962">
        <v>7</v>
      </c>
      <c r="F2962" t="s">
        <v>39</v>
      </c>
      <c r="G2962" t="s">
        <v>15</v>
      </c>
      <c r="H2962" t="s">
        <v>16</v>
      </c>
      <c r="I2962">
        <v>0</v>
      </c>
      <c r="J2962" s="23">
        <v>3127206</v>
      </c>
      <c r="K2962">
        <v>21890442</v>
      </c>
    </row>
    <row r="2963" spans="1:11" ht="15" customHeight="1" x14ac:dyDescent="0.3">
      <c r="A2963" t="s">
        <v>22</v>
      </c>
      <c r="B2963" t="s">
        <v>11</v>
      </c>
      <c r="C2963" t="s">
        <v>12</v>
      </c>
      <c r="D2963" t="s">
        <v>13</v>
      </c>
      <c r="E2963">
        <v>2</v>
      </c>
      <c r="F2963" t="s">
        <v>30</v>
      </c>
      <c r="G2963" t="s">
        <v>15</v>
      </c>
      <c r="H2963" t="s">
        <v>16</v>
      </c>
      <c r="I2963">
        <v>0</v>
      </c>
      <c r="J2963" s="23">
        <v>-336134</v>
      </c>
      <c r="K2963" t="s">
        <v>17</v>
      </c>
    </row>
    <row r="2964" spans="1:11" ht="15" customHeight="1" x14ac:dyDescent="0.3">
      <c r="A2964" t="s">
        <v>10</v>
      </c>
      <c r="B2964" t="s">
        <v>19</v>
      </c>
      <c r="C2964" t="s">
        <v>12</v>
      </c>
      <c r="D2964" t="s">
        <v>28</v>
      </c>
      <c r="E2964">
        <v>20</v>
      </c>
      <c r="F2964"/>
      <c r="G2964" t="s">
        <v>15</v>
      </c>
      <c r="H2964" t="s">
        <v>16</v>
      </c>
      <c r="I2964">
        <v>0</v>
      </c>
      <c r="J2964" s="23">
        <v>-1638</v>
      </c>
      <c r="K2964" t="s">
        <v>17</v>
      </c>
    </row>
    <row r="2965" spans="1:11" ht="15" customHeight="1" x14ac:dyDescent="0.3">
      <c r="A2965" t="s">
        <v>18</v>
      </c>
      <c r="B2965" t="s">
        <v>11</v>
      </c>
      <c r="C2965" t="s">
        <v>24</v>
      </c>
      <c r="D2965" t="s">
        <v>28</v>
      </c>
      <c r="E2965">
        <v>11</v>
      </c>
      <c r="F2965" t="s">
        <v>39</v>
      </c>
      <c r="G2965" t="s">
        <v>15</v>
      </c>
      <c r="H2965" t="s">
        <v>16</v>
      </c>
      <c r="I2965">
        <v>0</v>
      </c>
      <c r="J2965" s="23">
        <v>1168741</v>
      </c>
      <c r="K2965">
        <v>12856151</v>
      </c>
    </row>
    <row r="2966" spans="1:11" ht="15" customHeight="1" x14ac:dyDescent="0.3">
      <c r="A2966" t="s">
        <v>10</v>
      </c>
      <c r="B2966" t="s">
        <v>19</v>
      </c>
      <c r="C2966" t="s">
        <v>24</v>
      </c>
      <c r="D2966" t="s">
        <v>20</v>
      </c>
      <c r="E2966">
        <v>36</v>
      </c>
      <c r="F2966"/>
      <c r="G2966" t="s">
        <v>15</v>
      </c>
      <c r="H2966" t="s">
        <v>16</v>
      </c>
      <c r="I2966">
        <v>0</v>
      </c>
      <c r="J2966" s="23">
        <v>81360307</v>
      </c>
      <c r="K2966">
        <v>2928971052</v>
      </c>
    </row>
    <row r="2967" spans="1:11" ht="15" customHeight="1" x14ac:dyDescent="0.3">
      <c r="A2967" t="s">
        <v>10</v>
      </c>
      <c r="B2967" t="s">
        <v>11</v>
      </c>
      <c r="C2967" t="s">
        <v>24</v>
      </c>
      <c r="D2967" t="s">
        <v>25</v>
      </c>
      <c r="E2967">
        <v>5</v>
      </c>
      <c r="F2967" t="s">
        <v>34</v>
      </c>
      <c r="G2967" t="s">
        <v>15</v>
      </c>
      <c r="H2967" t="s">
        <v>16</v>
      </c>
      <c r="I2967">
        <v>0</v>
      </c>
      <c r="J2967" s="23">
        <v>1903049</v>
      </c>
      <c r="K2967">
        <v>9515245</v>
      </c>
    </row>
    <row r="2968" spans="1:11" ht="15" customHeight="1" x14ac:dyDescent="0.3">
      <c r="A2968" t="s">
        <v>18</v>
      </c>
      <c r="B2968" t="s">
        <v>19</v>
      </c>
      <c r="C2968" t="s">
        <v>24</v>
      </c>
      <c r="D2968" t="s">
        <v>20</v>
      </c>
      <c r="E2968">
        <v>7</v>
      </c>
      <c r="F2968"/>
      <c r="G2968" t="s">
        <v>15</v>
      </c>
      <c r="H2968" t="s">
        <v>32</v>
      </c>
      <c r="I2968">
        <v>1</v>
      </c>
      <c r="J2968" s="23">
        <v>732290</v>
      </c>
      <c r="K2968">
        <v>5126030</v>
      </c>
    </row>
    <row r="2969" spans="1:11" ht="15" customHeight="1" x14ac:dyDescent="0.3">
      <c r="A2969" t="s">
        <v>18</v>
      </c>
      <c r="B2969" t="s">
        <v>19</v>
      </c>
      <c r="C2969" t="s">
        <v>24</v>
      </c>
      <c r="D2969" t="s">
        <v>20</v>
      </c>
      <c r="E2969">
        <v>36</v>
      </c>
      <c r="F2969"/>
      <c r="G2969" t="s">
        <v>31</v>
      </c>
      <c r="H2969" t="s">
        <v>16</v>
      </c>
      <c r="I2969">
        <v>1</v>
      </c>
      <c r="J2969" s="23">
        <v>20094686</v>
      </c>
      <c r="K2969">
        <v>723408696</v>
      </c>
    </row>
    <row r="2970" spans="1:11" ht="15" customHeight="1" x14ac:dyDescent="0.3">
      <c r="A2970" t="s">
        <v>22</v>
      </c>
      <c r="B2970" t="s">
        <v>11</v>
      </c>
      <c r="C2970" t="s">
        <v>12</v>
      </c>
      <c r="D2970" t="s">
        <v>13</v>
      </c>
      <c r="E2970">
        <v>8</v>
      </c>
      <c r="F2970" t="s">
        <v>34</v>
      </c>
      <c r="G2970" t="s">
        <v>15</v>
      </c>
      <c r="H2970" t="s">
        <v>16</v>
      </c>
      <c r="I2970">
        <v>0</v>
      </c>
      <c r="J2970" s="23">
        <v>-749052</v>
      </c>
      <c r="K2970" t="s">
        <v>17</v>
      </c>
    </row>
    <row r="2971" spans="1:11" ht="15" customHeight="1" x14ac:dyDescent="0.3">
      <c r="A2971" t="s">
        <v>22</v>
      </c>
      <c r="B2971" t="s">
        <v>11</v>
      </c>
      <c r="C2971" t="s">
        <v>12</v>
      </c>
      <c r="D2971" t="s">
        <v>25</v>
      </c>
      <c r="E2971">
        <v>-4</v>
      </c>
      <c r="F2971" t="s">
        <v>29</v>
      </c>
      <c r="G2971" t="s">
        <v>15</v>
      </c>
      <c r="H2971" t="s">
        <v>16</v>
      </c>
      <c r="I2971">
        <v>0</v>
      </c>
      <c r="J2971" s="23">
        <v>-1158325</v>
      </c>
      <c r="K2971" t="s">
        <v>17</v>
      </c>
    </row>
    <row r="2972" spans="1:11" ht="15" customHeight="1" x14ac:dyDescent="0.3">
      <c r="A2972" t="s">
        <v>18</v>
      </c>
      <c r="B2972" t="s">
        <v>19</v>
      </c>
      <c r="C2972" t="s">
        <v>12</v>
      </c>
      <c r="D2972" t="s">
        <v>28</v>
      </c>
      <c r="E2972">
        <v>19</v>
      </c>
      <c r="F2972"/>
      <c r="G2972" t="s">
        <v>31</v>
      </c>
      <c r="H2972" t="s">
        <v>16</v>
      </c>
      <c r="I2972">
        <v>1</v>
      </c>
      <c r="J2972" s="23">
        <v>-107</v>
      </c>
      <c r="K2972" t="s">
        <v>17</v>
      </c>
    </row>
    <row r="2973" spans="1:11" ht="15" customHeight="1" x14ac:dyDescent="0.3">
      <c r="A2973" t="s">
        <v>22</v>
      </c>
      <c r="B2973" t="s">
        <v>11</v>
      </c>
      <c r="C2973" t="s">
        <v>12</v>
      </c>
      <c r="D2973" t="s">
        <v>25</v>
      </c>
      <c r="E2973">
        <v>2</v>
      </c>
      <c r="F2973" t="s">
        <v>30</v>
      </c>
      <c r="G2973" t="s">
        <v>15</v>
      </c>
      <c r="H2973" t="s">
        <v>16</v>
      </c>
      <c r="I2973">
        <v>0</v>
      </c>
      <c r="J2973" s="23">
        <v>-11814</v>
      </c>
      <c r="K2973" t="s">
        <v>17</v>
      </c>
    </row>
    <row r="2974" spans="1:11" ht="15" customHeight="1" x14ac:dyDescent="0.3">
      <c r="A2974" t="s">
        <v>22</v>
      </c>
      <c r="B2974" t="s">
        <v>11</v>
      </c>
      <c r="C2974" t="s">
        <v>12</v>
      </c>
      <c r="D2974" t="s">
        <v>13</v>
      </c>
      <c r="E2974">
        <v>0</v>
      </c>
      <c r="F2974" t="s">
        <v>35</v>
      </c>
      <c r="G2974" t="s">
        <v>15</v>
      </c>
      <c r="H2974" t="s">
        <v>16</v>
      </c>
      <c r="I2974">
        <v>0</v>
      </c>
      <c r="J2974" s="23">
        <v>-105122</v>
      </c>
      <c r="K2974" t="s">
        <v>17</v>
      </c>
    </row>
    <row r="2975" spans="1:11" ht="15" customHeight="1" x14ac:dyDescent="0.3">
      <c r="A2975"/>
      <c r="B2975" t="s">
        <v>11</v>
      </c>
      <c r="C2975" t="s">
        <v>24</v>
      </c>
      <c r="D2975" t="s">
        <v>17</v>
      </c>
      <c r="E2975">
        <v>-3</v>
      </c>
      <c r="F2975" t="s">
        <v>27</v>
      </c>
      <c r="G2975" t="s">
        <v>15</v>
      </c>
      <c r="H2975" t="s">
        <v>16</v>
      </c>
      <c r="I2975">
        <v>0</v>
      </c>
      <c r="J2975" s="23">
        <v>22684</v>
      </c>
      <c r="K2975" t="s">
        <v>17</v>
      </c>
    </row>
    <row r="2976" spans="1:11" ht="15" customHeight="1" x14ac:dyDescent="0.3">
      <c r="A2976" t="s">
        <v>22</v>
      </c>
      <c r="B2976" t="s">
        <v>11</v>
      </c>
      <c r="C2976" t="s">
        <v>12</v>
      </c>
      <c r="D2976" t="s">
        <v>13</v>
      </c>
      <c r="E2976">
        <v>4</v>
      </c>
      <c r="F2976" t="s">
        <v>41</v>
      </c>
      <c r="G2976" t="s">
        <v>15</v>
      </c>
      <c r="H2976" t="s">
        <v>16</v>
      </c>
      <c r="I2976">
        <v>0</v>
      </c>
      <c r="J2976" s="23">
        <v>-128901</v>
      </c>
      <c r="K2976" t="s">
        <v>17</v>
      </c>
    </row>
    <row r="2977" spans="1:11" ht="15" customHeight="1" x14ac:dyDescent="0.3">
      <c r="A2977" t="s">
        <v>18</v>
      </c>
      <c r="B2977" t="s">
        <v>11</v>
      </c>
      <c r="C2977" t="s">
        <v>24</v>
      </c>
      <c r="D2977" t="s">
        <v>25</v>
      </c>
      <c r="E2977">
        <v>10</v>
      </c>
      <c r="F2977" t="s">
        <v>34</v>
      </c>
      <c r="G2977" t="s">
        <v>15</v>
      </c>
      <c r="H2977" t="s">
        <v>16</v>
      </c>
      <c r="I2977">
        <v>0</v>
      </c>
      <c r="J2977" s="23">
        <v>98992</v>
      </c>
      <c r="K2977">
        <v>989920</v>
      </c>
    </row>
    <row r="2978" spans="1:11" ht="15" customHeight="1" x14ac:dyDescent="0.3">
      <c r="A2978" t="s">
        <v>10</v>
      </c>
      <c r="B2978" t="s">
        <v>11</v>
      </c>
      <c r="C2978" t="s">
        <v>24</v>
      </c>
      <c r="D2978" t="s">
        <v>13</v>
      </c>
      <c r="E2978">
        <v>5</v>
      </c>
      <c r="F2978" t="s">
        <v>39</v>
      </c>
      <c r="G2978" t="s">
        <v>15</v>
      </c>
      <c r="H2978" t="s">
        <v>16</v>
      </c>
      <c r="I2978">
        <v>0</v>
      </c>
      <c r="J2978" s="23">
        <v>690355</v>
      </c>
      <c r="K2978">
        <v>3451775</v>
      </c>
    </row>
    <row r="2979" spans="1:11" ht="15" customHeight="1" x14ac:dyDescent="0.3">
      <c r="A2979" t="s">
        <v>10</v>
      </c>
      <c r="B2979" t="s">
        <v>19</v>
      </c>
      <c r="C2979" t="s">
        <v>12</v>
      </c>
      <c r="D2979" t="s">
        <v>20</v>
      </c>
      <c r="E2979">
        <v>40</v>
      </c>
      <c r="F2979"/>
      <c r="G2979" t="s">
        <v>31</v>
      </c>
      <c r="H2979" t="s">
        <v>16</v>
      </c>
      <c r="I2979">
        <v>1</v>
      </c>
      <c r="J2979" s="23">
        <v>-8383</v>
      </c>
      <c r="K2979" t="s">
        <v>17</v>
      </c>
    </row>
    <row r="2980" spans="1:11" ht="15" customHeight="1" x14ac:dyDescent="0.3">
      <c r="A2980" t="s">
        <v>10</v>
      </c>
      <c r="B2980" t="s">
        <v>11</v>
      </c>
      <c r="C2980" t="s">
        <v>24</v>
      </c>
      <c r="D2980" t="s">
        <v>25</v>
      </c>
      <c r="E2980">
        <v>-4</v>
      </c>
      <c r="F2980" t="s">
        <v>35</v>
      </c>
      <c r="G2980" t="s">
        <v>15</v>
      </c>
      <c r="H2980" t="s">
        <v>16</v>
      </c>
      <c r="I2980">
        <v>0</v>
      </c>
      <c r="J2980" s="23">
        <v>601</v>
      </c>
      <c r="K2980" t="s">
        <v>17</v>
      </c>
    </row>
    <row r="2981" spans="1:11" ht="15" customHeight="1" x14ac:dyDescent="0.3">
      <c r="A2981" t="s">
        <v>22</v>
      </c>
      <c r="B2981" t="s">
        <v>11</v>
      </c>
      <c r="C2981" t="s">
        <v>12</v>
      </c>
      <c r="D2981" t="s">
        <v>25</v>
      </c>
      <c r="E2981">
        <v>0</v>
      </c>
      <c r="F2981" t="s">
        <v>34</v>
      </c>
      <c r="G2981" t="s">
        <v>15</v>
      </c>
      <c r="H2981" t="s">
        <v>16</v>
      </c>
      <c r="I2981">
        <v>0</v>
      </c>
      <c r="J2981" s="23">
        <v>-29413</v>
      </c>
      <c r="K2981" t="s">
        <v>17</v>
      </c>
    </row>
    <row r="2982" spans="1:11" ht="15" customHeight="1" x14ac:dyDescent="0.3">
      <c r="A2982" t="s">
        <v>18</v>
      </c>
      <c r="B2982" t="s">
        <v>11</v>
      </c>
      <c r="C2982" t="s">
        <v>12</v>
      </c>
      <c r="D2982" t="s">
        <v>13</v>
      </c>
      <c r="E2982">
        <v>-1</v>
      </c>
      <c r="F2982" t="s">
        <v>23</v>
      </c>
      <c r="G2982" t="s">
        <v>15</v>
      </c>
      <c r="H2982" t="s">
        <v>16</v>
      </c>
      <c r="I2982">
        <v>0</v>
      </c>
      <c r="J2982" s="23">
        <v>-177030</v>
      </c>
      <c r="K2982" t="s">
        <v>17</v>
      </c>
    </row>
    <row r="2983" spans="1:11" ht="15" customHeight="1" x14ac:dyDescent="0.3">
      <c r="A2983" t="s">
        <v>18</v>
      </c>
      <c r="B2983" t="s">
        <v>19</v>
      </c>
      <c r="C2983" t="s">
        <v>24</v>
      </c>
      <c r="D2983" t="s">
        <v>20</v>
      </c>
      <c r="E2983">
        <v>24</v>
      </c>
      <c r="F2983"/>
      <c r="G2983" t="s">
        <v>15</v>
      </c>
      <c r="H2983" t="s">
        <v>16</v>
      </c>
      <c r="I2983">
        <v>0</v>
      </c>
      <c r="J2983" s="23">
        <v>686304981</v>
      </c>
      <c r="K2983">
        <v>16471319544</v>
      </c>
    </row>
    <row r="2984" spans="1:11" ht="15" customHeight="1" x14ac:dyDescent="0.3">
      <c r="A2984" t="s">
        <v>22</v>
      </c>
      <c r="B2984" t="s">
        <v>11</v>
      </c>
      <c r="C2984" t="s">
        <v>24</v>
      </c>
      <c r="D2984" t="s">
        <v>13</v>
      </c>
      <c r="E2984">
        <v>8</v>
      </c>
      <c r="F2984" t="s">
        <v>45</v>
      </c>
      <c r="G2984" t="s">
        <v>15</v>
      </c>
      <c r="H2984" t="s">
        <v>16</v>
      </c>
      <c r="I2984">
        <v>0</v>
      </c>
      <c r="J2984" s="23">
        <v>848697</v>
      </c>
      <c r="K2984">
        <v>6789576</v>
      </c>
    </row>
    <row r="2985" spans="1:11" ht="15" customHeight="1" x14ac:dyDescent="0.3">
      <c r="A2985" t="s">
        <v>10</v>
      </c>
      <c r="B2985" t="s">
        <v>11</v>
      </c>
      <c r="C2985" t="s">
        <v>24</v>
      </c>
      <c r="D2985" t="s">
        <v>13</v>
      </c>
      <c r="E2985">
        <v>1</v>
      </c>
      <c r="F2985" t="s">
        <v>23</v>
      </c>
      <c r="G2985" t="s">
        <v>15</v>
      </c>
      <c r="H2985" t="s">
        <v>16</v>
      </c>
      <c r="I2985">
        <v>0</v>
      </c>
      <c r="J2985" s="23">
        <v>6204937</v>
      </c>
      <c r="K2985">
        <v>6204937</v>
      </c>
    </row>
    <row r="2986" spans="1:11" ht="15" customHeight="1" x14ac:dyDescent="0.3">
      <c r="A2986" t="s">
        <v>10</v>
      </c>
      <c r="B2986" t="s">
        <v>19</v>
      </c>
      <c r="C2986" t="s">
        <v>12</v>
      </c>
      <c r="D2986" t="s">
        <v>20</v>
      </c>
      <c r="E2986">
        <v>36</v>
      </c>
      <c r="F2986"/>
      <c r="G2986" t="s">
        <v>31</v>
      </c>
      <c r="H2986" t="s">
        <v>32</v>
      </c>
      <c r="I2986">
        <v>1</v>
      </c>
      <c r="J2986" s="23">
        <v>-1844</v>
      </c>
      <c r="K2986" t="s">
        <v>17</v>
      </c>
    </row>
    <row r="2987" spans="1:11" ht="15" customHeight="1" x14ac:dyDescent="0.3">
      <c r="A2987" t="s">
        <v>22</v>
      </c>
      <c r="B2987" t="s">
        <v>19</v>
      </c>
      <c r="C2987" t="s">
        <v>12</v>
      </c>
      <c r="D2987" t="s">
        <v>20</v>
      </c>
      <c r="E2987">
        <v>38</v>
      </c>
      <c r="F2987"/>
      <c r="G2987" t="s">
        <v>15</v>
      </c>
      <c r="H2987" t="s">
        <v>16</v>
      </c>
      <c r="I2987">
        <v>0</v>
      </c>
      <c r="J2987" s="23">
        <v>-1282994</v>
      </c>
      <c r="K2987" t="s">
        <v>17</v>
      </c>
    </row>
    <row r="2988" spans="1:11" ht="15" customHeight="1" x14ac:dyDescent="0.3">
      <c r="A2988" t="s">
        <v>10</v>
      </c>
      <c r="B2988" t="s">
        <v>11</v>
      </c>
      <c r="C2988" t="s">
        <v>12</v>
      </c>
      <c r="D2988" t="s">
        <v>13</v>
      </c>
      <c r="E2988">
        <v>9</v>
      </c>
      <c r="F2988" t="s">
        <v>34</v>
      </c>
      <c r="G2988" t="s">
        <v>15</v>
      </c>
      <c r="H2988" t="s">
        <v>16</v>
      </c>
      <c r="I2988">
        <v>0</v>
      </c>
      <c r="J2988" s="23">
        <v>-151005</v>
      </c>
      <c r="K2988" t="s">
        <v>17</v>
      </c>
    </row>
    <row r="2989" spans="1:11" ht="15" customHeight="1" x14ac:dyDescent="0.3">
      <c r="A2989" t="s">
        <v>10</v>
      </c>
      <c r="B2989" t="s">
        <v>19</v>
      </c>
      <c r="C2989" t="s">
        <v>12</v>
      </c>
      <c r="D2989" t="s">
        <v>20</v>
      </c>
      <c r="E2989">
        <v>26</v>
      </c>
      <c r="F2989"/>
      <c r="G2989" t="s">
        <v>31</v>
      </c>
      <c r="H2989" t="s">
        <v>16</v>
      </c>
      <c r="I2989">
        <v>1</v>
      </c>
      <c r="J2989" s="23">
        <v>-16825</v>
      </c>
      <c r="K2989" t="s">
        <v>17</v>
      </c>
    </row>
    <row r="2990" spans="1:11" ht="15" customHeight="1" x14ac:dyDescent="0.3">
      <c r="A2990" t="s">
        <v>18</v>
      </c>
      <c r="B2990" t="s">
        <v>19</v>
      </c>
      <c r="C2990" t="s">
        <v>12</v>
      </c>
      <c r="D2990" t="s">
        <v>20</v>
      </c>
      <c r="E2990">
        <v>14</v>
      </c>
      <c r="F2990"/>
      <c r="G2990" t="s">
        <v>15</v>
      </c>
      <c r="H2990" t="s">
        <v>16</v>
      </c>
      <c r="I2990">
        <v>0</v>
      </c>
      <c r="J2990" s="23">
        <v>-108225</v>
      </c>
      <c r="K2990" t="s">
        <v>17</v>
      </c>
    </row>
    <row r="2991" spans="1:11" ht="15" customHeight="1" x14ac:dyDescent="0.3">
      <c r="A2991" t="s">
        <v>10</v>
      </c>
      <c r="B2991" t="s">
        <v>11</v>
      </c>
      <c r="C2991" t="s">
        <v>24</v>
      </c>
      <c r="D2991" t="s">
        <v>28</v>
      </c>
      <c r="E2991">
        <v>11</v>
      </c>
      <c r="F2991" t="s">
        <v>42</v>
      </c>
      <c r="G2991" t="s">
        <v>15</v>
      </c>
      <c r="H2991" t="s">
        <v>16</v>
      </c>
      <c r="I2991">
        <v>0</v>
      </c>
      <c r="J2991" s="23">
        <v>102746</v>
      </c>
      <c r="K2991">
        <v>1130206</v>
      </c>
    </row>
    <row r="2992" spans="1:11" ht="15" customHeight="1" x14ac:dyDescent="0.3">
      <c r="A2992" t="s">
        <v>18</v>
      </c>
      <c r="B2992" t="s">
        <v>11</v>
      </c>
      <c r="C2992" t="s">
        <v>24</v>
      </c>
      <c r="D2992" t="s">
        <v>13</v>
      </c>
      <c r="E2992">
        <v>11</v>
      </c>
      <c r="F2992" t="s">
        <v>40</v>
      </c>
      <c r="G2992" t="s">
        <v>15</v>
      </c>
      <c r="H2992" t="s">
        <v>16</v>
      </c>
      <c r="I2992">
        <v>0</v>
      </c>
      <c r="J2992" s="23">
        <v>10506020</v>
      </c>
      <c r="K2992">
        <v>115566220</v>
      </c>
    </row>
    <row r="2993" spans="1:11" ht="15" customHeight="1" x14ac:dyDescent="0.3">
      <c r="A2993" t="s">
        <v>22</v>
      </c>
      <c r="B2993" t="s">
        <v>19</v>
      </c>
      <c r="C2993" t="s">
        <v>24</v>
      </c>
      <c r="D2993" t="s">
        <v>28</v>
      </c>
      <c r="E2993">
        <v>19</v>
      </c>
      <c r="F2993"/>
      <c r="G2993" t="s">
        <v>15</v>
      </c>
      <c r="H2993" t="s">
        <v>16</v>
      </c>
      <c r="I2993">
        <v>0</v>
      </c>
      <c r="J2993" s="23">
        <v>178976</v>
      </c>
      <c r="K2993">
        <v>3400544</v>
      </c>
    </row>
    <row r="2994" spans="1:11" ht="15" customHeight="1" x14ac:dyDescent="0.3">
      <c r="A2994" t="s">
        <v>18</v>
      </c>
      <c r="B2994" t="s">
        <v>19</v>
      </c>
      <c r="C2994" t="s">
        <v>12</v>
      </c>
      <c r="D2994" t="s">
        <v>20</v>
      </c>
      <c r="E2994">
        <v>16</v>
      </c>
      <c r="F2994"/>
      <c r="G2994" t="s">
        <v>31</v>
      </c>
      <c r="H2994" t="s">
        <v>16</v>
      </c>
      <c r="I2994">
        <v>1</v>
      </c>
      <c r="J2994" s="23">
        <v>-1442</v>
      </c>
      <c r="K2994" t="s">
        <v>17</v>
      </c>
    </row>
    <row r="2995" spans="1:11" ht="15" customHeight="1" x14ac:dyDescent="0.3">
      <c r="A2995" t="s">
        <v>18</v>
      </c>
      <c r="B2995" t="s">
        <v>19</v>
      </c>
      <c r="C2995" t="s">
        <v>12</v>
      </c>
      <c r="D2995" t="s">
        <v>20</v>
      </c>
      <c r="E2995">
        <v>50</v>
      </c>
      <c r="F2995"/>
      <c r="G2995" t="s">
        <v>15</v>
      </c>
      <c r="H2995" t="s">
        <v>16</v>
      </c>
      <c r="I2995">
        <v>0</v>
      </c>
      <c r="J2995" s="23">
        <v>-72</v>
      </c>
      <c r="K2995" t="s">
        <v>17</v>
      </c>
    </row>
    <row r="2996" spans="1:11" ht="15" customHeight="1" x14ac:dyDescent="0.3">
      <c r="A2996" t="s">
        <v>22</v>
      </c>
      <c r="B2996" t="s">
        <v>11</v>
      </c>
      <c r="C2996" t="s">
        <v>12</v>
      </c>
      <c r="D2996" t="s">
        <v>28</v>
      </c>
      <c r="E2996">
        <v>8</v>
      </c>
      <c r="F2996" t="s">
        <v>33</v>
      </c>
      <c r="G2996" t="s">
        <v>15</v>
      </c>
      <c r="H2996" t="s">
        <v>32</v>
      </c>
      <c r="I2996">
        <v>1</v>
      </c>
      <c r="J2996" s="23">
        <v>-96426</v>
      </c>
      <c r="K2996" t="s">
        <v>17</v>
      </c>
    </row>
    <row r="2997" spans="1:11" ht="15" customHeight="1" x14ac:dyDescent="0.3">
      <c r="A2997" t="s">
        <v>10</v>
      </c>
      <c r="B2997" t="s">
        <v>19</v>
      </c>
      <c r="C2997" t="s">
        <v>12</v>
      </c>
      <c r="D2997" t="s">
        <v>20</v>
      </c>
      <c r="E2997">
        <v>13</v>
      </c>
      <c r="F2997"/>
      <c r="G2997" t="s">
        <v>15</v>
      </c>
      <c r="H2997" t="s">
        <v>32</v>
      </c>
      <c r="I2997">
        <v>1</v>
      </c>
      <c r="J2997" s="23">
        <v>-6115</v>
      </c>
      <c r="K2997" t="s">
        <v>17</v>
      </c>
    </row>
    <row r="2998" spans="1:11" ht="15" customHeight="1" x14ac:dyDescent="0.3">
      <c r="A2998" t="s">
        <v>10</v>
      </c>
      <c r="B2998" t="s">
        <v>11</v>
      </c>
      <c r="C2998" t="s">
        <v>12</v>
      </c>
      <c r="D2998" t="s">
        <v>25</v>
      </c>
      <c r="E2998">
        <v>5</v>
      </c>
      <c r="F2998" t="s">
        <v>30</v>
      </c>
      <c r="G2998" t="s">
        <v>15</v>
      </c>
      <c r="H2998" t="s">
        <v>16</v>
      </c>
      <c r="I2998">
        <v>0</v>
      </c>
      <c r="J2998" s="23">
        <v>-110896</v>
      </c>
      <c r="K2998" t="s">
        <v>17</v>
      </c>
    </row>
    <row r="2999" spans="1:11" ht="15" customHeight="1" x14ac:dyDescent="0.3">
      <c r="A2999" t="s">
        <v>18</v>
      </c>
      <c r="B2999" t="s">
        <v>19</v>
      </c>
      <c r="C2999" t="s">
        <v>12</v>
      </c>
      <c r="D2999" t="s">
        <v>20</v>
      </c>
      <c r="E2999">
        <v>5</v>
      </c>
      <c r="F2999"/>
      <c r="G2999" t="s">
        <v>31</v>
      </c>
      <c r="H2999" t="s">
        <v>16</v>
      </c>
      <c r="I2999">
        <v>1</v>
      </c>
      <c r="J2999" s="23">
        <v>-418</v>
      </c>
      <c r="K2999" t="s">
        <v>17</v>
      </c>
    </row>
    <row r="3000" spans="1:11" ht="15" customHeight="1" x14ac:dyDescent="0.3">
      <c r="A3000" t="s">
        <v>18</v>
      </c>
      <c r="B3000" t="s">
        <v>11</v>
      </c>
      <c r="C3000" t="s">
        <v>24</v>
      </c>
      <c r="D3000" t="s">
        <v>13</v>
      </c>
      <c r="E3000">
        <v>0</v>
      </c>
      <c r="F3000" t="s">
        <v>26</v>
      </c>
      <c r="G3000" t="s">
        <v>15</v>
      </c>
      <c r="H3000" t="s">
        <v>16</v>
      </c>
      <c r="I3000">
        <v>0</v>
      </c>
      <c r="J3000" s="23">
        <v>41043178</v>
      </c>
      <c r="K3000" t="s">
        <v>17</v>
      </c>
    </row>
    <row r="3001" spans="1:11" ht="15" customHeight="1" x14ac:dyDescent="0.3">
      <c r="A3001" t="s">
        <v>22</v>
      </c>
      <c r="B3001" t="s">
        <v>19</v>
      </c>
      <c r="C3001" t="s">
        <v>12</v>
      </c>
      <c r="D3001" t="s">
        <v>20</v>
      </c>
      <c r="E3001">
        <v>11</v>
      </c>
      <c r="F3001"/>
      <c r="G3001" t="s">
        <v>15</v>
      </c>
      <c r="H3001" t="s">
        <v>16</v>
      </c>
      <c r="I3001">
        <v>0</v>
      </c>
      <c r="J3001" s="23">
        <v>-761439</v>
      </c>
      <c r="K3001" t="s">
        <v>17</v>
      </c>
    </row>
    <row r="3002" spans="1:11" ht="15" customHeight="1" x14ac:dyDescent="0.3">
      <c r="A3002" t="s">
        <v>18</v>
      </c>
      <c r="B3002" t="s">
        <v>11</v>
      </c>
      <c r="C3002" t="s">
        <v>12</v>
      </c>
      <c r="D3002" t="s">
        <v>25</v>
      </c>
      <c r="E3002">
        <v>3</v>
      </c>
      <c r="F3002" t="s">
        <v>29</v>
      </c>
      <c r="G3002" t="s">
        <v>15</v>
      </c>
      <c r="H3002" t="s">
        <v>16</v>
      </c>
      <c r="I3002">
        <v>0</v>
      </c>
      <c r="J3002" s="23">
        <v>-38407</v>
      </c>
      <c r="K3002" t="s">
        <v>17</v>
      </c>
    </row>
    <row r="3003" spans="1:11" ht="15" customHeight="1" x14ac:dyDescent="0.3">
      <c r="A3003" t="s">
        <v>22</v>
      </c>
      <c r="B3003" t="s">
        <v>11</v>
      </c>
      <c r="C3003" t="s">
        <v>12</v>
      </c>
      <c r="D3003" t="s">
        <v>13</v>
      </c>
      <c r="E3003">
        <v>11</v>
      </c>
      <c r="F3003" t="s">
        <v>21</v>
      </c>
      <c r="G3003" t="s">
        <v>15</v>
      </c>
      <c r="H3003" t="s">
        <v>16</v>
      </c>
      <c r="I3003">
        <v>0</v>
      </c>
      <c r="J3003" s="23">
        <v>-120269</v>
      </c>
      <c r="K3003" t="s">
        <v>17</v>
      </c>
    </row>
    <row r="3004" spans="1:11" ht="15" customHeight="1" x14ac:dyDescent="0.3">
      <c r="A3004" t="s">
        <v>18</v>
      </c>
      <c r="B3004" t="s">
        <v>11</v>
      </c>
      <c r="C3004" t="s">
        <v>12</v>
      </c>
      <c r="D3004" t="s">
        <v>28</v>
      </c>
      <c r="E3004">
        <v>15</v>
      </c>
      <c r="F3004" t="s">
        <v>23</v>
      </c>
      <c r="G3004" t="s">
        <v>15</v>
      </c>
      <c r="H3004" t="s">
        <v>16</v>
      </c>
      <c r="I3004">
        <v>0</v>
      </c>
      <c r="J3004" s="23">
        <v>-37129</v>
      </c>
      <c r="K3004" t="s">
        <v>17</v>
      </c>
    </row>
    <row r="3005" spans="1:11" ht="15" customHeight="1" x14ac:dyDescent="0.3">
      <c r="A3005" t="s">
        <v>18</v>
      </c>
      <c r="B3005" t="s">
        <v>11</v>
      </c>
      <c r="C3005" t="s">
        <v>12</v>
      </c>
      <c r="D3005" t="s">
        <v>28</v>
      </c>
      <c r="E3005">
        <v>1</v>
      </c>
      <c r="F3005" t="s">
        <v>14</v>
      </c>
      <c r="G3005" t="s">
        <v>15</v>
      </c>
      <c r="H3005" t="s">
        <v>16</v>
      </c>
      <c r="I3005">
        <v>0</v>
      </c>
      <c r="J3005" s="23">
        <v>-570</v>
      </c>
      <c r="K3005" t="s">
        <v>17</v>
      </c>
    </row>
    <row r="3006" spans="1:11" ht="15" customHeight="1" x14ac:dyDescent="0.3">
      <c r="A3006" t="s">
        <v>22</v>
      </c>
      <c r="B3006" t="s">
        <v>19</v>
      </c>
      <c r="C3006" t="s">
        <v>12</v>
      </c>
      <c r="D3006" t="s">
        <v>20</v>
      </c>
      <c r="E3006">
        <v>13</v>
      </c>
      <c r="F3006"/>
      <c r="G3006" t="s">
        <v>15</v>
      </c>
      <c r="H3006" t="s">
        <v>32</v>
      </c>
      <c r="I3006">
        <v>1</v>
      </c>
      <c r="J3006" s="23">
        <v>-3950</v>
      </c>
      <c r="K3006" t="s">
        <v>17</v>
      </c>
    </row>
    <row r="3007" spans="1:11" ht="15" customHeight="1" x14ac:dyDescent="0.3">
      <c r="A3007" t="s">
        <v>18</v>
      </c>
      <c r="B3007" t="s">
        <v>11</v>
      </c>
      <c r="C3007" t="s">
        <v>24</v>
      </c>
      <c r="D3007" t="s">
        <v>13</v>
      </c>
      <c r="E3007">
        <v>-1</v>
      </c>
      <c r="F3007" t="s">
        <v>38</v>
      </c>
      <c r="G3007" t="s">
        <v>15</v>
      </c>
      <c r="H3007" t="s">
        <v>16</v>
      </c>
      <c r="I3007">
        <v>0</v>
      </c>
      <c r="J3007" s="23">
        <v>1835694</v>
      </c>
      <c r="K3007" t="s">
        <v>17</v>
      </c>
    </row>
    <row r="3008" spans="1:11" ht="15" customHeight="1" x14ac:dyDescent="0.3">
      <c r="A3008" t="s">
        <v>18</v>
      </c>
      <c r="B3008" t="s">
        <v>11</v>
      </c>
      <c r="C3008" t="s">
        <v>12</v>
      </c>
      <c r="D3008" t="s">
        <v>28</v>
      </c>
      <c r="E3008">
        <v>6</v>
      </c>
      <c r="F3008" t="s">
        <v>14</v>
      </c>
      <c r="G3008" t="s">
        <v>15</v>
      </c>
      <c r="H3008" t="s">
        <v>16</v>
      </c>
      <c r="I3008">
        <v>0</v>
      </c>
      <c r="J3008" s="23">
        <v>-6567</v>
      </c>
      <c r="K3008" t="s">
        <v>17</v>
      </c>
    </row>
    <row r="3009" spans="1:11" ht="15" customHeight="1" x14ac:dyDescent="0.3">
      <c r="A3009" t="s">
        <v>10</v>
      </c>
      <c r="B3009" t="s">
        <v>11</v>
      </c>
      <c r="C3009" t="s">
        <v>24</v>
      </c>
      <c r="D3009" t="s">
        <v>28</v>
      </c>
      <c r="E3009">
        <v>4</v>
      </c>
      <c r="F3009" t="s">
        <v>23</v>
      </c>
      <c r="G3009" t="s">
        <v>15</v>
      </c>
      <c r="H3009" t="s">
        <v>16</v>
      </c>
      <c r="I3009">
        <v>0</v>
      </c>
      <c r="J3009" s="23">
        <v>1459117</v>
      </c>
      <c r="K3009">
        <v>5836468</v>
      </c>
    </row>
    <row r="3010" spans="1:11" ht="15" customHeight="1" x14ac:dyDescent="0.3">
      <c r="A3010" t="s">
        <v>18</v>
      </c>
      <c r="B3010" t="s">
        <v>11</v>
      </c>
      <c r="C3010" t="s">
        <v>24</v>
      </c>
      <c r="D3010" t="s">
        <v>13</v>
      </c>
      <c r="E3010">
        <v>4</v>
      </c>
      <c r="F3010" t="s">
        <v>36</v>
      </c>
      <c r="G3010" t="s">
        <v>15</v>
      </c>
      <c r="H3010" t="s">
        <v>16</v>
      </c>
      <c r="I3010">
        <v>0</v>
      </c>
      <c r="J3010" s="23">
        <v>16780447</v>
      </c>
      <c r="K3010">
        <v>67121788</v>
      </c>
    </row>
    <row r="3011" spans="1:11" ht="15" customHeight="1" x14ac:dyDescent="0.3">
      <c r="A3011" t="s">
        <v>22</v>
      </c>
      <c r="B3011" t="s">
        <v>11</v>
      </c>
      <c r="C3011" t="s">
        <v>24</v>
      </c>
      <c r="D3011" t="s">
        <v>13</v>
      </c>
      <c r="E3011">
        <v>-1</v>
      </c>
      <c r="F3011" t="s">
        <v>33</v>
      </c>
      <c r="G3011" t="s">
        <v>15</v>
      </c>
      <c r="H3011" t="s">
        <v>16</v>
      </c>
      <c r="I3011">
        <v>0</v>
      </c>
      <c r="J3011" s="23">
        <v>2065536</v>
      </c>
      <c r="K3011" t="s">
        <v>17</v>
      </c>
    </row>
    <row r="3012" spans="1:11" ht="15" customHeight="1" x14ac:dyDescent="0.3">
      <c r="A3012" t="s">
        <v>10</v>
      </c>
      <c r="B3012" t="s">
        <v>11</v>
      </c>
      <c r="C3012" t="s">
        <v>12</v>
      </c>
      <c r="D3012" t="s">
        <v>28</v>
      </c>
      <c r="E3012">
        <v>4</v>
      </c>
      <c r="F3012" t="s">
        <v>29</v>
      </c>
      <c r="G3012" t="s">
        <v>15</v>
      </c>
      <c r="H3012" t="s">
        <v>16</v>
      </c>
      <c r="I3012">
        <v>0</v>
      </c>
      <c r="J3012" s="23">
        <v>-82270</v>
      </c>
      <c r="K3012" t="s">
        <v>17</v>
      </c>
    </row>
    <row r="3013" spans="1:11" ht="15" customHeight="1" x14ac:dyDescent="0.3">
      <c r="A3013" t="s">
        <v>22</v>
      </c>
      <c r="B3013" t="s">
        <v>11</v>
      </c>
      <c r="C3013" t="s">
        <v>24</v>
      </c>
      <c r="D3013" t="s">
        <v>13</v>
      </c>
      <c r="E3013">
        <v>12</v>
      </c>
      <c r="F3013" t="s">
        <v>29</v>
      </c>
      <c r="G3013" t="s">
        <v>15</v>
      </c>
      <c r="H3013" t="s">
        <v>16</v>
      </c>
      <c r="I3013">
        <v>0</v>
      </c>
      <c r="J3013" s="23">
        <v>991615</v>
      </c>
      <c r="K3013">
        <v>11899380</v>
      </c>
    </row>
    <row r="3014" spans="1:11" ht="15" customHeight="1" x14ac:dyDescent="0.3">
      <c r="A3014" t="s">
        <v>22</v>
      </c>
      <c r="B3014" t="s">
        <v>11</v>
      </c>
      <c r="C3014" t="s">
        <v>24</v>
      </c>
      <c r="D3014" t="s">
        <v>13</v>
      </c>
      <c r="E3014">
        <v>4</v>
      </c>
      <c r="F3014" t="s">
        <v>39</v>
      </c>
      <c r="G3014" t="s">
        <v>15</v>
      </c>
      <c r="H3014" t="s">
        <v>16</v>
      </c>
      <c r="I3014">
        <v>0</v>
      </c>
      <c r="J3014" s="23">
        <v>185226</v>
      </c>
      <c r="K3014">
        <v>740904</v>
      </c>
    </row>
    <row r="3015" spans="1:11" ht="15" customHeight="1" x14ac:dyDescent="0.3">
      <c r="A3015" t="s">
        <v>18</v>
      </c>
      <c r="B3015" t="s">
        <v>11</v>
      </c>
      <c r="C3015" t="s">
        <v>24</v>
      </c>
      <c r="D3015" t="s">
        <v>13</v>
      </c>
      <c r="E3015">
        <v>5</v>
      </c>
      <c r="F3015" t="s">
        <v>34</v>
      </c>
      <c r="G3015" t="s">
        <v>15</v>
      </c>
      <c r="H3015" t="s">
        <v>16</v>
      </c>
      <c r="I3015">
        <v>0</v>
      </c>
      <c r="J3015" s="23">
        <v>26581807</v>
      </c>
      <c r="K3015">
        <v>132909035</v>
      </c>
    </row>
    <row r="3016" spans="1:11" ht="15" customHeight="1" x14ac:dyDescent="0.3">
      <c r="A3016" t="s">
        <v>22</v>
      </c>
      <c r="B3016" t="s">
        <v>19</v>
      </c>
      <c r="C3016" t="s">
        <v>24</v>
      </c>
      <c r="D3016" t="s">
        <v>20</v>
      </c>
      <c r="E3016">
        <v>21</v>
      </c>
      <c r="F3016"/>
      <c r="G3016" t="s">
        <v>15</v>
      </c>
      <c r="H3016" t="s">
        <v>32</v>
      </c>
      <c r="I3016">
        <v>1</v>
      </c>
      <c r="J3016" s="23">
        <v>350917</v>
      </c>
      <c r="K3016">
        <v>7369257</v>
      </c>
    </row>
    <row r="3017" spans="1:11" ht="15" customHeight="1" x14ac:dyDescent="0.3">
      <c r="A3017" t="s">
        <v>10</v>
      </c>
      <c r="B3017" t="s">
        <v>11</v>
      </c>
      <c r="C3017" t="s">
        <v>12</v>
      </c>
      <c r="D3017" t="s">
        <v>13</v>
      </c>
      <c r="E3017">
        <v>2</v>
      </c>
      <c r="F3017" t="s">
        <v>29</v>
      </c>
      <c r="G3017" t="s">
        <v>15</v>
      </c>
      <c r="H3017" t="s">
        <v>16</v>
      </c>
      <c r="I3017">
        <v>0</v>
      </c>
      <c r="J3017" s="23">
        <v>-1373047</v>
      </c>
      <c r="K3017" t="s">
        <v>17</v>
      </c>
    </row>
    <row r="3018" spans="1:11" ht="15" customHeight="1" x14ac:dyDescent="0.3">
      <c r="A3018" t="s">
        <v>18</v>
      </c>
      <c r="B3018" t="s">
        <v>11</v>
      </c>
      <c r="C3018" t="s">
        <v>24</v>
      </c>
      <c r="D3018" t="s">
        <v>25</v>
      </c>
      <c r="E3018">
        <v>-4</v>
      </c>
      <c r="F3018" t="s">
        <v>26</v>
      </c>
      <c r="G3018" t="s">
        <v>15</v>
      </c>
      <c r="H3018" t="s">
        <v>16</v>
      </c>
      <c r="I3018">
        <v>0</v>
      </c>
      <c r="J3018" s="23">
        <v>99</v>
      </c>
      <c r="K3018" t="s">
        <v>17</v>
      </c>
    </row>
    <row r="3019" spans="1:11" ht="15" customHeight="1" x14ac:dyDescent="0.3">
      <c r="A3019" t="s">
        <v>10</v>
      </c>
      <c r="B3019" t="s">
        <v>11</v>
      </c>
      <c r="C3019" t="s">
        <v>12</v>
      </c>
      <c r="D3019" t="s">
        <v>13</v>
      </c>
      <c r="E3019">
        <v>4</v>
      </c>
      <c r="F3019" t="s">
        <v>26</v>
      </c>
      <c r="G3019" t="s">
        <v>15</v>
      </c>
      <c r="H3019" t="s">
        <v>16</v>
      </c>
      <c r="I3019">
        <v>0</v>
      </c>
      <c r="J3019" s="23">
        <v>-77448</v>
      </c>
      <c r="K3019" t="s">
        <v>17</v>
      </c>
    </row>
    <row r="3020" spans="1:11" ht="15" customHeight="1" x14ac:dyDescent="0.3">
      <c r="A3020" t="s">
        <v>18</v>
      </c>
      <c r="B3020" t="s">
        <v>11</v>
      </c>
      <c r="C3020" t="s">
        <v>24</v>
      </c>
      <c r="D3020" t="s">
        <v>13</v>
      </c>
      <c r="E3020">
        <v>-1</v>
      </c>
      <c r="F3020" t="s">
        <v>49</v>
      </c>
      <c r="G3020" t="s">
        <v>15</v>
      </c>
      <c r="H3020" t="s">
        <v>16</v>
      </c>
      <c r="I3020">
        <v>0</v>
      </c>
      <c r="J3020" s="23">
        <v>119</v>
      </c>
      <c r="K3020" t="s">
        <v>17</v>
      </c>
    </row>
    <row r="3021" spans="1:11" ht="15" customHeight="1" x14ac:dyDescent="0.3">
      <c r="A3021" t="s">
        <v>22</v>
      </c>
      <c r="B3021" t="s">
        <v>11</v>
      </c>
      <c r="C3021" t="s">
        <v>12</v>
      </c>
      <c r="D3021" t="s">
        <v>25</v>
      </c>
      <c r="E3021">
        <v>1</v>
      </c>
      <c r="F3021" t="s">
        <v>34</v>
      </c>
      <c r="G3021" t="s">
        <v>15</v>
      </c>
      <c r="H3021" t="s">
        <v>16</v>
      </c>
      <c r="I3021">
        <v>0</v>
      </c>
      <c r="J3021" s="23">
        <v>-71521</v>
      </c>
      <c r="K3021" t="s">
        <v>17</v>
      </c>
    </row>
    <row r="3022" spans="1:11" ht="15" customHeight="1" x14ac:dyDescent="0.3">
      <c r="A3022" t="s">
        <v>18</v>
      </c>
      <c r="B3022" t="s">
        <v>11</v>
      </c>
      <c r="C3022" t="s">
        <v>12</v>
      </c>
      <c r="D3022" t="s">
        <v>25</v>
      </c>
      <c r="E3022">
        <v>3</v>
      </c>
      <c r="F3022" t="s">
        <v>27</v>
      </c>
      <c r="G3022" t="s">
        <v>15</v>
      </c>
      <c r="H3022" t="s">
        <v>16</v>
      </c>
      <c r="I3022">
        <v>0</v>
      </c>
      <c r="J3022" s="23">
        <v>-1829</v>
      </c>
      <c r="K3022" t="s">
        <v>17</v>
      </c>
    </row>
    <row r="3023" spans="1:11" ht="15" customHeight="1" x14ac:dyDescent="0.3">
      <c r="A3023" t="s">
        <v>10</v>
      </c>
      <c r="B3023" t="s">
        <v>11</v>
      </c>
      <c r="C3023" t="s">
        <v>12</v>
      </c>
      <c r="D3023" t="s">
        <v>13</v>
      </c>
      <c r="E3023">
        <v>7</v>
      </c>
      <c r="F3023" t="s">
        <v>35</v>
      </c>
      <c r="G3023" t="s">
        <v>15</v>
      </c>
      <c r="H3023" t="s">
        <v>16</v>
      </c>
      <c r="I3023">
        <v>0</v>
      </c>
      <c r="J3023" s="23">
        <v>-39660</v>
      </c>
      <c r="K3023" t="s">
        <v>17</v>
      </c>
    </row>
    <row r="3024" spans="1:11" ht="15" customHeight="1" x14ac:dyDescent="0.3">
      <c r="A3024" t="s">
        <v>10</v>
      </c>
      <c r="B3024" t="s">
        <v>11</v>
      </c>
      <c r="C3024" t="s">
        <v>12</v>
      </c>
      <c r="D3024" t="s">
        <v>28</v>
      </c>
      <c r="E3024">
        <v>-1</v>
      </c>
      <c r="F3024" t="s">
        <v>33</v>
      </c>
      <c r="G3024" t="s">
        <v>15</v>
      </c>
      <c r="H3024" t="s">
        <v>32</v>
      </c>
      <c r="I3024">
        <v>1</v>
      </c>
      <c r="J3024" s="23">
        <v>-2967</v>
      </c>
      <c r="K3024" t="s">
        <v>17</v>
      </c>
    </row>
    <row r="3025" spans="1:11" ht="15" customHeight="1" x14ac:dyDescent="0.3">
      <c r="A3025" t="s">
        <v>22</v>
      </c>
      <c r="B3025" t="s">
        <v>11</v>
      </c>
      <c r="C3025" t="s">
        <v>24</v>
      </c>
      <c r="D3025" t="s">
        <v>28</v>
      </c>
      <c r="E3025">
        <v>1</v>
      </c>
      <c r="F3025" t="s">
        <v>14</v>
      </c>
      <c r="G3025" t="s">
        <v>15</v>
      </c>
      <c r="H3025" t="s">
        <v>16</v>
      </c>
      <c r="I3025">
        <v>0</v>
      </c>
      <c r="J3025" s="23">
        <v>3195</v>
      </c>
      <c r="K3025">
        <v>3195</v>
      </c>
    </row>
    <row r="3026" spans="1:11" ht="15" customHeight="1" x14ac:dyDescent="0.3">
      <c r="A3026" t="s">
        <v>18</v>
      </c>
      <c r="B3026" t="s">
        <v>19</v>
      </c>
      <c r="C3026" t="s">
        <v>24</v>
      </c>
      <c r="D3026" t="s">
        <v>20</v>
      </c>
      <c r="E3026">
        <v>31</v>
      </c>
      <c r="F3026"/>
      <c r="G3026" t="s">
        <v>31</v>
      </c>
      <c r="H3026" t="s">
        <v>16</v>
      </c>
      <c r="I3026">
        <v>1</v>
      </c>
      <c r="J3026" s="23">
        <v>10127361</v>
      </c>
      <c r="K3026">
        <v>313948191</v>
      </c>
    </row>
    <row r="3027" spans="1:11" ht="15" customHeight="1" x14ac:dyDescent="0.3">
      <c r="A3027" t="s">
        <v>22</v>
      </c>
      <c r="B3027" t="s">
        <v>11</v>
      </c>
      <c r="C3027" t="s">
        <v>12</v>
      </c>
      <c r="D3027" t="s">
        <v>28</v>
      </c>
      <c r="E3027">
        <v>4</v>
      </c>
      <c r="F3027" t="s">
        <v>26</v>
      </c>
      <c r="G3027" t="s">
        <v>31</v>
      </c>
      <c r="H3027" t="s">
        <v>16</v>
      </c>
      <c r="I3027">
        <v>1</v>
      </c>
      <c r="J3027" s="23">
        <v>-18695</v>
      </c>
      <c r="K3027" t="s">
        <v>17</v>
      </c>
    </row>
    <row r="3028" spans="1:11" ht="15" customHeight="1" x14ac:dyDescent="0.3">
      <c r="A3028" t="s">
        <v>18</v>
      </c>
      <c r="B3028" t="s">
        <v>11</v>
      </c>
      <c r="C3028" t="s">
        <v>12</v>
      </c>
      <c r="D3028" t="s">
        <v>28</v>
      </c>
      <c r="E3028">
        <v>1</v>
      </c>
      <c r="F3028" t="s">
        <v>33</v>
      </c>
      <c r="G3028" t="s">
        <v>15</v>
      </c>
      <c r="H3028" t="s">
        <v>16</v>
      </c>
      <c r="I3028">
        <v>0</v>
      </c>
      <c r="J3028" s="23">
        <v>-195</v>
      </c>
      <c r="K3028" t="s">
        <v>17</v>
      </c>
    </row>
    <row r="3029" spans="1:11" ht="15" customHeight="1" x14ac:dyDescent="0.3">
      <c r="A3029" t="s">
        <v>22</v>
      </c>
      <c r="B3029" t="s">
        <v>11</v>
      </c>
      <c r="C3029" t="s">
        <v>12</v>
      </c>
      <c r="D3029" t="s">
        <v>28</v>
      </c>
      <c r="E3029">
        <v>-4</v>
      </c>
      <c r="F3029" t="s">
        <v>40</v>
      </c>
      <c r="G3029" t="s">
        <v>15</v>
      </c>
      <c r="H3029" t="s">
        <v>16</v>
      </c>
      <c r="I3029">
        <v>0</v>
      </c>
      <c r="J3029" s="23">
        <v>-123010</v>
      </c>
      <c r="K3029" t="s">
        <v>17</v>
      </c>
    </row>
    <row r="3030" spans="1:11" ht="15" customHeight="1" x14ac:dyDescent="0.3">
      <c r="A3030" t="s">
        <v>10</v>
      </c>
      <c r="B3030" t="s">
        <v>11</v>
      </c>
      <c r="C3030" t="s">
        <v>12</v>
      </c>
      <c r="D3030" t="s">
        <v>13</v>
      </c>
      <c r="E3030">
        <v>7</v>
      </c>
      <c r="F3030" t="s">
        <v>40</v>
      </c>
      <c r="G3030" t="s">
        <v>15</v>
      </c>
      <c r="H3030" t="s">
        <v>16</v>
      </c>
      <c r="I3030">
        <v>0</v>
      </c>
      <c r="J3030" s="23">
        <v>-52155</v>
      </c>
      <c r="K3030" t="s">
        <v>17</v>
      </c>
    </row>
    <row r="3031" spans="1:11" ht="15" customHeight="1" x14ac:dyDescent="0.3">
      <c r="A3031" t="s">
        <v>18</v>
      </c>
      <c r="B3031" t="s">
        <v>11</v>
      </c>
      <c r="C3031" t="s">
        <v>12</v>
      </c>
      <c r="D3031" t="s">
        <v>28</v>
      </c>
      <c r="E3031">
        <v>17</v>
      </c>
      <c r="F3031" t="s">
        <v>30</v>
      </c>
      <c r="G3031" t="s">
        <v>15</v>
      </c>
      <c r="H3031" t="s">
        <v>16</v>
      </c>
      <c r="I3031">
        <v>0</v>
      </c>
      <c r="J3031" s="23">
        <v>-10757</v>
      </c>
      <c r="K3031" t="s">
        <v>17</v>
      </c>
    </row>
    <row r="3032" spans="1:11" ht="15" customHeight="1" x14ac:dyDescent="0.3">
      <c r="A3032" t="s">
        <v>22</v>
      </c>
      <c r="B3032" t="s">
        <v>11</v>
      </c>
      <c r="C3032" t="s">
        <v>12</v>
      </c>
      <c r="D3032" t="s">
        <v>28</v>
      </c>
      <c r="E3032">
        <v>-1</v>
      </c>
      <c r="F3032" t="s">
        <v>21</v>
      </c>
      <c r="G3032" t="s">
        <v>15</v>
      </c>
      <c r="H3032" t="s">
        <v>32</v>
      </c>
      <c r="I3032">
        <v>1</v>
      </c>
      <c r="J3032" s="23">
        <v>-97</v>
      </c>
      <c r="K3032" t="s">
        <v>17</v>
      </c>
    </row>
    <row r="3033" spans="1:11" ht="15" customHeight="1" x14ac:dyDescent="0.3">
      <c r="A3033" t="s">
        <v>10</v>
      </c>
      <c r="B3033" t="s">
        <v>11</v>
      </c>
      <c r="C3033" t="s">
        <v>24</v>
      </c>
      <c r="D3033" t="s">
        <v>28</v>
      </c>
      <c r="E3033">
        <v>14</v>
      </c>
      <c r="F3033" t="s">
        <v>40</v>
      </c>
      <c r="G3033" t="s">
        <v>15</v>
      </c>
      <c r="H3033" t="s">
        <v>16</v>
      </c>
      <c r="I3033">
        <v>0</v>
      </c>
      <c r="J3033" s="23">
        <v>1396393</v>
      </c>
      <c r="K3033">
        <v>19549502</v>
      </c>
    </row>
    <row r="3034" spans="1:11" ht="15" customHeight="1" x14ac:dyDescent="0.3">
      <c r="A3034" t="s">
        <v>18</v>
      </c>
      <c r="B3034" t="s">
        <v>11</v>
      </c>
      <c r="C3034" t="s">
        <v>12</v>
      </c>
      <c r="D3034" t="s">
        <v>28</v>
      </c>
      <c r="E3034">
        <v>-4</v>
      </c>
      <c r="F3034" t="s">
        <v>26</v>
      </c>
      <c r="G3034" t="s">
        <v>15</v>
      </c>
      <c r="H3034" t="s">
        <v>16</v>
      </c>
      <c r="I3034">
        <v>0</v>
      </c>
      <c r="J3034" s="23">
        <v>-321</v>
      </c>
      <c r="K3034" t="s">
        <v>17</v>
      </c>
    </row>
    <row r="3035" spans="1:11" ht="15" customHeight="1" x14ac:dyDescent="0.3">
      <c r="A3035" t="s">
        <v>22</v>
      </c>
      <c r="B3035" t="s">
        <v>11</v>
      </c>
      <c r="C3035" t="s">
        <v>24</v>
      </c>
      <c r="D3035" t="s">
        <v>13</v>
      </c>
      <c r="E3035">
        <v>7</v>
      </c>
      <c r="F3035" t="s">
        <v>34</v>
      </c>
      <c r="G3035" t="s">
        <v>15</v>
      </c>
      <c r="H3035" t="s">
        <v>16</v>
      </c>
      <c r="I3035">
        <v>0</v>
      </c>
      <c r="J3035" s="23">
        <v>1212528</v>
      </c>
      <c r="K3035">
        <v>8487696</v>
      </c>
    </row>
    <row r="3036" spans="1:11" ht="15" customHeight="1" x14ac:dyDescent="0.3">
      <c r="A3036" t="s">
        <v>18</v>
      </c>
      <c r="B3036" t="s">
        <v>11</v>
      </c>
      <c r="C3036" t="s">
        <v>12</v>
      </c>
      <c r="D3036" t="s">
        <v>13</v>
      </c>
      <c r="E3036">
        <v>10</v>
      </c>
      <c r="F3036" t="s">
        <v>40</v>
      </c>
      <c r="G3036" t="s">
        <v>15</v>
      </c>
      <c r="H3036" t="s">
        <v>16</v>
      </c>
      <c r="I3036">
        <v>0</v>
      </c>
      <c r="J3036" s="23">
        <v>-1047</v>
      </c>
      <c r="K3036" t="s">
        <v>17</v>
      </c>
    </row>
    <row r="3037" spans="1:11" ht="15" customHeight="1" x14ac:dyDescent="0.3">
      <c r="A3037" t="s">
        <v>22</v>
      </c>
      <c r="B3037" t="s">
        <v>11</v>
      </c>
      <c r="C3037" t="s">
        <v>12</v>
      </c>
      <c r="D3037" t="s">
        <v>25</v>
      </c>
      <c r="E3037">
        <v>1</v>
      </c>
      <c r="F3037" t="s">
        <v>45</v>
      </c>
      <c r="G3037" t="s">
        <v>15</v>
      </c>
      <c r="H3037" t="s">
        <v>16</v>
      </c>
      <c r="I3037">
        <v>0</v>
      </c>
      <c r="J3037" s="23">
        <v>-1649</v>
      </c>
      <c r="K3037" t="s">
        <v>17</v>
      </c>
    </row>
    <row r="3038" spans="1:11" ht="15" customHeight="1" x14ac:dyDescent="0.3">
      <c r="A3038" t="s">
        <v>18</v>
      </c>
      <c r="B3038" t="s">
        <v>11</v>
      </c>
      <c r="C3038" t="s">
        <v>12</v>
      </c>
      <c r="D3038" t="s">
        <v>13</v>
      </c>
      <c r="E3038">
        <v>5</v>
      </c>
      <c r="F3038" t="s">
        <v>27</v>
      </c>
      <c r="G3038" t="s">
        <v>15</v>
      </c>
      <c r="H3038" t="s">
        <v>16</v>
      </c>
      <c r="I3038">
        <v>0</v>
      </c>
      <c r="J3038" s="23">
        <v>-385</v>
      </c>
      <c r="K3038" t="s">
        <v>17</v>
      </c>
    </row>
    <row r="3039" spans="1:11" ht="15" customHeight="1" x14ac:dyDescent="0.3">
      <c r="A3039" t="s">
        <v>22</v>
      </c>
      <c r="B3039" t="s">
        <v>11</v>
      </c>
      <c r="C3039" t="s">
        <v>24</v>
      </c>
      <c r="D3039" t="s">
        <v>28</v>
      </c>
      <c r="E3039">
        <v>-1</v>
      </c>
      <c r="F3039" t="s">
        <v>26</v>
      </c>
      <c r="G3039" t="s">
        <v>15</v>
      </c>
      <c r="H3039" t="s">
        <v>16</v>
      </c>
      <c r="I3039">
        <v>0</v>
      </c>
      <c r="J3039" s="23">
        <v>2</v>
      </c>
      <c r="K3039" t="s">
        <v>17</v>
      </c>
    </row>
    <row r="3040" spans="1:11" ht="15" customHeight="1" x14ac:dyDescent="0.3">
      <c r="A3040" t="s">
        <v>22</v>
      </c>
      <c r="B3040" t="s">
        <v>11</v>
      </c>
      <c r="C3040" t="s">
        <v>24</v>
      </c>
      <c r="D3040" t="s">
        <v>28</v>
      </c>
      <c r="E3040">
        <v>8</v>
      </c>
      <c r="F3040" t="s">
        <v>23</v>
      </c>
      <c r="G3040" t="s">
        <v>15</v>
      </c>
      <c r="H3040" t="s">
        <v>16</v>
      </c>
      <c r="I3040">
        <v>0</v>
      </c>
      <c r="J3040" s="23">
        <v>1008404</v>
      </c>
      <c r="K3040">
        <v>8067232</v>
      </c>
    </row>
    <row r="3041" spans="1:11" ht="15" customHeight="1" x14ac:dyDescent="0.3">
      <c r="A3041" t="s">
        <v>18</v>
      </c>
      <c r="B3041" t="s">
        <v>19</v>
      </c>
      <c r="C3041" t="s">
        <v>12</v>
      </c>
      <c r="D3041" t="s">
        <v>28</v>
      </c>
      <c r="E3041">
        <v>1</v>
      </c>
      <c r="F3041"/>
      <c r="G3041" t="s">
        <v>15</v>
      </c>
      <c r="H3041" t="s">
        <v>16</v>
      </c>
      <c r="I3041">
        <v>0</v>
      </c>
      <c r="J3041" s="23">
        <v>-5243</v>
      </c>
      <c r="K3041" t="s">
        <v>17</v>
      </c>
    </row>
    <row r="3042" spans="1:11" ht="15" customHeight="1" x14ac:dyDescent="0.3">
      <c r="A3042" t="s">
        <v>22</v>
      </c>
      <c r="B3042" t="s">
        <v>11</v>
      </c>
      <c r="C3042" t="s">
        <v>24</v>
      </c>
      <c r="D3042" t="s">
        <v>13</v>
      </c>
      <c r="E3042">
        <v>15</v>
      </c>
      <c r="F3042" t="s">
        <v>21</v>
      </c>
      <c r="G3042" t="s">
        <v>15</v>
      </c>
      <c r="H3042" t="s">
        <v>16</v>
      </c>
      <c r="I3042">
        <v>0</v>
      </c>
      <c r="J3042" s="23">
        <v>72717</v>
      </c>
      <c r="K3042">
        <v>1090755</v>
      </c>
    </row>
    <row r="3043" spans="1:11" ht="15" customHeight="1" x14ac:dyDescent="0.3">
      <c r="A3043" t="s">
        <v>18</v>
      </c>
      <c r="B3043" t="s">
        <v>11</v>
      </c>
      <c r="C3043" t="s">
        <v>12</v>
      </c>
      <c r="D3043" t="s">
        <v>13</v>
      </c>
      <c r="E3043">
        <v>11</v>
      </c>
      <c r="F3043" t="s">
        <v>40</v>
      </c>
      <c r="G3043" t="s">
        <v>15</v>
      </c>
      <c r="H3043" t="s">
        <v>16</v>
      </c>
      <c r="I3043">
        <v>0</v>
      </c>
      <c r="J3043" s="23">
        <v>-16463</v>
      </c>
      <c r="K3043" t="s">
        <v>17</v>
      </c>
    </row>
    <row r="3044" spans="1:11" ht="15" customHeight="1" x14ac:dyDescent="0.3">
      <c r="A3044" t="s">
        <v>10</v>
      </c>
      <c r="B3044" t="s">
        <v>11</v>
      </c>
      <c r="C3044" t="s">
        <v>24</v>
      </c>
      <c r="D3044" t="s">
        <v>28</v>
      </c>
      <c r="E3044">
        <v>-4</v>
      </c>
      <c r="F3044" t="s">
        <v>35</v>
      </c>
      <c r="G3044" t="s">
        <v>15</v>
      </c>
      <c r="H3044" t="s">
        <v>16</v>
      </c>
      <c r="I3044">
        <v>0</v>
      </c>
      <c r="J3044" s="23">
        <v>2265</v>
      </c>
      <c r="K3044" t="s">
        <v>17</v>
      </c>
    </row>
    <row r="3045" spans="1:11" ht="15" customHeight="1" x14ac:dyDescent="0.3">
      <c r="A3045" t="s">
        <v>18</v>
      </c>
      <c r="B3045" t="s">
        <v>11</v>
      </c>
      <c r="C3045" t="s">
        <v>12</v>
      </c>
      <c r="D3045" t="s">
        <v>28</v>
      </c>
      <c r="E3045">
        <v>6</v>
      </c>
      <c r="F3045" t="s">
        <v>27</v>
      </c>
      <c r="G3045" t="s">
        <v>15</v>
      </c>
      <c r="H3045" t="s">
        <v>16</v>
      </c>
      <c r="I3045">
        <v>0</v>
      </c>
      <c r="J3045" s="23">
        <v>-364</v>
      </c>
      <c r="K3045" t="s">
        <v>17</v>
      </c>
    </row>
    <row r="3046" spans="1:11" ht="15" customHeight="1" x14ac:dyDescent="0.3">
      <c r="A3046" t="s">
        <v>10</v>
      </c>
      <c r="B3046" t="s">
        <v>19</v>
      </c>
      <c r="C3046" t="s">
        <v>12</v>
      </c>
      <c r="D3046" t="s">
        <v>28</v>
      </c>
      <c r="E3046">
        <v>0</v>
      </c>
      <c r="F3046"/>
      <c r="G3046" t="s">
        <v>31</v>
      </c>
      <c r="H3046" t="s">
        <v>16</v>
      </c>
      <c r="I3046">
        <v>1</v>
      </c>
      <c r="J3046" s="23">
        <v>-6</v>
      </c>
      <c r="K3046" t="s">
        <v>17</v>
      </c>
    </row>
    <row r="3047" spans="1:11" ht="15" customHeight="1" x14ac:dyDescent="0.3">
      <c r="A3047" t="s">
        <v>18</v>
      </c>
      <c r="B3047" t="s">
        <v>11</v>
      </c>
      <c r="C3047" t="s">
        <v>24</v>
      </c>
      <c r="D3047" t="s">
        <v>13</v>
      </c>
      <c r="E3047">
        <v>5</v>
      </c>
      <c r="F3047" t="s">
        <v>45</v>
      </c>
      <c r="G3047" t="s">
        <v>15</v>
      </c>
      <c r="H3047" t="s">
        <v>16</v>
      </c>
      <c r="I3047">
        <v>0</v>
      </c>
      <c r="J3047" s="23">
        <v>693817</v>
      </c>
      <c r="K3047">
        <v>3469085</v>
      </c>
    </row>
    <row r="3048" spans="1:11" ht="15" customHeight="1" x14ac:dyDescent="0.3">
      <c r="A3048" t="s">
        <v>18</v>
      </c>
      <c r="B3048" t="s">
        <v>11</v>
      </c>
      <c r="C3048" t="s">
        <v>12</v>
      </c>
      <c r="D3048" t="s">
        <v>28</v>
      </c>
      <c r="E3048">
        <v>6</v>
      </c>
      <c r="F3048" t="s">
        <v>34</v>
      </c>
      <c r="G3048" t="s">
        <v>31</v>
      </c>
      <c r="H3048" t="s">
        <v>16</v>
      </c>
      <c r="I3048">
        <v>1</v>
      </c>
      <c r="J3048" s="23">
        <v>-142</v>
      </c>
      <c r="K3048" t="s">
        <v>17</v>
      </c>
    </row>
    <row r="3049" spans="1:11" ht="15" customHeight="1" x14ac:dyDescent="0.3">
      <c r="A3049" t="s">
        <v>10</v>
      </c>
      <c r="B3049" t="s">
        <v>11</v>
      </c>
      <c r="C3049" t="s">
        <v>12</v>
      </c>
      <c r="D3049" t="s">
        <v>13</v>
      </c>
      <c r="E3049">
        <v>1</v>
      </c>
      <c r="F3049" t="s">
        <v>27</v>
      </c>
      <c r="G3049" t="s">
        <v>15</v>
      </c>
      <c r="H3049" t="s">
        <v>16</v>
      </c>
      <c r="I3049">
        <v>0</v>
      </c>
      <c r="J3049" s="23">
        <v>-19200</v>
      </c>
      <c r="K3049" t="s">
        <v>17</v>
      </c>
    </row>
    <row r="3050" spans="1:11" ht="15" customHeight="1" x14ac:dyDescent="0.3">
      <c r="A3050" t="s">
        <v>18</v>
      </c>
      <c r="B3050" t="s">
        <v>11</v>
      </c>
      <c r="C3050" t="s">
        <v>24</v>
      </c>
      <c r="D3050" t="s">
        <v>25</v>
      </c>
      <c r="E3050">
        <v>-4</v>
      </c>
      <c r="F3050" t="s">
        <v>42</v>
      </c>
      <c r="G3050" t="s">
        <v>15</v>
      </c>
      <c r="H3050" t="s">
        <v>16</v>
      </c>
      <c r="I3050">
        <v>0</v>
      </c>
      <c r="J3050" s="23">
        <v>26</v>
      </c>
      <c r="K3050" t="s">
        <v>17</v>
      </c>
    </row>
    <row r="3051" spans="1:11" ht="15" customHeight="1" x14ac:dyDescent="0.3">
      <c r="A3051" t="s">
        <v>18</v>
      </c>
      <c r="B3051" t="s">
        <v>11</v>
      </c>
      <c r="C3051" t="s">
        <v>12</v>
      </c>
      <c r="D3051" t="s">
        <v>28</v>
      </c>
      <c r="E3051">
        <v>12</v>
      </c>
      <c r="F3051" t="s">
        <v>34</v>
      </c>
      <c r="G3051" t="s">
        <v>15</v>
      </c>
      <c r="H3051" t="s">
        <v>16</v>
      </c>
      <c r="I3051">
        <v>0</v>
      </c>
      <c r="J3051" s="23">
        <v>-8428</v>
      </c>
      <c r="K3051" t="s">
        <v>17</v>
      </c>
    </row>
    <row r="3052" spans="1:11" ht="15" customHeight="1" x14ac:dyDescent="0.3">
      <c r="A3052" t="s">
        <v>18</v>
      </c>
      <c r="B3052" t="s">
        <v>11</v>
      </c>
      <c r="C3052" t="s">
        <v>24</v>
      </c>
      <c r="D3052" t="s">
        <v>13</v>
      </c>
      <c r="E3052">
        <v>0</v>
      </c>
      <c r="F3052" t="s">
        <v>39</v>
      </c>
      <c r="G3052" t="s">
        <v>15</v>
      </c>
      <c r="H3052" t="s">
        <v>16</v>
      </c>
      <c r="I3052">
        <v>0</v>
      </c>
      <c r="J3052" s="23">
        <v>37723352</v>
      </c>
      <c r="K3052" t="s">
        <v>17</v>
      </c>
    </row>
    <row r="3053" spans="1:11" ht="15" customHeight="1" x14ac:dyDescent="0.3">
      <c r="A3053" t="s">
        <v>18</v>
      </c>
      <c r="B3053" t="s">
        <v>11</v>
      </c>
      <c r="C3053" t="s">
        <v>24</v>
      </c>
      <c r="D3053" t="s">
        <v>28</v>
      </c>
      <c r="E3053">
        <v>10</v>
      </c>
      <c r="F3053" t="s">
        <v>33</v>
      </c>
      <c r="G3053" t="s">
        <v>15</v>
      </c>
      <c r="H3053" t="s">
        <v>32</v>
      </c>
      <c r="I3053">
        <v>1</v>
      </c>
      <c r="J3053" s="23">
        <v>9659808</v>
      </c>
      <c r="K3053">
        <v>96598080</v>
      </c>
    </row>
    <row r="3054" spans="1:11" ht="15" customHeight="1" x14ac:dyDescent="0.3">
      <c r="A3054" t="s">
        <v>22</v>
      </c>
      <c r="B3054" t="s">
        <v>11</v>
      </c>
      <c r="C3054" t="s">
        <v>24</v>
      </c>
      <c r="D3054" t="s">
        <v>28</v>
      </c>
      <c r="E3054">
        <v>1</v>
      </c>
      <c r="F3054" t="s">
        <v>29</v>
      </c>
      <c r="G3054" t="s">
        <v>15</v>
      </c>
      <c r="H3054" t="s">
        <v>16</v>
      </c>
      <c r="I3054">
        <v>0</v>
      </c>
      <c r="J3054" s="23">
        <v>261749</v>
      </c>
      <c r="K3054">
        <v>261749</v>
      </c>
    </row>
    <row r="3055" spans="1:11" ht="15" customHeight="1" x14ac:dyDescent="0.3">
      <c r="A3055" t="s">
        <v>22</v>
      </c>
      <c r="B3055" t="s">
        <v>19</v>
      </c>
      <c r="C3055" t="s">
        <v>12</v>
      </c>
      <c r="D3055" t="s">
        <v>28</v>
      </c>
      <c r="E3055">
        <v>18</v>
      </c>
      <c r="F3055"/>
      <c r="G3055" t="s">
        <v>15</v>
      </c>
      <c r="H3055" t="s">
        <v>16</v>
      </c>
      <c r="I3055">
        <v>0</v>
      </c>
      <c r="J3055" s="23">
        <v>-14377</v>
      </c>
      <c r="K3055" t="s">
        <v>17</v>
      </c>
    </row>
    <row r="3056" spans="1:11" ht="15" customHeight="1" x14ac:dyDescent="0.3">
      <c r="A3056" t="s">
        <v>10</v>
      </c>
      <c r="B3056" t="s">
        <v>11</v>
      </c>
      <c r="C3056" t="s">
        <v>24</v>
      </c>
      <c r="D3056" t="s">
        <v>25</v>
      </c>
      <c r="E3056">
        <v>4</v>
      </c>
      <c r="F3056" t="s">
        <v>27</v>
      </c>
      <c r="G3056" t="s">
        <v>15</v>
      </c>
      <c r="H3056" t="s">
        <v>16</v>
      </c>
      <c r="I3056">
        <v>0</v>
      </c>
      <c r="J3056" s="23">
        <v>186633</v>
      </c>
      <c r="K3056">
        <v>746532</v>
      </c>
    </row>
    <row r="3057" spans="1:11" ht="15" customHeight="1" x14ac:dyDescent="0.3">
      <c r="A3057" t="s">
        <v>10</v>
      </c>
      <c r="B3057" t="s">
        <v>19</v>
      </c>
      <c r="C3057" t="s">
        <v>12</v>
      </c>
      <c r="D3057" t="s">
        <v>20</v>
      </c>
      <c r="E3057">
        <v>9</v>
      </c>
      <c r="F3057"/>
      <c r="G3057" t="s">
        <v>15</v>
      </c>
      <c r="H3057" t="s">
        <v>32</v>
      </c>
      <c r="I3057">
        <v>1</v>
      </c>
      <c r="J3057" s="23">
        <v>-1821</v>
      </c>
      <c r="K3057" t="s">
        <v>17</v>
      </c>
    </row>
    <row r="3058" spans="1:11" ht="15" customHeight="1" x14ac:dyDescent="0.3">
      <c r="A3058" t="s">
        <v>18</v>
      </c>
      <c r="B3058" t="s">
        <v>19</v>
      </c>
      <c r="C3058" t="s">
        <v>12</v>
      </c>
      <c r="D3058" t="s">
        <v>20</v>
      </c>
      <c r="E3058">
        <v>13</v>
      </c>
      <c r="F3058"/>
      <c r="G3058" t="s">
        <v>15</v>
      </c>
      <c r="H3058" t="s">
        <v>32</v>
      </c>
      <c r="I3058">
        <v>1</v>
      </c>
      <c r="J3058" s="23">
        <v>-584</v>
      </c>
      <c r="K3058" t="s">
        <v>17</v>
      </c>
    </row>
    <row r="3059" spans="1:11" ht="15" customHeight="1" x14ac:dyDescent="0.3">
      <c r="A3059" t="s">
        <v>18</v>
      </c>
      <c r="B3059" t="s">
        <v>19</v>
      </c>
      <c r="C3059" t="s">
        <v>24</v>
      </c>
      <c r="D3059" t="s">
        <v>20</v>
      </c>
      <c r="E3059">
        <v>12</v>
      </c>
      <c r="F3059"/>
      <c r="G3059" t="s">
        <v>31</v>
      </c>
      <c r="H3059" t="s">
        <v>32</v>
      </c>
      <c r="I3059">
        <v>1</v>
      </c>
      <c r="J3059" s="23">
        <v>30355</v>
      </c>
      <c r="K3059">
        <v>364260</v>
      </c>
    </row>
    <row r="3060" spans="1:11" ht="15" customHeight="1" x14ac:dyDescent="0.3">
      <c r="A3060" t="s">
        <v>22</v>
      </c>
      <c r="B3060" t="s">
        <v>11</v>
      </c>
      <c r="C3060" t="s">
        <v>24</v>
      </c>
      <c r="D3060" t="s">
        <v>25</v>
      </c>
      <c r="E3060">
        <v>-4</v>
      </c>
      <c r="F3060" t="s">
        <v>38</v>
      </c>
      <c r="G3060" t="s">
        <v>15</v>
      </c>
      <c r="H3060" t="s">
        <v>16</v>
      </c>
      <c r="I3060">
        <v>0</v>
      </c>
      <c r="J3060" s="23">
        <v>26</v>
      </c>
      <c r="K3060" t="s">
        <v>17</v>
      </c>
    </row>
    <row r="3061" spans="1:11" ht="15" customHeight="1" x14ac:dyDescent="0.3">
      <c r="A3061" t="s">
        <v>10</v>
      </c>
      <c r="B3061" t="s">
        <v>19</v>
      </c>
      <c r="C3061" t="s">
        <v>24</v>
      </c>
      <c r="D3061" t="s">
        <v>28</v>
      </c>
      <c r="E3061">
        <v>29</v>
      </c>
      <c r="F3061"/>
      <c r="G3061" t="s">
        <v>15</v>
      </c>
      <c r="H3061" t="s">
        <v>16</v>
      </c>
      <c r="I3061">
        <v>0</v>
      </c>
      <c r="J3061" s="23">
        <v>195775</v>
      </c>
      <c r="K3061">
        <v>5677475</v>
      </c>
    </row>
    <row r="3062" spans="1:11" ht="15" customHeight="1" x14ac:dyDescent="0.3">
      <c r="A3062" t="s">
        <v>18</v>
      </c>
      <c r="B3062" t="s">
        <v>11</v>
      </c>
      <c r="C3062" t="s">
        <v>24</v>
      </c>
      <c r="D3062" t="s">
        <v>13</v>
      </c>
      <c r="E3062">
        <v>10</v>
      </c>
      <c r="F3062" t="s">
        <v>42</v>
      </c>
      <c r="G3062" t="s">
        <v>15</v>
      </c>
      <c r="H3062" t="s">
        <v>16</v>
      </c>
      <c r="I3062">
        <v>0</v>
      </c>
      <c r="J3062" s="23">
        <v>3614309</v>
      </c>
      <c r="K3062">
        <v>36143090</v>
      </c>
    </row>
    <row r="3063" spans="1:11" ht="15" customHeight="1" x14ac:dyDescent="0.3">
      <c r="A3063" t="s">
        <v>18</v>
      </c>
      <c r="B3063" t="s">
        <v>11</v>
      </c>
      <c r="C3063" t="s">
        <v>24</v>
      </c>
      <c r="D3063" t="s">
        <v>25</v>
      </c>
      <c r="E3063">
        <v>3</v>
      </c>
      <c r="F3063" t="s">
        <v>40</v>
      </c>
      <c r="G3063" t="s">
        <v>15</v>
      </c>
      <c r="H3063" t="s">
        <v>16</v>
      </c>
      <c r="I3063">
        <v>0</v>
      </c>
      <c r="J3063" s="23">
        <v>17332351</v>
      </c>
      <c r="K3063">
        <v>51997053</v>
      </c>
    </row>
    <row r="3064" spans="1:11" ht="15" customHeight="1" x14ac:dyDescent="0.3">
      <c r="A3064" t="s">
        <v>22</v>
      </c>
      <c r="B3064" t="s">
        <v>19</v>
      </c>
      <c r="C3064" t="s">
        <v>12</v>
      </c>
      <c r="D3064" t="s">
        <v>28</v>
      </c>
      <c r="E3064">
        <v>12</v>
      </c>
      <c r="F3064"/>
      <c r="G3064" t="s">
        <v>15</v>
      </c>
      <c r="H3064" t="s">
        <v>16</v>
      </c>
      <c r="I3064">
        <v>0</v>
      </c>
      <c r="J3064" s="23">
        <v>-406716</v>
      </c>
      <c r="K3064" t="s">
        <v>17</v>
      </c>
    </row>
    <row r="3065" spans="1:11" ht="15" customHeight="1" x14ac:dyDescent="0.3">
      <c r="A3065" t="s">
        <v>18</v>
      </c>
      <c r="B3065" t="s">
        <v>19</v>
      </c>
      <c r="C3065" t="s">
        <v>24</v>
      </c>
      <c r="D3065" t="s">
        <v>20</v>
      </c>
      <c r="E3065">
        <v>1</v>
      </c>
      <c r="F3065"/>
      <c r="G3065" t="s">
        <v>31</v>
      </c>
      <c r="H3065" t="s">
        <v>32</v>
      </c>
      <c r="I3065">
        <v>1</v>
      </c>
      <c r="J3065" s="23">
        <v>4141</v>
      </c>
      <c r="K3065">
        <v>4141</v>
      </c>
    </row>
    <row r="3066" spans="1:11" ht="15" customHeight="1" x14ac:dyDescent="0.3">
      <c r="A3066" t="s">
        <v>10</v>
      </c>
      <c r="B3066" t="s">
        <v>11</v>
      </c>
      <c r="C3066" t="s">
        <v>12</v>
      </c>
      <c r="D3066" t="s">
        <v>25</v>
      </c>
      <c r="E3066">
        <v>4</v>
      </c>
      <c r="F3066" t="s">
        <v>33</v>
      </c>
      <c r="G3066" t="s">
        <v>15</v>
      </c>
      <c r="H3066" t="s">
        <v>16</v>
      </c>
      <c r="I3066">
        <v>0</v>
      </c>
      <c r="J3066" s="23">
        <v>-26148</v>
      </c>
      <c r="K3066" t="s">
        <v>17</v>
      </c>
    </row>
    <row r="3067" spans="1:11" ht="15" customHeight="1" x14ac:dyDescent="0.3">
      <c r="A3067" t="s">
        <v>22</v>
      </c>
      <c r="B3067" t="s">
        <v>11</v>
      </c>
      <c r="C3067" t="s">
        <v>24</v>
      </c>
      <c r="D3067" t="s">
        <v>13</v>
      </c>
      <c r="E3067">
        <v>3</v>
      </c>
      <c r="F3067" t="s">
        <v>14</v>
      </c>
      <c r="G3067" t="s">
        <v>15</v>
      </c>
      <c r="H3067" t="s">
        <v>16</v>
      </c>
      <c r="I3067">
        <v>0</v>
      </c>
      <c r="J3067" s="23">
        <v>73633</v>
      </c>
      <c r="K3067">
        <v>220899</v>
      </c>
    </row>
    <row r="3068" spans="1:11" ht="15" customHeight="1" x14ac:dyDescent="0.3">
      <c r="A3068" t="s">
        <v>18</v>
      </c>
      <c r="B3068" t="s">
        <v>19</v>
      </c>
      <c r="C3068" t="s">
        <v>12</v>
      </c>
      <c r="D3068" t="s">
        <v>20</v>
      </c>
      <c r="E3068">
        <v>26</v>
      </c>
      <c r="F3068"/>
      <c r="G3068" t="s">
        <v>31</v>
      </c>
      <c r="H3068" t="s">
        <v>16</v>
      </c>
      <c r="I3068">
        <v>1</v>
      </c>
      <c r="J3068" s="23">
        <v>-8440</v>
      </c>
      <c r="K3068" t="s">
        <v>17</v>
      </c>
    </row>
    <row r="3069" spans="1:11" ht="15" customHeight="1" x14ac:dyDescent="0.3">
      <c r="A3069" t="s">
        <v>10</v>
      </c>
      <c r="B3069" t="s">
        <v>19</v>
      </c>
      <c r="C3069" t="s">
        <v>24</v>
      </c>
      <c r="D3069" t="s">
        <v>20</v>
      </c>
      <c r="E3069">
        <v>20</v>
      </c>
      <c r="F3069"/>
      <c r="G3069" t="s">
        <v>15</v>
      </c>
      <c r="H3069" t="s">
        <v>16</v>
      </c>
      <c r="I3069">
        <v>0</v>
      </c>
      <c r="J3069" s="23">
        <v>46293227</v>
      </c>
      <c r="K3069">
        <v>925864540</v>
      </c>
    </row>
    <row r="3070" spans="1:11" ht="15" customHeight="1" x14ac:dyDescent="0.3">
      <c r="A3070" t="s">
        <v>10</v>
      </c>
      <c r="B3070" t="s">
        <v>11</v>
      </c>
      <c r="C3070" t="s">
        <v>12</v>
      </c>
      <c r="D3070" t="s">
        <v>25</v>
      </c>
      <c r="E3070">
        <v>-4</v>
      </c>
      <c r="F3070" t="s">
        <v>23</v>
      </c>
      <c r="G3070" t="s">
        <v>15</v>
      </c>
      <c r="H3070" t="s">
        <v>16</v>
      </c>
      <c r="I3070">
        <v>0</v>
      </c>
      <c r="J3070" s="23">
        <v>-230</v>
      </c>
      <c r="K3070" t="s">
        <v>17</v>
      </c>
    </row>
    <row r="3071" spans="1:11" ht="15" customHeight="1" x14ac:dyDescent="0.3">
      <c r="A3071" t="s">
        <v>18</v>
      </c>
      <c r="B3071" t="s">
        <v>11</v>
      </c>
      <c r="C3071" t="s">
        <v>24</v>
      </c>
      <c r="D3071" t="s">
        <v>28</v>
      </c>
      <c r="E3071">
        <v>8</v>
      </c>
      <c r="F3071" t="s">
        <v>21</v>
      </c>
      <c r="G3071" t="s">
        <v>31</v>
      </c>
      <c r="H3071" t="s">
        <v>16</v>
      </c>
      <c r="I3071">
        <v>1</v>
      </c>
      <c r="J3071" s="23">
        <v>505566</v>
      </c>
      <c r="K3071">
        <v>4044528</v>
      </c>
    </row>
    <row r="3072" spans="1:11" ht="15" customHeight="1" x14ac:dyDescent="0.3">
      <c r="A3072" t="s">
        <v>18</v>
      </c>
      <c r="B3072" t="s">
        <v>11</v>
      </c>
      <c r="C3072" t="s">
        <v>24</v>
      </c>
      <c r="D3072" t="s">
        <v>25</v>
      </c>
      <c r="E3072">
        <v>5</v>
      </c>
      <c r="F3072" t="s">
        <v>27</v>
      </c>
      <c r="G3072" t="s">
        <v>15</v>
      </c>
      <c r="H3072" t="s">
        <v>16</v>
      </c>
      <c r="I3072">
        <v>0</v>
      </c>
      <c r="J3072" s="23">
        <v>408388</v>
      </c>
      <c r="K3072">
        <v>2041940</v>
      </c>
    </row>
    <row r="3073" spans="1:11" ht="15" customHeight="1" x14ac:dyDescent="0.3">
      <c r="A3073" t="s">
        <v>18</v>
      </c>
      <c r="B3073" t="s">
        <v>11</v>
      </c>
      <c r="C3073" t="s">
        <v>24</v>
      </c>
      <c r="D3073" t="s">
        <v>28</v>
      </c>
      <c r="E3073">
        <v>8</v>
      </c>
      <c r="F3073" t="s">
        <v>33</v>
      </c>
      <c r="G3073" t="s">
        <v>15</v>
      </c>
      <c r="H3073" t="s">
        <v>32</v>
      </c>
      <c r="I3073">
        <v>1</v>
      </c>
      <c r="J3073" s="23">
        <v>7425720</v>
      </c>
      <c r="K3073">
        <v>59405760</v>
      </c>
    </row>
    <row r="3074" spans="1:11" ht="15" customHeight="1" x14ac:dyDescent="0.3">
      <c r="A3074" t="s">
        <v>10</v>
      </c>
      <c r="B3074" t="s">
        <v>19</v>
      </c>
      <c r="C3074" t="s">
        <v>24</v>
      </c>
      <c r="D3074" t="s">
        <v>20</v>
      </c>
      <c r="E3074">
        <v>33</v>
      </c>
      <c r="F3074"/>
      <c r="G3074" t="s">
        <v>31</v>
      </c>
      <c r="H3074" t="s">
        <v>32</v>
      </c>
      <c r="I3074">
        <v>1</v>
      </c>
      <c r="J3074" s="23">
        <v>198627</v>
      </c>
      <c r="K3074">
        <v>6554691</v>
      </c>
    </row>
    <row r="3075" spans="1:11" ht="15" customHeight="1" x14ac:dyDescent="0.3">
      <c r="A3075" t="s">
        <v>22</v>
      </c>
      <c r="B3075" t="s">
        <v>19</v>
      </c>
      <c r="C3075" t="s">
        <v>24</v>
      </c>
      <c r="D3075" t="s">
        <v>20</v>
      </c>
      <c r="E3075">
        <v>15</v>
      </c>
      <c r="F3075"/>
      <c r="G3075" t="s">
        <v>31</v>
      </c>
      <c r="H3075" t="s">
        <v>16</v>
      </c>
      <c r="I3075">
        <v>1</v>
      </c>
      <c r="J3075" s="23">
        <v>20724</v>
      </c>
      <c r="K3075">
        <v>310860</v>
      </c>
    </row>
    <row r="3076" spans="1:11" ht="15" customHeight="1" x14ac:dyDescent="0.3">
      <c r="A3076" t="s">
        <v>18</v>
      </c>
      <c r="B3076" t="s">
        <v>11</v>
      </c>
      <c r="C3076" t="s">
        <v>12</v>
      </c>
      <c r="D3076" t="s">
        <v>28</v>
      </c>
      <c r="E3076">
        <v>4</v>
      </c>
      <c r="F3076" t="s">
        <v>36</v>
      </c>
      <c r="G3076" t="s">
        <v>31</v>
      </c>
      <c r="H3076" t="s">
        <v>16</v>
      </c>
      <c r="I3076">
        <v>1</v>
      </c>
      <c r="J3076" s="23">
        <v>-5313</v>
      </c>
      <c r="K3076" t="s">
        <v>17</v>
      </c>
    </row>
    <row r="3077" spans="1:11" ht="15" customHeight="1" x14ac:dyDescent="0.3">
      <c r="A3077" t="s">
        <v>10</v>
      </c>
      <c r="B3077" t="s">
        <v>11</v>
      </c>
      <c r="C3077" t="s">
        <v>24</v>
      </c>
      <c r="D3077" t="s">
        <v>28</v>
      </c>
      <c r="E3077">
        <v>14</v>
      </c>
      <c r="F3077" t="s">
        <v>21</v>
      </c>
      <c r="G3077" t="s">
        <v>15</v>
      </c>
      <c r="H3077" t="s">
        <v>16</v>
      </c>
      <c r="I3077">
        <v>0</v>
      </c>
      <c r="J3077" s="23">
        <v>1232668</v>
      </c>
      <c r="K3077">
        <v>17257352</v>
      </c>
    </row>
    <row r="3078" spans="1:11" ht="15" customHeight="1" x14ac:dyDescent="0.3">
      <c r="A3078" t="s">
        <v>18</v>
      </c>
      <c r="B3078" t="s">
        <v>11</v>
      </c>
      <c r="C3078" t="s">
        <v>12</v>
      </c>
      <c r="D3078" t="s">
        <v>13</v>
      </c>
      <c r="E3078">
        <v>3</v>
      </c>
      <c r="F3078" t="s">
        <v>35</v>
      </c>
      <c r="G3078" t="s">
        <v>15</v>
      </c>
      <c r="H3078" t="s">
        <v>16</v>
      </c>
      <c r="I3078">
        <v>0</v>
      </c>
      <c r="J3078" s="23">
        <v>-64620</v>
      </c>
      <c r="K3078" t="s">
        <v>17</v>
      </c>
    </row>
    <row r="3079" spans="1:11" ht="15" customHeight="1" x14ac:dyDescent="0.3">
      <c r="A3079" t="s">
        <v>18</v>
      </c>
      <c r="B3079" t="s">
        <v>11</v>
      </c>
      <c r="C3079" t="s">
        <v>24</v>
      </c>
      <c r="D3079" t="s">
        <v>25</v>
      </c>
      <c r="E3079">
        <v>1</v>
      </c>
      <c r="F3079" t="s">
        <v>29</v>
      </c>
      <c r="G3079" t="s">
        <v>15</v>
      </c>
      <c r="H3079" t="s">
        <v>16</v>
      </c>
      <c r="I3079">
        <v>0</v>
      </c>
      <c r="J3079" s="23">
        <v>6738434</v>
      </c>
      <c r="K3079">
        <v>6738434</v>
      </c>
    </row>
    <row r="3080" spans="1:11" ht="15" customHeight="1" x14ac:dyDescent="0.3">
      <c r="A3080" t="s">
        <v>18</v>
      </c>
      <c r="B3080" t="s">
        <v>11</v>
      </c>
      <c r="C3080" t="s">
        <v>24</v>
      </c>
      <c r="D3080" t="s">
        <v>13</v>
      </c>
      <c r="E3080">
        <v>8</v>
      </c>
      <c r="F3080" t="s">
        <v>30</v>
      </c>
      <c r="G3080" t="s">
        <v>15</v>
      </c>
      <c r="H3080" t="s">
        <v>16</v>
      </c>
      <c r="I3080">
        <v>0</v>
      </c>
      <c r="J3080" s="23">
        <v>2405234</v>
      </c>
      <c r="K3080">
        <v>19241872</v>
      </c>
    </row>
    <row r="3081" spans="1:11" ht="15" customHeight="1" x14ac:dyDescent="0.3">
      <c r="A3081" t="s">
        <v>18</v>
      </c>
      <c r="B3081" t="s">
        <v>11</v>
      </c>
      <c r="C3081" t="s">
        <v>12</v>
      </c>
      <c r="D3081" t="s">
        <v>28</v>
      </c>
      <c r="E3081">
        <v>0</v>
      </c>
      <c r="F3081" t="s">
        <v>34</v>
      </c>
      <c r="G3081" t="s">
        <v>31</v>
      </c>
      <c r="H3081" t="s">
        <v>16</v>
      </c>
      <c r="I3081">
        <v>1</v>
      </c>
      <c r="J3081" s="23">
        <v>-23</v>
      </c>
      <c r="K3081" t="s">
        <v>17</v>
      </c>
    </row>
    <row r="3082" spans="1:11" ht="15" customHeight="1" x14ac:dyDescent="0.3">
      <c r="A3082" t="s">
        <v>22</v>
      </c>
      <c r="B3082" t="s">
        <v>11</v>
      </c>
      <c r="C3082" t="s">
        <v>12</v>
      </c>
      <c r="D3082" t="s">
        <v>28</v>
      </c>
      <c r="E3082">
        <v>2</v>
      </c>
      <c r="F3082" t="s">
        <v>21</v>
      </c>
      <c r="G3082" t="s">
        <v>15</v>
      </c>
      <c r="H3082" t="s">
        <v>16</v>
      </c>
      <c r="I3082">
        <v>0</v>
      </c>
      <c r="J3082" s="23">
        <v>-14149</v>
      </c>
      <c r="K3082" t="s">
        <v>17</v>
      </c>
    </row>
    <row r="3083" spans="1:11" ht="15" customHeight="1" x14ac:dyDescent="0.3">
      <c r="A3083" t="s">
        <v>18</v>
      </c>
      <c r="B3083" t="s">
        <v>11</v>
      </c>
      <c r="C3083" t="s">
        <v>12</v>
      </c>
      <c r="D3083" t="s">
        <v>28</v>
      </c>
      <c r="E3083">
        <v>0</v>
      </c>
      <c r="F3083" t="s">
        <v>27</v>
      </c>
      <c r="G3083" t="s">
        <v>15</v>
      </c>
      <c r="H3083" t="s">
        <v>16</v>
      </c>
      <c r="I3083">
        <v>0</v>
      </c>
      <c r="J3083" s="23">
        <v>-59</v>
      </c>
      <c r="K3083" t="s">
        <v>17</v>
      </c>
    </row>
    <row r="3084" spans="1:11" ht="15" customHeight="1" x14ac:dyDescent="0.3">
      <c r="A3084" t="s">
        <v>18</v>
      </c>
      <c r="B3084" t="s">
        <v>11</v>
      </c>
      <c r="C3084" t="s">
        <v>12</v>
      </c>
      <c r="D3084" t="s">
        <v>28</v>
      </c>
      <c r="E3084">
        <v>10</v>
      </c>
      <c r="F3084" t="s">
        <v>29</v>
      </c>
      <c r="G3084" t="s">
        <v>15</v>
      </c>
      <c r="H3084" t="s">
        <v>32</v>
      </c>
      <c r="I3084">
        <v>1</v>
      </c>
      <c r="J3084" s="23">
        <v>-8322</v>
      </c>
      <c r="K3084" t="s">
        <v>17</v>
      </c>
    </row>
    <row r="3085" spans="1:11" ht="15" customHeight="1" x14ac:dyDescent="0.3">
      <c r="A3085" t="s">
        <v>18</v>
      </c>
      <c r="B3085" t="s">
        <v>19</v>
      </c>
      <c r="C3085" t="s">
        <v>24</v>
      </c>
      <c r="D3085" t="s">
        <v>28</v>
      </c>
      <c r="E3085">
        <v>1</v>
      </c>
      <c r="F3085"/>
      <c r="G3085" t="s">
        <v>31</v>
      </c>
      <c r="H3085" t="s">
        <v>16</v>
      </c>
      <c r="I3085">
        <v>1</v>
      </c>
      <c r="J3085" s="23">
        <v>10758</v>
      </c>
      <c r="K3085">
        <v>10758</v>
      </c>
    </row>
    <row r="3086" spans="1:11" ht="15" customHeight="1" x14ac:dyDescent="0.3">
      <c r="A3086" t="s">
        <v>10</v>
      </c>
      <c r="B3086" t="s">
        <v>11</v>
      </c>
      <c r="C3086" t="s">
        <v>24</v>
      </c>
      <c r="D3086" t="s">
        <v>25</v>
      </c>
      <c r="E3086">
        <v>6</v>
      </c>
      <c r="F3086" t="s">
        <v>34</v>
      </c>
      <c r="G3086" t="s">
        <v>15</v>
      </c>
      <c r="H3086" t="s">
        <v>16</v>
      </c>
      <c r="I3086">
        <v>0</v>
      </c>
      <c r="J3086" s="23">
        <v>544554</v>
      </c>
      <c r="K3086">
        <v>3267324</v>
      </c>
    </row>
    <row r="3087" spans="1:11" ht="15" customHeight="1" x14ac:dyDescent="0.3">
      <c r="A3087" t="s">
        <v>18</v>
      </c>
      <c r="B3087" t="s">
        <v>11</v>
      </c>
      <c r="C3087" t="s">
        <v>12</v>
      </c>
      <c r="D3087" t="s">
        <v>13</v>
      </c>
      <c r="E3087">
        <v>8</v>
      </c>
      <c r="F3087" t="s">
        <v>30</v>
      </c>
      <c r="G3087" t="s">
        <v>15</v>
      </c>
      <c r="H3087" t="s">
        <v>16</v>
      </c>
      <c r="I3087">
        <v>0</v>
      </c>
      <c r="J3087" s="23">
        <v>-7402</v>
      </c>
      <c r="K3087" t="s">
        <v>17</v>
      </c>
    </row>
    <row r="3088" spans="1:11" ht="15" customHeight="1" x14ac:dyDescent="0.3">
      <c r="A3088" t="s">
        <v>22</v>
      </c>
      <c r="B3088" t="s">
        <v>11</v>
      </c>
      <c r="C3088" t="s">
        <v>12</v>
      </c>
      <c r="D3088" t="s">
        <v>28</v>
      </c>
      <c r="E3088">
        <v>-1</v>
      </c>
      <c r="F3088" t="s">
        <v>33</v>
      </c>
      <c r="G3088" t="s">
        <v>31</v>
      </c>
      <c r="H3088" t="s">
        <v>32</v>
      </c>
      <c r="I3088">
        <v>1</v>
      </c>
      <c r="J3088" s="23">
        <v>-223</v>
      </c>
      <c r="K3088" t="s">
        <v>17</v>
      </c>
    </row>
    <row r="3089" spans="1:11" ht="15" customHeight="1" x14ac:dyDescent="0.3">
      <c r="A3089" t="s">
        <v>10</v>
      </c>
      <c r="B3089" t="s">
        <v>11</v>
      </c>
      <c r="C3089" t="s">
        <v>24</v>
      </c>
      <c r="D3089" t="s">
        <v>25</v>
      </c>
      <c r="E3089">
        <v>5</v>
      </c>
      <c r="F3089" t="s">
        <v>14</v>
      </c>
      <c r="G3089" t="s">
        <v>15</v>
      </c>
      <c r="H3089" t="s">
        <v>16</v>
      </c>
      <c r="I3089">
        <v>0</v>
      </c>
      <c r="J3089" s="23">
        <v>1107516</v>
      </c>
      <c r="K3089">
        <v>5537580</v>
      </c>
    </row>
    <row r="3090" spans="1:11" ht="15" customHeight="1" x14ac:dyDescent="0.3">
      <c r="A3090" t="s">
        <v>22</v>
      </c>
      <c r="B3090" t="s">
        <v>11</v>
      </c>
      <c r="C3090" t="s">
        <v>24</v>
      </c>
      <c r="D3090" t="s">
        <v>13</v>
      </c>
      <c r="E3090">
        <v>1</v>
      </c>
      <c r="F3090" t="s">
        <v>37</v>
      </c>
      <c r="G3090" t="s">
        <v>15</v>
      </c>
      <c r="H3090" t="s">
        <v>16</v>
      </c>
      <c r="I3090">
        <v>0</v>
      </c>
      <c r="J3090" s="23">
        <v>156015</v>
      </c>
      <c r="K3090">
        <v>156015</v>
      </c>
    </row>
    <row r="3091" spans="1:11" ht="15" customHeight="1" x14ac:dyDescent="0.3">
      <c r="A3091" t="s">
        <v>18</v>
      </c>
      <c r="B3091" t="s">
        <v>11</v>
      </c>
      <c r="C3091" t="s">
        <v>24</v>
      </c>
      <c r="D3091" t="s">
        <v>28</v>
      </c>
      <c r="E3091">
        <v>9</v>
      </c>
      <c r="F3091" t="s">
        <v>21</v>
      </c>
      <c r="G3091" t="s">
        <v>15</v>
      </c>
      <c r="H3091" t="s">
        <v>16</v>
      </c>
      <c r="I3091">
        <v>0</v>
      </c>
      <c r="J3091" s="23">
        <v>24684354</v>
      </c>
      <c r="K3091">
        <v>222159186</v>
      </c>
    </row>
    <row r="3092" spans="1:11" ht="15" customHeight="1" x14ac:dyDescent="0.3">
      <c r="A3092" t="s">
        <v>10</v>
      </c>
      <c r="B3092" t="s">
        <v>11</v>
      </c>
      <c r="C3092" t="s">
        <v>24</v>
      </c>
      <c r="D3092" t="s">
        <v>28</v>
      </c>
      <c r="E3092">
        <v>8</v>
      </c>
      <c r="F3092" t="s">
        <v>38</v>
      </c>
      <c r="G3092" t="s">
        <v>15</v>
      </c>
      <c r="H3092" t="s">
        <v>16</v>
      </c>
      <c r="I3092">
        <v>0</v>
      </c>
      <c r="J3092" s="23">
        <v>80803</v>
      </c>
      <c r="K3092">
        <v>646424</v>
      </c>
    </row>
    <row r="3093" spans="1:11" ht="15" customHeight="1" x14ac:dyDescent="0.3">
      <c r="A3093" t="s">
        <v>22</v>
      </c>
      <c r="B3093" t="s">
        <v>11</v>
      </c>
      <c r="C3093" t="s">
        <v>12</v>
      </c>
      <c r="D3093" t="s">
        <v>28</v>
      </c>
      <c r="E3093">
        <v>9</v>
      </c>
      <c r="F3093" t="s">
        <v>21</v>
      </c>
      <c r="G3093" t="s">
        <v>15</v>
      </c>
      <c r="H3093" t="s">
        <v>16</v>
      </c>
      <c r="I3093">
        <v>0</v>
      </c>
      <c r="J3093" s="23">
        <v>-6038110</v>
      </c>
      <c r="K3093" t="s">
        <v>17</v>
      </c>
    </row>
    <row r="3094" spans="1:11" ht="15" customHeight="1" x14ac:dyDescent="0.3">
      <c r="A3094" t="s">
        <v>18</v>
      </c>
      <c r="B3094" t="s">
        <v>19</v>
      </c>
      <c r="C3094" t="s">
        <v>12</v>
      </c>
      <c r="D3094" t="s">
        <v>20</v>
      </c>
      <c r="E3094">
        <v>-1</v>
      </c>
      <c r="F3094"/>
      <c r="G3094" t="s">
        <v>15</v>
      </c>
      <c r="H3094" t="s">
        <v>16</v>
      </c>
      <c r="I3094">
        <v>0</v>
      </c>
      <c r="J3094" s="23">
        <v>-843</v>
      </c>
      <c r="K3094" t="s">
        <v>17</v>
      </c>
    </row>
    <row r="3095" spans="1:11" ht="15" customHeight="1" x14ac:dyDescent="0.3">
      <c r="A3095" t="s">
        <v>18</v>
      </c>
      <c r="B3095" t="s">
        <v>11</v>
      </c>
      <c r="C3095" t="s">
        <v>12</v>
      </c>
      <c r="D3095" t="s">
        <v>28</v>
      </c>
      <c r="E3095">
        <v>7</v>
      </c>
      <c r="F3095" t="s">
        <v>34</v>
      </c>
      <c r="G3095" t="s">
        <v>15</v>
      </c>
      <c r="H3095" t="s">
        <v>16</v>
      </c>
      <c r="I3095">
        <v>0</v>
      </c>
      <c r="J3095" s="23">
        <v>-12287</v>
      </c>
      <c r="K3095" t="s">
        <v>17</v>
      </c>
    </row>
    <row r="3096" spans="1:11" ht="15" customHeight="1" x14ac:dyDescent="0.3">
      <c r="A3096" t="s">
        <v>22</v>
      </c>
      <c r="B3096" t="s">
        <v>11</v>
      </c>
      <c r="C3096" t="s">
        <v>12</v>
      </c>
      <c r="D3096" t="s">
        <v>13</v>
      </c>
      <c r="E3096">
        <v>7</v>
      </c>
      <c r="F3096" t="s">
        <v>26</v>
      </c>
      <c r="G3096" t="s">
        <v>15</v>
      </c>
      <c r="H3096" t="s">
        <v>16</v>
      </c>
      <c r="I3096">
        <v>0</v>
      </c>
      <c r="J3096" s="23">
        <v>-210690</v>
      </c>
      <c r="K3096" t="s">
        <v>17</v>
      </c>
    </row>
    <row r="3097" spans="1:11" ht="15" customHeight="1" x14ac:dyDescent="0.3">
      <c r="A3097" t="s">
        <v>22</v>
      </c>
      <c r="B3097" t="s">
        <v>11</v>
      </c>
      <c r="C3097" t="s">
        <v>24</v>
      </c>
      <c r="D3097" t="s">
        <v>28</v>
      </c>
      <c r="E3097">
        <v>-4</v>
      </c>
      <c r="F3097" t="s">
        <v>40</v>
      </c>
      <c r="G3097" t="s">
        <v>15</v>
      </c>
      <c r="H3097" t="s">
        <v>16</v>
      </c>
      <c r="I3097">
        <v>0</v>
      </c>
      <c r="J3097" s="23">
        <v>125848</v>
      </c>
      <c r="K3097" t="s">
        <v>17</v>
      </c>
    </row>
    <row r="3098" spans="1:11" ht="15" customHeight="1" x14ac:dyDescent="0.3">
      <c r="A3098" t="s">
        <v>22</v>
      </c>
      <c r="B3098" t="s">
        <v>11</v>
      </c>
      <c r="C3098" t="s">
        <v>24</v>
      </c>
      <c r="D3098" t="s">
        <v>13</v>
      </c>
      <c r="E3098">
        <v>-4</v>
      </c>
      <c r="F3098" t="s">
        <v>27</v>
      </c>
      <c r="G3098" t="s">
        <v>15</v>
      </c>
      <c r="H3098" t="s">
        <v>16</v>
      </c>
      <c r="I3098">
        <v>0</v>
      </c>
      <c r="J3098" s="23">
        <v>408491</v>
      </c>
      <c r="K3098" t="s">
        <v>17</v>
      </c>
    </row>
    <row r="3099" spans="1:11" ht="15" customHeight="1" x14ac:dyDescent="0.3">
      <c r="A3099" t="s">
        <v>18</v>
      </c>
      <c r="B3099" t="s">
        <v>11</v>
      </c>
      <c r="C3099" t="s">
        <v>12</v>
      </c>
      <c r="D3099" t="s">
        <v>25</v>
      </c>
      <c r="E3099">
        <v>1</v>
      </c>
      <c r="F3099" t="s">
        <v>34</v>
      </c>
      <c r="G3099" t="s">
        <v>15</v>
      </c>
      <c r="H3099" t="s">
        <v>16</v>
      </c>
      <c r="I3099">
        <v>0</v>
      </c>
      <c r="J3099" s="23">
        <v>-11150</v>
      </c>
      <c r="K3099" t="s">
        <v>17</v>
      </c>
    </row>
    <row r="3100" spans="1:11" ht="15" customHeight="1" x14ac:dyDescent="0.3">
      <c r="A3100" t="s">
        <v>18</v>
      </c>
      <c r="B3100" t="s">
        <v>44</v>
      </c>
      <c r="C3100" t="s">
        <v>12</v>
      </c>
      <c r="D3100" t="s">
        <v>28</v>
      </c>
      <c r="E3100">
        <v>12</v>
      </c>
      <c r="F3100" t="s">
        <v>38</v>
      </c>
      <c r="G3100" t="s">
        <v>15</v>
      </c>
      <c r="H3100" t="s">
        <v>16</v>
      </c>
      <c r="I3100">
        <v>0</v>
      </c>
      <c r="J3100" s="23">
        <v>-151</v>
      </c>
      <c r="K3100" t="s">
        <v>17</v>
      </c>
    </row>
    <row r="3101" spans="1:11" ht="15" customHeight="1" x14ac:dyDescent="0.3">
      <c r="A3101" t="s">
        <v>22</v>
      </c>
      <c r="B3101" t="s">
        <v>11</v>
      </c>
      <c r="C3101" t="s">
        <v>12</v>
      </c>
      <c r="D3101" t="s">
        <v>13</v>
      </c>
      <c r="E3101">
        <v>-1</v>
      </c>
      <c r="F3101" t="s">
        <v>30</v>
      </c>
      <c r="G3101" t="s">
        <v>15</v>
      </c>
      <c r="H3101" t="s">
        <v>16</v>
      </c>
      <c r="I3101">
        <v>0</v>
      </c>
      <c r="J3101" s="23">
        <v>-1767559</v>
      </c>
      <c r="K3101" t="s">
        <v>17</v>
      </c>
    </row>
    <row r="3102" spans="1:11" ht="15" customHeight="1" x14ac:dyDescent="0.3">
      <c r="A3102" t="s">
        <v>18</v>
      </c>
      <c r="B3102" t="s">
        <v>19</v>
      </c>
      <c r="C3102" t="s">
        <v>24</v>
      </c>
      <c r="D3102" t="s">
        <v>20</v>
      </c>
      <c r="E3102">
        <v>1</v>
      </c>
      <c r="F3102"/>
      <c r="G3102" t="s">
        <v>31</v>
      </c>
      <c r="H3102" t="s">
        <v>16</v>
      </c>
      <c r="I3102">
        <v>1</v>
      </c>
      <c r="J3102" s="23">
        <v>146560</v>
      </c>
      <c r="K3102">
        <v>146560</v>
      </c>
    </row>
    <row r="3103" spans="1:11" ht="15" customHeight="1" x14ac:dyDescent="0.3">
      <c r="A3103" t="s">
        <v>18</v>
      </c>
      <c r="B3103" t="s">
        <v>11</v>
      </c>
      <c r="C3103" t="s">
        <v>24</v>
      </c>
      <c r="D3103" t="s">
        <v>28</v>
      </c>
      <c r="E3103">
        <v>2</v>
      </c>
      <c r="F3103" t="s">
        <v>45</v>
      </c>
      <c r="G3103" t="s">
        <v>15</v>
      </c>
      <c r="H3103" t="s">
        <v>16</v>
      </c>
      <c r="I3103">
        <v>0</v>
      </c>
      <c r="J3103" s="23">
        <v>635165</v>
      </c>
      <c r="K3103">
        <v>1270330</v>
      </c>
    </row>
    <row r="3104" spans="1:11" ht="15" customHeight="1" x14ac:dyDescent="0.3">
      <c r="A3104" t="s">
        <v>18</v>
      </c>
      <c r="B3104" t="s">
        <v>11</v>
      </c>
      <c r="C3104" t="s">
        <v>24</v>
      </c>
      <c r="D3104" t="s">
        <v>25</v>
      </c>
      <c r="E3104">
        <v>2</v>
      </c>
      <c r="F3104" t="s">
        <v>37</v>
      </c>
      <c r="G3104" t="s">
        <v>15</v>
      </c>
      <c r="H3104" t="s">
        <v>16</v>
      </c>
      <c r="I3104">
        <v>0</v>
      </c>
      <c r="J3104" s="23">
        <v>301807</v>
      </c>
      <c r="K3104">
        <v>603614</v>
      </c>
    </row>
    <row r="3105" spans="1:11" ht="15" customHeight="1" x14ac:dyDescent="0.3">
      <c r="A3105" t="s">
        <v>10</v>
      </c>
      <c r="B3105" t="s">
        <v>11</v>
      </c>
      <c r="C3105" t="s">
        <v>12</v>
      </c>
      <c r="D3105" t="s">
        <v>28</v>
      </c>
      <c r="E3105">
        <v>7</v>
      </c>
      <c r="F3105" t="s">
        <v>40</v>
      </c>
      <c r="G3105" t="s">
        <v>15</v>
      </c>
      <c r="H3105" t="s">
        <v>16</v>
      </c>
      <c r="I3105">
        <v>0</v>
      </c>
      <c r="J3105" s="23">
        <v>-4383</v>
      </c>
      <c r="K3105" t="s">
        <v>17</v>
      </c>
    </row>
    <row r="3106" spans="1:11" ht="15" customHeight="1" x14ac:dyDescent="0.3">
      <c r="A3106" t="s">
        <v>18</v>
      </c>
      <c r="B3106" t="s">
        <v>44</v>
      </c>
      <c r="C3106" t="s">
        <v>24</v>
      </c>
      <c r="D3106" t="s">
        <v>28</v>
      </c>
      <c r="E3106">
        <v>7</v>
      </c>
      <c r="F3106" t="s">
        <v>26</v>
      </c>
      <c r="G3106" t="s">
        <v>15</v>
      </c>
      <c r="H3106" t="s">
        <v>16</v>
      </c>
      <c r="I3106">
        <v>0</v>
      </c>
      <c r="J3106" s="23">
        <v>4965596</v>
      </c>
      <c r="K3106">
        <v>34759172</v>
      </c>
    </row>
    <row r="3107" spans="1:11" ht="15" customHeight="1" x14ac:dyDescent="0.3">
      <c r="A3107" t="s">
        <v>22</v>
      </c>
      <c r="B3107" t="s">
        <v>11</v>
      </c>
      <c r="C3107" t="s">
        <v>24</v>
      </c>
      <c r="D3107" t="s">
        <v>25</v>
      </c>
      <c r="E3107">
        <v>2</v>
      </c>
      <c r="F3107" t="s">
        <v>34</v>
      </c>
      <c r="G3107" t="s">
        <v>15</v>
      </c>
      <c r="H3107" t="s">
        <v>16</v>
      </c>
      <c r="I3107">
        <v>0</v>
      </c>
      <c r="J3107" s="23">
        <v>187832</v>
      </c>
      <c r="K3107">
        <v>375664</v>
      </c>
    </row>
    <row r="3108" spans="1:11" ht="15" customHeight="1" x14ac:dyDescent="0.3">
      <c r="A3108" t="s">
        <v>10</v>
      </c>
      <c r="B3108" t="s">
        <v>11</v>
      </c>
      <c r="C3108" t="s">
        <v>24</v>
      </c>
      <c r="D3108" t="s">
        <v>28</v>
      </c>
      <c r="E3108">
        <v>13</v>
      </c>
      <c r="F3108" t="s">
        <v>14</v>
      </c>
      <c r="G3108" t="s">
        <v>15</v>
      </c>
      <c r="H3108" t="s">
        <v>16</v>
      </c>
      <c r="I3108">
        <v>0</v>
      </c>
      <c r="J3108" s="23">
        <v>183582</v>
      </c>
      <c r="K3108">
        <v>2386566</v>
      </c>
    </row>
    <row r="3109" spans="1:11" ht="15" customHeight="1" x14ac:dyDescent="0.3">
      <c r="A3109" t="s">
        <v>18</v>
      </c>
      <c r="B3109" t="s">
        <v>11</v>
      </c>
      <c r="C3109" t="s">
        <v>24</v>
      </c>
      <c r="D3109" t="s">
        <v>25</v>
      </c>
      <c r="E3109">
        <v>4</v>
      </c>
      <c r="F3109" t="s">
        <v>33</v>
      </c>
      <c r="G3109" t="s">
        <v>15</v>
      </c>
      <c r="H3109" t="s">
        <v>16</v>
      </c>
      <c r="I3109">
        <v>0</v>
      </c>
      <c r="J3109" s="23">
        <v>2072416</v>
      </c>
      <c r="K3109">
        <v>8289664</v>
      </c>
    </row>
    <row r="3110" spans="1:11" ht="15" customHeight="1" x14ac:dyDescent="0.3">
      <c r="A3110" t="s">
        <v>22</v>
      </c>
      <c r="B3110" t="s">
        <v>19</v>
      </c>
      <c r="C3110" t="s">
        <v>24</v>
      </c>
      <c r="D3110" t="s">
        <v>20</v>
      </c>
      <c r="E3110">
        <v>19</v>
      </c>
      <c r="F3110"/>
      <c r="G3110" t="s">
        <v>15</v>
      </c>
      <c r="H3110" t="s">
        <v>16</v>
      </c>
      <c r="I3110">
        <v>0</v>
      </c>
      <c r="J3110" s="23">
        <v>7524244</v>
      </c>
      <c r="K3110">
        <v>142960636</v>
      </c>
    </row>
    <row r="3111" spans="1:11" ht="15" customHeight="1" x14ac:dyDescent="0.3">
      <c r="A3111" t="s">
        <v>10</v>
      </c>
      <c r="B3111" t="s">
        <v>19</v>
      </c>
      <c r="C3111" t="s">
        <v>24</v>
      </c>
      <c r="D3111" t="s">
        <v>20</v>
      </c>
      <c r="E3111">
        <v>1</v>
      </c>
      <c r="F3111"/>
      <c r="G3111" t="s">
        <v>15</v>
      </c>
      <c r="H3111" t="s">
        <v>16</v>
      </c>
      <c r="I3111">
        <v>0</v>
      </c>
      <c r="J3111" s="23">
        <v>1132804</v>
      </c>
      <c r="K3111">
        <v>1132804</v>
      </c>
    </row>
    <row r="3112" spans="1:11" ht="15" customHeight="1" x14ac:dyDescent="0.3">
      <c r="A3112" t="s">
        <v>18</v>
      </c>
      <c r="B3112" t="s">
        <v>11</v>
      </c>
      <c r="C3112" t="s">
        <v>24</v>
      </c>
      <c r="D3112" t="s">
        <v>28</v>
      </c>
      <c r="E3112">
        <v>0</v>
      </c>
      <c r="F3112" t="s">
        <v>26</v>
      </c>
      <c r="G3112" t="s">
        <v>15</v>
      </c>
      <c r="H3112" t="s">
        <v>16</v>
      </c>
      <c r="I3112">
        <v>0</v>
      </c>
      <c r="J3112" s="23">
        <v>12191501</v>
      </c>
      <c r="K3112" t="s">
        <v>17</v>
      </c>
    </row>
    <row r="3113" spans="1:11" ht="15" customHeight="1" x14ac:dyDescent="0.3">
      <c r="A3113" t="s">
        <v>18</v>
      </c>
      <c r="B3113" t="s">
        <v>19</v>
      </c>
      <c r="C3113" t="s">
        <v>12</v>
      </c>
      <c r="D3113" t="s">
        <v>28</v>
      </c>
      <c r="E3113">
        <v>6</v>
      </c>
      <c r="F3113"/>
      <c r="G3113" t="s">
        <v>15</v>
      </c>
      <c r="H3113" t="s">
        <v>16</v>
      </c>
      <c r="I3113">
        <v>0</v>
      </c>
      <c r="J3113" s="23">
        <v>-14832</v>
      </c>
      <c r="K3113" t="s">
        <v>17</v>
      </c>
    </row>
    <row r="3114" spans="1:11" ht="15" customHeight="1" x14ac:dyDescent="0.3">
      <c r="A3114" t="s">
        <v>18</v>
      </c>
      <c r="B3114" t="s">
        <v>11</v>
      </c>
      <c r="C3114" t="s">
        <v>12</v>
      </c>
      <c r="D3114" t="s">
        <v>28</v>
      </c>
      <c r="E3114">
        <v>14</v>
      </c>
      <c r="F3114" t="s">
        <v>30</v>
      </c>
      <c r="G3114" t="s">
        <v>15</v>
      </c>
      <c r="H3114" t="s">
        <v>16</v>
      </c>
      <c r="I3114">
        <v>0</v>
      </c>
      <c r="J3114" s="23">
        <v>-7383</v>
      </c>
      <c r="K3114" t="s">
        <v>17</v>
      </c>
    </row>
    <row r="3115" spans="1:11" ht="15" customHeight="1" x14ac:dyDescent="0.3">
      <c r="A3115" t="s">
        <v>22</v>
      </c>
      <c r="B3115" t="s">
        <v>11</v>
      </c>
      <c r="C3115" t="s">
        <v>12</v>
      </c>
      <c r="D3115" t="s">
        <v>13</v>
      </c>
      <c r="E3115">
        <v>8</v>
      </c>
      <c r="F3115" t="s">
        <v>33</v>
      </c>
      <c r="G3115" t="s">
        <v>15</v>
      </c>
      <c r="H3115" t="s">
        <v>16</v>
      </c>
      <c r="I3115">
        <v>0</v>
      </c>
      <c r="J3115" s="23">
        <v>-78706</v>
      </c>
      <c r="K3115" t="s">
        <v>17</v>
      </c>
    </row>
    <row r="3116" spans="1:11" ht="15" customHeight="1" x14ac:dyDescent="0.3">
      <c r="A3116" t="s">
        <v>18</v>
      </c>
      <c r="B3116" t="s">
        <v>19</v>
      </c>
      <c r="C3116" t="s">
        <v>12</v>
      </c>
      <c r="D3116" t="s">
        <v>20</v>
      </c>
      <c r="E3116">
        <v>24</v>
      </c>
      <c r="F3116"/>
      <c r="G3116" t="s">
        <v>31</v>
      </c>
      <c r="H3116" t="s">
        <v>32</v>
      </c>
      <c r="I3116">
        <v>1</v>
      </c>
      <c r="J3116" s="23">
        <v>-76</v>
      </c>
      <c r="K3116" t="s">
        <v>17</v>
      </c>
    </row>
    <row r="3117" spans="1:11" ht="15" customHeight="1" x14ac:dyDescent="0.3">
      <c r="A3117" t="s">
        <v>10</v>
      </c>
      <c r="B3117" t="s">
        <v>11</v>
      </c>
      <c r="C3117" t="s">
        <v>24</v>
      </c>
      <c r="D3117" t="s">
        <v>13</v>
      </c>
      <c r="E3117">
        <v>6</v>
      </c>
      <c r="F3117" t="s">
        <v>29</v>
      </c>
      <c r="G3117" t="s">
        <v>15</v>
      </c>
      <c r="H3117" t="s">
        <v>16</v>
      </c>
      <c r="I3117">
        <v>0</v>
      </c>
      <c r="J3117" s="23">
        <v>3647433</v>
      </c>
      <c r="K3117">
        <v>21884598</v>
      </c>
    </row>
    <row r="3118" spans="1:11" ht="15" customHeight="1" x14ac:dyDescent="0.3">
      <c r="A3118" t="s">
        <v>18</v>
      </c>
      <c r="B3118" t="s">
        <v>44</v>
      </c>
      <c r="C3118" t="s">
        <v>24</v>
      </c>
      <c r="D3118" t="s">
        <v>28</v>
      </c>
      <c r="E3118">
        <v>6</v>
      </c>
      <c r="F3118" t="s">
        <v>26</v>
      </c>
      <c r="G3118" t="s">
        <v>15</v>
      </c>
      <c r="H3118" t="s">
        <v>16</v>
      </c>
      <c r="I3118">
        <v>0</v>
      </c>
      <c r="J3118" s="23">
        <v>2051161</v>
      </c>
      <c r="K3118">
        <v>12306966</v>
      </c>
    </row>
    <row r="3119" spans="1:11" ht="15" customHeight="1" x14ac:dyDescent="0.3">
      <c r="A3119" t="s">
        <v>18</v>
      </c>
      <c r="B3119" t="s">
        <v>11</v>
      </c>
      <c r="C3119" t="s">
        <v>24</v>
      </c>
      <c r="D3119" t="s">
        <v>28</v>
      </c>
      <c r="E3119">
        <v>4</v>
      </c>
      <c r="F3119" t="s">
        <v>33</v>
      </c>
      <c r="G3119" t="s">
        <v>15</v>
      </c>
      <c r="H3119" t="s">
        <v>32</v>
      </c>
      <c r="I3119">
        <v>1</v>
      </c>
      <c r="J3119" s="23">
        <v>483123</v>
      </c>
      <c r="K3119">
        <v>1932492</v>
      </c>
    </row>
    <row r="3120" spans="1:11" ht="15" customHeight="1" x14ac:dyDescent="0.3">
      <c r="A3120" t="s">
        <v>18</v>
      </c>
      <c r="B3120" t="s">
        <v>19</v>
      </c>
      <c r="C3120" t="s">
        <v>24</v>
      </c>
      <c r="D3120" t="s">
        <v>20</v>
      </c>
      <c r="E3120">
        <v>7</v>
      </c>
      <c r="F3120"/>
      <c r="G3120" t="s">
        <v>15</v>
      </c>
      <c r="H3120" t="s">
        <v>16</v>
      </c>
      <c r="I3120">
        <v>0</v>
      </c>
      <c r="J3120" s="23">
        <v>152487291</v>
      </c>
      <c r="K3120">
        <v>1067411037</v>
      </c>
    </row>
    <row r="3121" spans="1:11" ht="15" customHeight="1" x14ac:dyDescent="0.3">
      <c r="A3121" t="s">
        <v>10</v>
      </c>
      <c r="B3121" t="s">
        <v>19</v>
      </c>
      <c r="C3121" t="s">
        <v>24</v>
      </c>
      <c r="D3121" t="s">
        <v>20</v>
      </c>
      <c r="E3121">
        <v>35</v>
      </c>
      <c r="F3121"/>
      <c r="G3121" t="s">
        <v>15</v>
      </c>
      <c r="H3121" t="s">
        <v>16</v>
      </c>
      <c r="I3121">
        <v>0</v>
      </c>
      <c r="J3121" s="23">
        <v>56312664</v>
      </c>
      <c r="K3121">
        <v>1970943240</v>
      </c>
    </row>
    <row r="3122" spans="1:11" ht="15" customHeight="1" x14ac:dyDescent="0.3">
      <c r="A3122" t="s">
        <v>18</v>
      </c>
      <c r="B3122" t="s">
        <v>11</v>
      </c>
      <c r="C3122" t="s">
        <v>12</v>
      </c>
      <c r="D3122" t="s">
        <v>28</v>
      </c>
      <c r="E3122">
        <v>2</v>
      </c>
      <c r="F3122" t="s">
        <v>26</v>
      </c>
      <c r="G3122" t="s">
        <v>15</v>
      </c>
      <c r="H3122" t="s">
        <v>16</v>
      </c>
      <c r="I3122">
        <v>0</v>
      </c>
      <c r="J3122" s="23">
        <v>-43648</v>
      </c>
      <c r="K3122" t="s">
        <v>17</v>
      </c>
    </row>
    <row r="3123" spans="1:11" ht="15" customHeight="1" x14ac:dyDescent="0.3">
      <c r="A3123" t="s">
        <v>10</v>
      </c>
      <c r="B3123" t="s">
        <v>11</v>
      </c>
      <c r="C3123" t="s">
        <v>24</v>
      </c>
      <c r="D3123" t="s">
        <v>13</v>
      </c>
      <c r="E3123">
        <v>2</v>
      </c>
      <c r="F3123" t="s">
        <v>39</v>
      </c>
      <c r="G3123" t="s">
        <v>15</v>
      </c>
      <c r="H3123" t="s">
        <v>16</v>
      </c>
      <c r="I3123">
        <v>0</v>
      </c>
      <c r="J3123" s="23">
        <v>3662616</v>
      </c>
      <c r="K3123">
        <v>7325232</v>
      </c>
    </row>
    <row r="3124" spans="1:11" ht="15" customHeight="1" x14ac:dyDescent="0.3">
      <c r="A3124" t="s">
        <v>18</v>
      </c>
      <c r="B3124" t="s">
        <v>19</v>
      </c>
      <c r="C3124" t="s">
        <v>12</v>
      </c>
      <c r="D3124" t="s">
        <v>20</v>
      </c>
      <c r="E3124">
        <v>7</v>
      </c>
      <c r="F3124"/>
      <c r="G3124" t="s">
        <v>31</v>
      </c>
      <c r="H3124" t="s">
        <v>32</v>
      </c>
      <c r="I3124">
        <v>1</v>
      </c>
      <c r="J3124" s="23">
        <v>-54</v>
      </c>
      <c r="K3124" t="s">
        <v>17</v>
      </c>
    </row>
    <row r="3125" spans="1:11" ht="15" customHeight="1" x14ac:dyDescent="0.3">
      <c r="A3125" t="s">
        <v>10</v>
      </c>
      <c r="B3125" t="s">
        <v>11</v>
      </c>
      <c r="C3125" t="s">
        <v>24</v>
      </c>
      <c r="D3125" t="s">
        <v>25</v>
      </c>
      <c r="E3125">
        <v>6</v>
      </c>
      <c r="F3125" t="s">
        <v>23</v>
      </c>
      <c r="G3125" t="s">
        <v>15</v>
      </c>
      <c r="H3125" t="s">
        <v>16</v>
      </c>
      <c r="I3125">
        <v>0</v>
      </c>
      <c r="J3125" s="23">
        <v>103414</v>
      </c>
      <c r="K3125">
        <v>620484</v>
      </c>
    </row>
    <row r="3126" spans="1:11" ht="15" customHeight="1" x14ac:dyDescent="0.3">
      <c r="A3126" t="s">
        <v>18</v>
      </c>
      <c r="B3126" t="s">
        <v>19</v>
      </c>
      <c r="C3126" t="s">
        <v>12</v>
      </c>
      <c r="D3126" t="s">
        <v>20</v>
      </c>
      <c r="E3126">
        <v>32</v>
      </c>
      <c r="F3126"/>
      <c r="G3126" t="s">
        <v>31</v>
      </c>
      <c r="H3126" t="s">
        <v>16</v>
      </c>
      <c r="I3126">
        <v>1</v>
      </c>
      <c r="J3126" s="23">
        <v>-4143</v>
      </c>
      <c r="K3126" t="s">
        <v>17</v>
      </c>
    </row>
    <row r="3127" spans="1:11" ht="15" customHeight="1" x14ac:dyDescent="0.3">
      <c r="A3127" t="s">
        <v>10</v>
      </c>
      <c r="B3127" t="s">
        <v>11</v>
      </c>
      <c r="C3127" t="s">
        <v>12</v>
      </c>
      <c r="D3127" t="s">
        <v>28</v>
      </c>
      <c r="E3127">
        <v>5</v>
      </c>
      <c r="F3127" t="s">
        <v>34</v>
      </c>
      <c r="G3127" t="s">
        <v>15</v>
      </c>
      <c r="H3127" t="s">
        <v>16</v>
      </c>
      <c r="I3127">
        <v>0</v>
      </c>
      <c r="J3127" s="23">
        <v>-98401</v>
      </c>
      <c r="K3127" t="s">
        <v>17</v>
      </c>
    </row>
    <row r="3128" spans="1:11" ht="15" customHeight="1" x14ac:dyDescent="0.3">
      <c r="A3128" t="s">
        <v>10</v>
      </c>
      <c r="B3128" t="s">
        <v>11</v>
      </c>
      <c r="C3128" t="s">
        <v>12</v>
      </c>
      <c r="D3128" t="s">
        <v>13</v>
      </c>
      <c r="E3128">
        <v>3</v>
      </c>
      <c r="F3128" t="s">
        <v>42</v>
      </c>
      <c r="G3128" t="s">
        <v>15</v>
      </c>
      <c r="H3128" t="s">
        <v>16</v>
      </c>
      <c r="I3128">
        <v>0</v>
      </c>
      <c r="J3128" s="23">
        <v>-51714</v>
      </c>
      <c r="K3128" t="s">
        <v>17</v>
      </c>
    </row>
    <row r="3129" spans="1:11" ht="15" customHeight="1" x14ac:dyDescent="0.3">
      <c r="A3129" t="s">
        <v>18</v>
      </c>
      <c r="B3129" t="s">
        <v>11</v>
      </c>
      <c r="C3129" t="s">
        <v>24</v>
      </c>
      <c r="D3129" t="s">
        <v>28</v>
      </c>
      <c r="E3129">
        <v>17</v>
      </c>
      <c r="F3129" t="s">
        <v>23</v>
      </c>
      <c r="G3129" t="s">
        <v>15</v>
      </c>
      <c r="H3129" t="s">
        <v>16</v>
      </c>
      <c r="I3129">
        <v>0</v>
      </c>
      <c r="J3129" s="23">
        <v>8381734</v>
      </c>
      <c r="K3129">
        <v>142489478</v>
      </c>
    </row>
    <row r="3130" spans="1:11" ht="15" customHeight="1" x14ac:dyDescent="0.3">
      <c r="A3130" t="s">
        <v>18</v>
      </c>
      <c r="B3130" t="s">
        <v>11</v>
      </c>
      <c r="C3130" t="s">
        <v>12</v>
      </c>
      <c r="D3130" t="s">
        <v>28</v>
      </c>
      <c r="E3130">
        <v>2</v>
      </c>
      <c r="F3130" t="s">
        <v>39</v>
      </c>
      <c r="G3130" t="s">
        <v>15</v>
      </c>
      <c r="H3130" t="s">
        <v>16</v>
      </c>
      <c r="I3130">
        <v>0</v>
      </c>
      <c r="J3130" s="23">
        <v>-635</v>
      </c>
      <c r="K3130" t="s">
        <v>17</v>
      </c>
    </row>
    <row r="3131" spans="1:11" ht="15" customHeight="1" x14ac:dyDescent="0.3">
      <c r="A3131" t="s">
        <v>18</v>
      </c>
      <c r="B3131" t="s">
        <v>19</v>
      </c>
      <c r="C3131" t="s">
        <v>12</v>
      </c>
      <c r="D3131" t="s">
        <v>20</v>
      </c>
      <c r="E3131">
        <v>29</v>
      </c>
      <c r="F3131"/>
      <c r="G3131" t="s">
        <v>15</v>
      </c>
      <c r="H3131" t="s">
        <v>32</v>
      </c>
      <c r="I3131">
        <v>1</v>
      </c>
      <c r="J3131" s="23">
        <v>-696</v>
      </c>
      <c r="K3131" t="s">
        <v>17</v>
      </c>
    </row>
    <row r="3132" spans="1:11" ht="15" customHeight="1" x14ac:dyDescent="0.3">
      <c r="A3132" t="s">
        <v>18</v>
      </c>
      <c r="B3132" t="s">
        <v>19</v>
      </c>
      <c r="C3132" t="s">
        <v>12</v>
      </c>
      <c r="D3132" t="s">
        <v>20</v>
      </c>
      <c r="E3132">
        <v>16</v>
      </c>
      <c r="F3132"/>
      <c r="G3132" t="s">
        <v>31</v>
      </c>
      <c r="H3132" t="s">
        <v>32</v>
      </c>
      <c r="I3132">
        <v>1</v>
      </c>
      <c r="J3132" s="23">
        <v>-18</v>
      </c>
      <c r="K3132" t="s">
        <v>17</v>
      </c>
    </row>
    <row r="3133" spans="1:11" ht="15" customHeight="1" x14ac:dyDescent="0.3">
      <c r="A3133" t="s">
        <v>18</v>
      </c>
      <c r="B3133" t="s">
        <v>11</v>
      </c>
      <c r="C3133" t="s">
        <v>12</v>
      </c>
      <c r="D3133" t="s">
        <v>28</v>
      </c>
      <c r="E3133">
        <v>9</v>
      </c>
      <c r="F3133" t="s">
        <v>42</v>
      </c>
      <c r="G3133" t="s">
        <v>15</v>
      </c>
      <c r="H3133" t="s">
        <v>16</v>
      </c>
      <c r="I3133">
        <v>0</v>
      </c>
      <c r="J3133" s="23">
        <v>-13934</v>
      </c>
      <c r="K3133" t="s">
        <v>17</v>
      </c>
    </row>
    <row r="3134" spans="1:11" ht="15" customHeight="1" x14ac:dyDescent="0.3">
      <c r="A3134" t="s">
        <v>10</v>
      </c>
      <c r="B3134" t="s">
        <v>11</v>
      </c>
      <c r="C3134" t="s">
        <v>24</v>
      </c>
      <c r="D3134" t="s">
        <v>25</v>
      </c>
      <c r="E3134">
        <v>1</v>
      </c>
      <c r="F3134" t="s">
        <v>27</v>
      </c>
      <c r="G3134" t="s">
        <v>15</v>
      </c>
      <c r="H3134" t="s">
        <v>16</v>
      </c>
      <c r="I3134">
        <v>0</v>
      </c>
      <c r="J3134" s="23">
        <v>20277</v>
      </c>
      <c r="K3134">
        <v>20277</v>
      </c>
    </row>
    <row r="3135" spans="1:11" ht="15" customHeight="1" x14ac:dyDescent="0.3">
      <c r="A3135" t="s">
        <v>22</v>
      </c>
      <c r="B3135" t="s">
        <v>11</v>
      </c>
      <c r="C3135" t="s">
        <v>12</v>
      </c>
      <c r="D3135" t="s">
        <v>13</v>
      </c>
      <c r="E3135">
        <v>8</v>
      </c>
      <c r="F3135" t="s">
        <v>29</v>
      </c>
      <c r="G3135" t="s">
        <v>15</v>
      </c>
      <c r="H3135" t="s">
        <v>16</v>
      </c>
      <c r="I3135">
        <v>0</v>
      </c>
      <c r="J3135" s="23">
        <v>-760993</v>
      </c>
      <c r="K3135" t="s">
        <v>17</v>
      </c>
    </row>
    <row r="3136" spans="1:11" ht="15" customHeight="1" x14ac:dyDescent="0.3">
      <c r="A3136" t="s">
        <v>10</v>
      </c>
      <c r="B3136" t="s">
        <v>11</v>
      </c>
      <c r="C3136" t="s">
        <v>12</v>
      </c>
      <c r="D3136" t="s">
        <v>13</v>
      </c>
      <c r="E3136">
        <v>6</v>
      </c>
      <c r="F3136" t="s">
        <v>33</v>
      </c>
      <c r="G3136" t="s">
        <v>15</v>
      </c>
      <c r="H3136" t="s">
        <v>16</v>
      </c>
      <c r="I3136">
        <v>0</v>
      </c>
      <c r="J3136" s="23">
        <v>-6855</v>
      </c>
      <c r="K3136" t="s">
        <v>17</v>
      </c>
    </row>
    <row r="3137" spans="1:11" ht="15" customHeight="1" x14ac:dyDescent="0.3">
      <c r="A3137" t="s">
        <v>22</v>
      </c>
      <c r="B3137" t="s">
        <v>11</v>
      </c>
      <c r="C3137" t="s">
        <v>24</v>
      </c>
      <c r="D3137" t="s">
        <v>28</v>
      </c>
      <c r="E3137">
        <v>-4</v>
      </c>
      <c r="F3137" t="s">
        <v>29</v>
      </c>
      <c r="G3137" t="s">
        <v>31</v>
      </c>
      <c r="H3137" t="s">
        <v>16</v>
      </c>
      <c r="I3137">
        <v>1</v>
      </c>
      <c r="J3137" s="23">
        <v>32363</v>
      </c>
      <c r="K3137" t="s">
        <v>17</v>
      </c>
    </row>
    <row r="3138" spans="1:11" ht="15" customHeight="1" x14ac:dyDescent="0.3">
      <c r="A3138" t="s">
        <v>10</v>
      </c>
      <c r="B3138" t="s">
        <v>11</v>
      </c>
      <c r="C3138" t="s">
        <v>24</v>
      </c>
      <c r="D3138" t="s">
        <v>13</v>
      </c>
      <c r="E3138">
        <v>2</v>
      </c>
      <c r="F3138" t="s">
        <v>37</v>
      </c>
      <c r="G3138" t="s">
        <v>15</v>
      </c>
      <c r="H3138" t="s">
        <v>16</v>
      </c>
      <c r="I3138">
        <v>0</v>
      </c>
      <c r="J3138" s="23">
        <v>902502</v>
      </c>
      <c r="K3138">
        <v>1805004</v>
      </c>
    </row>
    <row r="3139" spans="1:11" ht="15" customHeight="1" x14ac:dyDescent="0.3">
      <c r="A3139" t="s">
        <v>10</v>
      </c>
      <c r="B3139" t="s">
        <v>11</v>
      </c>
      <c r="C3139" t="s">
        <v>12</v>
      </c>
      <c r="D3139" t="s">
        <v>28</v>
      </c>
      <c r="E3139">
        <v>2</v>
      </c>
      <c r="F3139" t="s">
        <v>14</v>
      </c>
      <c r="G3139" t="s">
        <v>15</v>
      </c>
      <c r="H3139" t="s">
        <v>16</v>
      </c>
      <c r="I3139">
        <v>0</v>
      </c>
      <c r="J3139" s="23">
        <v>-4759</v>
      </c>
      <c r="K3139" t="s">
        <v>17</v>
      </c>
    </row>
    <row r="3140" spans="1:11" ht="15" customHeight="1" x14ac:dyDescent="0.3">
      <c r="A3140" t="s">
        <v>22</v>
      </c>
      <c r="B3140" t="s">
        <v>11</v>
      </c>
      <c r="C3140" t="s">
        <v>12</v>
      </c>
      <c r="D3140" t="s">
        <v>25</v>
      </c>
      <c r="E3140">
        <v>-4</v>
      </c>
      <c r="F3140" t="s">
        <v>34</v>
      </c>
      <c r="G3140" t="s">
        <v>15</v>
      </c>
      <c r="H3140" t="s">
        <v>16</v>
      </c>
      <c r="I3140">
        <v>0</v>
      </c>
      <c r="J3140" s="23">
        <v>-379718</v>
      </c>
      <c r="K3140" t="s">
        <v>17</v>
      </c>
    </row>
    <row r="3141" spans="1:11" ht="15" customHeight="1" x14ac:dyDescent="0.3">
      <c r="A3141" t="s">
        <v>18</v>
      </c>
      <c r="B3141" t="s">
        <v>19</v>
      </c>
      <c r="C3141" t="s">
        <v>24</v>
      </c>
      <c r="D3141" t="s">
        <v>20</v>
      </c>
      <c r="E3141">
        <v>22</v>
      </c>
      <c r="F3141"/>
      <c r="G3141" t="s">
        <v>15</v>
      </c>
      <c r="H3141" t="s">
        <v>32</v>
      </c>
      <c r="I3141">
        <v>1</v>
      </c>
      <c r="J3141" s="23">
        <v>3376677</v>
      </c>
      <c r="K3141">
        <v>74286894</v>
      </c>
    </row>
    <row r="3142" spans="1:11" ht="15" customHeight="1" x14ac:dyDescent="0.3">
      <c r="A3142" t="s">
        <v>10</v>
      </c>
      <c r="B3142" t="s">
        <v>11</v>
      </c>
      <c r="C3142" t="s">
        <v>24</v>
      </c>
      <c r="D3142" t="s">
        <v>25</v>
      </c>
      <c r="E3142">
        <v>0</v>
      </c>
      <c r="F3142" t="s">
        <v>34</v>
      </c>
      <c r="G3142" t="s">
        <v>15</v>
      </c>
      <c r="H3142" t="s">
        <v>16</v>
      </c>
      <c r="I3142">
        <v>0</v>
      </c>
      <c r="J3142" s="23">
        <v>131678</v>
      </c>
      <c r="K3142" t="s">
        <v>17</v>
      </c>
    </row>
    <row r="3143" spans="1:11" ht="15" customHeight="1" x14ac:dyDescent="0.3">
      <c r="A3143" t="s">
        <v>18</v>
      </c>
      <c r="B3143" t="s">
        <v>11</v>
      </c>
      <c r="C3143" t="s">
        <v>12</v>
      </c>
      <c r="D3143" t="s">
        <v>13</v>
      </c>
      <c r="E3143">
        <v>4</v>
      </c>
      <c r="F3143" t="s">
        <v>36</v>
      </c>
      <c r="G3143" t="s">
        <v>15</v>
      </c>
      <c r="H3143" t="s">
        <v>16</v>
      </c>
      <c r="I3143">
        <v>0</v>
      </c>
      <c r="J3143" s="23">
        <v>-22858</v>
      </c>
      <c r="K3143" t="s">
        <v>17</v>
      </c>
    </row>
    <row r="3144" spans="1:11" ht="15" customHeight="1" x14ac:dyDescent="0.3">
      <c r="A3144" t="s">
        <v>22</v>
      </c>
      <c r="B3144" t="s">
        <v>19</v>
      </c>
      <c r="C3144" t="s">
        <v>12</v>
      </c>
      <c r="D3144" t="s">
        <v>20</v>
      </c>
      <c r="E3144">
        <v>23</v>
      </c>
      <c r="F3144"/>
      <c r="G3144" t="s">
        <v>15</v>
      </c>
      <c r="H3144" t="s">
        <v>32</v>
      </c>
      <c r="I3144">
        <v>1</v>
      </c>
      <c r="J3144" s="23">
        <v>-20160</v>
      </c>
      <c r="K3144" t="s">
        <v>17</v>
      </c>
    </row>
    <row r="3145" spans="1:11" ht="15" customHeight="1" x14ac:dyDescent="0.3">
      <c r="A3145" t="s">
        <v>22</v>
      </c>
      <c r="B3145" t="s">
        <v>11</v>
      </c>
      <c r="C3145" t="s">
        <v>12</v>
      </c>
      <c r="D3145" t="s">
        <v>13</v>
      </c>
      <c r="E3145">
        <v>4</v>
      </c>
      <c r="F3145" t="s">
        <v>21</v>
      </c>
      <c r="G3145" t="s">
        <v>15</v>
      </c>
      <c r="H3145" t="s">
        <v>16</v>
      </c>
      <c r="I3145">
        <v>0</v>
      </c>
      <c r="J3145" s="23">
        <v>-674946</v>
      </c>
      <c r="K3145" t="s">
        <v>17</v>
      </c>
    </row>
    <row r="3146" spans="1:11" ht="15" customHeight="1" x14ac:dyDescent="0.3">
      <c r="A3146" t="s">
        <v>18</v>
      </c>
      <c r="B3146" t="s">
        <v>11</v>
      </c>
      <c r="C3146" t="s">
        <v>12</v>
      </c>
      <c r="D3146" t="s">
        <v>13</v>
      </c>
      <c r="E3146">
        <v>4</v>
      </c>
      <c r="F3146" t="s">
        <v>35</v>
      </c>
      <c r="G3146" t="s">
        <v>15</v>
      </c>
      <c r="H3146" t="s">
        <v>16</v>
      </c>
      <c r="I3146">
        <v>0</v>
      </c>
      <c r="J3146" s="23">
        <v>-15140</v>
      </c>
      <c r="K3146" t="s">
        <v>17</v>
      </c>
    </row>
    <row r="3147" spans="1:11" ht="15" customHeight="1" x14ac:dyDescent="0.3">
      <c r="A3147" t="s">
        <v>18</v>
      </c>
      <c r="B3147" t="s">
        <v>19</v>
      </c>
      <c r="C3147" t="s">
        <v>24</v>
      </c>
      <c r="D3147" t="s">
        <v>28</v>
      </c>
      <c r="E3147">
        <v>12</v>
      </c>
      <c r="F3147"/>
      <c r="G3147" t="s">
        <v>15</v>
      </c>
      <c r="H3147" t="s">
        <v>16</v>
      </c>
      <c r="I3147">
        <v>0</v>
      </c>
      <c r="J3147" s="23">
        <v>8803671</v>
      </c>
      <c r="K3147">
        <v>105644052</v>
      </c>
    </row>
    <row r="3148" spans="1:11" ht="15" customHeight="1" x14ac:dyDescent="0.3">
      <c r="A3148" t="s">
        <v>10</v>
      </c>
      <c r="B3148" t="s">
        <v>11</v>
      </c>
      <c r="C3148" t="s">
        <v>24</v>
      </c>
      <c r="D3148" t="s">
        <v>13</v>
      </c>
      <c r="E3148">
        <v>3</v>
      </c>
      <c r="F3148" t="s">
        <v>35</v>
      </c>
      <c r="G3148" t="s">
        <v>15</v>
      </c>
      <c r="H3148" t="s">
        <v>16</v>
      </c>
      <c r="I3148">
        <v>0</v>
      </c>
      <c r="J3148" s="23">
        <v>1803411</v>
      </c>
      <c r="K3148">
        <v>5410233</v>
      </c>
    </row>
    <row r="3149" spans="1:11" ht="15" customHeight="1" x14ac:dyDescent="0.3">
      <c r="A3149" t="s">
        <v>10</v>
      </c>
      <c r="B3149" t="s">
        <v>11</v>
      </c>
      <c r="C3149" t="s">
        <v>12</v>
      </c>
      <c r="D3149" t="s">
        <v>28</v>
      </c>
      <c r="E3149">
        <v>-1</v>
      </c>
      <c r="F3149" t="s">
        <v>21</v>
      </c>
      <c r="G3149" t="s">
        <v>31</v>
      </c>
      <c r="H3149" t="s">
        <v>32</v>
      </c>
      <c r="I3149">
        <v>1</v>
      </c>
      <c r="J3149" s="23">
        <v>0</v>
      </c>
      <c r="K3149" t="s">
        <v>17</v>
      </c>
    </row>
    <row r="3150" spans="1:11" ht="15" customHeight="1" x14ac:dyDescent="0.3">
      <c r="A3150" t="s">
        <v>10</v>
      </c>
      <c r="B3150" t="s">
        <v>19</v>
      </c>
      <c r="C3150" t="s">
        <v>24</v>
      </c>
      <c r="D3150" t="s">
        <v>20</v>
      </c>
      <c r="E3150">
        <v>0</v>
      </c>
      <c r="F3150"/>
      <c r="G3150" t="s">
        <v>15</v>
      </c>
      <c r="H3150" t="s">
        <v>16</v>
      </c>
      <c r="I3150">
        <v>0</v>
      </c>
      <c r="J3150" s="23">
        <v>181547</v>
      </c>
      <c r="K3150" t="s">
        <v>17</v>
      </c>
    </row>
    <row r="3151" spans="1:11" ht="15" customHeight="1" x14ac:dyDescent="0.3">
      <c r="A3151" t="s">
        <v>22</v>
      </c>
      <c r="B3151" t="s">
        <v>19</v>
      </c>
      <c r="C3151" t="s">
        <v>12</v>
      </c>
      <c r="D3151" t="s">
        <v>20</v>
      </c>
      <c r="E3151">
        <v>43</v>
      </c>
      <c r="F3151"/>
      <c r="G3151" t="s">
        <v>15</v>
      </c>
      <c r="H3151" t="s">
        <v>16</v>
      </c>
      <c r="I3151">
        <v>0</v>
      </c>
      <c r="J3151" s="23">
        <v>-94685</v>
      </c>
      <c r="K3151" t="s">
        <v>17</v>
      </c>
    </row>
    <row r="3152" spans="1:11" ht="15" customHeight="1" x14ac:dyDescent="0.3">
      <c r="A3152" t="s">
        <v>18</v>
      </c>
      <c r="B3152" t="s">
        <v>11</v>
      </c>
      <c r="C3152" t="s">
        <v>12</v>
      </c>
      <c r="D3152" t="s">
        <v>28</v>
      </c>
      <c r="E3152">
        <v>7</v>
      </c>
      <c r="F3152" t="s">
        <v>45</v>
      </c>
      <c r="G3152" t="s">
        <v>15</v>
      </c>
      <c r="H3152" t="s">
        <v>16</v>
      </c>
      <c r="I3152">
        <v>0</v>
      </c>
      <c r="J3152" s="23">
        <v>-121</v>
      </c>
      <c r="K3152" t="s">
        <v>17</v>
      </c>
    </row>
    <row r="3153" spans="1:11" ht="15" customHeight="1" x14ac:dyDescent="0.3">
      <c r="A3153" t="s">
        <v>10</v>
      </c>
      <c r="B3153" t="s">
        <v>11</v>
      </c>
      <c r="C3153" t="s">
        <v>12</v>
      </c>
      <c r="D3153" t="s">
        <v>28</v>
      </c>
      <c r="E3153">
        <v>9</v>
      </c>
      <c r="F3153" t="s">
        <v>33</v>
      </c>
      <c r="G3153" t="s">
        <v>15</v>
      </c>
      <c r="H3153" t="s">
        <v>16</v>
      </c>
      <c r="I3153">
        <v>0</v>
      </c>
      <c r="J3153" s="23">
        <v>-55082</v>
      </c>
      <c r="K3153" t="s">
        <v>17</v>
      </c>
    </row>
    <row r="3154" spans="1:11" ht="15" customHeight="1" x14ac:dyDescent="0.3">
      <c r="A3154" t="s">
        <v>22</v>
      </c>
      <c r="B3154" t="s">
        <v>11</v>
      </c>
      <c r="C3154" t="s">
        <v>12</v>
      </c>
      <c r="D3154" t="s">
        <v>28</v>
      </c>
      <c r="E3154">
        <v>3</v>
      </c>
      <c r="F3154" t="s">
        <v>23</v>
      </c>
      <c r="G3154" t="s">
        <v>15</v>
      </c>
      <c r="H3154" t="s">
        <v>16</v>
      </c>
      <c r="I3154">
        <v>0</v>
      </c>
      <c r="J3154" s="23">
        <v>-709795</v>
      </c>
      <c r="K3154" t="s">
        <v>17</v>
      </c>
    </row>
    <row r="3155" spans="1:11" ht="15" customHeight="1" x14ac:dyDescent="0.3">
      <c r="A3155" t="s">
        <v>10</v>
      </c>
      <c r="B3155" t="s">
        <v>11</v>
      </c>
      <c r="C3155" t="s">
        <v>24</v>
      </c>
      <c r="D3155" t="s">
        <v>13</v>
      </c>
      <c r="E3155">
        <v>4</v>
      </c>
      <c r="F3155" t="s">
        <v>34</v>
      </c>
      <c r="G3155" t="s">
        <v>15</v>
      </c>
      <c r="H3155" t="s">
        <v>16</v>
      </c>
      <c r="I3155">
        <v>0</v>
      </c>
      <c r="J3155" s="23">
        <v>18665203</v>
      </c>
      <c r="K3155">
        <v>74660812</v>
      </c>
    </row>
    <row r="3156" spans="1:11" ht="15" customHeight="1" x14ac:dyDescent="0.3">
      <c r="A3156" t="s">
        <v>22</v>
      </c>
      <c r="B3156" t="s">
        <v>11</v>
      </c>
      <c r="C3156" t="s">
        <v>12</v>
      </c>
      <c r="D3156" t="s">
        <v>25</v>
      </c>
      <c r="E3156">
        <v>4</v>
      </c>
      <c r="F3156" t="s">
        <v>33</v>
      </c>
      <c r="G3156" t="s">
        <v>15</v>
      </c>
      <c r="H3156" t="s">
        <v>16</v>
      </c>
      <c r="I3156">
        <v>0</v>
      </c>
      <c r="J3156" s="23">
        <v>-68775</v>
      </c>
      <c r="K3156" t="s">
        <v>17</v>
      </c>
    </row>
    <row r="3157" spans="1:11" ht="15" customHeight="1" x14ac:dyDescent="0.3">
      <c r="A3157" t="s">
        <v>18</v>
      </c>
      <c r="B3157" t="s">
        <v>11</v>
      </c>
      <c r="C3157" t="s">
        <v>12</v>
      </c>
      <c r="D3157" t="s">
        <v>13</v>
      </c>
      <c r="E3157">
        <v>-1</v>
      </c>
      <c r="F3157" t="s">
        <v>29</v>
      </c>
      <c r="G3157" t="s">
        <v>15</v>
      </c>
      <c r="H3157" t="s">
        <v>16</v>
      </c>
      <c r="I3157">
        <v>0</v>
      </c>
      <c r="J3157" s="23">
        <v>-745075</v>
      </c>
      <c r="K3157" t="s">
        <v>17</v>
      </c>
    </row>
    <row r="3158" spans="1:11" ht="15" customHeight="1" x14ac:dyDescent="0.3">
      <c r="A3158" t="s">
        <v>18</v>
      </c>
      <c r="B3158" t="s">
        <v>11</v>
      </c>
      <c r="C3158" t="s">
        <v>12</v>
      </c>
      <c r="D3158" t="s">
        <v>25</v>
      </c>
      <c r="E3158">
        <v>1</v>
      </c>
      <c r="F3158" t="s">
        <v>38</v>
      </c>
      <c r="G3158" t="s">
        <v>15</v>
      </c>
      <c r="H3158" t="s">
        <v>16</v>
      </c>
      <c r="I3158">
        <v>0</v>
      </c>
      <c r="J3158" s="23">
        <v>-89</v>
      </c>
      <c r="K3158" t="s">
        <v>17</v>
      </c>
    </row>
    <row r="3159" spans="1:11" ht="15" customHeight="1" x14ac:dyDescent="0.3">
      <c r="A3159" t="s">
        <v>22</v>
      </c>
      <c r="B3159" t="s">
        <v>19</v>
      </c>
      <c r="C3159" t="s">
        <v>12</v>
      </c>
      <c r="D3159" t="s">
        <v>20</v>
      </c>
      <c r="E3159">
        <v>-1</v>
      </c>
      <c r="F3159"/>
      <c r="G3159" t="s">
        <v>15</v>
      </c>
      <c r="H3159" t="s">
        <v>16</v>
      </c>
      <c r="I3159">
        <v>0</v>
      </c>
      <c r="J3159" s="23">
        <v>-243994</v>
      </c>
      <c r="K3159" t="s">
        <v>17</v>
      </c>
    </row>
    <row r="3160" spans="1:11" ht="15" customHeight="1" x14ac:dyDescent="0.3">
      <c r="A3160" t="s">
        <v>18</v>
      </c>
      <c r="B3160" t="s">
        <v>11</v>
      </c>
      <c r="C3160" t="s">
        <v>12</v>
      </c>
      <c r="D3160" t="s">
        <v>28</v>
      </c>
      <c r="E3160">
        <v>19</v>
      </c>
      <c r="F3160" t="s">
        <v>23</v>
      </c>
      <c r="G3160" t="s">
        <v>15</v>
      </c>
      <c r="H3160" t="s">
        <v>16</v>
      </c>
      <c r="I3160">
        <v>0</v>
      </c>
      <c r="J3160" s="23">
        <v>-852</v>
      </c>
      <c r="K3160" t="s">
        <v>17</v>
      </c>
    </row>
    <row r="3161" spans="1:11" ht="15" customHeight="1" x14ac:dyDescent="0.3">
      <c r="A3161" t="s">
        <v>22</v>
      </c>
      <c r="B3161" t="s">
        <v>11</v>
      </c>
      <c r="C3161" t="s">
        <v>12</v>
      </c>
      <c r="D3161" t="s">
        <v>13</v>
      </c>
      <c r="E3161">
        <v>1</v>
      </c>
      <c r="F3161" t="s">
        <v>38</v>
      </c>
      <c r="G3161" t="s">
        <v>15</v>
      </c>
      <c r="H3161" t="s">
        <v>16</v>
      </c>
      <c r="I3161">
        <v>0</v>
      </c>
      <c r="J3161" s="23">
        <v>-10538</v>
      </c>
      <c r="K3161" t="s">
        <v>17</v>
      </c>
    </row>
    <row r="3162" spans="1:11" ht="15" customHeight="1" x14ac:dyDescent="0.3">
      <c r="A3162" t="s">
        <v>18</v>
      </c>
      <c r="B3162" t="s">
        <v>19</v>
      </c>
      <c r="C3162" t="s">
        <v>24</v>
      </c>
      <c r="D3162" t="s">
        <v>28</v>
      </c>
      <c r="E3162">
        <v>3</v>
      </c>
      <c r="F3162"/>
      <c r="G3162" t="s">
        <v>15</v>
      </c>
      <c r="H3162" t="s">
        <v>16</v>
      </c>
      <c r="I3162">
        <v>0</v>
      </c>
      <c r="J3162" s="23">
        <v>15818320</v>
      </c>
      <c r="K3162">
        <v>47454960</v>
      </c>
    </row>
    <row r="3163" spans="1:11" ht="15" customHeight="1" x14ac:dyDescent="0.3">
      <c r="A3163" t="s">
        <v>18</v>
      </c>
      <c r="B3163" t="s">
        <v>11</v>
      </c>
      <c r="C3163" t="s">
        <v>12</v>
      </c>
      <c r="D3163" t="s">
        <v>28</v>
      </c>
      <c r="E3163">
        <v>10</v>
      </c>
      <c r="F3163" t="s">
        <v>26</v>
      </c>
      <c r="G3163" t="s">
        <v>15</v>
      </c>
      <c r="H3163" t="s">
        <v>16</v>
      </c>
      <c r="I3163">
        <v>0</v>
      </c>
      <c r="J3163" s="23">
        <v>-132322</v>
      </c>
      <c r="K3163" t="s">
        <v>17</v>
      </c>
    </row>
    <row r="3164" spans="1:11" ht="15" customHeight="1" x14ac:dyDescent="0.3">
      <c r="A3164" t="s">
        <v>18</v>
      </c>
      <c r="B3164" t="s">
        <v>11</v>
      </c>
      <c r="C3164" t="s">
        <v>24</v>
      </c>
      <c r="D3164" t="s">
        <v>28</v>
      </c>
      <c r="E3164">
        <v>5</v>
      </c>
      <c r="F3164" t="s">
        <v>27</v>
      </c>
      <c r="G3164" t="s">
        <v>15</v>
      </c>
      <c r="H3164" t="s">
        <v>16</v>
      </c>
      <c r="I3164">
        <v>0</v>
      </c>
      <c r="J3164" s="23">
        <v>1464658</v>
      </c>
      <c r="K3164">
        <v>7323290</v>
      </c>
    </row>
    <row r="3165" spans="1:11" ht="15" customHeight="1" x14ac:dyDescent="0.3">
      <c r="A3165" t="s">
        <v>18</v>
      </c>
      <c r="B3165" t="s">
        <v>11</v>
      </c>
      <c r="C3165" t="s">
        <v>12</v>
      </c>
      <c r="D3165" t="s">
        <v>13</v>
      </c>
      <c r="E3165">
        <v>9</v>
      </c>
      <c r="F3165" t="s">
        <v>14</v>
      </c>
      <c r="G3165" t="s">
        <v>15</v>
      </c>
      <c r="H3165" t="s">
        <v>16</v>
      </c>
      <c r="I3165">
        <v>0</v>
      </c>
      <c r="J3165" s="23">
        <v>-1147</v>
      </c>
      <c r="K3165" t="s">
        <v>17</v>
      </c>
    </row>
    <row r="3166" spans="1:11" ht="15" customHeight="1" x14ac:dyDescent="0.3">
      <c r="A3166" t="s">
        <v>22</v>
      </c>
      <c r="B3166" t="s">
        <v>11</v>
      </c>
      <c r="C3166" t="s">
        <v>12</v>
      </c>
      <c r="D3166" t="s">
        <v>13</v>
      </c>
      <c r="E3166">
        <v>17</v>
      </c>
      <c r="F3166" t="s">
        <v>40</v>
      </c>
      <c r="G3166" t="s">
        <v>15</v>
      </c>
      <c r="H3166" t="s">
        <v>16</v>
      </c>
      <c r="I3166">
        <v>0</v>
      </c>
      <c r="J3166" s="23">
        <v>-52151</v>
      </c>
      <c r="K3166" t="s">
        <v>17</v>
      </c>
    </row>
    <row r="3167" spans="1:11" ht="15" customHeight="1" x14ac:dyDescent="0.3">
      <c r="A3167" t="s">
        <v>22</v>
      </c>
      <c r="B3167" t="s">
        <v>43</v>
      </c>
      <c r="C3167" t="s">
        <v>12</v>
      </c>
      <c r="D3167" t="s">
        <v>28</v>
      </c>
      <c r="E3167">
        <v>13</v>
      </c>
      <c r="F3167" t="s">
        <v>38</v>
      </c>
      <c r="G3167" t="s">
        <v>15</v>
      </c>
      <c r="H3167" t="s">
        <v>16</v>
      </c>
      <c r="I3167">
        <v>0</v>
      </c>
      <c r="J3167" s="23">
        <v>-120622</v>
      </c>
      <c r="K3167" t="s">
        <v>17</v>
      </c>
    </row>
    <row r="3168" spans="1:11" ht="15" customHeight="1" x14ac:dyDescent="0.3">
      <c r="A3168" t="s">
        <v>22</v>
      </c>
      <c r="B3168" t="s">
        <v>11</v>
      </c>
      <c r="C3168" t="s">
        <v>24</v>
      </c>
      <c r="D3168" t="s">
        <v>13</v>
      </c>
      <c r="E3168">
        <v>1</v>
      </c>
      <c r="F3168" t="s">
        <v>39</v>
      </c>
      <c r="G3168" t="s">
        <v>15</v>
      </c>
      <c r="H3168" t="s">
        <v>16</v>
      </c>
      <c r="I3168">
        <v>0</v>
      </c>
      <c r="J3168" s="23">
        <v>438042</v>
      </c>
      <c r="K3168">
        <v>438042</v>
      </c>
    </row>
    <row r="3169" spans="1:11" ht="15" customHeight="1" x14ac:dyDescent="0.3">
      <c r="A3169" t="s">
        <v>22</v>
      </c>
      <c r="B3169" t="s">
        <v>19</v>
      </c>
      <c r="C3169" t="s">
        <v>12</v>
      </c>
      <c r="D3169" t="s">
        <v>28</v>
      </c>
      <c r="E3169">
        <v>3</v>
      </c>
      <c r="F3169"/>
      <c r="G3169" t="s">
        <v>15</v>
      </c>
      <c r="H3169" t="s">
        <v>16</v>
      </c>
      <c r="I3169">
        <v>0</v>
      </c>
      <c r="J3169" s="23">
        <v>-1028739</v>
      </c>
      <c r="K3169" t="s">
        <v>17</v>
      </c>
    </row>
    <row r="3170" spans="1:11" ht="15" customHeight="1" x14ac:dyDescent="0.3">
      <c r="A3170" t="s">
        <v>22</v>
      </c>
      <c r="B3170" t="s">
        <v>11</v>
      </c>
      <c r="C3170" t="s">
        <v>12</v>
      </c>
      <c r="D3170" t="s">
        <v>28</v>
      </c>
      <c r="E3170">
        <v>5</v>
      </c>
      <c r="F3170" t="s">
        <v>26</v>
      </c>
      <c r="G3170" t="s">
        <v>15</v>
      </c>
      <c r="H3170" t="s">
        <v>16</v>
      </c>
      <c r="I3170">
        <v>0</v>
      </c>
      <c r="J3170" s="23">
        <v>-220758</v>
      </c>
      <c r="K3170" t="s">
        <v>17</v>
      </c>
    </row>
    <row r="3171" spans="1:11" ht="15" customHeight="1" x14ac:dyDescent="0.3">
      <c r="A3171" t="s">
        <v>22</v>
      </c>
      <c r="B3171" t="s">
        <v>19</v>
      </c>
      <c r="C3171" t="s">
        <v>24</v>
      </c>
      <c r="D3171" t="s">
        <v>20</v>
      </c>
      <c r="E3171">
        <v>36</v>
      </c>
      <c r="F3171"/>
      <c r="G3171" t="s">
        <v>31</v>
      </c>
      <c r="H3171" t="s">
        <v>16</v>
      </c>
      <c r="I3171">
        <v>1</v>
      </c>
      <c r="J3171" s="23">
        <v>142613</v>
      </c>
      <c r="K3171">
        <v>5134068</v>
      </c>
    </row>
    <row r="3172" spans="1:11" ht="15" customHeight="1" x14ac:dyDescent="0.3">
      <c r="A3172" t="s">
        <v>22</v>
      </c>
      <c r="B3172" t="s">
        <v>11</v>
      </c>
      <c r="C3172" t="s">
        <v>12</v>
      </c>
      <c r="D3172" t="s">
        <v>25</v>
      </c>
      <c r="E3172">
        <v>0</v>
      </c>
      <c r="F3172" t="s">
        <v>27</v>
      </c>
      <c r="G3172" t="s">
        <v>15</v>
      </c>
      <c r="H3172" t="s">
        <v>16</v>
      </c>
      <c r="I3172">
        <v>0</v>
      </c>
      <c r="J3172" s="23">
        <v>-11302</v>
      </c>
      <c r="K3172" t="s">
        <v>17</v>
      </c>
    </row>
    <row r="3173" spans="1:11" ht="15" customHeight="1" x14ac:dyDescent="0.3">
      <c r="A3173" t="s">
        <v>18</v>
      </c>
      <c r="B3173" t="s">
        <v>11</v>
      </c>
      <c r="C3173" t="s">
        <v>24</v>
      </c>
      <c r="D3173" t="s">
        <v>13</v>
      </c>
      <c r="E3173">
        <v>1</v>
      </c>
      <c r="F3173" t="s">
        <v>36</v>
      </c>
      <c r="G3173" t="s">
        <v>15</v>
      </c>
      <c r="H3173" t="s">
        <v>16</v>
      </c>
      <c r="I3173">
        <v>0</v>
      </c>
      <c r="J3173" s="23">
        <v>229733467</v>
      </c>
      <c r="K3173">
        <v>229733467</v>
      </c>
    </row>
    <row r="3174" spans="1:11" ht="15" customHeight="1" x14ac:dyDescent="0.3">
      <c r="A3174" t="s">
        <v>18</v>
      </c>
      <c r="B3174" t="s">
        <v>11</v>
      </c>
      <c r="C3174" t="s">
        <v>24</v>
      </c>
      <c r="D3174" t="s">
        <v>13</v>
      </c>
      <c r="E3174">
        <v>-1</v>
      </c>
      <c r="F3174" t="s">
        <v>46</v>
      </c>
      <c r="G3174" t="s">
        <v>15</v>
      </c>
      <c r="H3174" t="s">
        <v>16</v>
      </c>
      <c r="I3174">
        <v>0</v>
      </c>
      <c r="J3174" s="23">
        <v>209</v>
      </c>
      <c r="K3174" t="s">
        <v>17</v>
      </c>
    </row>
    <row r="3175" spans="1:11" ht="15" customHeight="1" x14ac:dyDescent="0.3">
      <c r="A3175" t="s">
        <v>18</v>
      </c>
      <c r="B3175" t="s">
        <v>11</v>
      </c>
      <c r="C3175" t="s">
        <v>24</v>
      </c>
      <c r="D3175" t="s">
        <v>28</v>
      </c>
      <c r="E3175">
        <v>1</v>
      </c>
      <c r="F3175" t="s">
        <v>27</v>
      </c>
      <c r="G3175" t="s">
        <v>15</v>
      </c>
      <c r="H3175" t="s">
        <v>16</v>
      </c>
      <c r="I3175">
        <v>0</v>
      </c>
      <c r="J3175" s="23">
        <v>227028</v>
      </c>
      <c r="K3175">
        <v>227028</v>
      </c>
    </row>
    <row r="3176" spans="1:11" ht="15" customHeight="1" x14ac:dyDescent="0.3">
      <c r="A3176" t="s">
        <v>10</v>
      </c>
      <c r="B3176" t="s">
        <v>11</v>
      </c>
      <c r="C3176" t="s">
        <v>24</v>
      </c>
      <c r="D3176" t="s">
        <v>28</v>
      </c>
      <c r="E3176">
        <v>4</v>
      </c>
      <c r="F3176" t="s">
        <v>30</v>
      </c>
      <c r="G3176" t="s">
        <v>15</v>
      </c>
      <c r="H3176" t="s">
        <v>16</v>
      </c>
      <c r="I3176">
        <v>0</v>
      </c>
      <c r="J3176" s="23">
        <v>211338</v>
      </c>
      <c r="K3176">
        <v>845352</v>
      </c>
    </row>
    <row r="3177" spans="1:11" ht="15" customHeight="1" x14ac:dyDescent="0.3">
      <c r="A3177" t="s">
        <v>22</v>
      </c>
      <c r="B3177" t="s">
        <v>11</v>
      </c>
      <c r="C3177" t="s">
        <v>24</v>
      </c>
      <c r="D3177" t="s">
        <v>25</v>
      </c>
      <c r="E3177">
        <v>-4</v>
      </c>
      <c r="F3177" t="s">
        <v>29</v>
      </c>
      <c r="G3177" t="s">
        <v>15</v>
      </c>
      <c r="H3177" t="s">
        <v>16</v>
      </c>
      <c r="I3177">
        <v>0</v>
      </c>
      <c r="J3177" s="23">
        <v>1274928</v>
      </c>
      <c r="K3177" t="s">
        <v>17</v>
      </c>
    </row>
    <row r="3178" spans="1:11" ht="15" customHeight="1" x14ac:dyDescent="0.3">
      <c r="A3178" t="s">
        <v>18</v>
      </c>
      <c r="B3178" t="s">
        <v>11</v>
      </c>
      <c r="C3178" t="s">
        <v>12</v>
      </c>
      <c r="D3178" t="s">
        <v>13</v>
      </c>
      <c r="E3178">
        <v>11</v>
      </c>
      <c r="F3178" t="s">
        <v>39</v>
      </c>
      <c r="G3178" t="s">
        <v>15</v>
      </c>
      <c r="H3178" t="s">
        <v>16</v>
      </c>
      <c r="I3178">
        <v>0</v>
      </c>
      <c r="J3178" s="23">
        <v>-773</v>
      </c>
      <c r="K3178" t="s">
        <v>17</v>
      </c>
    </row>
    <row r="3179" spans="1:11" ht="15" customHeight="1" x14ac:dyDescent="0.3">
      <c r="A3179" t="s">
        <v>18</v>
      </c>
      <c r="B3179" t="s">
        <v>11</v>
      </c>
      <c r="C3179" t="s">
        <v>24</v>
      </c>
      <c r="D3179" t="s">
        <v>28</v>
      </c>
      <c r="E3179">
        <v>3</v>
      </c>
      <c r="F3179" t="s">
        <v>39</v>
      </c>
      <c r="G3179" t="s">
        <v>15</v>
      </c>
      <c r="H3179" t="s">
        <v>16</v>
      </c>
      <c r="I3179">
        <v>0</v>
      </c>
      <c r="J3179" s="23">
        <v>141003</v>
      </c>
      <c r="K3179">
        <v>423009</v>
      </c>
    </row>
    <row r="3180" spans="1:11" ht="15" customHeight="1" x14ac:dyDescent="0.3">
      <c r="A3180" t="s">
        <v>10</v>
      </c>
      <c r="B3180" t="s">
        <v>11</v>
      </c>
      <c r="C3180" t="s">
        <v>12</v>
      </c>
      <c r="D3180" t="s">
        <v>28</v>
      </c>
      <c r="E3180">
        <v>6</v>
      </c>
      <c r="F3180" t="s">
        <v>34</v>
      </c>
      <c r="G3180" t="s">
        <v>15</v>
      </c>
      <c r="H3180" t="s">
        <v>32</v>
      </c>
      <c r="I3180">
        <v>1</v>
      </c>
      <c r="J3180" s="23">
        <v>-27362</v>
      </c>
      <c r="K3180" t="s">
        <v>17</v>
      </c>
    </row>
    <row r="3181" spans="1:11" ht="15" customHeight="1" x14ac:dyDescent="0.3">
      <c r="A3181" t="s">
        <v>10</v>
      </c>
      <c r="B3181" t="s">
        <v>11</v>
      </c>
      <c r="C3181" t="s">
        <v>12</v>
      </c>
      <c r="D3181" t="s">
        <v>13</v>
      </c>
      <c r="E3181">
        <v>1</v>
      </c>
      <c r="F3181" t="s">
        <v>49</v>
      </c>
      <c r="G3181" t="s">
        <v>15</v>
      </c>
      <c r="H3181" t="s">
        <v>16</v>
      </c>
      <c r="I3181">
        <v>0</v>
      </c>
      <c r="J3181" s="23">
        <v>-2775</v>
      </c>
      <c r="K3181" t="s">
        <v>17</v>
      </c>
    </row>
    <row r="3182" spans="1:11" ht="15" customHeight="1" x14ac:dyDescent="0.3">
      <c r="A3182" t="s">
        <v>10</v>
      </c>
      <c r="B3182" t="s">
        <v>11</v>
      </c>
      <c r="C3182" t="s">
        <v>12</v>
      </c>
      <c r="D3182" t="s">
        <v>25</v>
      </c>
      <c r="E3182">
        <v>2</v>
      </c>
      <c r="F3182" t="s">
        <v>14</v>
      </c>
      <c r="G3182" t="s">
        <v>15</v>
      </c>
      <c r="H3182" t="s">
        <v>16</v>
      </c>
      <c r="I3182">
        <v>0</v>
      </c>
      <c r="J3182" s="23">
        <v>-46092</v>
      </c>
      <c r="K3182" t="s">
        <v>17</v>
      </c>
    </row>
    <row r="3183" spans="1:11" ht="15" customHeight="1" x14ac:dyDescent="0.3">
      <c r="A3183" t="s">
        <v>22</v>
      </c>
      <c r="B3183" t="s">
        <v>11</v>
      </c>
      <c r="C3183" t="s">
        <v>24</v>
      </c>
      <c r="D3183" t="s">
        <v>13</v>
      </c>
      <c r="E3183">
        <v>0</v>
      </c>
      <c r="F3183" t="s">
        <v>26</v>
      </c>
      <c r="G3183" t="s">
        <v>15</v>
      </c>
      <c r="H3183" t="s">
        <v>16</v>
      </c>
      <c r="I3183">
        <v>0</v>
      </c>
      <c r="J3183" s="23">
        <v>40634</v>
      </c>
      <c r="K3183" t="s">
        <v>17</v>
      </c>
    </row>
    <row r="3184" spans="1:11" ht="15" customHeight="1" x14ac:dyDescent="0.3">
      <c r="A3184" t="s">
        <v>18</v>
      </c>
      <c r="B3184" t="s">
        <v>11</v>
      </c>
      <c r="C3184" t="s">
        <v>24</v>
      </c>
      <c r="D3184" t="s">
        <v>13</v>
      </c>
      <c r="E3184">
        <v>13</v>
      </c>
      <c r="F3184" t="s">
        <v>23</v>
      </c>
      <c r="G3184" t="s">
        <v>15</v>
      </c>
      <c r="H3184" t="s">
        <v>16</v>
      </c>
      <c r="I3184">
        <v>0</v>
      </c>
      <c r="J3184" s="23">
        <v>738174</v>
      </c>
      <c r="K3184">
        <v>9596262</v>
      </c>
    </row>
    <row r="3185" spans="1:11" ht="15" customHeight="1" x14ac:dyDescent="0.3">
      <c r="A3185" t="s">
        <v>10</v>
      </c>
      <c r="B3185" t="s">
        <v>11</v>
      </c>
      <c r="C3185" t="s">
        <v>12</v>
      </c>
      <c r="D3185" t="s">
        <v>28</v>
      </c>
      <c r="E3185">
        <v>12</v>
      </c>
      <c r="F3185" t="s">
        <v>39</v>
      </c>
      <c r="G3185" t="s">
        <v>15</v>
      </c>
      <c r="H3185" t="s">
        <v>16</v>
      </c>
      <c r="I3185">
        <v>0</v>
      </c>
      <c r="J3185" s="23">
        <v>-21566</v>
      </c>
      <c r="K3185" t="s">
        <v>17</v>
      </c>
    </row>
    <row r="3186" spans="1:11" ht="15" customHeight="1" x14ac:dyDescent="0.3">
      <c r="A3186" t="s">
        <v>18</v>
      </c>
      <c r="B3186" t="s">
        <v>11</v>
      </c>
      <c r="C3186" t="s">
        <v>24</v>
      </c>
      <c r="D3186" t="s">
        <v>13</v>
      </c>
      <c r="E3186">
        <v>0</v>
      </c>
      <c r="F3186" t="s">
        <v>21</v>
      </c>
      <c r="G3186" t="s">
        <v>15</v>
      </c>
      <c r="H3186" t="s">
        <v>16</v>
      </c>
      <c r="I3186">
        <v>0</v>
      </c>
      <c r="J3186" s="23">
        <v>113879366</v>
      </c>
      <c r="K3186" t="s">
        <v>17</v>
      </c>
    </row>
    <row r="3187" spans="1:11" ht="15" customHeight="1" x14ac:dyDescent="0.3">
      <c r="A3187" t="s">
        <v>10</v>
      </c>
      <c r="B3187" t="s">
        <v>11</v>
      </c>
      <c r="C3187" t="s">
        <v>24</v>
      </c>
      <c r="D3187" t="s">
        <v>25</v>
      </c>
      <c r="E3187">
        <v>2</v>
      </c>
      <c r="F3187" t="s">
        <v>40</v>
      </c>
      <c r="G3187" t="s">
        <v>15</v>
      </c>
      <c r="H3187" t="s">
        <v>16</v>
      </c>
      <c r="I3187">
        <v>0</v>
      </c>
      <c r="J3187" s="23">
        <v>1898276</v>
      </c>
      <c r="K3187">
        <v>3796552</v>
      </c>
    </row>
    <row r="3188" spans="1:11" ht="15" customHeight="1" x14ac:dyDescent="0.3">
      <c r="A3188" t="s">
        <v>18</v>
      </c>
      <c r="B3188" t="s">
        <v>11</v>
      </c>
      <c r="C3188" t="s">
        <v>12</v>
      </c>
      <c r="D3188" t="s">
        <v>25</v>
      </c>
      <c r="E3188">
        <v>4</v>
      </c>
      <c r="F3188" t="s">
        <v>23</v>
      </c>
      <c r="G3188" t="s">
        <v>15</v>
      </c>
      <c r="H3188" t="s">
        <v>16</v>
      </c>
      <c r="I3188">
        <v>0</v>
      </c>
      <c r="J3188" s="23">
        <v>-8082</v>
      </c>
      <c r="K3188" t="s">
        <v>17</v>
      </c>
    </row>
    <row r="3189" spans="1:11" ht="15" customHeight="1" x14ac:dyDescent="0.3">
      <c r="A3189" t="s">
        <v>18</v>
      </c>
      <c r="B3189" t="s">
        <v>11</v>
      </c>
      <c r="C3189" t="s">
        <v>12</v>
      </c>
      <c r="D3189" t="s">
        <v>25</v>
      </c>
      <c r="E3189">
        <v>0</v>
      </c>
      <c r="F3189" t="s">
        <v>45</v>
      </c>
      <c r="G3189" t="s">
        <v>15</v>
      </c>
      <c r="H3189" t="s">
        <v>16</v>
      </c>
      <c r="I3189">
        <v>0</v>
      </c>
      <c r="J3189" s="23">
        <v>-175</v>
      </c>
      <c r="K3189" t="s">
        <v>17</v>
      </c>
    </row>
    <row r="3190" spans="1:11" ht="15" customHeight="1" x14ac:dyDescent="0.3">
      <c r="A3190" t="s">
        <v>10</v>
      </c>
      <c r="B3190" t="s">
        <v>11</v>
      </c>
      <c r="C3190" t="s">
        <v>12</v>
      </c>
      <c r="D3190" t="s">
        <v>13</v>
      </c>
      <c r="E3190">
        <v>1</v>
      </c>
      <c r="F3190" t="s">
        <v>38</v>
      </c>
      <c r="G3190" t="s">
        <v>15</v>
      </c>
      <c r="H3190" t="s">
        <v>16</v>
      </c>
      <c r="I3190">
        <v>0</v>
      </c>
      <c r="J3190" s="23">
        <v>-109</v>
      </c>
      <c r="K3190" t="s">
        <v>17</v>
      </c>
    </row>
    <row r="3191" spans="1:11" ht="15" customHeight="1" x14ac:dyDescent="0.3">
      <c r="A3191" t="s">
        <v>22</v>
      </c>
      <c r="B3191" t="s">
        <v>19</v>
      </c>
      <c r="C3191" t="s">
        <v>24</v>
      </c>
      <c r="D3191" t="s">
        <v>20</v>
      </c>
      <c r="E3191">
        <v>26</v>
      </c>
      <c r="F3191"/>
      <c r="G3191" t="s">
        <v>31</v>
      </c>
      <c r="H3191" t="s">
        <v>16</v>
      </c>
      <c r="I3191">
        <v>1</v>
      </c>
      <c r="J3191" s="23">
        <v>140732</v>
      </c>
      <c r="K3191">
        <v>3659032</v>
      </c>
    </row>
    <row r="3192" spans="1:11" ht="15" customHeight="1" x14ac:dyDescent="0.3">
      <c r="A3192" t="s">
        <v>10</v>
      </c>
      <c r="B3192" t="s">
        <v>11</v>
      </c>
      <c r="C3192" t="s">
        <v>24</v>
      </c>
      <c r="D3192" t="s">
        <v>28</v>
      </c>
      <c r="E3192">
        <v>4</v>
      </c>
      <c r="F3192" t="s">
        <v>27</v>
      </c>
      <c r="G3192" t="s">
        <v>15</v>
      </c>
      <c r="H3192" t="s">
        <v>16</v>
      </c>
      <c r="I3192">
        <v>0</v>
      </c>
      <c r="J3192" s="23">
        <v>43436</v>
      </c>
      <c r="K3192">
        <v>173744</v>
      </c>
    </row>
    <row r="3193" spans="1:11" ht="15" customHeight="1" x14ac:dyDescent="0.3">
      <c r="A3193" t="s">
        <v>10</v>
      </c>
      <c r="B3193" t="s">
        <v>11</v>
      </c>
      <c r="C3193" t="s">
        <v>12</v>
      </c>
      <c r="D3193" t="s">
        <v>25</v>
      </c>
      <c r="E3193">
        <v>-4</v>
      </c>
      <c r="F3193" t="s">
        <v>33</v>
      </c>
      <c r="G3193" t="s">
        <v>15</v>
      </c>
      <c r="H3193" t="s">
        <v>16</v>
      </c>
      <c r="I3193">
        <v>0</v>
      </c>
      <c r="J3193" s="23">
        <v>-128</v>
      </c>
      <c r="K3193" t="s">
        <v>17</v>
      </c>
    </row>
    <row r="3194" spans="1:11" ht="15" customHeight="1" x14ac:dyDescent="0.3">
      <c r="A3194" t="s">
        <v>18</v>
      </c>
      <c r="B3194" t="s">
        <v>11</v>
      </c>
      <c r="C3194" t="s">
        <v>24</v>
      </c>
      <c r="D3194" t="s">
        <v>28</v>
      </c>
      <c r="E3194">
        <v>8</v>
      </c>
      <c r="F3194" t="s">
        <v>23</v>
      </c>
      <c r="G3194" t="s">
        <v>15</v>
      </c>
      <c r="H3194" t="s">
        <v>16</v>
      </c>
      <c r="I3194">
        <v>0</v>
      </c>
      <c r="J3194" s="23">
        <v>52858190</v>
      </c>
      <c r="K3194">
        <v>422865520</v>
      </c>
    </row>
    <row r="3195" spans="1:11" ht="15" customHeight="1" x14ac:dyDescent="0.3">
      <c r="A3195" t="s">
        <v>18</v>
      </c>
      <c r="B3195" t="s">
        <v>11</v>
      </c>
      <c r="C3195" t="s">
        <v>24</v>
      </c>
      <c r="D3195" t="s">
        <v>13</v>
      </c>
      <c r="E3195">
        <v>2</v>
      </c>
      <c r="F3195" t="s">
        <v>45</v>
      </c>
      <c r="G3195" t="s">
        <v>15</v>
      </c>
      <c r="H3195" t="s">
        <v>16</v>
      </c>
      <c r="I3195">
        <v>0</v>
      </c>
      <c r="J3195" s="23">
        <v>1103307</v>
      </c>
      <c r="K3195">
        <v>2206614</v>
      </c>
    </row>
    <row r="3196" spans="1:11" ht="15" customHeight="1" x14ac:dyDescent="0.3">
      <c r="A3196" t="s">
        <v>22</v>
      </c>
      <c r="B3196" t="s">
        <v>11</v>
      </c>
      <c r="C3196" t="s">
        <v>12</v>
      </c>
      <c r="D3196" t="s">
        <v>28</v>
      </c>
      <c r="E3196">
        <v>-4</v>
      </c>
      <c r="F3196" t="s">
        <v>39</v>
      </c>
      <c r="G3196" t="s">
        <v>15</v>
      </c>
      <c r="H3196" t="s">
        <v>16</v>
      </c>
      <c r="I3196">
        <v>0</v>
      </c>
      <c r="J3196" s="23">
        <v>-200392</v>
      </c>
      <c r="K3196" t="s">
        <v>17</v>
      </c>
    </row>
    <row r="3197" spans="1:11" ht="15" customHeight="1" x14ac:dyDescent="0.3">
      <c r="A3197" t="s">
        <v>10</v>
      </c>
      <c r="B3197" t="s">
        <v>11</v>
      </c>
      <c r="C3197" t="s">
        <v>24</v>
      </c>
      <c r="D3197" t="s">
        <v>28</v>
      </c>
      <c r="E3197">
        <v>5</v>
      </c>
      <c r="F3197" t="s">
        <v>30</v>
      </c>
      <c r="G3197" t="s">
        <v>15</v>
      </c>
      <c r="H3197" t="s">
        <v>16</v>
      </c>
      <c r="I3197">
        <v>0</v>
      </c>
      <c r="J3197" s="23">
        <v>1856886</v>
      </c>
      <c r="K3197">
        <v>9284430</v>
      </c>
    </row>
    <row r="3198" spans="1:11" ht="15" customHeight="1" x14ac:dyDescent="0.3">
      <c r="A3198" t="s">
        <v>18</v>
      </c>
      <c r="B3198" t="s">
        <v>11</v>
      </c>
      <c r="C3198" t="s">
        <v>12</v>
      </c>
      <c r="D3198" t="s">
        <v>28</v>
      </c>
      <c r="E3198">
        <v>5</v>
      </c>
      <c r="F3198" t="s">
        <v>21</v>
      </c>
      <c r="G3198" t="s">
        <v>31</v>
      </c>
      <c r="H3198" t="s">
        <v>32</v>
      </c>
      <c r="I3198">
        <v>1</v>
      </c>
      <c r="J3198" s="23">
        <v>-41</v>
      </c>
      <c r="K3198" t="s">
        <v>17</v>
      </c>
    </row>
    <row r="3199" spans="1:11" ht="15" customHeight="1" x14ac:dyDescent="0.3">
      <c r="A3199" t="s">
        <v>22</v>
      </c>
      <c r="B3199" t="s">
        <v>19</v>
      </c>
      <c r="C3199" t="s">
        <v>12</v>
      </c>
      <c r="D3199" t="s">
        <v>20</v>
      </c>
      <c r="E3199">
        <v>28</v>
      </c>
      <c r="F3199"/>
      <c r="G3199" t="s">
        <v>31</v>
      </c>
      <c r="H3199" t="s">
        <v>16</v>
      </c>
      <c r="I3199">
        <v>1</v>
      </c>
      <c r="J3199" s="23">
        <v>-40694</v>
      </c>
      <c r="K3199" t="s">
        <v>17</v>
      </c>
    </row>
    <row r="3200" spans="1:11" ht="15" customHeight="1" x14ac:dyDescent="0.3">
      <c r="A3200" t="s">
        <v>10</v>
      </c>
      <c r="B3200" t="s">
        <v>11</v>
      </c>
      <c r="C3200" t="s">
        <v>12</v>
      </c>
      <c r="D3200" t="s">
        <v>13</v>
      </c>
      <c r="E3200">
        <v>9</v>
      </c>
      <c r="F3200" t="s">
        <v>29</v>
      </c>
      <c r="G3200" t="s">
        <v>15</v>
      </c>
      <c r="H3200" t="s">
        <v>16</v>
      </c>
      <c r="I3200">
        <v>0</v>
      </c>
      <c r="J3200" s="23">
        <v>-23338</v>
      </c>
      <c r="K3200" t="s">
        <v>17</v>
      </c>
    </row>
    <row r="3201" spans="1:11" ht="15" customHeight="1" x14ac:dyDescent="0.3">
      <c r="A3201" t="s">
        <v>10</v>
      </c>
      <c r="B3201" t="s">
        <v>11</v>
      </c>
      <c r="C3201" t="s">
        <v>12</v>
      </c>
      <c r="D3201" t="s">
        <v>28</v>
      </c>
      <c r="E3201">
        <v>-4</v>
      </c>
      <c r="F3201" t="s">
        <v>45</v>
      </c>
      <c r="G3201" t="s">
        <v>15</v>
      </c>
      <c r="H3201" t="s">
        <v>16</v>
      </c>
      <c r="I3201">
        <v>0</v>
      </c>
      <c r="J3201" s="23">
        <v>-9</v>
      </c>
      <c r="K3201" t="s">
        <v>17</v>
      </c>
    </row>
    <row r="3202" spans="1:11" ht="15" customHeight="1" x14ac:dyDescent="0.3">
      <c r="A3202" t="s">
        <v>18</v>
      </c>
      <c r="B3202" t="s">
        <v>11</v>
      </c>
      <c r="C3202" t="s">
        <v>12</v>
      </c>
      <c r="D3202" t="s">
        <v>25</v>
      </c>
      <c r="E3202">
        <v>4</v>
      </c>
      <c r="F3202" t="s">
        <v>34</v>
      </c>
      <c r="G3202" t="s">
        <v>15</v>
      </c>
      <c r="H3202" t="s">
        <v>16</v>
      </c>
      <c r="I3202">
        <v>0</v>
      </c>
      <c r="J3202" s="23">
        <v>-43287</v>
      </c>
      <c r="K3202" t="s">
        <v>17</v>
      </c>
    </row>
    <row r="3203" spans="1:11" ht="15" customHeight="1" x14ac:dyDescent="0.3">
      <c r="A3203" t="s">
        <v>10</v>
      </c>
      <c r="B3203" t="s">
        <v>11</v>
      </c>
      <c r="C3203" t="s">
        <v>12</v>
      </c>
      <c r="D3203" t="s">
        <v>13</v>
      </c>
      <c r="E3203">
        <v>0</v>
      </c>
      <c r="F3203" t="s">
        <v>39</v>
      </c>
      <c r="G3203" t="s">
        <v>15</v>
      </c>
      <c r="H3203" t="s">
        <v>16</v>
      </c>
      <c r="I3203">
        <v>0</v>
      </c>
      <c r="J3203" s="23">
        <v>-62517</v>
      </c>
      <c r="K3203" t="s">
        <v>17</v>
      </c>
    </row>
    <row r="3204" spans="1:11" ht="15" customHeight="1" x14ac:dyDescent="0.3">
      <c r="A3204" t="s">
        <v>10</v>
      </c>
      <c r="B3204" t="s">
        <v>11</v>
      </c>
      <c r="C3204" t="s">
        <v>24</v>
      </c>
      <c r="D3204" t="s">
        <v>28</v>
      </c>
      <c r="E3204">
        <v>5</v>
      </c>
      <c r="F3204" t="s">
        <v>29</v>
      </c>
      <c r="G3204" t="s">
        <v>15</v>
      </c>
      <c r="H3204" t="s">
        <v>16</v>
      </c>
      <c r="I3204">
        <v>0</v>
      </c>
      <c r="J3204" s="23">
        <v>3249405</v>
      </c>
      <c r="K3204">
        <v>16247025</v>
      </c>
    </row>
    <row r="3205" spans="1:11" ht="15" customHeight="1" x14ac:dyDescent="0.3">
      <c r="A3205" t="s">
        <v>10</v>
      </c>
      <c r="B3205" t="s">
        <v>11</v>
      </c>
      <c r="C3205" t="s">
        <v>12</v>
      </c>
      <c r="D3205" t="s">
        <v>28</v>
      </c>
      <c r="E3205">
        <v>1</v>
      </c>
      <c r="F3205" t="s">
        <v>35</v>
      </c>
      <c r="G3205" t="s">
        <v>15</v>
      </c>
      <c r="H3205" t="s">
        <v>16</v>
      </c>
      <c r="I3205">
        <v>0</v>
      </c>
      <c r="J3205" s="23">
        <v>-85</v>
      </c>
      <c r="K3205" t="s">
        <v>17</v>
      </c>
    </row>
    <row r="3206" spans="1:11" ht="15" customHeight="1" x14ac:dyDescent="0.3">
      <c r="A3206" t="s">
        <v>22</v>
      </c>
      <c r="B3206" t="s">
        <v>11</v>
      </c>
      <c r="C3206" t="s">
        <v>24</v>
      </c>
      <c r="D3206" t="s">
        <v>13</v>
      </c>
      <c r="E3206">
        <v>2</v>
      </c>
      <c r="F3206" t="s">
        <v>33</v>
      </c>
      <c r="G3206" t="s">
        <v>15</v>
      </c>
      <c r="H3206" t="s">
        <v>16</v>
      </c>
      <c r="I3206">
        <v>0</v>
      </c>
      <c r="J3206" s="23">
        <v>265924</v>
      </c>
      <c r="K3206">
        <v>531848</v>
      </c>
    </row>
    <row r="3207" spans="1:11" ht="15" customHeight="1" x14ac:dyDescent="0.3">
      <c r="A3207" t="s">
        <v>18</v>
      </c>
      <c r="B3207" t="s">
        <v>11</v>
      </c>
      <c r="C3207" t="s">
        <v>24</v>
      </c>
      <c r="D3207" t="s">
        <v>25</v>
      </c>
      <c r="E3207">
        <v>0</v>
      </c>
      <c r="F3207" t="s">
        <v>46</v>
      </c>
      <c r="G3207" t="s">
        <v>15</v>
      </c>
      <c r="H3207" t="s">
        <v>16</v>
      </c>
      <c r="I3207">
        <v>0</v>
      </c>
      <c r="J3207" s="23">
        <v>21996</v>
      </c>
      <c r="K3207" t="s">
        <v>17</v>
      </c>
    </row>
    <row r="3208" spans="1:11" ht="15" customHeight="1" x14ac:dyDescent="0.3">
      <c r="A3208" t="s">
        <v>10</v>
      </c>
      <c r="B3208" t="s">
        <v>11</v>
      </c>
      <c r="C3208" t="s">
        <v>12</v>
      </c>
      <c r="D3208" t="s">
        <v>13</v>
      </c>
      <c r="E3208">
        <v>-1</v>
      </c>
      <c r="F3208" t="s">
        <v>46</v>
      </c>
      <c r="G3208" t="s">
        <v>15</v>
      </c>
      <c r="H3208" t="s">
        <v>16</v>
      </c>
      <c r="I3208">
        <v>0</v>
      </c>
      <c r="J3208" s="23">
        <v>-209</v>
      </c>
      <c r="K3208" t="s">
        <v>17</v>
      </c>
    </row>
    <row r="3209" spans="1:11" ht="15" customHeight="1" x14ac:dyDescent="0.3">
      <c r="A3209" t="s">
        <v>18</v>
      </c>
      <c r="B3209" t="s">
        <v>11</v>
      </c>
      <c r="C3209" t="s">
        <v>24</v>
      </c>
      <c r="D3209" t="s">
        <v>13</v>
      </c>
      <c r="E3209">
        <v>2</v>
      </c>
      <c r="F3209" t="s">
        <v>38</v>
      </c>
      <c r="G3209" t="s">
        <v>15</v>
      </c>
      <c r="H3209" t="s">
        <v>16</v>
      </c>
      <c r="I3209">
        <v>0</v>
      </c>
      <c r="J3209" s="23">
        <v>153572</v>
      </c>
      <c r="K3209">
        <v>307144</v>
      </c>
    </row>
    <row r="3210" spans="1:11" ht="15" customHeight="1" x14ac:dyDescent="0.3">
      <c r="A3210" t="s">
        <v>10</v>
      </c>
      <c r="B3210" t="s">
        <v>11</v>
      </c>
      <c r="C3210" t="s">
        <v>12</v>
      </c>
      <c r="D3210" t="s">
        <v>13</v>
      </c>
      <c r="E3210">
        <v>-4</v>
      </c>
      <c r="F3210" t="s">
        <v>26</v>
      </c>
      <c r="G3210" t="s">
        <v>15</v>
      </c>
      <c r="H3210" t="s">
        <v>16</v>
      </c>
      <c r="I3210">
        <v>0</v>
      </c>
      <c r="J3210" s="23">
        <v>-11610</v>
      </c>
      <c r="K3210" t="s">
        <v>17</v>
      </c>
    </row>
    <row r="3211" spans="1:11" ht="15" customHeight="1" x14ac:dyDescent="0.3">
      <c r="A3211" t="s">
        <v>22</v>
      </c>
      <c r="B3211" t="s">
        <v>19</v>
      </c>
      <c r="C3211" t="s">
        <v>24</v>
      </c>
      <c r="D3211" t="s">
        <v>20</v>
      </c>
      <c r="E3211">
        <v>30</v>
      </c>
      <c r="F3211"/>
      <c r="G3211" t="s">
        <v>15</v>
      </c>
      <c r="H3211" t="s">
        <v>16</v>
      </c>
      <c r="I3211">
        <v>0</v>
      </c>
      <c r="J3211" s="23">
        <v>8691872</v>
      </c>
      <c r="K3211">
        <v>260756160</v>
      </c>
    </row>
    <row r="3212" spans="1:11" ht="15" customHeight="1" x14ac:dyDescent="0.3">
      <c r="A3212" t="s">
        <v>10</v>
      </c>
      <c r="B3212" t="s">
        <v>19</v>
      </c>
      <c r="C3212" t="s">
        <v>12</v>
      </c>
      <c r="D3212" t="s">
        <v>20</v>
      </c>
      <c r="E3212">
        <v>30</v>
      </c>
      <c r="F3212"/>
      <c r="G3212" t="s">
        <v>31</v>
      </c>
      <c r="H3212" t="s">
        <v>16</v>
      </c>
      <c r="I3212">
        <v>1</v>
      </c>
      <c r="J3212" s="23">
        <v>-33576</v>
      </c>
      <c r="K3212" t="s">
        <v>17</v>
      </c>
    </row>
    <row r="3213" spans="1:11" ht="15" customHeight="1" x14ac:dyDescent="0.3">
      <c r="A3213" t="s">
        <v>18</v>
      </c>
      <c r="B3213" t="s">
        <v>11</v>
      </c>
      <c r="C3213" t="s">
        <v>12</v>
      </c>
      <c r="D3213" t="s">
        <v>25</v>
      </c>
      <c r="E3213">
        <v>7</v>
      </c>
      <c r="F3213" t="s">
        <v>14</v>
      </c>
      <c r="G3213" t="s">
        <v>15</v>
      </c>
      <c r="H3213" t="s">
        <v>16</v>
      </c>
      <c r="I3213">
        <v>0</v>
      </c>
      <c r="J3213" s="23">
        <v>-9594</v>
      </c>
      <c r="K3213" t="s">
        <v>17</v>
      </c>
    </row>
    <row r="3214" spans="1:11" ht="15" customHeight="1" x14ac:dyDescent="0.3">
      <c r="A3214" t="s">
        <v>22</v>
      </c>
      <c r="B3214" t="s">
        <v>11</v>
      </c>
      <c r="C3214" t="s">
        <v>24</v>
      </c>
      <c r="D3214" t="s">
        <v>13</v>
      </c>
      <c r="E3214">
        <v>5</v>
      </c>
      <c r="F3214" t="s">
        <v>34</v>
      </c>
      <c r="G3214" t="s">
        <v>15</v>
      </c>
      <c r="H3214" t="s">
        <v>16</v>
      </c>
      <c r="I3214">
        <v>0</v>
      </c>
      <c r="J3214" s="23">
        <v>1812097</v>
      </c>
      <c r="K3214">
        <v>9060485</v>
      </c>
    </row>
    <row r="3215" spans="1:11" ht="15" customHeight="1" x14ac:dyDescent="0.3">
      <c r="A3215" t="s">
        <v>10</v>
      </c>
      <c r="B3215" t="s">
        <v>19</v>
      </c>
      <c r="C3215" t="s">
        <v>12</v>
      </c>
      <c r="D3215" t="s">
        <v>20</v>
      </c>
      <c r="E3215">
        <v>14</v>
      </c>
      <c r="F3215"/>
      <c r="G3215" t="s">
        <v>15</v>
      </c>
      <c r="H3215" t="s">
        <v>32</v>
      </c>
      <c r="I3215">
        <v>1</v>
      </c>
      <c r="J3215" s="23">
        <v>-2247</v>
      </c>
      <c r="K3215" t="s">
        <v>17</v>
      </c>
    </row>
    <row r="3216" spans="1:11" ht="15" customHeight="1" x14ac:dyDescent="0.3">
      <c r="A3216" t="s">
        <v>18</v>
      </c>
      <c r="B3216" t="s">
        <v>11</v>
      </c>
      <c r="C3216" t="s">
        <v>24</v>
      </c>
      <c r="D3216" t="s">
        <v>13</v>
      </c>
      <c r="E3216">
        <v>9</v>
      </c>
      <c r="F3216" t="s">
        <v>14</v>
      </c>
      <c r="G3216" t="s">
        <v>15</v>
      </c>
      <c r="H3216" t="s">
        <v>16</v>
      </c>
      <c r="I3216">
        <v>0</v>
      </c>
      <c r="J3216" s="23">
        <v>419973</v>
      </c>
      <c r="K3216">
        <v>3779757</v>
      </c>
    </row>
    <row r="3217" spans="1:11" ht="15" customHeight="1" x14ac:dyDescent="0.3">
      <c r="A3217" t="s">
        <v>22</v>
      </c>
      <c r="B3217" t="s">
        <v>11</v>
      </c>
      <c r="C3217" t="s">
        <v>24</v>
      </c>
      <c r="D3217" t="s">
        <v>28</v>
      </c>
      <c r="E3217">
        <v>8</v>
      </c>
      <c r="F3217" t="s">
        <v>33</v>
      </c>
      <c r="G3217" t="s">
        <v>15</v>
      </c>
      <c r="H3217" t="s">
        <v>32</v>
      </c>
      <c r="I3217">
        <v>1</v>
      </c>
      <c r="J3217" s="23">
        <v>259380</v>
      </c>
      <c r="K3217">
        <v>2075040</v>
      </c>
    </row>
    <row r="3218" spans="1:11" ht="15" customHeight="1" x14ac:dyDescent="0.3">
      <c r="A3218" t="s">
        <v>18</v>
      </c>
      <c r="B3218" t="s">
        <v>11</v>
      </c>
      <c r="C3218" t="s">
        <v>12</v>
      </c>
      <c r="D3218" t="s">
        <v>28</v>
      </c>
      <c r="E3218">
        <v>8</v>
      </c>
      <c r="F3218" t="s">
        <v>37</v>
      </c>
      <c r="G3218" t="s">
        <v>15</v>
      </c>
      <c r="H3218" t="s">
        <v>16</v>
      </c>
      <c r="I3218">
        <v>0</v>
      </c>
      <c r="J3218" s="23">
        <v>-6072</v>
      </c>
      <c r="K3218" t="s">
        <v>17</v>
      </c>
    </row>
    <row r="3219" spans="1:11" ht="15" customHeight="1" x14ac:dyDescent="0.3">
      <c r="A3219" t="s">
        <v>22</v>
      </c>
      <c r="B3219" t="s">
        <v>19</v>
      </c>
      <c r="C3219" t="s">
        <v>12</v>
      </c>
      <c r="D3219" t="s">
        <v>20</v>
      </c>
      <c r="E3219">
        <v>10</v>
      </c>
      <c r="F3219"/>
      <c r="G3219" t="s">
        <v>15</v>
      </c>
      <c r="H3219" t="s">
        <v>32</v>
      </c>
      <c r="I3219">
        <v>1</v>
      </c>
      <c r="J3219" s="23">
        <v>-48951</v>
      </c>
      <c r="K3219" t="s">
        <v>17</v>
      </c>
    </row>
    <row r="3220" spans="1:11" ht="15" customHeight="1" x14ac:dyDescent="0.3">
      <c r="A3220" t="s">
        <v>18</v>
      </c>
      <c r="B3220" t="s">
        <v>19</v>
      </c>
      <c r="C3220" t="s">
        <v>12</v>
      </c>
      <c r="D3220" t="s">
        <v>20</v>
      </c>
      <c r="E3220">
        <v>3</v>
      </c>
      <c r="F3220"/>
      <c r="G3220" t="s">
        <v>15</v>
      </c>
      <c r="H3220" t="s">
        <v>32</v>
      </c>
      <c r="I3220">
        <v>1</v>
      </c>
      <c r="J3220" s="23">
        <v>-199</v>
      </c>
      <c r="K3220" t="s">
        <v>17</v>
      </c>
    </row>
    <row r="3221" spans="1:11" ht="15" customHeight="1" x14ac:dyDescent="0.3">
      <c r="A3221" t="s">
        <v>18</v>
      </c>
      <c r="B3221" t="s">
        <v>11</v>
      </c>
      <c r="C3221" t="s">
        <v>12</v>
      </c>
      <c r="D3221" t="s">
        <v>28</v>
      </c>
      <c r="E3221">
        <v>12</v>
      </c>
      <c r="F3221" t="s">
        <v>29</v>
      </c>
      <c r="G3221" t="s">
        <v>15</v>
      </c>
      <c r="H3221" t="s">
        <v>16</v>
      </c>
      <c r="I3221">
        <v>0</v>
      </c>
      <c r="J3221" s="23">
        <v>-3362</v>
      </c>
      <c r="K3221" t="s">
        <v>17</v>
      </c>
    </row>
    <row r="3222" spans="1:11" ht="15" customHeight="1" x14ac:dyDescent="0.3">
      <c r="A3222" t="s">
        <v>10</v>
      </c>
      <c r="B3222" t="s">
        <v>11</v>
      </c>
      <c r="C3222" t="s">
        <v>12</v>
      </c>
      <c r="D3222" t="s">
        <v>25</v>
      </c>
      <c r="E3222">
        <v>6</v>
      </c>
      <c r="F3222" t="s">
        <v>29</v>
      </c>
      <c r="G3222" t="s">
        <v>15</v>
      </c>
      <c r="H3222" t="s">
        <v>16</v>
      </c>
      <c r="I3222">
        <v>0</v>
      </c>
      <c r="J3222" s="23">
        <v>-27885</v>
      </c>
      <c r="K3222" t="s">
        <v>17</v>
      </c>
    </row>
    <row r="3223" spans="1:11" ht="15" customHeight="1" x14ac:dyDescent="0.3">
      <c r="A3223" t="s">
        <v>22</v>
      </c>
      <c r="B3223" t="s">
        <v>11</v>
      </c>
      <c r="C3223" t="s">
        <v>12</v>
      </c>
      <c r="D3223" t="s">
        <v>13</v>
      </c>
      <c r="E3223">
        <v>5</v>
      </c>
      <c r="F3223" t="s">
        <v>45</v>
      </c>
      <c r="G3223" t="s">
        <v>15</v>
      </c>
      <c r="H3223" t="s">
        <v>16</v>
      </c>
      <c r="I3223">
        <v>0</v>
      </c>
      <c r="J3223" s="23">
        <v>-11390</v>
      </c>
      <c r="K3223" t="s">
        <v>17</v>
      </c>
    </row>
    <row r="3224" spans="1:11" ht="15" customHeight="1" x14ac:dyDescent="0.3">
      <c r="A3224" t="s">
        <v>10</v>
      </c>
      <c r="B3224" t="s">
        <v>11</v>
      </c>
      <c r="C3224" t="s">
        <v>12</v>
      </c>
      <c r="D3224" t="s">
        <v>28</v>
      </c>
      <c r="E3224">
        <v>8</v>
      </c>
      <c r="F3224" t="s">
        <v>14</v>
      </c>
      <c r="G3224" t="s">
        <v>15</v>
      </c>
      <c r="H3224" t="s">
        <v>16</v>
      </c>
      <c r="I3224">
        <v>0</v>
      </c>
      <c r="J3224" s="23">
        <v>-62397</v>
      </c>
      <c r="K3224" t="s">
        <v>17</v>
      </c>
    </row>
    <row r="3225" spans="1:11" ht="15" customHeight="1" x14ac:dyDescent="0.3">
      <c r="A3225" t="s">
        <v>22</v>
      </c>
      <c r="B3225" t="s">
        <v>11</v>
      </c>
      <c r="C3225" t="s">
        <v>24</v>
      </c>
      <c r="D3225" t="s">
        <v>28</v>
      </c>
      <c r="E3225">
        <v>-1</v>
      </c>
      <c r="F3225" t="s">
        <v>21</v>
      </c>
      <c r="G3225" t="s">
        <v>15</v>
      </c>
      <c r="H3225" t="s">
        <v>16</v>
      </c>
      <c r="I3225">
        <v>0</v>
      </c>
      <c r="J3225" s="23">
        <v>4507</v>
      </c>
      <c r="K3225" t="s">
        <v>17</v>
      </c>
    </row>
    <row r="3226" spans="1:11" ht="15" customHeight="1" x14ac:dyDescent="0.3">
      <c r="A3226" t="s">
        <v>22</v>
      </c>
      <c r="B3226" t="s">
        <v>11</v>
      </c>
      <c r="C3226" t="s">
        <v>12</v>
      </c>
      <c r="D3226" t="s">
        <v>13</v>
      </c>
      <c r="E3226">
        <v>3</v>
      </c>
      <c r="F3226" t="s">
        <v>37</v>
      </c>
      <c r="G3226" t="s">
        <v>15</v>
      </c>
      <c r="H3226" t="s">
        <v>16</v>
      </c>
      <c r="I3226">
        <v>0</v>
      </c>
      <c r="J3226" s="23">
        <v>-58665</v>
      </c>
      <c r="K3226" t="s">
        <v>17</v>
      </c>
    </row>
    <row r="3227" spans="1:11" ht="15" customHeight="1" x14ac:dyDescent="0.3">
      <c r="A3227" t="s">
        <v>18</v>
      </c>
      <c r="B3227" t="s">
        <v>19</v>
      </c>
      <c r="C3227" t="s">
        <v>24</v>
      </c>
      <c r="D3227" t="s">
        <v>20</v>
      </c>
      <c r="E3227">
        <v>13</v>
      </c>
      <c r="F3227"/>
      <c r="G3227" t="s">
        <v>15</v>
      </c>
      <c r="H3227" t="s">
        <v>16</v>
      </c>
      <c r="I3227">
        <v>0</v>
      </c>
      <c r="J3227" s="23">
        <v>201537713</v>
      </c>
      <c r="K3227">
        <v>2619990269</v>
      </c>
    </row>
    <row r="3228" spans="1:11" ht="15" customHeight="1" x14ac:dyDescent="0.3">
      <c r="A3228" t="s">
        <v>18</v>
      </c>
      <c r="B3228" t="s">
        <v>11</v>
      </c>
      <c r="C3228" t="s">
        <v>12</v>
      </c>
      <c r="D3228" t="s">
        <v>25</v>
      </c>
      <c r="E3228">
        <v>5</v>
      </c>
      <c r="F3228" t="s">
        <v>38</v>
      </c>
      <c r="G3228" t="s">
        <v>15</v>
      </c>
      <c r="H3228" t="s">
        <v>16</v>
      </c>
      <c r="I3228">
        <v>0</v>
      </c>
      <c r="J3228" s="23">
        <v>-707</v>
      </c>
      <c r="K3228" t="s">
        <v>17</v>
      </c>
    </row>
    <row r="3229" spans="1:11" ht="15" customHeight="1" x14ac:dyDescent="0.3">
      <c r="A3229" t="s">
        <v>18</v>
      </c>
      <c r="B3229" t="s">
        <v>11</v>
      </c>
      <c r="C3229" t="s">
        <v>24</v>
      </c>
      <c r="D3229" t="s">
        <v>13</v>
      </c>
      <c r="E3229">
        <v>12</v>
      </c>
      <c r="F3229" t="s">
        <v>33</v>
      </c>
      <c r="G3229" t="s">
        <v>15</v>
      </c>
      <c r="H3229" t="s">
        <v>16</v>
      </c>
      <c r="I3229">
        <v>0</v>
      </c>
      <c r="J3229" s="23">
        <v>2752582</v>
      </c>
      <c r="K3229">
        <v>33030984</v>
      </c>
    </row>
    <row r="3230" spans="1:11" ht="15" customHeight="1" x14ac:dyDescent="0.3">
      <c r="A3230" t="s">
        <v>18</v>
      </c>
      <c r="B3230" t="s">
        <v>19</v>
      </c>
      <c r="C3230" t="s">
        <v>12</v>
      </c>
      <c r="D3230" t="s">
        <v>20</v>
      </c>
      <c r="E3230">
        <v>30</v>
      </c>
      <c r="F3230"/>
      <c r="G3230" t="s">
        <v>31</v>
      </c>
      <c r="H3230" t="s">
        <v>16</v>
      </c>
      <c r="I3230">
        <v>1</v>
      </c>
      <c r="J3230" s="23">
        <v>-5352</v>
      </c>
      <c r="K3230" t="s">
        <v>17</v>
      </c>
    </row>
    <row r="3231" spans="1:11" ht="15" customHeight="1" x14ac:dyDescent="0.3">
      <c r="A3231" t="s">
        <v>10</v>
      </c>
      <c r="B3231" t="s">
        <v>11</v>
      </c>
      <c r="C3231" t="s">
        <v>12</v>
      </c>
      <c r="D3231" t="s">
        <v>13</v>
      </c>
      <c r="E3231">
        <v>0</v>
      </c>
      <c r="F3231" t="s">
        <v>26</v>
      </c>
      <c r="G3231" t="s">
        <v>15</v>
      </c>
      <c r="H3231" t="s">
        <v>16</v>
      </c>
      <c r="I3231">
        <v>0</v>
      </c>
      <c r="J3231" s="23">
        <v>-46981</v>
      </c>
      <c r="K3231" t="s">
        <v>17</v>
      </c>
    </row>
    <row r="3232" spans="1:11" ht="15" customHeight="1" x14ac:dyDescent="0.3">
      <c r="A3232" t="s">
        <v>10</v>
      </c>
      <c r="B3232" t="s">
        <v>11</v>
      </c>
      <c r="C3232" t="s">
        <v>12</v>
      </c>
      <c r="D3232" t="s">
        <v>25</v>
      </c>
      <c r="E3232">
        <v>0</v>
      </c>
      <c r="F3232" t="s">
        <v>23</v>
      </c>
      <c r="G3232" t="s">
        <v>15</v>
      </c>
      <c r="H3232" t="s">
        <v>16</v>
      </c>
      <c r="I3232">
        <v>0</v>
      </c>
      <c r="J3232" s="23">
        <v>-73</v>
      </c>
      <c r="K3232" t="s">
        <v>17</v>
      </c>
    </row>
    <row r="3233" spans="1:11" ht="15" customHeight="1" x14ac:dyDescent="0.3">
      <c r="A3233" t="s">
        <v>18</v>
      </c>
      <c r="B3233" t="s">
        <v>19</v>
      </c>
      <c r="C3233" t="s">
        <v>12</v>
      </c>
      <c r="D3233" t="s">
        <v>28</v>
      </c>
      <c r="E3233">
        <v>31</v>
      </c>
      <c r="F3233"/>
      <c r="G3233" t="s">
        <v>31</v>
      </c>
      <c r="H3233" t="s">
        <v>16</v>
      </c>
      <c r="I3233">
        <v>1</v>
      </c>
      <c r="J3233" s="23">
        <v>-206</v>
      </c>
      <c r="K3233" t="s">
        <v>17</v>
      </c>
    </row>
    <row r="3234" spans="1:11" ht="15" customHeight="1" x14ac:dyDescent="0.3">
      <c r="A3234" t="s">
        <v>10</v>
      </c>
      <c r="B3234" t="s">
        <v>19</v>
      </c>
      <c r="C3234" t="s">
        <v>12</v>
      </c>
      <c r="D3234" t="s">
        <v>28</v>
      </c>
      <c r="E3234">
        <v>9</v>
      </c>
      <c r="F3234"/>
      <c r="G3234" t="s">
        <v>15</v>
      </c>
      <c r="H3234" t="s">
        <v>16</v>
      </c>
      <c r="I3234">
        <v>0</v>
      </c>
      <c r="J3234" s="23">
        <v>-24174</v>
      </c>
      <c r="K3234" t="s">
        <v>17</v>
      </c>
    </row>
    <row r="3235" spans="1:11" ht="15" customHeight="1" x14ac:dyDescent="0.3">
      <c r="A3235" t="s">
        <v>18</v>
      </c>
      <c r="B3235" t="s">
        <v>11</v>
      </c>
      <c r="C3235" t="s">
        <v>24</v>
      </c>
      <c r="D3235" t="s">
        <v>13</v>
      </c>
      <c r="E3235">
        <v>6</v>
      </c>
      <c r="F3235" t="s">
        <v>36</v>
      </c>
      <c r="G3235" t="s">
        <v>15</v>
      </c>
      <c r="H3235" t="s">
        <v>16</v>
      </c>
      <c r="I3235">
        <v>0</v>
      </c>
      <c r="J3235" s="23">
        <v>6473826</v>
      </c>
      <c r="K3235">
        <v>38842956</v>
      </c>
    </row>
    <row r="3236" spans="1:11" ht="15" customHeight="1" x14ac:dyDescent="0.3">
      <c r="A3236" t="s">
        <v>18</v>
      </c>
      <c r="B3236" t="s">
        <v>11</v>
      </c>
      <c r="C3236" t="s">
        <v>12</v>
      </c>
      <c r="D3236" t="s">
        <v>25</v>
      </c>
      <c r="E3236">
        <v>4</v>
      </c>
      <c r="F3236" t="s">
        <v>45</v>
      </c>
      <c r="G3236" t="s">
        <v>15</v>
      </c>
      <c r="H3236" t="s">
        <v>16</v>
      </c>
      <c r="I3236">
        <v>0</v>
      </c>
      <c r="J3236" s="23">
        <v>-342</v>
      </c>
      <c r="K3236" t="s">
        <v>17</v>
      </c>
    </row>
    <row r="3237" spans="1:11" ht="15" customHeight="1" x14ac:dyDescent="0.3">
      <c r="A3237" t="s">
        <v>22</v>
      </c>
      <c r="B3237" t="s">
        <v>11</v>
      </c>
      <c r="C3237" t="s">
        <v>12</v>
      </c>
      <c r="D3237" t="s">
        <v>28</v>
      </c>
      <c r="E3237">
        <v>11</v>
      </c>
      <c r="F3237" t="s">
        <v>21</v>
      </c>
      <c r="G3237" t="s">
        <v>15</v>
      </c>
      <c r="H3237" t="s">
        <v>16</v>
      </c>
      <c r="I3237">
        <v>0</v>
      </c>
      <c r="J3237" s="23">
        <v>-35256</v>
      </c>
      <c r="K3237" t="s">
        <v>17</v>
      </c>
    </row>
    <row r="3238" spans="1:11" ht="15" customHeight="1" x14ac:dyDescent="0.3">
      <c r="A3238" t="s">
        <v>10</v>
      </c>
      <c r="B3238" t="s">
        <v>11</v>
      </c>
      <c r="C3238" t="s">
        <v>12</v>
      </c>
      <c r="D3238" t="s">
        <v>25</v>
      </c>
      <c r="E3238">
        <v>6</v>
      </c>
      <c r="F3238" t="s">
        <v>27</v>
      </c>
      <c r="G3238" t="s">
        <v>15</v>
      </c>
      <c r="H3238" t="s">
        <v>16</v>
      </c>
      <c r="I3238">
        <v>0</v>
      </c>
      <c r="J3238" s="23">
        <v>-2949</v>
      </c>
      <c r="K3238" t="s">
        <v>17</v>
      </c>
    </row>
    <row r="3239" spans="1:11" ht="15" customHeight="1" x14ac:dyDescent="0.3">
      <c r="A3239" t="s">
        <v>18</v>
      </c>
      <c r="B3239" t="s">
        <v>11</v>
      </c>
      <c r="C3239" t="s">
        <v>24</v>
      </c>
      <c r="D3239" t="s">
        <v>13</v>
      </c>
      <c r="E3239">
        <v>2</v>
      </c>
      <c r="F3239" t="s">
        <v>34</v>
      </c>
      <c r="G3239" t="s">
        <v>15</v>
      </c>
      <c r="H3239" t="s">
        <v>16</v>
      </c>
      <c r="I3239">
        <v>0</v>
      </c>
      <c r="J3239" s="23">
        <v>85509486</v>
      </c>
      <c r="K3239">
        <v>171018972</v>
      </c>
    </row>
    <row r="3240" spans="1:11" ht="15" customHeight="1" x14ac:dyDescent="0.3">
      <c r="A3240" t="s">
        <v>18</v>
      </c>
      <c r="B3240" t="s">
        <v>11</v>
      </c>
      <c r="C3240" t="s">
        <v>12</v>
      </c>
      <c r="D3240" t="s">
        <v>25</v>
      </c>
      <c r="E3240">
        <v>2</v>
      </c>
      <c r="F3240" t="s">
        <v>30</v>
      </c>
      <c r="G3240" t="s">
        <v>15</v>
      </c>
      <c r="H3240" t="s">
        <v>16</v>
      </c>
      <c r="I3240">
        <v>0</v>
      </c>
      <c r="J3240" s="23">
        <v>-4329</v>
      </c>
      <c r="K3240" t="s">
        <v>17</v>
      </c>
    </row>
    <row r="3241" spans="1:11" ht="15" customHeight="1" x14ac:dyDescent="0.3">
      <c r="A3241" t="s">
        <v>18</v>
      </c>
      <c r="B3241" t="s">
        <v>19</v>
      </c>
      <c r="C3241" t="s">
        <v>12</v>
      </c>
      <c r="D3241" t="s">
        <v>20</v>
      </c>
      <c r="E3241">
        <v>37</v>
      </c>
      <c r="F3241"/>
      <c r="G3241" t="s">
        <v>31</v>
      </c>
      <c r="H3241" t="s">
        <v>16</v>
      </c>
      <c r="I3241">
        <v>1</v>
      </c>
      <c r="J3241" s="23">
        <v>-12823</v>
      </c>
      <c r="K3241" t="s">
        <v>17</v>
      </c>
    </row>
    <row r="3242" spans="1:11" ht="15" customHeight="1" x14ac:dyDescent="0.3">
      <c r="A3242" t="s">
        <v>10</v>
      </c>
      <c r="B3242" t="s">
        <v>11</v>
      </c>
      <c r="C3242" t="s">
        <v>12</v>
      </c>
      <c r="D3242" t="s">
        <v>28</v>
      </c>
      <c r="E3242">
        <v>1</v>
      </c>
      <c r="F3242" t="s">
        <v>21</v>
      </c>
      <c r="G3242" t="s">
        <v>15</v>
      </c>
      <c r="H3242" t="s">
        <v>16</v>
      </c>
      <c r="I3242">
        <v>0</v>
      </c>
      <c r="J3242" s="23">
        <v>-1728</v>
      </c>
      <c r="K3242" t="s">
        <v>17</v>
      </c>
    </row>
    <row r="3243" spans="1:11" ht="15" customHeight="1" x14ac:dyDescent="0.3">
      <c r="A3243" t="s">
        <v>18</v>
      </c>
      <c r="B3243" t="s">
        <v>11</v>
      </c>
      <c r="C3243" t="s">
        <v>24</v>
      </c>
      <c r="D3243" t="s">
        <v>13</v>
      </c>
      <c r="E3243">
        <v>3</v>
      </c>
      <c r="F3243" t="s">
        <v>14</v>
      </c>
      <c r="G3243" t="s">
        <v>15</v>
      </c>
      <c r="H3243" t="s">
        <v>16</v>
      </c>
      <c r="I3243">
        <v>0</v>
      </c>
      <c r="J3243" s="23">
        <v>9458195</v>
      </c>
      <c r="K3243">
        <v>28374585</v>
      </c>
    </row>
    <row r="3244" spans="1:11" ht="15" customHeight="1" x14ac:dyDescent="0.3">
      <c r="A3244" t="s">
        <v>22</v>
      </c>
      <c r="B3244" t="s">
        <v>11</v>
      </c>
      <c r="C3244" t="s">
        <v>12</v>
      </c>
      <c r="D3244" t="s">
        <v>13</v>
      </c>
      <c r="E3244">
        <v>3</v>
      </c>
      <c r="F3244" t="s">
        <v>41</v>
      </c>
      <c r="G3244" t="s">
        <v>15</v>
      </c>
      <c r="H3244" t="s">
        <v>16</v>
      </c>
      <c r="I3244">
        <v>0</v>
      </c>
      <c r="J3244" s="23">
        <v>-261098</v>
      </c>
      <c r="K3244" t="s">
        <v>17</v>
      </c>
    </row>
    <row r="3245" spans="1:11" ht="15" customHeight="1" x14ac:dyDescent="0.3">
      <c r="A3245" t="s">
        <v>18</v>
      </c>
      <c r="B3245" t="s">
        <v>44</v>
      </c>
      <c r="C3245" t="s">
        <v>12</v>
      </c>
      <c r="D3245" t="s">
        <v>28</v>
      </c>
      <c r="E3245">
        <v>14</v>
      </c>
      <c r="F3245" t="s">
        <v>38</v>
      </c>
      <c r="G3245" t="s">
        <v>15</v>
      </c>
      <c r="H3245" t="s">
        <v>16</v>
      </c>
      <c r="I3245">
        <v>0</v>
      </c>
      <c r="J3245" s="23">
        <v>-2247</v>
      </c>
      <c r="K3245" t="s">
        <v>17</v>
      </c>
    </row>
    <row r="3246" spans="1:11" ht="15" customHeight="1" x14ac:dyDescent="0.3">
      <c r="A3246" t="s">
        <v>18</v>
      </c>
      <c r="B3246" t="s">
        <v>11</v>
      </c>
      <c r="C3246" t="s">
        <v>24</v>
      </c>
      <c r="D3246" t="s">
        <v>25</v>
      </c>
      <c r="E3246">
        <v>1</v>
      </c>
      <c r="F3246" t="s">
        <v>23</v>
      </c>
      <c r="G3246" t="s">
        <v>15</v>
      </c>
      <c r="H3246" t="s">
        <v>16</v>
      </c>
      <c r="I3246">
        <v>0</v>
      </c>
      <c r="J3246" s="23">
        <v>3837126</v>
      </c>
      <c r="K3246">
        <v>3837126</v>
      </c>
    </row>
    <row r="3247" spans="1:11" ht="15" customHeight="1" x14ac:dyDescent="0.3">
      <c r="A3247" t="s">
        <v>22</v>
      </c>
      <c r="B3247" t="s">
        <v>11</v>
      </c>
      <c r="C3247" t="s">
        <v>24</v>
      </c>
      <c r="D3247" t="s">
        <v>13</v>
      </c>
      <c r="E3247">
        <v>7</v>
      </c>
      <c r="F3247" t="s">
        <v>29</v>
      </c>
      <c r="G3247" t="s">
        <v>15</v>
      </c>
      <c r="H3247" t="s">
        <v>16</v>
      </c>
      <c r="I3247">
        <v>0</v>
      </c>
      <c r="J3247" s="23">
        <v>1726934</v>
      </c>
      <c r="K3247">
        <v>12088538</v>
      </c>
    </row>
    <row r="3248" spans="1:11" ht="15" customHeight="1" x14ac:dyDescent="0.3">
      <c r="A3248" t="s">
        <v>22</v>
      </c>
      <c r="B3248" t="s">
        <v>11</v>
      </c>
      <c r="C3248" t="s">
        <v>24</v>
      </c>
      <c r="D3248" t="s">
        <v>13</v>
      </c>
      <c r="E3248">
        <v>8</v>
      </c>
      <c r="F3248" t="s">
        <v>30</v>
      </c>
      <c r="G3248" t="s">
        <v>15</v>
      </c>
      <c r="H3248" t="s">
        <v>16</v>
      </c>
      <c r="I3248">
        <v>0</v>
      </c>
      <c r="J3248" s="23">
        <v>539849</v>
      </c>
      <c r="K3248">
        <v>4318792</v>
      </c>
    </row>
    <row r="3249" spans="1:11" ht="15" customHeight="1" x14ac:dyDescent="0.3">
      <c r="A3249" t="s">
        <v>18</v>
      </c>
      <c r="B3249" t="s">
        <v>11</v>
      </c>
      <c r="C3249" t="s">
        <v>24</v>
      </c>
      <c r="D3249" t="s">
        <v>28</v>
      </c>
      <c r="E3249">
        <v>8</v>
      </c>
      <c r="F3249" t="s">
        <v>38</v>
      </c>
      <c r="G3249" t="s">
        <v>15</v>
      </c>
      <c r="H3249" t="s">
        <v>16</v>
      </c>
      <c r="I3249">
        <v>0</v>
      </c>
      <c r="J3249" s="23">
        <v>133463</v>
      </c>
      <c r="K3249">
        <v>1067704</v>
      </c>
    </row>
    <row r="3250" spans="1:11" ht="15" customHeight="1" x14ac:dyDescent="0.3">
      <c r="A3250" t="s">
        <v>18</v>
      </c>
      <c r="B3250" t="s">
        <v>11</v>
      </c>
      <c r="C3250" t="s">
        <v>12</v>
      </c>
      <c r="D3250" t="s">
        <v>28</v>
      </c>
      <c r="E3250">
        <v>6</v>
      </c>
      <c r="F3250" t="s">
        <v>23</v>
      </c>
      <c r="G3250" t="s">
        <v>15</v>
      </c>
      <c r="H3250" t="s">
        <v>16</v>
      </c>
      <c r="I3250">
        <v>0</v>
      </c>
      <c r="J3250" s="23">
        <v>-25180</v>
      </c>
      <c r="K3250" t="s">
        <v>17</v>
      </c>
    </row>
    <row r="3251" spans="1:11" ht="15" customHeight="1" x14ac:dyDescent="0.3">
      <c r="A3251" t="s">
        <v>18</v>
      </c>
      <c r="B3251" t="s">
        <v>11</v>
      </c>
      <c r="C3251" t="s">
        <v>24</v>
      </c>
      <c r="D3251" t="s">
        <v>13</v>
      </c>
      <c r="E3251">
        <v>-1</v>
      </c>
      <c r="F3251" t="s">
        <v>27</v>
      </c>
      <c r="G3251" t="s">
        <v>15</v>
      </c>
      <c r="H3251" t="s">
        <v>16</v>
      </c>
      <c r="I3251">
        <v>0</v>
      </c>
      <c r="J3251" s="23">
        <v>3579735</v>
      </c>
      <c r="K3251" t="s">
        <v>17</v>
      </c>
    </row>
    <row r="3252" spans="1:11" ht="15" customHeight="1" x14ac:dyDescent="0.3">
      <c r="A3252" t="s">
        <v>10</v>
      </c>
      <c r="B3252" t="s">
        <v>11</v>
      </c>
      <c r="C3252" t="s">
        <v>24</v>
      </c>
      <c r="D3252" t="s">
        <v>13</v>
      </c>
      <c r="E3252">
        <v>-4</v>
      </c>
      <c r="F3252" t="s">
        <v>39</v>
      </c>
      <c r="G3252" t="s">
        <v>15</v>
      </c>
      <c r="H3252" t="s">
        <v>16</v>
      </c>
      <c r="I3252">
        <v>0</v>
      </c>
      <c r="J3252" s="23">
        <v>3520</v>
      </c>
      <c r="K3252" t="s">
        <v>17</v>
      </c>
    </row>
    <row r="3253" spans="1:11" ht="15" customHeight="1" x14ac:dyDescent="0.3">
      <c r="A3253" t="s">
        <v>22</v>
      </c>
      <c r="B3253" t="s">
        <v>11</v>
      </c>
      <c r="C3253" t="s">
        <v>24</v>
      </c>
      <c r="D3253" t="s">
        <v>13</v>
      </c>
      <c r="E3253">
        <v>0</v>
      </c>
      <c r="F3253" t="s">
        <v>39</v>
      </c>
      <c r="G3253" t="s">
        <v>15</v>
      </c>
      <c r="H3253" t="s">
        <v>16</v>
      </c>
      <c r="I3253">
        <v>0</v>
      </c>
      <c r="J3253" s="23">
        <v>13591</v>
      </c>
      <c r="K3253" t="s">
        <v>17</v>
      </c>
    </row>
    <row r="3254" spans="1:11" ht="15" customHeight="1" x14ac:dyDescent="0.3">
      <c r="A3254" t="s">
        <v>22</v>
      </c>
      <c r="B3254" t="s">
        <v>11</v>
      </c>
      <c r="C3254" t="s">
        <v>24</v>
      </c>
      <c r="D3254" t="s">
        <v>13</v>
      </c>
      <c r="E3254">
        <v>2</v>
      </c>
      <c r="F3254" t="s">
        <v>27</v>
      </c>
      <c r="G3254" t="s">
        <v>15</v>
      </c>
      <c r="H3254" t="s">
        <v>16</v>
      </c>
      <c r="I3254">
        <v>0</v>
      </c>
      <c r="J3254" s="23">
        <v>221182</v>
      </c>
      <c r="K3254">
        <v>442364</v>
      </c>
    </row>
    <row r="3255" spans="1:11" ht="15" customHeight="1" x14ac:dyDescent="0.3">
      <c r="A3255" t="s">
        <v>10</v>
      </c>
      <c r="B3255" t="s">
        <v>11</v>
      </c>
      <c r="C3255" t="s">
        <v>24</v>
      </c>
      <c r="D3255" t="s">
        <v>25</v>
      </c>
      <c r="E3255">
        <v>2</v>
      </c>
      <c r="F3255" t="s">
        <v>35</v>
      </c>
      <c r="G3255" t="s">
        <v>15</v>
      </c>
      <c r="H3255" t="s">
        <v>16</v>
      </c>
      <c r="I3255">
        <v>0</v>
      </c>
      <c r="J3255" s="23">
        <v>64419</v>
      </c>
      <c r="K3255">
        <v>128838</v>
      </c>
    </row>
    <row r="3256" spans="1:11" ht="15" customHeight="1" x14ac:dyDescent="0.3">
      <c r="A3256" t="s">
        <v>18</v>
      </c>
      <c r="B3256" t="s">
        <v>19</v>
      </c>
      <c r="C3256" t="s">
        <v>24</v>
      </c>
      <c r="D3256" t="s">
        <v>20</v>
      </c>
      <c r="E3256">
        <v>30</v>
      </c>
      <c r="F3256"/>
      <c r="G3256" t="s">
        <v>15</v>
      </c>
      <c r="H3256" t="s">
        <v>32</v>
      </c>
      <c r="I3256">
        <v>1</v>
      </c>
      <c r="J3256" s="23">
        <v>2555247</v>
      </c>
      <c r="K3256">
        <v>76657410</v>
      </c>
    </row>
    <row r="3257" spans="1:11" ht="15" customHeight="1" x14ac:dyDescent="0.3">
      <c r="A3257" t="s">
        <v>10</v>
      </c>
      <c r="B3257" t="s">
        <v>11</v>
      </c>
      <c r="C3257" t="s">
        <v>12</v>
      </c>
      <c r="D3257" t="s">
        <v>13</v>
      </c>
      <c r="E3257">
        <v>7</v>
      </c>
      <c r="F3257" t="s">
        <v>37</v>
      </c>
      <c r="G3257" t="s">
        <v>15</v>
      </c>
      <c r="H3257" t="s">
        <v>16</v>
      </c>
      <c r="I3257">
        <v>0</v>
      </c>
      <c r="J3257" s="23">
        <v>-756</v>
      </c>
      <c r="K3257" t="s">
        <v>17</v>
      </c>
    </row>
    <row r="3258" spans="1:11" ht="15" customHeight="1" x14ac:dyDescent="0.3">
      <c r="A3258" t="s">
        <v>22</v>
      </c>
      <c r="B3258" t="s">
        <v>11</v>
      </c>
      <c r="C3258" t="s">
        <v>12</v>
      </c>
      <c r="D3258" t="s">
        <v>28</v>
      </c>
      <c r="E3258">
        <v>-4</v>
      </c>
      <c r="F3258" t="s">
        <v>37</v>
      </c>
      <c r="G3258" t="s">
        <v>15</v>
      </c>
      <c r="H3258" t="s">
        <v>16</v>
      </c>
      <c r="I3258">
        <v>0</v>
      </c>
      <c r="J3258" s="23">
        <v>-2998</v>
      </c>
      <c r="K3258" t="s">
        <v>17</v>
      </c>
    </row>
    <row r="3259" spans="1:11" ht="15" customHeight="1" x14ac:dyDescent="0.3">
      <c r="A3259" t="s">
        <v>18</v>
      </c>
      <c r="B3259" t="s">
        <v>11</v>
      </c>
      <c r="C3259" t="s">
        <v>24</v>
      </c>
      <c r="D3259" t="s">
        <v>13</v>
      </c>
      <c r="E3259">
        <v>4</v>
      </c>
      <c r="F3259" t="s">
        <v>41</v>
      </c>
      <c r="G3259" t="s">
        <v>15</v>
      </c>
      <c r="H3259" t="s">
        <v>16</v>
      </c>
      <c r="I3259">
        <v>0</v>
      </c>
      <c r="J3259" s="23">
        <v>1183624</v>
      </c>
      <c r="K3259">
        <v>4734496</v>
      </c>
    </row>
    <row r="3260" spans="1:11" ht="15" customHeight="1" x14ac:dyDescent="0.3">
      <c r="A3260" t="s">
        <v>18</v>
      </c>
      <c r="B3260" t="s">
        <v>11</v>
      </c>
      <c r="C3260" t="s">
        <v>24</v>
      </c>
      <c r="D3260" t="s">
        <v>28</v>
      </c>
      <c r="E3260">
        <v>-1</v>
      </c>
      <c r="F3260" t="s">
        <v>42</v>
      </c>
      <c r="G3260" t="s">
        <v>15</v>
      </c>
      <c r="H3260" t="s">
        <v>16</v>
      </c>
      <c r="I3260">
        <v>0</v>
      </c>
      <c r="J3260" s="23">
        <v>200446</v>
      </c>
      <c r="K3260" t="s">
        <v>17</v>
      </c>
    </row>
    <row r="3261" spans="1:11" ht="15" customHeight="1" x14ac:dyDescent="0.3">
      <c r="A3261" t="s">
        <v>18</v>
      </c>
      <c r="B3261" t="s">
        <v>19</v>
      </c>
      <c r="C3261" t="s">
        <v>12</v>
      </c>
      <c r="D3261" t="s">
        <v>20</v>
      </c>
      <c r="E3261">
        <v>33</v>
      </c>
      <c r="F3261"/>
      <c r="G3261" t="s">
        <v>31</v>
      </c>
      <c r="H3261" t="s">
        <v>16</v>
      </c>
      <c r="I3261">
        <v>1</v>
      </c>
      <c r="J3261" s="23">
        <v>-8366</v>
      </c>
      <c r="K3261" t="s">
        <v>17</v>
      </c>
    </row>
    <row r="3262" spans="1:11" ht="15" customHeight="1" x14ac:dyDescent="0.3">
      <c r="A3262" t="s">
        <v>18</v>
      </c>
      <c r="B3262" t="s">
        <v>11</v>
      </c>
      <c r="C3262" t="s">
        <v>24</v>
      </c>
      <c r="D3262" t="s">
        <v>28</v>
      </c>
      <c r="E3262">
        <v>3</v>
      </c>
      <c r="F3262" t="s">
        <v>26</v>
      </c>
      <c r="G3262" t="s">
        <v>15</v>
      </c>
      <c r="H3262" t="s">
        <v>16</v>
      </c>
      <c r="I3262">
        <v>0</v>
      </c>
      <c r="J3262" s="23">
        <v>136850595</v>
      </c>
      <c r="K3262">
        <v>410551785</v>
      </c>
    </row>
    <row r="3263" spans="1:11" ht="15" customHeight="1" x14ac:dyDescent="0.3">
      <c r="A3263" t="s">
        <v>18</v>
      </c>
      <c r="B3263" t="s">
        <v>11</v>
      </c>
      <c r="C3263" t="s">
        <v>12</v>
      </c>
      <c r="D3263" t="s">
        <v>28</v>
      </c>
      <c r="E3263">
        <v>0</v>
      </c>
      <c r="F3263" t="s">
        <v>21</v>
      </c>
      <c r="G3263" t="s">
        <v>31</v>
      </c>
      <c r="H3263" t="s">
        <v>16</v>
      </c>
      <c r="I3263">
        <v>1</v>
      </c>
      <c r="J3263" s="23">
        <v>-139</v>
      </c>
      <c r="K3263" t="s">
        <v>17</v>
      </c>
    </row>
    <row r="3264" spans="1:11" ht="15" customHeight="1" x14ac:dyDescent="0.3">
      <c r="A3264" t="s">
        <v>22</v>
      </c>
      <c r="B3264" t="s">
        <v>11</v>
      </c>
      <c r="C3264" t="s">
        <v>24</v>
      </c>
      <c r="D3264" t="s">
        <v>13</v>
      </c>
      <c r="E3264">
        <v>1</v>
      </c>
      <c r="F3264" t="s">
        <v>30</v>
      </c>
      <c r="G3264" t="s">
        <v>15</v>
      </c>
      <c r="H3264" t="s">
        <v>16</v>
      </c>
      <c r="I3264">
        <v>0</v>
      </c>
      <c r="J3264" s="23">
        <v>2393687</v>
      </c>
      <c r="K3264">
        <v>2393687</v>
      </c>
    </row>
    <row r="3265" spans="1:11" ht="15" customHeight="1" x14ac:dyDescent="0.3">
      <c r="A3265" t="s">
        <v>18</v>
      </c>
      <c r="B3265" t="s">
        <v>11</v>
      </c>
      <c r="C3265" t="s">
        <v>12</v>
      </c>
      <c r="D3265" t="s">
        <v>28</v>
      </c>
      <c r="E3265">
        <v>6</v>
      </c>
      <c r="F3265" t="s">
        <v>21</v>
      </c>
      <c r="G3265" t="s">
        <v>31</v>
      </c>
      <c r="H3265" t="s">
        <v>32</v>
      </c>
      <c r="I3265">
        <v>1</v>
      </c>
      <c r="J3265" s="23">
        <v>-88</v>
      </c>
      <c r="K3265" t="s">
        <v>17</v>
      </c>
    </row>
    <row r="3266" spans="1:11" ht="15" customHeight="1" x14ac:dyDescent="0.3">
      <c r="A3266" t="s">
        <v>18</v>
      </c>
      <c r="B3266" t="s">
        <v>11</v>
      </c>
      <c r="C3266" t="s">
        <v>12</v>
      </c>
      <c r="D3266" t="s">
        <v>28</v>
      </c>
      <c r="E3266">
        <v>0</v>
      </c>
      <c r="F3266" t="s">
        <v>37</v>
      </c>
      <c r="G3266" t="s">
        <v>15</v>
      </c>
      <c r="H3266" t="s">
        <v>16</v>
      </c>
      <c r="I3266">
        <v>0</v>
      </c>
      <c r="J3266" s="23">
        <v>-5</v>
      </c>
      <c r="K3266" t="s">
        <v>17</v>
      </c>
    </row>
    <row r="3267" spans="1:11" ht="15" customHeight="1" x14ac:dyDescent="0.3">
      <c r="A3267" t="s">
        <v>18</v>
      </c>
      <c r="B3267" t="s">
        <v>11</v>
      </c>
      <c r="C3267" t="s">
        <v>24</v>
      </c>
      <c r="D3267" t="s">
        <v>28</v>
      </c>
      <c r="E3267">
        <v>14</v>
      </c>
      <c r="F3267" t="s">
        <v>27</v>
      </c>
      <c r="G3267" t="s">
        <v>15</v>
      </c>
      <c r="H3267" t="s">
        <v>16</v>
      </c>
      <c r="I3267">
        <v>0</v>
      </c>
      <c r="J3267" s="23">
        <v>264962</v>
      </c>
      <c r="K3267">
        <v>3709468</v>
      </c>
    </row>
    <row r="3268" spans="1:11" ht="15" customHeight="1" x14ac:dyDescent="0.3">
      <c r="A3268" t="s">
        <v>10</v>
      </c>
      <c r="B3268" t="s">
        <v>11</v>
      </c>
      <c r="C3268" t="s">
        <v>12</v>
      </c>
      <c r="D3268" t="s">
        <v>28</v>
      </c>
      <c r="E3268">
        <v>14</v>
      </c>
      <c r="F3268" t="s">
        <v>29</v>
      </c>
      <c r="G3268" t="s">
        <v>15</v>
      </c>
      <c r="H3268" t="s">
        <v>16</v>
      </c>
      <c r="I3268">
        <v>0</v>
      </c>
      <c r="J3268" s="23">
        <v>-4774</v>
      </c>
      <c r="K3268" t="s">
        <v>17</v>
      </c>
    </row>
    <row r="3269" spans="1:11" ht="15" customHeight="1" x14ac:dyDescent="0.3">
      <c r="A3269" t="s">
        <v>18</v>
      </c>
      <c r="B3269" t="s">
        <v>19</v>
      </c>
      <c r="C3269" t="s">
        <v>12</v>
      </c>
      <c r="D3269" t="s">
        <v>20</v>
      </c>
      <c r="E3269">
        <v>43</v>
      </c>
      <c r="F3269"/>
      <c r="G3269" t="s">
        <v>31</v>
      </c>
      <c r="H3269" t="s">
        <v>16</v>
      </c>
      <c r="I3269">
        <v>1</v>
      </c>
      <c r="J3269" s="23">
        <v>-242</v>
      </c>
      <c r="K3269" t="s">
        <v>17</v>
      </c>
    </row>
    <row r="3270" spans="1:11" ht="15" customHeight="1" x14ac:dyDescent="0.3">
      <c r="A3270" t="s">
        <v>18</v>
      </c>
      <c r="B3270" t="s">
        <v>19</v>
      </c>
      <c r="C3270" t="s">
        <v>24</v>
      </c>
      <c r="D3270" t="s">
        <v>20</v>
      </c>
      <c r="E3270">
        <v>41</v>
      </c>
      <c r="F3270"/>
      <c r="G3270" t="s">
        <v>15</v>
      </c>
      <c r="H3270" t="s">
        <v>16</v>
      </c>
      <c r="I3270">
        <v>0</v>
      </c>
      <c r="J3270" s="23">
        <v>28862302</v>
      </c>
      <c r="K3270">
        <v>1183354382</v>
      </c>
    </row>
    <row r="3271" spans="1:11" ht="15" customHeight="1" x14ac:dyDescent="0.3">
      <c r="A3271" t="s">
        <v>10</v>
      </c>
      <c r="B3271" t="s">
        <v>11</v>
      </c>
      <c r="C3271" t="s">
        <v>24</v>
      </c>
      <c r="D3271" t="s">
        <v>28</v>
      </c>
      <c r="E3271">
        <v>19</v>
      </c>
      <c r="F3271" t="s">
        <v>23</v>
      </c>
      <c r="G3271" t="s">
        <v>15</v>
      </c>
      <c r="H3271" t="s">
        <v>16</v>
      </c>
      <c r="I3271">
        <v>0</v>
      </c>
      <c r="J3271" s="23">
        <v>280234</v>
      </c>
      <c r="K3271">
        <v>5324446</v>
      </c>
    </row>
    <row r="3272" spans="1:11" ht="15" customHeight="1" x14ac:dyDescent="0.3">
      <c r="A3272" t="s">
        <v>18</v>
      </c>
      <c r="B3272" t="s">
        <v>11</v>
      </c>
      <c r="C3272" t="s">
        <v>12</v>
      </c>
      <c r="D3272" t="s">
        <v>28</v>
      </c>
      <c r="E3272">
        <v>5</v>
      </c>
      <c r="F3272" t="s">
        <v>38</v>
      </c>
      <c r="G3272" t="s">
        <v>15</v>
      </c>
      <c r="H3272" t="s">
        <v>16</v>
      </c>
      <c r="I3272">
        <v>0</v>
      </c>
      <c r="J3272" s="23">
        <v>-12415</v>
      </c>
      <c r="K3272" t="s">
        <v>17</v>
      </c>
    </row>
    <row r="3273" spans="1:11" ht="15" customHeight="1" x14ac:dyDescent="0.3">
      <c r="A3273" t="s">
        <v>10</v>
      </c>
      <c r="B3273" t="s">
        <v>19</v>
      </c>
      <c r="C3273" t="s">
        <v>12</v>
      </c>
      <c r="D3273" t="s">
        <v>28</v>
      </c>
      <c r="E3273">
        <v>6</v>
      </c>
      <c r="F3273"/>
      <c r="G3273" t="s">
        <v>31</v>
      </c>
      <c r="H3273" t="s">
        <v>16</v>
      </c>
      <c r="I3273">
        <v>1</v>
      </c>
      <c r="J3273" s="23">
        <v>-628</v>
      </c>
      <c r="K3273" t="s">
        <v>17</v>
      </c>
    </row>
    <row r="3274" spans="1:11" ht="15" customHeight="1" x14ac:dyDescent="0.3">
      <c r="A3274" t="s">
        <v>18</v>
      </c>
      <c r="B3274" t="s">
        <v>11</v>
      </c>
      <c r="C3274" t="s">
        <v>12</v>
      </c>
      <c r="D3274" t="s">
        <v>28</v>
      </c>
      <c r="E3274">
        <v>16</v>
      </c>
      <c r="F3274" t="s">
        <v>34</v>
      </c>
      <c r="G3274" t="s">
        <v>15</v>
      </c>
      <c r="H3274" t="s">
        <v>16</v>
      </c>
      <c r="I3274">
        <v>0</v>
      </c>
      <c r="J3274" s="23">
        <v>-2369</v>
      </c>
      <c r="K3274" t="s">
        <v>17</v>
      </c>
    </row>
    <row r="3275" spans="1:11" ht="15" customHeight="1" x14ac:dyDescent="0.3">
      <c r="A3275" t="s">
        <v>18</v>
      </c>
      <c r="B3275" t="s">
        <v>11</v>
      </c>
      <c r="C3275" t="s">
        <v>12</v>
      </c>
      <c r="D3275" t="s">
        <v>28</v>
      </c>
      <c r="E3275">
        <v>13</v>
      </c>
      <c r="F3275" t="s">
        <v>29</v>
      </c>
      <c r="G3275" t="s">
        <v>15</v>
      </c>
      <c r="H3275" t="s">
        <v>32</v>
      </c>
      <c r="I3275">
        <v>1</v>
      </c>
      <c r="J3275" s="23">
        <v>-1557</v>
      </c>
      <c r="K3275" t="s">
        <v>17</v>
      </c>
    </row>
    <row r="3276" spans="1:11" ht="15" customHeight="1" x14ac:dyDescent="0.3">
      <c r="A3276" t="s">
        <v>18</v>
      </c>
      <c r="B3276" t="s">
        <v>11</v>
      </c>
      <c r="C3276" t="s">
        <v>12</v>
      </c>
      <c r="D3276" t="s">
        <v>13</v>
      </c>
      <c r="E3276">
        <v>-4</v>
      </c>
      <c r="F3276" t="s">
        <v>29</v>
      </c>
      <c r="G3276" t="s">
        <v>15</v>
      </c>
      <c r="H3276" t="s">
        <v>16</v>
      </c>
      <c r="I3276">
        <v>0</v>
      </c>
      <c r="J3276" s="23">
        <v>-1088</v>
      </c>
      <c r="K3276" t="s">
        <v>17</v>
      </c>
    </row>
    <row r="3277" spans="1:11" ht="15" customHeight="1" x14ac:dyDescent="0.3">
      <c r="A3277" t="s">
        <v>10</v>
      </c>
      <c r="B3277" t="s">
        <v>19</v>
      </c>
      <c r="C3277" t="s">
        <v>24</v>
      </c>
      <c r="D3277" t="s">
        <v>20</v>
      </c>
      <c r="E3277">
        <v>43</v>
      </c>
      <c r="F3277"/>
      <c r="G3277" t="s">
        <v>15</v>
      </c>
      <c r="H3277" t="s">
        <v>16</v>
      </c>
      <c r="I3277">
        <v>0</v>
      </c>
      <c r="J3277" s="23">
        <v>1890061</v>
      </c>
      <c r="K3277">
        <v>81272623</v>
      </c>
    </row>
    <row r="3278" spans="1:11" ht="15" customHeight="1" x14ac:dyDescent="0.3">
      <c r="A3278" t="s">
        <v>10</v>
      </c>
      <c r="B3278" t="s">
        <v>19</v>
      </c>
      <c r="C3278" t="s">
        <v>24</v>
      </c>
      <c r="D3278" t="s">
        <v>20</v>
      </c>
      <c r="E3278">
        <v>6</v>
      </c>
      <c r="F3278"/>
      <c r="G3278" t="s">
        <v>31</v>
      </c>
      <c r="H3278" t="s">
        <v>16</v>
      </c>
      <c r="I3278">
        <v>1</v>
      </c>
      <c r="J3278" s="23">
        <v>234736</v>
      </c>
      <c r="K3278">
        <v>1408416</v>
      </c>
    </row>
    <row r="3279" spans="1:11" ht="15" customHeight="1" x14ac:dyDescent="0.3">
      <c r="A3279" t="s">
        <v>22</v>
      </c>
      <c r="B3279" t="s">
        <v>11</v>
      </c>
      <c r="C3279" t="s">
        <v>12</v>
      </c>
      <c r="D3279" t="s">
        <v>25</v>
      </c>
      <c r="E3279">
        <v>0</v>
      </c>
      <c r="F3279" t="s">
        <v>39</v>
      </c>
      <c r="G3279" t="s">
        <v>15</v>
      </c>
      <c r="H3279" t="s">
        <v>16</v>
      </c>
      <c r="I3279">
        <v>0</v>
      </c>
      <c r="J3279" s="23">
        <v>-15992</v>
      </c>
      <c r="K3279" t="s">
        <v>17</v>
      </c>
    </row>
    <row r="3280" spans="1:11" ht="15" customHeight="1" x14ac:dyDescent="0.3">
      <c r="A3280" t="s">
        <v>10</v>
      </c>
      <c r="B3280" t="s">
        <v>11</v>
      </c>
      <c r="C3280" t="s">
        <v>24</v>
      </c>
      <c r="D3280" t="s">
        <v>13</v>
      </c>
      <c r="E3280">
        <v>6</v>
      </c>
      <c r="F3280" t="s">
        <v>37</v>
      </c>
      <c r="G3280" t="s">
        <v>15</v>
      </c>
      <c r="H3280" t="s">
        <v>16</v>
      </c>
      <c r="I3280">
        <v>0</v>
      </c>
      <c r="J3280" s="23">
        <v>25691</v>
      </c>
      <c r="K3280">
        <v>154146</v>
      </c>
    </row>
    <row r="3281" spans="1:11" ht="15" customHeight="1" x14ac:dyDescent="0.3">
      <c r="A3281" t="s">
        <v>22</v>
      </c>
      <c r="B3281" t="s">
        <v>11</v>
      </c>
      <c r="C3281" t="s">
        <v>24</v>
      </c>
      <c r="D3281" t="s">
        <v>13</v>
      </c>
      <c r="E3281">
        <v>1</v>
      </c>
      <c r="F3281" t="s">
        <v>27</v>
      </c>
      <c r="G3281" t="s">
        <v>15</v>
      </c>
      <c r="H3281" t="s">
        <v>16</v>
      </c>
      <c r="I3281">
        <v>0</v>
      </c>
      <c r="J3281" s="23">
        <v>224973</v>
      </c>
      <c r="K3281">
        <v>224973</v>
      </c>
    </row>
    <row r="3282" spans="1:11" ht="15" customHeight="1" x14ac:dyDescent="0.3">
      <c r="A3282" t="s">
        <v>18</v>
      </c>
      <c r="B3282" t="s">
        <v>11</v>
      </c>
      <c r="C3282" t="s">
        <v>24</v>
      </c>
      <c r="D3282" t="s">
        <v>28</v>
      </c>
      <c r="E3282">
        <v>4</v>
      </c>
      <c r="F3282" t="s">
        <v>42</v>
      </c>
      <c r="G3282" t="s">
        <v>15</v>
      </c>
      <c r="H3282" t="s">
        <v>16</v>
      </c>
      <c r="I3282">
        <v>0</v>
      </c>
      <c r="J3282" s="23">
        <v>171322</v>
      </c>
      <c r="K3282">
        <v>685288</v>
      </c>
    </row>
    <row r="3283" spans="1:11" ht="15" customHeight="1" x14ac:dyDescent="0.3">
      <c r="A3283" t="s">
        <v>22</v>
      </c>
      <c r="B3283" t="s">
        <v>11</v>
      </c>
      <c r="C3283" t="s">
        <v>12</v>
      </c>
      <c r="D3283" t="s">
        <v>25</v>
      </c>
      <c r="E3283">
        <v>-4</v>
      </c>
      <c r="F3283" t="s">
        <v>35</v>
      </c>
      <c r="G3283" t="s">
        <v>15</v>
      </c>
      <c r="H3283" t="s">
        <v>16</v>
      </c>
      <c r="I3283">
        <v>0</v>
      </c>
      <c r="J3283" s="23">
        <v>-29846</v>
      </c>
      <c r="K3283" t="s">
        <v>17</v>
      </c>
    </row>
    <row r="3284" spans="1:11" ht="15" customHeight="1" x14ac:dyDescent="0.3">
      <c r="A3284" t="s">
        <v>18</v>
      </c>
      <c r="B3284" t="s">
        <v>11</v>
      </c>
      <c r="C3284" t="s">
        <v>24</v>
      </c>
      <c r="D3284" t="s">
        <v>25</v>
      </c>
      <c r="E3284">
        <v>7</v>
      </c>
      <c r="F3284" t="s">
        <v>40</v>
      </c>
      <c r="G3284" t="s">
        <v>15</v>
      </c>
      <c r="H3284" t="s">
        <v>16</v>
      </c>
      <c r="I3284">
        <v>0</v>
      </c>
      <c r="J3284" s="23">
        <v>2298173</v>
      </c>
      <c r="K3284">
        <v>16087211</v>
      </c>
    </row>
    <row r="3285" spans="1:11" ht="15" customHeight="1" x14ac:dyDescent="0.3">
      <c r="A3285" t="s">
        <v>18</v>
      </c>
      <c r="B3285" t="s">
        <v>11</v>
      </c>
      <c r="C3285" t="s">
        <v>24</v>
      </c>
      <c r="D3285" t="s">
        <v>25</v>
      </c>
      <c r="E3285">
        <v>2</v>
      </c>
      <c r="F3285" t="s">
        <v>27</v>
      </c>
      <c r="G3285" t="s">
        <v>15</v>
      </c>
      <c r="H3285" t="s">
        <v>16</v>
      </c>
      <c r="I3285">
        <v>0</v>
      </c>
      <c r="J3285" s="23">
        <v>254488</v>
      </c>
      <c r="K3285">
        <v>508976</v>
      </c>
    </row>
    <row r="3286" spans="1:11" ht="15" customHeight="1" x14ac:dyDescent="0.3">
      <c r="A3286" t="s">
        <v>10</v>
      </c>
      <c r="B3286" t="s">
        <v>11</v>
      </c>
      <c r="C3286" t="s">
        <v>24</v>
      </c>
      <c r="D3286" t="s">
        <v>25</v>
      </c>
      <c r="E3286">
        <v>1</v>
      </c>
      <c r="F3286" t="s">
        <v>42</v>
      </c>
      <c r="G3286" t="s">
        <v>15</v>
      </c>
      <c r="H3286" t="s">
        <v>16</v>
      </c>
      <c r="I3286">
        <v>0</v>
      </c>
      <c r="J3286" s="23">
        <v>25827</v>
      </c>
      <c r="K3286">
        <v>25827</v>
      </c>
    </row>
    <row r="3287" spans="1:11" ht="15" customHeight="1" x14ac:dyDescent="0.3">
      <c r="A3287" t="s">
        <v>22</v>
      </c>
      <c r="B3287" t="s">
        <v>11</v>
      </c>
      <c r="C3287" t="s">
        <v>24</v>
      </c>
      <c r="D3287" t="s">
        <v>28</v>
      </c>
      <c r="E3287">
        <v>5</v>
      </c>
      <c r="F3287" t="s">
        <v>21</v>
      </c>
      <c r="G3287" t="s">
        <v>15</v>
      </c>
      <c r="H3287" t="s">
        <v>16</v>
      </c>
      <c r="I3287">
        <v>0</v>
      </c>
      <c r="J3287" s="23">
        <v>295476</v>
      </c>
      <c r="K3287">
        <v>1477380</v>
      </c>
    </row>
    <row r="3288" spans="1:11" ht="15" customHeight="1" x14ac:dyDescent="0.3">
      <c r="A3288" t="s">
        <v>18</v>
      </c>
      <c r="B3288" t="s">
        <v>11</v>
      </c>
      <c r="C3288" t="s">
        <v>24</v>
      </c>
      <c r="D3288" t="s">
        <v>28</v>
      </c>
      <c r="E3288">
        <v>4</v>
      </c>
      <c r="F3288" t="s">
        <v>34</v>
      </c>
      <c r="G3288" t="s">
        <v>31</v>
      </c>
      <c r="H3288" t="s">
        <v>16</v>
      </c>
      <c r="I3288">
        <v>1</v>
      </c>
      <c r="J3288" s="23">
        <v>114877</v>
      </c>
      <c r="K3288">
        <v>459508</v>
      </c>
    </row>
    <row r="3289" spans="1:11" ht="15" customHeight="1" x14ac:dyDescent="0.3">
      <c r="A3289" t="s">
        <v>22</v>
      </c>
      <c r="B3289" t="s">
        <v>11</v>
      </c>
      <c r="C3289" t="s">
        <v>12</v>
      </c>
      <c r="D3289" t="s">
        <v>28</v>
      </c>
      <c r="E3289">
        <v>2</v>
      </c>
      <c r="F3289" t="s">
        <v>23</v>
      </c>
      <c r="G3289" t="s">
        <v>15</v>
      </c>
      <c r="H3289" t="s">
        <v>16</v>
      </c>
      <c r="I3289">
        <v>0</v>
      </c>
      <c r="J3289" s="23">
        <v>-186081</v>
      </c>
      <c r="K3289" t="s">
        <v>17</v>
      </c>
    </row>
    <row r="3290" spans="1:11" ht="15" customHeight="1" x14ac:dyDescent="0.3">
      <c r="A3290" t="s">
        <v>18</v>
      </c>
      <c r="B3290" t="s">
        <v>11</v>
      </c>
      <c r="C3290" t="s">
        <v>12</v>
      </c>
      <c r="D3290" t="s">
        <v>28</v>
      </c>
      <c r="E3290">
        <v>5</v>
      </c>
      <c r="F3290" t="s">
        <v>45</v>
      </c>
      <c r="G3290" t="s">
        <v>15</v>
      </c>
      <c r="H3290" t="s">
        <v>16</v>
      </c>
      <c r="I3290">
        <v>0</v>
      </c>
      <c r="J3290" s="23">
        <v>-729</v>
      </c>
      <c r="K3290" t="s">
        <v>17</v>
      </c>
    </row>
    <row r="3291" spans="1:11" ht="15" customHeight="1" x14ac:dyDescent="0.3">
      <c r="A3291" t="s">
        <v>10</v>
      </c>
      <c r="B3291" t="s">
        <v>11</v>
      </c>
      <c r="C3291" t="s">
        <v>12</v>
      </c>
      <c r="D3291" t="s">
        <v>13</v>
      </c>
      <c r="E3291">
        <v>3</v>
      </c>
      <c r="F3291" t="s">
        <v>27</v>
      </c>
      <c r="G3291" t="s">
        <v>15</v>
      </c>
      <c r="H3291" t="s">
        <v>16</v>
      </c>
      <c r="I3291">
        <v>0</v>
      </c>
      <c r="J3291" s="23">
        <v>-37559</v>
      </c>
      <c r="K3291" t="s">
        <v>17</v>
      </c>
    </row>
    <row r="3292" spans="1:11" ht="15" customHeight="1" x14ac:dyDescent="0.3">
      <c r="A3292"/>
      <c r="B3292" t="s">
        <v>11</v>
      </c>
      <c r="C3292" t="s">
        <v>24</v>
      </c>
      <c r="D3292" t="s">
        <v>17</v>
      </c>
      <c r="E3292">
        <v>-3</v>
      </c>
      <c r="F3292" t="s">
        <v>35</v>
      </c>
      <c r="G3292" t="s">
        <v>15</v>
      </c>
      <c r="H3292" t="s">
        <v>16</v>
      </c>
      <c r="I3292">
        <v>0</v>
      </c>
      <c r="J3292" s="23">
        <v>133078</v>
      </c>
      <c r="K3292" t="s">
        <v>17</v>
      </c>
    </row>
    <row r="3293" spans="1:11" ht="15" customHeight="1" x14ac:dyDescent="0.3">
      <c r="A3293" t="s">
        <v>18</v>
      </c>
      <c r="B3293" t="s">
        <v>11</v>
      </c>
      <c r="C3293" t="s">
        <v>24</v>
      </c>
      <c r="D3293" t="s">
        <v>28</v>
      </c>
      <c r="E3293">
        <v>12</v>
      </c>
      <c r="F3293" t="s">
        <v>29</v>
      </c>
      <c r="G3293" t="s">
        <v>15</v>
      </c>
      <c r="H3293" t="s">
        <v>16</v>
      </c>
      <c r="I3293">
        <v>0</v>
      </c>
      <c r="J3293" s="23">
        <v>1952308</v>
      </c>
      <c r="K3293">
        <v>23427696</v>
      </c>
    </row>
    <row r="3294" spans="1:11" ht="15" customHeight="1" x14ac:dyDescent="0.3">
      <c r="A3294" t="s">
        <v>18</v>
      </c>
      <c r="B3294" t="s">
        <v>11</v>
      </c>
      <c r="C3294" t="s">
        <v>24</v>
      </c>
      <c r="D3294" t="s">
        <v>28</v>
      </c>
      <c r="E3294">
        <v>12</v>
      </c>
      <c r="F3294" t="s">
        <v>29</v>
      </c>
      <c r="G3294" t="s">
        <v>15</v>
      </c>
      <c r="H3294" t="s">
        <v>32</v>
      </c>
      <c r="I3294">
        <v>1</v>
      </c>
      <c r="J3294" s="23">
        <v>2368360</v>
      </c>
      <c r="K3294">
        <v>28420320</v>
      </c>
    </row>
    <row r="3295" spans="1:11" ht="15" customHeight="1" x14ac:dyDescent="0.3">
      <c r="A3295" t="s">
        <v>18</v>
      </c>
      <c r="B3295" t="s">
        <v>11</v>
      </c>
      <c r="C3295" t="s">
        <v>24</v>
      </c>
      <c r="D3295" t="s">
        <v>25</v>
      </c>
      <c r="E3295">
        <v>2</v>
      </c>
      <c r="F3295" t="s">
        <v>30</v>
      </c>
      <c r="G3295" t="s">
        <v>15</v>
      </c>
      <c r="H3295" t="s">
        <v>16</v>
      </c>
      <c r="I3295">
        <v>0</v>
      </c>
      <c r="J3295" s="23">
        <v>2437828</v>
      </c>
      <c r="K3295">
        <v>4875656</v>
      </c>
    </row>
    <row r="3296" spans="1:11" ht="15" customHeight="1" x14ac:dyDescent="0.3">
      <c r="A3296" t="s">
        <v>10</v>
      </c>
      <c r="B3296" t="s">
        <v>19</v>
      </c>
      <c r="C3296" t="s">
        <v>12</v>
      </c>
      <c r="D3296" t="s">
        <v>20</v>
      </c>
      <c r="E3296">
        <v>19</v>
      </c>
      <c r="F3296"/>
      <c r="G3296" t="s">
        <v>31</v>
      </c>
      <c r="H3296" t="s">
        <v>16</v>
      </c>
      <c r="I3296">
        <v>1</v>
      </c>
      <c r="J3296" s="23">
        <v>-20930</v>
      </c>
      <c r="K3296" t="s">
        <v>17</v>
      </c>
    </row>
    <row r="3297" spans="1:11" ht="15" customHeight="1" x14ac:dyDescent="0.3">
      <c r="A3297" t="s">
        <v>18</v>
      </c>
      <c r="B3297" t="s">
        <v>11</v>
      </c>
      <c r="C3297" t="s">
        <v>12</v>
      </c>
      <c r="D3297" t="s">
        <v>28</v>
      </c>
      <c r="E3297">
        <v>7</v>
      </c>
      <c r="F3297" t="s">
        <v>34</v>
      </c>
      <c r="G3297" t="s">
        <v>15</v>
      </c>
      <c r="H3297" t="s">
        <v>32</v>
      </c>
      <c r="I3297">
        <v>1</v>
      </c>
      <c r="J3297" s="23">
        <v>-1457</v>
      </c>
      <c r="K3297" t="s">
        <v>17</v>
      </c>
    </row>
    <row r="3298" spans="1:11" ht="15" customHeight="1" x14ac:dyDescent="0.3">
      <c r="A3298" t="s">
        <v>18</v>
      </c>
      <c r="B3298" t="s">
        <v>11</v>
      </c>
      <c r="C3298" t="s">
        <v>12</v>
      </c>
      <c r="D3298" t="s">
        <v>28</v>
      </c>
      <c r="E3298">
        <v>5</v>
      </c>
      <c r="F3298" t="s">
        <v>34</v>
      </c>
      <c r="G3298" t="s">
        <v>15</v>
      </c>
      <c r="H3298" t="s">
        <v>16</v>
      </c>
      <c r="I3298">
        <v>0</v>
      </c>
      <c r="J3298" s="23">
        <v>-19949</v>
      </c>
      <c r="K3298" t="s">
        <v>17</v>
      </c>
    </row>
    <row r="3299" spans="1:11" ht="15" customHeight="1" x14ac:dyDescent="0.3">
      <c r="A3299" t="s">
        <v>22</v>
      </c>
      <c r="B3299" t="s">
        <v>11</v>
      </c>
      <c r="C3299" t="s">
        <v>24</v>
      </c>
      <c r="D3299" t="s">
        <v>25</v>
      </c>
      <c r="E3299">
        <v>4</v>
      </c>
      <c r="F3299" t="s">
        <v>23</v>
      </c>
      <c r="G3299" t="s">
        <v>15</v>
      </c>
      <c r="H3299" t="s">
        <v>16</v>
      </c>
      <c r="I3299">
        <v>0</v>
      </c>
      <c r="J3299" s="23">
        <v>104935</v>
      </c>
      <c r="K3299">
        <v>419740</v>
      </c>
    </row>
    <row r="3300" spans="1:11" ht="15" customHeight="1" x14ac:dyDescent="0.3">
      <c r="A3300" t="s">
        <v>18</v>
      </c>
      <c r="B3300" t="s">
        <v>11</v>
      </c>
      <c r="C3300" t="s">
        <v>12</v>
      </c>
      <c r="D3300" t="s">
        <v>28</v>
      </c>
      <c r="E3300">
        <v>9</v>
      </c>
      <c r="F3300" t="s">
        <v>14</v>
      </c>
      <c r="G3300" t="s">
        <v>15</v>
      </c>
      <c r="H3300" t="s">
        <v>16</v>
      </c>
      <c r="I3300">
        <v>0</v>
      </c>
      <c r="J3300" s="23">
        <v>-18408</v>
      </c>
      <c r="K3300" t="s">
        <v>17</v>
      </c>
    </row>
    <row r="3301" spans="1:11" ht="15" customHeight="1" x14ac:dyDescent="0.3">
      <c r="A3301" t="s">
        <v>10</v>
      </c>
      <c r="B3301" t="s">
        <v>11</v>
      </c>
      <c r="C3301" t="s">
        <v>24</v>
      </c>
      <c r="D3301" t="s">
        <v>25</v>
      </c>
      <c r="E3301">
        <v>-4</v>
      </c>
      <c r="F3301" t="s">
        <v>14</v>
      </c>
      <c r="G3301" t="s">
        <v>15</v>
      </c>
      <c r="H3301" t="s">
        <v>16</v>
      </c>
      <c r="I3301">
        <v>0</v>
      </c>
      <c r="J3301" s="23">
        <v>780</v>
      </c>
      <c r="K3301" t="s">
        <v>17</v>
      </c>
    </row>
    <row r="3302" spans="1:11" ht="15" customHeight="1" x14ac:dyDescent="0.3">
      <c r="A3302" t="s">
        <v>22</v>
      </c>
      <c r="B3302" t="s">
        <v>11</v>
      </c>
      <c r="C3302" t="s">
        <v>24</v>
      </c>
      <c r="D3302" t="s">
        <v>28</v>
      </c>
      <c r="E3302">
        <v>11</v>
      </c>
      <c r="F3302" t="s">
        <v>27</v>
      </c>
      <c r="G3302" t="s">
        <v>15</v>
      </c>
      <c r="H3302" t="s">
        <v>16</v>
      </c>
      <c r="I3302">
        <v>0</v>
      </c>
      <c r="J3302" s="23">
        <v>76678</v>
      </c>
      <c r="K3302">
        <v>843458</v>
      </c>
    </row>
    <row r="3303" spans="1:11" ht="15" customHeight="1" x14ac:dyDescent="0.3">
      <c r="A3303" t="s">
        <v>22</v>
      </c>
      <c r="B3303" t="s">
        <v>19</v>
      </c>
      <c r="C3303" t="s">
        <v>12</v>
      </c>
      <c r="D3303" t="s">
        <v>28</v>
      </c>
      <c r="E3303">
        <v>-4</v>
      </c>
      <c r="F3303"/>
      <c r="G3303" t="s">
        <v>15</v>
      </c>
      <c r="H3303" t="s">
        <v>16</v>
      </c>
      <c r="I3303">
        <v>0</v>
      </c>
      <c r="J3303" s="23">
        <v>-1194252</v>
      </c>
      <c r="K3303" t="s">
        <v>17</v>
      </c>
    </row>
    <row r="3304" spans="1:11" ht="15" customHeight="1" x14ac:dyDescent="0.3">
      <c r="A3304" t="s">
        <v>10</v>
      </c>
      <c r="B3304" t="s">
        <v>11</v>
      </c>
      <c r="C3304" t="s">
        <v>24</v>
      </c>
      <c r="D3304" t="s">
        <v>28</v>
      </c>
      <c r="E3304">
        <v>-1</v>
      </c>
      <c r="F3304" t="s">
        <v>29</v>
      </c>
      <c r="G3304" t="s">
        <v>15</v>
      </c>
      <c r="H3304" t="s">
        <v>16</v>
      </c>
      <c r="I3304">
        <v>0</v>
      </c>
      <c r="J3304" s="23">
        <v>60000</v>
      </c>
      <c r="K3304" t="s">
        <v>17</v>
      </c>
    </row>
    <row r="3305" spans="1:11" ht="15" customHeight="1" x14ac:dyDescent="0.3">
      <c r="A3305" t="s">
        <v>10</v>
      </c>
      <c r="B3305" t="s">
        <v>11</v>
      </c>
      <c r="C3305" t="s">
        <v>24</v>
      </c>
      <c r="D3305" t="s">
        <v>28</v>
      </c>
      <c r="E3305">
        <v>8</v>
      </c>
      <c r="F3305" t="s">
        <v>21</v>
      </c>
      <c r="G3305" t="s">
        <v>15</v>
      </c>
      <c r="H3305" t="s">
        <v>16</v>
      </c>
      <c r="I3305">
        <v>0</v>
      </c>
      <c r="J3305" s="23">
        <v>749250</v>
      </c>
      <c r="K3305">
        <v>5994000</v>
      </c>
    </row>
    <row r="3306" spans="1:11" ht="15" customHeight="1" x14ac:dyDescent="0.3">
      <c r="A3306" t="s">
        <v>18</v>
      </c>
      <c r="B3306" t="s">
        <v>11</v>
      </c>
      <c r="C3306" t="s">
        <v>12</v>
      </c>
      <c r="D3306" t="s">
        <v>28</v>
      </c>
      <c r="E3306">
        <v>14</v>
      </c>
      <c r="F3306" t="s">
        <v>29</v>
      </c>
      <c r="G3306" t="s">
        <v>15</v>
      </c>
      <c r="H3306" t="s">
        <v>32</v>
      </c>
      <c r="I3306">
        <v>1</v>
      </c>
      <c r="J3306" s="23">
        <v>-8896</v>
      </c>
      <c r="K3306" t="s">
        <v>17</v>
      </c>
    </row>
    <row r="3307" spans="1:11" ht="15" customHeight="1" x14ac:dyDescent="0.3">
      <c r="A3307" t="s">
        <v>18</v>
      </c>
      <c r="B3307" t="s">
        <v>11</v>
      </c>
      <c r="C3307" t="s">
        <v>24</v>
      </c>
      <c r="D3307" t="s">
        <v>25</v>
      </c>
      <c r="E3307">
        <v>7</v>
      </c>
      <c r="F3307" t="s">
        <v>35</v>
      </c>
      <c r="G3307" t="s">
        <v>15</v>
      </c>
      <c r="H3307" t="s">
        <v>16</v>
      </c>
      <c r="I3307">
        <v>0</v>
      </c>
      <c r="J3307" s="23">
        <v>73537</v>
      </c>
      <c r="K3307">
        <v>514759</v>
      </c>
    </row>
    <row r="3308" spans="1:11" ht="15" customHeight="1" x14ac:dyDescent="0.3">
      <c r="A3308" t="s">
        <v>10</v>
      </c>
      <c r="B3308" t="s">
        <v>11</v>
      </c>
      <c r="C3308" t="s">
        <v>24</v>
      </c>
      <c r="D3308" t="s">
        <v>28</v>
      </c>
      <c r="E3308">
        <v>15</v>
      </c>
      <c r="F3308" t="s">
        <v>26</v>
      </c>
      <c r="G3308" t="s">
        <v>15</v>
      </c>
      <c r="H3308" t="s">
        <v>16</v>
      </c>
      <c r="I3308">
        <v>0</v>
      </c>
      <c r="J3308" s="23">
        <v>4515352</v>
      </c>
      <c r="K3308">
        <v>67730280</v>
      </c>
    </row>
    <row r="3309" spans="1:11" ht="15" customHeight="1" x14ac:dyDescent="0.3">
      <c r="A3309" t="s">
        <v>10</v>
      </c>
      <c r="B3309" t="s">
        <v>11</v>
      </c>
      <c r="C3309" t="s">
        <v>12</v>
      </c>
      <c r="D3309" t="s">
        <v>28</v>
      </c>
      <c r="E3309">
        <v>14</v>
      </c>
      <c r="F3309" t="s">
        <v>14</v>
      </c>
      <c r="G3309" t="s">
        <v>15</v>
      </c>
      <c r="H3309" t="s">
        <v>16</v>
      </c>
      <c r="I3309">
        <v>0</v>
      </c>
      <c r="J3309" s="23">
        <v>-20361</v>
      </c>
      <c r="K3309" t="s">
        <v>17</v>
      </c>
    </row>
    <row r="3310" spans="1:11" ht="15" customHeight="1" x14ac:dyDescent="0.3">
      <c r="A3310" t="s">
        <v>10</v>
      </c>
      <c r="B3310" t="s">
        <v>11</v>
      </c>
      <c r="C3310" t="s">
        <v>24</v>
      </c>
      <c r="D3310" t="s">
        <v>25</v>
      </c>
      <c r="E3310">
        <v>3</v>
      </c>
      <c r="F3310" t="s">
        <v>23</v>
      </c>
      <c r="G3310" t="s">
        <v>15</v>
      </c>
      <c r="H3310" t="s">
        <v>16</v>
      </c>
      <c r="I3310">
        <v>0</v>
      </c>
      <c r="J3310" s="23">
        <v>208076</v>
      </c>
      <c r="K3310">
        <v>624228</v>
      </c>
    </row>
    <row r="3311" spans="1:11" ht="15" customHeight="1" x14ac:dyDescent="0.3">
      <c r="A3311" t="s">
        <v>10</v>
      </c>
      <c r="B3311" t="s">
        <v>19</v>
      </c>
      <c r="C3311" t="s">
        <v>24</v>
      </c>
      <c r="D3311" t="s">
        <v>28</v>
      </c>
      <c r="E3311">
        <v>15</v>
      </c>
      <c r="F3311"/>
      <c r="G3311" t="s">
        <v>15</v>
      </c>
      <c r="H3311" t="s">
        <v>32</v>
      </c>
      <c r="I3311">
        <v>1</v>
      </c>
      <c r="J3311" s="23">
        <v>182826</v>
      </c>
      <c r="K3311">
        <v>2742390</v>
      </c>
    </row>
    <row r="3312" spans="1:11" ht="15" customHeight="1" x14ac:dyDescent="0.3">
      <c r="A3312" t="s">
        <v>18</v>
      </c>
      <c r="B3312" t="s">
        <v>11</v>
      </c>
      <c r="C3312" t="s">
        <v>24</v>
      </c>
      <c r="D3312" t="s">
        <v>28</v>
      </c>
      <c r="E3312">
        <v>5</v>
      </c>
      <c r="F3312" t="s">
        <v>26</v>
      </c>
      <c r="G3312" t="s">
        <v>15</v>
      </c>
      <c r="H3312" t="s">
        <v>16</v>
      </c>
      <c r="I3312">
        <v>0</v>
      </c>
      <c r="J3312" s="23">
        <v>42125125</v>
      </c>
      <c r="K3312">
        <v>210625625</v>
      </c>
    </row>
    <row r="3313" spans="1:11" ht="15" customHeight="1" x14ac:dyDescent="0.3">
      <c r="A3313" t="s">
        <v>18</v>
      </c>
      <c r="B3313" t="s">
        <v>11</v>
      </c>
      <c r="C3313" t="s">
        <v>12</v>
      </c>
      <c r="D3313" t="s">
        <v>28</v>
      </c>
      <c r="E3313">
        <v>0</v>
      </c>
      <c r="F3313" t="s">
        <v>39</v>
      </c>
      <c r="G3313" t="s">
        <v>15</v>
      </c>
      <c r="H3313" t="s">
        <v>16</v>
      </c>
      <c r="I3313">
        <v>0</v>
      </c>
      <c r="J3313" s="23">
        <v>-124</v>
      </c>
      <c r="K3313" t="s">
        <v>17</v>
      </c>
    </row>
    <row r="3314" spans="1:11" ht="15" customHeight="1" x14ac:dyDescent="0.3">
      <c r="A3314" t="s">
        <v>10</v>
      </c>
      <c r="B3314" t="s">
        <v>11</v>
      </c>
      <c r="C3314" t="s">
        <v>24</v>
      </c>
      <c r="D3314" t="s">
        <v>25</v>
      </c>
      <c r="E3314">
        <v>5</v>
      </c>
      <c r="F3314" t="s">
        <v>37</v>
      </c>
      <c r="G3314" t="s">
        <v>15</v>
      </c>
      <c r="H3314" t="s">
        <v>16</v>
      </c>
      <c r="I3314">
        <v>0</v>
      </c>
      <c r="J3314" s="23">
        <v>293530</v>
      </c>
      <c r="K3314">
        <v>1467650</v>
      </c>
    </row>
    <row r="3315" spans="1:11" ht="15" customHeight="1" x14ac:dyDescent="0.3">
      <c r="A3315" t="s">
        <v>10</v>
      </c>
      <c r="B3315" t="s">
        <v>11</v>
      </c>
      <c r="C3315" t="s">
        <v>12</v>
      </c>
      <c r="D3315" t="s">
        <v>28</v>
      </c>
      <c r="E3315">
        <v>10</v>
      </c>
      <c r="F3315" t="s">
        <v>26</v>
      </c>
      <c r="G3315" t="s">
        <v>15</v>
      </c>
      <c r="H3315" t="s">
        <v>16</v>
      </c>
      <c r="I3315">
        <v>0</v>
      </c>
      <c r="J3315" s="23">
        <v>-154790</v>
      </c>
      <c r="K3315" t="s">
        <v>17</v>
      </c>
    </row>
    <row r="3316" spans="1:11" ht="15" customHeight="1" x14ac:dyDescent="0.3">
      <c r="A3316" t="s">
        <v>22</v>
      </c>
      <c r="B3316" t="s">
        <v>11</v>
      </c>
      <c r="C3316" t="s">
        <v>24</v>
      </c>
      <c r="D3316" t="s">
        <v>28</v>
      </c>
      <c r="E3316">
        <v>2</v>
      </c>
      <c r="F3316" t="s">
        <v>42</v>
      </c>
      <c r="G3316" t="s">
        <v>15</v>
      </c>
      <c r="H3316" t="s">
        <v>16</v>
      </c>
      <c r="I3316">
        <v>0</v>
      </c>
      <c r="J3316" s="23">
        <v>31466</v>
      </c>
      <c r="K3316">
        <v>62932</v>
      </c>
    </row>
    <row r="3317" spans="1:11" ht="15" customHeight="1" x14ac:dyDescent="0.3">
      <c r="A3317" t="s">
        <v>18</v>
      </c>
      <c r="B3317" t="s">
        <v>11</v>
      </c>
      <c r="C3317" t="s">
        <v>12</v>
      </c>
      <c r="D3317" t="s">
        <v>28</v>
      </c>
      <c r="E3317">
        <v>3</v>
      </c>
      <c r="F3317" t="s">
        <v>33</v>
      </c>
      <c r="G3317" t="s">
        <v>15</v>
      </c>
      <c r="H3317" t="s">
        <v>32</v>
      </c>
      <c r="I3317">
        <v>1</v>
      </c>
      <c r="J3317" s="23">
        <v>-1158</v>
      </c>
      <c r="K3317" t="s">
        <v>17</v>
      </c>
    </row>
    <row r="3318" spans="1:11" ht="15" customHeight="1" x14ac:dyDescent="0.3">
      <c r="A3318" t="s">
        <v>22</v>
      </c>
      <c r="B3318" t="s">
        <v>11</v>
      </c>
      <c r="C3318" t="s">
        <v>24</v>
      </c>
      <c r="D3318" t="s">
        <v>25</v>
      </c>
      <c r="E3318">
        <v>4</v>
      </c>
      <c r="F3318" t="s">
        <v>34</v>
      </c>
      <c r="G3318" t="s">
        <v>15</v>
      </c>
      <c r="H3318" t="s">
        <v>16</v>
      </c>
      <c r="I3318">
        <v>0</v>
      </c>
      <c r="J3318" s="23">
        <v>131191</v>
      </c>
      <c r="K3318">
        <v>524764</v>
      </c>
    </row>
    <row r="3319" spans="1:11" ht="15" customHeight="1" x14ac:dyDescent="0.3">
      <c r="A3319" t="s">
        <v>22</v>
      </c>
      <c r="B3319" t="s">
        <v>11</v>
      </c>
      <c r="C3319" t="s">
        <v>12</v>
      </c>
      <c r="D3319" t="s">
        <v>13</v>
      </c>
      <c r="E3319">
        <v>2</v>
      </c>
      <c r="F3319" t="s">
        <v>21</v>
      </c>
      <c r="G3319" t="s">
        <v>15</v>
      </c>
      <c r="H3319" t="s">
        <v>16</v>
      </c>
      <c r="I3319">
        <v>0</v>
      </c>
      <c r="J3319" s="23">
        <v>-1239005</v>
      </c>
      <c r="K3319" t="s">
        <v>17</v>
      </c>
    </row>
    <row r="3320" spans="1:11" ht="15" customHeight="1" x14ac:dyDescent="0.3">
      <c r="A3320" t="s">
        <v>18</v>
      </c>
      <c r="B3320" t="s">
        <v>11</v>
      </c>
      <c r="C3320" t="s">
        <v>24</v>
      </c>
      <c r="D3320" t="s">
        <v>25</v>
      </c>
      <c r="E3320">
        <v>4</v>
      </c>
      <c r="F3320" t="s">
        <v>37</v>
      </c>
      <c r="G3320" t="s">
        <v>15</v>
      </c>
      <c r="H3320" t="s">
        <v>16</v>
      </c>
      <c r="I3320">
        <v>0</v>
      </c>
      <c r="J3320" s="23">
        <v>1258715</v>
      </c>
      <c r="K3320">
        <v>5034860</v>
      </c>
    </row>
    <row r="3321" spans="1:11" ht="15" customHeight="1" x14ac:dyDescent="0.3">
      <c r="A3321" t="s">
        <v>18</v>
      </c>
      <c r="B3321" t="s">
        <v>11</v>
      </c>
      <c r="C3321" t="s">
        <v>12</v>
      </c>
      <c r="D3321" t="s">
        <v>28</v>
      </c>
      <c r="E3321">
        <v>3</v>
      </c>
      <c r="F3321" t="s">
        <v>37</v>
      </c>
      <c r="G3321" t="s">
        <v>15</v>
      </c>
      <c r="H3321" t="s">
        <v>16</v>
      </c>
      <c r="I3321">
        <v>0</v>
      </c>
      <c r="J3321" s="23">
        <v>-703</v>
      </c>
      <c r="K3321" t="s">
        <v>17</v>
      </c>
    </row>
    <row r="3322" spans="1:11" ht="15" customHeight="1" x14ac:dyDescent="0.3">
      <c r="A3322" t="s">
        <v>18</v>
      </c>
      <c r="B3322" t="s">
        <v>11</v>
      </c>
      <c r="C3322" t="s">
        <v>24</v>
      </c>
      <c r="D3322" t="s">
        <v>25</v>
      </c>
      <c r="E3322">
        <v>-1</v>
      </c>
      <c r="F3322" t="s">
        <v>14</v>
      </c>
      <c r="G3322" t="s">
        <v>15</v>
      </c>
      <c r="H3322" t="s">
        <v>16</v>
      </c>
      <c r="I3322">
        <v>0</v>
      </c>
      <c r="J3322" s="23">
        <v>446508</v>
      </c>
      <c r="K3322" t="s">
        <v>17</v>
      </c>
    </row>
    <row r="3323" spans="1:11" ht="15" customHeight="1" x14ac:dyDescent="0.3">
      <c r="A3323" t="s">
        <v>10</v>
      </c>
      <c r="B3323" t="s">
        <v>11</v>
      </c>
      <c r="C3323" t="s">
        <v>12</v>
      </c>
      <c r="D3323" t="s">
        <v>28</v>
      </c>
      <c r="E3323">
        <v>3</v>
      </c>
      <c r="F3323" t="s">
        <v>27</v>
      </c>
      <c r="G3323" t="s">
        <v>15</v>
      </c>
      <c r="H3323" t="s">
        <v>16</v>
      </c>
      <c r="I3323">
        <v>0</v>
      </c>
      <c r="J3323" s="23">
        <v>-2935</v>
      </c>
      <c r="K3323" t="s">
        <v>17</v>
      </c>
    </row>
    <row r="3324" spans="1:11" ht="15" customHeight="1" x14ac:dyDescent="0.3">
      <c r="A3324" t="s">
        <v>10</v>
      </c>
      <c r="B3324" t="s">
        <v>19</v>
      </c>
      <c r="C3324" t="s">
        <v>12</v>
      </c>
      <c r="D3324" t="s">
        <v>28</v>
      </c>
      <c r="E3324">
        <v>17</v>
      </c>
      <c r="F3324"/>
      <c r="G3324" t="s">
        <v>15</v>
      </c>
      <c r="H3324" t="s">
        <v>16</v>
      </c>
      <c r="I3324">
        <v>0</v>
      </c>
      <c r="J3324" s="23">
        <v>-78827</v>
      </c>
      <c r="K3324" t="s">
        <v>17</v>
      </c>
    </row>
    <row r="3325" spans="1:11" ht="15" customHeight="1" x14ac:dyDescent="0.3">
      <c r="A3325" t="s">
        <v>10</v>
      </c>
      <c r="B3325" t="s">
        <v>11</v>
      </c>
      <c r="C3325" t="s">
        <v>12</v>
      </c>
      <c r="D3325" t="s">
        <v>28</v>
      </c>
      <c r="E3325">
        <v>0</v>
      </c>
      <c r="F3325" t="s">
        <v>14</v>
      </c>
      <c r="G3325" t="s">
        <v>15</v>
      </c>
      <c r="H3325" t="s">
        <v>16</v>
      </c>
      <c r="I3325">
        <v>0</v>
      </c>
      <c r="J3325" s="23">
        <v>-706</v>
      </c>
      <c r="K3325" t="s">
        <v>17</v>
      </c>
    </row>
    <row r="3326" spans="1:11" ht="15" customHeight="1" x14ac:dyDescent="0.3">
      <c r="A3326" t="s">
        <v>18</v>
      </c>
      <c r="B3326" t="s">
        <v>11</v>
      </c>
      <c r="C3326" t="s">
        <v>24</v>
      </c>
      <c r="D3326" t="s">
        <v>13</v>
      </c>
      <c r="E3326">
        <v>4</v>
      </c>
      <c r="F3326" t="s">
        <v>33</v>
      </c>
      <c r="G3326" t="s">
        <v>15</v>
      </c>
      <c r="H3326" t="s">
        <v>16</v>
      </c>
      <c r="I3326">
        <v>0</v>
      </c>
      <c r="J3326" s="23">
        <v>13913088</v>
      </c>
      <c r="K3326">
        <v>55652352</v>
      </c>
    </row>
    <row r="3327" spans="1:11" ht="15" customHeight="1" x14ac:dyDescent="0.3">
      <c r="A3327" t="s">
        <v>22</v>
      </c>
      <c r="B3327" t="s">
        <v>11</v>
      </c>
      <c r="C3327" t="s">
        <v>24</v>
      </c>
      <c r="D3327" t="s">
        <v>25</v>
      </c>
      <c r="E3327">
        <v>-4</v>
      </c>
      <c r="F3327" t="s">
        <v>41</v>
      </c>
      <c r="G3327" t="s">
        <v>15</v>
      </c>
      <c r="H3327" t="s">
        <v>16</v>
      </c>
      <c r="I3327">
        <v>0</v>
      </c>
      <c r="J3327" s="23">
        <v>32455</v>
      </c>
      <c r="K3327" t="s">
        <v>17</v>
      </c>
    </row>
    <row r="3328" spans="1:11" ht="15" customHeight="1" x14ac:dyDescent="0.3">
      <c r="A3328" t="s">
        <v>10</v>
      </c>
      <c r="B3328" t="s">
        <v>11</v>
      </c>
      <c r="C3328" t="s">
        <v>12</v>
      </c>
      <c r="D3328" t="s">
        <v>28</v>
      </c>
      <c r="E3328">
        <v>-4</v>
      </c>
      <c r="F3328" t="s">
        <v>34</v>
      </c>
      <c r="G3328" t="s">
        <v>15</v>
      </c>
      <c r="H3328" t="s">
        <v>32</v>
      </c>
      <c r="I3328">
        <v>1</v>
      </c>
      <c r="J3328" s="23">
        <v>-13</v>
      </c>
      <c r="K3328" t="s">
        <v>17</v>
      </c>
    </row>
    <row r="3329" spans="1:11" ht="15" customHeight="1" x14ac:dyDescent="0.3">
      <c r="A3329" t="s">
        <v>10</v>
      </c>
      <c r="B3329" t="s">
        <v>11</v>
      </c>
      <c r="C3329" t="s">
        <v>24</v>
      </c>
      <c r="D3329" t="s">
        <v>28</v>
      </c>
      <c r="E3329">
        <v>4</v>
      </c>
      <c r="F3329" t="s">
        <v>26</v>
      </c>
      <c r="G3329" t="s">
        <v>15</v>
      </c>
      <c r="H3329" t="s">
        <v>16</v>
      </c>
      <c r="I3329">
        <v>0</v>
      </c>
      <c r="J3329" s="23">
        <v>29568201</v>
      </c>
      <c r="K3329">
        <v>118272804</v>
      </c>
    </row>
    <row r="3330" spans="1:11" ht="15" customHeight="1" x14ac:dyDescent="0.3">
      <c r="A3330" t="s">
        <v>18</v>
      </c>
      <c r="B3330" t="s">
        <v>19</v>
      </c>
      <c r="C3330" t="s">
        <v>12</v>
      </c>
      <c r="D3330" t="s">
        <v>28</v>
      </c>
      <c r="E3330">
        <v>1</v>
      </c>
      <c r="F3330"/>
      <c r="G3330" t="s">
        <v>31</v>
      </c>
      <c r="H3330" t="s">
        <v>16</v>
      </c>
      <c r="I3330">
        <v>1</v>
      </c>
      <c r="J3330" s="23">
        <v>-14</v>
      </c>
      <c r="K3330" t="s">
        <v>17</v>
      </c>
    </row>
    <row r="3331" spans="1:11" ht="15" customHeight="1" x14ac:dyDescent="0.3">
      <c r="A3331" t="s">
        <v>18</v>
      </c>
      <c r="B3331" t="s">
        <v>11</v>
      </c>
      <c r="C3331" t="s">
        <v>12</v>
      </c>
      <c r="D3331" t="s">
        <v>28</v>
      </c>
      <c r="E3331">
        <v>4</v>
      </c>
      <c r="F3331" t="s">
        <v>34</v>
      </c>
      <c r="G3331" t="s">
        <v>15</v>
      </c>
      <c r="H3331" t="s">
        <v>16</v>
      </c>
      <c r="I3331">
        <v>0</v>
      </c>
      <c r="J3331" s="23">
        <v>-10291</v>
      </c>
      <c r="K3331" t="s">
        <v>17</v>
      </c>
    </row>
    <row r="3332" spans="1:11" ht="15" customHeight="1" x14ac:dyDescent="0.3">
      <c r="A3332" t="s">
        <v>18</v>
      </c>
      <c r="B3332" t="s">
        <v>44</v>
      </c>
      <c r="C3332" t="s">
        <v>12</v>
      </c>
      <c r="D3332" t="s">
        <v>28</v>
      </c>
      <c r="E3332">
        <v>7</v>
      </c>
      <c r="F3332" t="s">
        <v>26</v>
      </c>
      <c r="G3332" t="s">
        <v>15</v>
      </c>
      <c r="H3332" t="s">
        <v>16</v>
      </c>
      <c r="I3332">
        <v>0</v>
      </c>
      <c r="J3332" s="23">
        <v>-2948</v>
      </c>
      <c r="K3332" t="s">
        <v>17</v>
      </c>
    </row>
    <row r="3333" spans="1:11" ht="15" customHeight="1" x14ac:dyDescent="0.3">
      <c r="A3333" t="s">
        <v>22</v>
      </c>
      <c r="B3333" t="s">
        <v>19</v>
      </c>
      <c r="C3333" t="s">
        <v>24</v>
      </c>
      <c r="D3333" t="s">
        <v>28</v>
      </c>
      <c r="E3333">
        <v>0</v>
      </c>
      <c r="F3333"/>
      <c r="G3333" t="s">
        <v>15</v>
      </c>
      <c r="H3333" t="s">
        <v>16</v>
      </c>
      <c r="I3333">
        <v>0</v>
      </c>
      <c r="J3333" s="23">
        <v>76702</v>
      </c>
      <c r="K3333" t="s">
        <v>17</v>
      </c>
    </row>
    <row r="3334" spans="1:11" ht="15" customHeight="1" x14ac:dyDescent="0.3">
      <c r="A3334" t="s">
        <v>18</v>
      </c>
      <c r="B3334" t="s">
        <v>11</v>
      </c>
      <c r="C3334" t="s">
        <v>24</v>
      </c>
      <c r="D3334" t="s">
        <v>28</v>
      </c>
      <c r="E3334">
        <v>16</v>
      </c>
      <c r="F3334" t="s">
        <v>26</v>
      </c>
      <c r="G3334" t="s">
        <v>15</v>
      </c>
      <c r="H3334" t="s">
        <v>16</v>
      </c>
      <c r="I3334">
        <v>0</v>
      </c>
      <c r="J3334" s="23">
        <v>1029519</v>
      </c>
      <c r="K3334">
        <v>16472304</v>
      </c>
    </row>
    <row r="3335" spans="1:11" ht="15" customHeight="1" x14ac:dyDescent="0.3">
      <c r="A3335" t="s">
        <v>22</v>
      </c>
      <c r="B3335" t="s">
        <v>11</v>
      </c>
      <c r="C3335" t="s">
        <v>24</v>
      </c>
      <c r="D3335" t="s">
        <v>13</v>
      </c>
      <c r="E3335">
        <v>0</v>
      </c>
      <c r="F3335" t="s">
        <v>30</v>
      </c>
      <c r="G3335" t="s">
        <v>15</v>
      </c>
      <c r="H3335" t="s">
        <v>16</v>
      </c>
      <c r="I3335">
        <v>0</v>
      </c>
      <c r="J3335" s="23">
        <v>68647</v>
      </c>
      <c r="K3335" t="s">
        <v>17</v>
      </c>
    </row>
    <row r="3336" spans="1:11" ht="15" customHeight="1" x14ac:dyDescent="0.3">
      <c r="A3336" t="s">
        <v>10</v>
      </c>
      <c r="B3336" t="s">
        <v>11</v>
      </c>
      <c r="C3336" t="s">
        <v>12</v>
      </c>
      <c r="D3336" t="s">
        <v>25</v>
      </c>
      <c r="E3336">
        <v>6</v>
      </c>
      <c r="F3336" t="s">
        <v>39</v>
      </c>
      <c r="G3336" t="s">
        <v>15</v>
      </c>
      <c r="H3336" t="s">
        <v>16</v>
      </c>
      <c r="I3336">
        <v>0</v>
      </c>
      <c r="J3336" s="23">
        <v>-6862</v>
      </c>
      <c r="K3336" t="s">
        <v>17</v>
      </c>
    </row>
    <row r="3337" spans="1:11" ht="15" customHeight="1" x14ac:dyDescent="0.3">
      <c r="A3337" t="s">
        <v>18</v>
      </c>
      <c r="B3337" t="s">
        <v>11</v>
      </c>
      <c r="C3337" t="s">
        <v>12</v>
      </c>
      <c r="D3337" t="s">
        <v>28</v>
      </c>
      <c r="E3337">
        <v>11</v>
      </c>
      <c r="F3337" t="s">
        <v>14</v>
      </c>
      <c r="G3337" t="s">
        <v>15</v>
      </c>
      <c r="H3337" t="s">
        <v>16</v>
      </c>
      <c r="I3337">
        <v>0</v>
      </c>
      <c r="J3337" s="23">
        <v>-8335</v>
      </c>
      <c r="K3337" t="s">
        <v>17</v>
      </c>
    </row>
    <row r="3338" spans="1:11" ht="15" customHeight="1" x14ac:dyDescent="0.3">
      <c r="A3338" t="s">
        <v>18</v>
      </c>
      <c r="B3338" t="s">
        <v>44</v>
      </c>
      <c r="C3338" t="s">
        <v>12</v>
      </c>
      <c r="D3338" t="s">
        <v>28</v>
      </c>
      <c r="E3338">
        <v>2</v>
      </c>
      <c r="F3338" t="s">
        <v>23</v>
      </c>
      <c r="G3338" t="s">
        <v>15</v>
      </c>
      <c r="H3338" t="s">
        <v>16</v>
      </c>
      <c r="I3338">
        <v>0</v>
      </c>
      <c r="J3338" s="23">
        <v>-8934</v>
      </c>
      <c r="K3338" t="s">
        <v>17</v>
      </c>
    </row>
    <row r="3339" spans="1:11" ht="15" customHeight="1" x14ac:dyDescent="0.3">
      <c r="A3339" t="s">
        <v>18</v>
      </c>
      <c r="B3339" t="s">
        <v>11</v>
      </c>
      <c r="C3339" t="s">
        <v>24</v>
      </c>
      <c r="D3339" t="s">
        <v>25</v>
      </c>
      <c r="E3339">
        <v>-4</v>
      </c>
      <c r="F3339" t="s">
        <v>23</v>
      </c>
      <c r="G3339" t="s">
        <v>15</v>
      </c>
      <c r="H3339" t="s">
        <v>16</v>
      </c>
      <c r="I3339">
        <v>0</v>
      </c>
      <c r="J3339" s="23">
        <v>31</v>
      </c>
      <c r="K3339" t="s">
        <v>17</v>
      </c>
    </row>
    <row r="3340" spans="1:11" ht="15" customHeight="1" x14ac:dyDescent="0.3">
      <c r="A3340" t="s">
        <v>10</v>
      </c>
      <c r="B3340" t="s">
        <v>11</v>
      </c>
      <c r="C3340" t="s">
        <v>12</v>
      </c>
      <c r="D3340" t="s">
        <v>28</v>
      </c>
      <c r="E3340">
        <v>-4</v>
      </c>
      <c r="F3340" t="s">
        <v>35</v>
      </c>
      <c r="G3340" t="s">
        <v>15</v>
      </c>
      <c r="H3340" t="s">
        <v>16</v>
      </c>
      <c r="I3340">
        <v>0</v>
      </c>
      <c r="J3340" s="23">
        <v>-166</v>
      </c>
      <c r="K3340" t="s">
        <v>17</v>
      </c>
    </row>
    <row r="3341" spans="1:11" ht="15" customHeight="1" x14ac:dyDescent="0.3">
      <c r="A3341" t="s">
        <v>22</v>
      </c>
      <c r="B3341" t="s">
        <v>11</v>
      </c>
      <c r="C3341" t="s">
        <v>12</v>
      </c>
      <c r="D3341" t="s">
        <v>25</v>
      </c>
      <c r="E3341">
        <v>1</v>
      </c>
      <c r="F3341" t="s">
        <v>41</v>
      </c>
      <c r="G3341" t="s">
        <v>15</v>
      </c>
      <c r="H3341" t="s">
        <v>16</v>
      </c>
      <c r="I3341">
        <v>0</v>
      </c>
      <c r="J3341" s="23">
        <v>-43586</v>
      </c>
      <c r="K3341" t="s">
        <v>17</v>
      </c>
    </row>
    <row r="3342" spans="1:11" ht="15" customHeight="1" x14ac:dyDescent="0.3">
      <c r="A3342" t="s">
        <v>22</v>
      </c>
      <c r="B3342" t="s">
        <v>19</v>
      </c>
      <c r="C3342" t="s">
        <v>12</v>
      </c>
      <c r="D3342" t="s">
        <v>20</v>
      </c>
      <c r="E3342">
        <v>33</v>
      </c>
      <c r="F3342"/>
      <c r="G3342" t="s">
        <v>15</v>
      </c>
      <c r="H3342" t="s">
        <v>16</v>
      </c>
      <c r="I3342">
        <v>0</v>
      </c>
      <c r="J3342" s="23">
        <v>-1509061</v>
      </c>
      <c r="K3342" t="s">
        <v>17</v>
      </c>
    </row>
    <row r="3343" spans="1:11" ht="15" customHeight="1" x14ac:dyDescent="0.3">
      <c r="A3343" t="s">
        <v>18</v>
      </c>
      <c r="B3343" t="s">
        <v>11</v>
      </c>
      <c r="C3343" t="s">
        <v>24</v>
      </c>
      <c r="D3343" t="s">
        <v>13</v>
      </c>
      <c r="E3343">
        <v>-1</v>
      </c>
      <c r="F3343" t="s">
        <v>42</v>
      </c>
      <c r="G3343" t="s">
        <v>15</v>
      </c>
      <c r="H3343" t="s">
        <v>16</v>
      </c>
      <c r="I3343">
        <v>0</v>
      </c>
      <c r="J3343" s="23">
        <v>2435327</v>
      </c>
      <c r="K3343" t="s">
        <v>17</v>
      </c>
    </row>
    <row r="3344" spans="1:11" ht="15" customHeight="1" x14ac:dyDescent="0.3">
      <c r="A3344" t="s">
        <v>18</v>
      </c>
      <c r="B3344" t="s">
        <v>19</v>
      </c>
      <c r="C3344" t="s">
        <v>24</v>
      </c>
      <c r="D3344" t="s">
        <v>20</v>
      </c>
      <c r="E3344">
        <v>8</v>
      </c>
      <c r="F3344"/>
      <c r="G3344" t="s">
        <v>15</v>
      </c>
      <c r="H3344" t="s">
        <v>16</v>
      </c>
      <c r="I3344">
        <v>0</v>
      </c>
      <c r="J3344" s="23">
        <v>188179991</v>
      </c>
      <c r="K3344">
        <v>1505439928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25</v>
      </c>
      <c r="E3345">
        <v>9</v>
      </c>
      <c r="F3345" t="s">
        <v>34</v>
      </c>
      <c r="G3345" t="s">
        <v>15</v>
      </c>
      <c r="H3345" t="s">
        <v>16</v>
      </c>
      <c r="I3345">
        <v>0</v>
      </c>
      <c r="J3345" s="23">
        <v>188627</v>
      </c>
      <c r="K3345">
        <v>1697643</v>
      </c>
    </row>
    <row r="3346" spans="1:11" ht="15" customHeight="1" x14ac:dyDescent="0.3">
      <c r="A3346" t="s">
        <v>18</v>
      </c>
      <c r="B3346" t="s">
        <v>19</v>
      </c>
      <c r="C3346" t="s">
        <v>24</v>
      </c>
      <c r="D3346" t="s">
        <v>20</v>
      </c>
      <c r="E3346">
        <v>17</v>
      </c>
      <c r="F3346"/>
      <c r="G3346" t="s">
        <v>15</v>
      </c>
      <c r="H3346" t="s">
        <v>32</v>
      </c>
      <c r="I3346">
        <v>1</v>
      </c>
      <c r="J3346" s="23">
        <v>1023819</v>
      </c>
      <c r="K3346">
        <v>17404923</v>
      </c>
    </row>
    <row r="3347" spans="1:11" ht="15" customHeight="1" x14ac:dyDescent="0.3">
      <c r="A3347" t="s">
        <v>18</v>
      </c>
      <c r="B3347" t="s">
        <v>11</v>
      </c>
      <c r="C3347" t="s">
        <v>12</v>
      </c>
      <c r="D3347" t="s">
        <v>28</v>
      </c>
      <c r="E3347">
        <v>8</v>
      </c>
      <c r="F3347" t="s">
        <v>29</v>
      </c>
      <c r="G3347" t="s">
        <v>15</v>
      </c>
      <c r="H3347" t="s">
        <v>16</v>
      </c>
      <c r="I3347">
        <v>0</v>
      </c>
      <c r="J3347" s="23">
        <v>-5484</v>
      </c>
      <c r="K3347" t="s">
        <v>17</v>
      </c>
    </row>
    <row r="3348" spans="1:11" ht="15" customHeight="1" x14ac:dyDescent="0.3">
      <c r="A3348" t="s">
        <v>18</v>
      </c>
      <c r="B3348" t="s">
        <v>11</v>
      </c>
      <c r="C3348" t="s">
        <v>12</v>
      </c>
      <c r="D3348" t="s">
        <v>28</v>
      </c>
      <c r="E3348">
        <v>12</v>
      </c>
      <c r="F3348" t="s">
        <v>29</v>
      </c>
      <c r="G3348" t="s">
        <v>15</v>
      </c>
      <c r="H3348" t="s">
        <v>32</v>
      </c>
      <c r="I3348">
        <v>1</v>
      </c>
      <c r="J3348" s="23">
        <v>-5147</v>
      </c>
      <c r="K3348" t="s">
        <v>17</v>
      </c>
    </row>
    <row r="3349" spans="1:11" ht="15" customHeight="1" x14ac:dyDescent="0.3">
      <c r="A3349" t="s">
        <v>10</v>
      </c>
      <c r="B3349" t="s">
        <v>11</v>
      </c>
      <c r="C3349" t="s">
        <v>24</v>
      </c>
      <c r="D3349" t="s">
        <v>25</v>
      </c>
      <c r="E3349">
        <v>-1</v>
      </c>
      <c r="F3349" t="s">
        <v>34</v>
      </c>
      <c r="G3349" t="s">
        <v>15</v>
      </c>
      <c r="H3349" t="s">
        <v>16</v>
      </c>
      <c r="I3349">
        <v>0</v>
      </c>
      <c r="J3349" s="23">
        <v>2865877</v>
      </c>
      <c r="K3349" t="s">
        <v>17</v>
      </c>
    </row>
    <row r="3350" spans="1:11" ht="15" customHeight="1" x14ac:dyDescent="0.3">
      <c r="A3350" t="s">
        <v>18</v>
      </c>
      <c r="B3350" t="s">
        <v>11</v>
      </c>
      <c r="C3350" t="s">
        <v>24</v>
      </c>
      <c r="D3350" t="s">
        <v>28</v>
      </c>
      <c r="E3350">
        <v>1</v>
      </c>
      <c r="F3350" t="s">
        <v>41</v>
      </c>
      <c r="G3350" t="s">
        <v>15</v>
      </c>
      <c r="H3350" t="s">
        <v>32</v>
      </c>
      <c r="I3350">
        <v>1</v>
      </c>
      <c r="J3350" s="23">
        <v>9544</v>
      </c>
      <c r="K3350">
        <v>9544</v>
      </c>
    </row>
    <row r="3351" spans="1:11" ht="15" customHeight="1" x14ac:dyDescent="0.3">
      <c r="A3351" t="s">
        <v>18</v>
      </c>
      <c r="B3351" t="s">
        <v>44</v>
      </c>
      <c r="C3351" t="s">
        <v>24</v>
      </c>
      <c r="D3351" t="s">
        <v>28</v>
      </c>
      <c r="E3351">
        <v>12</v>
      </c>
      <c r="F3351" t="s">
        <v>38</v>
      </c>
      <c r="G3351" t="s">
        <v>15</v>
      </c>
      <c r="H3351" t="s">
        <v>16</v>
      </c>
      <c r="I3351">
        <v>0</v>
      </c>
      <c r="J3351" s="23">
        <v>176609</v>
      </c>
      <c r="K3351">
        <v>2119308</v>
      </c>
    </row>
    <row r="3352" spans="1:11" ht="15" customHeight="1" x14ac:dyDescent="0.3">
      <c r="A3352" t="s">
        <v>22</v>
      </c>
      <c r="B3352" t="s">
        <v>11</v>
      </c>
      <c r="C3352" t="s">
        <v>24</v>
      </c>
      <c r="D3352" t="s">
        <v>25</v>
      </c>
      <c r="E3352">
        <v>1</v>
      </c>
      <c r="F3352" t="s">
        <v>14</v>
      </c>
      <c r="G3352" t="s">
        <v>15</v>
      </c>
      <c r="H3352" t="s">
        <v>16</v>
      </c>
      <c r="I3352">
        <v>0</v>
      </c>
      <c r="J3352" s="23">
        <v>41435</v>
      </c>
      <c r="K3352">
        <v>41435</v>
      </c>
    </row>
    <row r="3353" spans="1:11" ht="15" customHeight="1" x14ac:dyDescent="0.3">
      <c r="A3353" t="s">
        <v>22</v>
      </c>
      <c r="B3353" t="s">
        <v>11</v>
      </c>
      <c r="C3353" t="s">
        <v>24</v>
      </c>
      <c r="D3353" t="s">
        <v>25</v>
      </c>
      <c r="E3353">
        <v>-4</v>
      </c>
      <c r="F3353" t="s">
        <v>37</v>
      </c>
      <c r="G3353" t="s">
        <v>15</v>
      </c>
      <c r="H3353" t="s">
        <v>16</v>
      </c>
      <c r="I3353">
        <v>0</v>
      </c>
      <c r="J3353" s="23">
        <v>33349</v>
      </c>
      <c r="K3353" t="s">
        <v>17</v>
      </c>
    </row>
    <row r="3354" spans="1:11" ht="15" customHeight="1" x14ac:dyDescent="0.3">
      <c r="A3354" t="s">
        <v>18</v>
      </c>
      <c r="B3354" t="s">
        <v>11</v>
      </c>
      <c r="C3354" t="s">
        <v>12</v>
      </c>
      <c r="D3354" t="s">
        <v>13</v>
      </c>
      <c r="E3354">
        <v>3</v>
      </c>
      <c r="F3354" t="s">
        <v>30</v>
      </c>
      <c r="G3354" t="s">
        <v>15</v>
      </c>
      <c r="H3354" t="s">
        <v>16</v>
      </c>
      <c r="I3354">
        <v>0</v>
      </c>
      <c r="J3354" s="23">
        <v>-310179</v>
      </c>
      <c r="K3354" t="s">
        <v>17</v>
      </c>
    </row>
    <row r="3355" spans="1:11" ht="15" customHeight="1" x14ac:dyDescent="0.3">
      <c r="A3355" t="s">
        <v>18</v>
      </c>
      <c r="B3355" t="s">
        <v>11</v>
      </c>
      <c r="C3355" t="s">
        <v>24</v>
      </c>
      <c r="D3355" t="s">
        <v>13</v>
      </c>
      <c r="E3355">
        <v>8</v>
      </c>
      <c r="F3355" t="s">
        <v>35</v>
      </c>
      <c r="G3355" t="s">
        <v>15</v>
      </c>
      <c r="H3355" t="s">
        <v>16</v>
      </c>
      <c r="I3355">
        <v>0</v>
      </c>
      <c r="J3355" s="23">
        <v>144426</v>
      </c>
      <c r="K3355">
        <v>1155408</v>
      </c>
    </row>
    <row r="3356" spans="1:11" ht="15" customHeight="1" x14ac:dyDescent="0.3">
      <c r="A3356" t="s">
        <v>22</v>
      </c>
      <c r="B3356" t="s">
        <v>11</v>
      </c>
      <c r="C3356" t="s">
        <v>24</v>
      </c>
      <c r="D3356" t="s">
        <v>13</v>
      </c>
      <c r="E3356">
        <v>10</v>
      </c>
      <c r="F3356" t="s">
        <v>29</v>
      </c>
      <c r="G3356" t="s">
        <v>15</v>
      </c>
      <c r="H3356" t="s">
        <v>16</v>
      </c>
      <c r="I3356">
        <v>0</v>
      </c>
      <c r="J3356" s="23">
        <v>2585904</v>
      </c>
      <c r="K3356">
        <v>25859040</v>
      </c>
    </row>
    <row r="3357" spans="1:11" ht="15" customHeight="1" x14ac:dyDescent="0.3">
      <c r="A3357" t="s">
        <v>22</v>
      </c>
      <c r="B3357" t="s">
        <v>11</v>
      </c>
      <c r="C3357" t="s">
        <v>24</v>
      </c>
      <c r="D3357" t="s">
        <v>28</v>
      </c>
      <c r="E3357">
        <v>-4</v>
      </c>
      <c r="F3357" t="s">
        <v>21</v>
      </c>
      <c r="G3357" t="s">
        <v>31</v>
      </c>
      <c r="H3357" t="s">
        <v>32</v>
      </c>
      <c r="I3357">
        <v>1</v>
      </c>
      <c r="J3357" s="23">
        <v>23076</v>
      </c>
      <c r="K3357" t="s">
        <v>17</v>
      </c>
    </row>
    <row r="3358" spans="1:11" ht="15" customHeight="1" x14ac:dyDescent="0.3">
      <c r="A3358" t="s">
        <v>18</v>
      </c>
      <c r="B3358" t="s">
        <v>11</v>
      </c>
      <c r="C3358" t="s">
        <v>12</v>
      </c>
      <c r="D3358" t="s">
        <v>28</v>
      </c>
      <c r="E3358">
        <v>8</v>
      </c>
      <c r="F3358" t="s">
        <v>30</v>
      </c>
      <c r="G3358" t="s">
        <v>15</v>
      </c>
      <c r="H3358" t="s">
        <v>16</v>
      </c>
      <c r="I3358">
        <v>0</v>
      </c>
      <c r="J3358" s="23">
        <v>-5888</v>
      </c>
      <c r="K3358" t="s">
        <v>17</v>
      </c>
    </row>
    <row r="3359" spans="1:11" ht="15" customHeight="1" x14ac:dyDescent="0.3">
      <c r="A3359" t="s">
        <v>18</v>
      </c>
      <c r="B3359" t="s">
        <v>11</v>
      </c>
      <c r="C3359" t="s">
        <v>24</v>
      </c>
      <c r="D3359" t="s">
        <v>25</v>
      </c>
      <c r="E3359">
        <v>0</v>
      </c>
      <c r="F3359" t="s">
        <v>39</v>
      </c>
      <c r="G3359" t="s">
        <v>15</v>
      </c>
      <c r="H3359" t="s">
        <v>16</v>
      </c>
      <c r="I3359">
        <v>0</v>
      </c>
      <c r="J3359" s="23">
        <v>19091496</v>
      </c>
      <c r="K3359" t="s">
        <v>17</v>
      </c>
    </row>
    <row r="3360" spans="1:11" ht="15" customHeight="1" x14ac:dyDescent="0.3">
      <c r="A3360" t="s">
        <v>10</v>
      </c>
      <c r="B3360" t="s">
        <v>19</v>
      </c>
      <c r="C3360" t="s">
        <v>12</v>
      </c>
      <c r="D3360" t="s">
        <v>20</v>
      </c>
      <c r="E3360">
        <v>30</v>
      </c>
      <c r="F3360"/>
      <c r="G3360" t="s">
        <v>15</v>
      </c>
      <c r="H3360" t="s">
        <v>16</v>
      </c>
      <c r="I3360">
        <v>0</v>
      </c>
      <c r="J3360" s="23">
        <v>-1380375</v>
      </c>
      <c r="K3360" t="s">
        <v>17</v>
      </c>
    </row>
    <row r="3361" spans="1:11" ht="15" customHeight="1" x14ac:dyDescent="0.3">
      <c r="A3361" t="s">
        <v>18</v>
      </c>
      <c r="B3361" t="s">
        <v>11</v>
      </c>
      <c r="C3361" t="s">
        <v>12</v>
      </c>
      <c r="D3361" t="s">
        <v>28</v>
      </c>
      <c r="E3361">
        <v>15</v>
      </c>
      <c r="F3361" t="s">
        <v>37</v>
      </c>
      <c r="G3361" t="s">
        <v>15</v>
      </c>
      <c r="H3361" t="s">
        <v>16</v>
      </c>
      <c r="I3361">
        <v>0</v>
      </c>
      <c r="J3361" s="23">
        <v>-1538</v>
      </c>
      <c r="K3361" t="s">
        <v>17</v>
      </c>
    </row>
    <row r="3362" spans="1:11" ht="15" customHeight="1" x14ac:dyDescent="0.3">
      <c r="A3362" t="s">
        <v>18</v>
      </c>
      <c r="B3362" t="s">
        <v>19</v>
      </c>
      <c r="C3362" t="s">
        <v>12</v>
      </c>
      <c r="D3362" t="s">
        <v>20</v>
      </c>
      <c r="E3362">
        <v>26</v>
      </c>
      <c r="F3362"/>
      <c r="G3362" t="s">
        <v>15</v>
      </c>
      <c r="H3362" t="s">
        <v>32</v>
      </c>
      <c r="I3362">
        <v>1</v>
      </c>
      <c r="J3362" s="23">
        <v>-835</v>
      </c>
      <c r="K3362" t="s">
        <v>17</v>
      </c>
    </row>
    <row r="3363" spans="1:11" ht="15" customHeight="1" x14ac:dyDescent="0.3">
      <c r="A3363" t="s">
        <v>22</v>
      </c>
      <c r="B3363" t="s">
        <v>11</v>
      </c>
      <c r="C3363" t="s">
        <v>24</v>
      </c>
      <c r="D3363" t="s">
        <v>28</v>
      </c>
      <c r="E3363">
        <v>6</v>
      </c>
      <c r="F3363" t="s">
        <v>29</v>
      </c>
      <c r="G3363" t="s">
        <v>15</v>
      </c>
      <c r="H3363" t="s">
        <v>16</v>
      </c>
      <c r="I3363">
        <v>0</v>
      </c>
      <c r="J3363" s="23">
        <v>441259</v>
      </c>
      <c r="K3363">
        <v>2647554</v>
      </c>
    </row>
    <row r="3364" spans="1:11" ht="15" customHeight="1" x14ac:dyDescent="0.3">
      <c r="A3364" t="s">
        <v>18</v>
      </c>
      <c r="B3364" t="s">
        <v>11</v>
      </c>
      <c r="C3364" t="s">
        <v>24</v>
      </c>
      <c r="D3364" t="s">
        <v>28</v>
      </c>
      <c r="E3364">
        <v>3</v>
      </c>
      <c r="F3364" t="s">
        <v>33</v>
      </c>
      <c r="G3364" t="s">
        <v>15</v>
      </c>
      <c r="H3364" t="s">
        <v>32</v>
      </c>
      <c r="I3364">
        <v>1</v>
      </c>
      <c r="J3364" s="23">
        <v>983757</v>
      </c>
      <c r="K3364">
        <v>2951271</v>
      </c>
    </row>
    <row r="3365" spans="1:11" ht="15" customHeight="1" x14ac:dyDescent="0.3">
      <c r="A3365" t="s">
        <v>22</v>
      </c>
      <c r="B3365" t="s">
        <v>19</v>
      </c>
      <c r="C3365" t="s">
        <v>12</v>
      </c>
      <c r="D3365" t="s">
        <v>20</v>
      </c>
      <c r="E3365">
        <v>29</v>
      </c>
      <c r="F3365"/>
      <c r="G3365" t="s">
        <v>31</v>
      </c>
      <c r="H3365" t="s">
        <v>32</v>
      </c>
      <c r="I3365">
        <v>1</v>
      </c>
      <c r="J3365" s="23">
        <v>-3831</v>
      </c>
      <c r="K3365" t="s">
        <v>17</v>
      </c>
    </row>
    <row r="3366" spans="1:11" ht="15" customHeight="1" x14ac:dyDescent="0.3">
      <c r="A3366" t="s">
        <v>18</v>
      </c>
      <c r="B3366" t="s">
        <v>19</v>
      </c>
      <c r="C3366" t="s">
        <v>24</v>
      </c>
      <c r="D3366" t="s">
        <v>20</v>
      </c>
      <c r="E3366">
        <v>4</v>
      </c>
      <c r="F3366"/>
      <c r="G3366" t="s">
        <v>15</v>
      </c>
      <c r="H3366" t="s">
        <v>16</v>
      </c>
      <c r="I3366">
        <v>0</v>
      </c>
      <c r="J3366" s="23">
        <v>61137082</v>
      </c>
      <c r="K3366">
        <v>244548328</v>
      </c>
    </row>
    <row r="3367" spans="1:11" ht="15" customHeight="1" x14ac:dyDescent="0.3">
      <c r="A3367" t="s">
        <v>10</v>
      </c>
      <c r="B3367" t="s">
        <v>19</v>
      </c>
      <c r="C3367" t="s">
        <v>24</v>
      </c>
      <c r="D3367" t="s">
        <v>28</v>
      </c>
      <c r="E3367">
        <v>33</v>
      </c>
      <c r="F3367"/>
      <c r="G3367" t="s">
        <v>15</v>
      </c>
      <c r="H3367" t="s">
        <v>16</v>
      </c>
      <c r="I3367">
        <v>0</v>
      </c>
      <c r="J3367" s="23">
        <v>83648</v>
      </c>
      <c r="K3367">
        <v>2760384</v>
      </c>
    </row>
    <row r="3368" spans="1:11" ht="15" customHeight="1" x14ac:dyDescent="0.3">
      <c r="A3368" t="s">
        <v>18</v>
      </c>
      <c r="B3368" t="s">
        <v>19</v>
      </c>
      <c r="C3368" t="s">
        <v>12</v>
      </c>
      <c r="D3368" t="s">
        <v>20</v>
      </c>
      <c r="E3368">
        <v>4</v>
      </c>
      <c r="F3368"/>
      <c r="G3368" t="s">
        <v>15</v>
      </c>
      <c r="H3368" t="s">
        <v>16</v>
      </c>
      <c r="I3368">
        <v>0</v>
      </c>
      <c r="J3368" s="23">
        <v>-22839</v>
      </c>
      <c r="K3368" t="s">
        <v>17</v>
      </c>
    </row>
    <row r="3369" spans="1:11" ht="15" customHeight="1" x14ac:dyDescent="0.3">
      <c r="A3369" t="s">
        <v>10</v>
      </c>
      <c r="B3369" t="s">
        <v>11</v>
      </c>
      <c r="C3369" t="s">
        <v>12</v>
      </c>
      <c r="D3369" t="s">
        <v>28</v>
      </c>
      <c r="E3369">
        <v>8</v>
      </c>
      <c r="F3369" t="s">
        <v>33</v>
      </c>
      <c r="G3369" t="s">
        <v>15</v>
      </c>
      <c r="H3369" t="s">
        <v>32</v>
      </c>
      <c r="I3369">
        <v>1</v>
      </c>
      <c r="J3369" s="23">
        <v>-20468</v>
      </c>
      <c r="K3369" t="s">
        <v>17</v>
      </c>
    </row>
    <row r="3370" spans="1:11" ht="15" customHeight="1" x14ac:dyDescent="0.3">
      <c r="A3370" t="s">
        <v>18</v>
      </c>
      <c r="B3370" t="s">
        <v>11</v>
      </c>
      <c r="C3370" t="s">
        <v>24</v>
      </c>
      <c r="D3370" t="s">
        <v>28</v>
      </c>
      <c r="E3370">
        <v>13</v>
      </c>
      <c r="F3370" t="s">
        <v>26</v>
      </c>
      <c r="G3370" t="s">
        <v>15</v>
      </c>
      <c r="H3370" t="s">
        <v>16</v>
      </c>
      <c r="I3370">
        <v>0</v>
      </c>
      <c r="J3370" s="23">
        <v>17962876</v>
      </c>
      <c r="K3370">
        <v>233517388</v>
      </c>
    </row>
    <row r="3371" spans="1:11" ht="15" customHeight="1" x14ac:dyDescent="0.3">
      <c r="A3371" t="s">
        <v>18</v>
      </c>
      <c r="B3371" t="s">
        <v>11</v>
      </c>
      <c r="C3371" t="s">
        <v>24</v>
      </c>
      <c r="D3371" t="s">
        <v>25</v>
      </c>
      <c r="E3371">
        <v>3</v>
      </c>
      <c r="F3371" t="s">
        <v>14</v>
      </c>
      <c r="G3371" t="s">
        <v>15</v>
      </c>
      <c r="H3371" t="s">
        <v>16</v>
      </c>
      <c r="I3371">
        <v>0</v>
      </c>
      <c r="J3371" s="23">
        <v>6146118</v>
      </c>
      <c r="K3371">
        <v>18438354</v>
      </c>
    </row>
    <row r="3372" spans="1:11" ht="15" customHeight="1" x14ac:dyDescent="0.3">
      <c r="A3372" t="s">
        <v>10</v>
      </c>
      <c r="B3372" t="s">
        <v>11</v>
      </c>
      <c r="C3372" t="s">
        <v>12</v>
      </c>
      <c r="D3372" t="s">
        <v>28</v>
      </c>
      <c r="E3372">
        <v>-1</v>
      </c>
      <c r="F3372" t="s">
        <v>34</v>
      </c>
      <c r="G3372" t="s">
        <v>15</v>
      </c>
      <c r="H3372" t="s">
        <v>16</v>
      </c>
      <c r="I3372">
        <v>0</v>
      </c>
      <c r="J3372" s="23">
        <v>-34773</v>
      </c>
      <c r="K3372" t="s">
        <v>17</v>
      </c>
    </row>
    <row r="3373" spans="1:11" ht="15" customHeight="1" x14ac:dyDescent="0.3">
      <c r="A3373" t="s">
        <v>18</v>
      </c>
      <c r="B3373" t="s">
        <v>11</v>
      </c>
      <c r="C3373" t="s">
        <v>12</v>
      </c>
      <c r="D3373" t="s">
        <v>25</v>
      </c>
      <c r="E3373">
        <v>-4</v>
      </c>
      <c r="F3373" t="s">
        <v>42</v>
      </c>
      <c r="G3373" t="s">
        <v>15</v>
      </c>
      <c r="H3373" t="s">
        <v>16</v>
      </c>
      <c r="I3373">
        <v>0</v>
      </c>
      <c r="J3373" s="23">
        <v>0</v>
      </c>
      <c r="K3373" t="s">
        <v>17</v>
      </c>
    </row>
    <row r="3374" spans="1:11" ht="15" customHeight="1" x14ac:dyDescent="0.3">
      <c r="A3374" t="s">
        <v>22</v>
      </c>
      <c r="B3374" t="s">
        <v>11</v>
      </c>
      <c r="C3374" t="s">
        <v>24</v>
      </c>
      <c r="D3374" t="s">
        <v>25</v>
      </c>
      <c r="E3374">
        <v>0</v>
      </c>
      <c r="F3374" t="s">
        <v>34</v>
      </c>
      <c r="G3374" t="s">
        <v>15</v>
      </c>
      <c r="H3374" t="s">
        <v>16</v>
      </c>
      <c r="I3374">
        <v>0</v>
      </c>
      <c r="J3374" s="23">
        <v>40320</v>
      </c>
      <c r="K3374" t="s">
        <v>17</v>
      </c>
    </row>
    <row r="3375" spans="1:11" ht="15" customHeight="1" x14ac:dyDescent="0.3">
      <c r="A3375" t="s">
        <v>10</v>
      </c>
      <c r="B3375" t="s">
        <v>11</v>
      </c>
      <c r="C3375" t="s">
        <v>12</v>
      </c>
      <c r="D3375" t="s">
        <v>13</v>
      </c>
      <c r="E3375">
        <v>-1</v>
      </c>
      <c r="F3375" t="s">
        <v>37</v>
      </c>
      <c r="G3375" t="s">
        <v>15</v>
      </c>
      <c r="H3375" t="s">
        <v>16</v>
      </c>
      <c r="I3375">
        <v>0</v>
      </c>
      <c r="J3375" s="23">
        <v>-153881</v>
      </c>
      <c r="K3375" t="s">
        <v>17</v>
      </c>
    </row>
    <row r="3376" spans="1:11" ht="15" customHeight="1" x14ac:dyDescent="0.3">
      <c r="A3376" t="s">
        <v>18</v>
      </c>
      <c r="B3376" t="s">
        <v>11</v>
      </c>
      <c r="C3376" t="s">
        <v>12</v>
      </c>
      <c r="D3376" t="s">
        <v>25</v>
      </c>
      <c r="E3376">
        <v>3</v>
      </c>
      <c r="F3376" t="s">
        <v>36</v>
      </c>
      <c r="G3376" t="s">
        <v>15</v>
      </c>
      <c r="H3376" t="s">
        <v>16</v>
      </c>
      <c r="I3376">
        <v>0</v>
      </c>
      <c r="J3376" s="23">
        <v>-2371</v>
      </c>
      <c r="K3376" t="s">
        <v>17</v>
      </c>
    </row>
    <row r="3377" spans="1:11" ht="15" customHeight="1" x14ac:dyDescent="0.3">
      <c r="A3377" t="s">
        <v>10</v>
      </c>
      <c r="B3377" t="s">
        <v>19</v>
      </c>
      <c r="C3377" t="s">
        <v>12</v>
      </c>
      <c r="D3377" t="s">
        <v>20</v>
      </c>
      <c r="E3377">
        <v>7</v>
      </c>
      <c r="F3377"/>
      <c r="G3377" t="s">
        <v>15</v>
      </c>
      <c r="H3377" t="s">
        <v>32</v>
      </c>
      <c r="I3377">
        <v>1</v>
      </c>
      <c r="J3377" s="23">
        <v>-1179</v>
      </c>
      <c r="K3377" t="s">
        <v>17</v>
      </c>
    </row>
    <row r="3378" spans="1:11" ht="15" customHeight="1" x14ac:dyDescent="0.3">
      <c r="A3378" t="s">
        <v>10</v>
      </c>
      <c r="B3378" t="s">
        <v>11</v>
      </c>
      <c r="C3378" t="s">
        <v>12</v>
      </c>
      <c r="D3378" t="s">
        <v>13</v>
      </c>
      <c r="E3378">
        <v>-4</v>
      </c>
      <c r="F3378" t="s">
        <v>14</v>
      </c>
      <c r="G3378" t="s">
        <v>15</v>
      </c>
      <c r="H3378" t="s">
        <v>16</v>
      </c>
      <c r="I3378">
        <v>0</v>
      </c>
      <c r="J3378" s="23">
        <v>-745</v>
      </c>
      <c r="K3378" t="s">
        <v>17</v>
      </c>
    </row>
    <row r="3379" spans="1:11" ht="15" customHeight="1" x14ac:dyDescent="0.3">
      <c r="A3379" t="s">
        <v>18</v>
      </c>
      <c r="B3379" t="s">
        <v>19</v>
      </c>
      <c r="C3379" t="s">
        <v>12</v>
      </c>
      <c r="D3379" t="s">
        <v>20</v>
      </c>
      <c r="E3379">
        <v>6</v>
      </c>
      <c r="F3379"/>
      <c r="G3379" t="s">
        <v>15</v>
      </c>
      <c r="H3379" t="s">
        <v>16</v>
      </c>
      <c r="I3379">
        <v>0</v>
      </c>
      <c r="J3379" s="23">
        <v>-48998</v>
      </c>
      <c r="K3379" t="s">
        <v>17</v>
      </c>
    </row>
    <row r="3380" spans="1:11" ht="15" customHeight="1" x14ac:dyDescent="0.3">
      <c r="A3380" t="s">
        <v>10</v>
      </c>
      <c r="B3380" t="s">
        <v>11</v>
      </c>
      <c r="C3380" t="s">
        <v>12</v>
      </c>
      <c r="D3380" t="s">
        <v>13</v>
      </c>
      <c r="E3380">
        <v>2</v>
      </c>
      <c r="F3380" t="s">
        <v>35</v>
      </c>
      <c r="G3380" t="s">
        <v>15</v>
      </c>
      <c r="H3380" t="s">
        <v>16</v>
      </c>
      <c r="I3380">
        <v>0</v>
      </c>
      <c r="J3380" s="23">
        <v>-92631</v>
      </c>
      <c r="K3380" t="s">
        <v>17</v>
      </c>
    </row>
    <row r="3381" spans="1:11" ht="15" customHeight="1" x14ac:dyDescent="0.3">
      <c r="A3381" t="s">
        <v>18</v>
      </c>
      <c r="B3381" t="s">
        <v>19</v>
      </c>
      <c r="C3381" t="s">
        <v>12</v>
      </c>
      <c r="D3381" t="s">
        <v>20</v>
      </c>
      <c r="E3381">
        <v>29</v>
      </c>
      <c r="F3381"/>
      <c r="G3381" t="s">
        <v>31</v>
      </c>
      <c r="H3381" t="s">
        <v>32</v>
      </c>
      <c r="I3381">
        <v>1</v>
      </c>
      <c r="J3381" s="23">
        <v>-360</v>
      </c>
      <c r="K3381" t="s">
        <v>17</v>
      </c>
    </row>
    <row r="3382" spans="1:11" ht="15" customHeight="1" x14ac:dyDescent="0.3">
      <c r="A3382" t="s">
        <v>18</v>
      </c>
      <c r="B3382" t="s">
        <v>11</v>
      </c>
      <c r="C3382" t="s">
        <v>12</v>
      </c>
      <c r="D3382" t="s">
        <v>28</v>
      </c>
      <c r="E3382">
        <v>8</v>
      </c>
      <c r="F3382" t="s">
        <v>14</v>
      </c>
      <c r="G3382" t="s">
        <v>15</v>
      </c>
      <c r="H3382" t="s">
        <v>16</v>
      </c>
      <c r="I3382">
        <v>0</v>
      </c>
      <c r="J3382" s="23">
        <v>-5675</v>
      </c>
      <c r="K3382" t="s">
        <v>17</v>
      </c>
    </row>
    <row r="3383" spans="1:11" ht="15" customHeight="1" x14ac:dyDescent="0.3">
      <c r="A3383" t="s">
        <v>22</v>
      </c>
      <c r="B3383" t="s">
        <v>11</v>
      </c>
      <c r="C3383" t="s">
        <v>24</v>
      </c>
      <c r="D3383" t="s">
        <v>28</v>
      </c>
      <c r="E3383">
        <v>1</v>
      </c>
      <c r="F3383" t="s">
        <v>21</v>
      </c>
      <c r="G3383" t="s">
        <v>15</v>
      </c>
      <c r="H3383" t="s">
        <v>16</v>
      </c>
      <c r="I3383">
        <v>0</v>
      </c>
      <c r="J3383" s="23">
        <v>72089</v>
      </c>
      <c r="K3383">
        <v>72089</v>
      </c>
    </row>
    <row r="3384" spans="1:11" ht="15" customHeight="1" x14ac:dyDescent="0.3">
      <c r="A3384" t="s">
        <v>18</v>
      </c>
      <c r="B3384" t="s">
        <v>11</v>
      </c>
      <c r="C3384" t="s">
        <v>12</v>
      </c>
      <c r="D3384" t="s">
        <v>28</v>
      </c>
      <c r="E3384">
        <v>6</v>
      </c>
      <c r="F3384" t="s">
        <v>26</v>
      </c>
      <c r="G3384" t="s">
        <v>31</v>
      </c>
      <c r="H3384" t="s">
        <v>16</v>
      </c>
      <c r="I3384">
        <v>1</v>
      </c>
      <c r="J3384" s="23">
        <v>-663</v>
      </c>
      <c r="K3384" t="s">
        <v>17</v>
      </c>
    </row>
    <row r="3385" spans="1:11" ht="15" customHeight="1" x14ac:dyDescent="0.3">
      <c r="A3385" t="s">
        <v>18</v>
      </c>
      <c r="B3385" t="s">
        <v>19</v>
      </c>
      <c r="C3385" t="s">
        <v>12</v>
      </c>
      <c r="D3385" t="s">
        <v>28</v>
      </c>
      <c r="E3385">
        <v>-1</v>
      </c>
      <c r="F3385"/>
      <c r="G3385" t="s">
        <v>15</v>
      </c>
      <c r="H3385" t="s">
        <v>16</v>
      </c>
      <c r="I3385">
        <v>0</v>
      </c>
      <c r="J3385" s="23">
        <v>-7537</v>
      </c>
      <c r="K3385" t="s">
        <v>17</v>
      </c>
    </row>
    <row r="3386" spans="1:11" ht="15" customHeight="1" x14ac:dyDescent="0.3">
      <c r="A3386" t="s">
        <v>18</v>
      </c>
      <c r="B3386" t="s">
        <v>11</v>
      </c>
      <c r="C3386" t="s">
        <v>12</v>
      </c>
      <c r="D3386" t="s">
        <v>13</v>
      </c>
      <c r="E3386">
        <v>3</v>
      </c>
      <c r="F3386" t="s">
        <v>14</v>
      </c>
      <c r="G3386" t="s">
        <v>15</v>
      </c>
      <c r="H3386" t="s">
        <v>16</v>
      </c>
      <c r="I3386">
        <v>0</v>
      </c>
      <c r="J3386" s="23">
        <v>-43976</v>
      </c>
      <c r="K3386" t="s">
        <v>17</v>
      </c>
    </row>
    <row r="3387" spans="1:11" ht="15" customHeight="1" x14ac:dyDescent="0.3">
      <c r="A3387" t="s">
        <v>18</v>
      </c>
      <c r="B3387" t="s">
        <v>11</v>
      </c>
      <c r="C3387" t="s">
        <v>12</v>
      </c>
      <c r="D3387" t="s">
        <v>25</v>
      </c>
      <c r="E3387">
        <v>5</v>
      </c>
      <c r="F3387" t="s">
        <v>35</v>
      </c>
      <c r="G3387" t="s">
        <v>15</v>
      </c>
      <c r="H3387" t="s">
        <v>16</v>
      </c>
      <c r="I3387">
        <v>0</v>
      </c>
      <c r="J3387" s="23">
        <v>-1822</v>
      </c>
      <c r="K3387" t="s">
        <v>17</v>
      </c>
    </row>
    <row r="3388" spans="1:11" ht="15" customHeight="1" x14ac:dyDescent="0.3">
      <c r="A3388" t="s">
        <v>22</v>
      </c>
      <c r="B3388" t="s">
        <v>11</v>
      </c>
      <c r="C3388" t="s">
        <v>24</v>
      </c>
      <c r="D3388" t="s">
        <v>13</v>
      </c>
      <c r="E3388">
        <v>-1</v>
      </c>
      <c r="F3388" t="s">
        <v>40</v>
      </c>
      <c r="G3388" t="s">
        <v>15</v>
      </c>
      <c r="H3388" t="s">
        <v>16</v>
      </c>
      <c r="I3388">
        <v>0</v>
      </c>
      <c r="J3388" s="23">
        <v>2371367</v>
      </c>
      <c r="K3388" t="s">
        <v>17</v>
      </c>
    </row>
    <row r="3389" spans="1:11" ht="15" customHeight="1" x14ac:dyDescent="0.3">
      <c r="A3389" t="s">
        <v>18</v>
      </c>
      <c r="B3389" t="s">
        <v>11</v>
      </c>
      <c r="C3389" t="s">
        <v>24</v>
      </c>
      <c r="D3389" t="s">
        <v>13</v>
      </c>
      <c r="E3389">
        <v>4</v>
      </c>
      <c r="F3389" t="s">
        <v>30</v>
      </c>
      <c r="G3389" t="s">
        <v>15</v>
      </c>
      <c r="H3389" t="s">
        <v>16</v>
      </c>
      <c r="I3389">
        <v>0</v>
      </c>
      <c r="J3389" s="23">
        <v>137581382</v>
      </c>
      <c r="K3389">
        <v>550325528</v>
      </c>
    </row>
    <row r="3390" spans="1:11" ht="15" customHeight="1" x14ac:dyDescent="0.3">
      <c r="A3390" t="s">
        <v>10</v>
      </c>
      <c r="B3390" t="s">
        <v>19</v>
      </c>
      <c r="C3390" t="s">
        <v>12</v>
      </c>
      <c r="D3390" t="s">
        <v>20</v>
      </c>
      <c r="E3390">
        <v>20</v>
      </c>
      <c r="F3390"/>
      <c r="G3390" t="s">
        <v>15</v>
      </c>
      <c r="H3390" t="s">
        <v>16</v>
      </c>
      <c r="I3390">
        <v>0</v>
      </c>
      <c r="J3390" s="23">
        <v>-1084267</v>
      </c>
      <c r="K3390" t="s">
        <v>17</v>
      </c>
    </row>
    <row r="3391" spans="1:11" ht="15" customHeight="1" x14ac:dyDescent="0.3">
      <c r="A3391" t="s">
        <v>18</v>
      </c>
      <c r="B3391" t="s">
        <v>11</v>
      </c>
      <c r="C3391" t="s">
        <v>24</v>
      </c>
      <c r="D3391" t="s">
        <v>25</v>
      </c>
      <c r="E3391">
        <v>5</v>
      </c>
      <c r="F3391" t="s">
        <v>40</v>
      </c>
      <c r="G3391" t="s">
        <v>15</v>
      </c>
      <c r="H3391" t="s">
        <v>16</v>
      </c>
      <c r="I3391">
        <v>0</v>
      </c>
      <c r="J3391" s="23">
        <v>10042506</v>
      </c>
      <c r="K3391">
        <v>50212530</v>
      </c>
    </row>
    <row r="3392" spans="1:11" ht="15" customHeight="1" x14ac:dyDescent="0.3">
      <c r="A3392" t="s">
        <v>18</v>
      </c>
      <c r="B3392" t="s">
        <v>11</v>
      </c>
      <c r="C3392" t="s">
        <v>24</v>
      </c>
      <c r="D3392" t="s">
        <v>13</v>
      </c>
      <c r="E3392">
        <v>-1</v>
      </c>
      <c r="F3392" t="s">
        <v>41</v>
      </c>
      <c r="G3392" t="s">
        <v>15</v>
      </c>
      <c r="H3392" t="s">
        <v>16</v>
      </c>
      <c r="I3392">
        <v>0</v>
      </c>
      <c r="J3392" s="23">
        <v>1006138</v>
      </c>
      <c r="K3392" t="s">
        <v>17</v>
      </c>
    </row>
    <row r="3393" spans="1:11" ht="15" customHeight="1" x14ac:dyDescent="0.3">
      <c r="A3393" t="s">
        <v>18</v>
      </c>
      <c r="B3393" t="s">
        <v>11</v>
      </c>
      <c r="C3393" t="s">
        <v>12</v>
      </c>
      <c r="D3393" t="s">
        <v>25</v>
      </c>
      <c r="E3393">
        <v>-4</v>
      </c>
      <c r="F3393" t="s">
        <v>26</v>
      </c>
      <c r="G3393" t="s">
        <v>15</v>
      </c>
      <c r="H3393" t="s">
        <v>16</v>
      </c>
      <c r="I3393">
        <v>0</v>
      </c>
      <c r="J3393" s="23">
        <v>-2</v>
      </c>
      <c r="K3393" t="s">
        <v>17</v>
      </c>
    </row>
    <row r="3394" spans="1:11" ht="15" customHeight="1" x14ac:dyDescent="0.3">
      <c r="A3394" t="s">
        <v>18</v>
      </c>
      <c r="B3394" t="s">
        <v>19</v>
      </c>
      <c r="C3394" t="s">
        <v>12</v>
      </c>
      <c r="D3394" t="s">
        <v>20</v>
      </c>
      <c r="E3394">
        <v>18</v>
      </c>
      <c r="F3394"/>
      <c r="G3394" t="s">
        <v>15</v>
      </c>
      <c r="H3394" t="s">
        <v>32</v>
      </c>
      <c r="I3394">
        <v>1</v>
      </c>
      <c r="J3394" s="23">
        <v>-718</v>
      </c>
      <c r="K3394" t="s">
        <v>17</v>
      </c>
    </row>
    <row r="3395" spans="1:11" ht="15" customHeight="1" x14ac:dyDescent="0.3">
      <c r="A3395" t="s">
        <v>10</v>
      </c>
      <c r="B3395" t="s">
        <v>19</v>
      </c>
      <c r="C3395" t="s">
        <v>12</v>
      </c>
      <c r="D3395" t="s">
        <v>20</v>
      </c>
      <c r="E3395">
        <v>12</v>
      </c>
      <c r="F3395"/>
      <c r="G3395" t="s">
        <v>31</v>
      </c>
      <c r="H3395" t="s">
        <v>16</v>
      </c>
      <c r="I3395">
        <v>1</v>
      </c>
      <c r="J3395" s="23">
        <v>-2543</v>
      </c>
      <c r="K3395" t="s">
        <v>17</v>
      </c>
    </row>
    <row r="3396" spans="1:11" ht="15" customHeight="1" x14ac:dyDescent="0.3">
      <c r="A3396" t="s">
        <v>10</v>
      </c>
      <c r="B3396" t="s">
        <v>11</v>
      </c>
      <c r="C3396" t="s">
        <v>12</v>
      </c>
      <c r="D3396" t="s">
        <v>25</v>
      </c>
      <c r="E3396">
        <v>4</v>
      </c>
      <c r="F3396" t="s">
        <v>36</v>
      </c>
      <c r="G3396" t="s">
        <v>15</v>
      </c>
      <c r="H3396" t="s">
        <v>16</v>
      </c>
      <c r="I3396">
        <v>0</v>
      </c>
      <c r="J3396" s="23">
        <v>-2035</v>
      </c>
      <c r="K3396" t="s">
        <v>17</v>
      </c>
    </row>
    <row r="3397" spans="1:11" ht="15" customHeight="1" x14ac:dyDescent="0.3">
      <c r="A3397" t="s">
        <v>18</v>
      </c>
      <c r="B3397" t="s">
        <v>11</v>
      </c>
      <c r="C3397" t="s">
        <v>12</v>
      </c>
      <c r="D3397" t="s">
        <v>28</v>
      </c>
      <c r="E3397">
        <v>11</v>
      </c>
      <c r="F3397" t="s">
        <v>29</v>
      </c>
      <c r="G3397" t="s">
        <v>15</v>
      </c>
      <c r="H3397" t="s">
        <v>16</v>
      </c>
      <c r="I3397">
        <v>0</v>
      </c>
      <c r="J3397" s="23">
        <v>-13541</v>
      </c>
      <c r="K3397" t="s">
        <v>17</v>
      </c>
    </row>
    <row r="3398" spans="1:11" ht="15" customHeight="1" x14ac:dyDescent="0.3">
      <c r="A3398" t="s">
        <v>22</v>
      </c>
      <c r="B3398" t="s">
        <v>11</v>
      </c>
      <c r="C3398" t="s">
        <v>12</v>
      </c>
      <c r="D3398" t="s">
        <v>13</v>
      </c>
      <c r="E3398">
        <v>10</v>
      </c>
      <c r="F3398" t="s">
        <v>33</v>
      </c>
      <c r="G3398" t="s">
        <v>15</v>
      </c>
      <c r="H3398" t="s">
        <v>16</v>
      </c>
      <c r="I3398">
        <v>0</v>
      </c>
      <c r="J3398" s="23">
        <v>-7039</v>
      </c>
      <c r="K3398" t="s">
        <v>17</v>
      </c>
    </row>
    <row r="3399" spans="1:11" ht="15" customHeight="1" x14ac:dyDescent="0.3">
      <c r="A3399" t="s">
        <v>18</v>
      </c>
      <c r="B3399" t="s">
        <v>19</v>
      </c>
      <c r="C3399" t="s">
        <v>12</v>
      </c>
      <c r="D3399" t="s">
        <v>20</v>
      </c>
      <c r="E3399">
        <v>30</v>
      </c>
      <c r="F3399"/>
      <c r="G3399" t="s">
        <v>15</v>
      </c>
      <c r="H3399" t="s">
        <v>16</v>
      </c>
      <c r="I3399">
        <v>0</v>
      </c>
      <c r="J3399" s="23">
        <v>-393958</v>
      </c>
      <c r="K3399" t="s">
        <v>17</v>
      </c>
    </row>
    <row r="3400" spans="1:11" ht="15" customHeight="1" x14ac:dyDescent="0.3">
      <c r="A3400" t="s">
        <v>18</v>
      </c>
      <c r="B3400" t="s">
        <v>11</v>
      </c>
      <c r="C3400" t="s">
        <v>24</v>
      </c>
      <c r="D3400" t="s">
        <v>28</v>
      </c>
      <c r="E3400">
        <v>6</v>
      </c>
      <c r="F3400" t="s">
        <v>34</v>
      </c>
      <c r="G3400" t="s">
        <v>15</v>
      </c>
      <c r="H3400" t="s">
        <v>32</v>
      </c>
      <c r="I3400">
        <v>1</v>
      </c>
      <c r="J3400" s="23">
        <v>593305</v>
      </c>
      <c r="K3400">
        <v>3559830</v>
      </c>
    </row>
    <row r="3401" spans="1:11" ht="15" customHeight="1" x14ac:dyDescent="0.3">
      <c r="A3401" t="s">
        <v>22</v>
      </c>
      <c r="B3401" t="s">
        <v>11</v>
      </c>
      <c r="C3401" t="s">
        <v>12</v>
      </c>
      <c r="D3401" t="s">
        <v>28</v>
      </c>
      <c r="E3401">
        <v>-4</v>
      </c>
      <c r="F3401" t="s">
        <v>29</v>
      </c>
      <c r="G3401" t="s">
        <v>15</v>
      </c>
      <c r="H3401" t="s">
        <v>16</v>
      </c>
      <c r="I3401">
        <v>0</v>
      </c>
      <c r="J3401" s="23">
        <v>-466945</v>
      </c>
      <c r="K3401" t="s">
        <v>17</v>
      </c>
    </row>
    <row r="3402" spans="1:11" ht="15" customHeight="1" x14ac:dyDescent="0.3">
      <c r="A3402" t="s">
        <v>18</v>
      </c>
      <c r="B3402" t="s">
        <v>11</v>
      </c>
      <c r="C3402" t="s">
        <v>24</v>
      </c>
      <c r="D3402" t="s">
        <v>28</v>
      </c>
      <c r="E3402">
        <v>1</v>
      </c>
      <c r="F3402" t="s">
        <v>34</v>
      </c>
      <c r="G3402" t="s">
        <v>31</v>
      </c>
      <c r="H3402" t="s">
        <v>16</v>
      </c>
      <c r="I3402">
        <v>1</v>
      </c>
      <c r="J3402" s="23">
        <v>123923</v>
      </c>
      <c r="K3402">
        <v>123923</v>
      </c>
    </row>
    <row r="3403" spans="1:11" ht="15" customHeight="1" x14ac:dyDescent="0.3">
      <c r="A3403" t="s">
        <v>22</v>
      </c>
      <c r="B3403" t="s">
        <v>11</v>
      </c>
      <c r="C3403" t="s">
        <v>12</v>
      </c>
      <c r="D3403" t="s">
        <v>28</v>
      </c>
      <c r="E3403">
        <v>1</v>
      </c>
      <c r="F3403" t="s">
        <v>26</v>
      </c>
      <c r="G3403" t="s">
        <v>15</v>
      </c>
      <c r="H3403" t="s">
        <v>16</v>
      </c>
      <c r="I3403">
        <v>0</v>
      </c>
      <c r="J3403" s="23">
        <v>-2075734</v>
      </c>
      <c r="K3403" t="s">
        <v>17</v>
      </c>
    </row>
    <row r="3404" spans="1:11" ht="15" customHeight="1" x14ac:dyDescent="0.3">
      <c r="A3404" t="s">
        <v>10</v>
      </c>
      <c r="B3404" t="s">
        <v>11</v>
      </c>
      <c r="C3404" t="s">
        <v>24</v>
      </c>
      <c r="D3404" t="s">
        <v>28</v>
      </c>
      <c r="E3404">
        <v>14</v>
      </c>
      <c r="F3404" t="s">
        <v>29</v>
      </c>
      <c r="G3404" t="s">
        <v>15</v>
      </c>
      <c r="H3404" t="s">
        <v>16</v>
      </c>
      <c r="I3404">
        <v>0</v>
      </c>
      <c r="J3404" s="23">
        <v>132696</v>
      </c>
      <c r="K3404">
        <v>1857744</v>
      </c>
    </row>
    <row r="3405" spans="1:11" ht="15" customHeight="1" x14ac:dyDescent="0.3">
      <c r="A3405" t="s">
        <v>22</v>
      </c>
      <c r="B3405" t="s">
        <v>19</v>
      </c>
      <c r="C3405" t="s">
        <v>12</v>
      </c>
      <c r="D3405" t="s">
        <v>20</v>
      </c>
      <c r="E3405">
        <v>22</v>
      </c>
      <c r="F3405"/>
      <c r="G3405" t="s">
        <v>15</v>
      </c>
      <c r="H3405" t="s">
        <v>16</v>
      </c>
      <c r="I3405">
        <v>0</v>
      </c>
      <c r="J3405" s="23">
        <v>-3095663</v>
      </c>
      <c r="K3405" t="s">
        <v>17</v>
      </c>
    </row>
    <row r="3406" spans="1:11" ht="15" customHeight="1" x14ac:dyDescent="0.3">
      <c r="A3406" t="s">
        <v>18</v>
      </c>
      <c r="B3406" t="s">
        <v>11</v>
      </c>
      <c r="C3406" t="s">
        <v>12</v>
      </c>
      <c r="D3406" t="s">
        <v>13</v>
      </c>
      <c r="E3406">
        <v>3</v>
      </c>
      <c r="F3406" t="s">
        <v>46</v>
      </c>
      <c r="G3406" t="s">
        <v>15</v>
      </c>
      <c r="H3406" t="s">
        <v>16</v>
      </c>
      <c r="I3406">
        <v>0</v>
      </c>
      <c r="J3406" s="23">
        <v>-721</v>
      </c>
      <c r="K3406" t="s">
        <v>17</v>
      </c>
    </row>
    <row r="3407" spans="1:11" ht="15" customHeight="1" x14ac:dyDescent="0.3">
      <c r="A3407" t="s">
        <v>10</v>
      </c>
      <c r="B3407" t="s">
        <v>11</v>
      </c>
      <c r="C3407" t="s">
        <v>12</v>
      </c>
      <c r="D3407" t="s">
        <v>13</v>
      </c>
      <c r="E3407">
        <v>7</v>
      </c>
      <c r="F3407" t="s">
        <v>30</v>
      </c>
      <c r="G3407" t="s">
        <v>15</v>
      </c>
      <c r="H3407" t="s">
        <v>16</v>
      </c>
      <c r="I3407">
        <v>0</v>
      </c>
      <c r="J3407" s="23">
        <v>-76684</v>
      </c>
      <c r="K3407" t="s">
        <v>17</v>
      </c>
    </row>
    <row r="3408" spans="1:11" ht="15" customHeight="1" x14ac:dyDescent="0.3">
      <c r="A3408" t="s">
        <v>18</v>
      </c>
      <c r="B3408" t="s">
        <v>11</v>
      </c>
      <c r="C3408" t="s">
        <v>24</v>
      </c>
      <c r="D3408" t="s">
        <v>25</v>
      </c>
      <c r="E3408">
        <v>6</v>
      </c>
      <c r="F3408" t="s">
        <v>42</v>
      </c>
      <c r="G3408" t="s">
        <v>15</v>
      </c>
      <c r="H3408" t="s">
        <v>16</v>
      </c>
      <c r="I3408">
        <v>0</v>
      </c>
      <c r="J3408" s="23">
        <v>245529</v>
      </c>
      <c r="K3408">
        <v>1473174</v>
      </c>
    </row>
    <row r="3409" spans="1:11" ht="15" customHeight="1" x14ac:dyDescent="0.3">
      <c r="A3409" t="s">
        <v>10</v>
      </c>
      <c r="B3409" t="s">
        <v>11</v>
      </c>
      <c r="C3409" t="s">
        <v>12</v>
      </c>
      <c r="D3409" t="s">
        <v>13</v>
      </c>
      <c r="E3409">
        <v>-4</v>
      </c>
      <c r="F3409" t="s">
        <v>33</v>
      </c>
      <c r="G3409" t="s">
        <v>15</v>
      </c>
      <c r="H3409" t="s">
        <v>16</v>
      </c>
      <c r="I3409">
        <v>0</v>
      </c>
      <c r="J3409" s="23">
        <v>-264</v>
      </c>
      <c r="K3409" t="s">
        <v>17</v>
      </c>
    </row>
    <row r="3410" spans="1:11" ht="15" customHeight="1" x14ac:dyDescent="0.3">
      <c r="A3410" t="s">
        <v>18</v>
      </c>
      <c r="B3410" t="s">
        <v>11</v>
      </c>
      <c r="C3410" t="s">
        <v>12</v>
      </c>
      <c r="D3410" t="s">
        <v>25</v>
      </c>
      <c r="E3410">
        <v>2</v>
      </c>
      <c r="F3410" t="s">
        <v>26</v>
      </c>
      <c r="G3410" t="s">
        <v>15</v>
      </c>
      <c r="H3410" t="s">
        <v>16</v>
      </c>
      <c r="I3410">
        <v>0</v>
      </c>
      <c r="J3410" s="23">
        <v>-12167</v>
      </c>
      <c r="K3410" t="s">
        <v>17</v>
      </c>
    </row>
    <row r="3411" spans="1:11" ht="15" customHeight="1" x14ac:dyDescent="0.3">
      <c r="A3411" t="s">
        <v>18</v>
      </c>
      <c r="B3411" t="s">
        <v>11</v>
      </c>
      <c r="C3411" t="s">
        <v>12</v>
      </c>
      <c r="D3411" t="s">
        <v>13</v>
      </c>
      <c r="E3411">
        <v>6</v>
      </c>
      <c r="F3411" t="s">
        <v>42</v>
      </c>
      <c r="G3411" t="s">
        <v>15</v>
      </c>
      <c r="H3411" t="s">
        <v>16</v>
      </c>
      <c r="I3411">
        <v>0</v>
      </c>
      <c r="J3411" s="23">
        <v>-3345</v>
      </c>
      <c r="K3411" t="s">
        <v>17</v>
      </c>
    </row>
    <row r="3412" spans="1:11" ht="15" customHeight="1" x14ac:dyDescent="0.3">
      <c r="A3412" t="s">
        <v>18</v>
      </c>
      <c r="B3412" t="s">
        <v>11</v>
      </c>
      <c r="C3412" t="s">
        <v>12</v>
      </c>
      <c r="D3412" t="s">
        <v>28</v>
      </c>
      <c r="E3412">
        <v>12</v>
      </c>
      <c r="F3412" t="s">
        <v>33</v>
      </c>
      <c r="G3412" t="s">
        <v>15</v>
      </c>
      <c r="H3412" t="s">
        <v>32</v>
      </c>
      <c r="I3412">
        <v>1</v>
      </c>
      <c r="J3412" s="23">
        <v>-12474</v>
      </c>
      <c r="K3412" t="s">
        <v>17</v>
      </c>
    </row>
    <row r="3413" spans="1:11" ht="15" customHeight="1" x14ac:dyDescent="0.3">
      <c r="A3413" t="s">
        <v>10</v>
      </c>
      <c r="B3413" t="s">
        <v>11</v>
      </c>
      <c r="C3413" t="s">
        <v>12</v>
      </c>
      <c r="D3413" t="s">
        <v>13</v>
      </c>
      <c r="E3413">
        <v>0</v>
      </c>
      <c r="F3413" t="s">
        <v>29</v>
      </c>
      <c r="G3413" t="s">
        <v>15</v>
      </c>
      <c r="H3413" t="s">
        <v>16</v>
      </c>
      <c r="I3413">
        <v>0</v>
      </c>
      <c r="J3413" s="23">
        <v>-1047611</v>
      </c>
      <c r="K3413" t="s">
        <v>17</v>
      </c>
    </row>
    <row r="3414" spans="1:11" ht="15" customHeight="1" x14ac:dyDescent="0.3">
      <c r="A3414" t="s">
        <v>22</v>
      </c>
      <c r="B3414" t="s">
        <v>11</v>
      </c>
      <c r="C3414" t="s">
        <v>12</v>
      </c>
      <c r="D3414" t="s">
        <v>13</v>
      </c>
      <c r="E3414">
        <v>3</v>
      </c>
      <c r="F3414" t="s">
        <v>29</v>
      </c>
      <c r="G3414" t="s">
        <v>15</v>
      </c>
      <c r="H3414" t="s">
        <v>16</v>
      </c>
      <c r="I3414">
        <v>0</v>
      </c>
      <c r="J3414" s="23">
        <v>-3715953</v>
      </c>
      <c r="K3414" t="s">
        <v>17</v>
      </c>
    </row>
    <row r="3415" spans="1:11" ht="15" customHeight="1" x14ac:dyDescent="0.3">
      <c r="A3415" t="s">
        <v>22</v>
      </c>
      <c r="B3415" t="s">
        <v>11</v>
      </c>
      <c r="C3415" t="s">
        <v>24</v>
      </c>
      <c r="D3415" t="s">
        <v>28</v>
      </c>
      <c r="E3415">
        <v>6</v>
      </c>
      <c r="F3415" t="s">
        <v>14</v>
      </c>
      <c r="G3415" t="s">
        <v>15</v>
      </c>
      <c r="H3415" t="s">
        <v>16</v>
      </c>
      <c r="I3415">
        <v>0</v>
      </c>
      <c r="J3415" s="23">
        <v>102226</v>
      </c>
      <c r="K3415">
        <v>613356</v>
      </c>
    </row>
    <row r="3416" spans="1:11" ht="15" customHeight="1" x14ac:dyDescent="0.3">
      <c r="A3416" t="s">
        <v>18</v>
      </c>
      <c r="B3416" t="s">
        <v>44</v>
      </c>
      <c r="C3416" t="s">
        <v>12</v>
      </c>
      <c r="D3416" t="s">
        <v>28</v>
      </c>
      <c r="E3416">
        <v>2</v>
      </c>
      <c r="F3416" t="s">
        <v>38</v>
      </c>
      <c r="G3416" t="s">
        <v>15</v>
      </c>
      <c r="H3416" t="s">
        <v>16</v>
      </c>
      <c r="I3416">
        <v>0</v>
      </c>
      <c r="J3416" s="23">
        <v>-12782</v>
      </c>
      <c r="K3416" t="s">
        <v>17</v>
      </c>
    </row>
    <row r="3417" spans="1:11" ht="15" customHeight="1" x14ac:dyDescent="0.3">
      <c r="A3417" t="s">
        <v>10</v>
      </c>
      <c r="B3417" t="s">
        <v>11</v>
      </c>
      <c r="C3417" t="s">
        <v>12</v>
      </c>
      <c r="D3417" t="s">
        <v>28</v>
      </c>
      <c r="E3417">
        <v>6</v>
      </c>
      <c r="F3417" t="s">
        <v>23</v>
      </c>
      <c r="G3417" t="s">
        <v>15</v>
      </c>
      <c r="H3417" t="s">
        <v>16</v>
      </c>
      <c r="I3417">
        <v>0</v>
      </c>
      <c r="J3417" s="23">
        <v>-331237</v>
      </c>
      <c r="K3417" t="s">
        <v>17</v>
      </c>
    </row>
    <row r="3418" spans="1:11" ht="15" customHeight="1" x14ac:dyDescent="0.3">
      <c r="A3418" t="s">
        <v>18</v>
      </c>
      <c r="B3418" t="s">
        <v>11</v>
      </c>
      <c r="C3418" t="s">
        <v>24</v>
      </c>
      <c r="D3418" t="s">
        <v>13</v>
      </c>
      <c r="E3418">
        <v>7</v>
      </c>
      <c r="F3418" t="s">
        <v>40</v>
      </c>
      <c r="G3418" t="s">
        <v>15</v>
      </c>
      <c r="H3418" t="s">
        <v>16</v>
      </c>
      <c r="I3418">
        <v>0</v>
      </c>
      <c r="J3418" s="23">
        <v>67702226</v>
      </c>
      <c r="K3418">
        <v>473915582</v>
      </c>
    </row>
    <row r="3419" spans="1:11" ht="15" customHeight="1" x14ac:dyDescent="0.3">
      <c r="A3419" t="s">
        <v>18</v>
      </c>
      <c r="B3419" t="s">
        <v>11</v>
      </c>
      <c r="C3419" t="s">
        <v>24</v>
      </c>
      <c r="D3419" t="s">
        <v>28</v>
      </c>
      <c r="E3419">
        <v>8</v>
      </c>
      <c r="F3419" t="s">
        <v>35</v>
      </c>
      <c r="G3419" t="s">
        <v>15</v>
      </c>
      <c r="H3419" t="s">
        <v>16</v>
      </c>
      <c r="I3419">
        <v>0</v>
      </c>
      <c r="J3419" s="23">
        <v>2119786</v>
      </c>
      <c r="K3419">
        <v>16958288</v>
      </c>
    </row>
    <row r="3420" spans="1:11" ht="15" customHeight="1" x14ac:dyDescent="0.3">
      <c r="A3420" t="s">
        <v>18</v>
      </c>
      <c r="B3420" t="s">
        <v>11</v>
      </c>
      <c r="C3420" t="s">
        <v>12</v>
      </c>
      <c r="D3420" t="s">
        <v>28</v>
      </c>
      <c r="E3420">
        <v>-1</v>
      </c>
      <c r="F3420" t="s">
        <v>35</v>
      </c>
      <c r="G3420" t="s">
        <v>15</v>
      </c>
      <c r="H3420" t="s">
        <v>16</v>
      </c>
      <c r="I3420">
        <v>0</v>
      </c>
      <c r="J3420" s="23">
        <v>-2219</v>
      </c>
      <c r="K3420" t="s">
        <v>17</v>
      </c>
    </row>
    <row r="3421" spans="1:11" ht="15" customHeight="1" x14ac:dyDescent="0.3">
      <c r="A3421" t="s">
        <v>22</v>
      </c>
      <c r="B3421" t="s">
        <v>11</v>
      </c>
      <c r="C3421" t="s">
        <v>24</v>
      </c>
      <c r="D3421" t="s">
        <v>28</v>
      </c>
      <c r="E3421">
        <v>8</v>
      </c>
      <c r="F3421" t="s">
        <v>26</v>
      </c>
      <c r="G3421" t="s">
        <v>15</v>
      </c>
      <c r="H3421" t="s">
        <v>16</v>
      </c>
      <c r="I3421">
        <v>0</v>
      </c>
      <c r="J3421" s="23">
        <v>381041</v>
      </c>
      <c r="K3421">
        <v>3048328</v>
      </c>
    </row>
    <row r="3422" spans="1:11" ht="15" customHeight="1" x14ac:dyDescent="0.3">
      <c r="A3422" t="s">
        <v>18</v>
      </c>
      <c r="B3422" t="s">
        <v>11</v>
      </c>
      <c r="C3422" t="s">
        <v>24</v>
      </c>
      <c r="D3422" t="s">
        <v>13</v>
      </c>
      <c r="E3422">
        <v>3</v>
      </c>
      <c r="F3422" t="s">
        <v>39</v>
      </c>
      <c r="G3422" t="s">
        <v>15</v>
      </c>
      <c r="H3422" t="s">
        <v>16</v>
      </c>
      <c r="I3422">
        <v>0</v>
      </c>
      <c r="J3422" s="23">
        <v>14195906</v>
      </c>
      <c r="K3422">
        <v>42587718</v>
      </c>
    </row>
    <row r="3423" spans="1:11" ht="15" customHeight="1" x14ac:dyDescent="0.3">
      <c r="A3423" t="s">
        <v>18</v>
      </c>
      <c r="B3423" t="s">
        <v>11</v>
      </c>
      <c r="C3423" t="s">
        <v>12</v>
      </c>
      <c r="D3423" t="s">
        <v>25</v>
      </c>
      <c r="E3423">
        <v>2</v>
      </c>
      <c r="F3423" t="s">
        <v>37</v>
      </c>
      <c r="G3423" t="s">
        <v>15</v>
      </c>
      <c r="H3423" t="s">
        <v>16</v>
      </c>
      <c r="I3423">
        <v>0</v>
      </c>
      <c r="J3423" s="23">
        <v>-538</v>
      </c>
      <c r="K3423" t="s">
        <v>17</v>
      </c>
    </row>
    <row r="3424" spans="1:11" ht="15" customHeight="1" x14ac:dyDescent="0.3">
      <c r="A3424" t="s">
        <v>18</v>
      </c>
      <c r="B3424" t="s">
        <v>11</v>
      </c>
      <c r="C3424" t="s">
        <v>12</v>
      </c>
      <c r="D3424" t="s">
        <v>28</v>
      </c>
      <c r="E3424">
        <v>12</v>
      </c>
      <c r="F3424" t="s">
        <v>26</v>
      </c>
      <c r="G3424" t="s">
        <v>15</v>
      </c>
      <c r="H3424" t="s">
        <v>16</v>
      </c>
      <c r="I3424">
        <v>0</v>
      </c>
      <c r="J3424" s="23">
        <v>-68057</v>
      </c>
      <c r="K3424" t="s">
        <v>17</v>
      </c>
    </row>
    <row r="3425" spans="1:11" ht="15" customHeight="1" x14ac:dyDescent="0.3">
      <c r="A3425" t="s">
        <v>10</v>
      </c>
      <c r="B3425" t="s">
        <v>11</v>
      </c>
      <c r="C3425" t="s">
        <v>24</v>
      </c>
      <c r="D3425" t="s">
        <v>28</v>
      </c>
      <c r="E3425">
        <v>12</v>
      </c>
      <c r="F3425" t="s">
        <v>30</v>
      </c>
      <c r="G3425" t="s">
        <v>15</v>
      </c>
      <c r="H3425" t="s">
        <v>16</v>
      </c>
      <c r="I3425">
        <v>0</v>
      </c>
      <c r="J3425" s="23">
        <v>8982709</v>
      </c>
      <c r="K3425">
        <v>107792508</v>
      </c>
    </row>
    <row r="3426" spans="1:11" ht="15" customHeight="1" x14ac:dyDescent="0.3">
      <c r="A3426" t="s">
        <v>22</v>
      </c>
      <c r="B3426" t="s">
        <v>11</v>
      </c>
      <c r="C3426" t="s">
        <v>24</v>
      </c>
      <c r="D3426" t="s">
        <v>28</v>
      </c>
      <c r="E3426">
        <v>10</v>
      </c>
      <c r="F3426" t="s">
        <v>37</v>
      </c>
      <c r="G3426" t="s">
        <v>15</v>
      </c>
      <c r="H3426" t="s">
        <v>16</v>
      </c>
      <c r="I3426">
        <v>0</v>
      </c>
      <c r="J3426" s="23">
        <v>1851559</v>
      </c>
      <c r="K3426">
        <v>18515590</v>
      </c>
    </row>
    <row r="3427" spans="1:11" ht="15" customHeight="1" x14ac:dyDescent="0.3">
      <c r="A3427" t="s">
        <v>18</v>
      </c>
      <c r="B3427" t="s">
        <v>47</v>
      </c>
      <c r="C3427" t="s">
        <v>24</v>
      </c>
      <c r="D3427" t="s">
        <v>20</v>
      </c>
      <c r="E3427">
        <v>4</v>
      </c>
      <c r="F3427" t="s">
        <v>46</v>
      </c>
      <c r="G3427" t="s">
        <v>15</v>
      </c>
      <c r="H3427" t="s">
        <v>16</v>
      </c>
      <c r="I3427">
        <v>0</v>
      </c>
      <c r="J3427" s="23">
        <v>50211</v>
      </c>
      <c r="K3427">
        <v>200844</v>
      </c>
    </row>
    <row r="3428" spans="1:11" ht="15" customHeight="1" x14ac:dyDescent="0.3">
      <c r="A3428" t="s">
        <v>10</v>
      </c>
      <c r="B3428" t="s">
        <v>19</v>
      </c>
      <c r="C3428" t="s">
        <v>24</v>
      </c>
      <c r="D3428" t="s">
        <v>20</v>
      </c>
      <c r="E3428">
        <v>30</v>
      </c>
      <c r="F3428"/>
      <c r="G3428" t="s">
        <v>15</v>
      </c>
      <c r="H3428" t="s">
        <v>32</v>
      </c>
      <c r="I3428">
        <v>1</v>
      </c>
      <c r="J3428" s="23">
        <v>252425</v>
      </c>
      <c r="K3428">
        <v>7572750</v>
      </c>
    </row>
    <row r="3429" spans="1:11" ht="15" customHeight="1" x14ac:dyDescent="0.3">
      <c r="A3429" t="s">
        <v>22</v>
      </c>
      <c r="B3429" t="s">
        <v>19</v>
      </c>
      <c r="C3429" t="s">
        <v>24</v>
      </c>
      <c r="D3429" t="s">
        <v>20</v>
      </c>
      <c r="E3429">
        <v>21</v>
      </c>
      <c r="F3429"/>
      <c r="G3429" t="s">
        <v>31</v>
      </c>
      <c r="H3429" t="s">
        <v>16</v>
      </c>
      <c r="I3429">
        <v>1</v>
      </c>
      <c r="J3429" s="23">
        <v>151848</v>
      </c>
      <c r="K3429">
        <v>3188808</v>
      </c>
    </row>
    <row r="3430" spans="1:11" ht="15" customHeight="1" x14ac:dyDescent="0.3">
      <c r="A3430" t="s">
        <v>18</v>
      </c>
      <c r="B3430" t="s">
        <v>11</v>
      </c>
      <c r="C3430" t="s">
        <v>12</v>
      </c>
      <c r="D3430" t="s">
        <v>25</v>
      </c>
      <c r="E3430">
        <v>5</v>
      </c>
      <c r="F3430" t="s">
        <v>36</v>
      </c>
      <c r="G3430" t="s">
        <v>15</v>
      </c>
      <c r="H3430" t="s">
        <v>16</v>
      </c>
      <c r="I3430">
        <v>0</v>
      </c>
      <c r="J3430" s="23">
        <v>-781</v>
      </c>
      <c r="K3430" t="s">
        <v>17</v>
      </c>
    </row>
    <row r="3431" spans="1:11" ht="15" customHeight="1" x14ac:dyDescent="0.3">
      <c r="A3431" t="s">
        <v>10</v>
      </c>
      <c r="B3431" t="s">
        <v>11</v>
      </c>
      <c r="C3431" t="s">
        <v>12</v>
      </c>
      <c r="D3431" t="s">
        <v>25</v>
      </c>
      <c r="E3431">
        <v>3</v>
      </c>
      <c r="F3431" t="s">
        <v>35</v>
      </c>
      <c r="G3431" t="s">
        <v>15</v>
      </c>
      <c r="H3431" t="s">
        <v>16</v>
      </c>
      <c r="I3431">
        <v>0</v>
      </c>
      <c r="J3431" s="23">
        <v>-22063</v>
      </c>
      <c r="K3431" t="s">
        <v>17</v>
      </c>
    </row>
    <row r="3432" spans="1:11" ht="15" customHeight="1" x14ac:dyDescent="0.3">
      <c r="A3432" t="s">
        <v>10</v>
      </c>
      <c r="B3432" t="s">
        <v>11</v>
      </c>
      <c r="C3432" t="s">
        <v>24</v>
      </c>
      <c r="D3432" t="s">
        <v>25</v>
      </c>
      <c r="E3432">
        <v>-4</v>
      </c>
      <c r="F3432" t="s">
        <v>23</v>
      </c>
      <c r="G3432" t="s">
        <v>15</v>
      </c>
      <c r="H3432" t="s">
        <v>16</v>
      </c>
      <c r="I3432">
        <v>0</v>
      </c>
      <c r="J3432" s="23">
        <v>949</v>
      </c>
      <c r="K3432" t="s">
        <v>17</v>
      </c>
    </row>
    <row r="3433" spans="1:11" ht="15" customHeight="1" x14ac:dyDescent="0.3">
      <c r="A3433" t="s">
        <v>22</v>
      </c>
      <c r="B3433" t="s">
        <v>11</v>
      </c>
      <c r="C3433" t="s">
        <v>12</v>
      </c>
      <c r="D3433" t="s">
        <v>25</v>
      </c>
      <c r="E3433">
        <v>4</v>
      </c>
      <c r="F3433" t="s">
        <v>40</v>
      </c>
      <c r="G3433" t="s">
        <v>15</v>
      </c>
      <c r="H3433" t="s">
        <v>16</v>
      </c>
      <c r="I3433">
        <v>0</v>
      </c>
      <c r="J3433" s="23">
        <v>-62772</v>
      </c>
      <c r="K3433" t="s">
        <v>17</v>
      </c>
    </row>
    <row r="3434" spans="1:11" ht="15" customHeight="1" x14ac:dyDescent="0.3">
      <c r="A3434" t="s">
        <v>10</v>
      </c>
      <c r="B3434" t="s">
        <v>11</v>
      </c>
      <c r="C3434" t="s">
        <v>24</v>
      </c>
      <c r="D3434" t="s">
        <v>13</v>
      </c>
      <c r="E3434">
        <v>4</v>
      </c>
      <c r="F3434" t="s">
        <v>39</v>
      </c>
      <c r="G3434" t="s">
        <v>15</v>
      </c>
      <c r="H3434" t="s">
        <v>16</v>
      </c>
      <c r="I3434">
        <v>0</v>
      </c>
      <c r="J3434" s="23">
        <v>1163171</v>
      </c>
      <c r="K3434">
        <v>4652684</v>
      </c>
    </row>
    <row r="3435" spans="1:11" ht="15" customHeight="1" x14ac:dyDescent="0.3">
      <c r="A3435" t="s">
        <v>18</v>
      </c>
      <c r="B3435" t="s">
        <v>11</v>
      </c>
      <c r="C3435" t="s">
        <v>12</v>
      </c>
      <c r="D3435" t="s">
        <v>28</v>
      </c>
      <c r="E3435">
        <v>0</v>
      </c>
      <c r="F3435" t="s">
        <v>21</v>
      </c>
      <c r="G3435" t="s">
        <v>15</v>
      </c>
      <c r="H3435" t="s">
        <v>16</v>
      </c>
      <c r="I3435">
        <v>0</v>
      </c>
      <c r="J3435" s="23">
        <v>-18818</v>
      </c>
      <c r="K3435" t="s">
        <v>17</v>
      </c>
    </row>
    <row r="3436" spans="1:11" ht="15" customHeight="1" x14ac:dyDescent="0.3">
      <c r="A3436" t="s">
        <v>10</v>
      </c>
      <c r="B3436" t="s">
        <v>11</v>
      </c>
      <c r="C3436" t="s">
        <v>12</v>
      </c>
      <c r="D3436" t="s">
        <v>25</v>
      </c>
      <c r="E3436">
        <v>-1</v>
      </c>
      <c r="F3436" t="s">
        <v>35</v>
      </c>
      <c r="G3436" t="s">
        <v>15</v>
      </c>
      <c r="H3436" t="s">
        <v>16</v>
      </c>
      <c r="I3436">
        <v>0</v>
      </c>
      <c r="J3436" s="23">
        <v>-15426</v>
      </c>
      <c r="K3436" t="s">
        <v>17</v>
      </c>
    </row>
    <row r="3437" spans="1:11" ht="15" customHeight="1" x14ac:dyDescent="0.3">
      <c r="A3437" t="s">
        <v>10</v>
      </c>
      <c r="B3437" t="s">
        <v>11</v>
      </c>
      <c r="C3437" t="s">
        <v>24</v>
      </c>
      <c r="D3437" t="s">
        <v>28</v>
      </c>
      <c r="E3437">
        <v>6</v>
      </c>
      <c r="F3437" t="s">
        <v>29</v>
      </c>
      <c r="G3437" t="s">
        <v>15</v>
      </c>
      <c r="H3437" t="s">
        <v>16</v>
      </c>
      <c r="I3437">
        <v>0</v>
      </c>
      <c r="J3437" s="23">
        <v>2036025</v>
      </c>
      <c r="K3437">
        <v>12216150</v>
      </c>
    </row>
    <row r="3438" spans="1:11" ht="15" customHeight="1" x14ac:dyDescent="0.3">
      <c r="A3438" t="s">
        <v>10</v>
      </c>
      <c r="B3438" t="s">
        <v>11</v>
      </c>
      <c r="C3438" t="s">
        <v>24</v>
      </c>
      <c r="D3438" t="s">
        <v>25</v>
      </c>
      <c r="E3438">
        <v>3</v>
      </c>
      <c r="F3438" t="s">
        <v>33</v>
      </c>
      <c r="G3438" t="s">
        <v>15</v>
      </c>
      <c r="H3438" t="s">
        <v>16</v>
      </c>
      <c r="I3438">
        <v>0</v>
      </c>
      <c r="J3438" s="23">
        <v>765362</v>
      </c>
      <c r="K3438">
        <v>2296086</v>
      </c>
    </row>
    <row r="3439" spans="1:11" ht="15" customHeight="1" x14ac:dyDescent="0.3">
      <c r="A3439" t="s">
        <v>18</v>
      </c>
      <c r="B3439" t="s">
        <v>19</v>
      </c>
      <c r="C3439" t="s">
        <v>24</v>
      </c>
      <c r="D3439" t="s">
        <v>20</v>
      </c>
      <c r="E3439">
        <v>22</v>
      </c>
      <c r="F3439"/>
      <c r="G3439" t="s">
        <v>31</v>
      </c>
      <c r="H3439" t="s">
        <v>16</v>
      </c>
      <c r="I3439">
        <v>1</v>
      </c>
      <c r="J3439" s="23">
        <v>10827286</v>
      </c>
      <c r="K3439">
        <v>238200292</v>
      </c>
    </row>
    <row r="3440" spans="1:11" ht="15" customHeight="1" x14ac:dyDescent="0.3">
      <c r="A3440" t="s">
        <v>18</v>
      </c>
      <c r="B3440" t="s">
        <v>11</v>
      </c>
      <c r="C3440" t="s">
        <v>24</v>
      </c>
      <c r="D3440" t="s">
        <v>25</v>
      </c>
      <c r="E3440">
        <v>17</v>
      </c>
      <c r="F3440" t="s">
        <v>27</v>
      </c>
      <c r="G3440" t="s">
        <v>15</v>
      </c>
      <c r="H3440" t="s">
        <v>16</v>
      </c>
      <c r="I3440">
        <v>0</v>
      </c>
      <c r="J3440" s="23">
        <v>1882773</v>
      </c>
      <c r="K3440">
        <v>32007141</v>
      </c>
    </row>
    <row r="3441" spans="1:11" ht="15" customHeight="1" x14ac:dyDescent="0.3">
      <c r="A3441" t="s">
        <v>10</v>
      </c>
      <c r="B3441" t="s">
        <v>11</v>
      </c>
      <c r="C3441" t="s">
        <v>12</v>
      </c>
      <c r="D3441" t="s">
        <v>28</v>
      </c>
      <c r="E3441">
        <v>14</v>
      </c>
      <c r="F3441" t="s">
        <v>23</v>
      </c>
      <c r="G3441" t="s">
        <v>15</v>
      </c>
      <c r="H3441" t="s">
        <v>16</v>
      </c>
      <c r="I3441">
        <v>0</v>
      </c>
      <c r="J3441" s="23">
        <v>-20536</v>
      </c>
      <c r="K3441" t="s">
        <v>17</v>
      </c>
    </row>
    <row r="3442" spans="1:11" ht="15" customHeight="1" x14ac:dyDescent="0.3">
      <c r="A3442" t="s">
        <v>22</v>
      </c>
      <c r="B3442" t="s">
        <v>11</v>
      </c>
      <c r="C3442" t="s">
        <v>12</v>
      </c>
      <c r="D3442" t="s">
        <v>25</v>
      </c>
      <c r="E3442">
        <v>5</v>
      </c>
      <c r="F3442" t="s">
        <v>21</v>
      </c>
      <c r="G3442" t="s">
        <v>15</v>
      </c>
      <c r="H3442" t="s">
        <v>16</v>
      </c>
      <c r="I3442">
        <v>0</v>
      </c>
      <c r="J3442" s="23">
        <v>-46067</v>
      </c>
      <c r="K3442" t="s">
        <v>17</v>
      </c>
    </row>
    <row r="3443" spans="1:11" ht="15" customHeight="1" x14ac:dyDescent="0.3">
      <c r="A3443" t="s">
        <v>18</v>
      </c>
      <c r="B3443" t="s">
        <v>11</v>
      </c>
      <c r="C3443" t="s">
        <v>24</v>
      </c>
      <c r="D3443" t="s">
        <v>28</v>
      </c>
      <c r="E3443">
        <v>0</v>
      </c>
      <c r="F3443" t="s">
        <v>23</v>
      </c>
      <c r="G3443" t="s">
        <v>15</v>
      </c>
      <c r="H3443" t="s">
        <v>16</v>
      </c>
      <c r="I3443">
        <v>0</v>
      </c>
      <c r="J3443" s="23">
        <v>552762</v>
      </c>
      <c r="K3443" t="s">
        <v>17</v>
      </c>
    </row>
    <row r="3444" spans="1:11" ht="15" customHeight="1" x14ac:dyDescent="0.3">
      <c r="A3444" t="s">
        <v>10</v>
      </c>
      <c r="B3444" t="s">
        <v>11</v>
      </c>
      <c r="C3444" t="s">
        <v>24</v>
      </c>
      <c r="D3444" t="s">
        <v>28</v>
      </c>
      <c r="E3444">
        <v>7</v>
      </c>
      <c r="F3444" t="s">
        <v>29</v>
      </c>
      <c r="G3444" t="s">
        <v>15</v>
      </c>
      <c r="H3444" t="s">
        <v>16</v>
      </c>
      <c r="I3444">
        <v>0</v>
      </c>
      <c r="J3444" s="23">
        <v>1329951</v>
      </c>
      <c r="K3444">
        <v>9309657</v>
      </c>
    </row>
    <row r="3445" spans="1:11" ht="15" customHeight="1" x14ac:dyDescent="0.3">
      <c r="A3445" t="s">
        <v>18</v>
      </c>
      <c r="B3445" t="s">
        <v>19</v>
      </c>
      <c r="C3445" t="s">
        <v>12</v>
      </c>
      <c r="D3445" t="s">
        <v>20</v>
      </c>
      <c r="E3445">
        <v>9</v>
      </c>
      <c r="F3445"/>
      <c r="G3445" t="s">
        <v>31</v>
      </c>
      <c r="H3445" t="s">
        <v>32</v>
      </c>
      <c r="I3445">
        <v>1</v>
      </c>
      <c r="J3445" s="23">
        <v>-131</v>
      </c>
      <c r="K3445" t="s">
        <v>17</v>
      </c>
    </row>
    <row r="3446" spans="1:11" ht="15" customHeight="1" x14ac:dyDescent="0.3">
      <c r="A3446" t="s">
        <v>18</v>
      </c>
      <c r="B3446" t="s">
        <v>11</v>
      </c>
      <c r="C3446" t="s">
        <v>24</v>
      </c>
      <c r="D3446" t="s">
        <v>28</v>
      </c>
      <c r="E3446">
        <v>9</v>
      </c>
      <c r="F3446" t="s">
        <v>27</v>
      </c>
      <c r="G3446" t="s">
        <v>15</v>
      </c>
      <c r="H3446" t="s">
        <v>16</v>
      </c>
      <c r="I3446">
        <v>0</v>
      </c>
      <c r="J3446" s="23">
        <v>253712</v>
      </c>
      <c r="K3446">
        <v>2283408</v>
      </c>
    </row>
    <row r="3447" spans="1:11" ht="15" customHeight="1" x14ac:dyDescent="0.3">
      <c r="A3447" t="s">
        <v>10</v>
      </c>
      <c r="B3447" t="s">
        <v>11</v>
      </c>
      <c r="C3447" t="s">
        <v>24</v>
      </c>
      <c r="D3447" t="s">
        <v>25</v>
      </c>
      <c r="E3447">
        <v>6</v>
      </c>
      <c r="F3447" t="s">
        <v>26</v>
      </c>
      <c r="G3447" t="s">
        <v>15</v>
      </c>
      <c r="H3447" t="s">
        <v>16</v>
      </c>
      <c r="I3447">
        <v>0</v>
      </c>
      <c r="J3447" s="23">
        <v>127497</v>
      </c>
      <c r="K3447">
        <v>764982</v>
      </c>
    </row>
    <row r="3448" spans="1:11" ht="15" customHeight="1" x14ac:dyDescent="0.3">
      <c r="A3448" t="s">
        <v>18</v>
      </c>
      <c r="B3448" t="s">
        <v>19</v>
      </c>
      <c r="C3448" t="s">
        <v>12</v>
      </c>
      <c r="D3448" t="s">
        <v>20</v>
      </c>
      <c r="E3448">
        <v>40</v>
      </c>
      <c r="F3448"/>
      <c r="G3448" t="s">
        <v>15</v>
      </c>
      <c r="H3448" t="s">
        <v>16</v>
      </c>
      <c r="I3448">
        <v>0</v>
      </c>
      <c r="J3448" s="23">
        <v>-299735</v>
      </c>
      <c r="K3448" t="s">
        <v>17</v>
      </c>
    </row>
    <row r="3449" spans="1:11" ht="15" customHeight="1" x14ac:dyDescent="0.3">
      <c r="A3449" t="s">
        <v>10</v>
      </c>
      <c r="B3449" t="s">
        <v>11</v>
      </c>
      <c r="C3449" t="s">
        <v>12</v>
      </c>
      <c r="D3449" t="s">
        <v>13</v>
      </c>
      <c r="E3449">
        <v>6</v>
      </c>
      <c r="F3449" t="s">
        <v>40</v>
      </c>
      <c r="G3449" t="s">
        <v>15</v>
      </c>
      <c r="H3449" t="s">
        <v>16</v>
      </c>
      <c r="I3449">
        <v>0</v>
      </c>
      <c r="J3449" s="23">
        <v>-13277</v>
      </c>
      <c r="K3449" t="s">
        <v>17</v>
      </c>
    </row>
    <row r="3450" spans="1:11" ht="15" customHeight="1" x14ac:dyDescent="0.3">
      <c r="A3450" t="s">
        <v>18</v>
      </c>
      <c r="B3450" t="s">
        <v>11</v>
      </c>
      <c r="C3450" t="s">
        <v>12</v>
      </c>
      <c r="D3450" t="s">
        <v>13</v>
      </c>
      <c r="E3450">
        <v>2</v>
      </c>
      <c r="F3450" t="s">
        <v>41</v>
      </c>
      <c r="G3450" t="s">
        <v>15</v>
      </c>
      <c r="H3450" t="s">
        <v>16</v>
      </c>
      <c r="I3450">
        <v>0</v>
      </c>
      <c r="J3450" s="23">
        <v>-853</v>
      </c>
      <c r="K3450" t="s">
        <v>17</v>
      </c>
    </row>
    <row r="3451" spans="1:11" ht="15" customHeight="1" x14ac:dyDescent="0.3">
      <c r="A3451" t="s">
        <v>18</v>
      </c>
      <c r="B3451" t="s">
        <v>11</v>
      </c>
      <c r="C3451" t="s">
        <v>24</v>
      </c>
      <c r="D3451" t="s">
        <v>13</v>
      </c>
      <c r="E3451">
        <v>1</v>
      </c>
      <c r="F3451" t="s">
        <v>29</v>
      </c>
      <c r="G3451" t="s">
        <v>15</v>
      </c>
      <c r="H3451" t="s">
        <v>16</v>
      </c>
      <c r="I3451">
        <v>0</v>
      </c>
      <c r="J3451" s="23">
        <v>169616621</v>
      </c>
      <c r="K3451">
        <v>169616621</v>
      </c>
    </row>
    <row r="3452" spans="1:11" ht="15" customHeight="1" x14ac:dyDescent="0.3">
      <c r="A3452" t="s">
        <v>18</v>
      </c>
      <c r="B3452" t="s">
        <v>11</v>
      </c>
      <c r="C3452" t="s">
        <v>12</v>
      </c>
      <c r="D3452" t="s">
        <v>28</v>
      </c>
      <c r="E3452">
        <v>14</v>
      </c>
      <c r="F3452" t="s">
        <v>21</v>
      </c>
      <c r="G3452" t="s">
        <v>15</v>
      </c>
      <c r="H3452" t="s">
        <v>16</v>
      </c>
      <c r="I3452">
        <v>0</v>
      </c>
      <c r="J3452" s="23">
        <v>-3714</v>
      </c>
      <c r="K3452" t="s">
        <v>17</v>
      </c>
    </row>
    <row r="3453" spans="1:11" ht="15" customHeight="1" x14ac:dyDescent="0.3">
      <c r="A3453" t="s">
        <v>22</v>
      </c>
      <c r="B3453" t="s">
        <v>19</v>
      </c>
      <c r="C3453" t="s">
        <v>24</v>
      </c>
      <c r="D3453" t="s">
        <v>20</v>
      </c>
      <c r="E3453">
        <v>7</v>
      </c>
      <c r="F3453"/>
      <c r="G3453" t="s">
        <v>31</v>
      </c>
      <c r="H3453" t="s">
        <v>16</v>
      </c>
      <c r="I3453">
        <v>1</v>
      </c>
      <c r="J3453" s="23">
        <v>3739</v>
      </c>
      <c r="K3453">
        <v>26173</v>
      </c>
    </row>
    <row r="3454" spans="1:11" ht="15" customHeight="1" x14ac:dyDescent="0.3">
      <c r="A3454" t="s">
        <v>10</v>
      </c>
      <c r="B3454" t="s">
        <v>11</v>
      </c>
      <c r="C3454" t="s">
        <v>24</v>
      </c>
      <c r="D3454" t="s">
        <v>13</v>
      </c>
      <c r="E3454">
        <v>2</v>
      </c>
      <c r="F3454" t="s">
        <v>45</v>
      </c>
      <c r="G3454" t="s">
        <v>15</v>
      </c>
      <c r="H3454" t="s">
        <v>16</v>
      </c>
      <c r="I3454">
        <v>0</v>
      </c>
      <c r="J3454" s="23">
        <v>533856</v>
      </c>
      <c r="K3454">
        <v>1067712</v>
      </c>
    </row>
    <row r="3455" spans="1:11" ht="15" customHeight="1" x14ac:dyDescent="0.3">
      <c r="A3455" t="s">
        <v>10</v>
      </c>
      <c r="B3455" t="s">
        <v>19</v>
      </c>
      <c r="C3455" t="s">
        <v>12</v>
      </c>
      <c r="D3455" t="s">
        <v>28</v>
      </c>
      <c r="E3455">
        <v>13</v>
      </c>
      <c r="F3455"/>
      <c r="G3455" t="s">
        <v>15</v>
      </c>
      <c r="H3455" t="s">
        <v>16</v>
      </c>
      <c r="I3455">
        <v>0</v>
      </c>
      <c r="J3455" s="23">
        <v>-165841</v>
      </c>
      <c r="K3455" t="s">
        <v>17</v>
      </c>
    </row>
    <row r="3456" spans="1:11" ht="15" customHeight="1" x14ac:dyDescent="0.3">
      <c r="A3456" t="s">
        <v>22</v>
      </c>
      <c r="B3456" t="s">
        <v>11</v>
      </c>
      <c r="C3456" t="s">
        <v>24</v>
      </c>
      <c r="D3456" t="s">
        <v>25</v>
      </c>
      <c r="E3456">
        <v>2</v>
      </c>
      <c r="F3456" t="s">
        <v>37</v>
      </c>
      <c r="G3456" t="s">
        <v>15</v>
      </c>
      <c r="H3456" t="s">
        <v>16</v>
      </c>
      <c r="I3456">
        <v>0</v>
      </c>
      <c r="J3456" s="23">
        <v>15314</v>
      </c>
      <c r="K3456">
        <v>30628</v>
      </c>
    </row>
    <row r="3457" spans="1:11" ht="15" customHeight="1" x14ac:dyDescent="0.3">
      <c r="A3457" t="s">
        <v>22</v>
      </c>
      <c r="B3457" t="s">
        <v>11</v>
      </c>
      <c r="C3457" t="s">
        <v>12</v>
      </c>
      <c r="D3457" t="s">
        <v>25</v>
      </c>
      <c r="E3457">
        <v>3</v>
      </c>
      <c r="F3457" t="s">
        <v>21</v>
      </c>
      <c r="G3457" t="s">
        <v>15</v>
      </c>
      <c r="H3457" t="s">
        <v>16</v>
      </c>
      <c r="I3457">
        <v>0</v>
      </c>
      <c r="J3457" s="23">
        <v>-189800</v>
      </c>
      <c r="K3457" t="s">
        <v>17</v>
      </c>
    </row>
    <row r="3458" spans="1:11" ht="15" customHeight="1" x14ac:dyDescent="0.3">
      <c r="A3458" t="s">
        <v>18</v>
      </c>
      <c r="B3458" t="s">
        <v>11</v>
      </c>
      <c r="C3458" t="s">
        <v>12</v>
      </c>
      <c r="D3458" t="s">
        <v>28</v>
      </c>
      <c r="E3458">
        <v>0</v>
      </c>
      <c r="F3458" t="s">
        <v>40</v>
      </c>
      <c r="G3458" t="s">
        <v>15</v>
      </c>
      <c r="H3458" t="s">
        <v>16</v>
      </c>
      <c r="I3458">
        <v>0</v>
      </c>
      <c r="J3458" s="23">
        <v>-16</v>
      </c>
      <c r="K3458" t="s">
        <v>17</v>
      </c>
    </row>
    <row r="3459" spans="1:11" ht="15" customHeight="1" x14ac:dyDescent="0.3">
      <c r="A3459" t="s">
        <v>18</v>
      </c>
      <c r="B3459" t="s">
        <v>19</v>
      </c>
      <c r="C3459" t="s">
        <v>24</v>
      </c>
      <c r="D3459" t="s">
        <v>28</v>
      </c>
      <c r="E3459">
        <v>15</v>
      </c>
      <c r="F3459"/>
      <c r="G3459" t="s">
        <v>15</v>
      </c>
      <c r="H3459" t="s">
        <v>16</v>
      </c>
      <c r="I3459">
        <v>0</v>
      </c>
      <c r="J3459" s="23">
        <v>1069000</v>
      </c>
      <c r="K3459">
        <v>16035000</v>
      </c>
    </row>
    <row r="3460" spans="1:11" ht="15" customHeight="1" x14ac:dyDescent="0.3">
      <c r="A3460" t="s">
        <v>18</v>
      </c>
      <c r="B3460" t="s">
        <v>11</v>
      </c>
      <c r="C3460" t="s">
        <v>24</v>
      </c>
      <c r="D3460" t="s">
        <v>28</v>
      </c>
      <c r="E3460">
        <v>9</v>
      </c>
      <c r="F3460" t="s">
        <v>29</v>
      </c>
      <c r="G3460" t="s">
        <v>15</v>
      </c>
      <c r="H3460" t="s">
        <v>16</v>
      </c>
      <c r="I3460">
        <v>0</v>
      </c>
      <c r="J3460" s="23">
        <v>5417758</v>
      </c>
      <c r="K3460">
        <v>48759822</v>
      </c>
    </row>
    <row r="3461" spans="1:11" ht="15" customHeight="1" x14ac:dyDescent="0.3">
      <c r="A3461" t="s">
        <v>22</v>
      </c>
      <c r="B3461" t="s">
        <v>11</v>
      </c>
      <c r="C3461" t="s">
        <v>24</v>
      </c>
      <c r="D3461" t="s">
        <v>28</v>
      </c>
      <c r="E3461">
        <v>5</v>
      </c>
      <c r="F3461" t="s">
        <v>37</v>
      </c>
      <c r="G3461" t="s">
        <v>15</v>
      </c>
      <c r="H3461" t="s">
        <v>16</v>
      </c>
      <c r="I3461">
        <v>0</v>
      </c>
      <c r="J3461" s="23">
        <v>178819</v>
      </c>
      <c r="K3461">
        <v>894095</v>
      </c>
    </row>
    <row r="3462" spans="1:11" ht="15" customHeight="1" x14ac:dyDescent="0.3">
      <c r="A3462" t="s">
        <v>18</v>
      </c>
      <c r="B3462" t="s">
        <v>11</v>
      </c>
      <c r="C3462" t="s">
        <v>24</v>
      </c>
      <c r="D3462" t="s">
        <v>28</v>
      </c>
      <c r="E3462">
        <v>9</v>
      </c>
      <c r="F3462" t="s">
        <v>29</v>
      </c>
      <c r="G3462" t="s">
        <v>15</v>
      </c>
      <c r="H3462" t="s">
        <v>32</v>
      </c>
      <c r="I3462">
        <v>1</v>
      </c>
      <c r="J3462" s="23">
        <v>4283534</v>
      </c>
      <c r="K3462">
        <v>38551806</v>
      </c>
    </row>
    <row r="3463" spans="1:11" ht="15" customHeight="1" x14ac:dyDescent="0.3">
      <c r="A3463" t="s">
        <v>18</v>
      </c>
      <c r="B3463" t="s">
        <v>11</v>
      </c>
      <c r="C3463" t="s">
        <v>12</v>
      </c>
      <c r="D3463" t="s">
        <v>28</v>
      </c>
      <c r="E3463">
        <v>5</v>
      </c>
      <c r="F3463" t="s">
        <v>14</v>
      </c>
      <c r="G3463" t="s">
        <v>15</v>
      </c>
      <c r="H3463" t="s">
        <v>16</v>
      </c>
      <c r="I3463">
        <v>0</v>
      </c>
      <c r="J3463" s="23">
        <v>-3060</v>
      </c>
      <c r="K3463" t="s">
        <v>17</v>
      </c>
    </row>
    <row r="3464" spans="1:11" ht="15" customHeight="1" x14ac:dyDescent="0.3">
      <c r="A3464" t="s">
        <v>22</v>
      </c>
      <c r="B3464" t="s">
        <v>11</v>
      </c>
      <c r="C3464" t="s">
        <v>24</v>
      </c>
      <c r="D3464" t="s">
        <v>28</v>
      </c>
      <c r="E3464">
        <v>-4</v>
      </c>
      <c r="F3464" t="s">
        <v>30</v>
      </c>
      <c r="G3464" t="s">
        <v>15</v>
      </c>
      <c r="H3464" t="s">
        <v>16</v>
      </c>
      <c r="I3464">
        <v>0</v>
      </c>
      <c r="J3464" s="23">
        <v>28621</v>
      </c>
      <c r="K3464" t="s">
        <v>17</v>
      </c>
    </row>
    <row r="3465" spans="1:11" ht="15" customHeight="1" x14ac:dyDescent="0.3">
      <c r="A3465" t="s">
        <v>18</v>
      </c>
      <c r="B3465" t="s">
        <v>11</v>
      </c>
      <c r="C3465" t="s">
        <v>12</v>
      </c>
      <c r="D3465" t="s">
        <v>28</v>
      </c>
      <c r="E3465">
        <v>12</v>
      </c>
      <c r="F3465" t="s">
        <v>21</v>
      </c>
      <c r="G3465" t="s">
        <v>31</v>
      </c>
      <c r="H3465" t="s">
        <v>32</v>
      </c>
      <c r="I3465">
        <v>1</v>
      </c>
      <c r="J3465" s="23">
        <v>-65</v>
      </c>
      <c r="K3465" t="s">
        <v>17</v>
      </c>
    </row>
    <row r="3466" spans="1:11" ht="15" customHeight="1" x14ac:dyDescent="0.3">
      <c r="A3466" t="s">
        <v>10</v>
      </c>
      <c r="B3466" t="s">
        <v>11</v>
      </c>
      <c r="C3466" t="s">
        <v>12</v>
      </c>
      <c r="D3466" t="s">
        <v>28</v>
      </c>
      <c r="E3466">
        <v>7</v>
      </c>
      <c r="F3466" t="s">
        <v>29</v>
      </c>
      <c r="G3466" t="s">
        <v>15</v>
      </c>
      <c r="H3466" t="s">
        <v>16</v>
      </c>
      <c r="I3466">
        <v>0</v>
      </c>
      <c r="J3466" s="23">
        <v>-76783</v>
      </c>
      <c r="K3466" t="s">
        <v>17</v>
      </c>
    </row>
    <row r="3467" spans="1:11" ht="15" customHeight="1" x14ac:dyDescent="0.3">
      <c r="A3467" t="s">
        <v>10</v>
      </c>
      <c r="B3467" t="s">
        <v>11</v>
      </c>
      <c r="C3467" t="s">
        <v>24</v>
      </c>
      <c r="D3467" t="s">
        <v>25</v>
      </c>
      <c r="E3467">
        <v>3</v>
      </c>
      <c r="F3467" t="s">
        <v>30</v>
      </c>
      <c r="G3467" t="s">
        <v>15</v>
      </c>
      <c r="H3467" t="s">
        <v>16</v>
      </c>
      <c r="I3467">
        <v>0</v>
      </c>
      <c r="J3467" s="23">
        <v>750208</v>
      </c>
      <c r="K3467">
        <v>2250624</v>
      </c>
    </row>
    <row r="3468" spans="1:11" ht="15" customHeight="1" x14ac:dyDescent="0.3">
      <c r="A3468" t="s">
        <v>18</v>
      </c>
      <c r="B3468" t="s">
        <v>11</v>
      </c>
      <c r="C3468" t="s">
        <v>24</v>
      </c>
      <c r="D3468" t="s">
        <v>28</v>
      </c>
      <c r="E3468">
        <v>2</v>
      </c>
      <c r="F3468" t="s">
        <v>26</v>
      </c>
      <c r="G3468" t="s">
        <v>15</v>
      </c>
      <c r="H3468" t="s">
        <v>16</v>
      </c>
      <c r="I3468">
        <v>0</v>
      </c>
      <c r="J3468" s="23">
        <v>52780897</v>
      </c>
      <c r="K3468">
        <v>105561794</v>
      </c>
    </row>
    <row r="3469" spans="1:11" ht="15" customHeight="1" x14ac:dyDescent="0.3">
      <c r="A3469" t="s">
        <v>22</v>
      </c>
      <c r="B3469" t="s">
        <v>11</v>
      </c>
      <c r="C3469" t="s">
        <v>12</v>
      </c>
      <c r="D3469" t="s">
        <v>28</v>
      </c>
      <c r="E3469">
        <v>3</v>
      </c>
      <c r="F3469" t="s">
        <v>26</v>
      </c>
      <c r="G3469" t="s">
        <v>15</v>
      </c>
      <c r="H3469" t="s">
        <v>16</v>
      </c>
      <c r="I3469">
        <v>0</v>
      </c>
      <c r="J3469" s="23">
        <v>-680562</v>
      </c>
      <c r="K3469" t="s">
        <v>17</v>
      </c>
    </row>
    <row r="3470" spans="1:11" ht="15" customHeight="1" x14ac:dyDescent="0.3">
      <c r="A3470" t="s">
        <v>10</v>
      </c>
      <c r="B3470" t="s">
        <v>11</v>
      </c>
      <c r="C3470" t="s">
        <v>24</v>
      </c>
      <c r="D3470" t="s">
        <v>28</v>
      </c>
      <c r="E3470">
        <v>1</v>
      </c>
      <c r="F3470" t="s">
        <v>40</v>
      </c>
      <c r="G3470" t="s">
        <v>15</v>
      </c>
      <c r="H3470" t="s">
        <v>16</v>
      </c>
      <c r="I3470">
        <v>0</v>
      </c>
      <c r="J3470" s="23">
        <v>11254</v>
      </c>
      <c r="K3470">
        <v>11254</v>
      </c>
    </row>
    <row r="3471" spans="1:11" ht="15" customHeight="1" x14ac:dyDescent="0.3">
      <c r="A3471" t="s">
        <v>18</v>
      </c>
      <c r="B3471" t="s">
        <v>19</v>
      </c>
      <c r="C3471" t="s">
        <v>24</v>
      </c>
      <c r="D3471" t="s">
        <v>20</v>
      </c>
      <c r="E3471">
        <v>28</v>
      </c>
      <c r="F3471"/>
      <c r="G3471" t="s">
        <v>15</v>
      </c>
      <c r="H3471" t="s">
        <v>16</v>
      </c>
      <c r="I3471">
        <v>0</v>
      </c>
      <c r="J3471" s="23">
        <v>803421662</v>
      </c>
      <c r="K3471">
        <v>22495806536</v>
      </c>
    </row>
    <row r="3472" spans="1:11" ht="15" customHeight="1" x14ac:dyDescent="0.3">
      <c r="A3472" t="s">
        <v>10</v>
      </c>
      <c r="B3472" t="s">
        <v>11</v>
      </c>
      <c r="C3472" t="s">
        <v>12</v>
      </c>
      <c r="D3472" t="s">
        <v>13</v>
      </c>
      <c r="E3472">
        <v>11</v>
      </c>
      <c r="F3472" t="s">
        <v>23</v>
      </c>
      <c r="G3472" t="s">
        <v>15</v>
      </c>
      <c r="H3472" t="s">
        <v>16</v>
      </c>
      <c r="I3472">
        <v>0</v>
      </c>
      <c r="J3472" s="23">
        <v>-7679</v>
      </c>
      <c r="K3472" t="s">
        <v>17</v>
      </c>
    </row>
    <row r="3473" spans="1:11" ht="15" customHeight="1" x14ac:dyDescent="0.3">
      <c r="A3473" t="s">
        <v>18</v>
      </c>
      <c r="B3473" t="s">
        <v>11</v>
      </c>
      <c r="C3473" t="s">
        <v>24</v>
      </c>
      <c r="D3473" t="s">
        <v>28</v>
      </c>
      <c r="E3473">
        <v>2</v>
      </c>
      <c r="F3473" t="s">
        <v>37</v>
      </c>
      <c r="G3473" t="s">
        <v>15</v>
      </c>
      <c r="H3473" t="s">
        <v>16</v>
      </c>
      <c r="I3473">
        <v>0</v>
      </c>
      <c r="J3473" s="23">
        <v>216196</v>
      </c>
      <c r="K3473">
        <v>432392</v>
      </c>
    </row>
    <row r="3474" spans="1:11" ht="15" customHeight="1" x14ac:dyDescent="0.3">
      <c r="A3474" t="s">
        <v>22</v>
      </c>
      <c r="B3474" t="s">
        <v>11</v>
      </c>
      <c r="C3474" t="s">
        <v>12</v>
      </c>
      <c r="D3474" t="s">
        <v>25</v>
      </c>
      <c r="E3474">
        <v>-4</v>
      </c>
      <c r="F3474" t="s">
        <v>37</v>
      </c>
      <c r="G3474" t="s">
        <v>15</v>
      </c>
      <c r="H3474" t="s">
        <v>16</v>
      </c>
      <c r="I3474">
        <v>0</v>
      </c>
      <c r="J3474" s="23">
        <v>-25449</v>
      </c>
      <c r="K3474" t="s">
        <v>17</v>
      </c>
    </row>
    <row r="3475" spans="1:11" ht="15" customHeight="1" x14ac:dyDescent="0.3">
      <c r="A3475" t="s">
        <v>22</v>
      </c>
      <c r="B3475" t="s">
        <v>19</v>
      </c>
      <c r="C3475" t="s">
        <v>24</v>
      </c>
      <c r="D3475" t="s">
        <v>20</v>
      </c>
      <c r="E3475">
        <v>23</v>
      </c>
      <c r="F3475"/>
      <c r="G3475" t="s">
        <v>15</v>
      </c>
      <c r="H3475" t="s">
        <v>32</v>
      </c>
      <c r="I3475">
        <v>1</v>
      </c>
      <c r="J3475" s="23">
        <v>58380</v>
      </c>
      <c r="K3475">
        <v>1342740</v>
      </c>
    </row>
    <row r="3476" spans="1:11" ht="15" customHeight="1" x14ac:dyDescent="0.3">
      <c r="A3476" t="s">
        <v>22</v>
      </c>
      <c r="B3476" t="s">
        <v>19</v>
      </c>
      <c r="C3476" t="s">
        <v>24</v>
      </c>
      <c r="D3476" t="s">
        <v>28</v>
      </c>
      <c r="E3476">
        <v>20</v>
      </c>
      <c r="F3476"/>
      <c r="G3476" t="s">
        <v>15</v>
      </c>
      <c r="H3476" t="s">
        <v>16</v>
      </c>
      <c r="I3476">
        <v>0</v>
      </c>
      <c r="J3476" s="23">
        <v>361789</v>
      </c>
      <c r="K3476">
        <v>7235780</v>
      </c>
    </row>
    <row r="3477" spans="1:11" ht="15" customHeight="1" x14ac:dyDescent="0.3">
      <c r="A3477" t="s">
        <v>10</v>
      </c>
      <c r="B3477" t="s">
        <v>11</v>
      </c>
      <c r="C3477" t="s">
        <v>12</v>
      </c>
      <c r="D3477" t="s">
        <v>28</v>
      </c>
      <c r="E3477">
        <v>13</v>
      </c>
      <c r="F3477" t="s">
        <v>23</v>
      </c>
      <c r="G3477" t="s">
        <v>15</v>
      </c>
      <c r="H3477" t="s">
        <v>16</v>
      </c>
      <c r="I3477">
        <v>0</v>
      </c>
      <c r="J3477" s="23">
        <v>-59427</v>
      </c>
      <c r="K3477" t="s">
        <v>17</v>
      </c>
    </row>
    <row r="3478" spans="1:11" ht="15" customHeight="1" x14ac:dyDescent="0.3">
      <c r="A3478" t="s">
        <v>18</v>
      </c>
      <c r="B3478" t="s">
        <v>11</v>
      </c>
      <c r="C3478" t="s">
        <v>24</v>
      </c>
      <c r="D3478" t="s">
        <v>13</v>
      </c>
      <c r="E3478">
        <v>1</v>
      </c>
      <c r="F3478" t="s">
        <v>33</v>
      </c>
      <c r="G3478" t="s">
        <v>15</v>
      </c>
      <c r="H3478" t="s">
        <v>16</v>
      </c>
      <c r="I3478">
        <v>0</v>
      </c>
      <c r="J3478" s="23">
        <v>9558216</v>
      </c>
      <c r="K3478">
        <v>9558216</v>
      </c>
    </row>
    <row r="3479" spans="1:11" ht="15" customHeight="1" x14ac:dyDescent="0.3">
      <c r="A3479" t="s">
        <v>22</v>
      </c>
      <c r="B3479" t="s">
        <v>11</v>
      </c>
      <c r="C3479" t="s">
        <v>12</v>
      </c>
      <c r="D3479" t="s">
        <v>13</v>
      </c>
      <c r="E3479">
        <v>2</v>
      </c>
      <c r="F3479" t="s">
        <v>26</v>
      </c>
      <c r="G3479" t="s">
        <v>15</v>
      </c>
      <c r="H3479" t="s">
        <v>16</v>
      </c>
      <c r="I3479">
        <v>0</v>
      </c>
      <c r="J3479" s="23">
        <v>-320178</v>
      </c>
      <c r="K3479" t="s">
        <v>17</v>
      </c>
    </row>
    <row r="3480" spans="1:11" ht="15" customHeight="1" x14ac:dyDescent="0.3">
      <c r="A3480" t="s">
        <v>22</v>
      </c>
      <c r="B3480" t="s">
        <v>11</v>
      </c>
      <c r="C3480" t="s">
        <v>12</v>
      </c>
      <c r="D3480" t="s">
        <v>25</v>
      </c>
      <c r="E3480">
        <v>2</v>
      </c>
      <c r="F3480" t="s">
        <v>37</v>
      </c>
      <c r="G3480" t="s">
        <v>15</v>
      </c>
      <c r="H3480" t="s">
        <v>16</v>
      </c>
      <c r="I3480">
        <v>0</v>
      </c>
      <c r="J3480" s="23">
        <v>-10500</v>
      </c>
      <c r="K3480" t="s">
        <v>17</v>
      </c>
    </row>
    <row r="3481" spans="1:11" ht="15" customHeight="1" x14ac:dyDescent="0.3">
      <c r="A3481" t="s">
        <v>18</v>
      </c>
      <c r="B3481" t="s">
        <v>11</v>
      </c>
      <c r="C3481" t="s">
        <v>12</v>
      </c>
      <c r="D3481" t="s">
        <v>28</v>
      </c>
      <c r="E3481">
        <v>7</v>
      </c>
      <c r="F3481" t="s">
        <v>29</v>
      </c>
      <c r="G3481" t="s">
        <v>15</v>
      </c>
      <c r="H3481" t="s">
        <v>32</v>
      </c>
      <c r="I3481">
        <v>1</v>
      </c>
      <c r="J3481" s="23">
        <v>-5990</v>
      </c>
      <c r="K3481" t="s">
        <v>17</v>
      </c>
    </row>
    <row r="3482" spans="1:11" ht="15" customHeight="1" x14ac:dyDescent="0.3">
      <c r="A3482" t="s">
        <v>10</v>
      </c>
      <c r="B3482" t="s">
        <v>11</v>
      </c>
      <c r="C3482" t="s">
        <v>24</v>
      </c>
      <c r="D3482" t="s">
        <v>28</v>
      </c>
      <c r="E3482">
        <v>16</v>
      </c>
      <c r="F3482" t="s">
        <v>21</v>
      </c>
      <c r="G3482" t="s">
        <v>15</v>
      </c>
      <c r="H3482" t="s">
        <v>16</v>
      </c>
      <c r="I3482">
        <v>0</v>
      </c>
      <c r="J3482" s="23">
        <v>138078</v>
      </c>
      <c r="K3482">
        <v>2209248</v>
      </c>
    </row>
    <row r="3483" spans="1:11" ht="15" customHeight="1" x14ac:dyDescent="0.3">
      <c r="A3483" t="s">
        <v>10</v>
      </c>
      <c r="B3483" t="s">
        <v>11</v>
      </c>
      <c r="C3483" t="s">
        <v>24</v>
      </c>
      <c r="D3483" t="s">
        <v>25</v>
      </c>
      <c r="E3483">
        <v>6</v>
      </c>
      <c r="F3483" t="s">
        <v>39</v>
      </c>
      <c r="G3483" t="s">
        <v>15</v>
      </c>
      <c r="H3483" t="s">
        <v>16</v>
      </c>
      <c r="I3483">
        <v>0</v>
      </c>
      <c r="J3483" s="23">
        <v>131372</v>
      </c>
      <c r="K3483">
        <v>788232</v>
      </c>
    </row>
    <row r="3484" spans="1:11" ht="15" customHeight="1" x14ac:dyDescent="0.3">
      <c r="A3484" t="s">
        <v>10</v>
      </c>
      <c r="B3484" t="s">
        <v>11</v>
      </c>
      <c r="C3484" t="s">
        <v>24</v>
      </c>
      <c r="D3484" t="s">
        <v>13</v>
      </c>
      <c r="E3484">
        <v>2</v>
      </c>
      <c r="F3484" t="s">
        <v>23</v>
      </c>
      <c r="G3484" t="s">
        <v>15</v>
      </c>
      <c r="H3484" t="s">
        <v>16</v>
      </c>
      <c r="I3484">
        <v>0</v>
      </c>
      <c r="J3484" s="23">
        <v>5492563</v>
      </c>
      <c r="K3484">
        <v>10985126</v>
      </c>
    </row>
    <row r="3485" spans="1:11" ht="15" customHeight="1" x14ac:dyDescent="0.3">
      <c r="A3485" t="s">
        <v>22</v>
      </c>
      <c r="B3485" t="s">
        <v>11</v>
      </c>
      <c r="C3485" t="s">
        <v>12</v>
      </c>
      <c r="D3485" t="s">
        <v>13</v>
      </c>
      <c r="E3485">
        <v>-1</v>
      </c>
      <c r="F3485" t="s">
        <v>48</v>
      </c>
      <c r="G3485" t="s">
        <v>15</v>
      </c>
      <c r="H3485" t="s">
        <v>16</v>
      </c>
      <c r="I3485">
        <v>0</v>
      </c>
      <c r="J3485" s="23">
        <v>-243</v>
      </c>
      <c r="K3485" t="s">
        <v>17</v>
      </c>
    </row>
    <row r="3486" spans="1:11" ht="15" customHeight="1" x14ac:dyDescent="0.3">
      <c r="A3486" t="s">
        <v>18</v>
      </c>
      <c r="B3486" t="s">
        <v>11</v>
      </c>
      <c r="C3486" t="s">
        <v>24</v>
      </c>
      <c r="D3486" t="s">
        <v>28</v>
      </c>
      <c r="E3486">
        <v>17</v>
      </c>
      <c r="F3486" t="s">
        <v>26</v>
      </c>
      <c r="G3486" t="s">
        <v>15</v>
      </c>
      <c r="H3486" t="s">
        <v>16</v>
      </c>
      <c r="I3486">
        <v>0</v>
      </c>
      <c r="J3486" s="23">
        <v>2189149</v>
      </c>
      <c r="K3486">
        <v>37215533</v>
      </c>
    </row>
    <row r="3487" spans="1:11" ht="15" customHeight="1" x14ac:dyDescent="0.3">
      <c r="A3487" t="s">
        <v>22</v>
      </c>
      <c r="B3487" t="s">
        <v>19</v>
      </c>
      <c r="C3487" t="s">
        <v>24</v>
      </c>
      <c r="D3487" t="s">
        <v>20</v>
      </c>
      <c r="E3487">
        <v>53</v>
      </c>
      <c r="F3487"/>
      <c r="G3487" t="s">
        <v>15</v>
      </c>
      <c r="H3487" t="s">
        <v>16</v>
      </c>
      <c r="I3487">
        <v>0</v>
      </c>
      <c r="J3487" s="23">
        <v>50354</v>
      </c>
      <c r="K3487">
        <v>2668762</v>
      </c>
    </row>
    <row r="3488" spans="1:11" ht="15" customHeight="1" x14ac:dyDescent="0.3">
      <c r="A3488" t="s">
        <v>10</v>
      </c>
      <c r="B3488" t="s">
        <v>11</v>
      </c>
      <c r="C3488" t="s">
        <v>12</v>
      </c>
      <c r="D3488" t="s">
        <v>28</v>
      </c>
      <c r="E3488">
        <v>16</v>
      </c>
      <c r="F3488" t="s">
        <v>29</v>
      </c>
      <c r="G3488" t="s">
        <v>15</v>
      </c>
      <c r="H3488" t="s">
        <v>32</v>
      </c>
      <c r="I3488">
        <v>1</v>
      </c>
      <c r="J3488" s="23">
        <v>-8685</v>
      </c>
      <c r="K3488" t="s">
        <v>17</v>
      </c>
    </row>
    <row r="3489" spans="1:11" ht="15" customHeight="1" x14ac:dyDescent="0.3">
      <c r="A3489" t="s">
        <v>18</v>
      </c>
      <c r="B3489" t="s">
        <v>19</v>
      </c>
      <c r="C3489" t="s">
        <v>24</v>
      </c>
      <c r="D3489" t="s">
        <v>20</v>
      </c>
      <c r="E3489">
        <v>12</v>
      </c>
      <c r="F3489"/>
      <c r="G3489" t="s">
        <v>15</v>
      </c>
      <c r="H3489" t="s">
        <v>32</v>
      </c>
      <c r="I3489">
        <v>1</v>
      </c>
      <c r="J3489" s="23">
        <v>1255463</v>
      </c>
      <c r="K3489">
        <v>15065556</v>
      </c>
    </row>
    <row r="3490" spans="1:11" ht="15" customHeight="1" x14ac:dyDescent="0.3">
      <c r="A3490" t="s">
        <v>22</v>
      </c>
      <c r="B3490" t="s">
        <v>11</v>
      </c>
      <c r="C3490" t="s">
        <v>12</v>
      </c>
      <c r="D3490" t="s">
        <v>13</v>
      </c>
      <c r="E3490">
        <v>-1</v>
      </c>
      <c r="F3490" t="s">
        <v>35</v>
      </c>
      <c r="G3490" t="s">
        <v>15</v>
      </c>
      <c r="H3490" t="s">
        <v>16</v>
      </c>
      <c r="I3490">
        <v>0</v>
      </c>
      <c r="J3490" s="23">
        <v>-576328</v>
      </c>
      <c r="K3490" t="s">
        <v>17</v>
      </c>
    </row>
    <row r="3491" spans="1:11" ht="15" customHeight="1" x14ac:dyDescent="0.3">
      <c r="A3491" t="s">
        <v>22</v>
      </c>
      <c r="B3491" t="s">
        <v>11</v>
      </c>
      <c r="C3491" t="s">
        <v>12</v>
      </c>
      <c r="D3491" t="s">
        <v>13</v>
      </c>
      <c r="E3491">
        <v>-4</v>
      </c>
      <c r="F3491" t="s">
        <v>23</v>
      </c>
      <c r="G3491" t="s">
        <v>15</v>
      </c>
      <c r="H3491" t="s">
        <v>16</v>
      </c>
      <c r="I3491">
        <v>0</v>
      </c>
      <c r="J3491" s="23">
        <v>-357189</v>
      </c>
      <c r="K3491" t="s">
        <v>17</v>
      </c>
    </row>
    <row r="3492" spans="1:11" ht="15" customHeight="1" x14ac:dyDescent="0.3">
      <c r="A3492" t="s">
        <v>18</v>
      </c>
      <c r="B3492" t="s">
        <v>11</v>
      </c>
      <c r="C3492" t="s">
        <v>12</v>
      </c>
      <c r="D3492" t="s">
        <v>28</v>
      </c>
      <c r="E3492">
        <v>7</v>
      </c>
      <c r="F3492" t="s">
        <v>39</v>
      </c>
      <c r="G3492" t="s">
        <v>15</v>
      </c>
      <c r="H3492" t="s">
        <v>16</v>
      </c>
      <c r="I3492">
        <v>0</v>
      </c>
      <c r="J3492" s="23">
        <v>-377</v>
      </c>
      <c r="K3492" t="s">
        <v>17</v>
      </c>
    </row>
    <row r="3493" spans="1:11" ht="15" customHeight="1" x14ac:dyDescent="0.3">
      <c r="A3493" t="s">
        <v>10</v>
      </c>
      <c r="B3493" t="s">
        <v>11</v>
      </c>
      <c r="C3493" t="s">
        <v>24</v>
      </c>
      <c r="D3493" t="s">
        <v>25</v>
      </c>
      <c r="E3493">
        <v>3</v>
      </c>
      <c r="F3493" t="s">
        <v>29</v>
      </c>
      <c r="G3493" t="s">
        <v>15</v>
      </c>
      <c r="H3493" t="s">
        <v>16</v>
      </c>
      <c r="I3493">
        <v>0</v>
      </c>
      <c r="J3493" s="23">
        <v>2874695</v>
      </c>
      <c r="K3493">
        <v>8624085</v>
      </c>
    </row>
    <row r="3494" spans="1:11" ht="15" customHeight="1" x14ac:dyDescent="0.3">
      <c r="A3494" t="s">
        <v>18</v>
      </c>
      <c r="B3494" t="s">
        <v>11</v>
      </c>
      <c r="C3494" t="s">
        <v>12</v>
      </c>
      <c r="D3494" t="s">
        <v>13</v>
      </c>
      <c r="E3494">
        <v>9</v>
      </c>
      <c r="F3494" t="s">
        <v>36</v>
      </c>
      <c r="G3494" t="s">
        <v>15</v>
      </c>
      <c r="H3494" t="s">
        <v>16</v>
      </c>
      <c r="I3494">
        <v>0</v>
      </c>
      <c r="J3494" s="23">
        <v>-51351</v>
      </c>
      <c r="K3494" t="s">
        <v>17</v>
      </c>
    </row>
    <row r="3495" spans="1:11" ht="15" customHeight="1" x14ac:dyDescent="0.3">
      <c r="A3495" t="s">
        <v>22</v>
      </c>
      <c r="B3495" t="s">
        <v>11</v>
      </c>
      <c r="C3495" t="s">
        <v>24</v>
      </c>
      <c r="D3495" t="s">
        <v>28</v>
      </c>
      <c r="E3495">
        <v>11</v>
      </c>
      <c r="F3495" t="s">
        <v>23</v>
      </c>
      <c r="G3495" t="s">
        <v>15</v>
      </c>
      <c r="H3495" t="s">
        <v>16</v>
      </c>
      <c r="I3495">
        <v>0</v>
      </c>
      <c r="J3495" s="23">
        <v>92047</v>
      </c>
      <c r="K3495">
        <v>1012517</v>
      </c>
    </row>
    <row r="3496" spans="1:11" ht="15" customHeight="1" x14ac:dyDescent="0.3">
      <c r="A3496" t="s">
        <v>10</v>
      </c>
      <c r="B3496" t="s">
        <v>11</v>
      </c>
      <c r="C3496" t="s">
        <v>24</v>
      </c>
      <c r="D3496" t="s">
        <v>13</v>
      </c>
      <c r="E3496">
        <v>5</v>
      </c>
      <c r="F3496" t="s">
        <v>46</v>
      </c>
      <c r="G3496" t="s">
        <v>15</v>
      </c>
      <c r="H3496" t="s">
        <v>16</v>
      </c>
      <c r="I3496">
        <v>0</v>
      </c>
      <c r="J3496" s="23">
        <v>47878</v>
      </c>
      <c r="K3496">
        <v>239390</v>
      </c>
    </row>
    <row r="3497" spans="1:11" ht="15" customHeight="1" x14ac:dyDescent="0.3">
      <c r="A3497" t="s">
        <v>10</v>
      </c>
      <c r="B3497" t="s">
        <v>19</v>
      </c>
      <c r="C3497" t="s">
        <v>24</v>
      </c>
      <c r="D3497" t="s">
        <v>20</v>
      </c>
      <c r="E3497">
        <v>38</v>
      </c>
      <c r="F3497"/>
      <c r="G3497" t="s">
        <v>15</v>
      </c>
      <c r="H3497" t="s">
        <v>16</v>
      </c>
      <c r="I3497">
        <v>0</v>
      </c>
      <c r="J3497" s="23">
        <v>34430089</v>
      </c>
      <c r="K3497">
        <v>1308343382</v>
      </c>
    </row>
    <row r="3498" spans="1:11" ht="15" customHeight="1" x14ac:dyDescent="0.3">
      <c r="A3498" t="s">
        <v>10</v>
      </c>
      <c r="B3498" t="s">
        <v>11</v>
      </c>
      <c r="C3498" t="s">
        <v>24</v>
      </c>
      <c r="D3498" t="s">
        <v>13</v>
      </c>
      <c r="E3498">
        <v>-1</v>
      </c>
      <c r="F3498" t="s">
        <v>29</v>
      </c>
      <c r="G3498" t="s">
        <v>15</v>
      </c>
      <c r="H3498" t="s">
        <v>16</v>
      </c>
      <c r="I3498">
        <v>0</v>
      </c>
      <c r="J3498" s="23">
        <v>43403870</v>
      </c>
      <c r="K3498" t="s">
        <v>17</v>
      </c>
    </row>
    <row r="3499" spans="1:11" ht="15" customHeight="1" x14ac:dyDescent="0.3">
      <c r="A3499" t="s">
        <v>18</v>
      </c>
      <c r="B3499" t="s">
        <v>11</v>
      </c>
      <c r="C3499" t="s">
        <v>24</v>
      </c>
      <c r="D3499" t="s">
        <v>25</v>
      </c>
      <c r="E3499">
        <v>5</v>
      </c>
      <c r="F3499" t="s">
        <v>42</v>
      </c>
      <c r="G3499" t="s">
        <v>15</v>
      </c>
      <c r="H3499" t="s">
        <v>16</v>
      </c>
      <c r="I3499">
        <v>0</v>
      </c>
      <c r="J3499" s="23">
        <v>87358</v>
      </c>
      <c r="K3499">
        <v>436790</v>
      </c>
    </row>
    <row r="3500" spans="1:11" ht="15" customHeight="1" x14ac:dyDescent="0.3">
      <c r="A3500" t="s">
        <v>18</v>
      </c>
      <c r="B3500" t="s">
        <v>11</v>
      </c>
      <c r="C3500" t="s">
        <v>24</v>
      </c>
      <c r="D3500" t="s">
        <v>28</v>
      </c>
      <c r="E3500">
        <v>1</v>
      </c>
      <c r="F3500" t="s">
        <v>21</v>
      </c>
      <c r="G3500" t="s">
        <v>15</v>
      </c>
      <c r="H3500" t="s">
        <v>32</v>
      </c>
      <c r="I3500">
        <v>1</v>
      </c>
      <c r="J3500" s="23">
        <v>55769</v>
      </c>
      <c r="K3500">
        <v>55769</v>
      </c>
    </row>
    <row r="3501" spans="1:11" ht="15" customHeight="1" x14ac:dyDescent="0.3">
      <c r="A3501" t="s">
        <v>18</v>
      </c>
      <c r="B3501" t="s">
        <v>19</v>
      </c>
      <c r="C3501" t="s">
        <v>24</v>
      </c>
      <c r="D3501" t="s">
        <v>20</v>
      </c>
      <c r="E3501">
        <v>34</v>
      </c>
      <c r="F3501"/>
      <c r="G3501" t="s">
        <v>15</v>
      </c>
      <c r="H3501" t="s">
        <v>16</v>
      </c>
      <c r="I3501">
        <v>0</v>
      </c>
      <c r="J3501" s="23">
        <v>1357014541</v>
      </c>
      <c r="K3501">
        <v>46138494394</v>
      </c>
    </row>
    <row r="3502" spans="1:11" ht="15" customHeight="1" x14ac:dyDescent="0.3">
      <c r="A3502" t="s">
        <v>18</v>
      </c>
      <c r="B3502" t="s">
        <v>11</v>
      </c>
      <c r="C3502" t="s">
        <v>24</v>
      </c>
      <c r="D3502" t="s">
        <v>13</v>
      </c>
      <c r="E3502">
        <v>10</v>
      </c>
      <c r="F3502" t="s">
        <v>30</v>
      </c>
      <c r="G3502" t="s">
        <v>15</v>
      </c>
      <c r="H3502" t="s">
        <v>16</v>
      </c>
      <c r="I3502">
        <v>0</v>
      </c>
      <c r="J3502" s="23">
        <v>131229709</v>
      </c>
      <c r="K3502">
        <v>1312297090</v>
      </c>
    </row>
    <row r="3503" spans="1:11" ht="15" customHeight="1" x14ac:dyDescent="0.3">
      <c r="A3503" t="s">
        <v>10</v>
      </c>
      <c r="B3503" t="s">
        <v>19</v>
      </c>
      <c r="C3503" t="s">
        <v>12</v>
      </c>
      <c r="D3503" t="s">
        <v>20</v>
      </c>
      <c r="E3503">
        <v>4</v>
      </c>
      <c r="F3503"/>
      <c r="G3503" t="s">
        <v>15</v>
      </c>
      <c r="H3503" t="s">
        <v>32</v>
      </c>
      <c r="I3503">
        <v>1</v>
      </c>
      <c r="J3503" s="23">
        <v>-14770</v>
      </c>
      <c r="K3503" t="s">
        <v>17</v>
      </c>
    </row>
    <row r="3504" spans="1:11" ht="15" customHeight="1" x14ac:dyDescent="0.3">
      <c r="A3504" t="s">
        <v>10</v>
      </c>
      <c r="B3504" t="s">
        <v>11</v>
      </c>
      <c r="C3504" t="s">
        <v>12</v>
      </c>
      <c r="D3504" t="s">
        <v>13</v>
      </c>
      <c r="E3504">
        <v>4</v>
      </c>
      <c r="F3504" t="s">
        <v>29</v>
      </c>
      <c r="G3504" t="s">
        <v>15</v>
      </c>
      <c r="H3504" t="s">
        <v>16</v>
      </c>
      <c r="I3504">
        <v>0</v>
      </c>
      <c r="J3504" s="23">
        <v>-1107083</v>
      </c>
      <c r="K3504" t="s">
        <v>17</v>
      </c>
    </row>
    <row r="3505" spans="1:11" ht="15" customHeight="1" x14ac:dyDescent="0.3">
      <c r="A3505" t="s">
        <v>22</v>
      </c>
      <c r="B3505" t="s">
        <v>19</v>
      </c>
      <c r="C3505" t="s">
        <v>24</v>
      </c>
      <c r="D3505" t="s">
        <v>20</v>
      </c>
      <c r="E3505">
        <v>29</v>
      </c>
      <c r="F3505"/>
      <c r="G3505" t="s">
        <v>31</v>
      </c>
      <c r="H3505" t="s">
        <v>32</v>
      </c>
      <c r="I3505">
        <v>1</v>
      </c>
      <c r="J3505" s="23">
        <v>12218</v>
      </c>
      <c r="K3505">
        <v>354322</v>
      </c>
    </row>
    <row r="3506" spans="1:11" ht="15" customHeight="1" x14ac:dyDescent="0.3">
      <c r="A3506" t="s">
        <v>10</v>
      </c>
      <c r="B3506" t="s">
        <v>19</v>
      </c>
      <c r="C3506" t="s">
        <v>12</v>
      </c>
      <c r="D3506" t="s">
        <v>20</v>
      </c>
      <c r="E3506">
        <v>24</v>
      </c>
      <c r="F3506"/>
      <c r="G3506" t="s">
        <v>15</v>
      </c>
      <c r="H3506" t="s">
        <v>16</v>
      </c>
      <c r="I3506">
        <v>0</v>
      </c>
      <c r="J3506" s="23">
        <v>-1265533</v>
      </c>
      <c r="K3506" t="s">
        <v>17</v>
      </c>
    </row>
    <row r="3507" spans="1:11" ht="15" customHeight="1" x14ac:dyDescent="0.3">
      <c r="A3507" t="s">
        <v>22</v>
      </c>
      <c r="B3507" t="s">
        <v>19</v>
      </c>
      <c r="C3507" t="s">
        <v>24</v>
      </c>
      <c r="D3507" t="s">
        <v>20</v>
      </c>
      <c r="E3507">
        <v>8</v>
      </c>
      <c r="F3507"/>
      <c r="G3507" t="s">
        <v>15</v>
      </c>
      <c r="H3507" t="s">
        <v>16</v>
      </c>
      <c r="I3507">
        <v>0</v>
      </c>
      <c r="J3507" s="23">
        <v>2495570</v>
      </c>
      <c r="K3507">
        <v>19964560</v>
      </c>
    </row>
    <row r="3508" spans="1:11" ht="15" customHeight="1" x14ac:dyDescent="0.3">
      <c r="A3508" t="s">
        <v>22</v>
      </c>
      <c r="B3508" t="s">
        <v>19</v>
      </c>
      <c r="C3508" t="s">
        <v>24</v>
      </c>
      <c r="D3508" t="s">
        <v>20</v>
      </c>
      <c r="E3508">
        <v>17</v>
      </c>
      <c r="F3508"/>
      <c r="G3508" t="s">
        <v>15</v>
      </c>
      <c r="H3508" t="s">
        <v>32</v>
      </c>
      <c r="I3508">
        <v>1</v>
      </c>
      <c r="J3508" s="23">
        <v>121188</v>
      </c>
      <c r="K3508">
        <v>2060196</v>
      </c>
    </row>
    <row r="3509" spans="1:11" ht="15" customHeight="1" x14ac:dyDescent="0.3">
      <c r="A3509" t="s">
        <v>10</v>
      </c>
      <c r="B3509" t="s">
        <v>11</v>
      </c>
      <c r="C3509" t="s">
        <v>24</v>
      </c>
      <c r="D3509" t="s">
        <v>25</v>
      </c>
      <c r="E3509">
        <v>4</v>
      </c>
      <c r="F3509" t="s">
        <v>39</v>
      </c>
      <c r="G3509" t="s">
        <v>15</v>
      </c>
      <c r="H3509" t="s">
        <v>16</v>
      </c>
      <c r="I3509">
        <v>0</v>
      </c>
      <c r="J3509" s="23">
        <v>511674</v>
      </c>
      <c r="K3509">
        <v>2046696</v>
      </c>
    </row>
    <row r="3510" spans="1:11" ht="15" customHeight="1" x14ac:dyDescent="0.3">
      <c r="A3510" t="s">
        <v>18</v>
      </c>
      <c r="B3510" t="s">
        <v>11</v>
      </c>
      <c r="C3510" t="s">
        <v>24</v>
      </c>
      <c r="D3510" t="s">
        <v>25</v>
      </c>
      <c r="E3510">
        <v>9</v>
      </c>
      <c r="F3510" t="s">
        <v>30</v>
      </c>
      <c r="G3510" t="s">
        <v>15</v>
      </c>
      <c r="H3510" t="s">
        <v>16</v>
      </c>
      <c r="I3510">
        <v>0</v>
      </c>
      <c r="J3510" s="23">
        <v>501781</v>
      </c>
      <c r="K3510">
        <v>4516029</v>
      </c>
    </row>
    <row r="3511" spans="1:11" ht="15" customHeight="1" x14ac:dyDescent="0.3">
      <c r="A3511" t="s">
        <v>22</v>
      </c>
      <c r="B3511" t="s">
        <v>19</v>
      </c>
      <c r="C3511" t="s">
        <v>12</v>
      </c>
      <c r="D3511" t="s">
        <v>28</v>
      </c>
      <c r="E3511">
        <v>2</v>
      </c>
      <c r="F3511"/>
      <c r="G3511" t="s">
        <v>15</v>
      </c>
      <c r="H3511" t="s">
        <v>16</v>
      </c>
      <c r="I3511">
        <v>0</v>
      </c>
      <c r="J3511" s="23">
        <v>-46454</v>
      </c>
      <c r="K3511" t="s">
        <v>17</v>
      </c>
    </row>
    <row r="3512" spans="1:11" ht="15" customHeight="1" x14ac:dyDescent="0.3">
      <c r="A3512" t="s">
        <v>10</v>
      </c>
      <c r="B3512" t="s">
        <v>11</v>
      </c>
      <c r="C3512" t="s">
        <v>12</v>
      </c>
      <c r="D3512" t="s">
        <v>13</v>
      </c>
      <c r="E3512">
        <v>-1</v>
      </c>
      <c r="F3512" t="s">
        <v>35</v>
      </c>
      <c r="G3512" t="s">
        <v>15</v>
      </c>
      <c r="H3512" t="s">
        <v>16</v>
      </c>
      <c r="I3512">
        <v>0</v>
      </c>
      <c r="J3512" s="23">
        <v>-173667</v>
      </c>
      <c r="K3512" t="s">
        <v>17</v>
      </c>
    </row>
    <row r="3513" spans="1:11" ht="15" customHeight="1" x14ac:dyDescent="0.3">
      <c r="A3513" t="s">
        <v>18</v>
      </c>
      <c r="B3513" t="s">
        <v>44</v>
      </c>
      <c r="C3513" t="s">
        <v>24</v>
      </c>
      <c r="D3513" t="s">
        <v>28</v>
      </c>
      <c r="E3513">
        <v>5</v>
      </c>
      <c r="F3513" t="s">
        <v>26</v>
      </c>
      <c r="G3513" t="s">
        <v>15</v>
      </c>
      <c r="H3513" t="s">
        <v>16</v>
      </c>
      <c r="I3513">
        <v>0</v>
      </c>
      <c r="J3513" s="23">
        <v>10601895</v>
      </c>
      <c r="K3513">
        <v>53009475</v>
      </c>
    </row>
    <row r="3514" spans="1:11" ht="15" customHeight="1" x14ac:dyDescent="0.3">
      <c r="A3514" t="s">
        <v>22</v>
      </c>
      <c r="B3514" t="s">
        <v>44</v>
      </c>
      <c r="C3514" t="s">
        <v>24</v>
      </c>
      <c r="D3514" t="s">
        <v>28</v>
      </c>
      <c r="E3514">
        <v>-4</v>
      </c>
      <c r="F3514" t="s">
        <v>38</v>
      </c>
      <c r="G3514" t="s">
        <v>15</v>
      </c>
      <c r="H3514" t="s">
        <v>16</v>
      </c>
      <c r="I3514">
        <v>0</v>
      </c>
      <c r="J3514" s="23">
        <v>780733</v>
      </c>
      <c r="K3514" t="s">
        <v>17</v>
      </c>
    </row>
    <row r="3515" spans="1:11" ht="15" customHeight="1" x14ac:dyDescent="0.3">
      <c r="A3515" t="s">
        <v>18</v>
      </c>
      <c r="B3515" t="s">
        <v>11</v>
      </c>
      <c r="C3515" t="s">
        <v>12</v>
      </c>
      <c r="D3515" t="s">
        <v>25</v>
      </c>
      <c r="E3515">
        <v>0</v>
      </c>
      <c r="F3515" t="s">
        <v>42</v>
      </c>
      <c r="G3515" t="s">
        <v>15</v>
      </c>
      <c r="H3515" t="s">
        <v>16</v>
      </c>
      <c r="I3515">
        <v>0</v>
      </c>
      <c r="J3515" s="23">
        <v>-8</v>
      </c>
      <c r="K3515" t="s">
        <v>17</v>
      </c>
    </row>
    <row r="3516" spans="1:11" ht="15" customHeight="1" x14ac:dyDescent="0.3">
      <c r="A3516" t="s">
        <v>10</v>
      </c>
      <c r="B3516" t="s">
        <v>11</v>
      </c>
      <c r="C3516" t="s">
        <v>12</v>
      </c>
      <c r="D3516" t="s">
        <v>25</v>
      </c>
      <c r="E3516">
        <v>3</v>
      </c>
      <c r="F3516" t="s">
        <v>41</v>
      </c>
      <c r="G3516" t="s">
        <v>15</v>
      </c>
      <c r="H3516" t="s">
        <v>16</v>
      </c>
      <c r="I3516">
        <v>0</v>
      </c>
      <c r="J3516" s="23">
        <v>-5733</v>
      </c>
      <c r="K3516" t="s">
        <v>17</v>
      </c>
    </row>
    <row r="3517" spans="1:11" ht="15" customHeight="1" x14ac:dyDescent="0.3">
      <c r="A3517" t="s">
        <v>10</v>
      </c>
      <c r="B3517" t="s">
        <v>11</v>
      </c>
      <c r="C3517" t="s">
        <v>24</v>
      </c>
      <c r="D3517" t="s">
        <v>28</v>
      </c>
      <c r="E3517">
        <v>4</v>
      </c>
      <c r="F3517" t="s">
        <v>21</v>
      </c>
      <c r="G3517" t="s">
        <v>15</v>
      </c>
      <c r="H3517" t="s">
        <v>32</v>
      </c>
      <c r="I3517">
        <v>1</v>
      </c>
      <c r="J3517" s="23">
        <v>501824</v>
      </c>
      <c r="K3517">
        <v>2007296</v>
      </c>
    </row>
    <row r="3518" spans="1:11" ht="15" customHeight="1" x14ac:dyDescent="0.3">
      <c r="A3518" t="s">
        <v>10</v>
      </c>
      <c r="B3518" t="s">
        <v>19</v>
      </c>
      <c r="C3518" t="s">
        <v>24</v>
      </c>
      <c r="D3518" t="s">
        <v>28</v>
      </c>
      <c r="E3518">
        <v>7</v>
      </c>
      <c r="F3518"/>
      <c r="G3518" t="s">
        <v>15</v>
      </c>
      <c r="H3518" t="s">
        <v>32</v>
      </c>
      <c r="I3518">
        <v>1</v>
      </c>
      <c r="J3518" s="23">
        <v>30265</v>
      </c>
      <c r="K3518">
        <v>211855</v>
      </c>
    </row>
    <row r="3519" spans="1:11" ht="15" customHeight="1" x14ac:dyDescent="0.3">
      <c r="A3519" t="s">
        <v>10</v>
      </c>
      <c r="B3519" t="s">
        <v>11</v>
      </c>
      <c r="C3519" t="s">
        <v>24</v>
      </c>
      <c r="D3519" t="s">
        <v>28</v>
      </c>
      <c r="E3519">
        <v>9</v>
      </c>
      <c r="F3519" t="s">
        <v>14</v>
      </c>
      <c r="G3519" t="s">
        <v>15</v>
      </c>
      <c r="H3519" t="s">
        <v>16</v>
      </c>
      <c r="I3519">
        <v>0</v>
      </c>
      <c r="J3519" s="23">
        <v>296841</v>
      </c>
      <c r="K3519">
        <v>2671569</v>
      </c>
    </row>
    <row r="3520" spans="1:11" ht="15" customHeight="1" x14ac:dyDescent="0.3">
      <c r="A3520" t="s">
        <v>22</v>
      </c>
      <c r="B3520" t="s">
        <v>19</v>
      </c>
      <c r="C3520" t="s">
        <v>12</v>
      </c>
      <c r="D3520" t="s">
        <v>20</v>
      </c>
      <c r="E3520">
        <v>26</v>
      </c>
      <c r="F3520"/>
      <c r="G3520" t="s">
        <v>15</v>
      </c>
      <c r="H3520" t="s">
        <v>16</v>
      </c>
      <c r="I3520">
        <v>0</v>
      </c>
      <c r="J3520" s="23">
        <v>-3068982</v>
      </c>
      <c r="K3520" t="s">
        <v>17</v>
      </c>
    </row>
    <row r="3521" spans="1:11" ht="15" customHeight="1" x14ac:dyDescent="0.3">
      <c r="A3521" t="s">
        <v>18</v>
      </c>
      <c r="B3521" t="s">
        <v>11</v>
      </c>
      <c r="C3521" t="s">
        <v>24</v>
      </c>
      <c r="D3521" t="s">
        <v>28</v>
      </c>
      <c r="E3521">
        <v>8</v>
      </c>
      <c r="F3521" t="s">
        <v>37</v>
      </c>
      <c r="G3521" t="s">
        <v>15</v>
      </c>
      <c r="H3521" t="s">
        <v>16</v>
      </c>
      <c r="I3521">
        <v>0</v>
      </c>
      <c r="J3521" s="23">
        <v>2214351</v>
      </c>
      <c r="K3521">
        <v>17714808</v>
      </c>
    </row>
    <row r="3522" spans="1:11" ht="15" customHeight="1" x14ac:dyDescent="0.3">
      <c r="A3522" t="s">
        <v>18</v>
      </c>
      <c r="B3522" t="s">
        <v>11</v>
      </c>
      <c r="C3522" t="s">
        <v>12</v>
      </c>
      <c r="D3522" t="s">
        <v>13</v>
      </c>
      <c r="E3522">
        <v>5</v>
      </c>
      <c r="F3522" t="s">
        <v>39</v>
      </c>
      <c r="G3522" t="s">
        <v>15</v>
      </c>
      <c r="H3522" t="s">
        <v>16</v>
      </c>
      <c r="I3522">
        <v>0</v>
      </c>
      <c r="J3522" s="23">
        <v>-2456</v>
      </c>
      <c r="K3522" t="s">
        <v>17</v>
      </c>
    </row>
    <row r="3523" spans="1:11" ht="15" customHeight="1" x14ac:dyDescent="0.3">
      <c r="A3523" t="s">
        <v>18</v>
      </c>
      <c r="B3523" t="s">
        <v>11</v>
      </c>
      <c r="C3523" t="s">
        <v>24</v>
      </c>
      <c r="D3523" t="s">
        <v>25</v>
      </c>
      <c r="E3523">
        <v>1</v>
      </c>
      <c r="F3523" t="s">
        <v>42</v>
      </c>
      <c r="G3523" t="s">
        <v>15</v>
      </c>
      <c r="H3523" t="s">
        <v>16</v>
      </c>
      <c r="I3523">
        <v>0</v>
      </c>
      <c r="J3523" s="23">
        <v>110041</v>
      </c>
      <c r="K3523">
        <v>110041</v>
      </c>
    </row>
    <row r="3524" spans="1:11" ht="15" customHeight="1" x14ac:dyDescent="0.3">
      <c r="A3524" t="s">
        <v>18</v>
      </c>
      <c r="B3524" t="s">
        <v>11</v>
      </c>
      <c r="C3524" t="s">
        <v>24</v>
      </c>
      <c r="D3524" t="s">
        <v>28</v>
      </c>
      <c r="E3524">
        <v>3</v>
      </c>
      <c r="F3524" t="s">
        <v>26</v>
      </c>
      <c r="G3524" t="s">
        <v>31</v>
      </c>
      <c r="H3524" t="s">
        <v>16</v>
      </c>
      <c r="I3524">
        <v>1</v>
      </c>
      <c r="J3524" s="23">
        <v>80047</v>
      </c>
      <c r="K3524">
        <v>240141</v>
      </c>
    </row>
    <row r="3525" spans="1:11" ht="15" customHeight="1" x14ac:dyDescent="0.3">
      <c r="A3525" t="s">
        <v>18</v>
      </c>
      <c r="B3525" t="s">
        <v>11</v>
      </c>
      <c r="C3525" t="s">
        <v>12</v>
      </c>
      <c r="D3525" t="s">
        <v>28</v>
      </c>
      <c r="E3525">
        <v>-4</v>
      </c>
      <c r="F3525" t="s">
        <v>14</v>
      </c>
      <c r="G3525" t="s">
        <v>15</v>
      </c>
      <c r="H3525" t="s">
        <v>16</v>
      </c>
      <c r="I3525">
        <v>0</v>
      </c>
      <c r="J3525" s="23">
        <v>-57</v>
      </c>
      <c r="K3525" t="s">
        <v>17</v>
      </c>
    </row>
    <row r="3526" spans="1:11" ht="15" customHeight="1" x14ac:dyDescent="0.3">
      <c r="A3526" t="s">
        <v>18</v>
      </c>
      <c r="B3526" t="s">
        <v>11</v>
      </c>
      <c r="C3526" t="s">
        <v>12</v>
      </c>
      <c r="D3526" t="s">
        <v>28</v>
      </c>
      <c r="E3526">
        <v>3</v>
      </c>
      <c r="F3526" t="s">
        <v>21</v>
      </c>
      <c r="G3526" t="s">
        <v>31</v>
      </c>
      <c r="H3526" t="s">
        <v>32</v>
      </c>
      <c r="I3526">
        <v>1</v>
      </c>
      <c r="J3526" s="23">
        <v>-165</v>
      </c>
      <c r="K3526" t="s">
        <v>17</v>
      </c>
    </row>
    <row r="3527" spans="1:11" ht="15" customHeight="1" x14ac:dyDescent="0.3">
      <c r="A3527" t="s">
        <v>22</v>
      </c>
      <c r="B3527" t="s">
        <v>11</v>
      </c>
      <c r="C3527" t="s">
        <v>24</v>
      </c>
      <c r="D3527" t="s">
        <v>25</v>
      </c>
      <c r="E3527">
        <v>3</v>
      </c>
      <c r="F3527" t="s">
        <v>39</v>
      </c>
      <c r="G3527" t="s">
        <v>15</v>
      </c>
      <c r="H3527" t="s">
        <v>16</v>
      </c>
      <c r="I3527">
        <v>0</v>
      </c>
      <c r="J3527" s="23">
        <v>111740</v>
      </c>
      <c r="K3527">
        <v>335220</v>
      </c>
    </row>
    <row r="3528" spans="1:11" ht="15" customHeight="1" x14ac:dyDescent="0.3">
      <c r="A3528" t="s">
        <v>18</v>
      </c>
      <c r="B3528" t="s">
        <v>11</v>
      </c>
      <c r="C3528" t="s">
        <v>12</v>
      </c>
      <c r="D3528" t="s">
        <v>28</v>
      </c>
      <c r="E3528">
        <v>12</v>
      </c>
      <c r="F3528" t="s">
        <v>35</v>
      </c>
      <c r="G3528" t="s">
        <v>15</v>
      </c>
      <c r="H3528" t="s">
        <v>16</v>
      </c>
      <c r="I3528">
        <v>0</v>
      </c>
      <c r="J3528" s="23">
        <v>-360</v>
      </c>
      <c r="K3528" t="s">
        <v>17</v>
      </c>
    </row>
    <row r="3529" spans="1:11" ht="15" customHeight="1" x14ac:dyDescent="0.3">
      <c r="A3529" t="s">
        <v>18</v>
      </c>
      <c r="B3529" t="s">
        <v>11</v>
      </c>
      <c r="C3529" t="s">
        <v>24</v>
      </c>
      <c r="D3529" t="s">
        <v>28</v>
      </c>
      <c r="E3529">
        <v>7</v>
      </c>
      <c r="F3529" t="s">
        <v>14</v>
      </c>
      <c r="G3529" t="s">
        <v>15</v>
      </c>
      <c r="H3529" t="s">
        <v>16</v>
      </c>
      <c r="I3529">
        <v>0</v>
      </c>
      <c r="J3529" s="23">
        <v>4631585</v>
      </c>
      <c r="K3529">
        <v>32421095</v>
      </c>
    </row>
    <row r="3530" spans="1:11" ht="15" customHeight="1" x14ac:dyDescent="0.3">
      <c r="A3530" t="s">
        <v>18</v>
      </c>
      <c r="B3530" t="s">
        <v>19</v>
      </c>
      <c r="C3530" t="s">
        <v>24</v>
      </c>
      <c r="D3530" t="s">
        <v>20</v>
      </c>
      <c r="E3530">
        <v>-1</v>
      </c>
      <c r="F3530"/>
      <c r="G3530" t="s">
        <v>15</v>
      </c>
      <c r="H3530" t="s">
        <v>32</v>
      </c>
      <c r="I3530">
        <v>1</v>
      </c>
      <c r="J3530" s="23">
        <v>30128</v>
      </c>
      <c r="K3530" t="s">
        <v>17</v>
      </c>
    </row>
    <row r="3531" spans="1:11" ht="15" customHeight="1" x14ac:dyDescent="0.3">
      <c r="A3531" t="s">
        <v>18</v>
      </c>
      <c r="B3531" t="s">
        <v>11</v>
      </c>
      <c r="C3531" t="s">
        <v>12</v>
      </c>
      <c r="D3531" t="s">
        <v>13</v>
      </c>
      <c r="E3531">
        <v>3</v>
      </c>
      <c r="F3531" t="s">
        <v>34</v>
      </c>
      <c r="G3531" t="s">
        <v>15</v>
      </c>
      <c r="H3531" t="s">
        <v>16</v>
      </c>
      <c r="I3531">
        <v>0</v>
      </c>
      <c r="J3531" s="23">
        <v>-392312</v>
      </c>
      <c r="K3531" t="s">
        <v>17</v>
      </c>
    </row>
    <row r="3532" spans="1:11" ht="15" customHeight="1" x14ac:dyDescent="0.3">
      <c r="A3532" t="s">
        <v>22</v>
      </c>
      <c r="B3532" t="s">
        <v>11</v>
      </c>
      <c r="C3532" t="s">
        <v>12</v>
      </c>
      <c r="D3532" t="s">
        <v>25</v>
      </c>
      <c r="E3532">
        <v>1</v>
      </c>
      <c r="F3532" t="s">
        <v>21</v>
      </c>
      <c r="G3532" t="s">
        <v>15</v>
      </c>
      <c r="H3532" t="s">
        <v>16</v>
      </c>
      <c r="I3532">
        <v>0</v>
      </c>
      <c r="J3532" s="23">
        <v>-116900</v>
      </c>
      <c r="K3532" t="s">
        <v>17</v>
      </c>
    </row>
    <row r="3533" spans="1:11" ht="15" customHeight="1" x14ac:dyDescent="0.3">
      <c r="A3533" t="s">
        <v>10</v>
      </c>
      <c r="B3533" t="s">
        <v>11</v>
      </c>
      <c r="C3533" t="s">
        <v>24</v>
      </c>
      <c r="D3533" t="s">
        <v>13</v>
      </c>
      <c r="E3533">
        <v>-4</v>
      </c>
      <c r="F3533" t="s">
        <v>23</v>
      </c>
      <c r="G3533" t="s">
        <v>15</v>
      </c>
      <c r="H3533" t="s">
        <v>16</v>
      </c>
      <c r="I3533">
        <v>0</v>
      </c>
      <c r="J3533" s="23">
        <v>21</v>
      </c>
      <c r="K3533" t="s">
        <v>17</v>
      </c>
    </row>
    <row r="3534" spans="1:11" ht="15" customHeight="1" x14ac:dyDescent="0.3">
      <c r="A3534" t="s">
        <v>18</v>
      </c>
      <c r="B3534" t="s">
        <v>11</v>
      </c>
      <c r="C3534" t="s">
        <v>24</v>
      </c>
      <c r="D3534" t="s">
        <v>13</v>
      </c>
      <c r="E3534">
        <v>-1</v>
      </c>
      <c r="F3534" t="s">
        <v>48</v>
      </c>
      <c r="G3534" t="s">
        <v>15</v>
      </c>
      <c r="H3534" t="s">
        <v>16</v>
      </c>
      <c r="I3534">
        <v>0</v>
      </c>
      <c r="J3534" s="23">
        <v>13560</v>
      </c>
      <c r="K3534" t="s">
        <v>17</v>
      </c>
    </row>
    <row r="3535" spans="1:11" ht="15" customHeight="1" x14ac:dyDescent="0.3">
      <c r="A3535" t="s">
        <v>22</v>
      </c>
      <c r="B3535" t="s">
        <v>11</v>
      </c>
      <c r="C3535" t="s">
        <v>24</v>
      </c>
      <c r="D3535" t="s">
        <v>13</v>
      </c>
      <c r="E3535">
        <v>6</v>
      </c>
      <c r="F3535" t="s">
        <v>34</v>
      </c>
      <c r="G3535" t="s">
        <v>15</v>
      </c>
      <c r="H3535" t="s">
        <v>16</v>
      </c>
      <c r="I3535">
        <v>0</v>
      </c>
      <c r="J3535" s="23">
        <v>1965141</v>
      </c>
      <c r="K3535">
        <v>11790846</v>
      </c>
    </row>
    <row r="3536" spans="1:11" ht="15" customHeight="1" x14ac:dyDescent="0.3">
      <c r="A3536" t="s">
        <v>10</v>
      </c>
      <c r="B3536" t="s">
        <v>19</v>
      </c>
      <c r="C3536" t="s">
        <v>12</v>
      </c>
      <c r="D3536" t="s">
        <v>28</v>
      </c>
      <c r="E3536">
        <v>-1</v>
      </c>
      <c r="F3536"/>
      <c r="G3536" t="s">
        <v>15</v>
      </c>
      <c r="H3536" t="s">
        <v>16</v>
      </c>
      <c r="I3536">
        <v>0</v>
      </c>
      <c r="J3536" s="23">
        <v>-2004</v>
      </c>
      <c r="K3536" t="s">
        <v>17</v>
      </c>
    </row>
    <row r="3537" spans="1:11" ht="15" customHeight="1" x14ac:dyDescent="0.3">
      <c r="A3537" t="s">
        <v>22</v>
      </c>
      <c r="B3537" t="s">
        <v>11</v>
      </c>
      <c r="C3537" t="s">
        <v>12</v>
      </c>
      <c r="D3537" t="s">
        <v>28</v>
      </c>
      <c r="E3537">
        <v>-4</v>
      </c>
      <c r="F3537" t="s">
        <v>38</v>
      </c>
      <c r="G3537" t="s">
        <v>15</v>
      </c>
      <c r="H3537" t="s">
        <v>16</v>
      </c>
      <c r="I3537">
        <v>0</v>
      </c>
      <c r="J3537" s="23">
        <v>-143</v>
      </c>
      <c r="K3537" t="s">
        <v>17</v>
      </c>
    </row>
    <row r="3538" spans="1:11" ht="15" customHeight="1" x14ac:dyDescent="0.3">
      <c r="A3538" t="s">
        <v>18</v>
      </c>
      <c r="B3538" t="s">
        <v>11</v>
      </c>
      <c r="C3538" t="s">
        <v>24</v>
      </c>
      <c r="D3538" t="s">
        <v>28</v>
      </c>
      <c r="E3538">
        <v>10</v>
      </c>
      <c r="F3538" t="s">
        <v>37</v>
      </c>
      <c r="G3538" t="s">
        <v>15</v>
      </c>
      <c r="H3538" t="s">
        <v>16</v>
      </c>
      <c r="I3538">
        <v>0</v>
      </c>
      <c r="J3538" s="23">
        <v>3806055</v>
      </c>
      <c r="K3538">
        <v>38060550</v>
      </c>
    </row>
    <row r="3539" spans="1:11" ht="15" customHeight="1" x14ac:dyDescent="0.3">
      <c r="A3539" t="s">
        <v>18</v>
      </c>
      <c r="B3539" t="s">
        <v>11</v>
      </c>
      <c r="C3539" t="s">
        <v>24</v>
      </c>
      <c r="D3539" t="s">
        <v>25</v>
      </c>
      <c r="E3539">
        <v>0</v>
      </c>
      <c r="F3539" t="s">
        <v>36</v>
      </c>
      <c r="G3539" t="s">
        <v>15</v>
      </c>
      <c r="H3539" t="s">
        <v>16</v>
      </c>
      <c r="I3539">
        <v>0</v>
      </c>
      <c r="J3539" s="23">
        <v>4770</v>
      </c>
      <c r="K3539" t="s">
        <v>17</v>
      </c>
    </row>
    <row r="3540" spans="1:11" ht="15" customHeight="1" x14ac:dyDescent="0.3">
      <c r="A3540" t="s">
        <v>18</v>
      </c>
      <c r="B3540" t="s">
        <v>11</v>
      </c>
      <c r="C3540" t="s">
        <v>12</v>
      </c>
      <c r="D3540" t="s">
        <v>25</v>
      </c>
      <c r="E3540">
        <v>2</v>
      </c>
      <c r="F3540" t="s">
        <v>40</v>
      </c>
      <c r="G3540" t="s">
        <v>15</v>
      </c>
      <c r="H3540" t="s">
        <v>16</v>
      </c>
      <c r="I3540">
        <v>0</v>
      </c>
      <c r="J3540" s="23">
        <v>-25101</v>
      </c>
      <c r="K3540" t="s">
        <v>17</v>
      </c>
    </row>
    <row r="3541" spans="1:11" ht="15" customHeight="1" x14ac:dyDescent="0.3">
      <c r="A3541" t="s">
        <v>18</v>
      </c>
      <c r="B3541" t="s">
        <v>19</v>
      </c>
      <c r="C3541" t="s">
        <v>24</v>
      </c>
      <c r="D3541" t="s">
        <v>20</v>
      </c>
      <c r="E3541">
        <v>14</v>
      </c>
      <c r="F3541"/>
      <c r="G3541" t="s">
        <v>31</v>
      </c>
      <c r="H3541" t="s">
        <v>32</v>
      </c>
      <c r="I3541">
        <v>1</v>
      </c>
      <c r="J3541" s="23">
        <v>274026</v>
      </c>
      <c r="K3541">
        <v>3836364</v>
      </c>
    </row>
    <row r="3542" spans="1:11" ht="15" customHeight="1" x14ac:dyDescent="0.3">
      <c r="A3542" t="s">
        <v>18</v>
      </c>
      <c r="B3542" t="s">
        <v>11</v>
      </c>
      <c r="C3542" t="s">
        <v>24</v>
      </c>
      <c r="D3542" t="s">
        <v>13</v>
      </c>
      <c r="E3542">
        <v>2</v>
      </c>
      <c r="F3542" t="s">
        <v>41</v>
      </c>
      <c r="G3542" t="s">
        <v>15</v>
      </c>
      <c r="H3542" t="s">
        <v>16</v>
      </c>
      <c r="I3542">
        <v>0</v>
      </c>
      <c r="J3542" s="23">
        <v>254290</v>
      </c>
      <c r="K3542">
        <v>508580</v>
      </c>
    </row>
    <row r="3543" spans="1:11" ht="15" customHeight="1" x14ac:dyDescent="0.3">
      <c r="A3543" t="s">
        <v>18</v>
      </c>
      <c r="B3543" t="s">
        <v>11</v>
      </c>
      <c r="C3543" t="s">
        <v>12</v>
      </c>
      <c r="D3543" t="s">
        <v>28</v>
      </c>
      <c r="E3543">
        <v>-4</v>
      </c>
      <c r="F3543" t="s">
        <v>30</v>
      </c>
      <c r="G3543" t="s">
        <v>15</v>
      </c>
      <c r="H3543" t="s">
        <v>16</v>
      </c>
      <c r="I3543">
        <v>0</v>
      </c>
      <c r="J3543" s="23">
        <v>0</v>
      </c>
      <c r="K3543" t="s">
        <v>17</v>
      </c>
    </row>
    <row r="3544" spans="1:11" ht="15" customHeight="1" x14ac:dyDescent="0.3">
      <c r="A3544" t="s">
        <v>10</v>
      </c>
      <c r="B3544" t="s">
        <v>11</v>
      </c>
      <c r="C3544" t="s">
        <v>12</v>
      </c>
      <c r="D3544" t="s">
        <v>25</v>
      </c>
      <c r="E3544">
        <v>3</v>
      </c>
      <c r="F3544" t="s">
        <v>42</v>
      </c>
      <c r="G3544" t="s">
        <v>15</v>
      </c>
      <c r="H3544" t="s">
        <v>16</v>
      </c>
      <c r="I3544">
        <v>0</v>
      </c>
      <c r="J3544" s="23">
        <v>-4495</v>
      </c>
      <c r="K3544" t="s">
        <v>17</v>
      </c>
    </row>
    <row r="3545" spans="1:11" ht="15" customHeight="1" x14ac:dyDescent="0.3">
      <c r="A3545" t="s">
        <v>10</v>
      </c>
      <c r="B3545" t="s">
        <v>11</v>
      </c>
      <c r="C3545" t="s">
        <v>24</v>
      </c>
      <c r="D3545" t="s">
        <v>25</v>
      </c>
      <c r="E3545">
        <v>7</v>
      </c>
      <c r="F3545" t="s">
        <v>35</v>
      </c>
      <c r="G3545" t="s">
        <v>15</v>
      </c>
      <c r="H3545" t="s">
        <v>16</v>
      </c>
      <c r="I3545">
        <v>0</v>
      </c>
      <c r="J3545" s="23">
        <v>117012</v>
      </c>
      <c r="K3545">
        <v>819084</v>
      </c>
    </row>
    <row r="3546" spans="1:11" ht="15" customHeight="1" x14ac:dyDescent="0.3">
      <c r="A3546" t="s">
        <v>10</v>
      </c>
      <c r="B3546" t="s">
        <v>11</v>
      </c>
      <c r="C3546" t="s">
        <v>12</v>
      </c>
      <c r="D3546" t="s">
        <v>28</v>
      </c>
      <c r="E3546">
        <v>6</v>
      </c>
      <c r="F3546" t="s">
        <v>30</v>
      </c>
      <c r="G3546" t="s">
        <v>15</v>
      </c>
      <c r="H3546" t="s">
        <v>16</v>
      </c>
      <c r="I3546">
        <v>0</v>
      </c>
      <c r="J3546" s="23">
        <v>-24573</v>
      </c>
      <c r="K3546" t="s">
        <v>17</v>
      </c>
    </row>
    <row r="3547" spans="1:11" ht="15" customHeight="1" x14ac:dyDescent="0.3">
      <c r="A3547" t="s">
        <v>18</v>
      </c>
      <c r="B3547" t="s">
        <v>11</v>
      </c>
      <c r="C3547" t="s">
        <v>24</v>
      </c>
      <c r="D3547" t="s">
        <v>13</v>
      </c>
      <c r="E3547">
        <v>15</v>
      </c>
      <c r="F3547" t="s">
        <v>30</v>
      </c>
      <c r="G3547" t="s">
        <v>15</v>
      </c>
      <c r="H3547" t="s">
        <v>16</v>
      </c>
      <c r="I3547">
        <v>0</v>
      </c>
      <c r="J3547" s="23">
        <v>17370927</v>
      </c>
      <c r="K3547">
        <v>260563905</v>
      </c>
    </row>
    <row r="3548" spans="1:11" ht="15" customHeight="1" x14ac:dyDescent="0.3">
      <c r="A3548" t="s">
        <v>22</v>
      </c>
      <c r="B3548" t="s">
        <v>19</v>
      </c>
      <c r="C3548" t="s">
        <v>12</v>
      </c>
      <c r="D3548" t="s">
        <v>28</v>
      </c>
      <c r="E3548">
        <v>21</v>
      </c>
      <c r="F3548"/>
      <c r="G3548" t="s">
        <v>15</v>
      </c>
      <c r="H3548" t="s">
        <v>16</v>
      </c>
      <c r="I3548">
        <v>0</v>
      </c>
      <c r="J3548" s="23">
        <v>-288297</v>
      </c>
      <c r="K3548" t="s">
        <v>17</v>
      </c>
    </row>
    <row r="3549" spans="1:11" ht="15" customHeight="1" x14ac:dyDescent="0.3">
      <c r="A3549" t="s">
        <v>18</v>
      </c>
      <c r="B3549" t="s">
        <v>11</v>
      </c>
      <c r="C3549" t="s">
        <v>12</v>
      </c>
      <c r="D3549" t="s">
        <v>13</v>
      </c>
      <c r="E3549">
        <v>11</v>
      </c>
      <c r="F3549" t="s">
        <v>23</v>
      </c>
      <c r="G3549" t="s">
        <v>15</v>
      </c>
      <c r="H3549" t="s">
        <v>16</v>
      </c>
      <c r="I3549">
        <v>0</v>
      </c>
      <c r="J3549" s="23">
        <v>-3889</v>
      </c>
      <c r="K3549" t="s">
        <v>17</v>
      </c>
    </row>
    <row r="3550" spans="1:11" ht="15" customHeight="1" x14ac:dyDescent="0.3">
      <c r="A3550" t="s">
        <v>10</v>
      </c>
      <c r="B3550" t="s">
        <v>19</v>
      </c>
      <c r="C3550" t="s">
        <v>24</v>
      </c>
      <c r="D3550" t="s">
        <v>28</v>
      </c>
      <c r="E3550">
        <v>2</v>
      </c>
      <c r="F3550"/>
      <c r="G3550" t="s">
        <v>15</v>
      </c>
      <c r="H3550" t="s">
        <v>16</v>
      </c>
      <c r="I3550">
        <v>0</v>
      </c>
      <c r="J3550" s="23">
        <v>362491</v>
      </c>
      <c r="K3550">
        <v>724982</v>
      </c>
    </row>
    <row r="3551" spans="1:11" ht="15" customHeight="1" x14ac:dyDescent="0.3">
      <c r="A3551" t="s">
        <v>18</v>
      </c>
      <c r="B3551" t="s">
        <v>11</v>
      </c>
      <c r="C3551" t="s">
        <v>24</v>
      </c>
      <c r="D3551" t="s">
        <v>13</v>
      </c>
      <c r="E3551">
        <v>4</v>
      </c>
      <c r="F3551" t="s">
        <v>34</v>
      </c>
      <c r="G3551" t="s">
        <v>15</v>
      </c>
      <c r="H3551" t="s">
        <v>16</v>
      </c>
      <c r="I3551">
        <v>0</v>
      </c>
      <c r="J3551" s="23">
        <v>205563395</v>
      </c>
      <c r="K3551">
        <v>822253580</v>
      </c>
    </row>
    <row r="3552" spans="1:11" ht="15" customHeight="1" x14ac:dyDescent="0.3">
      <c r="A3552" t="s">
        <v>10</v>
      </c>
      <c r="B3552" t="s">
        <v>44</v>
      </c>
      <c r="C3552" t="s">
        <v>12</v>
      </c>
      <c r="D3552" t="s">
        <v>28</v>
      </c>
      <c r="E3552">
        <v>7</v>
      </c>
      <c r="F3552" t="s">
        <v>38</v>
      </c>
      <c r="G3552" t="s">
        <v>15</v>
      </c>
      <c r="H3552" t="s">
        <v>16</v>
      </c>
      <c r="I3552">
        <v>0</v>
      </c>
      <c r="J3552" s="23">
        <v>-10654</v>
      </c>
      <c r="K3552" t="s">
        <v>17</v>
      </c>
    </row>
    <row r="3553" spans="1:11" ht="15" customHeight="1" x14ac:dyDescent="0.3">
      <c r="A3553" t="s">
        <v>18</v>
      </c>
      <c r="B3553" t="s">
        <v>11</v>
      </c>
      <c r="C3553" t="s">
        <v>24</v>
      </c>
      <c r="D3553" t="s">
        <v>13</v>
      </c>
      <c r="E3553">
        <v>14</v>
      </c>
      <c r="F3553" t="s">
        <v>23</v>
      </c>
      <c r="G3553" t="s">
        <v>15</v>
      </c>
      <c r="H3553" t="s">
        <v>16</v>
      </c>
      <c r="I3553">
        <v>0</v>
      </c>
      <c r="J3553" s="23">
        <v>405808</v>
      </c>
      <c r="K3553">
        <v>5681312</v>
      </c>
    </row>
    <row r="3554" spans="1:11" ht="15" customHeight="1" x14ac:dyDescent="0.3">
      <c r="A3554" t="s">
        <v>22</v>
      </c>
      <c r="B3554" t="s">
        <v>11</v>
      </c>
      <c r="C3554" t="s">
        <v>24</v>
      </c>
      <c r="D3554" t="s">
        <v>13</v>
      </c>
      <c r="E3554">
        <v>-1</v>
      </c>
      <c r="F3554" t="s">
        <v>41</v>
      </c>
      <c r="G3554" t="s">
        <v>15</v>
      </c>
      <c r="H3554" t="s">
        <v>16</v>
      </c>
      <c r="I3554">
        <v>0</v>
      </c>
      <c r="J3554" s="23">
        <v>48178</v>
      </c>
      <c r="K3554" t="s">
        <v>17</v>
      </c>
    </row>
    <row r="3555" spans="1:11" ht="15" customHeight="1" x14ac:dyDescent="0.3">
      <c r="A3555" t="s">
        <v>18</v>
      </c>
      <c r="B3555" t="s">
        <v>11</v>
      </c>
      <c r="C3555" t="s">
        <v>12</v>
      </c>
      <c r="D3555" t="s">
        <v>28</v>
      </c>
      <c r="E3555">
        <v>6</v>
      </c>
      <c r="F3555" t="s">
        <v>33</v>
      </c>
      <c r="G3555" t="s">
        <v>15</v>
      </c>
      <c r="H3555" t="s">
        <v>32</v>
      </c>
      <c r="I3555">
        <v>1</v>
      </c>
      <c r="J3555" s="23">
        <v>-4732</v>
      </c>
      <c r="K3555" t="s">
        <v>17</v>
      </c>
    </row>
    <row r="3556" spans="1:11" ht="15" customHeight="1" x14ac:dyDescent="0.3">
      <c r="A3556" t="s">
        <v>10</v>
      </c>
      <c r="B3556" t="s">
        <v>11</v>
      </c>
      <c r="C3556" t="s">
        <v>12</v>
      </c>
      <c r="D3556" t="s">
        <v>28</v>
      </c>
      <c r="E3556">
        <v>-4</v>
      </c>
      <c r="F3556" t="s">
        <v>37</v>
      </c>
      <c r="G3556" t="s">
        <v>15</v>
      </c>
      <c r="H3556" t="s">
        <v>16</v>
      </c>
      <c r="I3556">
        <v>0</v>
      </c>
      <c r="J3556" s="23">
        <v>-9</v>
      </c>
      <c r="K3556" t="s">
        <v>17</v>
      </c>
    </row>
    <row r="3557" spans="1:11" ht="15" customHeight="1" x14ac:dyDescent="0.3">
      <c r="A3557" t="s">
        <v>18</v>
      </c>
      <c r="B3557" t="s">
        <v>19</v>
      </c>
      <c r="C3557" t="s">
        <v>24</v>
      </c>
      <c r="D3557" t="s">
        <v>28</v>
      </c>
      <c r="E3557">
        <v>9</v>
      </c>
      <c r="F3557"/>
      <c r="G3557" t="s">
        <v>15</v>
      </c>
      <c r="H3557" t="s">
        <v>32</v>
      </c>
      <c r="I3557">
        <v>1</v>
      </c>
      <c r="J3557" s="23">
        <v>710203</v>
      </c>
      <c r="K3557">
        <v>6391827</v>
      </c>
    </row>
    <row r="3558" spans="1:11" ht="15" customHeight="1" x14ac:dyDescent="0.3">
      <c r="A3558" t="s">
        <v>10</v>
      </c>
      <c r="B3558" t="s">
        <v>11</v>
      </c>
      <c r="C3558" t="s">
        <v>12</v>
      </c>
      <c r="D3558" t="s">
        <v>25</v>
      </c>
      <c r="E3558">
        <v>0</v>
      </c>
      <c r="F3558" t="s">
        <v>37</v>
      </c>
      <c r="G3558" t="s">
        <v>15</v>
      </c>
      <c r="H3558" t="s">
        <v>16</v>
      </c>
      <c r="I3558">
        <v>0</v>
      </c>
      <c r="J3558" s="23">
        <v>-141</v>
      </c>
      <c r="K3558" t="s">
        <v>17</v>
      </c>
    </row>
    <row r="3559" spans="1:11" ht="15" customHeight="1" x14ac:dyDescent="0.3">
      <c r="A3559" t="s">
        <v>18</v>
      </c>
      <c r="B3559" t="s">
        <v>11</v>
      </c>
      <c r="C3559" t="s">
        <v>12</v>
      </c>
      <c r="D3559" t="s">
        <v>28</v>
      </c>
      <c r="E3559">
        <v>12</v>
      </c>
      <c r="F3559" t="s">
        <v>21</v>
      </c>
      <c r="G3559" t="s">
        <v>15</v>
      </c>
      <c r="H3559" t="s">
        <v>16</v>
      </c>
      <c r="I3559">
        <v>0</v>
      </c>
      <c r="J3559" s="23">
        <v>-9268</v>
      </c>
      <c r="K3559" t="s">
        <v>17</v>
      </c>
    </row>
    <row r="3560" spans="1:11" ht="15" customHeight="1" x14ac:dyDescent="0.3">
      <c r="A3560" t="s">
        <v>18</v>
      </c>
      <c r="B3560" t="s">
        <v>19</v>
      </c>
      <c r="C3560" t="s">
        <v>12</v>
      </c>
      <c r="D3560" t="s">
        <v>28</v>
      </c>
      <c r="E3560">
        <v>28</v>
      </c>
      <c r="F3560"/>
      <c r="G3560" t="s">
        <v>15</v>
      </c>
      <c r="H3560" t="s">
        <v>16</v>
      </c>
      <c r="I3560">
        <v>0</v>
      </c>
      <c r="J3560" s="23">
        <v>-339</v>
      </c>
      <c r="K3560" t="s">
        <v>17</v>
      </c>
    </row>
    <row r="3561" spans="1:11" ht="15" customHeight="1" x14ac:dyDescent="0.3">
      <c r="A3561" t="s">
        <v>18</v>
      </c>
      <c r="B3561" t="s">
        <v>11</v>
      </c>
      <c r="C3561" t="s">
        <v>24</v>
      </c>
      <c r="D3561" t="s">
        <v>13</v>
      </c>
      <c r="E3561">
        <v>3</v>
      </c>
      <c r="F3561" t="s">
        <v>36</v>
      </c>
      <c r="G3561" t="s">
        <v>15</v>
      </c>
      <c r="H3561" t="s">
        <v>16</v>
      </c>
      <c r="I3561">
        <v>0</v>
      </c>
      <c r="J3561" s="23">
        <v>3259402</v>
      </c>
      <c r="K3561">
        <v>9778206</v>
      </c>
    </row>
    <row r="3562" spans="1:11" ht="15" customHeight="1" x14ac:dyDescent="0.3">
      <c r="A3562" t="s">
        <v>10</v>
      </c>
      <c r="B3562" t="s">
        <v>11</v>
      </c>
      <c r="C3562" t="s">
        <v>24</v>
      </c>
      <c r="D3562" t="s">
        <v>28</v>
      </c>
      <c r="E3562">
        <v>11</v>
      </c>
      <c r="F3562" t="s">
        <v>30</v>
      </c>
      <c r="G3562" t="s">
        <v>15</v>
      </c>
      <c r="H3562" t="s">
        <v>16</v>
      </c>
      <c r="I3562">
        <v>0</v>
      </c>
      <c r="J3562" s="23">
        <v>2602897</v>
      </c>
      <c r="K3562">
        <v>28631867</v>
      </c>
    </row>
    <row r="3563" spans="1:11" ht="15" customHeight="1" x14ac:dyDescent="0.3">
      <c r="A3563" t="s">
        <v>18</v>
      </c>
      <c r="B3563" t="s">
        <v>11</v>
      </c>
      <c r="C3563" t="s">
        <v>12</v>
      </c>
      <c r="D3563" t="s">
        <v>13</v>
      </c>
      <c r="E3563">
        <v>6</v>
      </c>
      <c r="F3563" t="s">
        <v>36</v>
      </c>
      <c r="G3563" t="s">
        <v>15</v>
      </c>
      <c r="H3563" t="s">
        <v>16</v>
      </c>
      <c r="I3563">
        <v>0</v>
      </c>
      <c r="J3563" s="23">
        <v>-18792</v>
      </c>
      <c r="K3563" t="s">
        <v>17</v>
      </c>
    </row>
    <row r="3564" spans="1:11" ht="15" customHeight="1" x14ac:dyDescent="0.3">
      <c r="A3564" t="s">
        <v>18</v>
      </c>
      <c r="B3564" t="s">
        <v>11</v>
      </c>
      <c r="C3564" t="s">
        <v>24</v>
      </c>
      <c r="D3564" t="s">
        <v>28</v>
      </c>
      <c r="E3564">
        <v>3</v>
      </c>
      <c r="F3564" t="s">
        <v>34</v>
      </c>
      <c r="G3564" t="s">
        <v>15</v>
      </c>
      <c r="H3564" t="s">
        <v>16</v>
      </c>
      <c r="I3564">
        <v>0</v>
      </c>
      <c r="J3564" s="23">
        <v>8172458</v>
      </c>
      <c r="K3564">
        <v>24517374</v>
      </c>
    </row>
    <row r="3565" spans="1:11" ht="15" customHeight="1" x14ac:dyDescent="0.3">
      <c r="A3565" t="s">
        <v>10</v>
      </c>
      <c r="B3565" t="s">
        <v>19</v>
      </c>
      <c r="C3565" t="s">
        <v>12</v>
      </c>
      <c r="D3565" t="s">
        <v>20</v>
      </c>
      <c r="E3565">
        <v>18</v>
      </c>
      <c r="F3565"/>
      <c r="G3565" t="s">
        <v>15</v>
      </c>
      <c r="H3565" t="s">
        <v>16</v>
      </c>
      <c r="I3565">
        <v>0</v>
      </c>
      <c r="J3565" s="23">
        <v>-850215</v>
      </c>
      <c r="K3565" t="s">
        <v>17</v>
      </c>
    </row>
    <row r="3566" spans="1:11" ht="15" customHeight="1" x14ac:dyDescent="0.3">
      <c r="A3566" t="s">
        <v>10</v>
      </c>
      <c r="B3566" t="s">
        <v>11</v>
      </c>
      <c r="C3566" t="s">
        <v>24</v>
      </c>
      <c r="D3566" t="s">
        <v>25</v>
      </c>
      <c r="E3566">
        <v>4</v>
      </c>
      <c r="F3566" t="s">
        <v>26</v>
      </c>
      <c r="G3566" t="s">
        <v>15</v>
      </c>
      <c r="H3566" t="s">
        <v>16</v>
      </c>
      <c r="I3566">
        <v>0</v>
      </c>
      <c r="J3566" s="23">
        <v>621952</v>
      </c>
      <c r="K3566">
        <v>2487808</v>
      </c>
    </row>
    <row r="3567" spans="1:11" ht="15" customHeight="1" x14ac:dyDescent="0.3">
      <c r="A3567" t="s">
        <v>18</v>
      </c>
      <c r="B3567" t="s">
        <v>11</v>
      </c>
      <c r="C3567" t="s">
        <v>24</v>
      </c>
      <c r="D3567" t="s">
        <v>25</v>
      </c>
      <c r="E3567">
        <v>3</v>
      </c>
      <c r="F3567" t="s">
        <v>23</v>
      </c>
      <c r="G3567" t="s">
        <v>15</v>
      </c>
      <c r="H3567" t="s">
        <v>16</v>
      </c>
      <c r="I3567">
        <v>0</v>
      </c>
      <c r="J3567" s="23">
        <v>1991392</v>
      </c>
      <c r="K3567">
        <v>5974176</v>
      </c>
    </row>
    <row r="3568" spans="1:11" ht="15" customHeight="1" x14ac:dyDescent="0.3">
      <c r="A3568" t="s">
        <v>22</v>
      </c>
      <c r="B3568" t="s">
        <v>11</v>
      </c>
      <c r="C3568" t="s">
        <v>24</v>
      </c>
      <c r="D3568" t="s">
        <v>13</v>
      </c>
      <c r="E3568">
        <v>2</v>
      </c>
      <c r="F3568" t="s">
        <v>21</v>
      </c>
      <c r="G3568" t="s">
        <v>15</v>
      </c>
      <c r="H3568" t="s">
        <v>16</v>
      </c>
      <c r="I3568">
        <v>0</v>
      </c>
      <c r="J3568" s="23">
        <v>1940353</v>
      </c>
      <c r="K3568">
        <v>3880706</v>
      </c>
    </row>
    <row r="3569" spans="1:11" ht="15" customHeight="1" x14ac:dyDescent="0.3">
      <c r="A3569" t="s">
        <v>18</v>
      </c>
      <c r="B3569" t="s">
        <v>19</v>
      </c>
      <c r="C3569" t="s">
        <v>12</v>
      </c>
      <c r="D3569" t="s">
        <v>20</v>
      </c>
      <c r="E3569">
        <v>20</v>
      </c>
      <c r="F3569"/>
      <c r="G3569" t="s">
        <v>15</v>
      </c>
      <c r="H3569" t="s">
        <v>32</v>
      </c>
      <c r="I3569">
        <v>1</v>
      </c>
      <c r="J3569" s="23">
        <v>-1770</v>
      </c>
      <c r="K3569" t="s">
        <v>17</v>
      </c>
    </row>
    <row r="3570" spans="1:11" ht="15" customHeight="1" x14ac:dyDescent="0.3">
      <c r="A3570" t="s">
        <v>10</v>
      </c>
      <c r="B3570" t="s">
        <v>11</v>
      </c>
      <c r="C3570" t="s">
        <v>12</v>
      </c>
      <c r="D3570" t="s">
        <v>28</v>
      </c>
      <c r="E3570">
        <v>15</v>
      </c>
      <c r="F3570" t="s">
        <v>21</v>
      </c>
      <c r="G3570" t="s">
        <v>15</v>
      </c>
      <c r="H3570" t="s">
        <v>32</v>
      </c>
      <c r="I3570">
        <v>1</v>
      </c>
      <c r="J3570" s="23">
        <v>-1535</v>
      </c>
      <c r="K3570" t="s">
        <v>17</v>
      </c>
    </row>
    <row r="3571" spans="1:11" ht="15" customHeight="1" x14ac:dyDescent="0.3">
      <c r="A3571" t="s">
        <v>18</v>
      </c>
      <c r="B3571" t="s">
        <v>11</v>
      </c>
      <c r="C3571" t="s">
        <v>12</v>
      </c>
      <c r="D3571" t="s">
        <v>28</v>
      </c>
      <c r="E3571">
        <v>15</v>
      </c>
      <c r="F3571" t="s">
        <v>34</v>
      </c>
      <c r="G3571" t="s">
        <v>15</v>
      </c>
      <c r="H3571" t="s">
        <v>32</v>
      </c>
      <c r="I3571">
        <v>1</v>
      </c>
      <c r="J3571" s="23">
        <v>-1419</v>
      </c>
      <c r="K3571" t="s">
        <v>17</v>
      </c>
    </row>
    <row r="3572" spans="1:11" ht="15" customHeight="1" x14ac:dyDescent="0.3">
      <c r="A3572" t="s">
        <v>22</v>
      </c>
      <c r="B3572" t="s">
        <v>19</v>
      </c>
      <c r="C3572" t="s">
        <v>24</v>
      </c>
      <c r="D3572" t="s">
        <v>20</v>
      </c>
      <c r="E3572">
        <v>15</v>
      </c>
      <c r="F3572"/>
      <c r="G3572" t="s">
        <v>15</v>
      </c>
      <c r="H3572" t="s">
        <v>16</v>
      </c>
      <c r="I3572">
        <v>0</v>
      </c>
      <c r="J3572" s="23">
        <v>4898344</v>
      </c>
      <c r="K3572">
        <v>73475160</v>
      </c>
    </row>
    <row r="3573" spans="1:11" ht="15" customHeight="1" x14ac:dyDescent="0.3">
      <c r="A3573" t="s">
        <v>22</v>
      </c>
      <c r="B3573" t="s">
        <v>19</v>
      </c>
      <c r="C3573" t="s">
        <v>24</v>
      </c>
      <c r="D3573" t="s">
        <v>28</v>
      </c>
      <c r="E3573">
        <v>10</v>
      </c>
      <c r="F3573"/>
      <c r="G3573" t="s">
        <v>15</v>
      </c>
      <c r="H3573" t="s">
        <v>16</v>
      </c>
      <c r="I3573">
        <v>0</v>
      </c>
      <c r="J3573" s="23">
        <v>13042</v>
      </c>
      <c r="K3573">
        <v>130420</v>
      </c>
    </row>
    <row r="3574" spans="1:11" ht="15" customHeight="1" x14ac:dyDescent="0.3">
      <c r="A3574" t="s">
        <v>18</v>
      </c>
      <c r="B3574" t="s">
        <v>11</v>
      </c>
      <c r="C3574" t="s">
        <v>24</v>
      </c>
      <c r="D3574" t="s">
        <v>13</v>
      </c>
      <c r="E3574">
        <v>0</v>
      </c>
      <c r="F3574" t="s">
        <v>14</v>
      </c>
      <c r="G3574" t="s">
        <v>15</v>
      </c>
      <c r="H3574" t="s">
        <v>16</v>
      </c>
      <c r="I3574">
        <v>0</v>
      </c>
      <c r="J3574" s="23">
        <v>8337726</v>
      </c>
      <c r="K3574" t="s">
        <v>17</v>
      </c>
    </row>
    <row r="3575" spans="1:11" ht="15" customHeight="1" x14ac:dyDescent="0.3">
      <c r="A3575" t="s">
        <v>22</v>
      </c>
      <c r="B3575" t="s">
        <v>11</v>
      </c>
      <c r="C3575" t="s">
        <v>12</v>
      </c>
      <c r="D3575" t="s">
        <v>28</v>
      </c>
      <c r="E3575">
        <v>-4</v>
      </c>
      <c r="F3575" t="s">
        <v>34</v>
      </c>
      <c r="G3575" t="s">
        <v>15</v>
      </c>
      <c r="H3575" t="s">
        <v>16</v>
      </c>
      <c r="I3575">
        <v>0</v>
      </c>
      <c r="J3575" s="23">
        <v>-198436</v>
      </c>
      <c r="K3575" t="s">
        <v>17</v>
      </c>
    </row>
    <row r="3576" spans="1:11" ht="15" customHeight="1" x14ac:dyDescent="0.3">
      <c r="A3576" t="s">
        <v>18</v>
      </c>
      <c r="B3576" t="s">
        <v>11</v>
      </c>
      <c r="C3576" t="s">
        <v>24</v>
      </c>
      <c r="D3576" t="s">
        <v>13</v>
      </c>
      <c r="E3576">
        <v>2</v>
      </c>
      <c r="F3576" t="s">
        <v>26</v>
      </c>
      <c r="G3576" t="s">
        <v>15</v>
      </c>
      <c r="H3576" t="s">
        <v>16</v>
      </c>
      <c r="I3576">
        <v>0</v>
      </c>
      <c r="J3576" s="23">
        <v>15229299</v>
      </c>
      <c r="K3576">
        <v>30458598</v>
      </c>
    </row>
    <row r="3577" spans="1:11" ht="15" customHeight="1" x14ac:dyDescent="0.3">
      <c r="A3577" t="s">
        <v>10</v>
      </c>
      <c r="B3577" t="s">
        <v>11</v>
      </c>
      <c r="C3577" t="s">
        <v>24</v>
      </c>
      <c r="D3577" t="s">
        <v>13</v>
      </c>
      <c r="E3577">
        <v>1</v>
      </c>
      <c r="F3577" t="s">
        <v>35</v>
      </c>
      <c r="G3577" t="s">
        <v>15</v>
      </c>
      <c r="H3577" t="s">
        <v>16</v>
      </c>
      <c r="I3577">
        <v>0</v>
      </c>
      <c r="J3577" s="23">
        <v>935011</v>
      </c>
      <c r="K3577">
        <v>935011</v>
      </c>
    </row>
    <row r="3578" spans="1:11" ht="15" customHeight="1" x14ac:dyDescent="0.3">
      <c r="A3578" t="s">
        <v>18</v>
      </c>
      <c r="B3578" t="s">
        <v>19</v>
      </c>
      <c r="C3578" t="s">
        <v>12</v>
      </c>
      <c r="D3578" t="s">
        <v>20</v>
      </c>
      <c r="E3578">
        <v>4</v>
      </c>
      <c r="F3578"/>
      <c r="G3578" t="s">
        <v>15</v>
      </c>
      <c r="H3578" t="s">
        <v>32</v>
      </c>
      <c r="I3578">
        <v>1</v>
      </c>
      <c r="J3578" s="23">
        <v>-231</v>
      </c>
      <c r="K3578" t="s">
        <v>17</v>
      </c>
    </row>
    <row r="3579" spans="1:11" ht="15" customHeight="1" x14ac:dyDescent="0.3">
      <c r="A3579" t="s">
        <v>18</v>
      </c>
      <c r="B3579" t="s">
        <v>11</v>
      </c>
      <c r="C3579" t="s">
        <v>12</v>
      </c>
      <c r="D3579" t="s">
        <v>25</v>
      </c>
      <c r="E3579">
        <v>0</v>
      </c>
      <c r="F3579" t="s">
        <v>26</v>
      </c>
      <c r="G3579" t="s">
        <v>15</v>
      </c>
      <c r="H3579" t="s">
        <v>16</v>
      </c>
      <c r="I3579">
        <v>0</v>
      </c>
      <c r="J3579" s="23">
        <v>-660</v>
      </c>
      <c r="K3579" t="s">
        <v>17</v>
      </c>
    </row>
    <row r="3580" spans="1:11" ht="15" customHeight="1" x14ac:dyDescent="0.3">
      <c r="A3580" t="s">
        <v>10</v>
      </c>
      <c r="B3580" t="s">
        <v>11</v>
      </c>
      <c r="C3580" t="s">
        <v>12</v>
      </c>
      <c r="D3580" t="s">
        <v>13</v>
      </c>
      <c r="E3580">
        <v>4</v>
      </c>
      <c r="F3580" t="s">
        <v>33</v>
      </c>
      <c r="G3580" t="s">
        <v>15</v>
      </c>
      <c r="H3580" t="s">
        <v>16</v>
      </c>
      <c r="I3580">
        <v>0</v>
      </c>
      <c r="J3580" s="23">
        <v>-92283</v>
      </c>
      <c r="K3580" t="s">
        <v>17</v>
      </c>
    </row>
    <row r="3581" spans="1:11" ht="15" customHeight="1" x14ac:dyDescent="0.3">
      <c r="A3581" t="s">
        <v>18</v>
      </c>
      <c r="B3581" t="s">
        <v>11</v>
      </c>
      <c r="C3581" t="s">
        <v>12</v>
      </c>
      <c r="D3581" t="s">
        <v>13</v>
      </c>
      <c r="E3581">
        <v>0</v>
      </c>
      <c r="F3581" t="s">
        <v>35</v>
      </c>
      <c r="G3581" t="s">
        <v>15</v>
      </c>
      <c r="H3581" t="s">
        <v>16</v>
      </c>
      <c r="I3581">
        <v>0</v>
      </c>
      <c r="J3581" s="23">
        <v>-67480</v>
      </c>
      <c r="K3581" t="s">
        <v>17</v>
      </c>
    </row>
    <row r="3582" spans="1:11" ht="15" customHeight="1" x14ac:dyDescent="0.3">
      <c r="A3582" t="s">
        <v>18</v>
      </c>
      <c r="B3582" t="s">
        <v>11</v>
      </c>
      <c r="C3582" t="s">
        <v>12</v>
      </c>
      <c r="D3582" t="s">
        <v>13</v>
      </c>
      <c r="E3582">
        <v>15</v>
      </c>
      <c r="F3582" t="s">
        <v>33</v>
      </c>
      <c r="G3582" t="s">
        <v>15</v>
      </c>
      <c r="H3582" t="s">
        <v>16</v>
      </c>
      <c r="I3582">
        <v>0</v>
      </c>
      <c r="J3582" s="23">
        <v>-4797</v>
      </c>
      <c r="K3582" t="s">
        <v>17</v>
      </c>
    </row>
    <row r="3583" spans="1:11" ht="15" customHeight="1" x14ac:dyDescent="0.3">
      <c r="A3583" t="s">
        <v>18</v>
      </c>
      <c r="B3583" t="s">
        <v>11</v>
      </c>
      <c r="C3583" t="s">
        <v>24</v>
      </c>
      <c r="D3583" t="s">
        <v>28</v>
      </c>
      <c r="E3583">
        <v>14</v>
      </c>
      <c r="F3583" t="s">
        <v>21</v>
      </c>
      <c r="G3583" t="s">
        <v>15</v>
      </c>
      <c r="H3583" t="s">
        <v>16</v>
      </c>
      <c r="I3583">
        <v>0</v>
      </c>
      <c r="J3583" s="23">
        <v>798615</v>
      </c>
      <c r="K3583">
        <v>11180610</v>
      </c>
    </row>
    <row r="3584" spans="1:11" ht="15" customHeight="1" x14ac:dyDescent="0.3">
      <c r="A3584" t="s">
        <v>18</v>
      </c>
      <c r="B3584" t="s">
        <v>11</v>
      </c>
      <c r="C3584" t="s">
        <v>12</v>
      </c>
      <c r="D3584" t="s">
        <v>28</v>
      </c>
      <c r="E3584">
        <v>0</v>
      </c>
      <c r="F3584" t="s">
        <v>34</v>
      </c>
      <c r="G3584" t="s">
        <v>15</v>
      </c>
      <c r="H3584" t="s">
        <v>16</v>
      </c>
      <c r="I3584">
        <v>0</v>
      </c>
      <c r="J3584" s="23">
        <v>-1933</v>
      </c>
      <c r="K3584" t="s">
        <v>17</v>
      </c>
    </row>
    <row r="3585" spans="1:11" ht="15" customHeight="1" x14ac:dyDescent="0.3">
      <c r="A3585" t="s">
        <v>18</v>
      </c>
      <c r="B3585" t="s">
        <v>11</v>
      </c>
      <c r="C3585" t="s">
        <v>24</v>
      </c>
      <c r="D3585" t="s">
        <v>28</v>
      </c>
      <c r="E3585">
        <v>5</v>
      </c>
      <c r="F3585" t="s">
        <v>45</v>
      </c>
      <c r="G3585" t="s">
        <v>15</v>
      </c>
      <c r="H3585" t="s">
        <v>16</v>
      </c>
      <c r="I3585">
        <v>0</v>
      </c>
      <c r="J3585" s="23">
        <v>237460</v>
      </c>
      <c r="K3585">
        <v>1187300</v>
      </c>
    </row>
    <row r="3586" spans="1:11" ht="15" customHeight="1" x14ac:dyDescent="0.3">
      <c r="A3586" t="s">
        <v>10</v>
      </c>
      <c r="B3586" t="s">
        <v>19</v>
      </c>
      <c r="C3586" t="s">
        <v>12</v>
      </c>
      <c r="D3586" t="s">
        <v>28</v>
      </c>
      <c r="E3586">
        <v>23</v>
      </c>
      <c r="F3586"/>
      <c r="G3586" t="s">
        <v>15</v>
      </c>
      <c r="H3586" t="s">
        <v>16</v>
      </c>
      <c r="I3586">
        <v>0</v>
      </c>
      <c r="J3586" s="23">
        <v>-5818</v>
      </c>
      <c r="K3586" t="s">
        <v>17</v>
      </c>
    </row>
    <row r="3587" spans="1:11" ht="15" customHeight="1" x14ac:dyDescent="0.3">
      <c r="A3587" t="s">
        <v>22</v>
      </c>
      <c r="B3587" t="s">
        <v>19</v>
      </c>
      <c r="C3587" t="s">
        <v>12</v>
      </c>
      <c r="D3587" t="s">
        <v>20</v>
      </c>
      <c r="E3587">
        <v>25</v>
      </c>
      <c r="F3587"/>
      <c r="G3587" t="s">
        <v>15</v>
      </c>
      <c r="H3587" t="s">
        <v>32</v>
      </c>
      <c r="I3587">
        <v>1</v>
      </c>
      <c r="J3587" s="23">
        <v>-27288</v>
      </c>
      <c r="K3587" t="s">
        <v>17</v>
      </c>
    </row>
    <row r="3588" spans="1:11" ht="15" customHeight="1" x14ac:dyDescent="0.3">
      <c r="A3588" t="s">
        <v>22</v>
      </c>
      <c r="B3588" t="s">
        <v>11</v>
      </c>
      <c r="C3588" t="s">
        <v>12</v>
      </c>
      <c r="D3588" t="s">
        <v>25</v>
      </c>
      <c r="E3588">
        <v>-4</v>
      </c>
      <c r="F3588" t="s">
        <v>33</v>
      </c>
      <c r="G3588" t="s">
        <v>15</v>
      </c>
      <c r="H3588" t="s">
        <v>16</v>
      </c>
      <c r="I3588">
        <v>0</v>
      </c>
      <c r="J3588" s="23">
        <v>-54102</v>
      </c>
      <c r="K3588" t="s">
        <v>17</v>
      </c>
    </row>
    <row r="3589" spans="1:11" ht="15" customHeight="1" x14ac:dyDescent="0.3">
      <c r="A3589" t="s">
        <v>18</v>
      </c>
      <c r="B3589" t="s">
        <v>19</v>
      </c>
      <c r="C3589" t="s">
        <v>24</v>
      </c>
      <c r="D3589" t="s">
        <v>28</v>
      </c>
      <c r="E3589">
        <v>19</v>
      </c>
      <c r="F3589"/>
      <c r="G3589" t="s">
        <v>15</v>
      </c>
      <c r="H3589" t="s">
        <v>16</v>
      </c>
      <c r="I3589">
        <v>0</v>
      </c>
      <c r="J3589" s="23">
        <v>291634</v>
      </c>
      <c r="K3589">
        <v>5541046</v>
      </c>
    </row>
    <row r="3590" spans="1:11" ht="15" customHeight="1" x14ac:dyDescent="0.3">
      <c r="A3590" t="s">
        <v>18</v>
      </c>
      <c r="B3590" t="s">
        <v>11</v>
      </c>
      <c r="C3590" t="s">
        <v>12</v>
      </c>
      <c r="D3590" t="s">
        <v>28</v>
      </c>
      <c r="E3590">
        <v>7</v>
      </c>
      <c r="F3590" t="s">
        <v>30</v>
      </c>
      <c r="G3590" t="s">
        <v>15</v>
      </c>
      <c r="H3590" t="s">
        <v>16</v>
      </c>
      <c r="I3590">
        <v>0</v>
      </c>
      <c r="J3590" s="23">
        <v>-13454</v>
      </c>
      <c r="K3590" t="s">
        <v>17</v>
      </c>
    </row>
    <row r="3591" spans="1:11" ht="15" customHeight="1" x14ac:dyDescent="0.3">
      <c r="A3591" t="s">
        <v>10</v>
      </c>
      <c r="B3591" t="s">
        <v>11</v>
      </c>
      <c r="C3591" t="s">
        <v>24</v>
      </c>
      <c r="D3591" t="s">
        <v>13</v>
      </c>
      <c r="E3591">
        <v>0</v>
      </c>
      <c r="F3591" t="s">
        <v>23</v>
      </c>
      <c r="G3591" t="s">
        <v>15</v>
      </c>
      <c r="H3591" t="s">
        <v>16</v>
      </c>
      <c r="I3591">
        <v>0</v>
      </c>
      <c r="J3591" s="23">
        <v>793813</v>
      </c>
      <c r="K3591" t="s">
        <v>17</v>
      </c>
    </row>
    <row r="3592" spans="1:11" ht="15" customHeight="1" x14ac:dyDescent="0.3">
      <c r="A3592" t="s">
        <v>22</v>
      </c>
      <c r="B3592" t="s">
        <v>11</v>
      </c>
      <c r="C3592" t="s">
        <v>12</v>
      </c>
      <c r="D3592" t="s">
        <v>13</v>
      </c>
      <c r="E3592">
        <v>0</v>
      </c>
      <c r="F3592" t="s">
        <v>40</v>
      </c>
      <c r="G3592" t="s">
        <v>15</v>
      </c>
      <c r="H3592" t="s">
        <v>16</v>
      </c>
      <c r="I3592">
        <v>0</v>
      </c>
      <c r="J3592" s="23">
        <v>-139802</v>
      </c>
      <c r="K3592" t="s">
        <v>17</v>
      </c>
    </row>
    <row r="3593" spans="1:11" ht="15" customHeight="1" x14ac:dyDescent="0.3">
      <c r="A3593" t="s">
        <v>18</v>
      </c>
      <c r="B3593" t="s">
        <v>11</v>
      </c>
      <c r="C3593" t="s">
        <v>24</v>
      </c>
      <c r="D3593" t="s">
        <v>25</v>
      </c>
      <c r="E3593">
        <v>-1</v>
      </c>
      <c r="F3593" t="s">
        <v>21</v>
      </c>
      <c r="G3593" t="s">
        <v>15</v>
      </c>
      <c r="H3593" t="s">
        <v>16</v>
      </c>
      <c r="I3593">
        <v>0</v>
      </c>
      <c r="J3593" s="23">
        <v>10483182</v>
      </c>
      <c r="K3593" t="s">
        <v>17</v>
      </c>
    </row>
    <row r="3594" spans="1:11" ht="15" customHeight="1" x14ac:dyDescent="0.3">
      <c r="A3594" t="s">
        <v>22</v>
      </c>
      <c r="B3594" t="s">
        <v>11</v>
      </c>
      <c r="C3594" t="s">
        <v>24</v>
      </c>
      <c r="D3594" t="s">
        <v>25</v>
      </c>
      <c r="E3594">
        <v>2</v>
      </c>
      <c r="F3594" t="s">
        <v>29</v>
      </c>
      <c r="G3594" t="s">
        <v>15</v>
      </c>
      <c r="H3594" t="s">
        <v>16</v>
      </c>
      <c r="I3594">
        <v>0</v>
      </c>
      <c r="J3594" s="23">
        <v>357005</v>
      </c>
      <c r="K3594">
        <v>714010</v>
      </c>
    </row>
    <row r="3595" spans="1:11" ht="15" customHeight="1" x14ac:dyDescent="0.3">
      <c r="A3595" t="s">
        <v>22</v>
      </c>
      <c r="B3595" t="s">
        <v>11</v>
      </c>
      <c r="C3595" t="s">
        <v>12</v>
      </c>
      <c r="D3595" t="s">
        <v>28</v>
      </c>
      <c r="E3595">
        <v>0</v>
      </c>
      <c r="F3595" t="s">
        <v>29</v>
      </c>
      <c r="G3595" t="s">
        <v>15</v>
      </c>
      <c r="H3595" t="s">
        <v>16</v>
      </c>
      <c r="I3595">
        <v>0</v>
      </c>
      <c r="J3595" s="23">
        <v>-335129</v>
      </c>
      <c r="K3595" t="s">
        <v>17</v>
      </c>
    </row>
    <row r="3596" spans="1:11" ht="15" customHeight="1" x14ac:dyDescent="0.3">
      <c r="A3596" t="s">
        <v>18</v>
      </c>
      <c r="B3596" t="s">
        <v>11</v>
      </c>
      <c r="C3596" t="s">
        <v>12</v>
      </c>
      <c r="D3596" t="s">
        <v>13</v>
      </c>
      <c r="E3596">
        <v>-1</v>
      </c>
      <c r="F3596" t="s">
        <v>49</v>
      </c>
      <c r="G3596" t="s">
        <v>15</v>
      </c>
      <c r="H3596" t="s">
        <v>16</v>
      </c>
      <c r="I3596">
        <v>0</v>
      </c>
      <c r="J3596" s="23">
        <v>-1</v>
      </c>
      <c r="K3596" t="s">
        <v>17</v>
      </c>
    </row>
    <row r="3597" spans="1:11" ht="15" customHeight="1" x14ac:dyDescent="0.3">
      <c r="A3597" t="s">
        <v>18</v>
      </c>
      <c r="B3597" t="s">
        <v>11</v>
      </c>
      <c r="C3597" t="s">
        <v>24</v>
      </c>
      <c r="D3597" t="s">
        <v>28</v>
      </c>
      <c r="E3597">
        <v>9</v>
      </c>
      <c r="F3597" t="s">
        <v>37</v>
      </c>
      <c r="G3597" t="s">
        <v>15</v>
      </c>
      <c r="H3597" t="s">
        <v>16</v>
      </c>
      <c r="I3597">
        <v>0</v>
      </c>
      <c r="J3597" s="23">
        <v>1252603</v>
      </c>
      <c r="K3597">
        <v>11273427</v>
      </c>
    </row>
    <row r="3598" spans="1:11" ht="15" customHeight="1" x14ac:dyDescent="0.3">
      <c r="A3598" t="s">
        <v>18</v>
      </c>
      <c r="B3598" t="s">
        <v>11</v>
      </c>
      <c r="C3598" t="s">
        <v>12</v>
      </c>
      <c r="D3598" t="s">
        <v>13</v>
      </c>
      <c r="E3598">
        <v>8</v>
      </c>
      <c r="F3598" t="s">
        <v>34</v>
      </c>
      <c r="G3598" t="s">
        <v>15</v>
      </c>
      <c r="H3598" t="s">
        <v>16</v>
      </c>
      <c r="I3598">
        <v>0</v>
      </c>
      <c r="J3598" s="23">
        <v>-5953</v>
      </c>
      <c r="K3598" t="s">
        <v>17</v>
      </c>
    </row>
    <row r="3599" spans="1:11" ht="15" customHeight="1" x14ac:dyDescent="0.3">
      <c r="A3599" t="s">
        <v>18</v>
      </c>
      <c r="B3599" t="s">
        <v>44</v>
      </c>
      <c r="C3599" t="s">
        <v>12</v>
      </c>
      <c r="D3599" t="s">
        <v>28</v>
      </c>
      <c r="E3599">
        <v>6</v>
      </c>
      <c r="F3599" t="s">
        <v>38</v>
      </c>
      <c r="G3599" t="s">
        <v>15</v>
      </c>
      <c r="H3599" t="s">
        <v>16</v>
      </c>
      <c r="I3599">
        <v>0</v>
      </c>
      <c r="J3599" s="23">
        <v>-177</v>
      </c>
      <c r="K3599" t="s">
        <v>17</v>
      </c>
    </row>
    <row r="3600" spans="1:11" ht="15" customHeight="1" x14ac:dyDescent="0.3">
      <c r="A3600" t="s">
        <v>22</v>
      </c>
      <c r="B3600" t="s">
        <v>11</v>
      </c>
      <c r="C3600" t="s">
        <v>12</v>
      </c>
      <c r="D3600" t="s">
        <v>25</v>
      </c>
      <c r="E3600">
        <v>3</v>
      </c>
      <c r="F3600" t="s">
        <v>23</v>
      </c>
      <c r="G3600" t="s">
        <v>15</v>
      </c>
      <c r="H3600" t="s">
        <v>16</v>
      </c>
      <c r="I3600">
        <v>0</v>
      </c>
      <c r="J3600" s="23">
        <v>-20922</v>
      </c>
      <c r="K3600" t="s">
        <v>17</v>
      </c>
    </row>
    <row r="3601" spans="1:11" ht="15" customHeight="1" x14ac:dyDescent="0.3">
      <c r="A3601" t="s">
        <v>10</v>
      </c>
      <c r="B3601" t="s">
        <v>19</v>
      </c>
      <c r="C3601" t="s">
        <v>12</v>
      </c>
      <c r="D3601" t="s">
        <v>20</v>
      </c>
      <c r="E3601">
        <v>23</v>
      </c>
      <c r="F3601"/>
      <c r="G3601" t="s">
        <v>15</v>
      </c>
      <c r="H3601" t="s">
        <v>16</v>
      </c>
      <c r="I3601">
        <v>0</v>
      </c>
      <c r="J3601" s="23">
        <v>-1286807</v>
      </c>
      <c r="K3601" t="s">
        <v>17</v>
      </c>
    </row>
    <row r="3602" spans="1:11" ht="15" customHeight="1" x14ac:dyDescent="0.3">
      <c r="A3602" t="s">
        <v>22</v>
      </c>
      <c r="B3602" t="s">
        <v>11</v>
      </c>
      <c r="C3602" t="s">
        <v>12</v>
      </c>
      <c r="D3602" t="s">
        <v>13</v>
      </c>
      <c r="E3602">
        <v>14</v>
      </c>
      <c r="F3602" t="s">
        <v>29</v>
      </c>
      <c r="G3602" t="s">
        <v>15</v>
      </c>
      <c r="H3602" t="s">
        <v>16</v>
      </c>
      <c r="I3602">
        <v>0</v>
      </c>
      <c r="J3602" s="23">
        <v>-1167465</v>
      </c>
      <c r="K3602" t="s">
        <v>17</v>
      </c>
    </row>
    <row r="3603" spans="1:11" ht="15" customHeight="1" x14ac:dyDescent="0.3">
      <c r="A3603" t="s">
        <v>10</v>
      </c>
      <c r="B3603" t="s">
        <v>11</v>
      </c>
      <c r="C3603" t="s">
        <v>24</v>
      </c>
      <c r="D3603" t="s">
        <v>13</v>
      </c>
      <c r="E3603">
        <v>2</v>
      </c>
      <c r="F3603" t="s">
        <v>35</v>
      </c>
      <c r="G3603" t="s">
        <v>15</v>
      </c>
      <c r="H3603" t="s">
        <v>16</v>
      </c>
      <c r="I3603">
        <v>0</v>
      </c>
      <c r="J3603" s="23">
        <v>1611543</v>
      </c>
      <c r="K3603">
        <v>3223086</v>
      </c>
    </row>
    <row r="3604" spans="1:11" ht="15" customHeight="1" x14ac:dyDescent="0.3">
      <c r="A3604" t="s">
        <v>22</v>
      </c>
      <c r="B3604" t="s">
        <v>11</v>
      </c>
      <c r="C3604" t="s">
        <v>24</v>
      </c>
      <c r="D3604" t="s">
        <v>28</v>
      </c>
      <c r="E3604">
        <v>-1</v>
      </c>
      <c r="F3604" t="s">
        <v>33</v>
      </c>
      <c r="G3604" t="s">
        <v>31</v>
      </c>
      <c r="H3604" t="s">
        <v>32</v>
      </c>
      <c r="I3604">
        <v>1</v>
      </c>
      <c r="J3604" s="23">
        <v>231</v>
      </c>
      <c r="K3604" t="s">
        <v>17</v>
      </c>
    </row>
    <row r="3605" spans="1:11" ht="15" customHeight="1" x14ac:dyDescent="0.3">
      <c r="A3605" t="s">
        <v>18</v>
      </c>
      <c r="B3605" t="s">
        <v>19</v>
      </c>
      <c r="C3605" t="s">
        <v>12</v>
      </c>
      <c r="D3605" t="s">
        <v>20</v>
      </c>
      <c r="E3605">
        <v>44</v>
      </c>
      <c r="F3605"/>
      <c r="G3605" t="s">
        <v>31</v>
      </c>
      <c r="H3605" t="s">
        <v>16</v>
      </c>
      <c r="I3605">
        <v>1</v>
      </c>
      <c r="J3605" s="23">
        <v>-35</v>
      </c>
      <c r="K3605" t="s">
        <v>17</v>
      </c>
    </row>
    <row r="3606" spans="1:11" ht="15" customHeight="1" x14ac:dyDescent="0.3">
      <c r="A3606" t="s">
        <v>10</v>
      </c>
      <c r="B3606" t="s">
        <v>11</v>
      </c>
      <c r="C3606" t="s">
        <v>24</v>
      </c>
      <c r="D3606" t="s">
        <v>28</v>
      </c>
      <c r="E3606">
        <v>10</v>
      </c>
      <c r="F3606" t="s">
        <v>33</v>
      </c>
      <c r="G3606" t="s">
        <v>15</v>
      </c>
      <c r="H3606" t="s">
        <v>16</v>
      </c>
      <c r="I3606">
        <v>0</v>
      </c>
      <c r="J3606" s="23">
        <v>79407</v>
      </c>
      <c r="K3606">
        <v>794070</v>
      </c>
    </row>
    <row r="3607" spans="1:11" ht="15" customHeight="1" x14ac:dyDescent="0.3">
      <c r="A3607" t="s">
        <v>22</v>
      </c>
      <c r="B3607" t="s">
        <v>11</v>
      </c>
      <c r="C3607" t="s">
        <v>24</v>
      </c>
      <c r="D3607" t="s">
        <v>13</v>
      </c>
      <c r="E3607">
        <v>1</v>
      </c>
      <c r="F3607" t="s">
        <v>40</v>
      </c>
      <c r="G3607" t="s">
        <v>15</v>
      </c>
      <c r="H3607" t="s">
        <v>16</v>
      </c>
      <c r="I3607">
        <v>0</v>
      </c>
      <c r="J3607" s="23">
        <v>1156939</v>
      </c>
      <c r="K3607">
        <v>1156939</v>
      </c>
    </row>
    <row r="3608" spans="1:11" ht="15" customHeight="1" x14ac:dyDescent="0.3">
      <c r="A3608" t="s">
        <v>18</v>
      </c>
      <c r="B3608" t="s">
        <v>19</v>
      </c>
      <c r="C3608" t="s">
        <v>24</v>
      </c>
      <c r="D3608" t="s">
        <v>20</v>
      </c>
      <c r="E3608">
        <v>18</v>
      </c>
      <c r="F3608"/>
      <c r="G3608" t="s">
        <v>31</v>
      </c>
      <c r="H3608" t="s">
        <v>16</v>
      </c>
      <c r="I3608">
        <v>1</v>
      </c>
      <c r="J3608" s="23">
        <v>3724469</v>
      </c>
      <c r="K3608">
        <v>67040442</v>
      </c>
    </row>
    <row r="3609" spans="1:11" ht="15" customHeight="1" x14ac:dyDescent="0.3">
      <c r="A3609" t="s">
        <v>22</v>
      </c>
      <c r="B3609" t="s">
        <v>11</v>
      </c>
      <c r="C3609" t="s">
        <v>24</v>
      </c>
      <c r="D3609" t="s">
        <v>13</v>
      </c>
      <c r="E3609">
        <v>-4</v>
      </c>
      <c r="F3609" t="s">
        <v>34</v>
      </c>
      <c r="G3609" t="s">
        <v>15</v>
      </c>
      <c r="H3609" t="s">
        <v>16</v>
      </c>
      <c r="I3609">
        <v>0</v>
      </c>
      <c r="J3609" s="23">
        <v>7729834</v>
      </c>
      <c r="K3609" t="s">
        <v>17</v>
      </c>
    </row>
    <row r="3610" spans="1:11" ht="15" customHeight="1" x14ac:dyDescent="0.3">
      <c r="A3610" t="s">
        <v>10</v>
      </c>
      <c r="B3610" t="s">
        <v>11</v>
      </c>
      <c r="C3610" t="s">
        <v>12</v>
      </c>
      <c r="D3610" t="s">
        <v>28</v>
      </c>
      <c r="E3610">
        <v>14</v>
      </c>
      <c r="F3610" t="s">
        <v>21</v>
      </c>
      <c r="G3610" t="s">
        <v>15</v>
      </c>
      <c r="H3610" t="s">
        <v>16</v>
      </c>
      <c r="I3610">
        <v>0</v>
      </c>
      <c r="J3610" s="23">
        <v>-198389</v>
      </c>
      <c r="K3610" t="s">
        <v>17</v>
      </c>
    </row>
    <row r="3611" spans="1:11" ht="15" customHeight="1" x14ac:dyDescent="0.3">
      <c r="A3611" t="s">
        <v>10</v>
      </c>
      <c r="B3611" t="s">
        <v>19</v>
      </c>
      <c r="C3611" t="s">
        <v>24</v>
      </c>
      <c r="D3611" t="s">
        <v>20</v>
      </c>
      <c r="E3611">
        <v>50</v>
      </c>
      <c r="F3611"/>
      <c r="G3611" t="s">
        <v>15</v>
      </c>
      <c r="H3611" t="s">
        <v>16</v>
      </c>
      <c r="I3611">
        <v>0</v>
      </c>
      <c r="J3611" s="23">
        <v>59102</v>
      </c>
      <c r="K3611">
        <v>2955100</v>
      </c>
    </row>
    <row r="3612" spans="1:11" ht="15" customHeight="1" x14ac:dyDescent="0.3">
      <c r="A3612" t="s">
        <v>22</v>
      </c>
      <c r="B3612" t="s">
        <v>11</v>
      </c>
      <c r="C3612" t="s">
        <v>12</v>
      </c>
      <c r="D3612" t="s">
        <v>28</v>
      </c>
      <c r="E3612">
        <v>-4</v>
      </c>
      <c r="F3612" t="s">
        <v>21</v>
      </c>
      <c r="G3612" t="s">
        <v>31</v>
      </c>
      <c r="H3612" t="s">
        <v>32</v>
      </c>
      <c r="I3612">
        <v>1</v>
      </c>
      <c r="J3612" s="23">
        <v>-22920</v>
      </c>
      <c r="K3612" t="s">
        <v>17</v>
      </c>
    </row>
    <row r="3613" spans="1:11" ht="15" customHeight="1" x14ac:dyDescent="0.3">
      <c r="A3613" t="s">
        <v>10</v>
      </c>
      <c r="B3613" t="s">
        <v>11</v>
      </c>
      <c r="C3613" t="s">
        <v>24</v>
      </c>
      <c r="D3613" t="s">
        <v>13</v>
      </c>
      <c r="E3613">
        <v>2</v>
      </c>
      <c r="F3613" t="s">
        <v>36</v>
      </c>
      <c r="G3613" t="s">
        <v>15</v>
      </c>
      <c r="H3613" t="s">
        <v>16</v>
      </c>
      <c r="I3613">
        <v>0</v>
      </c>
      <c r="J3613" s="23">
        <v>15816</v>
      </c>
      <c r="K3613">
        <v>31632</v>
      </c>
    </row>
    <row r="3614" spans="1:11" ht="15" customHeight="1" x14ac:dyDescent="0.3">
      <c r="A3614" t="s">
        <v>22</v>
      </c>
      <c r="B3614" t="s">
        <v>11</v>
      </c>
      <c r="C3614" t="s">
        <v>12</v>
      </c>
      <c r="D3614" t="s">
        <v>13</v>
      </c>
      <c r="E3614">
        <v>2</v>
      </c>
      <c r="F3614" t="s">
        <v>33</v>
      </c>
      <c r="G3614" t="s">
        <v>15</v>
      </c>
      <c r="H3614" t="s">
        <v>16</v>
      </c>
      <c r="I3614">
        <v>0</v>
      </c>
      <c r="J3614" s="23">
        <v>-179344</v>
      </c>
      <c r="K3614" t="s">
        <v>17</v>
      </c>
    </row>
    <row r="3615" spans="1:11" ht="15" customHeight="1" x14ac:dyDescent="0.3">
      <c r="A3615" t="s">
        <v>18</v>
      </c>
      <c r="B3615" t="s">
        <v>19</v>
      </c>
      <c r="C3615" t="s">
        <v>12</v>
      </c>
      <c r="D3615" t="s">
        <v>20</v>
      </c>
      <c r="E3615">
        <v>39</v>
      </c>
      <c r="F3615"/>
      <c r="G3615" t="s">
        <v>15</v>
      </c>
      <c r="H3615" t="s">
        <v>16</v>
      </c>
      <c r="I3615">
        <v>0</v>
      </c>
      <c r="J3615" s="23">
        <v>-171230</v>
      </c>
      <c r="K3615" t="s">
        <v>17</v>
      </c>
    </row>
    <row r="3616" spans="1:11" ht="15" customHeight="1" x14ac:dyDescent="0.3">
      <c r="A3616" t="s">
        <v>18</v>
      </c>
      <c r="B3616" t="s">
        <v>11</v>
      </c>
      <c r="C3616" t="s">
        <v>24</v>
      </c>
      <c r="D3616" t="s">
        <v>25</v>
      </c>
      <c r="E3616">
        <v>7</v>
      </c>
      <c r="F3616" t="s">
        <v>29</v>
      </c>
      <c r="G3616" t="s">
        <v>15</v>
      </c>
      <c r="H3616" t="s">
        <v>16</v>
      </c>
      <c r="I3616">
        <v>0</v>
      </c>
      <c r="J3616" s="23">
        <v>1251369</v>
      </c>
      <c r="K3616">
        <v>8759583</v>
      </c>
    </row>
    <row r="3617" spans="1:11" ht="15" customHeight="1" x14ac:dyDescent="0.3">
      <c r="A3617" t="s">
        <v>22</v>
      </c>
      <c r="B3617" t="s">
        <v>11</v>
      </c>
      <c r="C3617" t="s">
        <v>12</v>
      </c>
      <c r="D3617" t="s">
        <v>28</v>
      </c>
      <c r="E3617">
        <v>7</v>
      </c>
      <c r="F3617" t="s">
        <v>34</v>
      </c>
      <c r="G3617" t="s">
        <v>15</v>
      </c>
      <c r="H3617" t="s">
        <v>16</v>
      </c>
      <c r="I3617">
        <v>0</v>
      </c>
      <c r="J3617" s="23">
        <v>-10387</v>
      </c>
      <c r="K3617" t="s">
        <v>17</v>
      </c>
    </row>
    <row r="3618" spans="1:11" ht="15" customHeight="1" x14ac:dyDescent="0.3">
      <c r="A3618" t="s">
        <v>22</v>
      </c>
      <c r="B3618" t="s">
        <v>11</v>
      </c>
      <c r="C3618" t="s">
        <v>12</v>
      </c>
      <c r="D3618" t="s">
        <v>13</v>
      </c>
      <c r="E3618">
        <v>4</v>
      </c>
      <c r="F3618" t="s">
        <v>39</v>
      </c>
      <c r="G3618" t="s">
        <v>15</v>
      </c>
      <c r="H3618" t="s">
        <v>16</v>
      </c>
      <c r="I3618">
        <v>0</v>
      </c>
      <c r="J3618" s="23">
        <v>-105133</v>
      </c>
      <c r="K3618" t="s">
        <v>17</v>
      </c>
    </row>
    <row r="3619" spans="1:11" ht="15" customHeight="1" x14ac:dyDescent="0.3">
      <c r="A3619" t="s">
        <v>22</v>
      </c>
      <c r="B3619" t="s">
        <v>11</v>
      </c>
      <c r="C3619" t="s">
        <v>12</v>
      </c>
      <c r="D3619" t="s">
        <v>25</v>
      </c>
      <c r="E3619">
        <v>2</v>
      </c>
      <c r="F3619" t="s">
        <v>33</v>
      </c>
      <c r="G3619" t="s">
        <v>15</v>
      </c>
      <c r="H3619" t="s">
        <v>16</v>
      </c>
      <c r="I3619">
        <v>0</v>
      </c>
      <c r="J3619" s="23">
        <v>-89457</v>
      </c>
      <c r="K3619" t="s">
        <v>17</v>
      </c>
    </row>
    <row r="3620" spans="1:11" ht="15" customHeight="1" x14ac:dyDescent="0.3">
      <c r="A3620" t="s">
        <v>10</v>
      </c>
      <c r="B3620" t="s">
        <v>19</v>
      </c>
      <c r="C3620" t="s">
        <v>24</v>
      </c>
      <c r="D3620" t="s">
        <v>20</v>
      </c>
      <c r="E3620">
        <v>19</v>
      </c>
      <c r="F3620"/>
      <c r="G3620" t="s">
        <v>31</v>
      </c>
      <c r="H3620" t="s">
        <v>16</v>
      </c>
      <c r="I3620">
        <v>1</v>
      </c>
      <c r="J3620" s="23">
        <v>469812</v>
      </c>
      <c r="K3620">
        <v>8926428</v>
      </c>
    </row>
    <row r="3621" spans="1:11" ht="15" customHeight="1" x14ac:dyDescent="0.3">
      <c r="A3621" t="s">
        <v>18</v>
      </c>
      <c r="B3621" t="s">
        <v>11</v>
      </c>
      <c r="C3621" t="s">
        <v>12</v>
      </c>
      <c r="D3621" t="s">
        <v>28</v>
      </c>
      <c r="E3621">
        <v>5</v>
      </c>
      <c r="F3621" t="s">
        <v>29</v>
      </c>
      <c r="G3621" t="s">
        <v>15</v>
      </c>
      <c r="H3621" t="s">
        <v>32</v>
      </c>
      <c r="I3621">
        <v>1</v>
      </c>
      <c r="J3621" s="23">
        <v>-13410</v>
      </c>
      <c r="K3621" t="s">
        <v>17</v>
      </c>
    </row>
    <row r="3622" spans="1:11" ht="15" customHeight="1" x14ac:dyDescent="0.3">
      <c r="A3622" t="s">
        <v>10</v>
      </c>
      <c r="B3622" t="s">
        <v>11</v>
      </c>
      <c r="C3622" t="s">
        <v>24</v>
      </c>
      <c r="D3622" t="s">
        <v>28</v>
      </c>
      <c r="E3622">
        <v>10</v>
      </c>
      <c r="F3622" t="s">
        <v>14</v>
      </c>
      <c r="G3622" t="s">
        <v>15</v>
      </c>
      <c r="H3622" t="s">
        <v>16</v>
      </c>
      <c r="I3622">
        <v>0</v>
      </c>
      <c r="J3622" s="23">
        <v>395986</v>
      </c>
      <c r="K3622">
        <v>3959860</v>
      </c>
    </row>
    <row r="3623" spans="1:11" ht="15" customHeight="1" x14ac:dyDescent="0.3">
      <c r="A3623" t="s">
        <v>10</v>
      </c>
      <c r="B3623" t="s">
        <v>11</v>
      </c>
      <c r="C3623" t="s">
        <v>12</v>
      </c>
      <c r="D3623" t="s">
        <v>13</v>
      </c>
      <c r="E3623">
        <v>5</v>
      </c>
      <c r="F3623" t="s">
        <v>14</v>
      </c>
      <c r="G3623" t="s">
        <v>15</v>
      </c>
      <c r="H3623" t="s">
        <v>16</v>
      </c>
      <c r="I3623">
        <v>0</v>
      </c>
      <c r="J3623" s="23">
        <v>-33978</v>
      </c>
      <c r="K3623" t="s">
        <v>17</v>
      </c>
    </row>
    <row r="3624" spans="1:11" ht="15" customHeight="1" x14ac:dyDescent="0.3">
      <c r="A3624" t="s">
        <v>10</v>
      </c>
      <c r="B3624" t="s">
        <v>11</v>
      </c>
      <c r="C3624" t="s">
        <v>12</v>
      </c>
      <c r="D3624" t="s">
        <v>13</v>
      </c>
      <c r="E3624">
        <v>3</v>
      </c>
      <c r="F3624" t="s">
        <v>36</v>
      </c>
      <c r="G3624" t="s">
        <v>15</v>
      </c>
      <c r="H3624" t="s">
        <v>16</v>
      </c>
      <c r="I3624">
        <v>0</v>
      </c>
      <c r="J3624" s="23">
        <v>-480</v>
      </c>
      <c r="K3624" t="s">
        <v>17</v>
      </c>
    </row>
    <row r="3625" spans="1:11" ht="15" customHeight="1" x14ac:dyDescent="0.3">
      <c r="A3625" t="s">
        <v>18</v>
      </c>
      <c r="B3625" t="s">
        <v>11</v>
      </c>
      <c r="C3625" t="s">
        <v>12</v>
      </c>
      <c r="D3625" t="s">
        <v>28</v>
      </c>
      <c r="E3625">
        <v>5</v>
      </c>
      <c r="F3625" t="s">
        <v>37</v>
      </c>
      <c r="G3625" t="s">
        <v>15</v>
      </c>
      <c r="H3625" t="s">
        <v>16</v>
      </c>
      <c r="I3625">
        <v>0</v>
      </c>
      <c r="J3625" s="23">
        <v>-377</v>
      </c>
      <c r="K3625" t="s">
        <v>17</v>
      </c>
    </row>
    <row r="3626" spans="1:11" ht="15" customHeight="1" x14ac:dyDescent="0.3">
      <c r="A3626" t="s">
        <v>18</v>
      </c>
      <c r="B3626" t="s">
        <v>11</v>
      </c>
      <c r="C3626" t="s">
        <v>24</v>
      </c>
      <c r="D3626" t="s">
        <v>28</v>
      </c>
      <c r="E3626">
        <v>5</v>
      </c>
      <c r="F3626" t="s">
        <v>23</v>
      </c>
      <c r="G3626" t="s">
        <v>15</v>
      </c>
      <c r="H3626" t="s">
        <v>16</v>
      </c>
      <c r="I3626">
        <v>0</v>
      </c>
      <c r="J3626" s="23">
        <v>43281116</v>
      </c>
      <c r="K3626">
        <v>216405580</v>
      </c>
    </row>
    <row r="3627" spans="1:11" ht="15" customHeight="1" x14ac:dyDescent="0.3">
      <c r="A3627" t="s">
        <v>22</v>
      </c>
      <c r="B3627" t="s">
        <v>11</v>
      </c>
      <c r="C3627" t="s">
        <v>24</v>
      </c>
      <c r="D3627" t="s">
        <v>13</v>
      </c>
      <c r="E3627">
        <v>-4</v>
      </c>
      <c r="F3627" t="s">
        <v>17</v>
      </c>
      <c r="G3627" t="s">
        <v>15</v>
      </c>
      <c r="H3627" t="s">
        <v>16</v>
      </c>
      <c r="I3627">
        <v>0</v>
      </c>
      <c r="J3627" s="23">
        <v>434206</v>
      </c>
      <c r="K3627" t="s">
        <v>17</v>
      </c>
    </row>
    <row r="3628" spans="1:11" ht="15" customHeight="1" x14ac:dyDescent="0.3">
      <c r="A3628" t="s">
        <v>22</v>
      </c>
      <c r="B3628" t="s">
        <v>11</v>
      </c>
      <c r="C3628" t="s">
        <v>12</v>
      </c>
      <c r="D3628" t="s">
        <v>13</v>
      </c>
      <c r="E3628">
        <v>-4</v>
      </c>
      <c r="F3628" t="s">
        <v>21</v>
      </c>
      <c r="G3628" t="s">
        <v>15</v>
      </c>
      <c r="H3628" t="s">
        <v>16</v>
      </c>
      <c r="I3628">
        <v>0</v>
      </c>
      <c r="J3628" s="23">
        <v>-6716313</v>
      </c>
      <c r="K3628" t="s">
        <v>17</v>
      </c>
    </row>
    <row r="3629" spans="1:11" ht="15" customHeight="1" x14ac:dyDescent="0.3">
      <c r="A3629" t="s">
        <v>18</v>
      </c>
      <c r="B3629" t="s">
        <v>11</v>
      </c>
      <c r="C3629" t="s">
        <v>24</v>
      </c>
      <c r="D3629" t="s">
        <v>28</v>
      </c>
      <c r="E3629">
        <v>14</v>
      </c>
      <c r="F3629" t="s">
        <v>35</v>
      </c>
      <c r="G3629" t="s">
        <v>15</v>
      </c>
      <c r="H3629" t="s">
        <v>16</v>
      </c>
      <c r="I3629">
        <v>0</v>
      </c>
      <c r="J3629" s="23">
        <v>499862</v>
      </c>
      <c r="K3629">
        <v>6998068</v>
      </c>
    </row>
    <row r="3630" spans="1:11" ht="15" customHeight="1" x14ac:dyDescent="0.3">
      <c r="A3630" t="s">
        <v>18</v>
      </c>
      <c r="B3630" t="s">
        <v>19</v>
      </c>
      <c r="C3630" t="s">
        <v>24</v>
      </c>
      <c r="D3630" t="s">
        <v>20</v>
      </c>
      <c r="E3630">
        <v>44</v>
      </c>
      <c r="F3630"/>
      <c r="G3630" t="s">
        <v>15</v>
      </c>
      <c r="H3630" t="s">
        <v>16</v>
      </c>
      <c r="I3630">
        <v>0</v>
      </c>
      <c r="J3630" s="23">
        <v>8065400</v>
      </c>
      <c r="K3630">
        <v>354877600</v>
      </c>
    </row>
    <row r="3631" spans="1:11" ht="15" customHeight="1" x14ac:dyDescent="0.3">
      <c r="A3631" t="s">
        <v>18</v>
      </c>
      <c r="B3631" t="s">
        <v>11</v>
      </c>
      <c r="C3631" t="s">
        <v>12</v>
      </c>
      <c r="D3631" t="s">
        <v>28</v>
      </c>
      <c r="E3631">
        <v>19</v>
      </c>
      <c r="F3631" t="s">
        <v>30</v>
      </c>
      <c r="G3631" t="s">
        <v>15</v>
      </c>
      <c r="H3631" t="s">
        <v>16</v>
      </c>
      <c r="I3631">
        <v>0</v>
      </c>
      <c r="J3631" s="23">
        <v>-73</v>
      </c>
      <c r="K3631" t="s">
        <v>17</v>
      </c>
    </row>
    <row r="3632" spans="1:11" ht="15" customHeight="1" x14ac:dyDescent="0.3">
      <c r="A3632" t="s">
        <v>10</v>
      </c>
      <c r="B3632" t="s">
        <v>11</v>
      </c>
      <c r="C3632" t="s">
        <v>24</v>
      </c>
      <c r="D3632" t="s">
        <v>28</v>
      </c>
      <c r="E3632">
        <v>20</v>
      </c>
      <c r="F3632" t="s">
        <v>23</v>
      </c>
      <c r="G3632" t="s">
        <v>15</v>
      </c>
      <c r="H3632" t="s">
        <v>16</v>
      </c>
      <c r="I3632">
        <v>0</v>
      </c>
      <c r="J3632" s="23">
        <v>885158</v>
      </c>
      <c r="K3632">
        <v>17703160</v>
      </c>
    </row>
    <row r="3633" spans="1:11" ht="15" customHeight="1" x14ac:dyDescent="0.3">
      <c r="A3633" t="s">
        <v>10</v>
      </c>
      <c r="B3633" t="s">
        <v>11</v>
      </c>
      <c r="C3633" t="s">
        <v>12</v>
      </c>
      <c r="D3633" t="s">
        <v>28</v>
      </c>
      <c r="E3633">
        <v>10</v>
      </c>
      <c r="F3633" t="s">
        <v>23</v>
      </c>
      <c r="G3633" t="s">
        <v>15</v>
      </c>
      <c r="H3633" t="s">
        <v>16</v>
      </c>
      <c r="I3633">
        <v>0</v>
      </c>
      <c r="J3633" s="23">
        <v>-755760</v>
      </c>
      <c r="K3633" t="s">
        <v>17</v>
      </c>
    </row>
    <row r="3634" spans="1:11" ht="15" customHeight="1" x14ac:dyDescent="0.3">
      <c r="A3634" t="s">
        <v>10</v>
      </c>
      <c r="B3634" t="s">
        <v>11</v>
      </c>
      <c r="C3634" t="s">
        <v>12</v>
      </c>
      <c r="D3634" t="s">
        <v>25</v>
      </c>
      <c r="E3634">
        <v>1</v>
      </c>
      <c r="F3634" t="s">
        <v>14</v>
      </c>
      <c r="G3634" t="s">
        <v>15</v>
      </c>
      <c r="H3634" t="s">
        <v>16</v>
      </c>
      <c r="I3634">
        <v>0</v>
      </c>
      <c r="J3634" s="23">
        <v>-10755</v>
      </c>
      <c r="K3634" t="s">
        <v>17</v>
      </c>
    </row>
    <row r="3635" spans="1:11" ht="15" customHeight="1" x14ac:dyDescent="0.3">
      <c r="A3635" t="s">
        <v>10</v>
      </c>
      <c r="B3635" t="s">
        <v>11</v>
      </c>
      <c r="C3635" t="s">
        <v>24</v>
      </c>
      <c r="D3635" t="s">
        <v>13</v>
      </c>
      <c r="E3635">
        <v>11</v>
      </c>
      <c r="F3635" t="s">
        <v>33</v>
      </c>
      <c r="G3635" t="s">
        <v>15</v>
      </c>
      <c r="H3635" t="s">
        <v>16</v>
      </c>
      <c r="I3635">
        <v>0</v>
      </c>
      <c r="J3635" s="23">
        <v>140148</v>
      </c>
      <c r="K3635">
        <v>1541628</v>
      </c>
    </row>
    <row r="3636" spans="1:11" ht="15" customHeight="1" x14ac:dyDescent="0.3">
      <c r="A3636" t="s">
        <v>18</v>
      </c>
      <c r="B3636" t="s">
        <v>44</v>
      </c>
      <c r="C3636" t="s">
        <v>12</v>
      </c>
      <c r="D3636" t="s">
        <v>28</v>
      </c>
      <c r="E3636">
        <v>6</v>
      </c>
      <c r="F3636" t="s">
        <v>34</v>
      </c>
      <c r="G3636" t="s">
        <v>15</v>
      </c>
      <c r="H3636" t="s">
        <v>16</v>
      </c>
      <c r="I3636">
        <v>0</v>
      </c>
      <c r="J3636" s="23">
        <v>-8441</v>
      </c>
      <c r="K3636" t="s">
        <v>17</v>
      </c>
    </row>
    <row r="3637" spans="1:11" ht="15" customHeight="1" x14ac:dyDescent="0.3">
      <c r="A3637" t="s">
        <v>22</v>
      </c>
      <c r="B3637" t="s">
        <v>19</v>
      </c>
      <c r="C3637" t="s">
        <v>12</v>
      </c>
      <c r="D3637" t="s">
        <v>20</v>
      </c>
      <c r="E3637">
        <v>35</v>
      </c>
      <c r="F3637"/>
      <c r="G3637" t="s">
        <v>15</v>
      </c>
      <c r="H3637" t="s">
        <v>16</v>
      </c>
      <c r="I3637">
        <v>0</v>
      </c>
      <c r="J3637" s="23">
        <v>-1836196</v>
      </c>
      <c r="K3637" t="s">
        <v>17</v>
      </c>
    </row>
    <row r="3638" spans="1:11" ht="15" customHeight="1" x14ac:dyDescent="0.3">
      <c r="A3638" t="s">
        <v>22</v>
      </c>
      <c r="B3638" t="s">
        <v>11</v>
      </c>
      <c r="C3638" t="s">
        <v>12</v>
      </c>
      <c r="D3638" t="s">
        <v>25</v>
      </c>
      <c r="E3638">
        <v>6</v>
      </c>
      <c r="F3638" t="s">
        <v>29</v>
      </c>
      <c r="G3638" t="s">
        <v>15</v>
      </c>
      <c r="H3638" t="s">
        <v>16</v>
      </c>
      <c r="I3638">
        <v>0</v>
      </c>
      <c r="J3638" s="23">
        <v>-214011</v>
      </c>
      <c r="K3638" t="s">
        <v>17</v>
      </c>
    </row>
    <row r="3639" spans="1:11" ht="15" customHeight="1" x14ac:dyDescent="0.3">
      <c r="A3639" t="s">
        <v>18</v>
      </c>
      <c r="B3639" t="s">
        <v>19</v>
      </c>
      <c r="C3639" t="s">
        <v>12</v>
      </c>
      <c r="D3639" t="s">
        <v>28</v>
      </c>
      <c r="E3639">
        <v>21</v>
      </c>
      <c r="F3639"/>
      <c r="G3639" t="s">
        <v>15</v>
      </c>
      <c r="H3639" t="s">
        <v>16</v>
      </c>
      <c r="I3639">
        <v>0</v>
      </c>
      <c r="J3639" s="23">
        <v>-1574</v>
      </c>
      <c r="K3639" t="s">
        <v>17</v>
      </c>
    </row>
    <row r="3640" spans="1:11" ht="15" customHeight="1" x14ac:dyDescent="0.3">
      <c r="A3640" t="s">
        <v>10</v>
      </c>
      <c r="B3640" t="s">
        <v>19</v>
      </c>
      <c r="C3640" t="s">
        <v>12</v>
      </c>
      <c r="D3640" t="s">
        <v>20</v>
      </c>
      <c r="E3640">
        <v>33</v>
      </c>
      <c r="F3640"/>
      <c r="G3640" t="s">
        <v>31</v>
      </c>
      <c r="H3640" t="s">
        <v>32</v>
      </c>
      <c r="I3640">
        <v>1</v>
      </c>
      <c r="J3640" s="23">
        <v>-2674</v>
      </c>
      <c r="K3640" t="s">
        <v>17</v>
      </c>
    </row>
    <row r="3641" spans="1:11" ht="15" customHeight="1" x14ac:dyDescent="0.3">
      <c r="A3641" t="s">
        <v>10</v>
      </c>
      <c r="B3641" t="s">
        <v>11</v>
      </c>
      <c r="C3641" t="s">
        <v>24</v>
      </c>
      <c r="D3641" t="s">
        <v>13</v>
      </c>
      <c r="E3641">
        <v>9</v>
      </c>
      <c r="F3641" t="s">
        <v>26</v>
      </c>
      <c r="G3641" t="s">
        <v>15</v>
      </c>
      <c r="H3641" t="s">
        <v>16</v>
      </c>
      <c r="I3641">
        <v>0</v>
      </c>
      <c r="J3641" s="23">
        <v>220668</v>
      </c>
      <c r="K3641">
        <v>1986012</v>
      </c>
    </row>
    <row r="3642" spans="1:11" ht="15" customHeight="1" x14ac:dyDescent="0.3">
      <c r="A3642" t="s">
        <v>10</v>
      </c>
      <c r="B3642" t="s">
        <v>11</v>
      </c>
      <c r="C3642" t="s">
        <v>12</v>
      </c>
      <c r="D3642" t="s">
        <v>28</v>
      </c>
      <c r="E3642">
        <v>7</v>
      </c>
      <c r="F3642" t="s">
        <v>29</v>
      </c>
      <c r="G3642" t="s">
        <v>15</v>
      </c>
      <c r="H3642" t="s">
        <v>32</v>
      </c>
      <c r="I3642">
        <v>1</v>
      </c>
      <c r="J3642" s="23">
        <v>-45186</v>
      </c>
      <c r="K3642" t="s">
        <v>17</v>
      </c>
    </row>
    <row r="3643" spans="1:11" ht="15" customHeight="1" x14ac:dyDescent="0.3">
      <c r="A3643" t="s">
        <v>10</v>
      </c>
      <c r="B3643" t="s">
        <v>11</v>
      </c>
      <c r="C3643" t="s">
        <v>12</v>
      </c>
      <c r="D3643" t="s">
        <v>28</v>
      </c>
      <c r="E3643">
        <v>7</v>
      </c>
      <c r="F3643" t="s">
        <v>42</v>
      </c>
      <c r="G3643" t="s">
        <v>15</v>
      </c>
      <c r="H3643" t="s">
        <v>16</v>
      </c>
      <c r="I3643">
        <v>0</v>
      </c>
      <c r="J3643" s="23">
        <v>-8373</v>
      </c>
      <c r="K3643" t="s">
        <v>17</v>
      </c>
    </row>
    <row r="3644" spans="1:11" ht="15" customHeight="1" x14ac:dyDescent="0.3">
      <c r="A3644" t="s">
        <v>10</v>
      </c>
      <c r="B3644" t="s">
        <v>11</v>
      </c>
      <c r="C3644" t="s">
        <v>24</v>
      </c>
      <c r="D3644" t="s">
        <v>13</v>
      </c>
      <c r="E3644">
        <v>2</v>
      </c>
      <c r="F3644" t="s">
        <v>40</v>
      </c>
      <c r="G3644" t="s">
        <v>15</v>
      </c>
      <c r="H3644" t="s">
        <v>16</v>
      </c>
      <c r="I3644">
        <v>0</v>
      </c>
      <c r="J3644" s="23">
        <v>7816768</v>
      </c>
      <c r="K3644">
        <v>15633536</v>
      </c>
    </row>
    <row r="3645" spans="1:11" ht="15" customHeight="1" x14ac:dyDescent="0.3">
      <c r="A3645" t="s">
        <v>10</v>
      </c>
      <c r="B3645" t="s">
        <v>19</v>
      </c>
      <c r="C3645" t="s">
        <v>24</v>
      </c>
      <c r="D3645" t="s">
        <v>20</v>
      </c>
      <c r="E3645">
        <v>10</v>
      </c>
      <c r="F3645"/>
      <c r="G3645" t="s">
        <v>31</v>
      </c>
      <c r="H3645" t="s">
        <v>32</v>
      </c>
      <c r="I3645">
        <v>1</v>
      </c>
      <c r="J3645" s="23">
        <v>32188</v>
      </c>
      <c r="K3645">
        <v>321880</v>
      </c>
    </row>
    <row r="3646" spans="1:11" ht="15" customHeight="1" x14ac:dyDescent="0.3">
      <c r="A3646" t="s">
        <v>18</v>
      </c>
      <c r="B3646" t="s">
        <v>11</v>
      </c>
      <c r="C3646" t="s">
        <v>12</v>
      </c>
      <c r="D3646" t="s">
        <v>28</v>
      </c>
      <c r="E3646">
        <v>21</v>
      </c>
      <c r="F3646" t="s">
        <v>14</v>
      </c>
      <c r="G3646" t="s">
        <v>15</v>
      </c>
      <c r="H3646" t="s">
        <v>16</v>
      </c>
      <c r="I3646">
        <v>0</v>
      </c>
      <c r="J3646" s="23">
        <v>-382</v>
      </c>
      <c r="K3646" t="s">
        <v>17</v>
      </c>
    </row>
    <row r="3647" spans="1:11" ht="15" customHeight="1" x14ac:dyDescent="0.3">
      <c r="A3647" t="s">
        <v>10</v>
      </c>
      <c r="B3647" t="s">
        <v>11</v>
      </c>
      <c r="C3647" t="s">
        <v>24</v>
      </c>
      <c r="D3647" t="s">
        <v>13</v>
      </c>
      <c r="E3647">
        <v>7</v>
      </c>
      <c r="F3647" t="s">
        <v>21</v>
      </c>
      <c r="G3647" t="s">
        <v>15</v>
      </c>
      <c r="H3647" t="s">
        <v>16</v>
      </c>
      <c r="I3647">
        <v>0</v>
      </c>
      <c r="J3647" s="23">
        <v>68378</v>
      </c>
      <c r="K3647">
        <v>478646</v>
      </c>
    </row>
    <row r="3648" spans="1:11" ht="15" customHeight="1" x14ac:dyDescent="0.3">
      <c r="A3648" t="s">
        <v>22</v>
      </c>
      <c r="B3648" t="s">
        <v>19</v>
      </c>
      <c r="C3648" t="s">
        <v>12</v>
      </c>
      <c r="D3648" t="s">
        <v>20</v>
      </c>
      <c r="E3648">
        <v>31</v>
      </c>
      <c r="F3648"/>
      <c r="G3648" t="s">
        <v>15</v>
      </c>
      <c r="H3648" t="s">
        <v>16</v>
      </c>
      <c r="I3648">
        <v>0</v>
      </c>
      <c r="J3648" s="23">
        <v>-1147750</v>
      </c>
      <c r="K3648" t="s">
        <v>17</v>
      </c>
    </row>
    <row r="3649" spans="1:11" ht="15" customHeight="1" x14ac:dyDescent="0.3">
      <c r="A3649" t="s">
        <v>10</v>
      </c>
      <c r="B3649" t="s">
        <v>11</v>
      </c>
      <c r="C3649" t="s">
        <v>24</v>
      </c>
      <c r="D3649" t="s">
        <v>13</v>
      </c>
      <c r="E3649">
        <v>5</v>
      </c>
      <c r="F3649" t="s">
        <v>42</v>
      </c>
      <c r="G3649" t="s">
        <v>15</v>
      </c>
      <c r="H3649" t="s">
        <v>16</v>
      </c>
      <c r="I3649">
        <v>0</v>
      </c>
      <c r="J3649" s="23">
        <v>51764</v>
      </c>
      <c r="K3649">
        <v>258820</v>
      </c>
    </row>
    <row r="3650" spans="1:11" ht="15" customHeight="1" x14ac:dyDescent="0.3">
      <c r="A3650" t="s">
        <v>10</v>
      </c>
      <c r="B3650" t="s">
        <v>11</v>
      </c>
      <c r="C3650" t="s">
        <v>12</v>
      </c>
      <c r="D3650" t="s">
        <v>28</v>
      </c>
      <c r="E3650">
        <v>7</v>
      </c>
      <c r="F3650" t="s">
        <v>39</v>
      </c>
      <c r="G3650" t="s">
        <v>15</v>
      </c>
      <c r="H3650" t="s">
        <v>16</v>
      </c>
      <c r="I3650">
        <v>0</v>
      </c>
      <c r="J3650" s="23">
        <v>-116267</v>
      </c>
      <c r="K3650" t="s">
        <v>17</v>
      </c>
    </row>
    <row r="3651" spans="1:11" ht="15" customHeight="1" x14ac:dyDescent="0.3">
      <c r="A3651" t="s">
        <v>22</v>
      </c>
      <c r="B3651" t="s">
        <v>11</v>
      </c>
      <c r="C3651" t="s">
        <v>12</v>
      </c>
      <c r="D3651" t="s">
        <v>13</v>
      </c>
      <c r="E3651">
        <v>-1</v>
      </c>
      <c r="F3651" t="s">
        <v>38</v>
      </c>
      <c r="G3651" t="s">
        <v>15</v>
      </c>
      <c r="H3651" t="s">
        <v>16</v>
      </c>
      <c r="I3651">
        <v>0</v>
      </c>
      <c r="J3651" s="23">
        <v>-22254</v>
      </c>
      <c r="K3651" t="s">
        <v>17</v>
      </c>
    </row>
    <row r="3652" spans="1:11" ht="15" customHeight="1" x14ac:dyDescent="0.3">
      <c r="A3652" t="s">
        <v>10</v>
      </c>
      <c r="B3652" t="s">
        <v>19</v>
      </c>
      <c r="C3652" t="s">
        <v>12</v>
      </c>
      <c r="D3652" t="s">
        <v>28</v>
      </c>
      <c r="E3652">
        <v>15</v>
      </c>
      <c r="F3652"/>
      <c r="G3652" t="s">
        <v>15</v>
      </c>
      <c r="H3652" t="s">
        <v>16</v>
      </c>
      <c r="I3652">
        <v>0</v>
      </c>
      <c r="J3652" s="23">
        <v>-22874</v>
      </c>
      <c r="K3652" t="s">
        <v>17</v>
      </c>
    </row>
    <row r="3653" spans="1:11" ht="15" customHeight="1" x14ac:dyDescent="0.3">
      <c r="A3653" t="s">
        <v>22</v>
      </c>
      <c r="B3653" t="s">
        <v>11</v>
      </c>
      <c r="C3653" t="s">
        <v>12</v>
      </c>
      <c r="D3653" t="s">
        <v>13</v>
      </c>
      <c r="E3653">
        <v>15</v>
      </c>
      <c r="F3653" t="s">
        <v>33</v>
      </c>
      <c r="G3653" t="s">
        <v>15</v>
      </c>
      <c r="H3653" t="s">
        <v>16</v>
      </c>
      <c r="I3653">
        <v>0</v>
      </c>
      <c r="J3653" s="23">
        <v>-26792</v>
      </c>
      <c r="K3653" t="s">
        <v>17</v>
      </c>
    </row>
    <row r="3654" spans="1:11" ht="15" customHeight="1" x14ac:dyDescent="0.3">
      <c r="A3654" t="s">
        <v>18</v>
      </c>
      <c r="B3654" t="s">
        <v>11</v>
      </c>
      <c r="C3654" t="s">
        <v>24</v>
      </c>
      <c r="D3654" t="s">
        <v>25</v>
      </c>
      <c r="E3654">
        <v>-1</v>
      </c>
      <c r="F3654" t="s">
        <v>36</v>
      </c>
      <c r="G3654" t="s">
        <v>15</v>
      </c>
      <c r="H3654" t="s">
        <v>16</v>
      </c>
      <c r="I3654">
        <v>0</v>
      </c>
      <c r="J3654" s="23">
        <v>140475</v>
      </c>
      <c r="K3654" t="s">
        <v>17</v>
      </c>
    </row>
    <row r="3655" spans="1:11" ht="15" customHeight="1" x14ac:dyDescent="0.3">
      <c r="A3655" t="s">
        <v>10</v>
      </c>
      <c r="B3655" t="s">
        <v>19</v>
      </c>
      <c r="C3655" t="s">
        <v>12</v>
      </c>
      <c r="D3655" t="s">
        <v>20</v>
      </c>
      <c r="E3655">
        <v>6</v>
      </c>
      <c r="F3655"/>
      <c r="G3655" t="s">
        <v>31</v>
      </c>
      <c r="H3655" t="s">
        <v>32</v>
      </c>
      <c r="I3655">
        <v>1</v>
      </c>
      <c r="J3655" s="23">
        <v>-301</v>
      </c>
      <c r="K3655" t="s">
        <v>17</v>
      </c>
    </row>
    <row r="3656" spans="1:11" ht="15" customHeight="1" x14ac:dyDescent="0.3">
      <c r="A3656" t="s">
        <v>18</v>
      </c>
      <c r="B3656" t="s">
        <v>11</v>
      </c>
      <c r="C3656" t="s">
        <v>12</v>
      </c>
      <c r="D3656" t="s">
        <v>25</v>
      </c>
      <c r="E3656">
        <v>1</v>
      </c>
      <c r="F3656" t="s">
        <v>33</v>
      </c>
      <c r="G3656" t="s">
        <v>15</v>
      </c>
      <c r="H3656" t="s">
        <v>16</v>
      </c>
      <c r="I3656">
        <v>0</v>
      </c>
      <c r="J3656" s="23">
        <v>-3377</v>
      </c>
      <c r="K3656" t="s">
        <v>17</v>
      </c>
    </row>
    <row r="3657" spans="1:11" ht="15" customHeight="1" x14ac:dyDescent="0.3">
      <c r="A3657" t="s">
        <v>10</v>
      </c>
      <c r="B3657" t="s">
        <v>11</v>
      </c>
      <c r="C3657" t="s">
        <v>24</v>
      </c>
      <c r="D3657" t="s">
        <v>28</v>
      </c>
      <c r="E3657">
        <v>8</v>
      </c>
      <c r="F3657" t="s">
        <v>29</v>
      </c>
      <c r="G3657" t="s">
        <v>15</v>
      </c>
      <c r="H3657" t="s">
        <v>16</v>
      </c>
      <c r="I3657">
        <v>0</v>
      </c>
      <c r="J3657" s="23">
        <v>936744</v>
      </c>
      <c r="K3657">
        <v>7493952</v>
      </c>
    </row>
    <row r="3658" spans="1:11" ht="15" customHeight="1" x14ac:dyDescent="0.3">
      <c r="A3658" t="s">
        <v>18</v>
      </c>
      <c r="B3658" t="s">
        <v>19</v>
      </c>
      <c r="C3658" t="s">
        <v>12</v>
      </c>
      <c r="D3658" t="s">
        <v>20</v>
      </c>
      <c r="E3658">
        <v>4</v>
      </c>
      <c r="F3658"/>
      <c r="G3658" t="s">
        <v>31</v>
      </c>
      <c r="H3658" t="s">
        <v>32</v>
      </c>
      <c r="I3658">
        <v>1</v>
      </c>
      <c r="J3658" s="23">
        <v>-15</v>
      </c>
      <c r="K3658" t="s">
        <v>17</v>
      </c>
    </row>
    <row r="3659" spans="1:11" ht="15" customHeight="1" x14ac:dyDescent="0.3">
      <c r="A3659" t="s">
        <v>18</v>
      </c>
      <c r="B3659" t="s">
        <v>19</v>
      </c>
      <c r="C3659" t="s">
        <v>24</v>
      </c>
      <c r="D3659" t="s">
        <v>28</v>
      </c>
      <c r="E3659">
        <v>8</v>
      </c>
      <c r="F3659"/>
      <c r="G3659" t="s">
        <v>15</v>
      </c>
      <c r="H3659" t="s">
        <v>16</v>
      </c>
      <c r="I3659">
        <v>0</v>
      </c>
      <c r="J3659" s="23">
        <v>8062849</v>
      </c>
      <c r="K3659">
        <v>64502792</v>
      </c>
    </row>
    <row r="3660" spans="1:11" ht="15" customHeight="1" x14ac:dyDescent="0.3">
      <c r="A3660" t="s">
        <v>18</v>
      </c>
      <c r="B3660" t="s">
        <v>19</v>
      </c>
      <c r="C3660" t="s">
        <v>12</v>
      </c>
      <c r="D3660" t="s">
        <v>20</v>
      </c>
      <c r="E3660">
        <v>25</v>
      </c>
      <c r="F3660"/>
      <c r="G3660" t="s">
        <v>15</v>
      </c>
      <c r="H3660" t="s">
        <v>32</v>
      </c>
      <c r="I3660">
        <v>1</v>
      </c>
      <c r="J3660" s="23">
        <v>-1139</v>
      </c>
      <c r="K3660" t="s">
        <v>17</v>
      </c>
    </row>
    <row r="3661" spans="1:11" ht="15" customHeight="1" x14ac:dyDescent="0.3">
      <c r="A3661" t="s">
        <v>18</v>
      </c>
      <c r="B3661" t="s">
        <v>11</v>
      </c>
      <c r="C3661" t="s">
        <v>12</v>
      </c>
      <c r="D3661" t="s">
        <v>13</v>
      </c>
      <c r="E3661">
        <v>7</v>
      </c>
      <c r="F3661" t="s">
        <v>21</v>
      </c>
      <c r="G3661" t="s">
        <v>15</v>
      </c>
      <c r="H3661" t="s">
        <v>16</v>
      </c>
      <c r="I3661">
        <v>0</v>
      </c>
      <c r="J3661" s="23">
        <v>-3163</v>
      </c>
      <c r="K3661" t="s">
        <v>17</v>
      </c>
    </row>
    <row r="3662" spans="1:11" ht="15" customHeight="1" x14ac:dyDescent="0.3">
      <c r="A3662" t="s">
        <v>18</v>
      </c>
      <c r="B3662" t="s">
        <v>11</v>
      </c>
      <c r="C3662" t="s">
        <v>24</v>
      </c>
      <c r="D3662" t="s">
        <v>28</v>
      </c>
      <c r="E3662">
        <v>8</v>
      </c>
      <c r="F3662" t="s">
        <v>29</v>
      </c>
      <c r="G3662" t="s">
        <v>15</v>
      </c>
      <c r="H3662" t="s">
        <v>16</v>
      </c>
      <c r="I3662">
        <v>0</v>
      </c>
      <c r="J3662" s="23">
        <v>3056005</v>
      </c>
      <c r="K3662">
        <v>24448040</v>
      </c>
    </row>
    <row r="3663" spans="1:11" ht="15" customHeight="1" x14ac:dyDescent="0.3">
      <c r="A3663" t="s">
        <v>18</v>
      </c>
      <c r="B3663" t="s">
        <v>11</v>
      </c>
      <c r="C3663" t="s">
        <v>24</v>
      </c>
      <c r="D3663" t="s">
        <v>28</v>
      </c>
      <c r="E3663">
        <v>20</v>
      </c>
      <c r="F3663" t="s">
        <v>34</v>
      </c>
      <c r="G3663" t="s">
        <v>15</v>
      </c>
      <c r="H3663" t="s">
        <v>16</v>
      </c>
      <c r="I3663">
        <v>0</v>
      </c>
      <c r="J3663" s="23">
        <v>153301</v>
      </c>
      <c r="K3663">
        <v>3066020</v>
      </c>
    </row>
    <row r="3664" spans="1:11" ht="15" customHeight="1" x14ac:dyDescent="0.3">
      <c r="A3664" t="s">
        <v>10</v>
      </c>
      <c r="B3664" t="s">
        <v>11</v>
      </c>
      <c r="C3664" t="s">
        <v>12</v>
      </c>
      <c r="D3664" t="s">
        <v>13</v>
      </c>
      <c r="E3664">
        <v>1</v>
      </c>
      <c r="F3664" t="s">
        <v>33</v>
      </c>
      <c r="G3664" t="s">
        <v>15</v>
      </c>
      <c r="H3664" t="s">
        <v>16</v>
      </c>
      <c r="I3664">
        <v>0</v>
      </c>
      <c r="J3664" s="23">
        <v>-88350</v>
      </c>
      <c r="K3664" t="s">
        <v>17</v>
      </c>
    </row>
    <row r="3665" spans="1:11" ht="15" customHeight="1" x14ac:dyDescent="0.3">
      <c r="A3665" t="s">
        <v>18</v>
      </c>
      <c r="B3665" t="s">
        <v>11</v>
      </c>
      <c r="C3665" t="s">
        <v>24</v>
      </c>
      <c r="D3665" t="s">
        <v>28</v>
      </c>
      <c r="E3665">
        <v>15</v>
      </c>
      <c r="F3665" t="s">
        <v>23</v>
      </c>
      <c r="G3665" t="s">
        <v>15</v>
      </c>
      <c r="H3665" t="s">
        <v>16</v>
      </c>
      <c r="I3665">
        <v>0</v>
      </c>
      <c r="J3665" s="23">
        <v>38950625</v>
      </c>
      <c r="K3665">
        <v>584259375</v>
      </c>
    </row>
    <row r="3666" spans="1:11" ht="15" customHeight="1" x14ac:dyDescent="0.3">
      <c r="A3666" t="s">
        <v>10</v>
      </c>
      <c r="B3666" t="s">
        <v>11</v>
      </c>
      <c r="C3666" t="s">
        <v>12</v>
      </c>
      <c r="D3666" t="s">
        <v>28</v>
      </c>
      <c r="E3666">
        <v>4</v>
      </c>
      <c r="F3666" t="s">
        <v>27</v>
      </c>
      <c r="G3666" t="s">
        <v>15</v>
      </c>
      <c r="H3666" t="s">
        <v>16</v>
      </c>
      <c r="I3666">
        <v>0</v>
      </c>
      <c r="J3666" s="23">
        <v>-450</v>
      </c>
      <c r="K3666" t="s">
        <v>17</v>
      </c>
    </row>
    <row r="3667" spans="1:11" ht="15" customHeight="1" x14ac:dyDescent="0.3">
      <c r="A3667" t="s">
        <v>18</v>
      </c>
      <c r="B3667" t="s">
        <v>11</v>
      </c>
      <c r="C3667" t="s">
        <v>12</v>
      </c>
      <c r="D3667" t="s">
        <v>25</v>
      </c>
      <c r="E3667">
        <v>7</v>
      </c>
      <c r="F3667" t="s">
        <v>38</v>
      </c>
      <c r="G3667" t="s">
        <v>15</v>
      </c>
      <c r="H3667" t="s">
        <v>16</v>
      </c>
      <c r="I3667">
        <v>0</v>
      </c>
      <c r="J3667" s="23">
        <v>-616</v>
      </c>
      <c r="K3667" t="s">
        <v>17</v>
      </c>
    </row>
    <row r="3668" spans="1:11" ht="15" customHeight="1" x14ac:dyDescent="0.3">
      <c r="A3668" t="s">
        <v>10</v>
      </c>
      <c r="B3668" t="s">
        <v>11</v>
      </c>
      <c r="C3668" t="s">
        <v>24</v>
      </c>
      <c r="D3668" t="s">
        <v>28</v>
      </c>
      <c r="E3668">
        <v>2</v>
      </c>
      <c r="F3668" t="s">
        <v>29</v>
      </c>
      <c r="G3668" t="s">
        <v>15</v>
      </c>
      <c r="H3668" t="s">
        <v>32</v>
      </c>
      <c r="I3668">
        <v>1</v>
      </c>
      <c r="J3668" s="23">
        <v>134472</v>
      </c>
      <c r="K3668">
        <v>268944</v>
      </c>
    </row>
    <row r="3669" spans="1:11" ht="15" customHeight="1" x14ac:dyDescent="0.3">
      <c r="A3669" t="s">
        <v>10</v>
      </c>
      <c r="B3669" t="s">
        <v>19</v>
      </c>
      <c r="C3669" t="s">
        <v>12</v>
      </c>
      <c r="D3669" t="s">
        <v>20</v>
      </c>
      <c r="E3669">
        <v>38</v>
      </c>
      <c r="F3669"/>
      <c r="G3669" t="s">
        <v>15</v>
      </c>
      <c r="H3669" t="s">
        <v>16</v>
      </c>
      <c r="I3669">
        <v>0</v>
      </c>
      <c r="J3669" s="23">
        <v>-1202861</v>
      </c>
      <c r="K3669" t="s">
        <v>17</v>
      </c>
    </row>
    <row r="3670" spans="1:11" ht="15" customHeight="1" x14ac:dyDescent="0.3">
      <c r="A3670" t="s">
        <v>10</v>
      </c>
      <c r="B3670" t="s">
        <v>19</v>
      </c>
      <c r="C3670" t="s">
        <v>12</v>
      </c>
      <c r="D3670" t="s">
        <v>20</v>
      </c>
      <c r="E3670">
        <v>10</v>
      </c>
      <c r="F3670"/>
      <c r="G3670" t="s">
        <v>15</v>
      </c>
      <c r="H3670" t="s">
        <v>16</v>
      </c>
      <c r="I3670">
        <v>0</v>
      </c>
      <c r="J3670" s="23">
        <v>-420760</v>
      </c>
      <c r="K3670" t="s">
        <v>17</v>
      </c>
    </row>
    <row r="3671" spans="1:11" ht="15" customHeight="1" x14ac:dyDescent="0.3">
      <c r="A3671" t="s">
        <v>10</v>
      </c>
      <c r="B3671" t="s">
        <v>11</v>
      </c>
      <c r="C3671" t="s">
        <v>12</v>
      </c>
      <c r="D3671" t="s">
        <v>13</v>
      </c>
      <c r="E3671">
        <v>-1</v>
      </c>
      <c r="F3671" t="s">
        <v>38</v>
      </c>
      <c r="G3671" t="s">
        <v>15</v>
      </c>
      <c r="H3671" t="s">
        <v>16</v>
      </c>
      <c r="I3671">
        <v>0</v>
      </c>
      <c r="J3671" s="23">
        <v>-2038</v>
      </c>
      <c r="K3671" t="s">
        <v>17</v>
      </c>
    </row>
    <row r="3672" spans="1:11" ht="15" customHeight="1" x14ac:dyDescent="0.3">
      <c r="A3672" t="s">
        <v>18</v>
      </c>
      <c r="B3672" t="s">
        <v>19</v>
      </c>
      <c r="C3672" t="s">
        <v>24</v>
      </c>
      <c r="D3672" t="s">
        <v>20</v>
      </c>
      <c r="E3672">
        <v>39</v>
      </c>
      <c r="F3672"/>
      <c r="G3672" t="s">
        <v>15</v>
      </c>
      <c r="H3672" t="s">
        <v>32</v>
      </c>
      <c r="I3672">
        <v>1</v>
      </c>
      <c r="J3672" s="23">
        <v>783057</v>
      </c>
      <c r="K3672">
        <v>30539223</v>
      </c>
    </row>
    <row r="3673" spans="1:11" ht="15" customHeight="1" x14ac:dyDescent="0.3">
      <c r="A3673" t="s">
        <v>18</v>
      </c>
      <c r="B3673" t="s">
        <v>11</v>
      </c>
      <c r="C3673" t="s">
        <v>12</v>
      </c>
      <c r="D3673" t="s">
        <v>28</v>
      </c>
      <c r="E3673">
        <v>4</v>
      </c>
      <c r="F3673" t="s">
        <v>26</v>
      </c>
      <c r="G3673" t="s">
        <v>15</v>
      </c>
      <c r="H3673" t="s">
        <v>16</v>
      </c>
      <c r="I3673">
        <v>0</v>
      </c>
      <c r="J3673" s="23">
        <v>-44416</v>
      </c>
      <c r="K3673" t="s">
        <v>17</v>
      </c>
    </row>
    <row r="3674" spans="1:11" ht="15" customHeight="1" x14ac:dyDescent="0.3">
      <c r="A3674" t="s">
        <v>18</v>
      </c>
      <c r="B3674" t="s">
        <v>11</v>
      </c>
      <c r="C3674" t="s">
        <v>24</v>
      </c>
      <c r="D3674" t="s">
        <v>13</v>
      </c>
      <c r="E3674">
        <v>4</v>
      </c>
      <c r="F3674" t="s">
        <v>35</v>
      </c>
      <c r="G3674" t="s">
        <v>15</v>
      </c>
      <c r="H3674" t="s">
        <v>16</v>
      </c>
      <c r="I3674">
        <v>0</v>
      </c>
      <c r="J3674" s="23">
        <v>6046962</v>
      </c>
      <c r="K3674">
        <v>24187848</v>
      </c>
    </row>
    <row r="3675" spans="1:11" ht="15" customHeight="1" x14ac:dyDescent="0.3">
      <c r="A3675" t="s">
        <v>22</v>
      </c>
      <c r="B3675" t="s">
        <v>11</v>
      </c>
      <c r="C3675" t="s">
        <v>12</v>
      </c>
      <c r="D3675" t="s">
        <v>28</v>
      </c>
      <c r="E3675">
        <v>8</v>
      </c>
      <c r="F3675" t="s">
        <v>37</v>
      </c>
      <c r="G3675" t="s">
        <v>15</v>
      </c>
      <c r="H3675" t="s">
        <v>16</v>
      </c>
      <c r="I3675">
        <v>0</v>
      </c>
      <c r="J3675" s="23">
        <v>-1834800</v>
      </c>
      <c r="K3675" t="s">
        <v>17</v>
      </c>
    </row>
    <row r="3676" spans="1:11" ht="15" customHeight="1" x14ac:dyDescent="0.3">
      <c r="A3676" t="s">
        <v>10</v>
      </c>
      <c r="B3676" t="s">
        <v>19</v>
      </c>
      <c r="C3676" t="s">
        <v>12</v>
      </c>
      <c r="D3676" t="s">
        <v>20</v>
      </c>
      <c r="E3676">
        <v>7</v>
      </c>
      <c r="F3676"/>
      <c r="G3676" t="s">
        <v>31</v>
      </c>
      <c r="H3676" t="s">
        <v>16</v>
      </c>
      <c r="I3676">
        <v>1</v>
      </c>
      <c r="J3676" s="23">
        <v>-7226</v>
      </c>
      <c r="K3676" t="s">
        <v>17</v>
      </c>
    </row>
    <row r="3677" spans="1:11" ht="15" customHeight="1" x14ac:dyDescent="0.3">
      <c r="A3677" t="s">
        <v>10</v>
      </c>
      <c r="B3677" t="s">
        <v>11</v>
      </c>
      <c r="C3677" t="s">
        <v>24</v>
      </c>
      <c r="D3677" t="s">
        <v>25</v>
      </c>
      <c r="E3677">
        <v>2</v>
      </c>
      <c r="F3677" t="s">
        <v>41</v>
      </c>
      <c r="G3677" t="s">
        <v>15</v>
      </c>
      <c r="H3677" t="s">
        <v>16</v>
      </c>
      <c r="I3677">
        <v>0</v>
      </c>
      <c r="J3677" s="23">
        <v>67838</v>
      </c>
      <c r="K3677">
        <v>135676</v>
      </c>
    </row>
    <row r="3678" spans="1:11" ht="15" customHeight="1" x14ac:dyDescent="0.3">
      <c r="A3678" t="s">
        <v>18</v>
      </c>
      <c r="B3678" t="s">
        <v>11</v>
      </c>
      <c r="C3678" t="s">
        <v>24</v>
      </c>
      <c r="D3678" t="s">
        <v>28</v>
      </c>
      <c r="E3678">
        <v>13</v>
      </c>
      <c r="F3678" t="s">
        <v>23</v>
      </c>
      <c r="G3678" t="s">
        <v>15</v>
      </c>
      <c r="H3678" t="s">
        <v>16</v>
      </c>
      <c r="I3678">
        <v>0</v>
      </c>
      <c r="J3678" s="23">
        <v>5875732</v>
      </c>
      <c r="K3678">
        <v>76384516</v>
      </c>
    </row>
    <row r="3679" spans="1:11" ht="15" customHeight="1" x14ac:dyDescent="0.3">
      <c r="A3679" t="s">
        <v>22</v>
      </c>
      <c r="B3679" t="s">
        <v>19</v>
      </c>
      <c r="C3679" t="s">
        <v>24</v>
      </c>
      <c r="D3679" t="s">
        <v>20</v>
      </c>
      <c r="E3679">
        <v>16</v>
      </c>
      <c r="F3679"/>
      <c r="G3679" t="s">
        <v>15</v>
      </c>
      <c r="H3679" t="s">
        <v>32</v>
      </c>
      <c r="I3679">
        <v>1</v>
      </c>
      <c r="J3679" s="23">
        <v>164155</v>
      </c>
      <c r="K3679">
        <v>2626480</v>
      </c>
    </row>
    <row r="3680" spans="1:11" ht="15" customHeight="1" x14ac:dyDescent="0.3">
      <c r="A3680" t="s">
        <v>10</v>
      </c>
      <c r="B3680" t="s">
        <v>19</v>
      </c>
      <c r="C3680" t="s">
        <v>24</v>
      </c>
      <c r="D3680" t="s">
        <v>28</v>
      </c>
      <c r="E3680">
        <v>15</v>
      </c>
      <c r="F3680"/>
      <c r="G3680" t="s">
        <v>15</v>
      </c>
      <c r="H3680" t="s">
        <v>16</v>
      </c>
      <c r="I3680">
        <v>0</v>
      </c>
      <c r="J3680" s="23">
        <v>259097</v>
      </c>
      <c r="K3680">
        <v>3886455</v>
      </c>
    </row>
    <row r="3681" spans="1:11" ht="15" customHeight="1" x14ac:dyDescent="0.3">
      <c r="A3681" t="s">
        <v>18</v>
      </c>
      <c r="B3681" t="s">
        <v>11</v>
      </c>
      <c r="C3681" t="s">
        <v>24</v>
      </c>
      <c r="D3681" t="s">
        <v>25</v>
      </c>
      <c r="E3681">
        <v>6</v>
      </c>
      <c r="F3681" t="s">
        <v>34</v>
      </c>
      <c r="G3681" t="s">
        <v>15</v>
      </c>
      <c r="H3681" t="s">
        <v>16</v>
      </c>
      <c r="I3681">
        <v>0</v>
      </c>
      <c r="J3681" s="23">
        <v>1809714</v>
      </c>
      <c r="K3681">
        <v>10858284</v>
      </c>
    </row>
    <row r="3682" spans="1:11" ht="15" customHeight="1" x14ac:dyDescent="0.3">
      <c r="A3682" t="s">
        <v>18</v>
      </c>
      <c r="B3682" t="s">
        <v>19</v>
      </c>
      <c r="C3682" t="s">
        <v>24</v>
      </c>
      <c r="D3682" t="s">
        <v>28</v>
      </c>
      <c r="E3682">
        <v>26</v>
      </c>
      <c r="F3682"/>
      <c r="G3682" t="s">
        <v>15</v>
      </c>
      <c r="H3682" t="s">
        <v>16</v>
      </c>
      <c r="I3682">
        <v>0</v>
      </c>
      <c r="J3682" s="23">
        <v>238180</v>
      </c>
      <c r="K3682">
        <v>6192680</v>
      </c>
    </row>
    <row r="3683" spans="1:11" ht="15" customHeight="1" x14ac:dyDescent="0.3">
      <c r="A3683" t="s">
        <v>18</v>
      </c>
      <c r="B3683" t="s">
        <v>19</v>
      </c>
      <c r="C3683" t="s">
        <v>12</v>
      </c>
      <c r="D3683" t="s">
        <v>28</v>
      </c>
      <c r="E3683">
        <v>9</v>
      </c>
      <c r="F3683"/>
      <c r="G3683" t="s">
        <v>15</v>
      </c>
      <c r="H3683" t="s">
        <v>32</v>
      </c>
      <c r="I3683">
        <v>1</v>
      </c>
      <c r="J3683" s="23">
        <v>-1106</v>
      </c>
      <c r="K3683" t="s">
        <v>17</v>
      </c>
    </row>
    <row r="3684" spans="1:11" ht="15" customHeight="1" x14ac:dyDescent="0.3">
      <c r="A3684" t="s">
        <v>18</v>
      </c>
      <c r="B3684" t="s">
        <v>11</v>
      </c>
      <c r="C3684" t="s">
        <v>24</v>
      </c>
      <c r="D3684" t="s">
        <v>28</v>
      </c>
      <c r="E3684">
        <v>3</v>
      </c>
      <c r="F3684" t="s">
        <v>35</v>
      </c>
      <c r="G3684" t="s">
        <v>15</v>
      </c>
      <c r="H3684" t="s">
        <v>16</v>
      </c>
      <c r="I3684">
        <v>0</v>
      </c>
      <c r="J3684" s="23">
        <v>138484</v>
      </c>
      <c r="K3684">
        <v>415452</v>
      </c>
    </row>
    <row r="3685" spans="1:11" ht="15" customHeight="1" x14ac:dyDescent="0.3">
      <c r="A3685" t="s">
        <v>10</v>
      </c>
      <c r="B3685" t="s">
        <v>11</v>
      </c>
      <c r="C3685" t="s">
        <v>12</v>
      </c>
      <c r="D3685" t="s">
        <v>28</v>
      </c>
      <c r="E3685">
        <v>-4</v>
      </c>
      <c r="F3685" t="s">
        <v>14</v>
      </c>
      <c r="G3685" t="s">
        <v>15</v>
      </c>
      <c r="H3685" t="s">
        <v>16</v>
      </c>
      <c r="I3685">
        <v>0</v>
      </c>
      <c r="J3685" s="23">
        <v>0</v>
      </c>
      <c r="K3685" t="s">
        <v>17</v>
      </c>
    </row>
    <row r="3686" spans="1:11" ht="15" customHeight="1" x14ac:dyDescent="0.3">
      <c r="A3686" t="s">
        <v>10</v>
      </c>
      <c r="B3686" t="s">
        <v>11</v>
      </c>
      <c r="C3686" t="s">
        <v>12</v>
      </c>
      <c r="D3686" t="s">
        <v>13</v>
      </c>
      <c r="E3686">
        <v>8</v>
      </c>
      <c r="F3686" t="s">
        <v>23</v>
      </c>
      <c r="G3686" t="s">
        <v>15</v>
      </c>
      <c r="H3686" t="s">
        <v>16</v>
      </c>
      <c r="I3686">
        <v>0</v>
      </c>
      <c r="J3686" s="23">
        <v>-119997</v>
      </c>
      <c r="K3686" t="s">
        <v>17</v>
      </c>
    </row>
    <row r="3687" spans="1:11" ht="15" customHeight="1" x14ac:dyDescent="0.3">
      <c r="A3687" t="s">
        <v>18</v>
      </c>
      <c r="B3687" t="s">
        <v>11</v>
      </c>
      <c r="C3687" t="s">
        <v>24</v>
      </c>
      <c r="D3687" t="s">
        <v>28</v>
      </c>
      <c r="E3687">
        <v>10</v>
      </c>
      <c r="F3687" t="s">
        <v>30</v>
      </c>
      <c r="G3687" t="s">
        <v>15</v>
      </c>
      <c r="H3687" t="s">
        <v>16</v>
      </c>
      <c r="I3687">
        <v>0</v>
      </c>
      <c r="J3687" s="23">
        <v>3186523</v>
      </c>
      <c r="K3687">
        <v>31865230</v>
      </c>
    </row>
    <row r="3688" spans="1:11" ht="15" customHeight="1" x14ac:dyDescent="0.3">
      <c r="A3688" t="s">
        <v>18</v>
      </c>
      <c r="B3688" t="s">
        <v>11</v>
      </c>
      <c r="C3688" t="s">
        <v>12</v>
      </c>
      <c r="D3688" t="s">
        <v>28</v>
      </c>
      <c r="E3688">
        <v>-1</v>
      </c>
      <c r="F3688" t="s">
        <v>30</v>
      </c>
      <c r="G3688" t="s">
        <v>15</v>
      </c>
      <c r="H3688" t="s">
        <v>16</v>
      </c>
      <c r="I3688">
        <v>0</v>
      </c>
      <c r="J3688" s="23">
        <v>-2461</v>
      </c>
      <c r="K3688" t="s">
        <v>17</v>
      </c>
    </row>
    <row r="3689" spans="1:11" ht="15" customHeight="1" x14ac:dyDescent="0.3">
      <c r="A3689" t="s">
        <v>10</v>
      </c>
      <c r="B3689" t="s">
        <v>19</v>
      </c>
      <c r="C3689" t="s">
        <v>24</v>
      </c>
      <c r="D3689" t="s">
        <v>28</v>
      </c>
      <c r="E3689">
        <v>23</v>
      </c>
      <c r="F3689"/>
      <c r="G3689" t="s">
        <v>15</v>
      </c>
      <c r="H3689" t="s">
        <v>16</v>
      </c>
      <c r="I3689">
        <v>0</v>
      </c>
      <c r="J3689" s="23">
        <v>129328</v>
      </c>
      <c r="K3689">
        <v>2974544</v>
      </c>
    </row>
    <row r="3690" spans="1:11" ht="15" customHeight="1" x14ac:dyDescent="0.3">
      <c r="A3690" t="s">
        <v>22</v>
      </c>
      <c r="B3690" t="s">
        <v>11</v>
      </c>
      <c r="C3690" t="s">
        <v>24</v>
      </c>
      <c r="D3690" t="s">
        <v>13</v>
      </c>
      <c r="E3690">
        <v>4</v>
      </c>
      <c r="F3690" t="s">
        <v>42</v>
      </c>
      <c r="G3690" t="s">
        <v>15</v>
      </c>
      <c r="H3690" t="s">
        <v>16</v>
      </c>
      <c r="I3690">
        <v>0</v>
      </c>
      <c r="J3690" s="23">
        <v>237001</v>
      </c>
      <c r="K3690">
        <v>948004</v>
      </c>
    </row>
    <row r="3691" spans="1:11" ht="15" customHeight="1" x14ac:dyDescent="0.3">
      <c r="A3691" t="s">
        <v>22</v>
      </c>
      <c r="B3691" t="s">
        <v>11</v>
      </c>
      <c r="C3691" t="s">
        <v>12</v>
      </c>
      <c r="D3691" t="s">
        <v>28</v>
      </c>
      <c r="E3691">
        <v>11</v>
      </c>
      <c r="F3691" t="s">
        <v>39</v>
      </c>
      <c r="G3691" t="s">
        <v>15</v>
      </c>
      <c r="H3691" t="s">
        <v>16</v>
      </c>
      <c r="I3691">
        <v>0</v>
      </c>
      <c r="J3691" s="23">
        <v>-5604</v>
      </c>
      <c r="K3691" t="s">
        <v>17</v>
      </c>
    </row>
    <row r="3692" spans="1:11" ht="15" customHeight="1" x14ac:dyDescent="0.3">
      <c r="A3692" t="s">
        <v>22</v>
      </c>
      <c r="B3692" t="s">
        <v>19</v>
      </c>
      <c r="C3692" t="s">
        <v>24</v>
      </c>
      <c r="D3692" t="s">
        <v>20</v>
      </c>
      <c r="E3692">
        <v>2</v>
      </c>
      <c r="F3692"/>
      <c r="G3692" t="s">
        <v>15</v>
      </c>
      <c r="H3692" t="s">
        <v>32</v>
      </c>
      <c r="I3692">
        <v>1</v>
      </c>
      <c r="J3692" s="23">
        <v>5716</v>
      </c>
      <c r="K3692">
        <v>11432</v>
      </c>
    </row>
    <row r="3693" spans="1:11" ht="15" customHeight="1" x14ac:dyDescent="0.3">
      <c r="A3693" t="s">
        <v>18</v>
      </c>
      <c r="B3693" t="s">
        <v>11</v>
      </c>
      <c r="C3693" t="s">
        <v>24</v>
      </c>
      <c r="D3693" t="s">
        <v>28</v>
      </c>
      <c r="E3693">
        <v>-1</v>
      </c>
      <c r="F3693" t="s">
        <v>40</v>
      </c>
      <c r="G3693" t="s">
        <v>15</v>
      </c>
      <c r="H3693" t="s">
        <v>16</v>
      </c>
      <c r="I3693">
        <v>0</v>
      </c>
      <c r="J3693" s="23">
        <v>10</v>
      </c>
      <c r="K3693" t="s">
        <v>17</v>
      </c>
    </row>
    <row r="3694" spans="1:11" ht="15" customHeight="1" x14ac:dyDescent="0.3">
      <c r="A3694" t="s">
        <v>18</v>
      </c>
      <c r="B3694" t="s">
        <v>11</v>
      </c>
      <c r="C3694" t="s">
        <v>24</v>
      </c>
      <c r="D3694" t="s">
        <v>28</v>
      </c>
      <c r="E3694">
        <v>8</v>
      </c>
      <c r="F3694" t="s">
        <v>30</v>
      </c>
      <c r="G3694" t="s">
        <v>15</v>
      </c>
      <c r="H3694" t="s">
        <v>16</v>
      </c>
      <c r="I3694">
        <v>0</v>
      </c>
      <c r="J3694" s="23">
        <v>3413847</v>
      </c>
      <c r="K3694">
        <v>27310776</v>
      </c>
    </row>
    <row r="3695" spans="1:11" ht="15" customHeight="1" x14ac:dyDescent="0.3">
      <c r="A3695" t="s">
        <v>10</v>
      </c>
      <c r="B3695" t="s">
        <v>19</v>
      </c>
      <c r="C3695" t="s">
        <v>24</v>
      </c>
      <c r="D3695" t="s">
        <v>20</v>
      </c>
      <c r="E3695">
        <v>15</v>
      </c>
      <c r="F3695"/>
      <c r="G3695" t="s">
        <v>15</v>
      </c>
      <c r="H3695" t="s">
        <v>32</v>
      </c>
      <c r="I3695">
        <v>1</v>
      </c>
      <c r="J3695" s="23">
        <v>203666</v>
      </c>
      <c r="K3695">
        <v>3054990</v>
      </c>
    </row>
    <row r="3696" spans="1:11" ht="15" customHeight="1" x14ac:dyDescent="0.3">
      <c r="A3696" t="s">
        <v>10</v>
      </c>
      <c r="B3696" t="s">
        <v>11</v>
      </c>
      <c r="C3696" t="s">
        <v>12</v>
      </c>
      <c r="D3696" t="s">
        <v>28</v>
      </c>
      <c r="E3696">
        <v>8</v>
      </c>
      <c r="F3696" t="s">
        <v>27</v>
      </c>
      <c r="G3696" t="s">
        <v>31</v>
      </c>
      <c r="H3696" t="s">
        <v>16</v>
      </c>
      <c r="I3696">
        <v>1</v>
      </c>
      <c r="J3696" s="23">
        <v>-2247</v>
      </c>
      <c r="K3696" t="s">
        <v>17</v>
      </c>
    </row>
    <row r="3697" spans="1:11" ht="15" customHeight="1" x14ac:dyDescent="0.3">
      <c r="A3697" t="s">
        <v>18</v>
      </c>
      <c r="B3697" t="s">
        <v>11</v>
      </c>
      <c r="C3697" t="s">
        <v>24</v>
      </c>
      <c r="D3697" t="s">
        <v>28</v>
      </c>
      <c r="E3697">
        <v>10</v>
      </c>
      <c r="F3697" t="s">
        <v>27</v>
      </c>
      <c r="G3697" t="s">
        <v>15</v>
      </c>
      <c r="H3697" t="s">
        <v>16</v>
      </c>
      <c r="I3697">
        <v>0</v>
      </c>
      <c r="J3697" s="23">
        <v>7247686</v>
      </c>
      <c r="K3697">
        <v>72476860</v>
      </c>
    </row>
    <row r="3698" spans="1:11" ht="15" customHeight="1" x14ac:dyDescent="0.3">
      <c r="A3698" t="s">
        <v>18</v>
      </c>
      <c r="B3698" t="s">
        <v>11</v>
      </c>
      <c r="C3698" t="s">
        <v>12</v>
      </c>
      <c r="D3698" t="s">
        <v>13</v>
      </c>
      <c r="E3698">
        <v>12</v>
      </c>
      <c r="F3698" t="s">
        <v>26</v>
      </c>
      <c r="G3698" t="s">
        <v>15</v>
      </c>
      <c r="H3698" t="s">
        <v>16</v>
      </c>
      <c r="I3698">
        <v>0</v>
      </c>
      <c r="J3698" s="23">
        <v>-22831</v>
      </c>
      <c r="K3698" t="s">
        <v>17</v>
      </c>
    </row>
    <row r="3699" spans="1:11" ht="15" customHeight="1" x14ac:dyDescent="0.3">
      <c r="A3699" t="s">
        <v>10</v>
      </c>
      <c r="B3699" t="s">
        <v>11</v>
      </c>
      <c r="C3699" t="s">
        <v>12</v>
      </c>
      <c r="D3699" t="s">
        <v>13</v>
      </c>
      <c r="E3699">
        <v>0</v>
      </c>
      <c r="F3699" t="s">
        <v>36</v>
      </c>
      <c r="G3699" t="s">
        <v>15</v>
      </c>
      <c r="H3699" t="s">
        <v>16</v>
      </c>
      <c r="I3699">
        <v>0</v>
      </c>
      <c r="J3699" s="23">
        <v>-17068</v>
      </c>
      <c r="K3699" t="s">
        <v>17</v>
      </c>
    </row>
    <row r="3700" spans="1:11" ht="15" customHeight="1" x14ac:dyDescent="0.3">
      <c r="A3700" t="s">
        <v>18</v>
      </c>
      <c r="B3700" t="s">
        <v>11</v>
      </c>
      <c r="C3700" t="s">
        <v>12</v>
      </c>
      <c r="D3700" t="s">
        <v>28</v>
      </c>
      <c r="E3700">
        <v>20</v>
      </c>
      <c r="F3700" t="s">
        <v>26</v>
      </c>
      <c r="G3700" t="s">
        <v>15</v>
      </c>
      <c r="H3700" t="s">
        <v>16</v>
      </c>
      <c r="I3700">
        <v>0</v>
      </c>
      <c r="J3700" s="23">
        <v>-473</v>
      </c>
      <c r="K3700" t="s">
        <v>17</v>
      </c>
    </row>
    <row r="3701" spans="1:11" ht="15" customHeight="1" x14ac:dyDescent="0.3">
      <c r="A3701" t="s">
        <v>22</v>
      </c>
      <c r="B3701" t="s">
        <v>11</v>
      </c>
      <c r="C3701" t="s">
        <v>24</v>
      </c>
      <c r="D3701" t="s">
        <v>25</v>
      </c>
      <c r="E3701">
        <v>0</v>
      </c>
      <c r="F3701" t="s">
        <v>37</v>
      </c>
      <c r="G3701" t="s">
        <v>15</v>
      </c>
      <c r="H3701" t="s">
        <v>16</v>
      </c>
      <c r="I3701">
        <v>0</v>
      </c>
      <c r="J3701" s="23">
        <v>11255</v>
      </c>
      <c r="K3701" t="s">
        <v>17</v>
      </c>
    </row>
    <row r="3702" spans="1:11" ht="15" customHeight="1" x14ac:dyDescent="0.3">
      <c r="A3702" t="s">
        <v>18</v>
      </c>
      <c r="B3702" t="s">
        <v>19</v>
      </c>
      <c r="C3702" t="s">
        <v>24</v>
      </c>
      <c r="D3702" t="s">
        <v>20</v>
      </c>
      <c r="E3702">
        <v>17</v>
      </c>
      <c r="F3702"/>
      <c r="G3702" t="s">
        <v>31</v>
      </c>
      <c r="H3702" t="s">
        <v>16</v>
      </c>
      <c r="I3702">
        <v>1</v>
      </c>
      <c r="J3702" s="23">
        <v>4522914</v>
      </c>
      <c r="K3702">
        <v>76889538</v>
      </c>
    </row>
    <row r="3703" spans="1:11" ht="15" customHeight="1" x14ac:dyDescent="0.3">
      <c r="A3703" t="s">
        <v>22</v>
      </c>
      <c r="B3703" t="s">
        <v>11</v>
      </c>
      <c r="C3703" t="s">
        <v>24</v>
      </c>
      <c r="D3703" t="s">
        <v>13</v>
      </c>
      <c r="E3703">
        <v>11</v>
      </c>
      <c r="F3703" t="s">
        <v>39</v>
      </c>
      <c r="G3703" t="s">
        <v>15</v>
      </c>
      <c r="H3703" t="s">
        <v>16</v>
      </c>
      <c r="I3703">
        <v>0</v>
      </c>
      <c r="J3703" s="23">
        <v>7673718</v>
      </c>
      <c r="K3703">
        <v>84410898</v>
      </c>
    </row>
    <row r="3704" spans="1:11" ht="15" customHeight="1" x14ac:dyDescent="0.3">
      <c r="A3704" t="s">
        <v>22</v>
      </c>
      <c r="B3704" t="s">
        <v>11</v>
      </c>
      <c r="C3704" t="s">
        <v>12</v>
      </c>
      <c r="D3704" t="s">
        <v>28</v>
      </c>
      <c r="E3704">
        <v>11</v>
      </c>
      <c r="F3704" t="s">
        <v>26</v>
      </c>
      <c r="G3704" t="s">
        <v>15</v>
      </c>
      <c r="H3704" t="s">
        <v>16</v>
      </c>
      <c r="I3704">
        <v>0</v>
      </c>
      <c r="J3704" s="23">
        <v>-1402511</v>
      </c>
      <c r="K3704" t="s">
        <v>17</v>
      </c>
    </row>
    <row r="3705" spans="1:11" ht="15" customHeight="1" x14ac:dyDescent="0.3">
      <c r="A3705" t="s">
        <v>18</v>
      </c>
      <c r="B3705" t="s">
        <v>11</v>
      </c>
      <c r="C3705" t="s">
        <v>12</v>
      </c>
      <c r="D3705" t="s">
        <v>25</v>
      </c>
      <c r="E3705">
        <v>4</v>
      </c>
      <c r="F3705" t="s">
        <v>46</v>
      </c>
      <c r="G3705" t="s">
        <v>15</v>
      </c>
      <c r="H3705" t="s">
        <v>16</v>
      </c>
      <c r="I3705">
        <v>0</v>
      </c>
      <c r="J3705" s="23">
        <v>-67</v>
      </c>
      <c r="K3705" t="s">
        <v>17</v>
      </c>
    </row>
    <row r="3706" spans="1:11" ht="15" customHeight="1" x14ac:dyDescent="0.3">
      <c r="A3706" t="s">
        <v>18</v>
      </c>
      <c r="B3706" t="s">
        <v>11</v>
      </c>
      <c r="C3706" t="s">
        <v>12</v>
      </c>
      <c r="D3706" t="s">
        <v>25</v>
      </c>
      <c r="E3706">
        <v>0</v>
      </c>
      <c r="F3706" t="s">
        <v>29</v>
      </c>
      <c r="G3706" t="s">
        <v>15</v>
      </c>
      <c r="H3706" t="s">
        <v>16</v>
      </c>
      <c r="I3706">
        <v>0</v>
      </c>
      <c r="J3706" s="23">
        <v>-5171</v>
      </c>
      <c r="K3706" t="s">
        <v>17</v>
      </c>
    </row>
    <row r="3707" spans="1:11" ht="15" customHeight="1" x14ac:dyDescent="0.3">
      <c r="A3707" t="s">
        <v>18</v>
      </c>
      <c r="B3707" t="s">
        <v>11</v>
      </c>
      <c r="C3707" t="s">
        <v>12</v>
      </c>
      <c r="D3707" t="s">
        <v>13</v>
      </c>
      <c r="E3707">
        <v>3</v>
      </c>
      <c r="F3707" t="s">
        <v>36</v>
      </c>
      <c r="G3707" t="s">
        <v>15</v>
      </c>
      <c r="H3707" t="s">
        <v>16</v>
      </c>
      <c r="I3707">
        <v>0</v>
      </c>
      <c r="J3707" s="23">
        <v>-2887</v>
      </c>
      <c r="K3707" t="s">
        <v>17</v>
      </c>
    </row>
    <row r="3708" spans="1:11" ht="15" customHeight="1" x14ac:dyDescent="0.3">
      <c r="A3708" t="s">
        <v>22</v>
      </c>
      <c r="B3708" t="s">
        <v>11</v>
      </c>
      <c r="C3708" t="s">
        <v>12</v>
      </c>
      <c r="D3708" t="s">
        <v>28</v>
      </c>
      <c r="E3708">
        <v>1</v>
      </c>
      <c r="F3708" t="s">
        <v>34</v>
      </c>
      <c r="G3708" t="s">
        <v>15</v>
      </c>
      <c r="H3708" t="s">
        <v>16</v>
      </c>
      <c r="I3708">
        <v>0</v>
      </c>
      <c r="J3708" s="23">
        <v>-22934</v>
      </c>
      <c r="K3708" t="s">
        <v>17</v>
      </c>
    </row>
    <row r="3709" spans="1:11" ht="15" customHeight="1" x14ac:dyDescent="0.3">
      <c r="A3709" t="s">
        <v>22</v>
      </c>
      <c r="B3709" t="s">
        <v>19</v>
      </c>
      <c r="C3709" t="s">
        <v>24</v>
      </c>
      <c r="D3709" t="s">
        <v>28</v>
      </c>
      <c r="E3709">
        <v>25</v>
      </c>
      <c r="F3709"/>
      <c r="G3709" t="s">
        <v>15</v>
      </c>
      <c r="H3709" t="s">
        <v>16</v>
      </c>
      <c r="I3709">
        <v>0</v>
      </c>
      <c r="J3709" s="23">
        <v>41349</v>
      </c>
      <c r="K3709">
        <v>1033725</v>
      </c>
    </row>
    <row r="3710" spans="1:11" ht="15" customHeight="1" x14ac:dyDescent="0.3">
      <c r="A3710" t="s">
        <v>10</v>
      </c>
      <c r="B3710" t="s">
        <v>11</v>
      </c>
      <c r="C3710" t="s">
        <v>12</v>
      </c>
      <c r="D3710" t="s">
        <v>25</v>
      </c>
      <c r="E3710">
        <v>-4</v>
      </c>
      <c r="F3710" t="s">
        <v>34</v>
      </c>
      <c r="G3710" t="s">
        <v>15</v>
      </c>
      <c r="H3710" t="s">
        <v>16</v>
      </c>
      <c r="I3710">
        <v>0</v>
      </c>
      <c r="J3710" s="23">
        <v>-5022</v>
      </c>
      <c r="K3710" t="s">
        <v>17</v>
      </c>
    </row>
    <row r="3711" spans="1:11" ht="15" customHeight="1" x14ac:dyDescent="0.3">
      <c r="A3711" t="s">
        <v>18</v>
      </c>
      <c r="B3711" t="s">
        <v>11</v>
      </c>
      <c r="C3711" t="s">
        <v>12</v>
      </c>
      <c r="D3711" t="s">
        <v>28</v>
      </c>
      <c r="E3711">
        <v>6</v>
      </c>
      <c r="F3711" t="s">
        <v>30</v>
      </c>
      <c r="G3711" t="s">
        <v>15</v>
      </c>
      <c r="H3711" t="s">
        <v>16</v>
      </c>
      <c r="I3711">
        <v>0</v>
      </c>
      <c r="J3711" s="23">
        <v>-4898</v>
      </c>
      <c r="K3711" t="s">
        <v>17</v>
      </c>
    </row>
    <row r="3712" spans="1:11" ht="15" customHeight="1" x14ac:dyDescent="0.3">
      <c r="A3712" t="s">
        <v>18</v>
      </c>
      <c r="B3712" t="s">
        <v>11</v>
      </c>
      <c r="C3712" t="s">
        <v>24</v>
      </c>
      <c r="D3712" t="s">
        <v>28</v>
      </c>
      <c r="E3712">
        <v>1</v>
      </c>
      <c r="F3712" t="s">
        <v>38</v>
      </c>
      <c r="G3712" t="s">
        <v>15</v>
      </c>
      <c r="H3712" t="s">
        <v>16</v>
      </c>
      <c r="I3712">
        <v>0</v>
      </c>
      <c r="J3712" s="23">
        <v>181297</v>
      </c>
      <c r="K3712">
        <v>181297</v>
      </c>
    </row>
    <row r="3713" spans="1:11" ht="15" customHeight="1" x14ac:dyDescent="0.3">
      <c r="A3713" t="s">
        <v>18</v>
      </c>
      <c r="B3713" t="s">
        <v>19</v>
      </c>
      <c r="C3713" t="s">
        <v>24</v>
      </c>
      <c r="D3713" t="s">
        <v>28</v>
      </c>
      <c r="E3713">
        <v>11</v>
      </c>
      <c r="F3713"/>
      <c r="G3713" t="s">
        <v>15</v>
      </c>
      <c r="H3713" t="s">
        <v>32</v>
      </c>
      <c r="I3713">
        <v>1</v>
      </c>
      <c r="J3713" s="23">
        <v>45268</v>
      </c>
      <c r="K3713">
        <v>497948</v>
      </c>
    </row>
    <row r="3714" spans="1:11" ht="15" customHeight="1" x14ac:dyDescent="0.3">
      <c r="A3714" t="s">
        <v>18</v>
      </c>
      <c r="B3714" t="s">
        <v>19</v>
      </c>
      <c r="C3714" t="s">
        <v>12</v>
      </c>
      <c r="D3714" t="s">
        <v>28</v>
      </c>
      <c r="E3714">
        <v>27</v>
      </c>
      <c r="F3714"/>
      <c r="G3714" t="s">
        <v>15</v>
      </c>
      <c r="H3714" t="s">
        <v>16</v>
      </c>
      <c r="I3714">
        <v>0</v>
      </c>
      <c r="J3714" s="23">
        <v>-736</v>
      </c>
      <c r="K3714" t="s">
        <v>17</v>
      </c>
    </row>
    <row r="3715" spans="1:11" ht="15" customHeight="1" x14ac:dyDescent="0.3">
      <c r="A3715" t="s">
        <v>18</v>
      </c>
      <c r="B3715" t="s">
        <v>19</v>
      </c>
      <c r="C3715" t="s">
        <v>24</v>
      </c>
      <c r="D3715" t="s">
        <v>28</v>
      </c>
      <c r="E3715">
        <v>4</v>
      </c>
      <c r="F3715"/>
      <c r="G3715" t="s">
        <v>15</v>
      </c>
      <c r="H3715" t="s">
        <v>16</v>
      </c>
      <c r="I3715">
        <v>0</v>
      </c>
      <c r="J3715" s="23">
        <v>3063587</v>
      </c>
      <c r="K3715">
        <v>12254348</v>
      </c>
    </row>
    <row r="3716" spans="1:11" ht="15" customHeight="1" x14ac:dyDescent="0.3">
      <c r="A3716" t="s">
        <v>10</v>
      </c>
      <c r="B3716" t="s">
        <v>19</v>
      </c>
      <c r="C3716" t="s">
        <v>24</v>
      </c>
      <c r="D3716" t="s">
        <v>20</v>
      </c>
      <c r="E3716">
        <v>16</v>
      </c>
      <c r="F3716"/>
      <c r="G3716" t="s">
        <v>31</v>
      </c>
      <c r="H3716" t="s">
        <v>16</v>
      </c>
      <c r="I3716">
        <v>1</v>
      </c>
      <c r="J3716" s="23">
        <v>373303</v>
      </c>
      <c r="K3716">
        <v>5972848</v>
      </c>
    </row>
    <row r="3717" spans="1:11" ht="15" customHeight="1" x14ac:dyDescent="0.3">
      <c r="A3717" t="s">
        <v>18</v>
      </c>
      <c r="B3717" t="s">
        <v>19</v>
      </c>
      <c r="C3717" t="s">
        <v>24</v>
      </c>
      <c r="D3717" t="s">
        <v>20</v>
      </c>
      <c r="E3717">
        <v>16</v>
      </c>
      <c r="F3717"/>
      <c r="G3717" t="s">
        <v>15</v>
      </c>
      <c r="H3717" t="s">
        <v>16</v>
      </c>
      <c r="I3717">
        <v>0</v>
      </c>
      <c r="J3717" s="23">
        <v>309566010</v>
      </c>
      <c r="K3717">
        <v>4953056160</v>
      </c>
    </row>
    <row r="3718" spans="1:11" ht="15" customHeight="1" x14ac:dyDescent="0.3">
      <c r="A3718" t="s">
        <v>18</v>
      </c>
      <c r="B3718" t="s">
        <v>11</v>
      </c>
      <c r="C3718" t="s">
        <v>12</v>
      </c>
      <c r="D3718" t="s">
        <v>25</v>
      </c>
      <c r="E3718">
        <v>5</v>
      </c>
      <c r="F3718" t="s">
        <v>33</v>
      </c>
      <c r="G3718" t="s">
        <v>15</v>
      </c>
      <c r="H3718" t="s">
        <v>16</v>
      </c>
      <c r="I3718">
        <v>0</v>
      </c>
      <c r="J3718" s="23">
        <v>-6715</v>
      </c>
      <c r="K3718" t="s">
        <v>17</v>
      </c>
    </row>
    <row r="3719" spans="1:11" ht="15" customHeight="1" x14ac:dyDescent="0.3">
      <c r="A3719" t="s">
        <v>18</v>
      </c>
      <c r="B3719" t="s">
        <v>11</v>
      </c>
      <c r="C3719" t="s">
        <v>12</v>
      </c>
      <c r="D3719" t="s">
        <v>25</v>
      </c>
      <c r="E3719">
        <v>4</v>
      </c>
      <c r="F3719" t="s">
        <v>14</v>
      </c>
      <c r="G3719" t="s">
        <v>15</v>
      </c>
      <c r="H3719" t="s">
        <v>16</v>
      </c>
      <c r="I3719">
        <v>0</v>
      </c>
      <c r="J3719" s="23">
        <v>-21919</v>
      </c>
      <c r="K3719" t="s">
        <v>17</v>
      </c>
    </row>
    <row r="3720" spans="1:11" ht="15" customHeight="1" x14ac:dyDescent="0.3">
      <c r="A3720" t="s">
        <v>22</v>
      </c>
      <c r="B3720" t="s">
        <v>11</v>
      </c>
      <c r="C3720" t="s">
        <v>24</v>
      </c>
      <c r="D3720" t="s">
        <v>13</v>
      </c>
      <c r="E3720">
        <v>-1</v>
      </c>
      <c r="F3720" t="s">
        <v>29</v>
      </c>
      <c r="G3720" t="s">
        <v>15</v>
      </c>
      <c r="H3720" t="s">
        <v>16</v>
      </c>
      <c r="I3720">
        <v>0</v>
      </c>
      <c r="J3720" s="23">
        <v>7148237</v>
      </c>
      <c r="K3720" t="s">
        <v>17</v>
      </c>
    </row>
    <row r="3721" spans="1:11" ht="15" customHeight="1" x14ac:dyDescent="0.3">
      <c r="A3721" t="s">
        <v>18</v>
      </c>
      <c r="B3721" t="s">
        <v>19</v>
      </c>
      <c r="C3721" t="s">
        <v>24</v>
      </c>
      <c r="D3721" t="s">
        <v>20</v>
      </c>
      <c r="E3721">
        <v>41</v>
      </c>
      <c r="F3721"/>
      <c r="G3721" t="s">
        <v>31</v>
      </c>
      <c r="H3721" t="s">
        <v>32</v>
      </c>
      <c r="I3721">
        <v>1</v>
      </c>
      <c r="J3721" s="23">
        <v>71448</v>
      </c>
      <c r="K3721">
        <v>2929368</v>
      </c>
    </row>
    <row r="3722" spans="1:11" ht="15" customHeight="1" x14ac:dyDescent="0.3">
      <c r="A3722" t="s">
        <v>18</v>
      </c>
      <c r="B3722" t="s">
        <v>11</v>
      </c>
      <c r="C3722" t="s">
        <v>24</v>
      </c>
      <c r="D3722" t="s">
        <v>28</v>
      </c>
      <c r="E3722">
        <v>3</v>
      </c>
      <c r="F3722" t="s">
        <v>40</v>
      </c>
      <c r="G3722" t="s">
        <v>15</v>
      </c>
      <c r="H3722" t="s">
        <v>16</v>
      </c>
      <c r="I3722">
        <v>0</v>
      </c>
      <c r="J3722" s="23">
        <v>573860</v>
      </c>
      <c r="K3722">
        <v>1721580</v>
      </c>
    </row>
    <row r="3723" spans="1:11" ht="15" customHeight="1" x14ac:dyDescent="0.3">
      <c r="A3723" t="s">
        <v>18</v>
      </c>
      <c r="B3723" t="s">
        <v>11</v>
      </c>
      <c r="C3723" t="s">
        <v>12</v>
      </c>
      <c r="D3723" t="s">
        <v>28</v>
      </c>
      <c r="E3723">
        <v>8</v>
      </c>
      <c r="F3723" t="s">
        <v>34</v>
      </c>
      <c r="G3723" t="s">
        <v>15</v>
      </c>
      <c r="H3723" t="s">
        <v>32</v>
      </c>
      <c r="I3723">
        <v>1</v>
      </c>
      <c r="J3723" s="23">
        <v>-589</v>
      </c>
      <c r="K3723" t="s">
        <v>17</v>
      </c>
    </row>
    <row r="3724" spans="1:11" ht="15" customHeight="1" x14ac:dyDescent="0.3">
      <c r="A3724" t="s">
        <v>18</v>
      </c>
      <c r="B3724" t="s">
        <v>11</v>
      </c>
      <c r="C3724" t="s">
        <v>12</v>
      </c>
      <c r="D3724" t="s">
        <v>28</v>
      </c>
      <c r="E3724">
        <v>1</v>
      </c>
      <c r="F3724" t="s">
        <v>34</v>
      </c>
      <c r="G3724" t="s">
        <v>31</v>
      </c>
      <c r="H3724" t="s">
        <v>16</v>
      </c>
      <c r="I3724">
        <v>1</v>
      </c>
      <c r="J3724" s="23">
        <v>-226</v>
      </c>
      <c r="K3724" t="s">
        <v>17</v>
      </c>
    </row>
    <row r="3725" spans="1:11" ht="15" customHeight="1" x14ac:dyDescent="0.3">
      <c r="A3725" t="s">
        <v>18</v>
      </c>
      <c r="B3725" t="s">
        <v>11</v>
      </c>
      <c r="C3725" t="s">
        <v>12</v>
      </c>
      <c r="D3725" t="s">
        <v>28</v>
      </c>
      <c r="E3725">
        <v>11</v>
      </c>
      <c r="F3725" t="s">
        <v>26</v>
      </c>
      <c r="G3725" t="s">
        <v>31</v>
      </c>
      <c r="H3725" t="s">
        <v>16</v>
      </c>
      <c r="I3725">
        <v>1</v>
      </c>
      <c r="J3725" s="23">
        <v>-259</v>
      </c>
      <c r="K3725" t="s">
        <v>17</v>
      </c>
    </row>
    <row r="3726" spans="1:11" ht="15" customHeight="1" x14ac:dyDescent="0.3">
      <c r="A3726" t="s">
        <v>10</v>
      </c>
      <c r="B3726" t="s">
        <v>19</v>
      </c>
      <c r="C3726" t="s">
        <v>24</v>
      </c>
      <c r="D3726" t="s">
        <v>20</v>
      </c>
      <c r="E3726">
        <v>7</v>
      </c>
      <c r="F3726"/>
      <c r="G3726" t="s">
        <v>31</v>
      </c>
      <c r="H3726" t="s">
        <v>32</v>
      </c>
      <c r="I3726">
        <v>1</v>
      </c>
      <c r="J3726" s="23">
        <v>19477</v>
      </c>
      <c r="K3726">
        <v>136339</v>
      </c>
    </row>
    <row r="3727" spans="1:11" ht="15" customHeight="1" x14ac:dyDescent="0.3">
      <c r="A3727" t="s">
        <v>18</v>
      </c>
      <c r="B3727" t="s">
        <v>11</v>
      </c>
      <c r="C3727" t="s">
        <v>24</v>
      </c>
      <c r="D3727" t="s">
        <v>13</v>
      </c>
      <c r="E3727">
        <v>3</v>
      </c>
      <c r="F3727" t="s">
        <v>45</v>
      </c>
      <c r="G3727" t="s">
        <v>15</v>
      </c>
      <c r="H3727" t="s">
        <v>16</v>
      </c>
      <c r="I3727">
        <v>0</v>
      </c>
      <c r="J3727" s="23">
        <v>5126935</v>
      </c>
      <c r="K3727">
        <v>15380805</v>
      </c>
    </row>
    <row r="3728" spans="1:11" ht="15" customHeight="1" x14ac:dyDescent="0.3">
      <c r="A3728" t="s">
        <v>22</v>
      </c>
      <c r="B3728" t="s">
        <v>11</v>
      </c>
      <c r="C3728" t="s">
        <v>24</v>
      </c>
      <c r="D3728" t="s">
        <v>28</v>
      </c>
      <c r="E3728">
        <v>8</v>
      </c>
      <c r="F3728" t="s">
        <v>34</v>
      </c>
      <c r="G3728" t="s">
        <v>15</v>
      </c>
      <c r="H3728" t="s">
        <v>16</v>
      </c>
      <c r="I3728">
        <v>0</v>
      </c>
      <c r="J3728" s="23">
        <v>191262</v>
      </c>
      <c r="K3728">
        <v>1530096</v>
      </c>
    </row>
    <row r="3729" spans="1:11" ht="15" customHeight="1" x14ac:dyDescent="0.3">
      <c r="A3729" t="s">
        <v>18</v>
      </c>
      <c r="B3729" t="s">
        <v>11</v>
      </c>
      <c r="C3729" t="s">
        <v>24</v>
      </c>
      <c r="D3729" t="s">
        <v>28</v>
      </c>
      <c r="E3729">
        <v>3</v>
      </c>
      <c r="F3729" t="s">
        <v>21</v>
      </c>
      <c r="G3729" t="s">
        <v>15</v>
      </c>
      <c r="H3729" t="s">
        <v>32</v>
      </c>
      <c r="I3729">
        <v>1</v>
      </c>
      <c r="J3729" s="23">
        <v>24131</v>
      </c>
      <c r="K3729">
        <v>72393</v>
      </c>
    </row>
    <row r="3730" spans="1:11" ht="15" customHeight="1" x14ac:dyDescent="0.3">
      <c r="A3730" t="s">
        <v>18</v>
      </c>
      <c r="B3730" t="s">
        <v>11</v>
      </c>
      <c r="C3730" t="s">
        <v>24</v>
      </c>
      <c r="D3730" t="s">
        <v>28</v>
      </c>
      <c r="E3730">
        <v>3</v>
      </c>
      <c r="F3730" t="s">
        <v>21</v>
      </c>
      <c r="G3730" t="s">
        <v>15</v>
      </c>
      <c r="H3730" t="s">
        <v>16</v>
      </c>
      <c r="I3730">
        <v>0</v>
      </c>
      <c r="J3730" s="23">
        <v>7955381</v>
      </c>
      <c r="K3730">
        <v>23866143</v>
      </c>
    </row>
    <row r="3731" spans="1:11" ht="15" customHeight="1" x14ac:dyDescent="0.3">
      <c r="A3731" t="s">
        <v>22</v>
      </c>
      <c r="B3731" t="s">
        <v>19</v>
      </c>
      <c r="C3731" t="s">
        <v>24</v>
      </c>
      <c r="D3731" t="s">
        <v>20</v>
      </c>
      <c r="E3731">
        <v>45</v>
      </c>
      <c r="F3731"/>
      <c r="G3731" t="s">
        <v>15</v>
      </c>
      <c r="H3731" t="s">
        <v>16</v>
      </c>
      <c r="I3731">
        <v>0</v>
      </c>
      <c r="J3731" s="23">
        <v>166910</v>
      </c>
      <c r="K3731">
        <v>7510950</v>
      </c>
    </row>
    <row r="3732" spans="1:11" ht="15" customHeight="1" x14ac:dyDescent="0.3">
      <c r="A3732" t="s">
        <v>18</v>
      </c>
      <c r="B3732" t="s">
        <v>11</v>
      </c>
      <c r="C3732" t="s">
        <v>24</v>
      </c>
      <c r="D3732" t="s">
        <v>13</v>
      </c>
      <c r="E3732">
        <v>5</v>
      </c>
      <c r="F3732" t="s">
        <v>38</v>
      </c>
      <c r="G3732" t="s">
        <v>15</v>
      </c>
      <c r="H3732" t="s">
        <v>16</v>
      </c>
      <c r="I3732">
        <v>0</v>
      </c>
      <c r="J3732" s="23">
        <v>246453</v>
      </c>
      <c r="K3732">
        <v>1232265</v>
      </c>
    </row>
    <row r="3733" spans="1:11" ht="15" customHeight="1" x14ac:dyDescent="0.3">
      <c r="A3733" t="s">
        <v>22</v>
      </c>
      <c r="B3733" t="s">
        <v>11</v>
      </c>
      <c r="C3733" t="s">
        <v>24</v>
      </c>
      <c r="D3733" t="s">
        <v>25</v>
      </c>
      <c r="E3733">
        <v>1</v>
      </c>
      <c r="F3733" t="s">
        <v>40</v>
      </c>
      <c r="G3733" t="s">
        <v>15</v>
      </c>
      <c r="H3733" t="s">
        <v>16</v>
      </c>
      <c r="I3733">
        <v>0</v>
      </c>
      <c r="J3733" s="23">
        <v>218661</v>
      </c>
      <c r="K3733">
        <v>218661</v>
      </c>
    </row>
    <row r="3734" spans="1:11" ht="15" customHeight="1" x14ac:dyDescent="0.3">
      <c r="A3734" t="s">
        <v>10</v>
      </c>
      <c r="B3734" t="s">
        <v>19</v>
      </c>
      <c r="C3734" t="s">
        <v>12</v>
      </c>
      <c r="D3734" t="s">
        <v>20</v>
      </c>
      <c r="E3734">
        <v>15</v>
      </c>
      <c r="F3734"/>
      <c r="G3734" t="s">
        <v>15</v>
      </c>
      <c r="H3734" t="s">
        <v>16</v>
      </c>
      <c r="I3734">
        <v>0</v>
      </c>
      <c r="J3734" s="23">
        <v>-472240</v>
      </c>
      <c r="K3734" t="s">
        <v>17</v>
      </c>
    </row>
    <row r="3735" spans="1:11" ht="15" customHeight="1" x14ac:dyDescent="0.3">
      <c r="A3735" t="s">
        <v>18</v>
      </c>
      <c r="B3735" t="s">
        <v>19</v>
      </c>
      <c r="C3735" t="s">
        <v>12</v>
      </c>
      <c r="D3735" t="s">
        <v>20</v>
      </c>
      <c r="E3735">
        <v>34</v>
      </c>
      <c r="F3735"/>
      <c r="G3735" t="s">
        <v>15</v>
      </c>
      <c r="H3735" t="s">
        <v>16</v>
      </c>
      <c r="I3735">
        <v>0</v>
      </c>
      <c r="J3735" s="23">
        <v>-566571</v>
      </c>
      <c r="K3735" t="s">
        <v>17</v>
      </c>
    </row>
    <row r="3736" spans="1:11" ht="15" customHeight="1" x14ac:dyDescent="0.3">
      <c r="A3736" t="s">
        <v>18</v>
      </c>
      <c r="B3736" t="s">
        <v>19</v>
      </c>
      <c r="C3736" t="s">
        <v>12</v>
      </c>
      <c r="D3736" t="s">
        <v>20</v>
      </c>
      <c r="E3736">
        <v>11</v>
      </c>
      <c r="F3736"/>
      <c r="G3736" t="s">
        <v>15</v>
      </c>
      <c r="H3736" t="s">
        <v>16</v>
      </c>
      <c r="I3736">
        <v>0</v>
      </c>
      <c r="J3736" s="23">
        <v>-88037</v>
      </c>
      <c r="K3736" t="s">
        <v>17</v>
      </c>
    </row>
    <row r="3737" spans="1:11" ht="15" customHeight="1" x14ac:dyDescent="0.3">
      <c r="A3737" t="s">
        <v>18</v>
      </c>
      <c r="B3737" t="s">
        <v>11</v>
      </c>
      <c r="C3737" t="s">
        <v>12</v>
      </c>
      <c r="D3737" t="s">
        <v>13</v>
      </c>
      <c r="E3737">
        <v>11</v>
      </c>
      <c r="F3737" t="s">
        <v>21</v>
      </c>
      <c r="G3737" t="s">
        <v>15</v>
      </c>
      <c r="H3737" t="s">
        <v>16</v>
      </c>
      <c r="I3737">
        <v>0</v>
      </c>
      <c r="J3737" s="23">
        <v>-26156</v>
      </c>
      <c r="K3737" t="s">
        <v>17</v>
      </c>
    </row>
    <row r="3738" spans="1:11" ht="15" customHeight="1" x14ac:dyDescent="0.3">
      <c r="A3738" t="s">
        <v>22</v>
      </c>
      <c r="B3738" t="s">
        <v>11</v>
      </c>
      <c r="C3738" t="s">
        <v>24</v>
      </c>
      <c r="D3738" t="s">
        <v>13</v>
      </c>
      <c r="E3738">
        <v>5</v>
      </c>
      <c r="F3738" t="s">
        <v>33</v>
      </c>
      <c r="G3738" t="s">
        <v>15</v>
      </c>
      <c r="H3738" t="s">
        <v>16</v>
      </c>
      <c r="I3738">
        <v>0</v>
      </c>
      <c r="J3738" s="23">
        <v>606231</v>
      </c>
      <c r="K3738">
        <v>3031155</v>
      </c>
    </row>
    <row r="3739" spans="1:11" ht="15" customHeight="1" x14ac:dyDescent="0.3">
      <c r="A3739" t="s">
        <v>18</v>
      </c>
      <c r="B3739" t="s">
        <v>11</v>
      </c>
      <c r="C3739" t="s">
        <v>24</v>
      </c>
      <c r="D3739" t="s">
        <v>13</v>
      </c>
      <c r="E3739">
        <v>9</v>
      </c>
      <c r="F3739" t="s">
        <v>23</v>
      </c>
      <c r="G3739" t="s">
        <v>15</v>
      </c>
      <c r="H3739" t="s">
        <v>16</v>
      </c>
      <c r="I3739">
        <v>0</v>
      </c>
      <c r="J3739" s="23">
        <v>8340443</v>
      </c>
      <c r="K3739">
        <v>75063987</v>
      </c>
    </row>
    <row r="3740" spans="1:11" ht="15" customHeight="1" x14ac:dyDescent="0.3">
      <c r="A3740" t="s">
        <v>22</v>
      </c>
      <c r="B3740" t="s">
        <v>11</v>
      </c>
      <c r="C3740" t="s">
        <v>12</v>
      </c>
      <c r="D3740" t="s">
        <v>25</v>
      </c>
      <c r="E3740">
        <v>-1</v>
      </c>
      <c r="F3740" t="s">
        <v>29</v>
      </c>
      <c r="G3740" t="s">
        <v>15</v>
      </c>
      <c r="H3740" t="s">
        <v>16</v>
      </c>
      <c r="I3740">
        <v>0</v>
      </c>
      <c r="J3740" s="23">
        <v>-5851</v>
      </c>
      <c r="K3740" t="s">
        <v>17</v>
      </c>
    </row>
    <row r="3741" spans="1:11" ht="15" customHeight="1" x14ac:dyDescent="0.3">
      <c r="A3741" t="s">
        <v>18</v>
      </c>
      <c r="B3741" t="s">
        <v>11</v>
      </c>
      <c r="C3741" t="s">
        <v>24</v>
      </c>
      <c r="D3741" t="s">
        <v>13</v>
      </c>
      <c r="E3741">
        <v>2</v>
      </c>
      <c r="F3741" t="s">
        <v>30</v>
      </c>
      <c r="G3741" t="s">
        <v>15</v>
      </c>
      <c r="H3741" t="s">
        <v>16</v>
      </c>
      <c r="I3741">
        <v>0</v>
      </c>
      <c r="J3741" s="23">
        <v>25503523</v>
      </c>
      <c r="K3741">
        <v>51007046</v>
      </c>
    </row>
    <row r="3742" spans="1:11" ht="15" customHeight="1" x14ac:dyDescent="0.3">
      <c r="A3742" t="s">
        <v>10</v>
      </c>
      <c r="B3742" t="s">
        <v>11</v>
      </c>
      <c r="C3742" t="s">
        <v>12</v>
      </c>
      <c r="D3742" t="s">
        <v>25</v>
      </c>
      <c r="E3742">
        <v>5</v>
      </c>
      <c r="F3742" t="s">
        <v>14</v>
      </c>
      <c r="G3742" t="s">
        <v>15</v>
      </c>
      <c r="H3742" t="s">
        <v>16</v>
      </c>
      <c r="I3742">
        <v>0</v>
      </c>
      <c r="J3742" s="23">
        <v>-63767</v>
      </c>
      <c r="K3742" t="s">
        <v>17</v>
      </c>
    </row>
    <row r="3743" spans="1:11" ht="15" customHeight="1" x14ac:dyDescent="0.3">
      <c r="A3743" t="s">
        <v>10</v>
      </c>
      <c r="B3743" t="s">
        <v>11</v>
      </c>
      <c r="C3743" t="s">
        <v>12</v>
      </c>
      <c r="D3743" t="s">
        <v>25</v>
      </c>
      <c r="E3743">
        <v>7</v>
      </c>
      <c r="F3743" t="s">
        <v>23</v>
      </c>
      <c r="G3743" t="s">
        <v>15</v>
      </c>
      <c r="H3743" t="s">
        <v>16</v>
      </c>
      <c r="I3743">
        <v>0</v>
      </c>
      <c r="J3743" s="23">
        <v>-4199</v>
      </c>
      <c r="K3743" t="s">
        <v>17</v>
      </c>
    </row>
    <row r="3744" spans="1:11" ht="15" customHeight="1" x14ac:dyDescent="0.3">
      <c r="A3744" t="s">
        <v>18</v>
      </c>
      <c r="B3744" t="s">
        <v>11</v>
      </c>
      <c r="C3744" t="s">
        <v>12</v>
      </c>
      <c r="D3744" t="s">
        <v>28</v>
      </c>
      <c r="E3744">
        <v>6</v>
      </c>
      <c r="F3744" t="s">
        <v>29</v>
      </c>
      <c r="G3744" t="s">
        <v>15</v>
      </c>
      <c r="H3744" t="s">
        <v>16</v>
      </c>
      <c r="I3744">
        <v>0</v>
      </c>
      <c r="J3744" s="23">
        <v>-10441</v>
      </c>
      <c r="K3744" t="s">
        <v>17</v>
      </c>
    </row>
    <row r="3745" spans="1:11" ht="15" customHeight="1" x14ac:dyDescent="0.3">
      <c r="A3745" t="s">
        <v>18</v>
      </c>
      <c r="B3745" t="s">
        <v>11</v>
      </c>
      <c r="C3745" t="s">
        <v>12</v>
      </c>
      <c r="D3745" t="s">
        <v>28</v>
      </c>
      <c r="E3745">
        <v>4</v>
      </c>
      <c r="F3745" t="s">
        <v>29</v>
      </c>
      <c r="G3745" t="s">
        <v>15</v>
      </c>
      <c r="H3745" t="s">
        <v>32</v>
      </c>
      <c r="I3745">
        <v>1</v>
      </c>
      <c r="J3745" s="23">
        <v>-6050</v>
      </c>
      <c r="K3745" t="s">
        <v>17</v>
      </c>
    </row>
    <row r="3746" spans="1:11" ht="15" customHeight="1" x14ac:dyDescent="0.3">
      <c r="A3746" t="s">
        <v>18</v>
      </c>
      <c r="B3746" t="s">
        <v>11</v>
      </c>
      <c r="C3746" t="s">
        <v>12</v>
      </c>
      <c r="D3746" t="s">
        <v>25</v>
      </c>
      <c r="E3746">
        <v>4</v>
      </c>
      <c r="F3746" t="s">
        <v>33</v>
      </c>
      <c r="G3746" t="s">
        <v>15</v>
      </c>
      <c r="H3746" t="s">
        <v>16</v>
      </c>
      <c r="I3746">
        <v>0</v>
      </c>
      <c r="J3746" s="23">
        <v>-5611</v>
      </c>
      <c r="K3746" t="s">
        <v>17</v>
      </c>
    </row>
    <row r="3747" spans="1:11" ht="15" customHeight="1" x14ac:dyDescent="0.3">
      <c r="A3747" t="s">
        <v>10</v>
      </c>
      <c r="B3747" t="s">
        <v>11</v>
      </c>
      <c r="C3747" t="s">
        <v>12</v>
      </c>
      <c r="D3747" t="s">
        <v>28</v>
      </c>
      <c r="E3747">
        <v>-4</v>
      </c>
      <c r="F3747" t="s">
        <v>29</v>
      </c>
      <c r="G3747" t="s">
        <v>15</v>
      </c>
      <c r="H3747" t="s">
        <v>16</v>
      </c>
      <c r="I3747">
        <v>0</v>
      </c>
      <c r="J3747" s="23">
        <v>-70</v>
      </c>
      <c r="K3747" t="s">
        <v>17</v>
      </c>
    </row>
    <row r="3748" spans="1:11" ht="15" customHeight="1" x14ac:dyDescent="0.3">
      <c r="A3748" t="s">
        <v>18</v>
      </c>
      <c r="B3748" t="s">
        <v>19</v>
      </c>
      <c r="C3748" t="s">
        <v>12</v>
      </c>
      <c r="D3748" t="s">
        <v>20</v>
      </c>
      <c r="E3748">
        <v>36</v>
      </c>
      <c r="F3748"/>
      <c r="G3748" t="s">
        <v>31</v>
      </c>
      <c r="H3748" t="s">
        <v>32</v>
      </c>
      <c r="I3748">
        <v>1</v>
      </c>
      <c r="J3748" s="23">
        <v>-42</v>
      </c>
      <c r="K3748" t="s">
        <v>17</v>
      </c>
    </row>
    <row r="3749" spans="1:11" ht="15" customHeight="1" x14ac:dyDescent="0.3">
      <c r="A3749" t="s">
        <v>10</v>
      </c>
      <c r="B3749" t="s">
        <v>11</v>
      </c>
      <c r="C3749" t="s">
        <v>24</v>
      </c>
      <c r="D3749" t="s">
        <v>28</v>
      </c>
      <c r="E3749">
        <v>1</v>
      </c>
      <c r="F3749" t="s">
        <v>14</v>
      </c>
      <c r="G3749" t="s">
        <v>15</v>
      </c>
      <c r="H3749" t="s">
        <v>16</v>
      </c>
      <c r="I3749">
        <v>0</v>
      </c>
      <c r="J3749" s="23">
        <v>21601</v>
      </c>
      <c r="K3749">
        <v>21601</v>
      </c>
    </row>
    <row r="3750" spans="1:11" ht="15" customHeight="1" x14ac:dyDescent="0.3">
      <c r="A3750" t="s">
        <v>22</v>
      </c>
      <c r="B3750" t="s">
        <v>11</v>
      </c>
      <c r="C3750" t="s">
        <v>24</v>
      </c>
      <c r="D3750" t="s">
        <v>28</v>
      </c>
      <c r="E3750">
        <v>5</v>
      </c>
      <c r="F3750" t="s">
        <v>23</v>
      </c>
      <c r="G3750" t="s">
        <v>15</v>
      </c>
      <c r="H3750" t="s">
        <v>16</v>
      </c>
      <c r="I3750">
        <v>0</v>
      </c>
      <c r="J3750" s="23">
        <v>2492963</v>
      </c>
      <c r="K3750">
        <v>12464815</v>
      </c>
    </row>
    <row r="3751" spans="1:11" ht="15" customHeight="1" x14ac:dyDescent="0.3">
      <c r="A3751" t="s">
        <v>18</v>
      </c>
      <c r="B3751" t="s">
        <v>11</v>
      </c>
      <c r="C3751" t="s">
        <v>12</v>
      </c>
      <c r="D3751" t="s">
        <v>13</v>
      </c>
      <c r="E3751">
        <v>2</v>
      </c>
      <c r="F3751" t="s">
        <v>34</v>
      </c>
      <c r="G3751" t="s">
        <v>15</v>
      </c>
      <c r="H3751" t="s">
        <v>16</v>
      </c>
      <c r="I3751">
        <v>0</v>
      </c>
      <c r="J3751" s="23">
        <v>-339616</v>
      </c>
      <c r="K3751" t="s">
        <v>17</v>
      </c>
    </row>
    <row r="3752" spans="1:11" ht="15" customHeight="1" x14ac:dyDescent="0.3">
      <c r="A3752" t="s">
        <v>10</v>
      </c>
      <c r="B3752" t="s">
        <v>11</v>
      </c>
      <c r="C3752" t="s">
        <v>24</v>
      </c>
      <c r="D3752" t="s">
        <v>13</v>
      </c>
      <c r="E3752">
        <v>6</v>
      </c>
      <c r="F3752" t="s">
        <v>30</v>
      </c>
      <c r="G3752" t="s">
        <v>15</v>
      </c>
      <c r="H3752" t="s">
        <v>16</v>
      </c>
      <c r="I3752">
        <v>0</v>
      </c>
      <c r="J3752" s="23">
        <v>512209</v>
      </c>
      <c r="K3752">
        <v>3073254</v>
      </c>
    </row>
    <row r="3753" spans="1:11" ht="15" customHeight="1" x14ac:dyDescent="0.3">
      <c r="A3753" t="s">
        <v>18</v>
      </c>
      <c r="B3753" t="s">
        <v>19</v>
      </c>
      <c r="C3753" t="s">
        <v>24</v>
      </c>
      <c r="D3753" t="s">
        <v>20</v>
      </c>
      <c r="E3753">
        <v>41</v>
      </c>
      <c r="F3753"/>
      <c r="G3753" t="s">
        <v>31</v>
      </c>
      <c r="H3753" t="s">
        <v>16</v>
      </c>
      <c r="I3753">
        <v>1</v>
      </c>
      <c r="J3753" s="23">
        <v>482791</v>
      </c>
      <c r="K3753">
        <v>19794431</v>
      </c>
    </row>
    <row r="3754" spans="1:11" ht="15" customHeight="1" x14ac:dyDescent="0.3">
      <c r="A3754" t="s">
        <v>10</v>
      </c>
      <c r="B3754" t="s">
        <v>11</v>
      </c>
      <c r="C3754" t="s">
        <v>24</v>
      </c>
      <c r="D3754" t="s">
        <v>28</v>
      </c>
      <c r="E3754">
        <v>3</v>
      </c>
      <c r="F3754" t="s">
        <v>26</v>
      </c>
      <c r="G3754" t="s">
        <v>15</v>
      </c>
      <c r="H3754" t="s">
        <v>16</v>
      </c>
      <c r="I3754">
        <v>0</v>
      </c>
      <c r="J3754" s="23">
        <v>9640949</v>
      </c>
      <c r="K3754">
        <v>28922847</v>
      </c>
    </row>
    <row r="3755" spans="1:11" ht="15" customHeight="1" x14ac:dyDescent="0.3">
      <c r="A3755" t="s">
        <v>10</v>
      </c>
      <c r="B3755" t="s">
        <v>11</v>
      </c>
      <c r="C3755" t="s">
        <v>24</v>
      </c>
      <c r="D3755" t="s">
        <v>13</v>
      </c>
      <c r="E3755">
        <v>7</v>
      </c>
      <c r="F3755" t="s">
        <v>39</v>
      </c>
      <c r="G3755" t="s">
        <v>15</v>
      </c>
      <c r="H3755" t="s">
        <v>16</v>
      </c>
      <c r="I3755">
        <v>0</v>
      </c>
      <c r="J3755" s="23">
        <v>277806</v>
      </c>
      <c r="K3755">
        <v>1944642</v>
      </c>
    </row>
    <row r="3756" spans="1:11" ht="15" customHeight="1" x14ac:dyDescent="0.3">
      <c r="A3756" t="s">
        <v>10</v>
      </c>
      <c r="B3756" t="s">
        <v>11</v>
      </c>
      <c r="C3756" t="s">
        <v>12</v>
      </c>
      <c r="D3756" t="s">
        <v>28</v>
      </c>
      <c r="E3756">
        <v>3</v>
      </c>
      <c r="F3756" t="s">
        <v>29</v>
      </c>
      <c r="G3756" t="s">
        <v>15</v>
      </c>
      <c r="H3756" t="s">
        <v>32</v>
      </c>
      <c r="I3756">
        <v>1</v>
      </c>
      <c r="J3756" s="23">
        <v>-40473</v>
      </c>
      <c r="K3756" t="s">
        <v>17</v>
      </c>
    </row>
    <row r="3757" spans="1:11" ht="15" customHeight="1" x14ac:dyDescent="0.3">
      <c r="A3757" t="s">
        <v>22</v>
      </c>
      <c r="B3757" t="s">
        <v>11</v>
      </c>
      <c r="C3757" t="s">
        <v>12</v>
      </c>
      <c r="D3757" t="s">
        <v>28</v>
      </c>
      <c r="E3757">
        <v>14</v>
      </c>
      <c r="F3757" t="s">
        <v>34</v>
      </c>
      <c r="G3757" t="s">
        <v>15</v>
      </c>
      <c r="H3757" t="s">
        <v>16</v>
      </c>
      <c r="I3757">
        <v>0</v>
      </c>
      <c r="J3757" s="23">
        <v>-58762</v>
      </c>
      <c r="K3757" t="s">
        <v>17</v>
      </c>
    </row>
    <row r="3758" spans="1:11" ht="15" customHeight="1" x14ac:dyDescent="0.3">
      <c r="A3758" t="s">
        <v>18</v>
      </c>
      <c r="B3758" t="s">
        <v>11</v>
      </c>
      <c r="C3758" t="s">
        <v>12</v>
      </c>
      <c r="D3758" t="s">
        <v>13</v>
      </c>
      <c r="E3758">
        <v>-1</v>
      </c>
      <c r="F3758" t="s">
        <v>33</v>
      </c>
      <c r="G3758" t="s">
        <v>15</v>
      </c>
      <c r="H3758" t="s">
        <v>16</v>
      </c>
      <c r="I3758">
        <v>0</v>
      </c>
      <c r="J3758" s="23">
        <v>-299296</v>
      </c>
      <c r="K3758" t="s">
        <v>17</v>
      </c>
    </row>
    <row r="3759" spans="1:11" ht="15" customHeight="1" x14ac:dyDescent="0.3">
      <c r="A3759" t="s">
        <v>10</v>
      </c>
      <c r="B3759" t="s">
        <v>11</v>
      </c>
      <c r="C3759" t="s">
        <v>12</v>
      </c>
      <c r="D3759" t="s">
        <v>25</v>
      </c>
      <c r="E3759">
        <v>-1</v>
      </c>
      <c r="F3759" t="s">
        <v>33</v>
      </c>
      <c r="G3759" t="s">
        <v>15</v>
      </c>
      <c r="H3759" t="s">
        <v>16</v>
      </c>
      <c r="I3759">
        <v>0</v>
      </c>
      <c r="J3759" s="23">
        <v>-2197</v>
      </c>
      <c r="K3759" t="s">
        <v>17</v>
      </c>
    </row>
    <row r="3760" spans="1:11" ht="15" customHeight="1" x14ac:dyDescent="0.3">
      <c r="A3760" t="s">
        <v>18</v>
      </c>
      <c r="B3760" t="s">
        <v>11</v>
      </c>
      <c r="C3760" t="s">
        <v>12</v>
      </c>
      <c r="D3760" t="s">
        <v>25</v>
      </c>
      <c r="E3760">
        <v>-1</v>
      </c>
      <c r="F3760" t="s">
        <v>33</v>
      </c>
      <c r="G3760" t="s">
        <v>15</v>
      </c>
      <c r="H3760" t="s">
        <v>16</v>
      </c>
      <c r="I3760">
        <v>0</v>
      </c>
      <c r="J3760" s="23">
        <v>-2148</v>
      </c>
      <c r="K3760" t="s">
        <v>17</v>
      </c>
    </row>
    <row r="3761" spans="1:11" ht="15" customHeight="1" x14ac:dyDescent="0.3">
      <c r="A3761" t="s">
        <v>18</v>
      </c>
      <c r="B3761" t="s">
        <v>11</v>
      </c>
      <c r="C3761" t="s">
        <v>24</v>
      </c>
      <c r="D3761" t="s">
        <v>25</v>
      </c>
      <c r="E3761">
        <v>-1</v>
      </c>
      <c r="F3761" t="s">
        <v>26</v>
      </c>
      <c r="G3761" t="s">
        <v>15</v>
      </c>
      <c r="H3761" t="s">
        <v>16</v>
      </c>
      <c r="I3761">
        <v>0</v>
      </c>
      <c r="J3761" s="23">
        <v>14929490</v>
      </c>
      <c r="K3761" t="s">
        <v>17</v>
      </c>
    </row>
    <row r="3762" spans="1:11" ht="15" customHeight="1" x14ac:dyDescent="0.3">
      <c r="A3762" t="s">
        <v>10</v>
      </c>
      <c r="B3762" t="s">
        <v>11</v>
      </c>
      <c r="C3762" t="s">
        <v>12</v>
      </c>
      <c r="D3762" t="s">
        <v>13</v>
      </c>
      <c r="E3762">
        <v>3</v>
      </c>
      <c r="F3762" t="s">
        <v>41</v>
      </c>
      <c r="G3762" t="s">
        <v>15</v>
      </c>
      <c r="H3762" t="s">
        <v>16</v>
      </c>
      <c r="I3762">
        <v>0</v>
      </c>
      <c r="J3762" s="23">
        <v>-6602</v>
      </c>
      <c r="K3762" t="s">
        <v>17</v>
      </c>
    </row>
    <row r="3763" spans="1:11" ht="15" customHeight="1" x14ac:dyDescent="0.3">
      <c r="A3763" t="s">
        <v>10</v>
      </c>
      <c r="B3763" t="s">
        <v>11</v>
      </c>
      <c r="C3763" t="s">
        <v>24</v>
      </c>
      <c r="D3763" t="s">
        <v>25</v>
      </c>
      <c r="E3763">
        <v>3</v>
      </c>
      <c r="F3763" t="s">
        <v>35</v>
      </c>
      <c r="G3763" t="s">
        <v>15</v>
      </c>
      <c r="H3763" t="s">
        <v>16</v>
      </c>
      <c r="I3763">
        <v>0</v>
      </c>
      <c r="J3763" s="23">
        <v>213289</v>
      </c>
      <c r="K3763">
        <v>639867</v>
      </c>
    </row>
    <row r="3764" spans="1:11" ht="15" customHeight="1" x14ac:dyDescent="0.3">
      <c r="A3764" t="s">
        <v>10</v>
      </c>
      <c r="B3764" t="s">
        <v>11</v>
      </c>
      <c r="C3764" t="s">
        <v>24</v>
      </c>
      <c r="D3764" t="s">
        <v>13</v>
      </c>
      <c r="E3764">
        <v>0</v>
      </c>
      <c r="F3764" t="s">
        <v>29</v>
      </c>
      <c r="G3764" t="s">
        <v>15</v>
      </c>
      <c r="H3764" t="s">
        <v>16</v>
      </c>
      <c r="I3764">
        <v>0</v>
      </c>
      <c r="J3764" s="23">
        <v>17131337</v>
      </c>
      <c r="K3764" t="s">
        <v>17</v>
      </c>
    </row>
    <row r="3765" spans="1:11" ht="15" customHeight="1" x14ac:dyDescent="0.3">
      <c r="A3765" t="s">
        <v>22</v>
      </c>
      <c r="B3765" t="s">
        <v>11</v>
      </c>
      <c r="C3765" t="s">
        <v>12</v>
      </c>
      <c r="D3765" t="s">
        <v>25</v>
      </c>
      <c r="E3765">
        <v>-4</v>
      </c>
      <c r="F3765" t="s">
        <v>38</v>
      </c>
      <c r="G3765" t="s">
        <v>15</v>
      </c>
      <c r="H3765" t="s">
        <v>16</v>
      </c>
      <c r="I3765">
        <v>0</v>
      </c>
      <c r="J3765" s="23">
        <v>-15</v>
      </c>
      <c r="K3765" t="s">
        <v>17</v>
      </c>
    </row>
    <row r="3766" spans="1:11" ht="15" customHeight="1" x14ac:dyDescent="0.3">
      <c r="A3766" t="s">
        <v>18</v>
      </c>
      <c r="B3766" t="s">
        <v>19</v>
      </c>
      <c r="C3766" t="s">
        <v>24</v>
      </c>
      <c r="D3766" t="s">
        <v>28</v>
      </c>
      <c r="E3766">
        <v>5</v>
      </c>
      <c r="F3766"/>
      <c r="G3766" t="s">
        <v>15</v>
      </c>
      <c r="H3766" t="s">
        <v>32</v>
      </c>
      <c r="I3766">
        <v>1</v>
      </c>
      <c r="J3766" s="23">
        <v>1130723</v>
      </c>
      <c r="K3766">
        <v>5653615</v>
      </c>
    </row>
    <row r="3767" spans="1:11" ht="15" customHeight="1" x14ac:dyDescent="0.3">
      <c r="A3767" t="s">
        <v>10</v>
      </c>
      <c r="B3767" t="s">
        <v>19</v>
      </c>
      <c r="C3767" t="s">
        <v>24</v>
      </c>
      <c r="D3767" t="s">
        <v>20</v>
      </c>
      <c r="E3767">
        <v>33</v>
      </c>
      <c r="F3767"/>
      <c r="G3767" t="s">
        <v>31</v>
      </c>
      <c r="H3767" t="s">
        <v>16</v>
      </c>
      <c r="I3767">
        <v>1</v>
      </c>
      <c r="J3767" s="23">
        <v>1313588</v>
      </c>
      <c r="K3767">
        <v>43348404</v>
      </c>
    </row>
    <row r="3768" spans="1:11" ht="15" customHeight="1" x14ac:dyDescent="0.3">
      <c r="A3768" t="s">
        <v>18</v>
      </c>
      <c r="B3768" t="s">
        <v>19</v>
      </c>
      <c r="C3768" t="s">
        <v>24</v>
      </c>
      <c r="D3768" t="s">
        <v>28</v>
      </c>
      <c r="E3768">
        <v>9</v>
      </c>
      <c r="F3768"/>
      <c r="G3768" t="s">
        <v>15</v>
      </c>
      <c r="H3768" t="s">
        <v>16</v>
      </c>
      <c r="I3768">
        <v>0</v>
      </c>
      <c r="J3768" s="23">
        <v>4780300</v>
      </c>
      <c r="K3768">
        <v>43022700</v>
      </c>
    </row>
    <row r="3769" spans="1:11" ht="15" customHeight="1" x14ac:dyDescent="0.3">
      <c r="A3769" t="s">
        <v>18</v>
      </c>
      <c r="B3769" t="s">
        <v>19</v>
      </c>
      <c r="C3769" t="s">
        <v>24</v>
      </c>
      <c r="D3769" t="s">
        <v>20</v>
      </c>
      <c r="E3769">
        <v>20</v>
      </c>
      <c r="F3769"/>
      <c r="G3769" t="s">
        <v>31</v>
      </c>
      <c r="H3769" t="s">
        <v>32</v>
      </c>
      <c r="I3769">
        <v>1</v>
      </c>
      <c r="J3769" s="23">
        <v>308855</v>
      </c>
      <c r="K3769">
        <v>6177100</v>
      </c>
    </row>
    <row r="3770" spans="1:11" ht="15" customHeight="1" x14ac:dyDescent="0.3">
      <c r="A3770" t="s">
        <v>18</v>
      </c>
      <c r="B3770" t="s">
        <v>44</v>
      </c>
      <c r="C3770" t="s">
        <v>24</v>
      </c>
      <c r="D3770" t="s">
        <v>28</v>
      </c>
      <c r="E3770">
        <v>16</v>
      </c>
      <c r="F3770" t="s">
        <v>38</v>
      </c>
      <c r="G3770" t="s">
        <v>15</v>
      </c>
      <c r="H3770" t="s">
        <v>16</v>
      </c>
      <c r="I3770">
        <v>0</v>
      </c>
      <c r="J3770" s="23">
        <v>10846753</v>
      </c>
      <c r="K3770">
        <v>173548048</v>
      </c>
    </row>
    <row r="3771" spans="1:11" ht="15" customHeight="1" x14ac:dyDescent="0.3">
      <c r="A3771" t="s">
        <v>18</v>
      </c>
      <c r="B3771" t="s">
        <v>11</v>
      </c>
      <c r="C3771" t="s">
        <v>24</v>
      </c>
      <c r="D3771" t="s">
        <v>28</v>
      </c>
      <c r="E3771">
        <v>11</v>
      </c>
      <c r="F3771" t="s">
        <v>14</v>
      </c>
      <c r="G3771" t="s">
        <v>31</v>
      </c>
      <c r="H3771" t="s">
        <v>16</v>
      </c>
      <c r="I3771">
        <v>1</v>
      </c>
      <c r="J3771" s="23">
        <v>56139</v>
      </c>
      <c r="K3771">
        <v>617529</v>
      </c>
    </row>
    <row r="3772" spans="1:11" ht="15" customHeight="1" x14ac:dyDescent="0.3">
      <c r="A3772" t="s">
        <v>22</v>
      </c>
      <c r="B3772" t="s">
        <v>11</v>
      </c>
      <c r="C3772" t="s">
        <v>12</v>
      </c>
      <c r="D3772" t="s">
        <v>25</v>
      </c>
      <c r="E3772">
        <v>-4</v>
      </c>
      <c r="F3772" t="s">
        <v>45</v>
      </c>
      <c r="G3772" t="s">
        <v>15</v>
      </c>
      <c r="H3772" t="s">
        <v>16</v>
      </c>
      <c r="I3772">
        <v>0</v>
      </c>
      <c r="J3772" s="23">
        <v>-6294</v>
      </c>
      <c r="K3772" t="s">
        <v>17</v>
      </c>
    </row>
    <row r="3773" spans="1:11" ht="15" customHeight="1" x14ac:dyDescent="0.3">
      <c r="A3773" t="s">
        <v>18</v>
      </c>
      <c r="B3773" t="s">
        <v>11</v>
      </c>
      <c r="C3773" t="s">
        <v>24</v>
      </c>
      <c r="D3773" t="s">
        <v>28</v>
      </c>
      <c r="E3773">
        <v>5</v>
      </c>
      <c r="F3773" t="s">
        <v>33</v>
      </c>
      <c r="G3773" t="s">
        <v>15</v>
      </c>
      <c r="H3773" t="s">
        <v>32</v>
      </c>
      <c r="I3773">
        <v>1</v>
      </c>
      <c r="J3773" s="23">
        <v>13545545</v>
      </c>
      <c r="K3773">
        <v>67727725</v>
      </c>
    </row>
    <row r="3774" spans="1:11" ht="15" customHeight="1" x14ac:dyDescent="0.3">
      <c r="A3774" t="s">
        <v>22</v>
      </c>
      <c r="B3774" t="s">
        <v>11</v>
      </c>
      <c r="C3774" t="s">
        <v>12</v>
      </c>
      <c r="D3774" t="s">
        <v>28</v>
      </c>
      <c r="E3774">
        <v>9</v>
      </c>
      <c r="F3774" t="s">
        <v>40</v>
      </c>
      <c r="G3774" t="s">
        <v>15</v>
      </c>
      <c r="H3774" t="s">
        <v>16</v>
      </c>
      <c r="I3774">
        <v>0</v>
      </c>
      <c r="J3774" s="23">
        <v>-150111</v>
      </c>
      <c r="K3774" t="s">
        <v>17</v>
      </c>
    </row>
    <row r="3775" spans="1:11" ht="15" customHeight="1" x14ac:dyDescent="0.3">
      <c r="A3775" t="s">
        <v>18</v>
      </c>
      <c r="B3775" t="s">
        <v>11</v>
      </c>
      <c r="C3775" t="s">
        <v>12</v>
      </c>
      <c r="D3775" t="s">
        <v>13</v>
      </c>
      <c r="E3775">
        <v>1</v>
      </c>
      <c r="F3775" t="s">
        <v>45</v>
      </c>
      <c r="G3775" t="s">
        <v>15</v>
      </c>
      <c r="H3775" t="s">
        <v>16</v>
      </c>
      <c r="I3775">
        <v>0</v>
      </c>
      <c r="J3775" s="23">
        <v>-10448</v>
      </c>
      <c r="K3775" t="s">
        <v>17</v>
      </c>
    </row>
    <row r="3776" spans="1:11" ht="15" customHeight="1" x14ac:dyDescent="0.3">
      <c r="A3776" t="s">
        <v>22</v>
      </c>
      <c r="B3776" t="s">
        <v>11</v>
      </c>
      <c r="C3776" t="s">
        <v>12</v>
      </c>
      <c r="D3776" t="s">
        <v>28</v>
      </c>
      <c r="E3776">
        <v>0</v>
      </c>
      <c r="F3776" t="s">
        <v>34</v>
      </c>
      <c r="G3776" t="s">
        <v>15</v>
      </c>
      <c r="H3776" t="s">
        <v>16</v>
      </c>
      <c r="I3776">
        <v>0</v>
      </c>
      <c r="J3776" s="23">
        <v>-200640</v>
      </c>
      <c r="K3776" t="s">
        <v>17</v>
      </c>
    </row>
    <row r="3777" spans="1:11" ht="15" customHeight="1" x14ac:dyDescent="0.3">
      <c r="A3777" t="s">
        <v>18</v>
      </c>
      <c r="B3777" t="s">
        <v>11</v>
      </c>
      <c r="C3777" t="s">
        <v>12</v>
      </c>
      <c r="D3777" t="s">
        <v>28</v>
      </c>
      <c r="E3777">
        <v>9</v>
      </c>
      <c r="F3777" t="s">
        <v>37</v>
      </c>
      <c r="G3777" t="s">
        <v>15</v>
      </c>
      <c r="H3777" t="s">
        <v>16</v>
      </c>
      <c r="I3777">
        <v>0</v>
      </c>
      <c r="J3777" s="23">
        <v>-1529</v>
      </c>
      <c r="K3777" t="s">
        <v>17</v>
      </c>
    </row>
    <row r="3778" spans="1:11" ht="15" customHeight="1" x14ac:dyDescent="0.3">
      <c r="A3778" t="s">
        <v>10</v>
      </c>
      <c r="B3778" t="s">
        <v>11</v>
      </c>
      <c r="C3778" t="s">
        <v>12</v>
      </c>
      <c r="D3778" t="s">
        <v>28</v>
      </c>
      <c r="E3778">
        <v>14</v>
      </c>
      <c r="F3778" t="s">
        <v>26</v>
      </c>
      <c r="G3778" t="s">
        <v>15</v>
      </c>
      <c r="H3778" t="s">
        <v>16</v>
      </c>
      <c r="I3778">
        <v>0</v>
      </c>
      <c r="J3778" s="23">
        <v>-447372</v>
      </c>
      <c r="K3778" t="s">
        <v>17</v>
      </c>
    </row>
    <row r="3779" spans="1:11" ht="15" customHeight="1" x14ac:dyDescent="0.3">
      <c r="A3779" t="s">
        <v>22</v>
      </c>
      <c r="B3779" t="s">
        <v>19</v>
      </c>
      <c r="C3779" t="s">
        <v>24</v>
      </c>
      <c r="D3779" t="s">
        <v>20</v>
      </c>
      <c r="E3779">
        <v>18</v>
      </c>
      <c r="F3779"/>
      <c r="G3779" t="s">
        <v>31</v>
      </c>
      <c r="H3779" t="s">
        <v>16</v>
      </c>
      <c r="I3779">
        <v>1</v>
      </c>
      <c r="J3779" s="23">
        <v>452771</v>
      </c>
      <c r="K3779">
        <v>8149878</v>
      </c>
    </row>
    <row r="3780" spans="1:11" ht="15" customHeight="1" x14ac:dyDescent="0.3">
      <c r="A3780" t="s">
        <v>10</v>
      </c>
      <c r="B3780" t="s">
        <v>11</v>
      </c>
      <c r="C3780" t="s">
        <v>24</v>
      </c>
      <c r="D3780" t="s">
        <v>28</v>
      </c>
      <c r="E3780">
        <v>15</v>
      </c>
      <c r="F3780" t="s">
        <v>14</v>
      </c>
      <c r="G3780" t="s">
        <v>15</v>
      </c>
      <c r="H3780" t="s">
        <v>16</v>
      </c>
      <c r="I3780">
        <v>0</v>
      </c>
      <c r="J3780" s="23">
        <v>502203</v>
      </c>
      <c r="K3780">
        <v>7533045</v>
      </c>
    </row>
    <row r="3781" spans="1:11" ht="15" customHeight="1" x14ac:dyDescent="0.3">
      <c r="A3781" t="s">
        <v>22</v>
      </c>
      <c r="B3781" t="s">
        <v>19</v>
      </c>
      <c r="C3781" t="s">
        <v>12</v>
      </c>
      <c r="D3781" t="s">
        <v>20</v>
      </c>
      <c r="E3781">
        <v>17</v>
      </c>
      <c r="F3781"/>
      <c r="G3781" t="s">
        <v>15</v>
      </c>
      <c r="H3781" t="s">
        <v>16</v>
      </c>
      <c r="I3781">
        <v>0</v>
      </c>
      <c r="J3781" s="23">
        <v>-1787488</v>
      </c>
      <c r="K3781" t="s">
        <v>17</v>
      </c>
    </row>
    <row r="3782" spans="1:11" ht="15" customHeight="1" x14ac:dyDescent="0.3">
      <c r="A3782" t="s">
        <v>18</v>
      </c>
      <c r="B3782" t="s">
        <v>19</v>
      </c>
      <c r="C3782" t="s">
        <v>12</v>
      </c>
      <c r="D3782" t="s">
        <v>28</v>
      </c>
      <c r="E3782">
        <v>18</v>
      </c>
      <c r="F3782"/>
      <c r="G3782" t="s">
        <v>31</v>
      </c>
      <c r="H3782" t="s">
        <v>16</v>
      </c>
      <c r="I3782">
        <v>1</v>
      </c>
      <c r="J3782" s="23">
        <v>-204</v>
      </c>
      <c r="K3782" t="s">
        <v>17</v>
      </c>
    </row>
    <row r="3783" spans="1:11" ht="15" customHeight="1" x14ac:dyDescent="0.3">
      <c r="A3783" t="s">
        <v>18</v>
      </c>
      <c r="B3783" t="s">
        <v>11</v>
      </c>
      <c r="C3783" t="s">
        <v>12</v>
      </c>
      <c r="D3783" t="s">
        <v>25</v>
      </c>
      <c r="E3783">
        <v>-1</v>
      </c>
      <c r="F3783" t="s">
        <v>14</v>
      </c>
      <c r="G3783" t="s">
        <v>15</v>
      </c>
      <c r="H3783" t="s">
        <v>16</v>
      </c>
      <c r="I3783">
        <v>0</v>
      </c>
      <c r="J3783" s="23">
        <v>-255</v>
      </c>
      <c r="K3783" t="s">
        <v>17</v>
      </c>
    </row>
    <row r="3784" spans="1:11" ht="15" customHeight="1" x14ac:dyDescent="0.3">
      <c r="A3784" t="s">
        <v>10</v>
      </c>
      <c r="B3784" t="s">
        <v>19</v>
      </c>
      <c r="C3784" t="s">
        <v>24</v>
      </c>
      <c r="D3784" t="s">
        <v>20</v>
      </c>
      <c r="E3784">
        <v>36</v>
      </c>
      <c r="F3784"/>
      <c r="G3784" t="s">
        <v>15</v>
      </c>
      <c r="H3784" t="s">
        <v>32</v>
      </c>
      <c r="I3784">
        <v>1</v>
      </c>
      <c r="J3784" s="23">
        <v>306481</v>
      </c>
      <c r="K3784">
        <v>11033316</v>
      </c>
    </row>
    <row r="3785" spans="1:11" ht="15" customHeight="1" x14ac:dyDescent="0.3">
      <c r="A3785" t="s">
        <v>18</v>
      </c>
      <c r="B3785" t="s">
        <v>11</v>
      </c>
      <c r="C3785" t="s">
        <v>24</v>
      </c>
      <c r="D3785" t="s">
        <v>28</v>
      </c>
      <c r="E3785">
        <v>11</v>
      </c>
      <c r="F3785" t="s">
        <v>40</v>
      </c>
      <c r="G3785" t="s">
        <v>15</v>
      </c>
      <c r="H3785" t="s">
        <v>16</v>
      </c>
      <c r="I3785">
        <v>0</v>
      </c>
      <c r="J3785" s="23">
        <v>638854</v>
      </c>
      <c r="K3785">
        <v>7027394</v>
      </c>
    </row>
    <row r="3786" spans="1:11" ht="15" customHeight="1" x14ac:dyDescent="0.3">
      <c r="A3786" t="s">
        <v>10</v>
      </c>
      <c r="B3786" t="s">
        <v>19</v>
      </c>
      <c r="C3786" t="s">
        <v>12</v>
      </c>
      <c r="D3786" t="s">
        <v>20</v>
      </c>
      <c r="E3786">
        <v>32</v>
      </c>
      <c r="F3786"/>
      <c r="G3786" t="s">
        <v>31</v>
      </c>
      <c r="H3786" t="s">
        <v>16</v>
      </c>
      <c r="I3786">
        <v>1</v>
      </c>
      <c r="J3786" s="23">
        <v>-23193</v>
      </c>
      <c r="K3786" t="s">
        <v>17</v>
      </c>
    </row>
    <row r="3787" spans="1:11" ht="15" customHeight="1" x14ac:dyDescent="0.3">
      <c r="A3787" t="s">
        <v>10</v>
      </c>
      <c r="B3787" t="s">
        <v>19</v>
      </c>
      <c r="C3787" t="s">
        <v>12</v>
      </c>
      <c r="D3787" t="s">
        <v>20</v>
      </c>
      <c r="E3787">
        <v>7</v>
      </c>
      <c r="F3787"/>
      <c r="G3787" t="s">
        <v>31</v>
      </c>
      <c r="H3787" t="s">
        <v>32</v>
      </c>
      <c r="I3787">
        <v>1</v>
      </c>
      <c r="J3787" s="23">
        <v>-299</v>
      </c>
      <c r="K3787" t="s">
        <v>17</v>
      </c>
    </row>
    <row r="3788" spans="1:11" ht="15" customHeight="1" x14ac:dyDescent="0.3">
      <c r="A3788" t="s">
        <v>18</v>
      </c>
      <c r="B3788" t="s">
        <v>19</v>
      </c>
      <c r="C3788" t="s">
        <v>12</v>
      </c>
      <c r="D3788" t="s">
        <v>20</v>
      </c>
      <c r="E3788">
        <v>5</v>
      </c>
      <c r="F3788"/>
      <c r="G3788" t="s">
        <v>31</v>
      </c>
      <c r="H3788" t="s">
        <v>32</v>
      </c>
      <c r="I3788">
        <v>1</v>
      </c>
      <c r="J3788" s="23">
        <v>-21</v>
      </c>
      <c r="K3788" t="s">
        <v>17</v>
      </c>
    </row>
    <row r="3789" spans="1:11" ht="15" customHeight="1" x14ac:dyDescent="0.3">
      <c r="A3789" t="s">
        <v>10</v>
      </c>
      <c r="B3789" t="s">
        <v>19</v>
      </c>
      <c r="C3789" t="s">
        <v>24</v>
      </c>
      <c r="D3789" t="s">
        <v>20</v>
      </c>
      <c r="E3789">
        <v>27</v>
      </c>
      <c r="F3789"/>
      <c r="G3789" t="s">
        <v>31</v>
      </c>
      <c r="H3789" t="s">
        <v>32</v>
      </c>
      <c r="I3789">
        <v>1</v>
      </c>
      <c r="J3789" s="23">
        <v>96078</v>
      </c>
      <c r="K3789">
        <v>2594106</v>
      </c>
    </row>
    <row r="3790" spans="1:11" ht="15" customHeight="1" x14ac:dyDescent="0.3">
      <c r="A3790" t="s">
        <v>10</v>
      </c>
      <c r="B3790" t="s">
        <v>11</v>
      </c>
      <c r="C3790" t="s">
        <v>24</v>
      </c>
      <c r="D3790" t="s">
        <v>28</v>
      </c>
      <c r="E3790">
        <v>10</v>
      </c>
      <c r="F3790" t="s">
        <v>34</v>
      </c>
      <c r="G3790" t="s">
        <v>15</v>
      </c>
      <c r="H3790" t="s">
        <v>16</v>
      </c>
      <c r="I3790">
        <v>0</v>
      </c>
      <c r="J3790" s="23">
        <v>1262531</v>
      </c>
      <c r="K3790">
        <v>12625310</v>
      </c>
    </row>
    <row r="3791" spans="1:11" ht="15" customHeight="1" x14ac:dyDescent="0.3">
      <c r="A3791" t="s">
        <v>10</v>
      </c>
      <c r="B3791" t="s">
        <v>11</v>
      </c>
      <c r="C3791" t="s">
        <v>24</v>
      </c>
      <c r="D3791" t="s">
        <v>28</v>
      </c>
      <c r="E3791">
        <v>10</v>
      </c>
      <c r="F3791" t="s">
        <v>34</v>
      </c>
      <c r="G3791" t="s">
        <v>15</v>
      </c>
      <c r="H3791" t="s">
        <v>32</v>
      </c>
      <c r="I3791">
        <v>1</v>
      </c>
      <c r="J3791" s="23">
        <v>170117</v>
      </c>
      <c r="K3791">
        <v>1701170</v>
      </c>
    </row>
    <row r="3792" spans="1:11" ht="15" customHeight="1" x14ac:dyDescent="0.3">
      <c r="A3792" t="s">
        <v>18</v>
      </c>
      <c r="B3792" t="s">
        <v>11</v>
      </c>
      <c r="C3792" t="s">
        <v>24</v>
      </c>
      <c r="D3792" t="s">
        <v>28</v>
      </c>
      <c r="E3792">
        <v>0</v>
      </c>
      <c r="F3792" t="s">
        <v>39</v>
      </c>
      <c r="G3792" t="s">
        <v>15</v>
      </c>
      <c r="H3792" t="s">
        <v>16</v>
      </c>
      <c r="I3792">
        <v>0</v>
      </c>
      <c r="J3792" s="23">
        <v>89755</v>
      </c>
      <c r="K3792" t="s">
        <v>17</v>
      </c>
    </row>
    <row r="3793" spans="1:11" ht="15" customHeight="1" x14ac:dyDescent="0.3">
      <c r="A3793" t="s">
        <v>22</v>
      </c>
      <c r="B3793" t="s">
        <v>19</v>
      </c>
      <c r="C3793" t="s">
        <v>12</v>
      </c>
      <c r="D3793" t="s">
        <v>20</v>
      </c>
      <c r="E3793">
        <v>25</v>
      </c>
      <c r="F3793"/>
      <c r="G3793" t="s">
        <v>15</v>
      </c>
      <c r="H3793" t="s">
        <v>16</v>
      </c>
      <c r="I3793">
        <v>0</v>
      </c>
      <c r="J3793" s="23">
        <v>-2867277</v>
      </c>
      <c r="K3793" t="s">
        <v>17</v>
      </c>
    </row>
    <row r="3794" spans="1:11" ht="15" customHeight="1" x14ac:dyDescent="0.3">
      <c r="A3794" t="s">
        <v>22</v>
      </c>
      <c r="B3794" t="s">
        <v>19</v>
      </c>
      <c r="C3794" t="s">
        <v>24</v>
      </c>
      <c r="D3794" t="s">
        <v>28</v>
      </c>
      <c r="E3794">
        <v>6</v>
      </c>
      <c r="F3794"/>
      <c r="G3794" t="s">
        <v>15</v>
      </c>
      <c r="H3794" t="s">
        <v>16</v>
      </c>
      <c r="I3794">
        <v>0</v>
      </c>
      <c r="J3794" s="23">
        <v>27048</v>
      </c>
      <c r="K3794">
        <v>162288</v>
      </c>
    </row>
    <row r="3795" spans="1:11" ht="15" customHeight="1" x14ac:dyDescent="0.3">
      <c r="A3795" t="s">
        <v>18</v>
      </c>
      <c r="B3795" t="s">
        <v>11</v>
      </c>
      <c r="C3795" t="s">
        <v>12</v>
      </c>
      <c r="D3795" t="s">
        <v>13</v>
      </c>
      <c r="E3795">
        <v>0</v>
      </c>
      <c r="F3795" t="s">
        <v>37</v>
      </c>
      <c r="G3795" t="s">
        <v>15</v>
      </c>
      <c r="H3795" t="s">
        <v>16</v>
      </c>
      <c r="I3795">
        <v>0</v>
      </c>
      <c r="J3795" s="23">
        <v>-45524</v>
      </c>
      <c r="K3795" t="s">
        <v>17</v>
      </c>
    </row>
    <row r="3796" spans="1:11" ht="15" customHeight="1" x14ac:dyDescent="0.3">
      <c r="A3796" t="s">
        <v>22</v>
      </c>
      <c r="B3796" t="s">
        <v>19</v>
      </c>
      <c r="C3796" t="s">
        <v>12</v>
      </c>
      <c r="D3796" t="s">
        <v>28</v>
      </c>
      <c r="E3796">
        <v>30</v>
      </c>
      <c r="F3796"/>
      <c r="G3796" t="s">
        <v>15</v>
      </c>
      <c r="H3796" t="s">
        <v>16</v>
      </c>
      <c r="I3796">
        <v>0</v>
      </c>
      <c r="J3796" s="23">
        <v>-74381</v>
      </c>
      <c r="K3796" t="s">
        <v>17</v>
      </c>
    </row>
    <row r="3797" spans="1:11" ht="15" customHeight="1" x14ac:dyDescent="0.3">
      <c r="A3797" t="s">
        <v>10</v>
      </c>
      <c r="B3797" t="s">
        <v>11</v>
      </c>
      <c r="C3797" t="s">
        <v>24</v>
      </c>
      <c r="D3797" t="s">
        <v>13</v>
      </c>
      <c r="E3797">
        <v>6</v>
      </c>
      <c r="F3797" t="s">
        <v>33</v>
      </c>
      <c r="G3797" t="s">
        <v>15</v>
      </c>
      <c r="H3797" t="s">
        <v>16</v>
      </c>
      <c r="I3797">
        <v>0</v>
      </c>
      <c r="J3797" s="23">
        <v>60095</v>
      </c>
      <c r="K3797">
        <v>360570</v>
      </c>
    </row>
    <row r="3798" spans="1:11" ht="15" customHeight="1" x14ac:dyDescent="0.3">
      <c r="A3798" t="s">
        <v>18</v>
      </c>
      <c r="B3798" t="s">
        <v>11</v>
      </c>
      <c r="C3798" t="s">
        <v>24</v>
      </c>
      <c r="D3798" t="s">
        <v>28</v>
      </c>
      <c r="E3798">
        <v>4</v>
      </c>
      <c r="F3798" t="s">
        <v>36</v>
      </c>
      <c r="G3798" t="s">
        <v>31</v>
      </c>
      <c r="H3798" t="s">
        <v>16</v>
      </c>
      <c r="I3798">
        <v>1</v>
      </c>
      <c r="J3798" s="23">
        <v>842497</v>
      </c>
      <c r="K3798">
        <v>3369988</v>
      </c>
    </row>
    <row r="3799" spans="1:11" ht="15" customHeight="1" x14ac:dyDescent="0.3">
      <c r="A3799" t="s">
        <v>22</v>
      </c>
      <c r="B3799" t="s">
        <v>11</v>
      </c>
      <c r="C3799" t="s">
        <v>12</v>
      </c>
      <c r="D3799" t="s">
        <v>28</v>
      </c>
      <c r="E3799">
        <v>2</v>
      </c>
      <c r="F3799" t="s">
        <v>35</v>
      </c>
      <c r="G3799" t="s">
        <v>15</v>
      </c>
      <c r="H3799" t="s">
        <v>16</v>
      </c>
      <c r="I3799">
        <v>0</v>
      </c>
      <c r="J3799" s="23">
        <v>-11109</v>
      </c>
      <c r="K3799" t="s">
        <v>17</v>
      </c>
    </row>
    <row r="3800" spans="1:11" ht="15" customHeight="1" x14ac:dyDescent="0.3">
      <c r="A3800" t="s">
        <v>22</v>
      </c>
      <c r="B3800" t="s">
        <v>19</v>
      </c>
      <c r="C3800" t="s">
        <v>12</v>
      </c>
      <c r="D3800" t="s">
        <v>20</v>
      </c>
      <c r="E3800">
        <v>36</v>
      </c>
      <c r="F3800"/>
      <c r="G3800" t="s">
        <v>31</v>
      </c>
      <c r="H3800" t="s">
        <v>16</v>
      </c>
      <c r="I3800">
        <v>1</v>
      </c>
      <c r="J3800" s="23">
        <v>-26770</v>
      </c>
      <c r="K3800" t="s">
        <v>17</v>
      </c>
    </row>
    <row r="3801" spans="1:11" ht="15" customHeight="1" x14ac:dyDescent="0.3">
      <c r="A3801" t="s">
        <v>10</v>
      </c>
      <c r="B3801" t="s">
        <v>11</v>
      </c>
      <c r="C3801" t="s">
        <v>24</v>
      </c>
      <c r="D3801" t="s">
        <v>13</v>
      </c>
      <c r="E3801">
        <v>3</v>
      </c>
      <c r="F3801" t="s">
        <v>36</v>
      </c>
      <c r="G3801" t="s">
        <v>15</v>
      </c>
      <c r="H3801" t="s">
        <v>16</v>
      </c>
      <c r="I3801">
        <v>0</v>
      </c>
      <c r="J3801" s="23">
        <v>15392</v>
      </c>
      <c r="K3801">
        <v>46176</v>
      </c>
    </row>
    <row r="3802" spans="1:11" ht="15" customHeight="1" x14ac:dyDescent="0.3">
      <c r="A3802" t="s">
        <v>18</v>
      </c>
      <c r="B3802" t="s">
        <v>11</v>
      </c>
      <c r="C3802" t="s">
        <v>12</v>
      </c>
      <c r="D3802" t="s">
        <v>28</v>
      </c>
      <c r="E3802">
        <v>3</v>
      </c>
      <c r="F3802" t="s">
        <v>29</v>
      </c>
      <c r="G3802" t="s">
        <v>15</v>
      </c>
      <c r="H3802" t="s">
        <v>16</v>
      </c>
      <c r="I3802">
        <v>0</v>
      </c>
      <c r="J3802" s="23">
        <v>-2670</v>
      </c>
      <c r="K3802" t="s">
        <v>17</v>
      </c>
    </row>
    <row r="3803" spans="1:11" ht="15" customHeight="1" x14ac:dyDescent="0.3">
      <c r="A3803" t="s">
        <v>10</v>
      </c>
      <c r="B3803" t="s">
        <v>11</v>
      </c>
      <c r="C3803" t="s">
        <v>24</v>
      </c>
      <c r="D3803" t="s">
        <v>13</v>
      </c>
      <c r="E3803">
        <v>5</v>
      </c>
      <c r="F3803" t="s">
        <v>35</v>
      </c>
      <c r="G3803" t="s">
        <v>15</v>
      </c>
      <c r="H3803" t="s">
        <v>16</v>
      </c>
      <c r="I3803">
        <v>0</v>
      </c>
      <c r="J3803" s="23">
        <v>1031850</v>
      </c>
      <c r="K3803">
        <v>5159250</v>
      </c>
    </row>
    <row r="3804" spans="1:11" ht="15" customHeight="1" x14ac:dyDescent="0.3">
      <c r="A3804" t="s">
        <v>18</v>
      </c>
      <c r="B3804" t="s">
        <v>11</v>
      </c>
      <c r="C3804" t="s">
        <v>24</v>
      </c>
      <c r="D3804" t="s">
        <v>25</v>
      </c>
      <c r="E3804">
        <v>7</v>
      </c>
      <c r="F3804" t="s">
        <v>38</v>
      </c>
      <c r="G3804" t="s">
        <v>15</v>
      </c>
      <c r="H3804" t="s">
        <v>16</v>
      </c>
      <c r="I3804">
        <v>0</v>
      </c>
      <c r="J3804" s="23">
        <v>62495</v>
      </c>
      <c r="K3804">
        <v>437465</v>
      </c>
    </row>
    <row r="3805" spans="1:11" ht="15" customHeight="1" x14ac:dyDescent="0.3">
      <c r="A3805" t="s">
        <v>10</v>
      </c>
      <c r="B3805" t="s">
        <v>11</v>
      </c>
      <c r="C3805" t="s">
        <v>12</v>
      </c>
      <c r="D3805" t="s">
        <v>28</v>
      </c>
      <c r="E3805">
        <v>14</v>
      </c>
      <c r="F3805" t="s">
        <v>29</v>
      </c>
      <c r="G3805" t="s">
        <v>15</v>
      </c>
      <c r="H3805" t="s">
        <v>32</v>
      </c>
      <c r="I3805">
        <v>1</v>
      </c>
      <c r="J3805" s="23">
        <v>-10303</v>
      </c>
      <c r="K3805" t="s">
        <v>17</v>
      </c>
    </row>
    <row r="3806" spans="1:11" ht="15" customHeight="1" x14ac:dyDescent="0.3">
      <c r="A3806" t="s">
        <v>10</v>
      </c>
      <c r="B3806" t="s">
        <v>11</v>
      </c>
      <c r="C3806" t="s">
        <v>12</v>
      </c>
      <c r="D3806" t="s">
        <v>28</v>
      </c>
      <c r="E3806">
        <v>10</v>
      </c>
      <c r="F3806" t="s">
        <v>29</v>
      </c>
      <c r="G3806" t="s">
        <v>15</v>
      </c>
      <c r="H3806" t="s">
        <v>16</v>
      </c>
      <c r="I3806">
        <v>0</v>
      </c>
      <c r="J3806" s="23">
        <v>-6325</v>
      </c>
      <c r="K3806" t="s">
        <v>17</v>
      </c>
    </row>
    <row r="3807" spans="1:11" ht="15" customHeight="1" x14ac:dyDescent="0.3">
      <c r="A3807" t="s">
        <v>22</v>
      </c>
      <c r="B3807" t="s">
        <v>11</v>
      </c>
      <c r="C3807" t="s">
        <v>24</v>
      </c>
      <c r="D3807" t="s">
        <v>28</v>
      </c>
      <c r="E3807">
        <v>11</v>
      </c>
      <c r="F3807" t="s">
        <v>26</v>
      </c>
      <c r="G3807" t="s">
        <v>15</v>
      </c>
      <c r="H3807" t="s">
        <v>16</v>
      </c>
      <c r="I3807">
        <v>0</v>
      </c>
      <c r="J3807" s="23">
        <v>1402511</v>
      </c>
      <c r="K3807">
        <v>15427621</v>
      </c>
    </row>
    <row r="3808" spans="1:11" ht="15" customHeight="1" x14ac:dyDescent="0.3">
      <c r="A3808" t="s">
        <v>10</v>
      </c>
      <c r="B3808" t="s">
        <v>11</v>
      </c>
      <c r="C3808" t="s">
        <v>24</v>
      </c>
      <c r="D3808" t="s">
        <v>28</v>
      </c>
      <c r="E3808">
        <v>8</v>
      </c>
      <c r="F3808" t="s">
        <v>34</v>
      </c>
      <c r="G3808" t="s">
        <v>15</v>
      </c>
      <c r="H3808" t="s">
        <v>16</v>
      </c>
      <c r="I3808">
        <v>0</v>
      </c>
      <c r="J3808" s="23">
        <v>1775631</v>
      </c>
      <c r="K3808">
        <v>14205048</v>
      </c>
    </row>
    <row r="3809" spans="1:11" ht="15" customHeight="1" x14ac:dyDescent="0.3">
      <c r="A3809" t="s">
        <v>10</v>
      </c>
      <c r="B3809" t="s">
        <v>19</v>
      </c>
      <c r="C3809" t="s">
        <v>12</v>
      </c>
      <c r="D3809" t="s">
        <v>20</v>
      </c>
      <c r="E3809">
        <v>27</v>
      </c>
      <c r="F3809"/>
      <c r="G3809" t="s">
        <v>15</v>
      </c>
      <c r="H3809" t="s">
        <v>16</v>
      </c>
      <c r="I3809">
        <v>0</v>
      </c>
      <c r="J3809" s="23">
        <v>-1404719</v>
      </c>
      <c r="K3809" t="s">
        <v>17</v>
      </c>
    </row>
    <row r="3810" spans="1:11" ht="15" customHeight="1" x14ac:dyDescent="0.3">
      <c r="A3810" t="s">
        <v>22</v>
      </c>
      <c r="B3810" t="s">
        <v>11</v>
      </c>
      <c r="C3810" t="s">
        <v>12</v>
      </c>
      <c r="D3810" t="s">
        <v>13</v>
      </c>
      <c r="E3810">
        <v>9</v>
      </c>
      <c r="F3810" t="s">
        <v>29</v>
      </c>
      <c r="G3810" t="s">
        <v>15</v>
      </c>
      <c r="H3810" t="s">
        <v>16</v>
      </c>
      <c r="I3810">
        <v>0</v>
      </c>
      <c r="J3810" s="23">
        <v>-873293</v>
      </c>
      <c r="K3810" t="s">
        <v>17</v>
      </c>
    </row>
    <row r="3811" spans="1:11" ht="15" customHeight="1" x14ac:dyDescent="0.3">
      <c r="A3811" t="s">
        <v>18</v>
      </c>
      <c r="B3811" t="s">
        <v>11</v>
      </c>
      <c r="C3811" t="s">
        <v>24</v>
      </c>
      <c r="D3811" t="s">
        <v>28</v>
      </c>
      <c r="E3811">
        <v>9</v>
      </c>
      <c r="F3811" t="s">
        <v>35</v>
      </c>
      <c r="G3811" t="s">
        <v>15</v>
      </c>
      <c r="H3811" t="s">
        <v>16</v>
      </c>
      <c r="I3811">
        <v>0</v>
      </c>
      <c r="J3811" s="23">
        <v>1387877</v>
      </c>
      <c r="K3811">
        <v>12490893</v>
      </c>
    </row>
    <row r="3812" spans="1:11" ht="15" customHeight="1" x14ac:dyDescent="0.3">
      <c r="A3812" t="s">
        <v>18</v>
      </c>
      <c r="B3812" t="s">
        <v>19</v>
      </c>
      <c r="C3812" t="s">
        <v>12</v>
      </c>
      <c r="D3812" t="s">
        <v>20</v>
      </c>
      <c r="E3812">
        <v>19</v>
      </c>
      <c r="F3812"/>
      <c r="G3812" t="s">
        <v>15</v>
      </c>
      <c r="H3812" t="s">
        <v>16</v>
      </c>
      <c r="I3812">
        <v>0</v>
      </c>
      <c r="J3812" s="23">
        <v>-195498</v>
      </c>
      <c r="K3812" t="s">
        <v>17</v>
      </c>
    </row>
    <row r="3813" spans="1:11" ht="15" customHeight="1" x14ac:dyDescent="0.3">
      <c r="A3813" t="s">
        <v>10</v>
      </c>
      <c r="B3813" t="s">
        <v>11</v>
      </c>
      <c r="C3813" t="s">
        <v>24</v>
      </c>
      <c r="D3813" t="s">
        <v>25</v>
      </c>
      <c r="E3813">
        <v>-4</v>
      </c>
      <c r="F3813" t="s">
        <v>39</v>
      </c>
      <c r="G3813" t="s">
        <v>15</v>
      </c>
      <c r="H3813" t="s">
        <v>16</v>
      </c>
      <c r="I3813">
        <v>0</v>
      </c>
      <c r="J3813" s="23">
        <v>10898</v>
      </c>
      <c r="K3813" t="s">
        <v>17</v>
      </c>
    </row>
    <row r="3814" spans="1:11" ht="15" customHeight="1" x14ac:dyDescent="0.3">
      <c r="A3814" t="s">
        <v>10</v>
      </c>
      <c r="B3814" t="s">
        <v>19</v>
      </c>
      <c r="C3814" t="s">
        <v>12</v>
      </c>
      <c r="D3814" t="s">
        <v>28</v>
      </c>
      <c r="E3814">
        <v>35</v>
      </c>
      <c r="F3814"/>
      <c r="G3814" t="s">
        <v>15</v>
      </c>
      <c r="H3814" t="s">
        <v>16</v>
      </c>
      <c r="I3814">
        <v>0</v>
      </c>
      <c r="J3814" s="23">
        <v>-12639</v>
      </c>
      <c r="K3814" t="s">
        <v>17</v>
      </c>
    </row>
    <row r="3815" spans="1:11" ht="15" customHeight="1" x14ac:dyDescent="0.3">
      <c r="A3815" t="s">
        <v>22</v>
      </c>
      <c r="B3815" t="s">
        <v>11</v>
      </c>
      <c r="C3815" t="s">
        <v>12</v>
      </c>
      <c r="D3815" t="s">
        <v>13</v>
      </c>
      <c r="E3815">
        <v>-1</v>
      </c>
      <c r="F3815" t="s">
        <v>17</v>
      </c>
      <c r="G3815" t="s">
        <v>15</v>
      </c>
      <c r="H3815" t="s">
        <v>16</v>
      </c>
      <c r="I3815">
        <v>0</v>
      </c>
      <c r="J3815" s="23">
        <v>-9273</v>
      </c>
      <c r="K3815" t="s">
        <v>17</v>
      </c>
    </row>
    <row r="3816" spans="1:11" ht="15" customHeight="1" x14ac:dyDescent="0.3">
      <c r="A3816" t="s">
        <v>10</v>
      </c>
      <c r="B3816" t="s">
        <v>19</v>
      </c>
      <c r="C3816" t="s">
        <v>12</v>
      </c>
      <c r="D3816" t="s">
        <v>20</v>
      </c>
      <c r="E3816">
        <v>-1</v>
      </c>
      <c r="F3816"/>
      <c r="G3816" t="s">
        <v>15</v>
      </c>
      <c r="H3816" t="s">
        <v>16</v>
      </c>
      <c r="I3816">
        <v>0</v>
      </c>
      <c r="J3816" s="23">
        <v>-3811</v>
      </c>
      <c r="K3816" t="s">
        <v>17</v>
      </c>
    </row>
    <row r="3817" spans="1:11" ht="15" customHeight="1" x14ac:dyDescent="0.3">
      <c r="A3817" t="s">
        <v>22</v>
      </c>
      <c r="B3817" t="s">
        <v>11</v>
      </c>
      <c r="C3817" t="s">
        <v>12</v>
      </c>
      <c r="D3817" t="s">
        <v>13</v>
      </c>
      <c r="E3817">
        <v>7</v>
      </c>
      <c r="F3817" t="s">
        <v>39</v>
      </c>
      <c r="G3817" t="s">
        <v>15</v>
      </c>
      <c r="H3817" t="s">
        <v>16</v>
      </c>
      <c r="I3817">
        <v>0</v>
      </c>
      <c r="J3817" s="23">
        <v>-365531</v>
      </c>
      <c r="K3817" t="s">
        <v>17</v>
      </c>
    </row>
    <row r="3818" spans="1:11" ht="15" customHeight="1" x14ac:dyDescent="0.3">
      <c r="A3818" t="s">
        <v>10</v>
      </c>
      <c r="B3818" t="s">
        <v>11</v>
      </c>
      <c r="C3818" t="s">
        <v>12</v>
      </c>
      <c r="D3818" t="s">
        <v>28</v>
      </c>
      <c r="E3818">
        <v>16</v>
      </c>
      <c r="F3818" t="s">
        <v>45</v>
      </c>
      <c r="G3818" t="s">
        <v>15</v>
      </c>
      <c r="H3818" t="s">
        <v>16</v>
      </c>
      <c r="I3818">
        <v>0</v>
      </c>
      <c r="J3818" s="23">
        <v>-4712</v>
      </c>
      <c r="K3818" t="s">
        <v>17</v>
      </c>
    </row>
    <row r="3819" spans="1:11" ht="15" customHeight="1" x14ac:dyDescent="0.3">
      <c r="A3819" t="s">
        <v>10</v>
      </c>
      <c r="B3819" t="s">
        <v>19</v>
      </c>
      <c r="C3819" t="s">
        <v>24</v>
      </c>
      <c r="D3819" t="s">
        <v>28</v>
      </c>
      <c r="E3819">
        <v>7</v>
      </c>
      <c r="F3819"/>
      <c r="G3819" t="s">
        <v>15</v>
      </c>
      <c r="H3819" t="s">
        <v>16</v>
      </c>
      <c r="I3819">
        <v>0</v>
      </c>
      <c r="J3819" s="23">
        <v>604967</v>
      </c>
      <c r="K3819">
        <v>4234769</v>
      </c>
    </row>
    <row r="3820" spans="1:11" ht="15" customHeight="1" x14ac:dyDescent="0.3">
      <c r="A3820" t="s">
        <v>10</v>
      </c>
      <c r="B3820" t="s">
        <v>11</v>
      </c>
      <c r="C3820" t="s">
        <v>24</v>
      </c>
      <c r="D3820" t="s">
        <v>28</v>
      </c>
      <c r="E3820">
        <v>15</v>
      </c>
      <c r="F3820" t="s">
        <v>29</v>
      </c>
      <c r="G3820" t="s">
        <v>15</v>
      </c>
      <c r="H3820" t="s">
        <v>16</v>
      </c>
      <c r="I3820">
        <v>0</v>
      </c>
      <c r="J3820" s="23">
        <v>178308</v>
      </c>
      <c r="K3820">
        <v>2674620</v>
      </c>
    </row>
    <row r="3821" spans="1:11" ht="15" customHeight="1" x14ac:dyDescent="0.3">
      <c r="A3821" t="s">
        <v>10</v>
      </c>
      <c r="B3821" t="s">
        <v>11</v>
      </c>
      <c r="C3821" t="s">
        <v>24</v>
      </c>
      <c r="D3821" t="s">
        <v>28</v>
      </c>
      <c r="E3821">
        <v>-1</v>
      </c>
      <c r="F3821" t="s">
        <v>26</v>
      </c>
      <c r="G3821" t="s">
        <v>15</v>
      </c>
      <c r="H3821" t="s">
        <v>16</v>
      </c>
      <c r="I3821">
        <v>0</v>
      </c>
      <c r="J3821" s="23">
        <v>400261</v>
      </c>
      <c r="K3821" t="s">
        <v>17</v>
      </c>
    </row>
    <row r="3822" spans="1:11" ht="15" customHeight="1" x14ac:dyDescent="0.3">
      <c r="A3822" t="s">
        <v>10</v>
      </c>
      <c r="B3822" t="s">
        <v>11</v>
      </c>
      <c r="C3822" t="s">
        <v>12</v>
      </c>
      <c r="D3822" t="s">
        <v>28</v>
      </c>
      <c r="E3822">
        <v>2</v>
      </c>
      <c r="F3822" t="s">
        <v>33</v>
      </c>
      <c r="G3822" t="s">
        <v>15</v>
      </c>
      <c r="H3822" t="s">
        <v>16</v>
      </c>
      <c r="I3822">
        <v>0</v>
      </c>
      <c r="J3822" s="23">
        <v>-798</v>
      </c>
      <c r="K3822" t="s">
        <v>17</v>
      </c>
    </row>
    <row r="3823" spans="1:11" ht="15" customHeight="1" x14ac:dyDescent="0.3">
      <c r="A3823" t="s">
        <v>10</v>
      </c>
      <c r="B3823" t="s">
        <v>11</v>
      </c>
      <c r="C3823" t="s">
        <v>24</v>
      </c>
      <c r="D3823" t="s">
        <v>28</v>
      </c>
      <c r="E3823">
        <v>10</v>
      </c>
      <c r="F3823" t="s">
        <v>23</v>
      </c>
      <c r="G3823" t="s">
        <v>15</v>
      </c>
      <c r="H3823" t="s">
        <v>16</v>
      </c>
      <c r="I3823">
        <v>0</v>
      </c>
      <c r="J3823" s="23">
        <v>14089808</v>
      </c>
      <c r="K3823">
        <v>140898080</v>
      </c>
    </row>
    <row r="3824" spans="1:11" ht="15" customHeight="1" x14ac:dyDescent="0.3">
      <c r="A3824" t="s">
        <v>18</v>
      </c>
      <c r="B3824" t="s">
        <v>11</v>
      </c>
      <c r="C3824" t="s">
        <v>12</v>
      </c>
      <c r="D3824" t="s">
        <v>28</v>
      </c>
      <c r="E3824">
        <v>5</v>
      </c>
      <c r="F3824" t="s">
        <v>40</v>
      </c>
      <c r="G3824" t="s">
        <v>15</v>
      </c>
      <c r="H3824" t="s">
        <v>16</v>
      </c>
      <c r="I3824">
        <v>0</v>
      </c>
      <c r="J3824" s="23">
        <v>-4340</v>
      </c>
      <c r="K3824" t="s">
        <v>17</v>
      </c>
    </row>
    <row r="3825" spans="1:11" ht="15" customHeight="1" x14ac:dyDescent="0.3">
      <c r="A3825" t="s">
        <v>22</v>
      </c>
      <c r="B3825" t="s">
        <v>11</v>
      </c>
      <c r="C3825" t="s">
        <v>24</v>
      </c>
      <c r="D3825" t="s">
        <v>13</v>
      </c>
      <c r="E3825">
        <v>-4</v>
      </c>
      <c r="F3825" t="s">
        <v>33</v>
      </c>
      <c r="G3825" t="s">
        <v>15</v>
      </c>
      <c r="H3825" t="s">
        <v>16</v>
      </c>
      <c r="I3825">
        <v>0</v>
      </c>
      <c r="J3825" s="23">
        <v>874451</v>
      </c>
      <c r="K3825" t="s">
        <v>17</v>
      </c>
    </row>
    <row r="3826" spans="1:11" ht="15" customHeight="1" x14ac:dyDescent="0.3">
      <c r="A3826" t="s">
        <v>18</v>
      </c>
      <c r="B3826" t="s">
        <v>19</v>
      </c>
      <c r="C3826" t="s">
        <v>12</v>
      </c>
      <c r="D3826" t="s">
        <v>28</v>
      </c>
      <c r="E3826">
        <v>23</v>
      </c>
      <c r="F3826"/>
      <c r="G3826" t="s">
        <v>15</v>
      </c>
      <c r="H3826" t="s">
        <v>16</v>
      </c>
      <c r="I3826">
        <v>0</v>
      </c>
      <c r="J3826" s="23">
        <v>-608</v>
      </c>
      <c r="K3826" t="s">
        <v>17</v>
      </c>
    </row>
    <row r="3827" spans="1:11" ht="15" customHeight="1" x14ac:dyDescent="0.3">
      <c r="A3827" t="s">
        <v>22</v>
      </c>
      <c r="B3827" t="s">
        <v>11</v>
      </c>
      <c r="C3827" t="s">
        <v>12</v>
      </c>
      <c r="D3827" t="s">
        <v>13</v>
      </c>
      <c r="E3827">
        <v>8</v>
      </c>
      <c r="F3827" t="s">
        <v>30</v>
      </c>
      <c r="G3827" t="s">
        <v>15</v>
      </c>
      <c r="H3827" t="s">
        <v>16</v>
      </c>
      <c r="I3827">
        <v>0</v>
      </c>
      <c r="J3827" s="23">
        <v>-426552</v>
      </c>
      <c r="K3827" t="s">
        <v>17</v>
      </c>
    </row>
    <row r="3828" spans="1:11" ht="15" customHeight="1" x14ac:dyDescent="0.3">
      <c r="A3828" t="s">
        <v>18</v>
      </c>
      <c r="B3828" t="s">
        <v>11</v>
      </c>
      <c r="C3828" t="s">
        <v>24</v>
      </c>
      <c r="D3828" t="s">
        <v>28</v>
      </c>
      <c r="E3828">
        <v>4</v>
      </c>
      <c r="F3828" t="s">
        <v>30</v>
      </c>
      <c r="G3828" t="s">
        <v>15</v>
      </c>
      <c r="H3828" t="s">
        <v>16</v>
      </c>
      <c r="I3828">
        <v>0</v>
      </c>
      <c r="J3828" s="23">
        <v>6237642</v>
      </c>
      <c r="K3828">
        <v>24950568</v>
      </c>
    </row>
    <row r="3829" spans="1:11" ht="15" customHeight="1" x14ac:dyDescent="0.3">
      <c r="A3829" t="s">
        <v>18</v>
      </c>
      <c r="B3829" t="s">
        <v>11</v>
      </c>
      <c r="C3829" t="s">
        <v>12</v>
      </c>
      <c r="D3829" t="s">
        <v>28</v>
      </c>
      <c r="E3829">
        <v>10</v>
      </c>
      <c r="F3829" t="s">
        <v>33</v>
      </c>
      <c r="G3829" t="s">
        <v>15</v>
      </c>
      <c r="H3829" t="s">
        <v>32</v>
      </c>
      <c r="I3829">
        <v>1</v>
      </c>
      <c r="J3829" s="23">
        <v>-10310</v>
      </c>
      <c r="K3829" t="s">
        <v>17</v>
      </c>
    </row>
    <row r="3830" spans="1:11" ht="15" customHeight="1" x14ac:dyDescent="0.3">
      <c r="A3830" t="s">
        <v>18</v>
      </c>
      <c r="B3830" t="s">
        <v>11</v>
      </c>
      <c r="C3830" t="s">
        <v>12</v>
      </c>
      <c r="D3830" t="s">
        <v>13</v>
      </c>
      <c r="E3830">
        <v>14</v>
      </c>
      <c r="F3830" t="s">
        <v>23</v>
      </c>
      <c r="G3830" t="s">
        <v>15</v>
      </c>
      <c r="H3830" t="s">
        <v>16</v>
      </c>
      <c r="I3830">
        <v>0</v>
      </c>
      <c r="J3830" s="23">
        <v>-1659</v>
      </c>
      <c r="K3830" t="s">
        <v>17</v>
      </c>
    </row>
    <row r="3831" spans="1:11" ht="15" customHeight="1" x14ac:dyDescent="0.3">
      <c r="A3831" t="s">
        <v>18</v>
      </c>
      <c r="B3831" t="s">
        <v>43</v>
      </c>
      <c r="C3831" t="s">
        <v>12</v>
      </c>
      <c r="D3831" t="s">
        <v>28</v>
      </c>
      <c r="E3831">
        <v>1</v>
      </c>
      <c r="F3831" t="s">
        <v>38</v>
      </c>
      <c r="G3831" t="s">
        <v>15</v>
      </c>
      <c r="H3831" t="s">
        <v>16</v>
      </c>
      <c r="I3831">
        <v>0</v>
      </c>
      <c r="J3831" s="23">
        <v>-12</v>
      </c>
      <c r="K3831" t="s">
        <v>17</v>
      </c>
    </row>
    <row r="3832" spans="1:11" ht="15" customHeight="1" x14ac:dyDescent="0.3">
      <c r="A3832" t="s">
        <v>22</v>
      </c>
      <c r="B3832" t="s">
        <v>11</v>
      </c>
      <c r="C3832" t="s">
        <v>24</v>
      </c>
      <c r="D3832" t="s">
        <v>28</v>
      </c>
      <c r="E3832">
        <v>6</v>
      </c>
      <c r="F3832" t="s">
        <v>26</v>
      </c>
      <c r="G3832" t="s">
        <v>15</v>
      </c>
      <c r="H3832" t="s">
        <v>16</v>
      </c>
      <c r="I3832">
        <v>0</v>
      </c>
      <c r="J3832" s="23">
        <v>171477</v>
      </c>
      <c r="K3832">
        <v>1028862</v>
      </c>
    </row>
    <row r="3833" spans="1:11" ht="15" customHeight="1" x14ac:dyDescent="0.3">
      <c r="A3833" t="s">
        <v>18</v>
      </c>
      <c r="B3833" t="s">
        <v>11</v>
      </c>
      <c r="C3833" t="s">
        <v>12</v>
      </c>
      <c r="D3833" t="s">
        <v>25</v>
      </c>
      <c r="E3833">
        <v>5</v>
      </c>
      <c r="F3833" t="s">
        <v>34</v>
      </c>
      <c r="G3833" t="s">
        <v>15</v>
      </c>
      <c r="H3833" t="s">
        <v>16</v>
      </c>
      <c r="I3833">
        <v>0</v>
      </c>
      <c r="J3833" s="23">
        <v>-22615</v>
      </c>
      <c r="K3833" t="s">
        <v>17</v>
      </c>
    </row>
    <row r="3834" spans="1:11" ht="15" customHeight="1" x14ac:dyDescent="0.3">
      <c r="A3834" t="s">
        <v>10</v>
      </c>
      <c r="B3834" t="s">
        <v>19</v>
      </c>
      <c r="C3834" t="s">
        <v>24</v>
      </c>
      <c r="D3834" t="s">
        <v>28</v>
      </c>
      <c r="E3834">
        <v>11</v>
      </c>
      <c r="F3834"/>
      <c r="G3834" t="s">
        <v>15</v>
      </c>
      <c r="H3834" t="s">
        <v>16</v>
      </c>
      <c r="I3834">
        <v>0</v>
      </c>
      <c r="J3834" s="23">
        <v>748608</v>
      </c>
      <c r="K3834">
        <v>8234688</v>
      </c>
    </row>
    <row r="3835" spans="1:11" ht="15" customHeight="1" x14ac:dyDescent="0.3">
      <c r="A3835" t="s">
        <v>18</v>
      </c>
      <c r="B3835" t="s">
        <v>11</v>
      </c>
      <c r="C3835" t="s">
        <v>24</v>
      </c>
      <c r="D3835" t="s">
        <v>13</v>
      </c>
      <c r="E3835">
        <v>5</v>
      </c>
      <c r="F3835" t="s">
        <v>29</v>
      </c>
      <c r="G3835" t="s">
        <v>15</v>
      </c>
      <c r="H3835" t="s">
        <v>16</v>
      </c>
      <c r="I3835">
        <v>0</v>
      </c>
      <c r="J3835" s="23">
        <v>31400303</v>
      </c>
      <c r="K3835">
        <v>157001515</v>
      </c>
    </row>
    <row r="3836" spans="1:11" ht="15" customHeight="1" x14ac:dyDescent="0.3">
      <c r="A3836" t="s">
        <v>10</v>
      </c>
      <c r="B3836" t="s">
        <v>11</v>
      </c>
      <c r="C3836" t="s">
        <v>12</v>
      </c>
      <c r="D3836" t="s">
        <v>13</v>
      </c>
      <c r="E3836">
        <v>2</v>
      </c>
      <c r="F3836" t="s">
        <v>34</v>
      </c>
      <c r="G3836" t="s">
        <v>15</v>
      </c>
      <c r="H3836" t="s">
        <v>16</v>
      </c>
      <c r="I3836">
        <v>0</v>
      </c>
      <c r="J3836" s="23">
        <v>-1295530</v>
      </c>
      <c r="K3836" t="s">
        <v>17</v>
      </c>
    </row>
    <row r="3837" spans="1:11" ht="15" customHeight="1" x14ac:dyDescent="0.3">
      <c r="A3837" t="s">
        <v>10</v>
      </c>
      <c r="B3837" t="s">
        <v>11</v>
      </c>
      <c r="C3837" t="s">
        <v>12</v>
      </c>
      <c r="D3837" t="s">
        <v>13</v>
      </c>
      <c r="E3837">
        <v>7</v>
      </c>
      <c r="F3837" t="s">
        <v>42</v>
      </c>
      <c r="G3837" t="s">
        <v>15</v>
      </c>
      <c r="H3837" t="s">
        <v>16</v>
      </c>
      <c r="I3837">
        <v>0</v>
      </c>
      <c r="J3837" s="23">
        <v>-91198</v>
      </c>
      <c r="K3837" t="s">
        <v>17</v>
      </c>
    </row>
    <row r="3838" spans="1:11" ht="15" customHeight="1" x14ac:dyDescent="0.3">
      <c r="A3838" t="s">
        <v>18</v>
      </c>
      <c r="B3838" t="s">
        <v>11</v>
      </c>
      <c r="C3838" t="s">
        <v>12</v>
      </c>
      <c r="D3838" t="s">
        <v>28</v>
      </c>
      <c r="E3838">
        <v>-4</v>
      </c>
      <c r="F3838" t="s">
        <v>35</v>
      </c>
      <c r="G3838" t="s">
        <v>15</v>
      </c>
      <c r="H3838" t="s">
        <v>16</v>
      </c>
      <c r="I3838">
        <v>0</v>
      </c>
      <c r="J3838" s="23">
        <v>-160</v>
      </c>
      <c r="K3838" t="s">
        <v>17</v>
      </c>
    </row>
    <row r="3839" spans="1:11" ht="15" customHeight="1" x14ac:dyDescent="0.3">
      <c r="A3839" t="s">
        <v>18</v>
      </c>
      <c r="B3839" t="s">
        <v>11</v>
      </c>
      <c r="C3839" t="s">
        <v>24</v>
      </c>
      <c r="D3839" t="s">
        <v>25</v>
      </c>
      <c r="E3839">
        <v>-4</v>
      </c>
      <c r="F3839" t="s">
        <v>40</v>
      </c>
      <c r="G3839" t="s">
        <v>15</v>
      </c>
      <c r="H3839" t="s">
        <v>16</v>
      </c>
      <c r="I3839">
        <v>0</v>
      </c>
      <c r="J3839" s="23">
        <v>397</v>
      </c>
      <c r="K3839" t="s">
        <v>17</v>
      </c>
    </row>
    <row r="3840" spans="1:11" ht="15" customHeight="1" x14ac:dyDescent="0.3">
      <c r="A3840" t="s">
        <v>18</v>
      </c>
      <c r="B3840" t="s">
        <v>11</v>
      </c>
      <c r="C3840" t="s">
        <v>24</v>
      </c>
      <c r="D3840" t="s">
        <v>28</v>
      </c>
      <c r="E3840">
        <v>15</v>
      </c>
      <c r="F3840" t="s">
        <v>29</v>
      </c>
      <c r="G3840" t="s">
        <v>15</v>
      </c>
      <c r="H3840" t="s">
        <v>32</v>
      </c>
      <c r="I3840">
        <v>1</v>
      </c>
      <c r="J3840" s="23">
        <v>4171112</v>
      </c>
      <c r="K3840">
        <v>62566680</v>
      </c>
    </row>
    <row r="3841" spans="1:11" ht="15" customHeight="1" x14ac:dyDescent="0.3">
      <c r="A3841" t="s">
        <v>18</v>
      </c>
      <c r="B3841" t="s">
        <v>19</v>
      </c>
      <c r="C3841" t="s">
        <v>12</v>
      </c>
      <c r="D3841" t="s">
        <v>28</v>
      </c>
      <c r="E3841">
        <v>4</v>
      </c>
      <c r="F3841"/>
      <c r="G3841" t="s">
        <v>31</v>
      </c>
      <c r="H3841" t="s">
        <v>16</v>
      </c>
      <c r="I3841">
        <v>1</v>
      </c>
      <c r="J3841" s="23">
        <v>-134</v>
      </c>
      <c r="K3841" t="s">
        <v>17</v>
      </c>
    </row>
    <row r="3842" spans="1:11" ht="15" customHeight="1" x14ac:dyDescent="0.3">
      <c r="A3842" t="s">
        <v>18</v>
      </c>
      <c r="B3842" t="s">
        <v>11</v>
      </c>
      <c r="C3842" t="s">
        <v>24</v>
      </c>
      <c r="D3842" t="s">
        <v>25</v>
      </c>
      <c r="E3842">
        <v>1</v>
      </c>
      <c r="F3842" t="s">
        <v>38</v>
      </c>
      <c r="G3842" t="s">
        <v>15</v>
      </c>
      <c r="H3842" t="s">
        <v>16</v>
      </c>
      <c r="I3842">
        <v>0</v>
      </c>
      <c r="J3842" s="23">
        <v>47129</v>
      </c>
      <c r="K3842">
        <v>47129</v>
      </c>
    </row>
    <row r="3843" spans="1:11" ht="15" customHeight="1" x14ac:dyDescent="0.3">
      <c r="A3843" t="s">
        <v>22</v>
      </c>
      <c r="B3843" t="s">
        <v>19</v>
      </c>
      <c r="C3843" t="s">
        <v>12</v>
      </c>
      <c r="D3843" t="s">
        <v>20</v>
      </c>
      <c r="E3843">
        <v>37</v>
      </c>
      <c r="F3843"/>
      <c r="G3843" t="s">
        <v>31</v>
      </c>
      <c r="H3843" t="s">
        <v>16</v>
      </c>
      <c r="I3843">
        <v>1</v>
      </c>
      <c r="J3843" s="23">
        <v>-108020</v>
      </c>
      <c r="K3843" t="s">
        <v>17</v>
      </c>
    </row>
    <row r="3844" spans="1:11" ht="15" customHeight="1" x14ac:dyDescent="0.3">
      <c r="A3844" t="s">
        <v>10</v>
      </c>
      <c r="B3844" t="s">
        <v>11</v>
      </c>
      <c r="C3844" t="s">
        <v>12</v>
      </c>
      <c r="D3844" t="s">
        <v>25</v>
      </c>
      <c r="E3844">
        <v>4</v>
      </c>
      <c r="F3844" t="s">
        <v>23</v>
      </c>
      <c r="G3844" t="s">
        <v>15</v>
      </c>
      <c r="H3844" t="s">
        <v>16</v>
      </c>
      <c r="I3844">
        <v>0</v>
      </c>
      <c r="J3844" s="23">
        <v>-56211</v>
      </c>
      <c r="K3844" t="s">
        <v>17</v>
      </c>
    </row>
    <row r="3845" spans="1:11" ht="15" customHeight="1" x14ac:dyDescent="0.3">
      <c r="A3845" t="s">
        <v>10</v>
      </c>
      <c r="B3845" t="s">
        <v>19</v>
      </c>
      <c r="C3845" t="s">
        <v>24</v>
      </c>
      <c r="D3845" t="s">
        <v>20</v>
      </c>
      <c r="E3845">
        <v>5</v>
      </c>
      <c r="F3845"/>
      <c r="G3845" t="s">
        <v>31</v>
      </c>
      <c r="H3845" t="s">
        <v>16</v>
      </c>
      <c r="I3845">
        <v>1</v>
      </c>
      <c r="J3845" s="23">
        <v>126520</v>
      </c>
      <c r="K3845">
        <v>632600</v>
      </c>
    </row>
    <row r="3846" spans="1:11" ht="15" customHeight="1" x14ac:dyDescent="0.3">
      <c r="A3846" t="s">
        <v>22</v>
      </c>
      <c r="B3846" t="s">
        <v>11</v>
      </c>
      <c r="C3846" t="s">
        <v>12</v>
      </c>
      <c r="D3846" t="s">
        <v>25</v>
      </c>
      <c r="E3846">
        <v>1</v>
      </c>
      <c r="F3846" t="s">
        <v>30</v>
      </c>
      <c r="G3846" t="s">
        <v>15</v>
      </c>
      <c r="H3846" t="s">
        <v>16</v>
      </c>
      <c r="I3846">
        <v>0</v>
      </c>
      <c r="J3846" s="23">
        <v>-38837</v>
      </c>
      <c r="K3846" t="s">
        <v>17</v>
      </c>
    </row>
    <row r="3847" spans="1:11" ht="15" customHeight="1" x14ac:dyDescent="0.3">
      <c r="A3847" t="s">
        <v>18</v>
      </c>
      <c r="B3847" t="s">
        <v>11</v>
      </c>
      <c r="C3847" t="s">
        <v>24</v>
      </c>
      <c r="D3847" t="s">
        <v>28</v>
      </c>
      <c r="E3847">
        <v>8</v>
      </c>
      <c r="F3847" t="s">
        <v>34</v>
      </c>
      <c r="G3847" t="s">
        <v>15</v>
      </c>
      <c r="H3847" t="s">
        <v>16</v>
      </c>
      <c r="I3847">
        <v>0</v>
      </c>
      <c r="J3847" s="23">
        <v>20619268</v>
      </c>
      <c r="K3847">
        <v>164954144</v>
      </c>
    </row>
    <row r="3848" spans="1:11" ht="15" customHeight="1" x14ac:dyDescent="0.3">
      <c r="A3848" t="s">
        <v>10</v>
      </c>
      <c r="B3848" t="s">
        <v>11</v>
      </c>
      <c r="C3848" t="s">
        <v>24</v>
      </c>
      <c r="D3848" t="s">
        <v>13</v>
      </c>
      <c r="E3848">
        <v>1</v>
      </c>
      <c r="F3848" t="s">
        <v>30</v>
      </c>
      <c r="G3848" t="s">
        <v>15</v>
      </c>
      <c r="H3848" t="s">
        <v>16</v>
      </c>
      <c r="I3848">
        <v>0</v>
      </c>
      <c r="J3848" s="23">
        <v>2465866</v>
      </c>
      <c r="K3848">
        <v>2465866</v>
      </c>
    </row>
    <row r="3849" spans="1:11" ht="15" customHeight="1" x14ac:dyDescent="0.3">
      <c r="A3849" t="s">
        <v>18</v>
      </c>
      <c r="B3849" t="s">
        <v>11</v>
      </c>
      <c r="C3849" t="s">
        <v>24</v>
      </c>
      <c r="D3849" t="s">
        <v>28</v>
      </c>
      <c r="E3849">
        <v>1</v>
      </c>
      <c r="F3849" t="s">
        <v>29</v>
      </c>
      <c r="G3849" t="s">
        <v>15</v>
      </c>
      <c r="H3849" t="s">
        <v>16</v>
      </c>
      <c r="I3849">
        <v>0</v>
      </c>
      <c r="J3849" s="23">
        <v>663437</v>
      </c>
      <c r="K3849">
        <v>663437</v>
      </c>
    </row>
    <row r="3850" spans="1:11" ht="15" customHeight="1" x14ac:dyDescent="0.3">
      <c r="A3850" t="s">
        <v>10</v>
      </c>
      <c r="B3850" t="s">
        <v>11</v>
      </c>
      <c r="C3850" t="s">
        <v>24</v>
      </c>
      <c r="D3850" t="s">
        <v>25</v>
      </c>
      <c r="E3850">
        <v>7</v>
      </c>
      <c r="F3850" t="s">
        <v>29</v>
      </c>
      <c r="G3850" t="s">
        <v>15</v>
      </c>
      <c r="H3850" t="s">
        <v>16</v>
      </c>
      <c r="I3850">
        <v>0</v>
      </c>
      <c r="J3850" s="23">
        <v>187310</v>
      </c>
      <c r="K3850">
        <v>1311170</v>
      </c>
    </row>
    <row r="3851" spans="1:11" ht="15" customHeight="1" x14ac:dyDescent="0.3">
      <c r="A3851" t="s">
        <v>10</v>
      </c>
      <c r="B3851" t="s">
        <v>11</v>
      </c>
      <c r="C3851" t="s">
        <v>12</v>
      </c>
      <c r="D3851" t="s">
        <v>13</v>
      </c>
      <c r="E3851">
        <v>1</v>
      </c>
      <c r="F3851" t="s">
        <v>45</v>
      </c>
      <c r="G3851" t="s">
        <v>15</v>
      </c>
      <c r="H3851" t="s">
        <v>16</v>
      </c>
      <c r="I3851">
        <v>0</v>
      </c>
      <c r="J3851" s="23">
        <v>-768</v>
      </c>
      <c r="K3851" t="s">
        <v>17</v>
      </c>
    </row>
    <row r="3852" spans="1:11" ht="15" customHeight="1" x14ac:dyDescent="0.3">
      <c r="A3852" t="s">
        <v>18</v>
      </c>
      <c r="B3852" t="s">
        <v>19</v>
      </c>
      <c r="C3852" t="s">
        <v>24</v>
      </c>
      <c r="D3852" t="s">
        <v>20</v>
      </c>
      <c r="E3852">
        <v>2</v>
      </c>
      <c r="F3852"/>
      <c r="G3852" t="s">
        <v>15</v>
      </c>
      <c r="H3852" t="s">
        <v>32</v>
      </c>
      <c r="I3852">
        <v>1</v>
      </c>
      <c r="J3852" s="23">
        <v>150384</v>
      </c>
      <c r="K3852">
        <v>300768</v>
      </c>
    </row>
    <row r="3853" spans="1:11" ht="15" customHeight="1" x14ac:dyDescent="0.3">
      <c r="A3853" t="s">
        <v>18</v>
      </c>
      <c r="B3853" t="s">
        <v>11</v>
      </c>
      <c r="C3853" t="s">
        <v>24</v>
      </c>
      <c r="D3853" t="s">
        <v>25</v>
      </c>
      <c r="E3853">
        <v>-4</v>
      </c>
      <c r="F3853" t="s">
        <v>21</v>
      </c>
      <c r="G3853" t="s">
        <v>15</v>
      </c>
      <c r="H3853" t="s">
        <v>16</v>
      </c>
      <c r="I3853">
        <v>0</v>
      </c>
      <c r="J3853" s="23">
        <v>210</v>
      </c>
      <c r="K3853" t="s">
        <v>17</v>
      </c>
    </row>
    <row r="3854" spans="1:11" ht="15" customHeight="1" x14ac:dyDescent="0.3">
      <c r="A3854" t="s">
        <v>10</v>
      </c>
      <c r="B3854" t="s">
        <v>11</v>
      </c>
      <c r="C3854" t="s">
        <v>12</v>
      </c>
      <c r="D3854" t="s">
        <v>13</v>
      </c>
      <c r="E3854">
        <v>4</v>
      </c>
      <c r="F3854" t="s">
        <v>21</v>
      </c>
      <c r="G3854" t="s">
        <v>15</v>
      </c>
      <c r="H3854" t="s">
        <v>16</v>
      </c>
      <c r="I3854">
        <v>0</v>
      </c>
      <c r="J3854" s="23">
        <v>-308365</v>
      </c>
      <c r="K3854" t="s">
        <v>17</v>
      </c>
    </row>
    <row r="3855" spans="1:11" ht="15" customHeight="1" x14ac:dyDescent="0.3">
      <c r="A3855" t="s">
        <v>10</v>
      </c>
      <c r="B3855" t="s">
        <v>19</v>
      </c>
      <c r="C3855" t="s">
        <v>12</v>
      </c>
      <c r="D3855" t="s">
        <v>20</v>
      </c>
      <c r="E3855">
        <v>9</v>
      </c>
      <c r="F3855"/>
      <c r="G3855" t="s">
        <v>15</v>
      </c>
      <c r="H3855" t="s">
        <v>16</v>
      </c>
      <c r="I3855">
        <v>0</v>
      </c>
      <c r="J3855" s="23">
        <v>-351681</v>
      </c>
      <c r="K3855" t="s">
        <v>17</v>
      </c>
    </row>
    <row r="3856" spans="1:11" ht="15" customHeight="1" x14ac:dyDescent="0.3">
      <c r="A3856" t="s">
        <v>22</v>
      </c>
      <c r="B3856" t="s">
        <v>11</v>
      </c>
      <c r="C3856" t="s">
        <v>12</v>
      </c>
      <c r="D3856" t="s">
        <v>28</v>
      </c>
      <c r="E3856">
        <v>6</v>
      </c>
      <c r="F3856" t="s">
        <v>33</v>
      </c>
      <c r="G3856" t="s">
        <v>15</v>
      </c>
      <c r="H3856" t="s">
        <v>16</v>
      </c>
      <c r="I3856">
        <v>0</v>
      </c>
      <c r="J3856" s="23">
        <v>-17102</v>
      </c>
      <c r="K3856" t="s">
        <v>17</v>
      </c>
    </row>
    <row r="3857" spans="1:11" ht="15" customHeight="1" x14ac:dyDescent="0.3">
      <c r="A3857" t="s">
        <v>18</v>
      </c>
      <c r="B3857" t="s">
        <v>19</v>
      </c>
      <c r="C3857" t="s">
        <v>12</v>
      </c>
      <c r="D3857" t="s">
        <v>20</v>
      </c>
      <c r="E3857">
        <v>13</v>
      </c>
      <c r="F3857"/>
      <c r="G3857" t="s">
        <v>15</v>
      </c>
      <c r="H3857" t="s">
        <v>16</v>
      </c>
      <c r="I3857">
        <v>0</v>
      </c>
      <c r="J3857" s="23">
        <v>-77223</v>
      </c>
      <c r="K3857" t="s">
        <v>17</v>
      </c>
    </row>
    <row r="3858" spans="1:11" ht="15" customHeight="1" x14ac:dyDescent="0.3">
      <c r="A3858" t="s">
        <v>22</v>
      </c>
      <c r="B3858" t="s">
        <v>19</v>
      </c>
      <c r="C3858" t="s">
        <v>24</v>
      </c>
      <c r="D3858" t="s">
        <v>20</v>
      </c>
      <c r="E3858">
        <v>31</v>
      </c>
      <c r="F3858"/>
      <c r="G3858" t="s">
        <v>31</v>
      </c>
      <c r="H3858" t="s">
        <v>16</v>
      </c>
      <c r="I3858">
        <v>1</v>
      </c>
      <c r="J3858" s="23">
        <v>69769</v>
      </c>
      <c r="K3858">
        <v>2162839</v>
      </c>
    </row>
    <row r="3859" spans="1:11" ht="15" customHeight="1" x14ac:dyDescent="0.3">
      <c r="A3859" t="s">
        <v>18</v>
      </c>
      <c r="B3859" t="s">
        <v>19</v>
      </c>
      <c r="C3859" t="s">
        <v>12</v>
      </c>
      <c r="D3859" t="s">
        <v>20</v>
      </c>
      <c r="E3859">
        <v>11</v>
      </c>
      <c r="F3859"/>
      <c r="G3859" t="s">
        <v>15</v>
      </c>
      <c r="H3859" t="s">
        <v>32</v>
      </c>
      <c r="I3859">
        <v>1</v>
      </c>
      <c r="J3859" s="23">
        <v>-659</v>
      </c>
      <c r="K3859" t="s">
        <v>17</v>
      </c>
    </row>
    <row r="3860" spans="1:11" ht="15" customHeight="1" x14ac:dyDescent="0.3">
      <c r="A3860" t="s">
        <v>18</v>
      </c>
      <c r="B3860" t="s">
        <v>11</v>
      </c>
      <c r="C3860" t="s">
        <v>24</v>
      </c>
      <c r="D3860" t="s">
        <v>28</v>
      </c>
      <c r="E3860">
        <v>3</v>
      </c>
      <c r="F3860" t="s">
        <v>34</v>
      </c>
      <c r="G3860" t="s">
        <v>31</v>
      </c>
      <c r="H3860" t="s">
        <v>16</v>
      </c>
      <c r="I3860">
        <v>1</v>
      </c>
      <c r="J3860" s="23">
        <v>15333</v>
      </c>
      <c r="K3860">
        <v>45999</v>
      </c>
    </row>
    <row r="3861" spans="1:11" ht="15" customHeight="1" x14ac:dyDescent="0.3">
      <c r="A3861" t="s">
        <v>10</v>
      </c>
      <c r="B3861" t="s">
        <v>11</v>
      </c>
      <c r="C3861" t="s">
        <v>12</v>
      </c>
      <c r="D3861" t="s">
        <v>25</v>
      </c>
      <c r="E3861">
        <v>3</v>
      </c>
      <c r="F3861" t="s">
        <v>34</v>
      </c>
      <c r="G3861" t="s">
        <v>15</v>
      </c>
      <c r="H3861" t="s">
        <v>16</v>
      </c>
      <c r="I3861">
        <v>0</v>
      </c>
      <c r="J3861" s="23">
        <v>-102139</v>
      </c>
      <c r="K3861" t="s">
        <v>17</v>
      </c>
    </row>
    <row r="3862" spans="1:11" ht="15" customHeight="1" x14ac:dyDescent="0.3">
      <c r="A3862" t="s">
        <v>18</v>
      </c>
      <c r="B3862" t="s">
        <v>11</v>
      </c>
      <c r="C3862" t="s">
        <v>12</v>
      </c>
      <c r="D3862" t="s">
        <v>28</v>
      </c>
      <c r="E3862">
        <v>4</v>
      </c>
      <c r="F3862" t="s">
        <v>40</v>
      </c>
      <c r="G3862" t="s">
        <v>15</v>
      </c>
      <c r="H3862" t="s">
        <v>16</v>
      </c>
      <c r="I3862">
        <v>0</v>
      </c>
      <c r="J3862" s="23">
        <v>-12401</v>
      </c>
      <c r="K3862" t="s">
        <v>17</v>
      </c>
    </row>
    <row r="3863" spans="1:11" ht="15" customHeight="1" x14ac:dyDescent="0.3">
      <c r="A3863" t="s">
        <v>18</v>
      </c>
      <c r="B3863" t="s">
        <v>44</v>
      </c>
      <c r="C3863" t="s">
        <v>12</v>
      </c>
      <c r="D3863" t="s">
        <v>28</v>
      </c>
      <c r="E3863">
        <v>7</v>
      </c>
      <c r="F3863" t="s">
        <v>29</v>
      </c>
      <c r="G3863" t="s">
        <v>15</v>
      </c>
      <c r="H3863" t="s">
        <v>16</v>
      </c>
      <c r="I3863">
        <v>0</v>
      </c>
      <c r="J3863" s="23">
        <v>-1576</v>
      </c>
      <c r="K3863" t="s">
        <v>17</v>
      </c>
    </row>
    <row r="3864" spans="1:11" ht="15" customHeight="1" x14ac:dyDescent="0.3">
      <c r="A3864" t="s">
        <v>18</v>
      </c>
      <c r="B3864" t="s">
        <v>11</v>
      </c>
      <c r="C3864" t="s">
        <v>12</v>
      </c>
      <c r="D3864" t="s">
        <v>25</v>
      </c>
      <c r="E3864">
        <v>5</v>
      </c>
      <c r="F3864" t="s">
        <v>23</v>
      </c>
      <c r="G3864" t="s">
        <v>15</v>
      </c>
      <c r="H3864" t="s">
        <v>16</v>
      </c>
      <c r="I3864">
        <v>0</v>
      </c>
      <c r="J3864" s="23">
        <v>-3096</v>
      </c>
      <c r="K3864" t="s">
        <v>17</v>
      </c>
    </row>
    <row r="3865" spans="1:11" ht="15" customHeight="1" x14ac:dyDescent="0.3">
      <c r="A3865" t="s">
        <v>18</v>
      </c>
      <c r="B3865" t="s">
        <v>19</v>
      </c>
      <c r="C3865" t="s">
        <v>12</v>
      </c>
      <c r="D3865" t="s">
        <v>20</v>
      </c>
      <c r="E3865">
        <v>0</v>
      </c>
      <c r="F3865"/>
      <c r="G3865" t="s">
        <v>31</v>
      </c>
      <c r="H3865" t="s">
        <v>16</v>
      </c>
      <c r="I3865">
        <v>1</v>
      </c>
      <c r="J3865" s="23">
        <v>-4</v>
      </c>
      <c r="K3865" t="s">
        <v>17</v>
      </c>
    </row>
    <row r="3866" spans="1:11" ht="15" customHeight="1" x14ac:dyDescent="0.3">
      <c r="A3866" t="s">
        <v>10</v>
      </c>
      <c r="B3866" t="s">
        <v>11</v>
      </c>
      <c r="C3866" t="s">
        <v>24</v>
      </c>
      <c r="D3866" t="s">
        <v>13</v>
      </c>
      <c r="E3866">
        <v>1</v>
      </c>
      <c r="F3866" t="s">
        <v>27</v>
      </c>
      <c r="G3866" t="s">
        <v>15</v>
      </c>
      <c r="H3866" t="s">
        <v>16</v>
      </c>
      <c r="I3866">
        <v>0</v>
      </c>
      <c r="J3866" s="23">
        <v>298436</v>
      </c>
      <c r="K3866">
        <v>298436</v>
      </c>
    </row>
    <row r="3867" spans="1:11" ht="15" customHeight="1" x14ac:dyDescent="0.3">
      <c r="A3867" t="s">
        <v>22</v>
      </c>
      <c r="B3867" t="s">
        <v>11</v>
      </c>
      <c r="C3867" t="s">
        <v>12</v>
      </c>
      <c r="D3867" t="s">
        <v>28</v>
      </c>
      <c r="E3867">
        <v>1</v>
      </c>
      <c r="F3867" t="s">
        <v>14</v>
      </c>
      <c r="G3867" t="s">
        <v>15</v>
      </c>
      <c r="H3867" t="s">
        <v>16</v>
      </c>
      <c r="I3867">
        <v>0</v>
      </c>
      <c r="J3867" s="23">
        <v>-1062</v>
      </c>
      <c r="K3867" t="s">
        <v>17</v>
      </c>
    </row>
    <row r="3868" spans="1:11" ht="15" customHeight="1" x14ac:dyDescent="0.3">
      <c r="A3868" t="s">
        <v>10</v>
      </c>
      <c r="B3868" t="s">
        <v>11</v>
      </c>
      <c r="C3868" t="s">
        <v>24</v>
      </c>
      <c r="D3868" t="s">
        <v>28</v>
      </c>
      <c r="E3868">
        <v>4</v>
      </c>
      <c r="F3868" t="s">
        <v>29</v>
      </c>
      <c r="G3868" t="s">
        <v>15</v>
      </c>
      <c r="H3868" t="s">
        <v>16</v>
      </c>
      <c r="I3868">
        <v>0</v>
      </c>
      <c r="J3868" s="23">
        <v>1535250</v>
      </c>
      <c r="K3868">
        <v>6141000</v>
      </c>
    </row>
    <row r="3869" spans="1:11" ht="15" customHeight="1" x14ac:dyDescent="0.3">
      <c r="A3869" t="s">
        <v>18</v>
      </c>
      <c r="B3869" t="s">
        <v>11</v>
      </c>
      <c r="C3869" t="s">
        <v>24</v>
      </c>
      <c r="D3869" t="s">
        <v>25</v>
      </c>
      <c r="E3869">
        <v>5</v>
      </c>
      <c r="F3869" t="s">
        <v>38</v>
      </c>
      <c r="G3869" t="s">
        <v>15</v>
      </c>
      <c r="H3869" t="s">
        <v>16</v>
      </c>
      <c r="I3869">
        <v>0</v>
      </c>
      <c r="J3869" s="23">
        <v>83635</v>
      </c>
      <c r="K3869">
        <v>418175</v>
      </c>
    </row>
    <row r="3870" spans="1:11" ht="15" customHeight="1" x14ac:dyDescent="0.3">
      <c r="A3870" t="s">
        <v>22</v>
      </c>
      <c r="B3870" t="s">
        <v>11</v>
      </c>
      <c r="C3870" t="s">
        <v>24</v>
      </c>
      <c r="D3870" t="s">
        <v>13</v>
      </c>
      <c r="E3870">
        <v>3</v>
      </c>
      <c r="F3870" t="s">
        <v>23</v>
      </c>
      <c r="G3870" t="s">
        <v>15</v>
      </c>
      <c r="H3870" t="s">
        <v>16</v>
      </c>
      <c r="I3870">
        <v>0</v>
      </c>
      <c r="J3870" s="23">
        <v>1109683</v>
      </c>
      <c r="K3870">
        <v>3329049</v>
      </c>
    </row>
    <row r="3871" spans="1:11" ht="15" customHeight="1" x14ac:dyDescent="0.3">
      <c r="A3871" t="s">
        <v>18</v>
      </c>
      <c r="B3871" t="s">
        <v>11</v>
      </c>
      <c r="C3871" t="s">
        <v>12</v>
      </c>
      <c r="D3871" t="s">
        <v>28</v>
      </c>
      <c r="E3871">
        <v>1</v>
      </c>
      <c r="F3871" t="s">
        <v>21</v>
      </c>
      <c r="G3871" t="s">
        <v>15</v>
      </c>
      <c r="H3871" t="s">
        <v>32</v>
      </c>
      <c r="I3871">
        <v>1</v>
      </c>
      <c r="J3871" s="23">
        <v>-47</v>
      </c>
      <c r="K3871" t="s">
        <v>17</v>
      </c>
    </row>
    <row r="3872" spans="1:11" ht="15" customHeight="1" x14ac:dyDescent="0.3">
      <c r="A3872" t="s">
        <v>10</v>
      </c>
      <c r="B3872" t="s">
        <v>11</v>
      </c>
      <c r="C3872" t="s">
        <v>12</v>
      </c>
      <c r="D3872" t="s">
        <v>13</v>
      </c>
      <c r="E3872">
        <v>-1</v>
      </c>
      <c r="F3872" t="s">
        <v>14</v>
      </c>
      <c r="G3872" t="s">
        <v>15</v>
      </c>
      <c r="H3872" t="s">
        <v>16</v>
      </c>
      <c r="I3872">
        <v>0</v>
      </c>
      <c r="J3872" s="23">
        <v>-227689</v>
      </c>
      <c r="K3872" t="s">
        <v>17</v>
      </c>
    </row>
    <row r="3873" spans="1:11" ht="15" customHeight="1" x14ac:dyDescent="0.3">
      <c r="A3873" t="s">
        <v>10</v>
      </c>
      <c r="B3873" t="s">
        <v>11</v>
      </c>
      <c r="C3873" t="s">
        <v>24</v>
      </c>
      <c r="D3873" t="s">
        <v>25</v>
      </c>
      <c r="E3873">
        <v>2</v>
      </c>
      <c r="F3873" t="s">
        <v>21</v>
      </c>
      <c r="G3873" t="s">
        <v>15</v>
      </c>
      <c r="H3873" t="s">
        <v>16</v>
      </c>
      <c r="I3873">
        <v>0</v>
      </c>
      <c r="J3873" s="23">
        <v>1112790</v>
      </c>
      <c r="K3873">
        <v>2225580</v>
      </c>
    </row>
    <row r="3874" spans="1:11" ht="15" customHeight="1" x14ac:dyDescent="0.3">
      <c r="A3874" t="s">
        <v>18</v>
      </c>
      <c r="B3874" t="s">
        <v>19</v>
      </c>
      <c r="C3874" t="s">
        <v>24</v>
      </c>
      <c r="D3874" t="s">
        <v>20</v>
      </c>
      <c r="E3874">
        <v>4</v>
      </c>
      <c r="F3874"/>
      <c r="G3874" t="s">
        <v>31</v>
      </c>
      <c r="H3874" t="s">
        <v>16</v>
      </c>
      <c r="I3874">
        <v>1</v>
      </c>
      <c r="J3874" s="23">
        <v>862253</v>
      </c>
      <c r="K3874">
        <v>3449012</v>
      </c>
    </row>
    <row r="3875" spans="1:11" ht="15" customHeight="1" x14ac:dyDescent="0.3">
      <c r="A3875" t="s">
        <v>18</v>
      </c>
      <c r="B3875" t="s">
        <v>11</v>
      </c>
      <c r="C3875" t="s">
        <v>24</v>
      </c>
      <c r="D3875" t="s">
        <v>25</v>
      </c>
      <c r="E3875">
        <v>6</v>
      </c>
      <c r="F3875" t="s">
        <v>29</v>
      </c>
      <c r="G3875" t="s">
        <v>15</v>
      </c>
      <c r="H3875" t="s">
        <v>16</v>
      </c>
      <c r="I3875">
        <v>0</v>
      </c>
      <c r="J3875" s="23">
        <v>1378546</v>
      </c>
      <c r="K3875">
        <v>8271276</v>
      </c>
    </row>
    <row r="3876" spans="1:11" ht="15" customHeight="1" x14ac:dyDescent="0.3">
      <c r="A3876" t="s">
        <v>18</v>
      </c>
      <c r="B3876" t="s">
        <v>11</v>
      </c>
      <c r="C3876" t="s">
        <v>24</v>
      </c>
      <c r="D3876" t="s">
        <v>13</v>
      </c>
      <c r="E3876">
        <v>3</v>
      </c>
      <c r="F3876" t="s">
        <v>29</v>
      </c>
      <c r="G3876" t="s">
        <v>15</v>
      </c>
      <c r="H3876" t="s">
        <v>16</v>
      </c>
      <c r="I3876">
        <v>0</v>
      </c>
      <c r="J3876" s="23">
        <v>88606573</v>
      </c>
      <c r="K3876">
        <v>265819719</v>
      </c>
    </row>
    <row r="3877" spans="1:11" ht="15" customHeight="1" x14ac:dyDescent="0.3">
      <c r="A3877" t="s">
        <v>10</v>
      </c>
      <c r="B3877" t="s">
        <v>19</v>
      </c>
      <c r="C3877" t="s">
        <v>12</v>
      </c>
      <c r="D3877" t="s">
        <v>20</v>
      </c>
      <c r="E3877">
        <v>3</v>
      </c>
      <c r="F3877"/>
      <c r="G3877" t="s">
        <v>15</v>
      </c>
      <c r="H3877" t="s">
        <v>32</v>
      </c>
      <c r="I3877">
        <v>1</v>
      </c>
      <c r="J3877" s="23">
        <v>-5580</v>
      </c>
      <c r="K3877" t="s">
        <v>17</v>
      </c>
    </row>
    <row r="3878" spans="1:11" ht="15" customHeight="1" x14ac:dyDescent="0.3">
      <c r="A3878" t="s">
        <v>22</v>
      </c>
      <c r="B3878" t="s">
        <v>11</v>
      </c>
      <c r="C3878" t="s">
        <v>24</v>
      </c>
      <c r="D3878" t="s">
        <v>25</v>
      </c>
      <c r="E3878">
        <v>3</v>
      </c>
      <c r="F3878" t="s">
        <v>34</v>
      </c>
      <c r="G3878" t="s">
        <v>15</v>
      </c>
      <c r="H3878" t="s">
        <v>16</v>
      </c>
      <c r="I3878">
        <v>0</v>
      </c>
      <c r="J3878" s="23">
        <v>164306</v>
      </c>
      <c r="K3878">
        <v>492918</v>
      </c>
    </row>
    <row r="3879" spans="1:11" ht="15" customHeight="1" x14ac:dyDescent="0.3">
      <c r="A3879" t="s">
        <v>10</v>
      </c>
      <c r="B3879" t="s">
        <v>11</v>
      </c>
      <c r="C3879" t="s">
        <v>12</v>
      </c>
      <c r="D3879" t="s">
        <v>25</v>
      </c>
      <c r="E3879">
        <v>5</v>
      </c>
      <c r="F3879" t="s">
        <v>38</v>
      </c>
      <c r="G3879" t="s">
        <v>15</v>
      </c>
      <c r="H3879" t="s">
        <v>16</v>
      </c>
      <c r="I3879">
        <v>0</v>
      </c>
      <c r="J3879" s="23">
        <v>-794</v>
      </c>
      <c r="K3879" t="s">
        <v>17</v>
      </c>
    </row>
    <row r="3880" spans="1:11" ht="15" customHeight="1" x14ac:dyDescent="0.3">
      <c r="A3880" t="s">
        <v>10</v>
      </c>
      <c r="B3880" t="s">
        <v>11</v>
      </c>
      <c r="C3880" t="s">
        <v>12</v>
      </c>
      <c r="D3880" t="s">
        <v>13</v>
      </c>
      <c r="E3880">
        <v>2</v>
      </c>
      <c r="F3880" t="s">
        <v>38</v>
      </c>
      <c r="G3880" t="s">
        <v>15</v>
      </c>
      <c r="H3880" t="s">
        <v>16</v>
      </c>
      <c r="I3880">
        <v>0</v>
      </c>
      <c r="J3880" s="23">
        <v>-1382</v>
      </c>
      <c r="K3880" t="s">
        <v>17</v>
      </c>
    </row>
    <row r="3881" spans="1:11" ht="15" customHeight="1" x14ac:dyDescent="0.3">
      <c r="A3881" t="s">
        <v>18</v>
      </c>
      <c r="B3881" t="s">
        <v>19</v>
      </c>
      <c r="C3881" t="s">
        <v>24</v>
      </c>
      <c r="D3881" t="s">
        <v>28</v>
      </c>
      <c r="E3881">
        <v>12</v>
      </c>
      <c r="F3881"/>
      <c r="G3881" t="s">
        <v>31</v>
      </c>
      <c r="H3881" t="s">
        <v>16</v>
      </c>
      <c r="I3881">
        <v>1</v>
      </c>
      <c r="J3881" s="23">
        <v>31303</v>
      </c>
      <c r="K3881">
        <v>375636</v>
      </c>
    </row>
    <row r="3882" spans="1:11" ht="15" customHeight="1" x14ac:dyDescent="0.3">
      <c r="A3882" t="s">
        <v>18</v>
      </c>
      <c r="B3882" t="s">
        <v>11</v>
      </c>
      <c r="C3882" t="s">
        <v>24</v>
      </c>
      <c r="D3882" t="s">
        <v>25</v>
      </c>
      <c r="E3882">
        <v>0</v>
      </c>
      <c r="F3882" t="s">
        <v>27</v>
      </c>
      <c r="G3882" t="s">
        <v>15</v>
      </c>
      <c r="H3882" t="s">
        <v>16</v>
      </c>
      <c r="I3882">
        <v>0</v>
      </c>
      <c r="J3882" s="23">
        <v>5246</v>
      </c>
      <c r="K3882" t="s">
        <v>17</v>
      </c>
    </row>
    <row r="3883" spans="1:11" ht="15" customHeight="1" x14ac:dyDescent="0.3">
      <c r="A3883" t="s">
        <v>22</v>
      </c>
      <c r="B3883" t="s">
        <v>11</v>
      </c>
      <c r="C3883" t="s">
        <v>24</v>
      </c>
      <c r="D3883" t="s">
        <v>28</v>
      </c>
      <c r="E3883">
        <v>-1</v>
      </c>
      <c r="F3883" t="s">
        <v>21</v>
      </c>
      <c r="G3883" t="s">
        <v>15</v>
      </c>
      <c r="H3883" t="s">
        <v>32</v>
      </c>
      <c r="I3883">
        <v>1</v>
      </c>
      <c r="J3883" s="23">
        <v>158</v>
      </c>
      <c r="K3883" t="s">
        <v>17</v>
      </c>
    </row>
    <row r="3884" spans="1:11" ht="15" customHeight="1" x14ac:dyDescent="0.3">
      <c r="A3884" t="s">
        <v>10</v>
      </c>
      <c r="B3884" t="s">
        <v>11</v>
      </c>
      <c r="C3884" t="s">
        <v>12</v>
      </c>
      <c r="D3884" t="s">
        <v>13</v>
      </c>
      <c r="E3884">
        <v>0</v>
      </c>
      <c r="F3884" t="s">
        <v>37</v>
      </c>
      <c r="G3884" t="s">
        <v>15</v>
      </c>
      <c r="H3884" t="s">
        <v>16</v>
      </c>
      <c r="I3884">
        <v>0</v>
      </c>
      <c r="J3884" s="23">
        <v>-18416</v>
      </c>
      <c r="K3884" t="s">
        <v>17</v>
      </c>
    </row>
    <row r="3885" spans="1:11" ht="15" customHeight="1" x14ac:dyDescent="0.3">
      <c r="A3885" t="s">
        <v>10</v>
      </c>
      <c r="B3885" t="s">
        <v>19</v>
      </c>
      <c r="C3885" t="s">
        <v>12</v>
      </c>
      <c r="D3885" t="s">
        <v>20</v>
      </c>
      <c r="E3885">
        <v>38</v>
      </c>
      <c r="F3885"/>
      <c r="G3885" t="s">
        <v>15</v>
      </c>
      <c r="H3885" t="s">
        <v>32</v>
      </c>
      <c r="I3885">
        <v>1</v>
      </c>
      <c r="J3885" s="23">
        <v>-1397</v>
      </c>
      <c r="K3885" t="s">
        <v>17</v>
      </c>
    </row>
    <row r="3886" spans="1:11" ht="15" customHeight="1" x14ac:dyDescent="0.3">
      <c r="A3886" t="s">
        <v>18</v>
      </c>
      <c r="B3886" t="s">
        <v>11</v>
      </c>
      <c r="C3886" t="s">
        <v>12</v>
      </c>
      <c r="D3886" t="s">
        <v>13</v>
      </c>
      <c r="E3886">
        <v>3</v>
      </c>
      <c r="F3886" t="s">
        <v>42</v>
      </c>
      <c r="G3886" t="s">
        <v>15</v>
      </c>
      <c r="H3886" t="s">
        <v>16</v>
      </c>
      <c r="I3886">
        <v>0</v>
      </c>
      <c r="J3886" s="23">
        <v>-9867</v>
      </c>
      <c r="K3886" t="s">
        <v>17</v>
      </c>
    </row>
    <row r="3887" spans="1:11" ht="15" customHeight="1" x14ac:dyDescent="0.3">
      <c r="A3887" t="s">
        <v>10</v>
      </c>
      <c r="B3887" t="s">
        <v>19</v>
      </c>
      <c r="C3887" t="s">
        <v>12</v>
      </c>
      <c r="D3887" t="s">
        <v>20</v>
      </c>
      <c r="E3887">
        <v>10</v>
      </c>
      <c r="F3887"/>
      <c r="G3887" t="s">
        <v>15</v>
      </c>
      <c r="H3887" t="s">
        <v>32</v>
      </c>
      <c r="I3887">
        <v>1</v>
      </c>
      <c r="J3887" s="23">
        <v>-1757</v>
      </c>
      <c r="K3887" t="s">
        <v>17</v>
      </c>
    </row>
    <row r="3888" spans="1:11" ht="15" customHeight="1" x14ac:dyDescent="0.3">
      <c r="A3888" t="s">
        <v>18</v>
      </c>
      <c r="B3888" t="s">
        <v>19</v>
      </c>
      <c r="C3888" t="s">
        <v>24</v>
      </c>
      <c r="D3888" t="s">
        <v>20</v>
      </c>
      <c r="E3888">
        <v>27</v>
      </c>
      <c r="F3888"/>
      <c r="G3888" t="s">
        <v>15</v>
      </c>
      <c r="H3888" t="s">
        <v>32</v>
      </c>
      <c r="I3888">
        <v>1</v>
      </c>
      <c r="J3888" s="23">
        <v>1346404</v>
      </c>
      <c r="K3888">
        <v>36352908</v>
      </c>
    </row>
    <row r="3889" spans="1:11" ht="15" customHeight="1" x14ac:dyDescent="0.3">
      <c r="A3889" t="s">
        <v>10</v>
      </c>
      <c r="B3889" t="s">
        <v>11</v>
      </c>
      <c r="C3889" t="s">
        <v>24</v>
      </c>
      <c r="D3889" t="s">
        <v>28</v>
      </c>
      <c r="E3889">
        <v>4</v>
      </c>
      <c r="F3889" t="s">
        <v>33</v>
      </c>
      <c r="G3889" t="s">
        <v>15</v>
      </c>
      <c r="H3889" t="s">
        <v>32</v>
      </c>
      <c r="I3889">
        <v>1</v>
      </c>
      <c r="J3889" s="23">
        <v>86229</v>
      </c>
      <c r="K3889">
        <v>344916</v>
      </c>
    </row>
    <row r="3890" spans="1:11" ht="15" customHeight="1" x14ac:dyDescent="0.3">
      <c r="A3890" t="s">
        <v>18</v>
      </c>
      <c r="B3890" t="s">
        <v>11</v>
      </c>
      <c r="C3890" t="s">
        <v>12</v>
      </c>
      <c r="D3890" t="s">
        <v>13</v>
      </c>
      <c r="E3890">
        <v>5</v>
      </c>
      <c r="F3890" t="s">
        <v>34</v>
      </c>
      <c r="G3890" t="s">
        <v>15</v>
      </c>
      <c r="H3890" t="s">
        <v>16</v>
      </c>
      <c r="I3890">
        <v>0</v>
      </c>
      <c r="J3890" s="23">
        <v>-96530</v>
      </c>
      <c r="K3890" t="s">
        <v>17</v>
      </c>
    </row>
    <row r="3891" spans="1:11" ht="15" customHeight="1" x14ac:dyDescent="0.3">
      <c r="A3891" t="s">
        <v>10</v>
      </c>
      <c r="B3891" t="s">
        <v>19</v>
      </c>
      <c r="C3891" t="s">
        <v>24</v>
      </c>
      <c r="D3891" t="s">
        <v>20</v>
      </c>
      <c r="E3891">
        <v>13</v>
      </c>
      <c r="F3891"/>
      <c r="G3891" t="s">
        <v>31</v>
      </c>
      <c r="H3891" t="s">
        <v>16</v>
      </c>
      <c r="I3891">
        <v>1</v>
      </c>
      <c r="J3891" s="23">
        <v>331055</v>
      </c>
      <c r="K3891">
        <v>4303715</v>
      </c>
    </row>
    <row r="3892" spans="1:11" ht="15" customHeight="1" x14ac:dyDescent="0.3">
      <c r="A3892" t="s">
        <v>10</v>
      </c>
      <c r="B3892" t="s">
        <v>19</v>
      </c>
      <c r="C3892" t="s">
        <v>12</v>
      </c>
      <c r="D3892" t="s">
        <v>20</v>
      </c>
      <c r="E3892">
        <v>11</v>
      </c>
      <c r="F3892"/>
      <c r="G3892" t="s">
        <v>15</v>
      </c>
      <c r="H3892" t="s">
        <v>32</v>
      </c>
      <c r="I3892">
        <v>1</v>
      </c>
      <c r="J3892" s="23">
        <v>-2569</v>
      </c>
      <c r="K3892" t="s">
        <v>17</v>
      </c>
    </row>
    <row r="3893" spans="1:11" ht="15" customHeight="1" x14ac:dyDescent="0.3">
      <c r="A3893" t="s">
        <v>10</v>
      </c>
      <c r="B3893" t="s">
        <v>19</v>
      </c>
      <c r="C3893" t="s">
        <v>24</v>
      </c>
      <c r="D3893" t="s">
        <v>20</v>
      </c>
      <c r="E3893">
        <v>26</v>
      </c>
      <c r="F3893"/>
      <c r="G3893" t="s">
        <v>15</v>
      </c>
      <c r="H3893" t="s">
        <v>32</v>
      </c>
      <c r="I3893">
        <v>1</v>
      </c>
      <c r="J3893" s="23">
        <v>23617</v>
      </c>
      <c r="K3893">
        <v>614042</v>
      </c>
    </row>
    <row r="3894" spans="1:11" ht="15" customHeight="1" x14ac:dyDescent="0.3">
      <c r="A3894" t="s">
        <v>22</v>
      </c>
      <c r="B3894" t="s">
        <v>11</v>
      </c>
      <c r="C3894" t="s">
        <v>12</v>
      </c>
      <c r="D3894" t="s">
        <v>28</v>
      </c>
      <c r="E3894">
        <v>4</v>
      </c>
      <c r="F3894" t="s">
        <v>29</v>
      </c>
      <c r="G3894" t="s">
        <v>15</v>
      </c>
      <c r="H3894" t="s">
        <v>32</v>
      </c>
      <c r="I3894">
        <v>1</v>
      </c>
      <c r="J3894" s="23">
        <v>-30442</v>
      </c>
      <c r="K3894" t="s">
        <v>17</v>
      </c>
    </row>
    <row r="3895" spans="1:11" ht="15" customHeight="1" x14ac:dyDescent="0.3">
      <c r="A3895" t="s">
        <v>22</v>
      </c>
      <c r="B3895" t="s">
        <v>19</v>
      </c>
      <c r="C3895" t="s">
        <v>24</v>
      </c>
      <c r="D3895" t="s">
        <v>20</v>
      </c>
      <c r="E3895">
        <v>17</v>
      </c>
      <c r="F3895"/>
      <c r="G3895" t="s">
        <v>31</v>
      </c>
      <c r="H3895" t="s">
        <v>16</v>
      </c>
      <c r="I3895">
        <v>1</v>
      </c>
      <c r="J3895" s="23">
        <v>32428</v>
      </c>
      <c r="K3895">
        <v>551276</v>
      </c>
    </row>
    <row r="3896" spans="1:11" ht="15" customHeight="1" x14ac:dyDescent="0.3">
      <c r="A3896" t="s">
        <v>22</v>
      </c>
      <c r="B3896" t="s">
        <v>11</v>
      </c>
      <c r="C3896" t="s">
        <v>24</v>
      </c>
      <c r="D3896" t="s">
        <v>13</v>
      </c>
      <c r="E3896">
        <v>2</v>
      </c>
      <c r="F3896" t="s">
        <v>29</v>
      </c>
      <c r="G3896" t="s">
        <v>15</v>
      </c>
      <c r="H3896" t="s">
        <v>16</v>
      </c>
      <c r="I3896">
        <v>0</v>
      </c>
      <c r="J3896" s="23">
        <v>7263524</v>
      </c>
      <c r="K3896">
        <v>14527048</v>
      </c>
    </row>
    <row r="3897" spans="1:11" ht="15" customHeight="1" x14ac:dyDescent="0.3">
      <c r="A3897" t="s">
        <v>10</v>
      </c>
      <c r="B3897" t="s">
        <v>11</v>
      </c>
      <c r="C3897" t="s">
        <v>12</v>
      </c>
      <c r="D3897" t="s">
        <v>28</v>
      </c>
      <c r="E3897">
        <v>1</v>
      </c>
      <c r="F3897" t="s">
        <v>40</v>
      </c>
      <c r="G3897" t="s">
        <v>15</v>
      </c>
      <c r="H3897" t="s">
        <v>16</v>
      </c>
      <c r="I3897">
        <v>0</v>
      </c>
      <c r="J3897" s="23">
        <v>-225</v>
      </c>
      <c r="K3897" t="s">
        <v>17</v>
      </c>
    </row>
    <row r="3898" spans="1:11" ht="15" customHeight="1" x14ac:dyDescent="0.3">
      <c r="A3898" t="s">
        <v>18</v>
      </c>
      <c r="B3898" t="s">
        <v>11</v>
      </c>
      <c r="C3898" t="s">
        <v>24</v>
      </c>
      <c r="D3898" t="s">
        <v>28</v>
      </c>
      <c r="E3898">
        <v>2</v>
      </c>
      <c r="F3898" t="s">
        <v>21</v>
      </c>
      <c r="G3898" t="s">
        <v>31</v>
      </c>
      <c r="H3898" t="s">
        <v>32</v>
      </c>
      <c r="I3898">
        <v>1</v>
      </c>
      <c r="J3898" s="23">
        <v>31860</v>
      </c>
      <c r="K3898">
        <v>63720</v>
      </c>
    </row>
    <row r="3899" spans="1:11" ht="15" customHeight="1" x14ac:dyDescent="0.3">
      <c r="A3899" t="s">
        <v>18</v>
      </c>
      <c r="B3899" t="s">
        <v>11</v>
      </c>
      <c r="C3899" t="s">
        <v>24</v>
      </c>
      <c r="D3899" t="s">
        <v>28</v>
      </c>
      <c r="E3899">
        <v>6</v>
      </c>
      <c r="F3899" t="s">
        <v>21</v>
      </c>
      <c r="G3899" t="s">
        <v>15</v>
      </c>
      <c r="H3899" t="s">
        <v>32</v>
      </c>
      <c r="I3899">
        <v>1</v>
      </c>
      <c r="J3899" s="23">
        <v>438435</v>
      </c>
      <c r="K3899">
        <v>2630610</v>
      </c>
    </row>
    <row r="3900" spans="1:11" ht="15" customHeight="1" x14ac:dyDescent="0.3">
      <c r="A3900" t="s">
        <v>18</v>
      </c>
      <c r="B3900" t="s">
        <v>11</v>
      </c>
      <c r="C3900" t="s">
        <v>24</v>
      </c>
      <c r="D3900" t="s">
        <v>13</v>
      </c>
      <c r="E3900">
        <v>0</v>
      </c>
      <c r="F3900" t="s">
        <v>48</v>
      </c>
      <c r="G3900" t="s">
        <v>15</v>
      </c>
      <c r="H3900" t="s">
        <v>16</v>
      </c>
      <c r="I3900">
        <v>0</v>
      </c>
      <c r="J3900" s="23">
        <v>29873</v>
      </c>
      <c r="K3900" t="s">
        <v>17</v>
      </c>
    </row>
    <row r="3901" spans="1:11" ht="15" customHeight="1" x14ac:dyDescent="0.3">
      <c r="A3901" t="s">
        <v>18</v>
      </c>
      <c r="B3901" t="s">
        <v>11</v>
      </c>
      <c r="C3901" t="s">
        <v>24</v>
      </c>
      <c r="D3901" t="s">
        <v>28</v>
      </c>
      <c r="E3901">
        <v>13</v>
      </c>
      <c r="F3901" t="s">
        <v>14</v>
      </c>
      <c r="G3901" t="s">
        <v>15</v>
      </c>
      <c r="H3901" t="s">
        <v>16</v>
      </c>
      <c r="I3901">
        <v>0</v>
      </c>
      <c r="J3901" s="23">
        <v>9229858</v>
      </c>
      <c r="K3901">
        <v>119988154</v>
      </c>
    </row>
    <row r="3902" spans="1:11" ht="15" customHeight="1" x14ac:dyDescent="0.3">
      <c r="A3902" t="s">
        <v>10</v>
      </c>
      <c r="B3902" t="s">
        <v>19</v>
      </c>
      <c r="C3902" t="s">
        <v>12</v>
      </c>
      <c r="D3902" t="s">
        <v>20</v>
      </c>
      <c r="E3902">
        <v>20</v>
      </c>
      <c r="F3902"/>
      <c r="G3902" t="s">
        <v>31</v>
      </c>
      <c r="H3902" t="s">
        <v>16</v>
      </c>
      <c r="I3902">
        <v>1</v>
      </c>
      <c r="J3902" s="23">
        <v>-34579</v>
      </c>
      <c r="K3902" t="s">
        <v>17</v>
      </c>
    </row>
    <row r="3903" spans="1:11" ht="15" customHeight="1" x14ac:dyDescent="0.3">
      <c r="A3903" t="s">
        <v>22</v>
      </c>
      <c r="B3903" t="s">
        <v>11</v>
      </c>
      <c r="C3903" t="s">
        <v>24</v>
      </c>
      <c r="D3903" t="s">
        <v>13</v>
      </c>
      <c r="E3903">
        <v>9</v>
      </c>
      <c r="F3903" t="s">
        <v>34</v>
      </c>
      <c r="G3903" t="s">
        <v>15</v>
      </c>
      <c r="H3903" t="s">
        <v>16</v>
      </c>
      <c r="I3903">
        <v>0</v>
      </c>
      <c r="J3903" s="23">
        <v>4715721</v>
      </c>
      <c r="K3903">
        <v>42441489</v>
      </c>
    </row>
    <row r="3904" spans="1:11" ht="15" customHeight="1" x14ac:dyDescent="0.3">
      <c r="A3904" t="s">
        <v>22</v>
      </c>
      <c r="B3904" t="s">
        <v>11</v>
      </c>
      <c r="C3904" t="s">
        <v>24</v>
      </c>
      <c r="D3904" t="s">
        <v>25</v>
      </c>
      <c r="E3904">
        <v>-4</v>
      </c>
      <c r="F3904" t="s">
        <v>14</v>
      </c>
      <c r="G3904" t="s">
        <v>15</v>
      </c>
      <c r="H3904" t="s">
        <v>16</v>
      </c>
      <c r="I3904">
        <v>0</v>
      </c>
      <c r="J3904" s="23">
        <v>9298</v>
      </c>
      <c r="K3904" t="s">
        <v>17</v>
      </c>
    </row>
    <row r="3905" spans="1:11" ht="15" customHeight="1" x14ac:dyDescent="0.3">
      <c r="A3905" t="s">
        <v>10</v>
      </c>
      <c r="B3905" t="s">
        <v>19</v>
      </c>
      <c r="C3905" t="s">
        <v>12</v>
      </c>
      <c r="D3905" t="s">
        <v>20</v>
      </c>
      <c r="E3905">
        <v>4</v>
      </c>
      <c r="F3905"/>
      <c r="G3905" t="s">
        <v>31</v>
      </c>
      <c r="H3905" t="s">
        <v>16</v>
      </c>
      <c r="I3905">
        <v>1</v>
      </c>
      <c r="J3905" s="23">
        <v>-1283</v>
      </c>
      <c r="K3905" t="s">
        <v>17</v>
      </c>
    </row>
    <row r="3906" spans="1:11" ht="15" customHeight="1" x14ac:dyDescent="0.3">
      <c r="A3906" t="s">
        <v>10</v>
      </c>
      <c r="B3906" t="s">
        <v>11</v>
      </c>
      <c r="C3906" t="s">
        <v>12</v>
      </c>
      <c r="D3906" t="s">
        <v>28</v>
      </c>
      <c r="E3906">
        <v>11</v>
      </c>
      <c r="F3906" t="s">
        <v>30</v>
      </c>
      <c r="G3906" t="s">
        <v>15</v>
      </c>
      <c r="H3906" t="s">
        <v>16</v>
      </c>
      <c r="I3906">
        <v>0</v>
      </c>
      <c r="J3906" s="23">
        <v>-203959</v>
      </c>
      <c r="K3906" t="s">
        <v>17</v>
      </c>
    </row>
    <row r="3907" spans="1:11" ht="15" customHeight="1" x14ac:dyDescent="0.3">
      <c r="A3907" t="s">
        <v>18</v>
      </c>
      <c r="B3907" t="s">
        <v>11</v>
      </c>
      <c r="C3907" t="s">
        <v>24</v>
      </c>
      <c r="D3907" t="s">
        <v>13</v>
      </c>
      <c r="E3907">
        <v>9</v>
      </c>
      <c r="F3907" t="s">
        <v>29</v>
      </c>
      <c r="G3907" t="s">
        <v>15</v>
      </c>
      <c r="H3907" t="s">
        <v>16</v>
      </c>
      <c r="I3907">
        <v>0</v>
      </c>
      <c r="J3907" s="23">
        <v>32051547</v>
      </c>
      <c r="K3907">
        <v>288463923</v>
      </c>
    </row>
    <row r="3908" spans="1:11" ht="15" customHeight="1" x14ac:dyDescent="0.3">
      <c r="A3908" t="s">
        <v>10</v>
      </c>
      <c r="B3908" t="s">
        <v>11</v>
      </c>
      <c r="C3908" t="s">
        <v>12</v>
      </c>
      <c r="D3908" t="s">
        <v>13</v>
      </c>
      <c r="E3908">
        <v>0</v>
      </c>
      <c r="F3908" t="s">
        <v>41</v>
      </c>
      <c r="G3908" t="s">
        <v>15</v>
      </c>
      <c r="H3908" t="s">
        <v>16</v>
      </c>
      <c r="I3908">
        <v>0</v>
      </c>
      <c r="J3908" s="23">
        <v>-75</v>
      </c>
      <c r="K3908" t="s">
        <v>17</v>
      </c>
    </row>
    <row r="3909" spans="1:11" ht="15" customHeight="1" x14ac:dyDescent="0.3">
      <c r="A3909" t="s">
        <v>22</v>
      </c>
      <c r="B3909" t="s">
        <v>19</v>
      </c>
      <c r="C3909" t="s">
        <v>12</v>
      </c>
      <c r="D3909" t="s">
        <v>28</v>
      </c>
      <c r="E3909">
        <v>7</v>
      </c>
      <c r="F3909"/>
      <c r="G3909" t="s">
        <v>15</v>
      </c>
      <c r="H3909" t="s">
        <v>16</v>
      </c>
      <c r="I3909">
        <v>0</v>
      </c>
      <c r="J3909" s="23">
        <v>-151883</v>
      </c>
      <c r="K3909" t="s">
        <v>17</v>
      </c>
    </row>
    <row r="3910" spans="1:11" ht="15" customHeight="1" x14ac:dyDescent="0.3">
      <c r="A3910" t="s">
        <v>18</v>
      </c>
      <c r="B3910" t="s">
        <v>11</v>
      </c>
      <c r="C3910" t="s">
        <v>24</v>
      </c>
      <c r="D3910" t="s">
        <v>25</v>
      </c>
      <c r="E3910">
        <v>0</v>
      </c>
      <c r="F3910" t="s">
        <v>29</v>
      </c>
      <c r="G3910" t="s">
        <v>15</v>
      </c>
      <c r="H3910" t="s">
        <v>16</v>
      </c>
      <c r="I3910">
        <v>0</v>
      </c>
      <c r="J3910" s="23">
        <v>2191056</v>
      </c>
      <c r="K3910" t="s">
        <v>17</v>
      </c>
    </row>
    <row r="3911" spans="1:11" ht="15" customHeight="1" x14ac:dyDescent="0.3">
      <c r="A3911" t="s">
        <v>18</v>
      </c>
      <c r="B3911" t="s">
        <v>11</v>
      </c>
      <c r="C3911" t="s">
        <v>24</v>
      </c>
      <c r="D3911" t="s">
        <v>25</v>
      </c>
      <c r="E3911">
        <v>3</v>
      </c>
      <c r="F3911" t="s">
        <v>41</v>
      </c>
      <c r="G3911" t="s">
        <v>15</v>
      </c>
      <c r="H3911" t="s">
        <v>16</v>
      </c>
      <c r="I3911">
        <v>0</v>
      </c>
      <c r="J3911" s="23">
        <v>172264</v>
      </c>
      <c r="K3911">
        <v>516792</v>
      </c>
    </row>
    <row r="3912" spans="1:11" ht="15" customHeight="1" x14ac:dyDescent="0.3">
      <c r="A3912" t="s">
        <v>10</v>
      </c>
      <c r="B3912" t="s">
        <v>11</v>
      </c>
      <c r="C3912" t="s">
        <v>12</v>
      </c>
      <c r="D3912" t="s">
        <v>25</v>
      </c>
      <c r="E3912">
        <v>2</v>
      </c>
      <c r="F3912" t="s">
        <v>30</v>
      </c>
      <c r="G3912" t="s">
        <v>15</v>
      </c>
      <c r="H3912" t="s">
        <v>16</v>
      </c>
      <c r="I3912">
        <v>0</v>
      </c>
      <c r="J3912" s="23">
        <v>-32969</v>
      </c>
      <c r="K3912" t="s">
        <v>17</v>
      </c>
    </row>
    <row r="3913" spans="1:11" ht="15" customHeight="1" x14ac:dyDescent="0.3">
      <c r="A3913" t="s">
        <v>18</v>
      </c>
      <c r="B3913" t="s">
        <v>11</v>
      </c>
      <c r="C3913" t="s">
        <v>12</v>
      </c>
      <c r="D3913" t="s">
        <v>25</v>
      </c>
      <c r="E3913">
        <v>6</v>
      </c>
      <c r="F3913" t="s">
        <v>27</v>
      </c>
      <c r="G3913" t="s">
        <v>15</v>
      </c>
      <c r="H3913" t="s">
        <v>16</v>
      </c>
      <c r="I3913">
        <v>0</v>
      </c>
      <c r="J3913" s="23">
        <v>-488</v>
      </c>
      <c r="K3913" t="s">
        <v>17</v>
      </c>
    </row>
    <row r="3914" spans="1:11" ht="15" customHeight="1" x14ac:dyDescent="0.3">
      <c r="A3914" t="s">
        <v>10</v>
      </c>
      <c r="B3914" t="s">
        <v>11</v>
      </c>
      <c r="C3914" t="s">
        <v>12</v>
      </c>
      <c r="D3914" t="s">
        <v>13</v>
      </c>
      <c r="E3914">
        <v>4</v>
      </c>
      <c r="F3914" t="s">
        <v>35</v>
      </c>
      <c r="G3914" t="s">
        <v>15</v>
      </c>
      <c r="H3914" t="s">
        <v>16</v>
      </c>
      <c r="I3914">
        <v>0</v>
      </c>
      <c r="J3914" s="23">
        <v>-49391</v>
      </c>
      <c r="K3914" t="s">
        <v>17</v>
      </c>
    </row>
    <row r="3915" spans="1:11" ht="15" customHeight="1" x14ac:dyDescent="0.3">
      <c r="A3915" t="s">
        <v>18</v>
      </c>
      <c r="B3915" t="s">
        <v>19</v>
      </c>
      <c r="C3915" t="s">
        <v>24</v>
      </c>
      <c r="D3915" t="s">
        <v>20</v>
      </c>
      <c r="E3915">
        <v>15</v>
      </c>
      <c r="F3915"/>
      <c r="G3915" t="s">
        <v>31</v>
      </c>
      <c r="H3915" t="s">
        <v>16</v>
      </c>
      <c r="I3915">
        <v>1</v>
      </c>
      <c r="J3915" s="23">
        <v>3960755</v>
      </c>
      <c r="K3915">
        <v>59411325</v>
      </c>
    </row>
    <row r="3916" spans="1:11" ht="15" customHeight="1" x14ac:dyDescent="0.3">
      <c r="A3916" t="s">
        <v>18</v>
      </c>
      <c r="B3916" t="s">
        <v>11</v>
      </c>
      <c r="C3916" t="s">
        <v>24</v>
      </c>
      <c r="D3916" t="s">
        <v>28</v>
      </c>
      <c r="E3916">
        <v>-1</v>
      </c>
      <c r="F3916" t="s">
        <v>23</v>
      </c>
      <c r="G3916" t="s">
        <v>31</v>
      </c>
      <c r="H3916" t="s">
        <v>16</v>
      </c>
      <c r="I3916">
        <v>1</v>
      </c>
      <c r="J3916" s="23">
        <v>191533</v>
      </c>
      <c r="K3916" t="s">
        <v>17</v>
      </c>
    </row>
    <row r="3917" spans="1:11" ht="15" customHeight="1" x14ac:dyDescent="0.3">
      <c r="A3917" t="s">
        <v>10</v>
      </c>
      <c r="B3917" t="s">
        <v>11</v>
      </c>
      <c r="C3917" t="s">
        <v>24</v>
      </c>
      <c r="D3917" t="s">
        <v>28</v>
      </c>
      <c r="E3917">
        <v>5</v>
      </c>
      <c r="F3917" t="s">
        <v>14</v>
      </c>
      <c r="G3917" t="s">
        <v>15</v>
      </c>
      <c r="H3917" t="s">
        <v>16</v>
      </c>
      <c r="I3917">
        <v>0</v>
      </c>
      <c r="J3917" s="23">
        <v>135678</v>
      </c>
      <c r="K3917">
        <v>678390</v>
      </c>
    </row>
    <row r="3918" spans="1:11" ht="15" customHeight="1" x14ac:dyDescent="0.3">
      <c r="A3918" t="s">
        <v>10</v>
      </c>
      <c r="B3918" t="s">
        <v>11</v>
      </c>
      <c r="C3918" t="s">
        <v>24</v>
      </c>
      <c r="D3918" t="s">
        <v>28</v>
      </c>
      <c r="E3918">
        <v>11</v>
      </c>
      <c r="F3918" t="s">
        <v>21</v>
      </c>
      <c r="G3918" t="s">
        <v>15</v>
      </c>
      <c r="H3918" t="s">
        <v>16</v>
      </c>
      <c r="I3918">
        <v>0</v>
      </c>
      <c r="J3918" s="23">
        <v>1071175</v>
      </c>
      <c r="K3918">
        <v>11782925</v>
      </c>
    </row>
    <row r="3919" spans="1:11" ht="15" customHeight="1" x14ac:dyDescent="0.3">
      <c r="A3919" t="s">
        <v>18</v>
      </c>
      <c r="B3919" t="s">
        <v>11</v>
      </c>
      <c r="C3919" t="s">
        <v>12</v>
      </c>
      <c r="D3919" t="s">
        <v>25</v>
      </c>
      <c r="E3919">
        <v>2</v>
      </c>
      <c r="F3919" t="s">
        <v>27</v>
      </c>
      <c r="G3919" t="s">
        <v>15</v>
      </c>
      <c r="H3919" t="s">
        <v>16</v>
      </c>
      <c r="I3919">
        <v>0</v>
      </c>
      <c r="J3919" s="23">
        <v>-971</v>
      </c>
      <c r="K3919" t="s">
        <v>17</v>
      </c>
    </row>
    <row r="3920" spans="1:11" ht="15" customHeight="1" x14ac:dyDescent="0.3">
      <c r="A3920" t="s">
        <v>18</v>
      </c>
      <c r="B3920" t="s">
        <v>11</v>
      </c>
      <c r="C3920" t="s">
        <v>12</v>
      </c>
      <c r="D3920" t="s">
        <v>13</v>
      </c>
      <c r="E3920">
        <v>10</v>
      </c>
      <c r="F3920" t="s">
        <v>37</v>
      </c>
      <c r="G3920" t="s">
        <v>15</v>
      </c>
      <c r="H3920" t="s">
        <v>16</v>
      </c>
      <c r="I3920">
        <v>0</v>
      </c>
      <c r="J3920" s="23">
        <v>-48953</v>
      </c>
      <c r="K3920" t="s">
        <v>17</v>
      </c>
    </row>
    <row r="3921" spans="1:11" ht="15" customHeight="1" x14ac:dyDescent="0.3">
      <c r="A3921" t="s">
        <v>18</v>
      </c>
      <c r="B3921" t="s">
        <v>11</v>
      </c>
      <c r="C3921" t="s">
        <v>24</v>
      </c>
      <c r="D3921" t="s">
        <v>25</v>
      </c>
      <c r="E3921">
        <v>5</v>
      </c>
      <c r="F3921" t="s">
        <v>34</v>
      </c>
      <c r="G3921" t="s">
        <v>15</v>
      </c>
      <c r="H3921" t="s">
        <v>16</v>
      </c>
      <c r="I3921">
        <v>0</v>
      </c>
      <c r="J3921" s="23">
        <v>4080837</v>
      </c>
      <c r="K3921">
        <v>20404185</v>
      </c>
    </row>
    <row r="3922" spans="1:11" ht="15" customHeight="1" x14ac:dyDescent="0.3">
      <c r="A3922" t="s">
        <v>18</v>
      </c>
      <c r="B3922" t="s">
        <v>11</v>
      </c>
      <c r="C3922" t="s">
        <v>24</v>
      </c>
      <c r="D3922" t="s">
        <v>28</v>
      </c>
      <c r="E3922">
        <v>1</v>
      </c>
      <c r="F3922" t="s">
        <v>14</v>
      </c>
      <c r="G3922" t="s">
        <v>15</v>
      </c>
      <c r="H3922" t="s">
        <v>16</v>
      </c>
      <c r="I3922">
        <v>0</v>
      </c>
      <c r="J3922" s="23">
        <v>404131</v>
      </c>
      <c r="K3922">
        <v>404131</v>
      </c>
    </row>
    <row r="3923" spans="1:11" ht="15" customHeight="1" x14ac:dyDescent="0.3">
      <c r="A3923" t="s">
        <v>10</v>
      </c>
      <c r="B3923" t="s">
        <v>11</v>
      </c>
      <c r="C3923" t="s">
        <v>12</v>
      </c>
      <c r="D3923" t="s">
        <v>13</v>
      </c>
      <c r="E3923">
        <v>6</v>
      </c>
      <c r="F3923" t="s">
        <v>26</v>
      </c>
      <c r="G3923" t="s">
        <v>15</v>
      </c>
      <c r="H3923" t="s">
        <v>16</v>
      </c>
      <c r="I3923">
        <v>0</v>
      </c>
      <c r="J3923" s="23">
        <v>-2983</v>
      </c>
      <c r="K3923" t="s">
        <v>17</v>
      </c>
    </row>
    <row r="3924" spans="1:11" ht="15" customHeight="1" x14ac:dyDescent="0.3">
      <c r="A3924" t="s">
        <v>22</v>
      </c>
      <c r="B3924" t="s">
        <v>11</v>
      </c>
      <c r="C3924" t="s">
        <v>24</v>
      </c>
      <c r="D3924" t="s">
        <v>13</v>
      </c>
      <c r="E3924">
        <v>-4</v>
      </c>
      <c r="F3924" t="s">
        <v>41</v>
      </c>
      <c r="G3924" t="s">
        <v>15</v>
      </c>
      <c r="H3924" t="s">
        <v>16</v>
      </c>
      <c r="I3924">
        <v>0</v>
      </c>
      <c r="J3924" s="23">
        <v>20000</v>
      </c>
      <c r="K3924" t="s">
        <v>17</v>
      </c>
    </row>
    <row r="3925" spans="1:11" ht="15" customHeight="1" x14ac:dyDescent="0.3">
      <c r="A3925" t="s">
        <v>18</v>
      </c>
      <c r="B3925" t="s">
        <v>19</v>
      </c>
      <c r="C3925" t="s">
        <v>24</v>
      </c>
      <c r="D3925" t="s">
        <v>28</v>
      </c>
      <c r="E3925">
        <v>0</v>
      </c>
      <c r="F3925"/>
      <c r="G3925" t="s">
        <v>15</v>
      </c>
      <c r="H3925" t="s">
        <v>16</v>
      </c>
      <c r="I3925">
        <v>0</v>
      </c>
      <c r="J3925" s="23">
        <v>360391</v>
      </c>
      <c r="K3925" t="s">
        <v>17</v>
      </c>
    </row>
    <row r="3926" spans="1:11" ht="15" customHeight="1" x14ac:dyDescent="0.3">
      <c r="A3926" t="s">
        <v>22</v>
      </c>
      <c r="B3926" t="s">
        <v>11</v>
      </c>
      <c r="C3926" t="s">
        <v>24</v>
      </c>
      <c r="D3926" t="s">
        <v>13</v>
      </c>
      <c r="E3926">
        <v>-1</v>
      </c>
      <c r="F3926" t="s">
        <v>17</v>
      </c>
      <c r="G3926" t="s">
        <v>15</v>
      </c>
      <c r="H3926" t="s">
        <v>16</v>
      </c>
      <c r="I3926">
        <v>0</v>
      </c>
      <c r="J3926" s="23">
        <v>9273</v>
      </c>
      <c r="K3926" t="s">
        <v>17</v>
      </c>
    </row>
    <row r="3927" spans="1:11" ht="15" customHeight="1" x14ac:dyDescent="0.3">
      <c r="A3927" t="s">
        <v>18</v>
      </c>
      <c r="B3927" t="s">
        <v>19</v>
      </c>
      <c r="C3927" t="s">
        <v>24</v>
      </c>
      <c r="D3927" t="s">
        <v>20</v>
      </c>
      <c r="E3927">
        <v>28</v>
      </c>
      <c r="F3927"/>
      <c r="G3927" t="s">
        <v>15</v>
      </c>
      <c r="H3927" t="s">
        <v>32</v>
      </c>
      <c r="I3927">
        <v>1</v>
      </c>
      <c r="J3927" s="23">
        <v>2157207</v>
      </c>
      <c r="K3927">
        <v>60401796</v>
      </c>
    </row>
    <row r="3928" spans="1:11" ht="15" customHeight="1" x14ac:dyDescent="0.3">
      <c r="A3928" t="s">
        <v>10</v>
      </c>
      <c r="B3928" t="s">
        <v>11</v>
      </c>
      <c r="C3928" t="s">
        <v>12</v>
      </c>
      <c r="D3928" t="s">
        <v>13</v>
      </c>
      <c r="E3928">
        <v>5</v>
      </c>
      <c r="F3928" t="s">
        <v>35</v>
      </c>
      <c r="G3928" t="s">
        <v>15</v>
      </c>
      <c r="H3928" t="s">
        <v>16</v>
      </c>
      <c r="I3928">
        <v>0</v>
      </c>
      <c r="J3928" s="23">
        <v>-89624</v>
      </c>
      <c r="K3928" t="s">
        <v>17</v>
      </c>
    </row>
    <row r="3929" spans="1:11" ht="15" customHeight="1" x14ac:dyDescent="0.3">
      <c r="A3929" t="s">
        <v>10</v>
      </c>
      <c r="B3929" t="s">
        <v>19</v>
      </c>
      <c r="C3929" t="s">
        <v>24</v>
      </c>
      <c r="D3929" t="s">
        <v>20</v>
      </c>
      <c r="E3929">
        <v>41</v>
      </c>
      <c r="F3929"/>
      <c r="G3929" t="s">
        <v>31</v>
      </c>
      <c r="H3929" t="s">
        <v>16</v>
      </c>
      <c r="I3929">
        <v>1</v>
      </c>
      <c r="J3929" s="23">
        <v>159729</v>
      </c>
      <c r="K3929">
        <v>6548889</v>
      </c>
    </row>
    <row r="3930" spans="1:11" ht="15" customHeight="1" x14ac:dyDescent="0.3">
      <c r="A3930" t="s">
        <v>10</v>
      </c>
      <c r="B3930" t="s">
        <v>11</v>
      </c>
      <c r="C3930" t="s">
        <v>24</v>
      </c>
      <c r="D3930" t="s">
        <v>13</v>
      </c>
      <c r="E3930">
        <v>-1</v>
      </c>
      <c r="F3930" t="s">
        <v>38</v>
      </c>
      <c r="G3930" t="s">
        <v>15</v>
      </c>
      <c r="H3930" t="s">
        <v>16</v>
      </c>
      <c r="I3930">
        <v>0</v>
      </c>
      <c r="J3930" s="23">
        <v>25086</v>
      </c>
      <c r="K3930" t="s">
        <v>17</v>
      </c>
    </row>
    <row r="3931" spans="1:11" ht="15" customHeight="1" x14ac:dyDescent="0.3">
      <c r="A3931" t="s">
        <v>10</v>
      </c>
      <c r="B3931" t="s">
        <v>11</v>
      </c>
      <c r="C3931" t="s">
        <v>24</v>
      </c>
      <c r="D3931" t="s">
        <v>13</v>
      </c>
      <c r="E3931">
        <v>3</v>
      </c>
      <c r="F3931" t="s">
        <v>23</v>
      </c>
      <c r="G3931" t="s">
        <v>15</v>
      </c>
      <c r="H3931" t="s">
        <v>16</v>
      </c>
      <c r="I3931">
        <v>0</v>
      </c>
      <c r="J3931" s="23">
        <v>7451367</v>
      </c>
      <c r="K3931">
        <v>22354101</v>
      </c>
    </row>
    <row r="3932" spans="1:11" ht="15" customHeight="1" x14ac:dyDescent="0.3">
      <c r="A3932" t="s">
        <v>18</v>
      </c>
      <c r="B3932" t="s">
        <v>44</v>
      </c>
      <c r="C3932" t="s">
        <v>24</v>
      </c>
      <c r="D3932" t="s">
        <v>28</v>
      </c>
      <c r="E3932">
        <v>7</v>
      </c>
      <c r="F3932" t="s">
        <v>29</v>
      </c>
      <c r="G3932" t="s">
        <v>15</v>
      </c>
      <c r="H3932" t="s">
        <v>16</v>
      </c>
      <c r="I3932">
        <v>0</v>
      </c>
      <c r="J3932" s="23">
        <v>867617</v>
      </c>
      <c r="K3932">
        <v>6073319</v>
      </c>
    </row>
    <row r="3933" spans="1:11" ht="15" customHeight="1" x14ac:dyDescent="0.3">
      <c r="A3933" t="s">
        <v>10</v>
      </c>
      <c r="B3933" t="s">
        <v>11</v>
      </c>
      <c r="C3933" t="s">
        <v>24</v>
      </c>
      <c r="D3933" t="s">
        <v>28</v>
      </c>
      <c r="E3933">
        <v>-1</v>
      </c>
      <c r="F3933" t="s">
        <v>33</v>
      </c>
      <c r="G3933" t="s">
        <v>15</v>
      </c>
      <c r="H3933" t="s">
        <v>32</v>
      </c>
      <c r="I3933">
        <v>1</v>
      </c>
      <c r="J3933" s="23">
        <v>47672</v>
      </c>
      <c r="K3933" t="s">
        <v>17</v>
      </c>
    </row>
    <row r="3934" spans="1:11" ht="15" customHeight="1" x14ac:dyDescent="0.3">
      <c r="A3934" t="s">
        <v>22</v>
      </c>
      <c r="B3934" t="s">
        <v>11</v>
      </c>
      <c r="C3934" t="s">
        <v>12</v>
      </c>
      <c r="D3934" t="s">
        <v>13</v>
      </c>
      <c r="E3934">
        <v>19</v>
      </c>
      <c r="F3934" t="s">
        <v>45</v>
      </c>
      <c r="G3934" t="s">
        <v>15</v>
      </c>
      <c r="H3934" t="s">
        <v>16</v>
      </c>
      <c r="I3934">
        <v>0</v>
      </c>
      <c r="J3934" s="23">
        <v>-146603</v>
      </c>
      <c r="K3934" t="s">
        <v>17</v>
      </c>
    </row>
    <row r="3935" spans="1:11" ht="15" customHeight="1" x14ac:dyDescent="0.3">
      <c r="A3935" t="s">
        <v>18</v>
      </c>
      <c r="B3935" t="s">
        <v>47</v>
      </c>
      <c r="C3935" t="s">
        <v>12</v>
      </c>
      <c r="D3935" t="s">
        <v>28</v>
      </c>
      <c r="E3935">
        <v>5</v>
      </c>
      <c r="F3935" t="s">
        <v>46</v>
      </c>
      <c r="G3935" t="s">
        <v>15</v>
      </c>
      <c r="H3935" t="s">
        <v>16</v>
      </c>
      <c r="I3935">
        <v>0</v>
      </c>
      <c r="J3935" s="23">
        <v>-8</v>
      </c>
      <c r="K3935" t="s">
        <v>17</v>
      </c>
    </row>
    <row r="3936" spans="1:11" ht="15" customHeight="1" x14ac:dyDescent="0.3">
      <c r="A3936" t="s">
        <v>10</v>
      </c>
      <c r="B3936" t="s">
        <v>11</v>
      </c>
      <c r="C3936" t="s">
        <v>24</v>
      </c>
      <c r="D3936" t="s">
        <v>13</v>
      </c>
      <c r="E3936">
        <v>-1</v>
      </c>
      <c r="F3936" t="s">
        <v>45</v>
      </c>
      <c r="G3936" t="s">
        <v>15</v>
      </c>
      <c r="H3936" t="s">
        <v>16</v>
      </c>
      <c r="I3936">
        <v>0</v>
      </c>
      <c r="J3936" s="23">
        <v>818524</v>
      </c>
      <c r="K3936" t="s">
        <v>17</v>
      </c>
    </row>
    <row r="3937" spans="1:11" ht="15" customHeight="1" x14ac:dyDescent="0.3">
      <c r="A3937" t="s">
        <v>22</v>
      </c>
      <c r="B3937" t="s">
        <v>44</v>
      </c>
      <c r="C3937" t="s">
        <v>24</v>
      </c>
      <c r="D3937" t="s">
        <v>28</v>
      </c>
      <c r="E3937">
        <v>1</v>
      </c>
      <c r="F3937" t="s">
        <v>26</v>
      </c>
      <c r="G3937" t="s">
        <v>15</v>
      </c>
      <c r="H3937" t="s">
        <v>16</v>
      </c>
      <c r="I3937">
        <v>0</v>
      </c>
      <c r="J3937" s="23">
        <v>1307632</v>
      </c>
      <c r="K3937">
        <v>1307632</v>
      </c>
    </row>
    <row r="3938" spans="1:11" ht="15" customHeight="1" x14ac:dyDescent="0.3">
      <c r="A3938" t="s">
        <v>18</v>
      </c>
      <c r="B3938" t="s">
        <v>11</v>
      </c>
      <c r="C3938" t="s">
        <v>12</v>
      </c>
      <c r="D3938" t="s">
        <v>28</v>
      </c>
      <c r="E3938">
        <v>7</v>
      </c>
      <c r="F3938" t="s">
        <v>40</v>
      </c>
      <c r="G3938" t="s">
        <v>15</v>
      </c>
      <c r="H3938" t="s">
        <v>16</v>
      </c>
      <c r="I3938">
        <v>0</v>
      </c>
      <c r="J3938" s="23">
        <v>-961</v>
      </c>
      <c r="K3938" t="s">
        <v>17</v>
      </c>
    </row>
    <row r="3939" spans="1:11" ht="15" customHeight="1" x14ac:dyDescent="0.3">
      <c r="A3939" t="s">
        <v>18</v>
      </c>
      <c r="B3939" t="s">
        <v>11</v>
      </c>
      <c r="C3939" t="s">
        <v>12</v>
      </c>
      <c r="D3939" t="s">
        <v>13</v>
      </c>
      <c r="E3939">
        <v>1</v>
      </c>
      <c r="F3939" t="s">
        <v>36</v>
      </c>
      <c r="G3939" t="s">
        <v>15</v>
      </c>
      <c r="H3939" t="s">
        <v>16</v>
      </c>
      <c r="I3939">
        <v>0</v>
      </c>
      <c r="J3939" s="23">
        <v>-37955</v>
      </c>
      <c r="K3939" t="s">
        <v>17</v>
      </c>
    </row>
    <row r="3940" spans="1:11" ht="15" customHeight="1" x14ac:dyDescent="0.3">
      <c r="A3940" t="s">
        <v>22</v>
      </c>
      <c r="B3940" t="s">
        <v>11</v>
      </c>
      <c r="C3940" t="s">
        <v>12</v>
      </c>
      <c r="D3940" t="s">
        <v>25</v>
      </c>
      <c r="E3940">
        <v>3</v>
      </c>
      <c r="F3940" t="s">
        <v>37</v>
      </c>
      <c r="G3940" t="s">
        <v>15</v>
      </c>
      <c r="H3940" t="s">
        <v>16</v>
      </c>
      <c r="I3940">
        <v>0</v>
      </c>
      <c r="J3940" s="23">
        <v>-32824</v>
      </c>
      <c r="K3940" t="s">
        <v>17</v>
      </c>
    </row>
    <row r="3941" spans="1:11" ht="15" customHeight="1" x14ac:dyDescent="0.3">
      <c r="A3941" t="s">
        <v>10</v>
      </c>
      <c r="B3941" t="s">
        <v>11</v>
      </c>
      <c r="C3941" t="s">
        <v>12</v>
      </c>
      <c r="D3941" t="s">
        <v>28</v>
      </c>
      <c r="E3941">
        <v>2</v>
      </c>
      <c r="F3941" t="s">
        <v>33</v>
      </c>
      <c r="G3941" t="s">
        <v>15</v>
      </c>
      <c r="H3941" t="s">
        <v>32</v>
      </c>
      <c r="I3941">
        <v>1</v>
      </c>
      <c r="J3941" s="23">
        <v>-1207</v>
      </c>
      <c r="K3941" t="s">
        <v>17</v>
      </c>
    </row>
    <row r="3942" spans="1:11" ht="15" customHeight="1" x14ac:dyDescent="0.3">
      <c r="A3942" t="s">
        <v>22</v>
      </c>
      <c r="B3942" t="s">
        <v>19</v>
      </c>
      <c r="C3942" t="s">
        <v>24</v>
      </c>
      <c r="D3942" t="s">
        <v>20</v>
      </c>
      <c r="E3942">
        <v>-4</v>
      </c>
      <c r="F3942"/>
      <c r="G3942" t="s">
        <v>15</v>
      </c>
      <c r="H3942" t="s">
        <v>32</v>
      </c>
      <c r="I3942">
        <v>1</v>
      </c>
      <c r="J3942" s="23">
        <v>1202</v>
      </c>
      <c r="K3942" t="s">
        <v>17</v>
      </c>
    </row>
    <row r="3943" spans="1:11" ht="15" customHeight="1" x14ac:dyDescent="0.3">
      <c r="A3943" t="s">
        <v>10</v>
      </c>
      <c r="B3943" t="s">
        <v>11</v>
      </c>
      <c r="C3943" t="s">
        <v>24</v>
      </c>
      <c r="D3943" t="s">
        <v>28</v>
      </c>
      <c r="E3943">
        <v>7</v>
      </c>
      <c r="F3943" t="s">
        <v>34</v>
      </c>
      <c r="G3943" t="s">
        <v>15</v>
      </c>
      <c r="H3943" t="s">
        <v>16</v>
      </c>
      <c r="I3943">
        <v>0</v>
      </c>
      <c r="J3943" s="23">
        <v>2078314</v>
      </c>
      <c r="K3943">
        <v>14548198</v>
      </c>
    </row>
    <row r="3944" spans="1:11" ht="15" customHeight="1" x14ac:dyDescent="0.3">
      <c r="A3944" t="s">
        <v>18</v>
      </c>
      <c r="B3944" t="s">
        <v>11</v>
      </c>
      <c r="C3944" t="s">
        <v>12</v>
      </c>
      <c r="D3944" t="s">
        <v>13</v>
      </c>
      <c r="E3944">
        <v>0</v>
      </c>
      <c r="F3944" t="s">
        <v>14</v>
      </c>
      <c r="G3944" t="s">
        <v>15</v>
      </c>
      <c r="H3944" t="s">
        <v>16</v>
      </c>
      <c r="I3944">
        <v>0</v>
      </c>
      <c r="J3944" s="23">
        <v>-47848</v>
      </c>
      <c r="K3944" t="s">
        <v>17</v>
      </c>
    </row>
    <row r="3945" spans="1:11" ht="15" customHeight="1" x14ac:dyDescent="0.3">
      <c r="A3945" t="s">
        <v>18</v>
      </c>
      <c r="B3945" t="s">
        <v>11</v>
      </c>
      <c r="C3945" t="s">
        <v>12</v>
      </c>
      <c r="D3945" t="s">
        <v>28</v>
      </c>
      <c r="E3945">
        <v>9</v>
      </c>
      <c r="F3945" t="s">
        <v>34</v>
      </c>
      <c r="G3945" t="s">
        <v>31</v>
      </c>
      <c r="H3945" t="s">
        <v>16</v>
      </c>
      <c r="I3945">
        <v>1</v>
      </c>
      <c r="J3945" s="23">
        <v>-392</v>
      </c>
      <c r="K3945" t="s">
        <v>17</v>
      </c>
    </row>
    <row r="3946" spans="1:11" ht="15" customHeight="1" x14ac:dyDescent="0.3">
      <c r="A3946" t="s">
        <v>18</v>
      </c>
      <c r="B3946" t="s">
        <v>19</v>
      </c>
      <c r="C3946" t="s">
        <v>24</v>
      </c>
      <c r="D3946" t="s">
        <v>20</v>
      </c>
      <c r="E3946">
        <v>25</v>
      </c>
      <c r="F3946"/>
      <c r="G3946" t="s">
        <v>15</v>
      </c>
      <c r="H3946" t="s">
        <v>32</v>
      </c>
      <c r="I3946">
        <v>1</v>
      </c>
      <c r="J3946" s="23">
        <v>1413634</v>
      </c>
      <c r="K3946">
        <v>35340850</v>
      </c>
    </row>
    <row r="3947" spans="1:11" ht="15" customHeight="1" x14ac:dyDescent="0.3">
      <c r="A3947" t="s">
        <v>10</v>
      </c>
      <c r="B3947" t="s">
        <v>11</v>
      </c>
      <c r="C3947" t="s">
        <v>12</v>
      </c>
      <c r="D3947" t="s">
        <v>13</v>
      </c>
      <c r="E3947">
        <v>11</v>
      </c>
      <c r="F3947" t="s">
        <v>33</v>
      </c>
      <c r="G3947" t="s">
        <v>15</v>
      </c>
      <c r="H3947" t="s">
        <v>16</v>
      </c>
      <c r="I3947">
        <v>0</v>
      </c>
      <c r="J3947" s="23">
        <v>-19095</v>
      </c>
      <c r="K3947" t="s">
        <v>17</v>
      </c>
    </row>
    <row r="3948" spans="1:11" ht="15" customHeight="1" x14ac:dyDescent="0.3">
      <c r="A3948" t="s">
        <v>18</v>
      </c>
      <c r="B3948" t="s">
        <v>11</v>
      </c>
      <c r="C3948" t="s">
        <v>12</v>
      </c>
      <c r="D3948" t="s">
        <v>28</v>
      </c>
      <c r="E3948">
        <v>5</v>
      </c>
      <c r="F3948" t="s">
        <v>14</v>
      </c>
      <c r="G3948" t="s">
        <v>31</v>
      </c>
      <c r="H3948" t="s">
        <v>16</v>
      </c>
      <c r="I3948">
        <v>1</v>
      </c>
      <c r="J3948" s="23">
        <v>-36</v>
      </c>
      <c r="K3948" t="s">
        <v>17</v>
      </c>
    </row>
    <row r="3949" spans="1:11" ht="15" customHeight="1" x14ac:dyDescent="0.3">
      <c r="A3949" t="s">
        <v>18</v>
      </c>
      <c r="B3949" t="s">
        <v>19</v>
      </c>
      <c r="C3949" t="s">
        <v>12</v>
      </c>
      <c r="D3949" t="s">
        <v>20</v>
      </c>
      <c r="E3949">
        <v>52</v>
      </c>
      <c r="F3949"/>
      <c r="G3949" t="s">
        <v>15</v>
      </c>
      <c r="H3949" t="s">
        <v>16</v>
      </c>
      <c r="I3949">
        <v>0</v>
      </c>
      <c r="J3949" s="23">
        <v>-45</v>
      </c>
      <c r="K3949" t="s">
        <v>17</v>
      </c>
    </row>
    <row r="3950" spans="1:11" ht="15" customHeight="1" x14ac:dyDescent="0.3">
      <c r="A3950" t="s">
        <v>18</v>
      </c>
      <c r="B3950" t="s">
        <v>19</v>
      </c>
      <c r="C3950" t="s">
        <v>12</v>
      </c>
      <c r="D3950" t="s">
        <v>20</v>
      </c>
      <c r="E3950">
        <v>19</v>
      </c>
      <c r="F3950"/>
      <c r="G3950" t="s">
        <v>31</v>
      </c>
      <c r="H3950" t="s">
        <v>16</v>
      </c>
      <c r="I3950">
        <v>1</v>
      </c>
      <c r="J3950" s="23">
        <v>-2501</v>
      </c>
      <c r="K3950" t="s">
        <v>17</v>
      </c>
    </row>
    <row r="3951" spans="1:11" ht="15" customHeight="1" x14ac:dyDescent="0.3">
      <c r="A3951" t="s">
        <v>22</v>
      </c>
      <c r="B3951" t="s">
        <v>11</v>
      </c>
      <c r="C3951" t="s">
        <v>12</v>
      </c>
      <c r="D3951" t="s">
        <v>13</v>
      </c>
      <c r="E3951">
        <v>2</v>
      </c>
      <c r="F3951" t="s">
        <v>40</v>
      </c>
      <c r="G3951" t="s">
        <v>15</v>
      </c>
      <c r="H3951" t="s">
        <v>16</v>
      </c>
      <c r="I3951">
        <v>0</v>
      </c>
      <c r="J3951" s="23">
        <v>-3400138</v>
      </c>
      <c r="K3951" t="s">
        <v>17</v>
      </c>
    </row>
    <row r="3952" spans="1:11" ht="15" customHeight="1" x14ac:dyDescent="0.3">
      <c r="A3952" t="s">
        <v>18</v>
      </c>
      <c r="B3952" t="s">
        <v>19</v>
      </c>
      <c r="C3952" t="s">
        <v>24</v>
      </c>
      <c r="D3952" t="s">
        <v>20</v>
      </c>
      <c r="E3952">
        <v>32</v>
      </c>
      <c r="F3952"/>
      <c r="G3952" t="s">
        <v>31</v>
      </c>
      <c r="H3952" t="s">
        <v>32</v>
      </c>
      <c r="I3952">
        <v>1</v>
      </c>
      <c r="J3952" s="23">
        <v>209930</v>
      </c>
      <c r="K3952">
        <v>6717760</v>
      </c>
    </row>
    <row r="3953" spans="1:11" ht="15" customHeight="1" x14ac:dyDescent="0.3">
      <c r="A3953" t="s">
        <v>10</v>
      </c>
      <c r="B3953" t="s">
        <v>11</v>
      </c>
      <c r="C3953" t="s">
        <v>24</v>
      </c>
      <c r="D3953" t="s">
        <v>25</v>
      </c>
      <c r="E3953">
        <v>6</v>
      </c>
      <c r="F3953" t="s">
        <v>35</v>
      </c>
      <c r="G3953" t="s">
        <v>15</v>
      </c>
      <c r="H3953" t="s">
        <v>16</v>
      </c>
      <c r="I3953">
        <v>0</v>
      </c>
      <c r="J3953" s="23">
        <v>15659</v>
      </c>
      <c r="K3953">
        <v>93954</v>
      </c>
    </row>
    <row r="3954" spans="1:11" ht="15" customHeight="1" x14ac:dyDescent="0.3">
      <c r="A3954" t="s">
        <v>10</v>
      </c>
      <c r="B3954" t="s">
        <v>11</v>
      </c>
      <c r="C3954" t="s">
        <v>24</v>
      </c>
      <c r="D3954" t="s">
        <v>13</v>
      </c>
      <c r="E3954">
        <v>0</v>
      </c>
      <c r="F3954" t="s">
        <v>42</v>
      </c>
      <c r="G3954" t="s">
        <v>15</v>
      </c>
      <c r="H3954" t="s">
        <v>16</v>
      </c>
      <c r="I3954">
        <v>0</v>
      </c>
      <c r="J3954" s="23">
        <v>25236</v>
      </c>
      <c r="K3954" t="s">
        <v>17</v>
      </c>
    </row>
    <row r="3955" spans="1:11" ht="15" customHeight="1" x14ac:dyDescent="0.3">
      <c r="A3955" t="s">
        <v>18</v>
      </c>
      <c r="B3955" t="s">
        <v>11</v>
      </c>
      <c r="C3955" t="s">
        <v>12</v>
      </c>
      <c r="D3955" t="s">
        <v>28</v>
      </c>
      <c r="E3955">
        <v>3</v>
      </c>
      <c r="F3955" t="s">
        <v>40</v>
      </c>
      <c r="G3955" t="s">
        <v>31</v>
      </c>
      <c r="H3955" t="s">
        <v>16</v>
      </c>
      <c r="I3955">
        <v>1</v>
      </c>
      <c r="J3955" s="23">
        <v>-60</v>
      </c>
      <c r="K3955" t="s">
        <v>17</v>
      </c>
    </row>
    <row r="3956" spans="1:11" ht="15" customHeight="1" x14ac:dyDescent="0.3">
      <c r="A3956" t="s">
        <v>18</v>
      </c>
      <c r="B3956" t="s">
        <v>19</v>
      </c>
      <c r="C3956" t="s">
        <v>24</v>
      </c>
      <c r="D3956" t="s">
        <v>20</v>
      </c>
      <c r="E3956">
        <v>23</v>
      </c>
      <c r="F3956"/>
      <c r="G3956" t="s">
        <v>15</v>
      </c>
      <c r="H3956" t="s">
        <v>32</v>
      </c>
      <c r="I3956">
        <v>1</v>
      </c>
      <c r="J3956" s="23">
        <v>2639742</v>
      </c>
      <c r="K3956">
        <v>60714066</v>
      </c>
    </row>
    <row r="3957" spans="1:11" ht="15" customHeight="1" x14ac:dyDescent="0.3">
      <c r="A3957" t="s">
        <v>10</v>
      </c>
      <c r="B3957" t="s">
        <v>11</v>
      </c>
      <c r="C3957" t="s">
        <v>24</v>
      </c>
      <c r="D3957" t="s">
        <v>28</v>
      </c>
      <c r="E3957">
        <v>3</v>
      </c>
      <c r="F3957" t="s">
        <v>33</v>
      </c>
      <c r="G3957" t="s">
        <v>15</v>
      </c>
      <c r="H3957" t="s">
        <v>32</v>
      </c>
      <c r="I3957">
        <v>1</v>
      </c>
      <c r="J3957" s="23">
        <v>41414</v>
      </c>
      <c r="K3957">
        <v>124242</v>
      </c>
    </row>
    <row r="3958" spans="1:11" ht="15" customHeight="1" x14ac:dyDescent="0.3">
      <c r="A3958" t="s">
        <v>18</v>
      </c>
      <c r="B3958" t="s">
        <v>19</v>
      </c>
      <c r="C3958" t="s">
        <v>12</v>
      </c>
      <c r="D3958" t="s">
        <v>28</v>
      </c>
      <c r="E3958">
        <v>16</v>
      </c>
      <c r="F3958"/>
      <c r="G3958" t="s">
        <v>15</v>
      </c>
      <c r="H3958" t="s">
        <v>16</v>
      </c>
      <c r="I3958">
        <v>0</v>
      </c>
      <c r="J3958" s="23">
        <v>-1604</v>
      </c>
      <c r="K3958" t="s">
        <v>17</v>
      </c>
    </row>
    <row r="3959" spans="1:11" ht="15" customHeight="1" x14ac:dyDescent="0.3">
      <c r="A3959" t="s">
        <v>18</v>
      </c>
      <c r="B3959" t="s">
        <v>11</v>
      </c>
      <c r="C3959" t="s">
        <v>12</v>
      </c>
      <c r="D3959" t="s">
        <v>13</v>
      </c>
      <c r="E3959">
        <v>0</v>
      </c>
      <c r="F3959" t="s">
        <v>27</v>
      </c>
      <c r="G3959" t="s">
        <v>15</v>
      </c>
      <c r="H3959" t="s">
        <v>16</v>
      </c>
      <c r="I3959">
        <v>0</v>
      </c>
      <c r="J3959" s="23">
        <v>-9495</v>
      </c>
      <c r="K3959" t="s">
        <v>17</v>
      </c>
    </row>
    <row r="3960" spans="1:11" ht="15" customHeight="1" x14ac:dyDescent="0.3">
      <c r="A3960" t="s">
        <v>22</v>
      </c>
      <c r="B3960" t="s">
        <v>19</v>
      </c>
      <c r="C3960" t="s">
        <v>12</v>
      </c>
      <c r="D3960" t="s">
        <v>20</v>
      </c>
      <c r="E3960">
        <v>32</v>
      </c>
      <c r="F3960"/>
      <c r="G3960" t="s">
        <v>15</v>
      </c>
      <c r="H3960" t="s">
        <v>16</v>
      </c>
      <c r="I3960">
        <v>0</v>
      </c>
      <c r="J3960" s="23">
        <v>-1786529</v>
      </c>
      <c r="K3960" t="s">
        <v>17</v>
      </c>
    </row>
    <row r="3961" spans="1:11" ht="15" customHeight="1" x14ac:dyDescent="0.3">
      <c r="A3961" t="s">
        <v>10</v>
      </c>
      <c r="B3961" t="s">
        <v>11</v>
      </c>
      <c r="C3961" t="s">
        <v>24</v>
      </c>
      <c r="D3961" t="s">
        <v>25</v>
      </c>
      <c r="E3961">
        <v>0</v>
      </c>
      <c r="F3961" t="s">
        <v>21</v>
      </c>
      <c r="G3961" t="s">
        <v>15</v>
      </c>
      <c r="H3961" t="s">
        <v>16</v>
      </c>
      <c r="I3961">
        <v>0</v>
      </c>
      <c r="J3961" s="23">
        <v>1157635</v>
      </c>
      <c r="K3961" t="s">
        <v>17</v>
      </c>
    </row>
    <row r="3962" spans="1:11" ht="15" customHeight="1" x14ac:dyDescent="0.3">
      <c r="A3962" t="s">
        <v>10</v>
      </c>
      <c r="B3962" t="s">
        <v>11</v>
      </c>
      <c r="C3962" t="s">
        <v>24</v>
      </c>
      <c r="D3962" t="s">
        <v>13</v>
      </c>
      <c r="E3962">
        <v>3</v>
      </c>
      <c r="F3962" t="s">
        <v>45</v>
      </c>
      <c r="G3962" t="s">
        <v>15</v>
      </c>
      <c r="H3962" t="s">
        <v>16</v>
      </c>
      <c r="I3962">
        <v>0</v>
      </c>
      <c r="J3962" s="23">
        <v>912359</v>
      </c>
      <c r="K3962">
        <v>2737077</v>
      </c>
    </row>
    <row r="3963" spans="1:11" ht="15" customHeight="1" x14ac:dyDescent="0.3">
      <c r="A3963" t="s">
        <v>18</v>
      </c>
      <c r="B3963" t="s">
        <v>11</v>
      </c>
      <c r="C3963" t="s">
        <v>24</v>
      </c>
      <c r="D3963" t="s">
        <v>25</v>
      </c>
      <c r="E3963">
        <v>4</v>
      </c>
      <c r="F3963" t="s">
        <v>41</v>
      </c>
      <c r="G3963" t="s">
        <v>15</v>
      </c>
      <c r="H3963" t="s">
        <v>16</v>
      </c>
      <c r="I3963">
        <v>0</v>
      </c>
      <c r="J3963" s="23">
        <v>1200247</v>
      </c>
      <c r="K3963">
        <v>4800988</v>
      </c>
    </row>
    <row r="3964" spans="1:11" ht="15" customHeight="1" x14ac:dyDescent="0.3">
      <c r="A3964" t="s">
        <v>22</v>
      </c>
      <c r="B3964" t="s">
        <v>11</v>
      </c>
      <c r="C3964" t="s">
        <v>24</v>
      </c>
      <c r="D3964" t="s">
        <v>28</v>
      </c>
      <c r="E3964">
        <v>0</v>
      </c>
      <c r="F3964" t="s">
        <v>23</v>
      </c>
      <c r="G3964" t="s">
        <v>15</v>
      </c>
      <c r="H3964" t="s">
        <v>16</v>
      </c>
      <c r="I3964">
        <v>0</v>
      </c>
      <c r="J3964" s="23">
        <v>11776</v>
      </c>
      <c r="K3964" t="s">
        <v>17</v>
      </c>
    </row>
    <row r="3965" spans="1:11" ht="15" customHeight="1" x14ac:dyDescent="0.3">
      <c r="A3965" t="s">
        <v>10</v>
      </c>
      <c r="B3965" t="s">
        <v>11</v>
      </c>
      <c r="C3965" t="s">
        <v>24</v>
      </c>
      <c r="D3965" t="s">
        <v>13</v>
      </c>
      <c r="E3965">
        <v>-1</v>
      </c>
      <c r="F3965" t="s">
        <v>34</v>
      </c>
      <c r="G3965" t="s">
        <v>15</v>
      </c>
      <c r="H3965" t="s">
        <v>16</v>
      </c>
      <c r="I3965">
        <v>0</v>
      </c>
      <c r="J3965" s="23">
        <v>66186777</v>
      </c>
      <c r="K3965" t="s">
        <v>17</v>
      </c>
    </row>
    <row r="3966" spans="1:11" ht="15" customHeight="1" x14ac:dyDescent="0.3">
      <c r="A3966" t="s">
        <v>18</v>
      </c>
      <c r="B3966" t="s">
        <v>11</v>
      </c>
      <c r="C3966" t="s">
        <v>12</v>
      </c>
      <c r="D3966" t="s">
        <v>13</v>
      </c>
      <c r="E3966">
        <v>7</v>
      </c>
      <c r="F3966" t="s">
        <v>29</v>
      </c>
      <c r="G3966" t="s">
        <v>15</v>
      </c>
      <c r="H3966" t="s">
        <v>16</v>
      </c>
      <c r="I3966">
        <v>0</v>
      </c>
      <c r="J3966" s="23">
        <v>-35880</v>
      </c>
      <c r="K3966" t="s">
        <v>17</v>
      </c>
    </row>
    <row r="3967" spans="1:11" ht="15" customHeight="1" x14ac:dyDescent="0.3">
      <c r="A3967" t="s">
        <v>22</v>
      </c>
      <c r="B3967" t="s">
        <v>19</v>
      </c>
      <c r="C3967" t="s">
        <v>24</v>
      </c>
      <c r="D3967" t="s">
        <v>28</v>
      </c>
      <c r="E3967">
        <v>-1</v>
      </c>
      <c r="F3967"/>
      <c r="G3967" t="s">
        <v>15</v>
      </c>
      <c r="H3967" t="s">
        <v>16</v>
      </c>
      <c r="I3967">
        <v>0</v>
      </c>
      <c r="J3967" s="23">
        <v>13</v>
      </c>
      <c r="K3967" t="s">
        <v>17</v>
      </c>
    </row>
    <row r="3968" spans="1:11" ht="15" customHeight="1" x14ac:dyDescent="0.3">
      <c r="A3968" t="s">
        <v>18</v>
      </c>
      <c r="B3968" t="s">
        <v>11</v>
      </c>
      <c r="C3968" t="s">
        <v>24</v>
      </c>
      <c r="D3968" t="s">
        <v>13</v>
      </c>
      <c r="E3968">
        <v>1</v>
      </c>
      <c r="F3968" t="s">
        <v>49</v>
      </c>
      <c r="G3968" t="s">
        <v>15</v>
      </c>
      <c r="H3968" t="s">
        <v>16</v>
      </c>
      <c r="I3968">
        <v>0</v>
      </c>
      <c r="J3968" s="23">
        <v>29159047</v>
      </c>
      <c r="K3968">
        <v>29159047</v>
      </c>
    </row>
    <row r="3969" spans="1:11" ht="15" customHeight="1" x14ac:dyDescent="0.3">
      <c r="A3969" t="s">
        <v>22</v>
      </c>
      <c r="B3969" t="s">
        <v>11</v>
      </c>
      <c r="C3969" t="s">
        <v>12</v>
      </c>
      <c r="D3969" t="s">
        <v>25</v>
      </c>
      <c r="E3969">
        <v>4</v>
      </c>
      <c r="F3969" t="s">
        <v>39</v>
      </c>
      <c r="G3969" t="s">
        <v>15</v>
      </c>
      <c r="H3969" t="s">
        <v>16</v>
      </c>
      <c r="I3969">
        <v>0</v>
      </c>
      <c r="J3969" s="23">
        <v>-24357</v>
      </c>
      <c r="K3969" t="s">
        <v>17</v>
      </c>
    </row>
    <row r="3970" spans="1:11" ht="15" customHeight="1" x14ac:dyDescent="0.3">
      <c r="A3970" t="s">
        <v>18</v>
      </c>
      <c r="B3970" t="s">
        <v>11</v>
      </c>
      <c r="C3970" t="s">
        <v>12</v>
      </c>
      <c r="D3970" t="s">
        <v>25</v>
      </c>
      <c r="E3970">
        <v>-1</v>
      </c>
      <c r="F3970" t="s">
        <v>41</v>
      </c>
      <c r="G3970" t="s">
        <v>15</v>
      </c>
      <c r="H3970" t="s">
        <v>16</v>
      </c>
      <c r="I3970">
        <v>0</v>
      </c>
      <c r="J3970" s="23">
        <v>-8</v>
      </c>
      <c r="K3970" t="s">
        <v>17</v>
      </c>
    </row>
    <row r="3971" spans="1:11" ht="15" customHeight="1" x14ac:dyDescent="0.3">
      <c r="A3971" t="s">
        <v>10</v>
      </c>
      <c r="B3971" t="s">
        <v>11</v>
      </c>
      <c r="C3971" t="s">
        <v>24</v>
      </c>
      <c r="D3971" t="s">
        <v>13</v>
      </c>
      <c r="E3971">
        <v>3</v>
      </c>
      <c r="F3971" t="s">
        <v>38</v>
      </c>
      <c r="G3971" t="s">
        <v>15</v>
      </c>
      <c r="H3971" t="s">
        <v>16</v>
      </c>
      <c r="I3971">
        <v>0</v>
      </c>
      <c r="J3971" s="23">
        <v>223849</v>
      </c>
      <c r="K3971">
        <v>671547</v>
      </c>
    </row>
    <row r="3972" spans="1:11" ht="15" customHeight="1" x14ac:dyDescent="0.3">
      <c r="A3972" t="s">
        <v>18</v>
      </c>
      <c r="B3972" t="s">
        <v>11</v>
      </c>
      <c r="C3972" t="s">
        <v>12</v>
      </c>
      <c r="D3972" t="s">
        <v>28</v>
      </c>
      <c r="E3972">
        <v>3</v>
      </c>
      <c r="F3972" t="s">
        <v>26</v>
      </c>
      <c r="G3972" t="s">
        <v>15</v>
      </c>
      <c r="H3972" t="s">
        <v>16</v>
      </c>
      <c r="I3972">
        <v>0</v>
      </c>
      <c r="J3972" s="23">
        <v>-188712</v>
      </c>
      <c r="K3972" t="s">
        <v>17</v>
      </c>
    </row>
    <row r="3973" spans="1:11" ht="15" customHeight="1" x14ac:dyDescent="0.3">
      <c r="A3973" t="s">
        <v>10</v>
      </c>
      <c r="B3973" t="s">
        <v>11</v>
      </c>
      <c r="C3973" t="s">
        <v>12</v>
      </c>
      <c r="D3973" t="s">
        <v>28</v>
      </c>
      <c r="E3973">
        <v>3</v>
      </c>
      <c r="F3973" t="s">
        <v>30</v>
      </c>
      <c r="G3973" t="s">
        <v>15</v>
      </c>
      <c r="H3973" t="s">
        <v>16</v>
      </c>
      <c r="I3973">
        <v>0</v>
      </c>
      <c r="J3973" s="23">
        <v>-5489</v>
      </c>
      <c r="K3973" t="s">
        <v>17</v>
      </c>
    </row>
    <row r="3974" spans="1:11" ht="15" customHeight="1" x14ac:dyDescent="0.3">
      <c r="A3974" t="s">
        <v>10</v>
      </c>
      <c r="B3974" t="s">
        <v>11</v>
      </c>
      <c r="C3974" t="s">
        <v>12</v>
      </c>
      <c r="D3974" t="s">
        <v>13</v>
      </c>
      <c r="E3974">
        <v>3</v>
      </c>
      <c r="F3974" t="s">
        <v>33</v>
      </c>
      <c r="G3974" t="s">
        <v>15</v>
      </c>
      <c r="H3974" t="s">
        <v>16</v>
      </c>
      <c r="I3974">
        <v>0</v>
      </c>
      <c r="J3974" s="23">
        <v>-302136</v>
      </c>
      <c r="K3974" t="s">
        <v>17</v>
      </c>
    </row>
    <row r="3975" spans="1:11" ht="15" customHeight="1" x14ac:dyDescent="0.3">
      <c r="A3975" t="s">
        <v>18</v>
      </c>
      <c r="B3975" t="s">
        <v>19</v>
      </c>
      <c r="C3975" t="s">
        <v>12</v>
      </c>
      <c r="D3975" t="s">
        <v>28</v>
      </c>
      <c r="E3975">
        <v>7</v>
      </c>
      <c r="F3975"/>
      <c r="G3975" t="s">
        <v>15</v>
      </c>
      <c r="H3975" t="s">
        <v>32</v>
      </c>
      <c r="I3975">
        <v>1</v>
      </c>
      <c r="J3975" s="23">
        <v>-2031</v>
      </c>
      <c r="K3975" t="s">
        <v>17</v>
      </c>
    </row>
    <row r="3976" spans="1:11" ht="15" customHeight="1" x14ac:dyDescent="0.3">
      <c r="A3976" t="s">
        <v>10</v>
      </c>
      <c r="B3976" t="s">
        <v>19</v>
      </c>
      <c r="C3976" t="s">
        <v>24</v>
      </c>
      <c r="D3976" t="s">
        <v>28</v>
      </c>
      <c r="E3976">
        <v>6</v>
      </c>
      <c r="F3976"/>
      <c r="G3976" t="s">
        <v>15</v>
      </c>
      <c r="H3976" t="s">
        <v>16</v>
      </c>
      <c r="I3976">
        <v>0</v>
      </c>
      <c r="J3976" s="23">
        <v>2086135</v>
      </c>
      <c r="K3976">
        <v>12516810</v>
      </c>
    </row>
    <row r="3977" spans="1:11" ht="15" customHeight="1" x14ac:dyDescent="0.3">
      <c r="A3977" t="s">
        <v>10</v>
      </c>
      <c r="B3977" t="s">
        <v>11</v>
      </c>
      <c r="C3977" t="s">
        <v>12</v>
      </c>
      <c r="D3977" t="s">
        <v>28</v>
      </c>
      <c r="E3977">
        <v>7</v>
      </c>
      <c r="F3977" t="s">
        <v>45</v>
      </c>
      <c r="G3977" t="s">
        <v>15</v>
      </c>
      <c r="H3977" t="s">
        <v>16</v>
      </c>
      <c r="I3977">
        <v>0</v>
      </c>
      <c r="J3977" s="23">
        <v>-22147</v>
      </c>
      <c r="K3977" t="s">
        <v>17</v>
      </c>
    </row>
    <row r="3978" spans="1:11" ht="15" customHeight="1" x14ac:dyDescent="0.3">
      <c r="A3978" t="s">
        <v>18</v>
      </c>
      <c r="B3978" t="s">
        <v>11</v>
      </c>
      <c r="C3978" t="s">
        <v>24</v>
      </c>
      <c r="D3978" t="s">
        <v>28</v>
      </c>
      <c r="E3978">
        <v>2</v>
      </c>
      <c r="F3978" t="s">
        <v>40</v>
      </c>
      <c r="G3978" t="s">
        <v>15</v>
      </c>
      <c r="H3978" t="s">
        <v>16</v>
      </c>
      <c r="I3978">
        <v>0</v>
      </c>
      <c r="J3978" s="23">
        <v>117432</v>
      </c>
      <c r="K3978">
        <v>234864</v>
      </c>
    </row>
    <row r="3979" spans="1:11" ht="15" customHeight="1" x14ac:dyDescent="0.3">
      <c r="A3979" t="s">
        <v>10</v>
      </c>
      <c r="B3979" t="s">
        <v>11</v>
      </c>
      <c r="C3979" t="s">
        <v>24</v>
      </c>
      <c r="D3979" t="s">
        <v>28</v>
      </c>
      <c r="E3979">
        <v>16</v>
      </c>
      <c r="F3979" t="s">
        <v>37</v>
      </c>
      <c r="G3979" t="s">
        <v>15</v>
      </c>
      <c r="H3979" t="s">
        <v>16</v>
      </c>
      <c r="I3979">
        <v>0</v>
      </c>
      <c r="J3979" s="23">
        <v>34731</v>
      </c>
      <c r="K3979">
        <v>555696</v>
      </c>
    </row>
    <row r="3980" spans="1:11" ht="15" customHeight="1" x14ac:dyDescent="0.3">
      <c r="A3980" t="s">
        <v>22</v>
      </c>
      <c r="B3980" t="s">
        <v>11</v>
      </c>
      <c r="C3980" t="s">
        <v>24</v>
      </c>
      <c r="D3980" t="s">
        <v>28</v>
      </c>
      <c r="E3980">
        <v>-4</v>
      </c>
      <c r="F3980" t="s">
        <v>38</v>
      </c>
      <c r="G3980" t="s">
        <v>15</v>
      </c>
      <c r="H3980" t="s">
        <v>16</v>
      </c>
      <c r="I3980">
        <v>0</v>
      </c>
      <c r="J3980" s="23">
        <v>430</v>
      </c>
      <c r="K3980" t="s">
        <v>17</v>
      </c>
    </row>
    <row r="3981" spans="1:11" ht="15" customHeight="1" x14ac:dyDescent="0.3">
      <c r="A3981" t="s">
        <v>18</v>
      </c>
      <c r="B3981" t="s">
        <v>11</v>
      </c>
      <c r="C3981" t="s">
        <v>12</v>
      </c>
      <c r="D3981" t="s">
        <v>13</v>
      </c>
      <c r="E3981">
        <v>7</v>
      </c>
      <c r="F3981" t="s">
        <v>30</v>
      </c>
      <c r="G3981" t="s">
        <v>15</v>
      </c>
      <c r="H3981" t="s">
        <v>16</v>
      </c>
      <c r="I3981">
        <v>0</v>
      </c>
      <c r="J3981" s="23">
        <v>-53060</v>
      </c>
      <c r="K3981" t="s">
        <v>17</v>
      </c>
    </row>
    <row r="3982" spans="1:11" ht="15" customHeight="1" x14ac:dyDescent="0.3">
      <c r="A3982" t="s">
        <v>10</v>
      </c>
      <c r="B3982" t="s">
        <v>19</v>
      </c>
      <c r="C3982" t="s">
        <v>24</v>
      </c>
      <c r="D3982" t="s">
        <v>28</v>
      </c>
      <c r="E3982">
        <v>24</v>
      </c>
      <c r="F3982"/>
      <c r="G3982" t="s">
        <v>15</v>
      </c>
      <c r="H3982" t="s">
        <v>16</v>
      </c>
      <c r="I3982">
        <v>0</v>
      </c>
      <c r="J3982" s="23">
        <v>18579</v>
      </c>
      <c r="K3982">
        <v>445896</v>
      </c>
    </row>
    <row r="3983" spans="1:11" ht="15" customHeight="1" x14ac:dyDescent="0.3">
      <c r="A3983" t="s">
        <v>18</v>
      </c>
      <c r="B3983" t="s">
        <v>11</v>
      </c>
      <c r="C3983" t="s">
        <v>24</v>
      </c>
      <c r="D3983" t="s">
        <v>28</v>
      </c>
      <c r="E3983">
        <v>9</v>
      </c>
      <c r="F3983" t="s">
        <v>45</v>
      </c>
      <c r="G3983" t="s">
        <v>15</v>
      </c>
      <c r="H3983" t="s">
        <v>16</v>
      </c>
      <c r="I3983">
        <v>0</v>
      </c>
      <c r="J3983" s="23">
        <v>107285</v>
      </c>
      <c r="K3983">
        <v>965565</v>
      </c>
    </row>
    <row r="3984" spans="1:11" ht="15" customHeight="1" x14ac:dyDescent="0.3">
      <c r="A3984" t="s">
        <v>10</v>
      </c>
      <c r="B3984" t="s">
        <v>11</v>
      </c>
      <c r="C3984" t="s">
        <v>24</v>
      </c>
      <c r="D3984" t="s">
        <v>28</v>
      </c>
      <c r="E3984">
        <v>10</v>
      </c>
      <c r="F3984" t="s">
        <v>40</v>
      </c>
      <c r="G3984" t="s">
        <v>15</v>
      </c>
      <c r="H3984" t="s">
        <v>16</v>
      </c>
      <c r="I3984">
        <v>0</v>
      </c>
      <c r="J3984" s="23">
        <v>272831</v>
      </c>
      <c r="K3984">
        <v>2728310</v>
      </c>
    </row>
    <row r="3985" spans="1:11" ht="15" customHeight="1" x14ac:dyDescent="0.3">
      <c r="A3985" t="s">
        <v>18</v>
      </c>
      <c r="B3985" t="s">
        <v>11</v>
      </c>
      <c r="C3985" t="s">
        <v>24</v>
      </c>
      <c r="D3985" t="s">
        <v>28</v>
      </c>
      <c r="E3985">
        <v>17</v>
      </c>
      <c r="F3985" t="s">
        <v>21</v>
      </c>
      <c r="G3985" t="s">
        <v>15</v>
      </c>
      <c r="H3985" t="s">
        <v>16</v>
      </c>
      <c r="I3985">
        <v>0</v>
      </c>
      <c r="J3985" s="23">
        <v>10143683</v>
      </c>
      <c r="K3985">
        <v>172442611</v>
      </c>
    </row>
    <row r="3986" spans="1:11" ht="15" customHeight="1" x14ac:dyDescent="0.3">
      <c r="A3986" t="s">
        <v>18</v>
      </c>
      <c r="B3986" t="s">
        <v>11</v>
      </c>
      <c r="C3986" t="s">
        <v>24</v>
      </c>
      <c r="D3986" t="s">
        <v>28</v>
      </c>
      <c r="E3986">
        <v>2</v>
      </c>
      <c r="F3986" t="s">
        <v>14</v>
      </c>
      <c r="G3986" t="s">
        <v>31</v>
      </c>
      <c r="H3986" t="s">
        <v>16</v>
      </c>
      <c r="I3986">
        <v>1</v>
      </c>
      <c r="J3986" s="23">
        <v>39066</v>
      </c>
      <c r="K3986">
        <v>78132</v>
      </c>
    </row>
    <row r="3987" spans="1:11" ht="15" customHeight="1" x14ac:dyDescent="0.3">
      <c r="A3987" t="s">
        <v>18</v>
      </c>
      <c r="B3987" t="s">
        <v>11</v>
      </c>
      <c r="C3987" t="s">
        <v>24</v>
      </c>
      <c r="D3987" t="s">
        <v>28</v>
      </c>
      <c r="E3987">
        <v>5</v>
      </c>
      <c r="F3987" t="s">
        <v>37</v>
      </c>
      <c r="G3987" t="s">
        <v>15</v>
      </c>
      <c r="H3987" t="s">
        <v>16</v>
      </c>
      <c r="I3987">
        <v>0</v>
      </c>
      <c r="J3987" s="23">
        <v>207769</v>
      </c>
      <c r="K3987">
        <v>1038845</v>
      </c>
    </row>
    <row r="3988" spans="1:11" ht="15" customHeight="1" x14ac:dyDescent="0.3">
      <c r="A3988" t="s">
        <v>18</v>
      </c>
      <c r="B3988" t="s">
        <v>19</v>
      </c>
      <c r="C3988" t="s">
        <v>24</v>
      </c>
      <c r="D3988" t="s">
        <v>20</v>
      </c>
      <c r="E3988">
        <v>-4</v>
      </c>
      <c r="F3988"/>
      <c r="G3988" t="s">
        <v>15</v>
      </c>
      <c r="H3988" t="s">
        <v>16</v>
      </c>
      <c r="I3988">
        <v>0</v>
      </c>
      <c r="J3988" s="23">
        <v>59574</v>
      </c>
      <c r="K3988" t="s">
        <v>17</v>
      </c>
    </row>
    <row r="3989" spans="1:11" ht="15" customHeight="1" x14ac:dyDescent="0.3">
      <c r="A3989" t="s">
        <v>18</v>
      </c>
      <c r="B3989" t="s">
        <v>19</v>
      </c>
      <c r="C3989" t="s">
        <v>24</v>
      </c>
      <c r="D3989" t="s">
        <v>20</v>
      </c>
      <c r="E3989">
        <v>18</v>
      </c>
      <c r="F3989"/>
      <c r="G3989" t="s">
        <v>15</v>
      </c>
      <c r="H3989" t="s">
        <v>32</v>
      </c>
      <c r="I3989">
        <v>1</v>
      </c>
      <c r="J3989" s="23">
        <v>1453507</v>
      </c>
      <c r="K3989">
        <v>26163126</v>
      </c>
    </row>
    <row r="3990" spans="1:11" ht="15" customHeight="1" x14ac:dyDescent="0.3">
      <c r="A3990" t="s">
        <v>22</v>
      </c>
      <c r="B3990" t="s">
        <v>11</v>
      </c>
      <c r="C3990" t="s">
        <v>24</v>
      </c>
      <c r="D3990" t="s">
        <v>28</v>
      </c>
      <c r="E3990">
        <v>2</v>
      </c>
      <c r="F3990" t="s">
        <v>39</v>
      </c>
      <c r="G3990" t="s">
        <v>15</v>
      </c>
      <c r="H3990" t="s">
        <v>16</v>
      </c>
      <c r="I3990">
        <v>0</v>
      </c>
      <c r="J3990" s="23">
        <v>1440866</v>
      </c>
      <c r="K3990">
        <v>2881732</v>
      </c>
    </row>
    <row r="3991" spans="1:11" ht="15" customHeight="1" x14ac:dyDescent="0.3">
      <c r="A3991" t="s">
        <v>18</v>
      </c>
      <c r="B3991" t="s">
        <v>11</v>
      </c>
      <c r="C3991" t="s">
        <v>24</v>
      </c>
      <c r="D3991" t="s">
        <v>28</v>
      </c>
      <c r="E3991">
        <v>0</v>
      </c>
      <c r="F3991" t="s">
        <v>33</v>
      </c>
      <c r="G3991" t="s">
        <v>15</v>
      </c>
      <c r="H3991" t="s">
        <v>32</v>
      </c>
      <c r="I3991">
        <v>1</v>
      </c>
      <c r="J3991" s="23">
        <v>25091</v>
      </c>
      <c r="K3991" t="s">
        <v>17</v>
      </c>
    </row>
    <row r="3992" spans="1:11" ht="15" customHeight="1" x14ac:dyDescent="0.3">
      <c r="A3992" t="s">
        <v>18</v>
      </c>
      <c r="B3992" t="s">
        <v>11</v>
      </c>
      <c r="C3992" t="s">
        <v>24</v>
      </c>
      <c r="D3992" t="s">
        <v>13</v>
      </c>
      <c r="E3992">
        <v>1</v>
      </c>
      <c r="F3992" t="s">
        <v>45</v>
      </c>
      <c r="G3992" t="s">
        <v>15</v>
      </c>
      <c r="H3992" t="s">
        <v>16</v>
      </c>
      <c r="I3992">
        <v>0</v>
      </c>
      <c r="J3992" s="23">
        <v>4586559</v>
      </c>
      <c r="K3992">
        <v>4586559</v>
      </c>
    </row>
    <row r="3993" spans="1:11" ht="15" customHeight="1" x14ac:dyDescent="0.3">
      <c r="A3993" t="s">
        <v>10</v>
      </c>
      <c r="B3993" t="s">
        <v>11</v>
      </c>
      <c r="C3993" t="s">
        <v>12</v>
      </c>
      <c r="D3993" t="s">
        <v>28</v>
      </c>
      <c r="E3993">
        <v>10</v>
      </c>
      <c r="F3993" t="s">
        <v>33</v>
      </c>
      <c r="G3993" t="s">
        <v>15</v>
      </c>
      <c r="H3993" t="s">
        <v>32</v>
      </c>
      <c r="I3993">
        <v>1</v>
      </c>
      <c r="J3993" s="23">
        <v>-50874</v>
      </c>
      <c r="K3993" t="s">
        <v>17</v>
      </c>
    </row>
    <row r="3994" spans="1:11" ht="15" customHeight="1" x14ac:dyDescent="0.3">
      <c r="A3994" t="s">
        <v>22</v>
      </c>
      <c r="B3994" t="s">
        <v>11</v>
      </c>
      <c r="C3994" t="s">
        <v>24</v>
      </c>
      <c r="D3994" t="s">
        <v>13</v>
      </c>
      <c r="E3994">
        <v>5</v>
      </c>
      <c r="F3994" t="s">
        <v>40</v>
      </c>
      <c r="G3994" t="s">
        <v>15</v>
      </c>
      <c r="H3994" t="s">
        <v>16</v>
      </c>
      <c r="I3994">
        <v>0</v>
      </c>
      <c r="J3994" s="23">
        <v>640966</v>
      </c>
      <c r="K3994">
        <v>3204830</v>
      </c>
    </row>
    <row r="3995" spans="1:11" ht="15" customHeight="1" x14ac:dyDescent="0.3">
      <c r="A3995" t="s">
        <v>22</v>
      </c>
      <c r="B3995" t="s">
        <v>11</v>
      </c>
      <c r="C3995" t="s">
        <v>24</v>
      </c>
      <c r="D3995" t="s">
        <v>28</v>
      </c>
      <c r="E3995">
        <v>10</v>
      </c>
      <c r="F3995" t="s">
        <v>42</v>
      </c>
      <c r="G3995" t="s">
        <v>15</v>
      </c>
      <c r="H3995" t="s">
        <v>16</v>
      </c>
      <c r="I3995">
        <v>0</v>
      </c>
      <c r="J3995" s="23">
        <v>11242</v>
      </c>
      <c r="K3995">
        <v>112420</v>
      </c>
    </row>
    <row r="3996" spans="1:11" ht="15" customHeight="1" x14ac:dyDescent="0.3">
      <c r="A3996" t="s">
        <v>18</v>
      </c>
      <c r="B3996" t="s">
        <v>11</v>
      </c>
      <c r="C3996" t="s">
        <v>24</v>
      </c>
      <c r="D3996" t="s">
        <v>13</v>
      </c>
      <c r="E3996">
        <v>-1</v>
      </c>
      <c r="F3996" t="s">
        <v>39</v>
      </c>
      <c r="G3996" t="s">
        <v>15</v>
      </c>
      <c r="H3996" t="s">
        <v>16</v>
      </c>
      <c r="I3996">
        <v>0</v>
      </c>
      <c r="J3996" s="23">
        <v>24695568</v>
      </c>
      <c r="K3996" t="s">
        <v>17</v>
      </c>
    </row>
    <row r="3997" spans="1:11" ht="15" customHeight="1" x14ac:dyDescent="0.3">
      <c r="A3997" t="s">
        <v>18</v>
      </c>
      <c r="B3997" t="s">
        <v>11</v>
      </c>
      <c r="C3997" t="s">
        <v>24</v>
      </c>
      <c r="D3997" t="s">
        <v>28</v>
      </c>
      <c r="E3997">
        <v>1</v>
      </c>
      <c r="F3997" t="s">
        <v>37</v>
      </c>
      <c r="G3997" t="s">
        <v>15</v>
      </c>
      <c r="H3997" t="s">
        <v>16</v>
      </c>
      <c r="I3997">
        <v>0</v>
      </c>
      <c r="J3997" s="23">
        <v>18672</v>
      </c>
      <c r="K3997">
        <v>18672</v>
      </c>
    </row>
    <row r="3998" spans="1:11" ht="15" customHeight="1" x14ac:dyDescent="0.3">
      <c r="A3998" t="s">
        <v>18</v>
      </c>
      <c r="B3998" t="s">
        <v>11</v>
      </c>
      <c r="C3998" t="s">
        <v>24</v>
      </c>
      <c r="D3998" t="s">
        <v>13</v>
      </c>
      <c r="E3998">
        <v>12</v>
      </c>
      <c r="F3998" t="s">
        <v>26</v>
      </c>
      <c r="G3998" t="s">
        <v>15</v>
      </c>
      <c r="H3998" t="s">
        <v>16</v>
      </c>
      <c r="I3998">
        <v>0</v>
      </c>
      <c r="J3998" s="23">
        <v>14495291</v>
      </c>
      <c r="K3998">
        <v>173943492</v>
      </c>
    </row>
    <row r="3999" spans="1:11" ht="15" customHeight="1" x14ac:dyDescent="0.3">
      <c r="A3999" t="s">
        <v>22</v>
      </c>
      <c r="B3999" t="s">
        <v>11</v>
      </c>
      <c r="C3999" t="s">
        <v>24</v>
      </c>
      <c r="D3999" t="s">
        <v>25</v>
      </c>
      <c r="E3999">
        <v>1</v>
      </c>
      <c r="F3999" t="s">
        <v>33</v>
      </c>
      <c r="G3999" t="s">
        <v>15</v>
      </c>
      <c r="H3999" t="s">
        <v>16</v>
      </c>
      <c r="I3999">
        <v>0</v>
      </c>
      <c r="J3999" s="23">
        <v>94326</v>
      </c>
      <c r="K3999">
        <v>94326</v>
      </c>
    </row>
    <row r="4000" spans="1:11" ht="15" customHeight="1" x14ac:dyDescent="0.3">
      <c r="A4000" t="s">
        <v>10</v>
      </c>
      <c r="B4000" t="s">
        <v>11</v>
      </c>
      <c r="C4000" t="s">
        <v>12</v>
      </c>
      <c r="D4000" t="s">
        <v>25</v>
      </c>
      <c r="E4000">
        <v>2</v>
      </c>
      <c r="F4000" t="s">
        <v>42</v>
      </c>
      <c r="G4000" t="s">
        <v>15</v>
      </c>
      <c r="H4000" t="s">
        <v>16</v>
      </c>
      <c r="I4000">
        <v>0</v>
      </c>
      <c r="J4000" s="23">
        <v>-247</v>
      </c>
      <c r="K4000" t="s">
        <v>17</v>
      </c>
    </row>
    <row r="4001" spans="1:11" ht="15" customHeight="1" x14ac:dyDescent="0.3">
      <c r="A4001" t="s">
        <v>18</v>
      </c>
      <c r="B4001" t="s">
        <v>11</v>
      </c>
      <c r="C4001" t="s">
        <v>12</v>
      </c>
      <c r="D4001" t="s">
        <v>28</v>
      </c>
      <c r="E4001">
        <v>6</v>
      </c>
      <c r="F4001" t="s">
        <v>34</v>
      </c>
      <c r="G4001" t="s">
        <v>15</v>
      </c>
      <c r="H4001" t="s">
        <v>32</v>
      </c>
      <c r="I4001">
        <v>1</v>
      </c>
      <c r="J4001" s="23">
        <v>-1805</v>
      </c>
      <c r="K4001" t="s">
        <v>17</v>
      </c>
    </row>
    <row r="4002" spans="1:11" ht="15" customHeight="1" x14ac:dyDescent="0.3">
      <c r="A4002" t="s">
        <v>10</v>
      </c>
      <c r="B4002" t="s">
        <v>11</v>
      </c>
      <c r="C4002" t="s">
        <v>12</v>
      </c>
      <c r="D4002" t="s">
        <v>28</v>
      </c>
      <c r="E4002">
        <v>-1</v>
      </c>
      <c r="F4002" t="s">
        <v>23</v>
      </c>
      <c r="G4002" t="s">
        <v>15</v>
      </c>
      <c r="H4002" t="s">
        <v>16</v>
      </c>
      <c r="I4002">
        <v>0</v>
      </c>
      <c r="J4002" s="23">
        <v>-3953</v>
      </c>
      <c r="K4002" t="s">
        <v>17</v>
      </c>
    </row>
    <row r="4003" spans="1:11" ht="15" customHeight="1" x14ac:dyDescent="0.3">
      <c r="A4003" t="s">
        <v>18</v>
      </c>
      <c r="B4003" t="s">
        <v>11</v>
      </c>
      <c r="C4003" t="s">
        <v>12</v>
      </c>
      <c r="D4003" t="s">
        <v>13</v>
      </c>
      <c r="E4003">
        <v>13</v>
      </c>
      <c r="F4003" t="s">
        <v>23</v>
      </c>
      <c r="G4003" t="s">
        <v>15</v>
      </c>
      <c r="H4003" t="s">
        <v>16</v>
      </c>
      <c r="I4003">
        <v>0</v>
      </c>
      <c r="J4003" s="23">
        <v>-2457</v>
      </c>
      <c r="K4003" t="s">
        <v>17</v>
      </c>
    </row>
    <row r="4004" spans="1:11" ht="15" customHeight="1" x14ac:dyDescent="0.3">
      <c r="A4004" t="s">
        <v>22</v>
      </c>
      <c r="B4004" t="s">
        <v>11</v>
      </c>
      <c r="C4004" t="s">
        <v>24</v>
      </c>
      <c r="D4004" t="s">
        <v>13</v>
      </c>
      <c r="E4004">
        <v>2</v>
      </c>
      <c r="F4004" t="s">
        <v>42</v>
      </c>
      <c r="G4004" t="s">
        <v>15</v>
      </c>
      <c r="H4004" t="s">
        <v>16</v>
      </c>
      <c r="I4004">
        <v>0</v>
      </c>
      <c r="J4004" s="23">
        <v>109497</v>
      </c>
      <c r="K4004">
        <v>218994</v>
      </c>
    </row>
    <row r="4005" spans="1:11" ht="15" customHeight="1" x14ac:dyDescent="0.3">
      <c r="A4005" t="s">
        <v>22</v>
      </c>
      <c r="B4005" t="s">
        <v>11</v>
      </c>
      <c r="C4005" t="s">
        <v>12</v>
      </c>
      <c r="D4005" t="s">
        <v>13</v>
      </c>
      <c r="E4005">
        <v>5</v>
      </c>
      <c r="F4005" t="s">
        <v>40</v>
      </c>
      <c r="G4005" t="s">
        <v>15</v>
      </c>
      <c r="H4005" t="s">
        <v>16</v>
      </c>
      <c r="I4005">
        <v>0</v>
      </c>
      <c r="J4005" s="23">
        <v>-372718</v>
      </c>
      <c r="K4005" t="s">
        <v>17</v>
      </c>
    </row>
    <row r="4006" spans="1:11" ht="15" customHeight="1" x14ac:dyDescent="0.3">
      <c r="A4006" t="s">
        <v>22</v>
      </c>
      <c r="B4006" t="s">
        <v>19</v>
      </c>
      <c r="C4006" t="s">
        <v>24</v>
      </c>
      <c r="D4006" t="s">
        <v>20</v>
      </c>
      <c r="E4006">
        <v>34</v>
      </c>
      <c r="F4006"/>
      <c r="G4006" t="s">
        <v>15</v>
      </c>
      <c r="H4006" t="s">
        <v>16</v>
      </c>
      <c r="I4006">
        <v>0</v>
      </c>
      <c r="J4006" s="23">
        <v>5702095</v>
      </c>
      <c r="K4006">
        <v>193871230</v>
      </c>
    </row>
    <row r="4007" spans="1:11" ht="15" customHeight="1" x14ac:dyDescent="0.3">
      <c r="A4007" t="s">
        <v>22</v>
      </c>
      <c r="B4007" t="s">
        <v>11</v>
      </c>
      <c r="C4007" t="s">
        <v>24</v>
      </c>
      <c r="D4007" t="s">
        <v>28</v>
      </c>
      <c r="E4007">
        <v>6</v>
      </c>
      <c r="F4007" t="s">
        <v>27</v>
      </c>
      <c r="G4007" t="s">
        <v>15</v>
      </c>
      <c r="H4007" t="s">
        <v>16</v>
      </c>
      <c r="I4007">
        <v>0</v>
      </c>
      <c r="J4007" s="23">
        <v>103625</v>
      </c>
      <c r="K4007">
        <v>621750</v>
      </c>
    </row>
    <row r="4008" spans="1:11" ht="15" customHeight="1" x14ac:dyDescent="0.3">
      <c r="A4008" t="s">
        <v>18</v>
      </c>
      <c r="B4008" t="s">
        <v>11</v>
      </c>
      <c r="C4008" t="s">
        <v>24</v>
      </c>
      <c r="D4008" t="s">
        <v>28</v>
      </c>
      <c r="E4008">
        <v>3</v>
      </c>
      <c r="F4008" t="s">
        <v>14</v>
      </c>
      <c r="G4008" t="s">
        <v>15</v>
      </c>
      <c r="H4008" t="s">
        <v>16</v>
      </c>
      <c r="I4008">
        <v>0</v>
      </c>
      <c r="J4008" s="23">
        <v>2835247</v>
      </c>
      <c r="K4008">
        <v>8505741</v>
      </c>
    </row>
    <row r="4009" spans="1:11" ht="15" customHeight="1" x14ac:dyDescent="0.3">
      <c r="A4009" t="s">
        <v>18</v>
      </c>
      <c r="B4009" t="s">
        <v>11</v>
      </c>
      <c r="C4009" t="s">
        <v>24</v>
      </c>
      <c r="D4009" t="s">
        <v>28</v>
      </c>
      <c r="E4009">
        <v>8</v>
      </c>
      <c r="F4009" t="s">
        <v>40</v>
      </c>
      <c r="G4009" t="s">
        <v>15</v>
      </c>
      <c r="H4009" t="s">
        <v>16</v>
      </c>
      <c r="I4009">
        <v>0</v>
      </c>
      <c r="J4009" s="23">
        <v>515766</v>
      </c>
      <c r="K4009">
        <v>4126128</v>
      </c>
    </row>
    <row r="4010" spans="1:11" ht="15" customHeight="1" x14ac:dyDescent="0.3">
      <c r="A4010" t="s">
        <v>10</v>
      </c>
      <c r="B4010" t="s">
        <v>11</v>
      </c>
      <c r="C4010" t="s">
        <v>24</v>
      </c>
      <c r="D4010" t="s">
        <v>28</v>
      </c>
      <c r="E4010">
        <v>-4</v>
      </c>
      <c r="F4010" t="s">
        <v>27</v>
      </c>
      <c r="G4010" t="s">
        <v>15</v>
      </c>
      <c r="H4010" t="s">
        <v>16</v>
      </c>
      <c r="I4010">
        <v>0</v>
      </c>
      <c r="J4010" s="23">
        <v>18</v>
      </c>
      <c r="K4010" t="s">
        <v>17</v>
      </c>
    </row>
    <row r="4011" spans="1:11" ht="15" customHeight="1" x14ac:dyDescent="0.3">
      <c r="A4011" t="s">
        <v>10</v>
      </c>
      <c r="B4011" t="s">
        <v>11</v>
      </c>
      <c r="C4011" t="s">
        <v>24</v>
      </c>
      <c r="D4011" t="s">
        <v>28</v>
      </c>
      <c r="E4011">
        <v>9</v>
      </c>
      <c r="F4011" t="s">
        <v>45</v>
      </c>
      <c r="G4011" t="s">
        <v>15</v>
      </c>
      <c r="H4011" t="s">
        <v>16</v>
      </c>
      <c r="I4011">
        <v>0</v>
      </c>
      <c r="J4011" s="23">
        <v>62920</v>
      </c>
      <c r="K4011">
        <v>566280</v>
      </c>
    </row>
    <row r="4012" spans="1:11" ht="15" customHeight="1" x14ac:dyDescent="0.3">
      <c r="A4012" t="s">
        <v>18</v>
      </c>
      <c r="B4012" t="s">
        <v>19</v>
      </c>
      <c r="C4012" t="s">
        <v>12</v>
      </c>
      <c r="D4012" t="s">
        <v>20</v>
      </c>
      <c r="E4012">
        <v>41</v>
      </c>
      <c r="F4012"/>
      <c r="G4012" t="s">
        <v>15</v>
      </c>
      <c r="H4012" t="s">
        <v>32</v>
      </c>
      <c r="I4012">
        <v>1</v>
      </c>
      <c r="J4012" s="23">
        <v>-464</v>
      </c>
      <c r="K4012" t="s">
        <v>17</v>
      </c>
    </row>
    <row r="4013" spans="1:11" ht="15" customHeight="1" x14ac:dyDescent="0.3">
      <c r="A4013" t="s">
        <v>22</v>
      </c>
      <c r="B4013" t="s">
        <v>11</v>
      </c>
      <c r="C4013" t="s">
        <v>24</v>
      </c>
      <c r="D4013" t="s">
        <v>13</v>
      </c>
      <c r="E4013">
        <v>2</v>
      </c>
      <c r="F4013" t="s">
        <v>39</v>
      </c>
      <c r="G4013" t="s">
        <v>15</v>
      </c>
      <c r="H4013" t="s">
        <v>16</v>
      </c>
      <c r="I4013">
        <v>0</v>
      </c>
      <c r="J4013" s="23">
        <v>452897</v>
      </c>
      <c r="K4013">
        <v>905794</v>
      </c>
    </row>
    <row r="4014" spans="1:11" ht="15" customHeight="1" x14ac:dyDescent="0.3">
      <c r="A4014" t="s">
        <v>22</v>
      </c>
      <c r="B4014" t="s">
        <v>11</v>
      </c>
      <c r="C4014" t="s">
        <v>12</v>
      </c>
      <c r="D4014" t="s">
        <v>25</v>
      </c>
      <c r="E4014">
        <v>1</v>
      </c>
      <c r="F4014" t="s">
        <v>26</v>
      </c>
      <c r="G4014" t="s">
        <v>15</v>
      </c>
      <c r="H4014" t="s">
        <v>16</v>
      </c>
      <c r="I4014">
        <v>0</v>
      </c>
      <c r="J4014" s="23">
        <v>-7337</v>
      </c>
      <c r="K4014" t="s">
        <v>17</v>
      </c>
    </row>
    <row r="4015" spans="1:11" ht="15" customHeight="1" x14ac:dyDescent="0.3">
      <c r="A4015" t="s">
        <v>18</v>
      </c>
      <c r="B4015" t="s">
        <v>11</v>
      </c>
      <c r="C4015" t="s">
        <v>24</v>
      </c>
      <c r="D4015" t="s">
        <v>13</v>
      </c>
      <c r="E4015">
        <v>4</v>
      </c>
      <c r="F4015" t="s">
        <v>14</v>
      </c>
      <c r="G4015" t="s">
        <v>15</v>
      </c>
      <c r="H4015" t="s">
        <v>16</v>
      </c>
      <c r="I4015">
        <v>0</v>
      </c>
      <c r="J4015" s="23">
        <v>5537392</v>
      </c>
      <c r="K4015">
        <v>22149568</v>
      </c>
    </row>
    <row r="4016" spans="1:11" ht="15" customHeight="1" x14ac:dyDescent="0.3">
      <c r="A4016" t="s">
        <v>18</v>
      </c>
      <c r="B4016" t="s">
        <v>11</v>
      </c>
      <c r="C4016" t="s">
        <v>24</v>
      </c>
      <c r="D4016" t="s">
        <v>28</v>
      </c>
      <c r="E4016">
        <v>-1</v>
      </c>
      <c r="F4016" t="s">
        <v>29</v>
      </c>
      <c r="G4016" t="s">
        <v>15</v>
      </c>
      <c r="H4016" t="s">
        <v>32</v>
      </c>
      <c r="I4016">
        <v>1</v>
      </c>
      <c r="J4016" s="23">
        <v>1280770</v>
      </c>
      <c r="K4016" t="s">
        <v>17</v>
      </c>
    </row>
    <row r="4017" spans="1:11" ht="15" customHeight="1" x14ac:dyDescent="0.3">
      <c r="A4017" t="s">
        <v>22</v>
      </c>
      <c r="B4017" t="s">
        <v>44</v>
      </c>
      <c r="C4017" t="s">
        <v>24</v>
      </c>
      <c r="D4017" t="s">
        <v>28</v>
      </c>
      <c r="E4017">
        <v>9</v>
      </c>
      <c r="F4017" t="s">
        <v>34</v>
      </c>
      <c r="G4017" t="s">
        <v>15</v>
      </c>
      <c r="H4017" t="s">
        <v>16</v>
      </c>
      <c r="I4017">
        <v>0</v>
      </c>
      <c r="J4017" s="23">
        <v>976067</v>
      </c>
      <c r="K4017">
        <v>8784603</v>
      </c>
    </row>
    <row r="4018" spans="1:11" ht="15" customHeight="1" x14ac:dyDescent="0.3">
      <c r="A4018" t="s">
        <v>18</v>
      </c>
      <c r="B4018" t="s">
        <v>11</v>
      </c>
      <c r="C4018" t="s">
        <v>24</v>
      </c>
      <c r="D4018" t="s">
        <v>13</v>
      </c>
      <c r="E4018">
        <v>16</v>
      </c>
      <c r="F4018" t="s">
        <v>14</v>
      </c>
      <c r="G4018" t="s">
        <v>15</v>
      </c>
      <c r="H4018" t="s">
        <v>16</v>
      </c>
      <c r="I4018">
        <v>0</v>
      </c>
      <c r="J4018" s="23">
        <v>340967</v>
      </c>
      <c r="K4018">
        <v>5455472</v>
      </c>
    </row>
    <row r="4019" spans="1:11" ht="15" customHeight="1" x14ac:dyDescent="0.3">
      <c r="A4019" t="s">
        <v>10</v>
      </c>
      <c r="B4019" t="s">
        <v>19</v>
      </c>
      <c r="C4019" t="s">
        <v>12</v>
      </c>
      <c r="D4019" t="s">
        <v>20</v>
      </c>
      <c r="E4019">
        <v>8</v>
      </c>
      <c r="F4019"/>
      <c r="G4019" t="s">
        <v>31</v>
      </c>
      <c r="H4019" t="s">
        <v>16</v>
      </c>
      <c r="I4019">
        <v>1</v>
      </c>
      <c r="J4019" s="23">
        <v>-6976</v>
      </c>
      <c r="K4019" t="s">
        <v>17</v>
      </c>
    </row>
    <row r="4020" spans="1:11" ht="15" customHeight="1" x14ac:dyDescent="0.3">
      <c r="A4020" t="s">
        <v>10</v>
      </c>
      <c r="B4020" t="s">
        <v>11</v>
      </c>
      <c r="C4020" t="s">
        <v>12</v>
      </c>
      <c r="D4020" t="s">
        <v>28</v>
      </c>
      <c r="E4020">
        <v>15</v>
      </c>
      <c r="F4020" t="s">
        <v>27</v>
      </c>
      <c r="G4020" t="s">
        <v>15</v>
      </c>
      <c r="H4020" t="s">
        <v>16</v>
      </c>
      <c r="I4020">
        <v>0</v>
      </c>
      <c r="J4020" s="23">
        <v>-27725</v>
      </c>
      <c r="K4020" t="s">
        <v>17</v>
      </c>
    </row>
    <row r="4021" spans="1:11" ht="15" customHeight="1" x14ac:dyDescent="0.3">
      <c r="A4021" t="s">
        <v>22</v>
      </c>
      <c r="B4021" t="s">
        <v>19</v>
      </c>
      <c r="C4021" t="s">
        <v>24</v>
      </c>
      <c r="D4021" t="s">
        <v>20</v>
      </c>
      <c r="E4021">
        <v>40</v>
      </c>
      <c r="F4021"/>
      <c r="G4021" t="s">
        <v>15</v>
      </c>
      <c r="H4021" t="s">
        <v>16</v>
      </c>
      <c r="I4021">
        <v>0</v>
      </c>
      <c r="J4021" s="23">
        <v>1160185</v>
      </c>
      <c r="K4021">
        <v>46407400</v>
      </c>
    </row>
    <row r="4022" spans="1:11" ht="15" customHeight="1" x14ac:dyDescent="0.3">
      <c r="A4022" t="s">
        <v>10</v>
      </c>
      <c r="B4022" t="s">
        <v>11</v>
      </c>
      <c r="C4022" t="s">
        <v>12</v>
      </c>
      <c r="D4022" t="s">
        <v>13</v>
      </c>
      <c r="E4022">
        <v>-4</v>
      </c>
      <c r="F4022" t="s">
        <v>30</v>
      </c>
      <c r="G4022" t="s">
        <v>15</v>
      </c>
      <c r="H4022" t="s">
        <v>16</v>
      </c>
      <c r="I4022">
        <v>0</v>
      </c>
      <c r="J4022" s="23">
        <v>-179</v>
      </c>
      <c r="K4022" t="s">
        <v>17</v>
      </c>
    </row>
    <row r="4023" spans="1:11" ht="15" customHeight="1" x14ac:dyDescent="0.3">
      <c r="A4023" t="s">
        <v>10</v>
      </c>
      <c r="B4023" t="s">
        <v>11</v>
      </c>
      <c r="C4023" t="s">
        <v>12</v>
      </c>
      <c r="D4023" t="s">
        <v>13</v>
      </c>
      <c r="E4023">
        <v>-1</v>
      </c>
      <c r="F4023" t="s">
        <v>39</v>
      </c>
      <c r="G4023" t="s">
        <v>15</v>
      </c>
      <c r="H4023" t="s">
        <v>16</v>
      </c>
      <c r="I4023">
        <v>0</v>
      </c>
      <c r="J4023" s="23">
        <v>-462277</v>
      </c>
      <c r="K4023" t="s">
        <v>17</v>
      </c>
    </row>
    <row r="4024" spans="1:11" ht="15" customHeight="1" x14ac:dyDescent="0.3">
      <c r="A4024" t="s">
        <v>10</v>
      </c>
      <c r="B4024" t="s">
        <v>19</v>
      </c>
      <c r="C4024" t="s">
        <v>12</v>
      </c>
      <c r="D4024" t="s">
        <v>20</v>
      </c>
      <c r="E4024">
        <v>28</v>
      </c>
      <c r="F4024"/>
      <c r="G4024" t="s">
        <v>15</v>
      </c>
      <c r="H4024" t="s">
        <v>16</v>
      </c>
      <c r="I4024">
        <v>0</v>
      </c>
      <c r="J4024" s="23">
        <v>-1378731</v>
      </c>
      <c r="K4024" t="s">
        <v>17</v>
      </c>
    </row>
    <row r="4025" spans="1:11" ht="15" customHeight="1" x14ac:dyDescent="0.3">
      <c r="A4025" t="s">
        <v>18</v>
      </c>
      <c r="B4025" t="s">
        <v>11</v>
      </c>
      <c r="C4025" t="s">
        <v>24</v>
      </c>
      <c r="D4025" t="s">
        <v>28</v>
      </c>
      <c r="E4025">
        <v>3</v>
      </c>
      <c r="F4025" t="s">
        <v>33</v>
      </c>
      <c r="G4025" t="s">
        <v>15</v>
      </c>
      <c r="H4025" t="s">
        <v>16</v>
      </c>
      <c r="I4025">
        <v>0</v>
      </c>
      <c r="J4025" s="23">
        <v>538205</v>
      </c>
      <c r="K4025">
        <v>1614615</v>
      </c>
    </row>
    <row r="4026" spans="1:11" ht="15" customHeight="1" x14ac:dyDescent="0.3">
      <c r="A4026" t="s">
        <v>18</v>
      </c>
      <c r="B4026" t="s">
        <v>11</v>
      </c>
      <c r="C4026" t="s">
        <v>12</v>
      </c>
      <c r="D4026" t="s">
        <v>28</v>
      </c>
      <c r="E4026">
        <v>4</v>
      </c>
      <c r="F4026" t="s">
        <v>23</v>
      </c>
      <c r="G4026" t="s">
        <v>15</v>
      </c>
      <c r="H4026" t="s">
        <v>16</v>
      </c>
      <c r="I4026">
        <v>0</v>
      </c>
      <c r="J4026" s="23">
        <v>-10810</v>
      </c>
      <c r="K4026" t="s">
        <v>17</v>
      </c>
    </row>
    <row r="4027" spans="1:11" ht="15" customHeight="1" x14ac:dyDescent="0.3">
      <c r="A4027" t="s">
        <v>18</v>
      </c>
      <c r="B4027" t="s">
        <v>11</v>
      </c>
      <c r="C4027" t="s">
        <v>24</v>
      </c>
      <c r="D4027" t="s">
        <v>13</v>
      </c>
      <c r="E4027">
        <v>5</v>
      </c>
      <c r="F4027" t="s">
        <v>26</v>
      </c>
      <c r="G4027" t="s">
        <v>15</v>
      </c>
      <c r="H4027" t="s">
        <v>16</v>
      </c>
      <c r="I4027">
        <v>0</v>
      </c>
      <c r="J4027" s="23">
        <v>53173638</v>
      </c>
      <c r="K4027">
        <v>265868190</v>
      </c>
    </row>
    <row r="4028" spans="1:11" ht="15" customHeight="1" x14ac:dyDescent="0.3">
      <c r="A4028" t="s">
        <v>18</v>
      </c>
      <c r="B4028" t="s">
        <v>19</v>
      </c>
      <c r="C4028" t="s">
        <v>12</v>
      </c>
      <c r="D4028" t="s">
        <v>20</v>
      </c>
      <c r="E4028">
        <v>13</v>
      </c>
      <c r="F4028"/>
      <c r="G4028" t="s">
        <v>31</v>
      </c>
      <c r="H4028" t="s">
        <v>16</v>
      </c>
      <c r="I4028">
        <v>1</v>
      </c>
      <c r="J4028" s="23">
        <v>-1064</v>
      </c>
      <c r="K4028" t="s">
        <v>17</v>
      </c>
    </row>
    <row r="4029" spans="1:11" ht="15" customHeight="1" x14ac:dyDescent="0.3">
      <c r="A4029" t="s">
        <v>10</v>
      </c>
      <c r="B4029" t="s">
        <v>11</v>
      </c>
      <c r="C4029" t="s">
        <v>12</v>
      </c>
      <c r="D4029" t="s">
        <v>25</v>
      </c>
      <c r="E4029">
        <v>3</v>
      </c>
      <c r="F4029" t="s">
        <v>21</v>
      </c>
      <c r="G4029" t="s">
        <v>15</v>
      </c>
      <c r="H4029" t="s">
        <v>16</v>
      </c>
      <c r="I4029">
        <v>0</v>
      </c>
      <c r="J4029" s="23">
        <v>-115950</v>
      </c>
      <c r="K4029" t="s">
        <v>17</v>
      </c>
    </row>
    <row r="4030" spans="1:11" ht="15" customHeight="1" x14ac:dyDescent="0.3">
      <c r="A4030" t="s">
        <v>10</v>
      </c>
      <c r="B4030" t="s">
        <v>19</v>
      </c>
      <c r="C4030" t="s">
        <v>12</v>
      </c>
      <c r="D4030" t="s">
        <v>20</v>
      </c>
      <c r="E4030">
        <v>9</v>
      </c>
      <c r="F4030"/>
      <c r="G4030" t="s">
        <v>31</v>
      </c>
      <c r="H4030" t="s">
        <v>16</v>
      </c>
      <c r="I4030">
        <v>1</v>
      </c>
      <c r="J4030" s="23">
        <v>-2431</v>
      </c>
      <c r="K4030" t="s">
        <v>17</v>
      </c>
    </row>
    <row r="4031" spans="1:11" ht="15" customHeight="1" x14ac:dyDescent="0.3">
      <c r="A4031" t="s">
        <v>18</v>
      </c>
      <c r="B4031" t="s">
        <v>11</v>
      </c>
      <c r="C4031" t="s">
        <v>24</v>
      </c>
      <c r="D4031" t="s">
        <v>25</v>
      </c>
      <c r="E4031">
        <v>5</v>
      </c>
      <c r="F4031" t="s">
        <v>35</v>
      </c>
      <c r="G4031" t="s">
        <v>15</v>
      </c>
      <c r="H4031" t="s">
        <v>16</v>
      </c>
      <c r="I4031">
        <v>0</v>
      </c>
      <c r="J4031" s="23">
        <v>332674</v>
      </c>
      <c r="K4031">
        <v>1663370</v>
      </c>
    </row>
    <row r="4032" spans="1:11" ht="15" customHeight="1" x14ac:dyDescent="0.3">
      <c r="A4032" t="s">
        <v>10</v>
      </c>
      <c r="B4032" t="s">
        <v>11</v>
      </c>
      <c r="C4032" t="s">
        <v>24</v>
      </c>
      <c r="D4032" t="s">
        <v>28</v>
      </c>
      <c r="E4032">
        <v>-4</v>
      </c>
      <c r="F4032" t="s">
        <v>29</v>
      </c>
      <c r="G4032" t="s">
        <v>15</v>
      </c>
      <c r="H4032" t="s">
        <v>32</v>
      </c>
      <c r="I4032">
        <v>1</v>
      </c>
      <c r="J4032" s="23">
        <v>218</v>
      </c>
      <c r="K4032" t="s">
        <v>17</v>
      </c>
    </row>
    <row r="4033" spans="1:11" ht="15" customHeight="1" x14ac:dyDescent="0.3">
      <c r="A4033" t="s">
        <v>10</v>
      </c>
      <c r="B4033" t="s">
        <v>11</v>
      </c>
      <c r="C4033" t="s">
        <v>24</v>
      </c>
      <c r="D4033" t="s">
        <v>13</v>
      </c>
      <c r="E4033">
        <v>1</v>
      </c>
      <c r="F4033" t="s">
        <v>37</v>
      </c>
      <c r="G4033" t="s">
        <v>15</v>
      </c>
      <c r="H4033" t="s">
        <v>16</v>
      </c>
      <c r="I4033">
        <v>0</v>
      </c>
      <c r="J4033" s="23">
        <v>1216364</v>
      </c>
      <c r="K4033">
        <v>1216364</v>
      </c>
    </row>
    <row r="4034" spans="1:11" ht="15" customHeight="1" x14ac:dyDescent="0.3">
      <c r="A4034" t="s">
        <v>22</v>
      </c>
      <c r="B4034" t="s">
        <v>11</v>
      </c>
      <c r="C4034" t="s">
        <v>12</v>
      </c>
      <c r="D4034" t="s">
        <v>13</v>
      </c>
      <c r="E4034">
        <v>11</v>
      </c>
      <c r="F4034" t="s">
        <v>29</v>
      </c>
      <c r="G4034" t="s">
        <v>15</v>
      </c>
      <c r="H4034" t="s">
        <v>16</v>
      </c>
      <c r="I4034">
        <v>0</v>
      </c>
      <c r="J4034" s="23">
        <v>-371120</v>
      </c>
      <c r="K4034" t="s">
        <v>17</v>
      </c>
    </row>
    <row r="4035" spans="1:11" ht="15" customHeight="1" x14ac:dyDescent="0.3">
      <c r="A4035" t="s">
        <v>22</v>
      </c>
      <c r="B4035" t="s">
        <v>11</v>
      </c>
      <c r="C4035" t="s">
        <v>24</v>
      </c>
      <c r="D4035" t="s">
        <v>13</v>
      </c>
      <c r="E4035">
        <v>3</v>
      </c>
      <c r="F4035" t="s">
        <v>40</v>
      </c>
      <c r="G4035" t="s">
        <v>15</v>
      </c>
      <c r="H4035" t="s">
        <v>16</v>
      </c>
      <c r="I4035">
        <v>0</v>
      </c>
      <c r="J4035" s="23">
        <v>1296166</v>
      </c>
      <c r="K4035">
        <v>3888498</v>
      </c>
    </row>
    <row r="4036" spans="1:11" ht="15" customHeight="1" x14ac:dyDescent="0.3">
      <c r="A4036" t="s">
        <v>18</v>
      </c>
      <c r="B4036" t="s">
        <v>19</v>
      </c>
      <c r="C4036" t="s">
        <v>24</v>
      </c>
      <c r="D4036" t="s">
        <v>20</v>
      </c>
      <c r="E4036">
        <v>10</v>
      </c>
      <c r="F4036"/>
      <c r="G4036" t="s">
        <v>31</v>
      </c>
      <c r="H4036" t="s">
        <v>16</v>
      </c>
      <c r="I4036">
        <v>1</v>
      </c>
      <c r="J4036" s="23">
        <v>2344797</v>
      </c>
      <c r="K4036">
        <v>23447970</v>
      </c>
    </row>
    <row r="4037" spans="1:11" ht="15" customHeight="1" x14ac:dyDescent="0.3">
      <c r="A4037" t="s">
        <v>10</v>
      </c>
      <c r="B4037" t="s">
        <v>11</v>
      </c>
      <c r="C4037" t="s">
        <v>24</v>
      </c>
      <c r="D4037" t="s">
        <v>25</v>
      </c>
      <c r="E4037">
        <v>2</v>
      </c>
      <c r="F4037" t="s">
        <v>34</v>
      </c>
      <c r="G4037" t="s">
        <v>15</v>
      </c>
      <c r="H4037" t="s">
        <v>16</v>
      </c>
      <c r="I4037">
        <v>0</v>
      </c>
      <c r="J4037" s="23">
        <v>1914479</v>
      </c>
      <c r="K4037">
        <v>3828958</v>
      </c>
    </row>
    <row r="4038" spans="1:11" ht="15" customHeight="1" x14ac:dyDescent="0.3">
      <c r="A4038" t="s">
        <v>18</v>
      </c>
      <c r="B4038" t="s">
        <v>19</v>
      </c>
      <c r="C4038" t="s">
        <v>12</v>
      </c>
      <c r="D4038" t="s">
        <v>20</v>
      </c>
      <c r="E4038">
        <v>7</v>
      </c>
      <c r="F4038"/>
      <c r="G4038" t="s">
        <v>15</v>
      </c>
      <c r="H4038" t="s">
        <v>32</v>
      </c>
      <c r="I4038">
        <v>1</v>
      </c>
      <c r="J4038" s="23">
        <v>-636</v>
      </c>
      <c r="K4038" t="s">
        <v>17</v>
      </c>
    </row>
    <row r="4039" spans="1:11" ht="15" customHeight="1" x14ac:dyDescent="0.3">
      <c r="A4039" t="s">
        <v>22</v>
      </c>
      <c r="B4039" t="s">
        <v>19</v>
      </c>
      <c r="C4039" t="s">
        <v>12</v>
      </c>
      <c r="D4039" t="s">
        <v>28</v>
      </c>
      <c r="E4039">
        <v>6</v>
      </c>
      <c r="F4039"/>
      <c r="G4039" t="s">
        <v>15</v>
      </c>
      <c r="H4039" t="s">
        <v>16</v>
      </c>
      <c r="I4039">
        <v>0</v>
      </c>
      <c r="J4039" s="23">
        <v>-10088</v>
      </c>
      <c r="K4039" t="s">
        <v>17</v>
      </c>
    </row>
    <row r="4040" spans="1:11" ht="15" customHeight="1" x14ac:dyDescent="0.3">
      <c r="A4040" t="s">
        <v>18</v>
      </c>
      <c r="B4040" t="s">
        <v>44</v>
      </c>
      <c r="C4040" t="s">
        <v>12</v>
      </c>
      <c r="D4040" t="s">
        <v>28</v>
      </c>
      <c r="E4040">
        <v>0</v>
      </c>
      <c r="F4040" t="s">
        <v>40</v>
      </c>
      <c r="G4040" t="s">
        <v>15</v>
      </c>
      <c r="H4040" t="s">
        <v>16</v>
      </c>
      <c r="I4040">
        <v>0</v>
      </c>
      <c r="J4040" s="23">
        <v>-49</v>
      </c>
      <c r="K4040" t="s">
        <v>17</v>
      </c>
    </row>
    <row r="4041" spans="1:11" ht="15" customHeight="1" x14ac:dyDescent="0.3">
      <c r="A4041" t="s">
        <v>18</v>
      </c>
      <c r="B4041" t="s">
        <v>11</v>
      </c>
      <c r="C4041" t="s">
        <v>24</v>
      </c>
      <c r="D4041" t="s">
        <v>13</v>
      </c>
      <c r="E4041">
        <v>3</v>
      </c>
      <c r="F4041" t="s">
        <v>41</v>
      </c>
      <c r="G4041" t="s">
        <v>15</v>
      </c>
      <c r="H4041" t="s">
        <v>16</v>
      </c>
      <c r="I4041">
        <v>0</v>
      </c>
      <c r="J4041" s="23">
        <v>1346702</v>
      </c>
      <c r="K4041">
        <v>4040106</v>
      </c>
    </row>
    <row r="4042" spans="1:11" ht="15" customHeight="1" x14ac:dyDescent="0.3">
      <c r="A4042" t="s">
        <v>10</v>
      </c>
      <c r="B4042" t="s">
        <v>11</v>
      </c>
      <c r="C4042" t="s">
        <v>12</v>
      </c>
      <c r="D4042" t="s">
        <v>28</v>
      </c>
      <c r="E4042">
        <v>15</v>
      </c>
      <c r="F4042" t="s">
        <v>30</v>
      </c>
      <c r="G4042" t="s">
        <v>15</v>
      </c>
      <c r="H4042" t="s">
        <v>16</v>
      </c>
      <c r="I4042">
        <v>0</v>
      </c>
      <c r="J4042" s="23">
        <v>-16155</v>
      </c>
      <c r="K4042" t="s">
        <v>17</v>
      </c>
    </row>
    <row r="4043" spans="1:11" ht="15" customHeight="1" x14ac:dyDescent="0.3">
      <c r="A4043" t="s">
        <v>10</v>
      </c>
      <c r="B4043" t="s">
        <v>11</v>
      </c>
      <c r="C4043" t="s">
        <v>24</v>
      </c>
      <c r="D4043" t="s">
        <v>28</v>
      </c>
      <c r="E4043">
        <v>12</v>
      </c>
      <c r="F4043" t="s">
        <v>29</v>
      </c>
      <c r="G4043" t="s">
        <v>15</v>
      </c>
      <c r="H4043" t="s">
        <v>16</v>
      </c>
      <c r="I4043">
        <v>0</v>
      </c>
      <c r="J4043" s="23">
        <v>410836</v>
      </c>
      <c r="K4043">
        <v>4930032</v>
      </c>
    </row>
    <row r="4044" spans="1:11" ht="15" customHeight="1" x14ac:dyDescent="0.3">
      <c r="A4044" t="s">
        <v>10</v>
      </c>
      <c r="B4044" t="s">
        <v>11</v>
      </c>
      <c r="C4044" t="s">
        <v>12</v>
      </c>
      <c r="D4044" t="s">
        <v>25</v>
      </c>
      <c r="E4044">
        <v>7</v>
      </c>
      <c r="F4044" t="s">
        <v>37</v>
      </c>
      <c r="G4044" t="s">
        <v>15</v>
      </c>
      <c r="H4044" t="s">
        <v>16</v>
      </c>
      <c r="I4044">
        <v>0</v>
      </c>
      <c r="J4044" s="23">
        <v>-13536</v>
      </c>
      <c r="K4044" t="s">
        <v>17</v>
      </c>
    </row>
    <row r="4045" spans="1:11" ht="15" customHeight="1" x14ac:dyDescent="0.3">
      <c r="A4045" t="s">
        <v>10</v>
      </c>
      <c r="B4045" t="s">
        <v>19</v>
      </c>
      <c r="C4045" t="s">
        <v>24</v>
      </c>
      <c r="D4045" t="s">
        <v>28</v>
      </c>
      <c r="E4045">
        <v>6</v>
      </c>
      <c r="F4045"/>
      <c r="G4045" t="s">
        <v>31</v>
      </c>
      <c r="H4045" t="s">
        <v>16</v>
      </c>
      <c r="I4045">
        <v>1</v>
      </c>
      <c r="J4045" s="23">
        <v>43466</v>
      </c>
      <c r="K4045">
        <v>260796</v>
      </c>
    </row>
    <row r="4046" spans="1:11" ht="15" customHeight="1" x14ac:dyDescent="0.3">
      <c r="A4046" t="s">
        <v>18</v>
      </c>
      <c r="B4046" t="s">
        <v>11</v>
      </c>
      <c r="C4046" t="s">
        <v>12</v>
      </c>
      <c r="D4046" t="s">
        <v>28</v>
      </c>
      <c r="E4046">
        <v>7</v>
      </c>
      <c r="F4046" t="s">
        <v>21</v>
      </c>
      <c r="G4046" t="s">
        <v>31</v>
      </c>
      <c r="H4046" t="s">
        <v>32</v>
      </c>
      <c r="I4046">
        <v>1</v>
      </c>
      <c r="J4046" s="23">
        <v>-28</v>
      </c>
      <c r="K4046" t="s">
        <v>17</v>
      </c>
    </row>
    <row r="4047" spans="1:11" ht="15" customHeight="1" x14ac:dyDescent="0.3">
      <c r="A4047" t="s">
        <v>18</v>
      </c>
      <c r="B4047" t="s">
        <v>19</v>
      </c>
      <c r="C4047" t="s">
        <v>12</v>
      </c>
      <c r="D4047" t="s">
        <v>20</v>
      </c>
      <c r="E4047">
        <v>5</v>
      </c>
      <c r="F4047"/>
      <c r="G4047" t="s">
        <v>15</v>
      </c>
      <c r="H4047" t="s">
        <v>32</v>
      </c>
      <c r="I4047">
        <v>1</v>
      </c>
      <c r="J4047" s="23">
        <v>-146</v>
      </c>
      <c r="K4047" t="s">
        <v>17</v>
      </c>
    </row>
    <row r="4048" spans="1:11" ht="15" customHeight="1" x14ac:dyDescent="0.3">
      <c r="A4048" t="s">
        <v>18</v>
      </c>
      <c r="B4048" t="s">
        <v>11</v>
      </c>
      <c r="C4048" t="s">
        <v>24</v>
      </c>
      <c r="D4048" t="s">
        <v>28</v>
      </c>
      <c r="E4048">
        <v>13</v>
      </c>
      <c r="F4048" t="s">
        <v>23</v>
      </c>
      <c r="G4048" t="s">
        <v>31</v>
      </c>
      <c r="H4048" t="s">
        <v>16</v>
      </c>
      <c r="I4048">
        <v>1</v>
      </c>
      <c r="J4048" s="23">
        <v>704799</v>
      </c>
      <c r="K4048">
        <v>9162387</v>
      </c>
    </row>
    <row r="4049" spans="1:11" ht="15" customHeight="1" x14ac:dyDescent="0.3">
      <c r="A4049" t="s">
        <v>22</v>
      </c>
      <c r="B4049" t="s">
        <v>11</v>
      </c>
      <c r="C4049" t="s">
        <v>24</v>
      </c>
      <c r="D4049" t="s">
        <v>13</v>
      </c>
      <c r="E4049">
        <v>0</v>
      </c>
      <c r="F4049" t="s">
        <v>33</v>
      </c>
      <c r="G4049" t="s">
        <v>15</v>
      </c>
      <c r="H4049" t="s">
        <v>16</v>
      </c>
      <c r="I4049">
        <v>0</v>
      </c>
      <c r="J4049" s="23">
        <v>1121795</v>
      </c>
      <c r="K4049" t="s">
        <v>17</v>
      </c>
    </row>
    <row r="4050" spans="1:11" ht="15" customHeight="1" x14ac:dyDescent="0.3">
      <c r="A4050" t="s">
        <v>18</v>
      </c>
      <c r="B4050" t="s">
        <v>44</v>
      </c>
      <c r="C4050" t="s">
        <v>24</v>
      </c>
      <c r="D4050" t="s">
        <v>28</v>
      </c>
      <c r="E4050">
        <v>14</v>
      </c>
      <c r="F4050" t="s">
        <v>23</v>
      </c>
      <c r="G4050" t="s">
        <v>15</v>
      </c>
      <c r="H4050" t="s">
        <v>16</v>
      </c>
      <c r="I4050">
        <v>0</v>
      </c>
      <c r="J4050" s="23">
        <v>17206384</v>
      </c>
      <c r="K4050">
        <v>240889376</v>
      </c>
    </row>
    <row r="4051" spans="1:11" ht="15" customHeight="1" x14ac:dyDescent="0.3">
      <c r="A4051" t="s">
        <v>10</v>
      </c>
      <c r="B4051" t="s">
        <v>19</v>
      </c>
      <c r="C4051" t="s">
        <v>24</v>
      </c>
      <c r="D4051" t="s">
        <v>28</v>
      </c>
      <c r="E4051">
        <v>3</v>
      </c>
      <c r="F4051"/>
      <c r="G4051" t="s">
        <v>15</v>
      </c>
      <c r="H4051" t="s">
        <v>16</v>
      </c>
      <c r="I4051">
        <v>0</v>
      </c>
      <c r="J4051" s="23">
        <v>319263</v>
      </c>
      <c r="K4051">
        <v>957789</v>
      </c>
    </row>
    <row r="4052" spans="1:11" ht="15" customHeight="1" x14ac:dyDescent="0.3">
      <c r="A4052" t="s">
        <v>22</v>
      </c>
      <c r="B4052" t="s">
        <v>11</v>
      </c>
      <c r="C4052" t="s">
        <v>24</v>
      </c>
      <c r="D4052" t="s">
        <v>13</v>
      </c>
      <c r="E4052">
        <v>4</v>
      </c>
      <c r="F4052" t="s">
        <v>34</v>
      </c>
      <c r="G4052" t="s">
        <v>15</v>
      </c>
      <c r="H4052" t="s">
        <v>16</v>
      </c>
      <c r="I4052">
        <v>0</v>
      </c>
      <c r="J4052" s="23">
        <v>6103491</v>
      </c>
      <c r="K4052">
        <v>24413964</v>
      </c>
    </row>
    <row r="4053" spans="1:11" ht="15" customHeight="1" x14ac:dyDescent="0.3">
      <c r="A4053" t="s">
        <v>18</v>
      </c>
      <c r="B4053" t="s">
        <v>11</v>
      </c>
      <c r="C4053" t="s">
        <v>24</v>
      </c>
      <c r="D4053" t="s">
        <v>28</v>
      </c>
      <c r="E4053">
        <v>3</v>
      </c>
      <c r="F4053" t="s">
        <v>29</v>
      </c>
      <c r="G4053" t="s">
        <v>15</v>
      </c>
      <c r="H4053" t="s">
        <v>16</v>
      </c>
      <c r="I4053">
        <v>0</v>
      </c>
      <c r="J4053" s="23">
        <v>2051056</v>
      </c>
      <c r="K4053">
        <v>6153168</v>
      </c>
    </row>
    <row r="4054" spans="1:11" ht="15" customHeight="1" x14ac:dyDescent="0.3">
      <c r="A4054" t="s">
        <v>18</v>
      </c>
      <c r="B4054" t="s">
        <v>19</v>
      </c>
      <c r="C4054" t="s">
        <v>24</v>
      </c>
      <c r="D4054" t="s">
        <v>28</v>
      </c>
      <c r="E4054">
        <v>28</v>
      </c>
      <c r="F4054"/>
      <c r="G4054" t="s">
        <v>15</v>
      </c>
      <c r="H4054" t="s">
        <v>16</v>
      </c>
      <c r="I4054">
        <v>0</v>
      </c>
      <c r="J4054" s="23">
        <v>198153</v>
      </c>
      <c r="K4054">
        <v>5548284</v>
      </c>
    </row>
    <row r="4055" spans="1:11" ht="15" customHeight="1" x14ac:dyDescent="0.3">
      <c r="A4055" t="s">
        <v>18</v>
      </c>
      <c r="B4055" t="s">
        <v>19</v>
      </c>
      <c r="C4055" t="s">
        <v>12</v>
      </c>
      <c r="D4055" t="s">
        <v>20</v>
      </c>
      <c r="E4055">
        <v>9</v>
      </c>
      <c r="F4055"/>
      <c r="G4055" t="s">
        <v>31</v>
      </c>
      <c r="H4055" t="s">
        <v>16</v>
      </c>
      <c r="I4055">
        <v>1</v>
      </c>
      <c r="J4055" s="23">
        <v>-717</v>
      </c>
      <c r="K4055" t="s">
        <v>17</v>
      </c>
    </row>
    <row r="4056" spans="1:11" ht="15" customHeight="1" x14ac:dyDescent="0.3">
      <c r="A4056" t="s">
        <v>18</v>
      </c>
      <c r="B4056" t="s">
        <v>11</v>
      </c>
      <c r="C4056" t="s">
        <v>12</v>
      </c>
      <c r="D4056" t="s">
        <v>28</v>
      </c>
      <c r="E4056">
        <v>15</v>
      </c>
      <c r="F4056" t="s">
        <v>42</v>
      </c>
      <c r="G4056" t="s">
        <v>15</v>
      </c>
      <c r="H4056" t="s">
        <v>16</v>
      </c>
      <c r="I4056">
        <v>0</v>
      </c>
      <c r="J4056" s="23">
        <v>-2534</v>
      </c>
      <c r="K4056" t="s">
        <v>17</v>
      </c>
    </row>
    <row r="4057" spans="1:11" ht="15" customHeight="1" x14ac:dyDescent="0.3">
      <c r="A4057" t="s">
        <v>10</v>
      </c>
      <c r="B4057" t="s">
        <v>19</v>
      </c>
      <c r="C4057" t="s">
        <v>24</v>
      </c>
      <c r="D4057" t="s">
        <v>20</v>
      </c>
      <c r="E4057">
        <v>37</v>
      </c>
      <c r="F4057"/>
      <c r="G4057" t="s">
        <v>31</v>
      </c>
      <c r="H4057" t="s">
        <v>16</v>
      </c>
      <c r="I4057">
        <v>1</v>
      </c>
      <c r="J4057" s="23">
        <v>1784257</v>
      </c>
      <c r="K4057">
        <v>66017509</v>
      </c>
    </row>
    <row r="4058" spans="1:11" ht="15" customHeight="1" x14ac:dyDescent="0.3">
      <c r="A4058" t="s">
        <v>18</v>
      </c>
      <c r="B4058" t="s">
        <v>11</v>
      </c>
      <c r="C4058" t="s">
        <v>24</v>
      </c>
      <c r="D4058" t="s">
        <v>25</v>
      </c>
      <c r="E4058">
        <v>0</v>
      </c>
      <c r="F4058" t="s">
        <v>26</v>
      </c>
      <c r="G4058" t="s">
        <v>15</v>
      </c>
      <c r="H4058" t="s">
        <v>16</v>
      </c>
      <c r="I4058">
        <v>0</v>
      </c>
      <c r="J4058" s="23">
        <v>1931049</v>
      </c>
      <c r="K4058" t="s">
        <v>17</v>
      </c>
    </row>
    <row r="4059" spans="1:11" ht="15" customHeight="1" x14ac:dyDescent="0.3">
      <c r="A4059" t="s">
        <v>10</v>
      </c>
      <c r="B4059" t="s">
        <v>11</v>
      </c>
      <c r="C4059" t="s">
        <v>12</v>
      </c>
      <c r="D4059" t="s">
        <v>28</v>
      </c>
      <c r="E4059">
        <v>8</v>
      </c>
      <c r="F4059" t="s">
        <v>39</v>
      </c>
      <c r="G4059" t="s">
        <v>15</v>
      </c>
      <c r="H4059" t="s">
        <v>16</v>
      </c>
      <c r="I4059">
        <v>0</v>
      </c>
      <c r="J4059" s="23">
        <v>-18774</v>
      </c>
      <c r="K4059" t="s">
        <v>17</v>
      </c>
    </row>
    <row r="4060" spans="1:11" ht="15" customHeight="1" x14ac:dyDescent="0.3">
      <c r="A4060" t="s">
        <v>22</v>
      </c>
      <c r="B4060" t="s">
        <v>11</v>
      </c>
      <c r="C4060" t="s">
        <v>24</v>
      </c>
      <c r="D4060" t="s">
        <v>13</v>
      </c>
      <c r="E4060">
        <v>9</v>
      </c>
      <c r="F4060" t="s">
        <v>21</v>
      </c>
      <c r="G4060" t="s">
        <v>15</v>
      </c>
      <c r="H4060" t="s">
        <v>16</v>
      </c>
      <c r="I4060">
        <v>0</v>
      </c>
      <c r="J4060" s="23">
        <v>1571625</v>
      </c>
      <c r="K4060">
        <v>14144625</v>
      </c>
    </row>
    <row r="4061" spans="1:11" ht="15" customHeight="1" x14ac:dyDescent="0.3">
      <c r="A4061" t="s">
        <v>10</v>
      </c>
      <c r="B4061" t="s">
        <v>11</v>
      </c>
      <c r="C4061" t="s">
        <v>12</v>
      </c>
      <c r="D4061" t="s">
        <v>13</v>
      </c>
      <c r="E4061">
        <v>-1</v>
      </c>
      <c r="F4061" t="s">
        <v>26</v>
      </c>
      <c r="G4061" t="s">
        <v>15</v>
      </c>
      <c r="H4061" t="s">
        <v>16</v>
      </c>
      <c r="I4061">
        <v>0</v>
      </c>
      <c r="J4061" s="23">
        <v>-457846</v>
      </c>
      <c r="K4061" t="s">
        <v>17</v>
      </c>
    </row>
    <row r="4062" spans="1:11" ht="15" customHeight="1" x14ac:dyDescent="0.3">
      <c r="A4062" t="s">
        <v>18</v>
      </c>
      <c r="B4062" t="s">
        <v>19</v>
      </c>
      <c r="C4062" t="s">
        <v>24</v>
      </c>
      <c r="D4062" t="s">
        <v>20</v>
      </c>
      <c r="E4062">
        <v>22</v>
      </c>
      <c r="F4062"/>
      <c r="G4062" t="s">
        <v>31</v>
      </c>
      <c r="H4062" t="s">
        <v>32</v>
      </c>
      <c r="I4062">
        <v>1</v>
      </c>
      <c r="J4062" s="23">
        <v>199005</v>
      </c>
      <c r="K4062">
        <v>4378110</v>
      </c>
    </row>
    <row r="4063" spans="1:11" ht="15" customHeight="1" x14ac:dyDescent="0.3">
      <c r="A4063" t="s">
        <v>18</v>
      </c>
      <c r="B4063" t="s">
        <v>19</v>
      </c>
      <c r="C4063" t="s">
        <v>24</v>
      </c>
      <c r="D4063" t="s">
        <v>20</v>
      </c>
      <c r="E4063">
        <v>37</v>
      </c>
      <c r="F4063"/>
      <c r="G4063" t="s">
        <v>15</v>
      </c>
      <c r="H4063" t="s">
        <v>16</v>
      </c>
      <c r="I4063">
        <v>0</v>
      </c>
      <c r="J4063" s="23">
        <v>1294928105</v>
      </c>
      <c r="K4063">
        <v>47912339885</v>
      </c>
    </row>
    <row r="4064" spans="1:11" ht="15" customHeight="1" x14ac:dyDescent="0.3">
      <c r="A4064" t="s">
        <v>18</v>
      </c>
      <c r="B4064" t="s">
        <v>11</v>
      </c>
      <c r="C4064" t="s">
        <v>12</v>
      </c>
      <c r="D4064" t="s">
        <v>25</v>
      </c>
      <c r="E4064">
        <v>7</v>
      </c>
      <c r="F4064" t="s">
        <v>26</v>
      </c>
      <c r="G4064" t="s">
        <v>15</v>
      </c>
      <c r="H4064" t="s">
        <v>16</v>
      </c>
      <c r="I4064">
        <v>0</v>
      </c>
      <c r="J4064" s="23">
        <v>-5255</v>
      </c>
      <c r="K4064" t="s">
        <v>17</v>
      </c>
    </row>
    <row r="4065" spans="1:11" ht="15" customHeight="1" x14ac:dyDescent="0.3">
      <c r="A4065" t="s">
        <v>10</v>
      </c>
      <c r="B4065" t="s">
        <v>11</v>
      </c>
      <c r="C4065" t="s">
        <v>12</v>
      </c>
      <c r="D4065" t="s">
        <v>28</v>
      </c>
      <c r="E4065">
        <v>-4</v>
      </c>
      <c r="F4065" t="s">
        <v>21</v>
      </c>
      <c r="G4065" t="s">
        <v>15</v>
      </c>
      <c r="H4065" t="s">
        <v>16</v>
      </c>
      <c r="I4065">
        <v>0</v>
      </c>
      <c r="J4065" s="23">
        <v>-7126</v>
      </c>
      <c r="K4065" t="s">
        <v>17</v>
      </c>
    </row>
    <row r="4066" spans="1:11" ht="15" customHeight="1" x14ac:dyDescent="0.3">
      <c r="A4066" t="s">
        <v>22</v>
      </c>
      <c r="B4066" t="s">
        <v>11</v>
      </c>
      <c r="C4066" t="s">
        <v>24</v>
      </c>
      <c r="D4066" t="s">
        <v>13</v>
      </c>
      <c r="E4066">
        <v>2</v>
      </c>
      <c r="F4066" t="s">
        <v>26</v>
      </c>
      <c r="G4066" t="s">
        <v>15</v>
      </c>
      <c r="H4066" t="s">
        <v>16</v>
      </c>
      <c r="I4066">
        <v>0</v>
      </c>
      <c r="J4066" s="23">
        <v>486544</v>
      </c>
      <c r="K4066">
        <v>973088</v>
      </c>
    </row>
    <row r="4067" spans="1:11" ht="15" customHeight="1" x14ac:dyDescent="0.3">
      <c r="A4067" t="s">
        <v>18</v>
      </c>
      <c r="B4067" t="s">
        <v>19</v>
      </c>
      <c r="C4067" t="s">
        <v>12</v>
      </c>
      <c r="D4067" t="s">
        <v>20</v>
      </c>
      <c r="E4067">
        <v>1</v>
      </c>
      <c r="F4067"/>
      <c r="G4067" t="s">
        <v>15</v>
      </c>
      <c r="H4067" t="s">
        <v>16</v>
      </c>
      <c r="I4067">
        <v>0</v>
      </c>
      <c r="J4067" s="23">
        <v>-5149</v>
      </c>
      <c r="K4067" t="s">
        <v>17</v>
      </c>
    </row>
    <row r="4068" spans="1:11" ht="15" customHeight="1" x14ac:dyDescent="0.3">
      <c r="A4068" t="s">
        <v>22</v>
      </c>
      <c r="B4068" t="s">
        <v>11</v>
      </c>
      <c r="C4068" t="s">
        <v>24</v>
      </c>
      <c r="D4068" t="s">
        <v>28</v>
      </c>
      <c r="E4068">
        <v>8</v>
      </c>
      <c r="F4068" t="s">
        <v>37</v>
      </c>
      <c r="G4068" t="s">
        <v>15</v>
      </c>
      <c r="H4068" t="s">
        <v>16</v>
      </c>
      <c r="I4068">
        <v>0</v>
      </c>
      <c r="J4068" s="23">
        <v>1834800</v>
      </c>
      <c r="K4068">
        <v>14678400</v>
      </c>
    </row>
    <row r="4069" spans="1:11" ht="15" customHeight="1" x14ac:dyDescent="0.3">
      <c r="A4069" t="s">
        <v>22</v>
      </c>
      <c r="B4069" t="s">
        <v>11</v>
      </c>
      <c r="C4069" t="s">
        <v>24</v>
      </c>
      <c r="D4069" t="s">
        <v>13</v>
      </c>
      <c r="E4069">
        <v>0</v>
      </c>
      <c r="F4069" t="s">
        <v>14</v>
      </c>
      <c r="G4069" t="s">
        <v>15</v>
      </c>
      <c r="H4069" t="s">
        <v>16</v>
      </c>
      <c r="I4069">
        <v>0</v>
      </c>
      <c r="J4069" s="23">
        <v>15098</v>
      </c>
      <c r="K4069" t="s">
        <v>17</v>
      </c>
    </row>
    <row r="4070" spans="1:11" ht="15" customHeight="1" x14ac:dyDescent="0.3">
      <c r="A4070" t="s">
        <v>10</v>
      </c>
      <c r="B4070" t="s">
        <v>11</v>
      </c>
      <c r="C4070" t="s">
        <v>12</v>
      </c>
      <c r="D4070" t="s">
        <v>28</v>
      </c>
      <c r="E4070">
        <v>-4</v>
      </c>
      <c r="F4070" t="s">
        <v>40</v>
      </c>
      <c r="G4070" t="s">
        <v>15</v>
      </c>
      <c r="H4070" t="s">
        <v>16</v>
      </c>
      <c r="I4070">
        <v>0</v>
      </c>
      <c r="J4070" s="23">
        <v>-25146</v>
      </c>
      <c r="K4070" t="s">
        <v>17</v>
      </c>
    </row>
    <row r="4071" spans="1:11" ht="15" customHeight="1" x14ac:dyDescent="0.3">
      <c r="A4071" t="s">
        <v>18</v>
      </c>
      <c r="B4071" t="s">
        <v>19</v>
      </c>
      <c r="C4071" t="s">
        <v>12</v>
      </c>
      <c r="D4071" t="s">
        <v>20</v>
      </c>
      <c r="E4071">
        <v>35</v>
      </c>
      <c r="F4071"/>
      <c r="G4071" t="s">
        <v>31</v>
      </c>
      <c r="H4071" t="s">
        <v>32</v>
      </c>
      <c r="I4071">
        <v>1</v>
      </c>
      <c r="J4071" s="23">
        <v>-45</v>
      </c>
      <c r="K4071" t="s">
        <v>17</v>
      </c>
    </row>
    <row r="4072" spans="1:11" ht="15" customHeight="1" x14ac:dyDescent="0.3">
      <c r="A4072" t="s">
        <v>22</v>
      </c>
      <c r="B4072" t="s">
        <v>11</v>
      </c>
      <c r="C4072" t="s">
        <v>24</v>
      </c>
      <c r="D4072" t="s">
        <v>28</v>
      </c>
      <c r="E4072">
        <v>10</v>
      </c>
      <c r="F4072" t="s">
        <v>26</v>
      </c>
      <c r="G4072" t="s">
        <v>15</v>
      </c>
      <c r="H4072" t="s">
        <v>16</v>
      </c>
      <c r="I4072">
        <v>0</v>
      </c>
      <c r="J4072" s="23">
        <v>492084</v>
      </c>
      <c r="K4072">
        <v>4920840</v>
      </c>
    </row>
    <row r="4073" spans="1:11" ht="15" customHeight="1" x14ac:dyDescent="0.3">
      <c r="A4073" t="s">
        <v>10</v>
      </c>
      <c r="B4073" t="s">
        <v>11</v>
      </c>
      <c r="C4073" t="s">
        <v>24</v>
      </c>
      <c r="D4073" t="s">
        <v>28</v>
      </c>
      <c r="E4073">
        <v>-4</v>
      </c>
      <c r="F4073" t="s">
        <v>14</v>
      </c>
      <c r="G4073" t="s">
        <v>15</v>
      </c>
      <c r="H4073" t="s">
        <v>16</v>
      </c>
      <c r="I4073">
        <v>0</v>
      </c>
      <c r="J4073" s="23">
        <v>2</v>
      </c>
      <c r="K4073" t="s">
        <v>17</v>
      </c>
    </row>
    <row r="4074" spans="1:11" ht="15" customHeight="1" x14ac:dyDescent="0.3">
      <c r="A4074" t="s">
        <v>10</v>
      </c>
      <c r="B4074" t="s">
        <v>11</v>
      </c>
      <c r="C4074" t="s">
        <v>24</v>
      </c>
      <c r="D4074" t="s">
        <v>28</v>
      </c>
      <c r="E4074">
        <v>9</v>
      </c>
      <c r="F4074" t="s">
        <v>34</v>
      </c>
      <c r="G4074" t="s">
        <v>15</v>
      </c>
      <c r="H4074" t="s">
        <v>32</v>
      </c>
      <c r="I4074">
        <v>1</v>
      </c>
      <c r="J4074" s="23">
        <v>31500</v>
      </c>
      <c r="K4074">
        <v>283500</v>
      </c>
    </row>
    <row r="4075" spans="1:11" ht="15" customHeight="1" x14ac:dyDescent="0.3">
      <c r="A4075" t="s">
        <v>18</v>
      </c>
      <c r="B4075" t="s">
        <v>11</v>
      </c>
      <c r="C4075" t="s">
        <v>12</v>
      </c>
      <c r="D4075" t="s">
        <v>13</v>
      </c>
      <c r="E4075">
        <v>6</v>
      </c>
      <c r="F4075" t="s">
        <v>39</v>
      </c>
      <c r="G4075" t="s">
        <v>15</v>
      </c>
      <c r="H4075" t="s">
        <v>16</v>
      </c>
      <c r="I4075">
        <v>0</v>
      </c>
      <c r="J4075" s="23">
        <v>-11796</v>
      </c>
      <c r="K4075" t="s">
        <v>17</v>
      </c>
    </row>
    <row r="4076" spans="1:11" ht="15" customHeight="1" x14ac:dyDescent="0.3">
      <c r="A4076" t="s">
        <v>10</v>
      </c>
      <c r="B4076" t="s">
        <v>11</v>
      </c>
      <c r="C4076" t="s">
        <v>24</v>
      </c>
      <c r="D4076" t="s">
        <v>28</v>
      </c>
      <c r="E4076">
        <v>11</v>
      </c>
      <c r="F4076" t="s">
        <v>34</v>
      </c>
      <c r="G4076" t="s">
        <v>15</v>
      </c>
      <c r="H4076" t="s">
        <v>16</v>
      </c>
      <c r="I4076">
        <v>0</v>
      </c>
      <c r="J4076" s="23">
        <v>1222160</v>
      </c>
      <c r="K4076">
        <v>13443760</v>
      </c>
    </row>
    <row r="4077" spans="1:11" ht="15" customHeight="1" x14ac:dyDescent="0.3">
      <c r="A4077" t="s">
        <v>22</v>
      </c>
      <c r="B4077" t="s">
        <v>11</v>
      </c>
      <c r="C4077" t="s">
        <v>24</v>
      </c>
      <c r="D4077" t="s">
        <v>28</v>
      </c>
      <c r="E4077">
        <v>1</v>
      </c>
      <c r="F4077" t="s">
        <v>40</v>
      </c>
      <c r="G4077" t="s">
        <v>15</v>
      </c>
      <c r="H4077" t="s">
        <v>16</v>
      </c>
      <c r="I4077">
        <v>0</v>
      </c>
      <c r="J4077" s="23">
        <v>25255</v>
      </c>
      <c r="K4077">
        <v>25255</v>
      </c>
    </row>
    <row r="4078" spans="1:11" ht="15" customHeight="1" x14ac:dyDescent="0.3">
      <c r="A4078" t="s">
        <v>10</v>
      </c>
      <c r="B4078" t="s">
        <v>11</v>
      </c>
      <c r="C4078" t="s">
        <v>24</v>
      </c>
      <c r="D4078" t="s">
        <v>28</v>
      </c>
      <c r="E4078">
        <v>5</v>
      </c>
      <c r="F4078" t="s">
        <v>42</v>
      </c>
      <c r="G4078" t="s">
        <v>15</v>
      </c>
      <c r="H4078" t="s">
        <v>16</v>
      </c>
      <c r="I4078">
        <v>0</v>
      </c>
      <c r="J4078" s="23">
        <v>283762</v>
      </c>
      <c r="K4078">
        <v>1418810</v>
      </c>
    </row>
    <row r="4079" spans="1:11" ht="15" customHeight="1" x14ac:dyDescent="0.3">
      <c r="A4079" t="s">
        <v>10</v>
      </c>
      <c r="B4079" t="s">
        <v>19</v>
      </c>
      <c r="C4079" t="s">
        <v>24</v>
      </c>
      <c r="D4079" t="s">
        <v>28</v>
      </c>
      <c r="E4079">
        <v>-4</v>
      </c>
      <c r="F4079"/>
      <c r="G4079" t="s">
        <v>15</v>
      </c>
      <c r="H4079" t="s">
        <v>32</v>
      </c>
      <c r="I4079">
        <v>1</v>
      </c>
      <c r="J4079" s="23">
        <v>839</v>
      </c>
      <c r="K4079" t="s">
        <v>17</v>
      </c>
    </row>
    <row r="4080" spans="1:11" ht="15" customHeight="1" x14ac:dyDescent="0.3">
      <c r="A4080" t="s">
        <v>22</v>
      </c>
      <c r="B4080" t="s">
        <v>19</v>
      </c>
      <c r="C4080" t="s">
        <v>12</v>
      </c>
      <c r="D4080" t="s">
        <v>20</v>
      </c>
      <c r="E4080">
        <v>53</v>
      </c>
      <c r="F4080"/>
      <c r="G4080" t="s">
        <v>15</v>
      </c>
      <c r="H4080" t="s">
        <v>16</v>
      </c>
      <c r="I4080">
        <v>0</v>
      </c>
      <c r="J4080" s="23">
        <v>-13877</v>
      </c>
      <c r="K4080" t="s">
        <v>17</v>
      </c>
    </row>
    <row r="4081" spans="1:11" ht="15" customHeight="1" x14ac:dyDescent="0.3">
      <c r="A4081" t="s">
        <v>18</v>
      </c>
      <c r="B4081" t="s">
        <v>11</v>
      </c>
      <c r="C4081" t="s">
        <v>24</v>
      </c>
      <c r="D4081" t="s">
        <v>25</v>
      </c>
      <c r="E4081">
        <v>6</v>
      </c>
      <c r="F4081" t="s">
        <v>39</v>
      </c>
      <c r="G4081" t="s">
        <v>15</v>
      </c>
      <c r="H4081" t="s">
        <v>16</v>
      </c>
      <c r="I4081">
        <v>0</v>
      </c>
      <c r="J4081" s="23">
        <v>736015</v>
      </c>
      <c r="K4081">
        <v>4416090</v>
      </c>
    </row>
    <row r="4082" spans="1:11" ht="15" customHeight="1" x14ac:dyDescent="0.3">
      <c r="A4082" t="s">
        <v>18</v>
      </c>
      <c r="B4082" t="s">
        <v>11</v>
      </c>
      <c r="C4082" t="s">
        <v>12</v>
      </c>
      <c r="D4082" t="s">
        <v>25</v>
      </c>
      <c r="E4082">
        <v>3</v>
      </c>
      <c r="F4082" t="s">
        <v>35</v>
      </c>
      <c r="G4082" t="s">
        <v>15</v>
      </c>
      <c r="H4082" t="s">
        <v>16</v>
      </c>
      <c r="I4082">
        <v>0</v>
      </c>
      <c r="J4082" s="23">
        <v>-4724</v>
      </c>
      <c r="K4082" t="s">
        <v>17</v>
      </c>
    </row>
    <row r="4083" spans="1:11" ht="15" customHeight="1" x14ac:dyDescent="0.3">
      <c r="A4083" t="s">
        <v>18</v>
      </c>
      <c r="B4083" t="s">
        <v>11</v>
      </c>
      <c r="C4083" t="s">
        <v>12</v>
      </c>
      <c r="D4083" t="s">
        <v>28</v>
      </c>
      <c r="E4083">
        <v>11</v>
      </c>
      <c r="F4083" t="s">
        <v>27</v>
      </c>
      <c r="G4083" t="s">
        <v>15</v>
      </c>
      <c r="H4083" t="s">
        <v>16</v>
      </c>
      <c r="I4083">
        <v>0</v>
      </c>
      <c r="J4083" s="23">
        <v>-1126</v>
      </c>
      <c r="K4083" t="s">
        <v>17</v>
      </c>
    </row>
    <row r="4084" spans="1:11" ht="15" customHeight="1" x14ac:dyDescent="0.3">
      <c r="A4084" t="s">
        <v>18</v>
      </c>
      <c r="B4084" t="s">
        <v>19</v>
      </c>
      <c r="C4084" t="s">
        <v>12</v>
      </c>
      <c r="D4084" t="s">
        <v>28</v>
      </c>
      <c r="E4084">
        <v>3</v>
      </c>
      <c r="F4084"/>
      <c r="G4084" t="s">
        <v>15</v>
      </c>
      <c r="H4084" t="s">
        <v>32</v>
      </c>
      <c r="I4084">
        <v>1</v>
      </c>
      <c r="J4084" s="23">
        <v>-10</v>
      </c>
      <c r="K4084" t="s">
        <v>17</v>
      </c>
    </row>
    <row r="4085" spans="1:11" ht="15" customHeight="1" x14ac:dyDescent="0.3">
      <c r="A4085" t="s">
        <v>18</v>
      </c>
      <c r="B4085" t="s">
        <v>11</v>
      </c>
      <c r="C4085" t="s">
        <v>24</v>
      </c>
      <c r="D4085" t="s">
        <v>28</v>
      </c>
      <c r="E4085">
        <v>-1</v>
      </c>
      <c r="F4085" t="s">
        <v>14</v>
      </c>
      <c r="G4085" t="s">
        <v>15</v>
      </c>
      <c r="H4085" t="s">
        <v>16</v>
      </c>
      <c r="I4085">
        <v>0</v>
      </c>
      <c r="J4085" s="23">
        <v>1213440</v>
      </c>
      <c r="K4085" t="s">
        <v>17</v>
      </c>
    </row>
    <row r="4086" spans="1:11" ht="15" customHeight="1" x14ac:dyDescent="0.3">
      <c r="A4086" t="s">
        <v>10</v>
      </c>
      <c r="B4086" t="s">
        <v>11</v>
      </c>
      <c r="C4086" t="s">
        <v>24</v>
      </c>
      <c r="D4086" t="s">
        <v>28</v>
      </c>
      <c r="E4086">
        <v>14</v>
      </c>
      <c r="F4086" t="s">
        <v>27</v>
      </c>
      <c r="G4086" t="s">
        <v>15</v>
      </c>
      <c r="H4086" t="s">
        <v>16</v>
      </c>
      <c r="I4086">
        <v>0</v>
      </c>
      <c r="J4086" s="23">
        <v>86680</v>
      </c>
      <c r="K4086">
        <v>1213520</v>
      </c>
    </row>
    <row r="4087" spans="1:11" ht="15" customHeight="1" x14ac:dyDescent="0.3">
      <c r="A4087" t="s">
        <v>18</v>
      </c>
      <c r="B4087" t="s">
        <v>11</v>
      </c>
      <c r="C4087" t="s">
        <v>24</v>
      </c>
      <c r="D4087" t="s">
        <v>28</v>
      </c>
      <c r="E4087">
        <v>3</v>
      </c>
      <c r="F4087" t="s">
        <v>30</v>
      </c>
      <c r="G4087" t="s">
        <v>15</v>
      </c>
      <c r="H4087" t="s">
        <v>16</v>
      </c>
      <c r="I4087">
        <v>0</v>
      </c>
      <c r="J4087" s="23">
        <v>1868381</v>
      </c>
      <c r="K4087">
        <v>5605143</v>
      </c>
    </row>
    <row r="4088" spans="1:11" ht="15" customHeight="1" x14ac:dyDescent="0.3">
      <c r="A4088" t="s">
        <v>10</v>
      </c>
      <c r="B4088" t="s">
        <v>11</v>
      </c>
      <c r="C4088" t="s">
        <v>24</v>
      </c>
      <c r="D4088" t="s">
        <v>28</v>
      </c>
      <c r="E4088">
        <v>0</v>
      </c>
      <c r="F4088" t="s">
        <v>29</v>
      </c>
      <c r="G4088" t="s">
        <v>15</v>
      </c>
      <c r="H4088" t="s">
        <v>16</v>
      </c>
      <c r="I4088">
        <v>0</v>
      </c>
      <c r="J4088" s="23">
        <v>404386</v>
      </c>
      <c r="K4088" t="s">
        <v>17</v>
      </c>
    </row>
    <row r="4089" spans="1:11" ht="15" customHeight="1" x14ac:dyDescent="0.3">
      <c r="A4089" t="s">
        <v>18</v>
      </c>
      <c r="B4089" t="s">
        <v>11</v>
      </c>
      <c r="C4089" t="s">
        <v>24</v>
      </c>
      <c r="D4089" t="s">
        <v>13</v>
      </c>
      <c r="E4089">
        <v>14</v>
      </c>
      <c r="F4089" t="s">
        <v>30</v>
      </c>
      <c r="G4089" t="s">
        <v>15</v>
      </c>
      <c r="H4089" t="s">
        <v>16</v>
      </c>
      <c r="I4089">
        <v>0</v>
      </c>
      <c r="J4089" s="23">
        <v>4458185</v>
      </c>
      <c r="K4089">
        <v>62414590</v>
      </c>
    </row>
    <row r="4090" spans="1:11" ht="15" customHeight="1" x14ac:dyDescent="0.3">
      <c r="A4090" t="s">
        <v>22</v>
      </c>
      <c r="B4090" t="s">
        <v>11</v>
      </c>
      <c r="C4090" t="s">
        <v>12</v>
      </c>
      <c r="D4090" t="s">
        <v>28</v>
      </c>
      <c r="E4090">
        <v>17</v>
      </c>
      <c r="F4090" t="s">
        <v>37</v>
      </c>
      <c r="G4090" t="s">
        <v>15</v>
      </c>
      <c r="H4090" t="s">
        <v>16</v>
      </c>
      <c r="I4090">
        <v>0</v>
      </c>
      <c r="J4090" s="23">
        <v>-285437</v>
      </c>
      <c r="K4090" t="s">
        <v>17</v>
      </c>
    </row>
    <row r="4091" spans="1:11" ht="15" customHeight="1" x14ac:dyDescent="0.3">
      <c r="A4091" t="s">
        <v>18</v>
      </c>
      <c r="B4091" t="s">
        <v>19</v>
      </c>
      <c r="C4091" t="s">
        <v>24</v>
      </c>
      <c r="D4091" t="s">
        <v>28</v>
      </c>
      <c r="E4091">
        <v>21</v>
      </c>
      <c r="F4091"/>
      <c r="G4091" t="s">
        <v>31</v>
      </c>
      <c r="H4091" t="s">
        <v>16</v>
      </c>
      <c r="I4091">
        <v>1</v>
      </c>
      <c r="J4091" s="23">
        <v>11083</v>
      </c>
      <c r="K4091">
        <v>232743</v>
      </c>
    </row>
    <row r="4092" spans="1:11" ht="15" customHeight="1" x14ac:dyDescent="0.3">
      <c r="A4092" t="s">
        <v>18</v>
      </c>
      <c r="B4092" t="s">
        <v>11</v>
      </c>
      <c r="C4092" t="s">
        <v>24</v>
      </c>
      <c r="D4092" t="s">
        <v>28</v>
      </c>
      <c r="E4092">
        <v>14</v>
      </c>
      <c r="F4092" t="s">
        <v>34</v>
      </c>
      <c r="G4092" t="s">
        <v>15</v>
      </c>
      <c r="H4092" t="s">
        <v>16</v>
      </c>
      <c r="I4092">
        <v>0</v>
      </c>
      <c r="J4092" s="23">
        <v>4092558</v>
      </c>
      <c r="K4092">
        <v>57295812</v>
      </c>
    </row>
    <row r="4093" spans="1:11" ht="15" customHeight="1" x14ac:dyDescent="0.3">
      <c r="A4093" t="s">
        <v>10</v>
      </c>
      <c r="B4093" t="s">
        <v>11</v>
      </c>
      <c r="C4093" t="s">
        <v>12</v>
      </c>
      <c r="D4093" t="s">
        <v>28</v>
      </c>
      <c r="E4093">
        <v>0</v>
      </c>
      <c r="F4093" t="s">
        <v>34</v>
      </c>
      <c r="G4093" t="s">
        <v>15</v>
      </c>
      <c r="H4093" t="s">
        <v>16</v>
      </c>
      <c r="I4093">
        <v>0</v>
      </c>
      <c r="J4093" s="23">
        <v>-13802</v>
      </c>
      <c r="K4093" t="s">
        <v>17</v>
      </c>
    </row>
    <row r="4094" spans="1:11" ht="15" customHeight="1" x14ac:dyDescent="0.3">
      <c r="A4094" t="s">
        <v>18</v>
      </c>
      <c r="B4094" t="s">
        <v>19</v>
      </c>
      <c r="C4094" t="s">
        <v>12</v>
      </c>
      <c r="D4094" t="s">
        <v>20</v>
      </c>
      <c r="E4094">
        <v>44</v>
      </c>
      <c r="F4094"/>
      <c r="G4094" t="s">
        <v>15</v>
      </c>
      <c r="H4094" t="s">
        <v>16</v>
      </c>
      <c r="I4094">
        <v>0</v>
      </c>
      <c r="J4094" s="23">
        <v>-4878</v>
      </c>
      <c r="K4094" t="s">
        <v>17</v>
      </c>
    </row>
    <row r="4095" spans="1:11" ht="15" customHeight="1" x14ac:dyDescent="0.3">
      <c r="A4095" t="s">
        <v>18</v>
      </c>
      <c r="B4095" t="s">
        <v>44</v>
      </c>
      <c r="C4095" t="s">
        <v>24</v>
      </c>
      <c r="D4095" t="s">
        <v>28</v>
      </c>
      <c r="E4095">
        <v>7</v>
      </c>
      <c r="F4095" t="s">
        <v>23</v>
      </c>
      <c r="G4095" t="s">
        <v>15</v>
      </c>
      <c r="H4095" t="s">
        <v>16</v>
      </c>
      <c r="I4095">
        <v>0</v>
      </c>
      <c r="J4095" s="23">
        <v>2480464</v>
      </c>
      <c r="K4095">
        <v>17363248</v>
      </c>
    </row>
    <row r="4096" spans="1:11" ht="15" customHeight="1" x14ac:dyDescent="0.3">
      <c r="A4096" t="s">
        <v>22</v>
      </c>
      <c r="B4096" t="s">
        <v>11</v>
      </c>
      <c r="C4096" t="s">
        <v>24</v>
      </c>
      <c r="D4096" t="s">
        <v>28</v>
      </c>
      <c r="E4096">
        <v>-4</v>
      </c>
      <c r="F4096" t="s">
        <v>29</v>
      </c>
      <c r="G4096" t="s">
        <v>15</v>
      </c>
      <c r="H4096" t="s">
        <v>16</v>
      </c>
      <c r="I4096">
        <v>0</v>
      </c>
      <c r="J4096" s="23">
        <v>508338</v>
      </c>
      <c r="K4096" t="s">
        <v>17</v>
      </c>
    </row>
    <row r="4097" spans="1:11" ht="15" customHeight="1" x14ac:dyDescent="0.3">
      <c r="A4097" t="s">
        <v>22</v>
      </c>
      <c r="B4097" t="s">
        <v>11</v>
      </c>
      <c r="C4097" t="s">
        <v>12</v>
      </c>
      <c r="D4097" t="s">
        <v>25</v>
      </c>
      <c r="E4097">
        <v>2</v>
      </c>
      <c r="F4097" t="s">
        <v>39</v>
      </c>
      <c r="G4097" t="s">
        <v>15</v>
      </c>
      <c r="H4097" t="s">
        <v>16</v>
      </c>
      <c r="I4097">
        <v>0</v>
      </c>
      <c r="J4097" s="23">
        <v>-52801</v>
      </c>
      <c r="K4097" t="s">
        <v>17</v>
      </c>
    </row>
    <row r="4098" spans="1:11" ht="15" customHeight="1" x14ac:dyDescent="0.3">
      <c r="A4098" t="s">
        <v>10</v>
      </c>
      <c r="B4098" t="s">
        <v>11</v>
      </c>
      <c r="C4098" t="s">
        <v>24</v>
      </c>
      <c r="D4098" t="s">
        <v>28</v>
      </c>
      <c r="E4098">
        <v>6</v>
      </c>
      <c r="F4098" t="s">
        <v>29</v>
      </c>
      <c r="G4098" t="s">
        <v>15</v>
      </c>
      <c r="H4098" t="s">
        <v>32</v>
      </c>
      <c r="I4098">
        <v>1</v>
      </c>
      <c r="J4098" s="23">
        <v>1568998</v>
      </c>
      <c r="K4098">
        <v>9413988</v>
      </c>
    </row>
    <row r="4099" spans="1:11" ht="15" customHeight="1" x14ac:dyDescent="0.3">
      <c r="A4099" t="s">
        <v>10</v>
      </c>
      <c r="B4099" t="s">
        <v>19</v>
      </c>
      <c r="C4099" t="s">
        <v>12</v>
      </c>
      <c r="D4099" t="s">
        <v>20</v>
      </c>
      <c r="E4099">
        <v>12</v>
      </c>
      <c r="F4099"/>
      <c r="G4099" t="s">
        <v>31</v>
      </c>
      <c r="H4099" t="s">
        <v>32</v>
      </c>
      <c r="I4099">
        <v>1</v>
      </c>
      <c r="J4099" s="23">
        <v>-1421</v>
      </c>
      <c r="K4099" t="s">
        <v>17</v>
      </c>
    </row>
    <row r="4100" spans="1:11" ht="15" customHeight="1" x14ac:dyDescent="0.3">
      <c r="A4100" t="s">
        <v>18</v>
      </c>
      <c r="B4100" t="s">
        <v>11</v>
      </c>
      <c r="C4100" t="s">
        <v>24</v>
      </c>
      <c r="D4100" t="s">
        <v>13</v>
      </c>
      <c r="E4100">
        <v>1</v>
      </c>
      <c r="F4100" t="s">
        <v>30</v>
      </c>
      <c r="G4100" t="s">
        <v>15</v>
      </c>
      <c r="H4100" t="s">
        <v>16</v>
      </c>
      <c r="I4100">
        <v>0</v>
      </c>
      <c r="J4100" s="23">
        <v>25143712</v>
      </c>
      <c r="K4100">
        <v>25143712</v>
      </c>
    </row>
    <row r="4101" spans="1:11" ht="15" customHeight="1" x14ac:dyDescent="0.3">
      <c r="A4101" t="s">
        <v>18</v>
      </c>
      <c r="B4101" t="s">
        <v>19</v>
      </c>
      <c r="C4101" t="s">
        <v>24</v>
      </c>
      <c r="D4101" t="s">
        <v>20</v>
      </c>
      <c r="E4101">
        <v>23</v>
      </c>
      <c r="F4101"/>
      <c r="G4101" t="s">
        <v>15</v>
      </c>
      <c r="H4101" t="s">
        <v>16</v>
      </c>
      <c r="I4101">
        <v>0</v>
      </c>
      <c r="J4101" s="23">
        <v>616040227</v>
      </c>
      <c r="K4101">
        <v>14168925221</v>
      </c>
    </row>
    <row r="4102" spans="1:11" ht="15" customHeight="1" x14ac:dyDescent="0.3">
      <c r="A4102" t="s">
        <v>22</v>
      </c>
      <c r="B4102" t="s">
        <v>11</v>
      </c>
      <c r="C4102" t="s">
        <v>24</v>
      </c>
      <c r="D4102" t="s">
        <v>13</v>
      </c>
      <c r="E4102">
        <v>1</v>
      </c>
      <c r="F4102" t="s">
        <v>34</v>
      </c>
      <c r="G4102" t="s">
        <v>15</v>
      </c>
      <c r="H4102" t="s">
        <v>16</v>
      </c>
      <c r="I4102">
        <v>0</v>
      </c>
      <c r="J4102" s="23">
        <v>3728225</v>
      </c>
      <c r="K4102">
        <v>3728225</v>
      </c>
    </row>
    <row r="4103" spans="1:11" ht="15" customHeight="1" x14ac:dyDescent="0.3">
      <c r="A4103" t="s">
        <v>18</v>
      </c>
      <c r="B4103" t="s">
        <v>11</v>
      </c>
      <c r="C4103" t="s">
        <v>12</v>
      </c>
      <c r="D4103" t="s">
        <v>13</v>
      </c>
      <c r="E4103">
        <v>2</v>
      </c>
      <c r="F4103" t="s">
        <v>26</v>
      </c>
      <c r="G4103" t="s">
        <v>15</v>
      </c>
      <c r="H4103" t="s">
        <v>16</v>
      </c>
      <c r="I4103">
        <v>0</v>
      </c>
      <c r="J4103" s="23">
        <v>-60075</v>
      </c>
      <c r="K4103" t="s">
        <v>17</v>
      </c>
    </row>
    <row r="4104" spans="1:11" ht="15" customHeight="1" x14ac:dyDescent="0.3">
      <c r="A4104" t="s">
        <v>18</v>
      </c>
      <c r="B4104" t="s">
        <v>11</v>
      </c>
      <c r="C4104" t="s">
        <v>12</v>
      </c>
      <c r="D4104" t="s">
        <v>28</v>
      </c>
      <c r="E4104">
        <v>7</v>
      </c>
      <c r="F4104" t="s">
        <v>33</v>
      </c>
      <c r="G4104" t="s">
        <v>15</v>
      </c>
      <c r="H4104" t="s">
        <v>32</v>
      </c>
      <c r="I4104">
        <v>1</v>
      </c>
      <c r="J4104" s="23">
        <v>-1862</v>
      </c>
      <c r="K4104" t="s">
        <v>17</v>
      </c>
    </row>
    <row r="4105" spans="1:11" ht="15" customHeight="1" x14ac:dyDescent="0.3">
      <c r="A4105" t="s">
        <v>18</v>
      </c>
      <c r="B4105" t="s">
        <v>11</v>
      </c>
      <c r="C4105" t="s">
        <v>24</v>
      </c>
      <c r="D4105" t="s">
        <v>28</v>
      </c>
      <c r="E4105">
        <v>12</v>
      </c>
      <c r="F4105" t="s">
        <v>34</v>
      </c>
      <c r="G4105" t="s">
        <v>15</v>
      </c>
      <c r="H4105" t="s">
        <v>32</v>
      </c>
      <c r="I4105">
        <v>1</v>
      </c>
      <c r="J4105" s="23">
        <v>775231</v>
      </c>
      <c r="K4105">
        <v>9302772</v>
      </c>
    </row>
    <row r="4106" spans="1:11" ht="15" customHeight="1" x14ac:dyDescent="0.3">
      <c r="A4106" t="s">
        <v>18</v>
      </c>
      <c r="B4106" t="s">
        <v>11</v>
      </c>
      <c r="C4106" t="s">
        <v>24</v>
      </c>
      <c r="D4106" t="s">
        <v>28</v>
      </c>
      <c r="E4106">
        <v>18</v>
      </c>
      <c r="F4106" t="s">
        <v>23</v>
      </c>
      <c r="G4106" t="s">
        <v>15</v>
      </c>
      <c r="H4106" t="s">
        <v>16</v>
      </c>
      <c r="I4106">
        <v>0</v>
      </c>
      <c r="J4106" s="23">
        <v>198776</v>
      </c>
      <c r="K4106">
        <v>3577968</v>
      </c>
    </row>
    <row r="4107" spans="1:11" ht="15" customHeight="1" x14ac:dyDescent="0.3">
      <c r="A4107" t="s">
        <v>18</v>
      </c>
      <c r="B4107" t="s">
        <v>44</v>
      </c>
      <c r="C4107" t="s">
        <v>24</v>
      </c>
      <c r="D4107" t="s">
        <v>28</v>
      </c>
      <c r="E4107">
        <v>6</v>
      </c>
      <c r="F4107" t="s">
        <v>34</v>
      </c>
      <c r="G4107" t="s">
        <v>15</v>
      </c>
      <c r="H4107" t="s">
        <v>16</v>
      </c>
      <c r="I4107">
        <v>0</v>
      </c>
      <c r="J4107" s="23">
        <v>4268896</v>
      </c>
      <c r="K4107">
        <v>25613376</v>
      </c>
    </row>
    <row r="4108" spans="1:11" ht="15" customHeight="1" x14ac:dyDescent="0.3">
      <c r="A4108" t="s">
        <v>22</v>
      </c>
      <c r="B4108" t="s">
        <v>11</v>
      </c>
      <c r="C4108" t="s">
        <v>12</v>
      </c>
      <c r="D4108" t="s">
        <v>28</v>
      </c>
      <c r="E4108">
        <v>3</v>
      </c>
      <c r="F4108" t="s">
        <v>29</v>
      </c>
      <c r="G4108" t="s">
        <v>15</v>
      </c>
      <c r="H4108" t="s">
        <v>32</v>
      </c>
      <c r="I4108">
        <v>1</v>
      </c>
      <c r="J4108" s="23">
        <v>-362244</v>
      </c>
      <c r="K4108" t="s">
        <v>17</v>
      </c>
    </row>
    <row r="4109" spans="1:11" ht="15" customHeight="1" x14ac:dyDescent="0.3">
      <c r="A4109" t="s">
        <v>22</v>
      </c>
      <c r="B4109" t="s">
        <v>11</v>
      </c>
      <c r="C4109" t="s">
        <v>24</v>
      </c>
      <c r="D4109" t="s">
        <v>13</v>
      </c>
      <c r="E4109">
        <v>-4</v>
      </c>
      <c r="F4109" t="s">
        <v>21</v>
      </c>
      <c r="G4109" t="s">
        <v>15</v>
      </c>
      <c r="H4109" t="s">
        <v>16</v>
      </c>
      <c r="I4109">
        <v>0</v>
      </c>
      <c r="J4109" s="23">
        <v>7898454</v>
      </c>
      <c r="K4109" t="s">
        <v>17</v>
      </c>
    </row>
    <row r="4110" spans="1:11" ht="15" customHeight="1" x14ac:dyDescent="0.3">
      <c r="A4110" t="s">
        <v>18</v>
      </c>
      <c r="B4110" t="s">
        <v>11</v>
      </c>
      <c r="C4110" t="s">
        <v>24</v>
      </c>
      <c r="D4110" t="s">
        <v>28</v>
      </c>
      <c r="E4110">
        <v>4</v>
      </c>
      <c r="F4110" t="s">
        <v>35</v>
      </c>
      <c r="G4110" t="s">
        <v>15</v>
      </c>
      <c r="H4110" t="s">
        <v>16</v>
      </c>
      <c r="I4110">
        <v>0</v>
      </c>
      <c r="J4110" s="23">
        <v>918632</v>
      </c>
      <c r="K4110">
        <v>3674528</v>
      </c>
    </row>
    <row r="4111" spans="1:11" ht="15" customHeight="1" x14ac:dyDescent="0.3">
      <c r="A4111" t="s">
        <v>18</v>
      </c>
      <c r="B4111" t="s">
        <v>19</v>
      </c>
      <c r="C4111" t="s">
        <v>24</v>
      </c>
      <c r="D4111" t="s">
        <v>20</v>
      </c>
      <c r="E4111">
        <v>50</v>
      </c>
      <c r="F4111"/>
      <c r="G4111" t="s">
        <v>15</v>
      </c>
      <c r="H4111" t="s">
        <v>16</v>
      </c>
      <c r="I4111">
        <v>0</v>
      </c>
      <c r="J4111" s="23">
        <v>254584</v>
      </c>
      <c r="K4111">
        <v>12729200</v>
      </c>
    </row>
    <row r="4112" spans="1:11" ht="15" customHeight="1" x14ac:dyDescent="0.3">
      <c r="A4112" t="s">
        <v>22</v>
      </c>
      <c r="B4112" t="s">
        <v>11</v>
      </c>
      <c r="C4112" t="s">
        <v>12</v>
      </c>
      <c r="D4112" t="s">
        <v>28</v>
      </c>
      <c r="E4112">
        <v>3</v>
      </c>
      <c r="F4112" t="s">
        <v>42</v>
      </c>
      <c r="G4112" t="s">
        <v>15</v>
      </c>
      <c r="H4112" t="s">
        <v>16</v>
      </c>
      <c r="I4112">
        <v>0</v>
      </c>
      <c r="J4112" s="23">
        <v>-39704</v>
      </c>
      <c r="K4112" t="s">
        <v>17</v>
      </c>
    </row>
    <row r="4113" spans="1:11" ht="15" customHeight="1" x14ac:dyDescent="0.3">
      <c r="A4113" t="s">
        <v>22</v>
      </c>
      <c r="B4113" t="s">
        <v>19</v>
      </c>
      <c r="C4113" t="s">
        <v>24</v>
      </c>
      <c r="D4113" t="s">
        <v>20</v>
      </c>
      <c r="E4113">
        <v>36</v>
      </c>
      <c r="F4113"/>
      <c r="G4113" t="s">
        <v>15</v>
      </c>
      <c r="H4113" t="s">
        <v>32</v>
      </c>
      <c r="I4113">
        <v>1</v>
      </c>
      <c r="J4113" s="23">
        <v>131496</v>
      </c>
      <c r="K4113">
        <v>4733856</v>
      </c>
    </row>
    <row r="4114" spans="1:11" ht="15" customHeight="1" x14ac:dyDescent="0.3">
      <c r="A4114" t="s">
        <v>10</v>
      </c>
      <c r="B4114" t="s">
        <v>11</v>
      </c>
      <c r="C4114" t="s">
        <v>24</v>
      </c>
      <c r="D4114" t="s">
        <v>25</v>
      </c>
      <c r="E4114">
        <v>5</v>
      </c>
      <c r="F4114" t="s">
        <v>35</v>
      </c>
      <c r="G4114" t="s">
        <v>15</v>
      </c>
      <c r="H4114" t="s">
        <v>16</v>
      </c>
      <c r="I4114">
        <v>0</v>
      </c>
      <c r="J4114" s="23">
        <v>548927</v>
      </c>
      <c r="K4114">
        <v>2744635</v>
      </c>
    </row>
    <row r="4115" spans="1:11" ht="15" customHeight="1" x14ac:dyDescent="0.3">
      <c r="A4115" t="s">
        <v>10</v>
      </c>
      <c r="B4115" t="s">
        <v>11</v>
      </c>
      <c r="C4115" t="s">
        <v>24</v>
      </c>
      <c r="D4115" t="s">
        <v>13</v>
      </c>
      <c r="E4115">
        <v>-1</v>
      </c>
      <c r="F4115" t="s">
        <v>14</v>
      </c>
      <c r="G4115" t="s">
        <v>15</v>
      </c>
      <c r="H4115" t="s">
        <v>16</v>
      </c>
      <c r="I4115">
        <v>0</v>
      </c>
      <c r="J4115" s="23">
        <v>4860140</v>
      </c>
      <c r="K4115" t="s">
        <v>17</v>
      </c>
    </row>
    <row r="4116" spans="1:11" ht="15" customHeight="1" x14ac:dyDescent="0.3">
      <c r="A4116" t="s">
        <v>10</v>
      </c>
      <c r="B4116" t="s">
        <v>11</v>
      </c>
      <c r="C4116" t="s">
        <v>24</v>
      </c>
      <c r="D4116" t="s">
        <v>28</v>
      </c>
      <c r="E4116">
        <v>3</v>
      </c>
      <c r="F4116" t="s">
        <v>23</v>
      </c>
      <c r="G4116" t="s">
        <v>15</v>
      </c>
      <c r="H4116" t="s">
        <v>16</v>
      </c>
      <c r="I4116">
        <v>0</v>
      </c>
      <c r="J4116" s="23">
        <v>1707234</v>
      </c>
      <c r="K4116">
        <v>5121702</v>
      </c>
    </row>
    <row r="4117" spans="1:11" ht="15" customHeight="1" x14ac:dyDescent="0.3">
      <c r="A4117" t="s">
        <v>18</v>
      </c>
      <c r="B4117" t="s">
        <v>11</v>
      </c>
      <c r="C4117" t="s">
        <v>24</v>
      </c>
      <c r="D4117" t="s">
        <v>28</v>
      </c>
      <c r="E4117">
        <v>0</v>
      </c>
      <c r="F4117" t="s">
        <v>34</v>
      </c>
      <c r="G4117" t="s">
        <v>15</v>
      </c>
      <c r="H4117" t="s">
        <v>16</v>
      </c>
      <c r="I4117">
        <v>0</v>
      </c>
      <c r="J4117" s="23">
        <v>1500083</v>
      </c>
      <c r="K4117" t="s">
        <v>17</v>
      </c>
    </row>
    <row r="4118" spans="1:11" ht="15" customHeight="1" x14ac:dyDescent="0.3">
      <c r="A4118" t="s">
        <v>10</v>
      </c>
      <c r="B4118" t="s">
        <v>11</v>
      </c>
      <c r="C4118" t="s">
        <v>12</v>
      </c>
      <c r="D4118" t="s">
        <v>28</v>
      </c>
      <c r="E4118">
        <v>2</v>
      </c>
      <c r="F4118" t="s">
        <v>21</v>
      </c>
      <c r="G4118" t="s">
        <v>15</v>
      </c>
      <c r="H4118" t="s">
        <v>16</v>
      </c>
      <c r="I4118">
        <v>0</v>
      </c>
      <c r="J4118" s="23">
        <v>-13007</v>
      </c>
      <c r="K4118" t="s">
        <v>17</v>
      </c>
    </row>
    <row r="4119" spans="1:11" ht="15" customHeight="1" x14ac:dyDescent="0.3">
      <c r="A4119" t="s">
        <v>10</v>
      </c>
      <c r="B4119" t="s">
        <v>11</v>
      </c>
      <c r="C4119" t="s">
        <v>12</v>
      </c>
      <c r="D4119" t="s">
        <v>13</v>
      </c>
      <c r="E4119">
        <v>5</v>
      </c>
      <c r="F4119" t="s">
        <v>39</v>
      </c>
      <c r="G4119" t="s">
        <v>15</v>
      </c>
      <c r="H4119" t="s">
        <v>16</v>
      </c>
      <c r="I4119">
        <v>0</v>
      </c>
      <c r="J4119" s="23">
        <v>-35014</v>
      </c>
      <c r="K4119" t="s">
        <v>17</v>
      </c>
    </row>
    <row r="4120" spans="1:11" ht="15" customHeight="1" x14ac:dyDescent="0.3">
      <c r="A4120" t="s">
        <v>18</v>
      </c>
      <c r="B4120" t="s">
        <v>11</v>
      </c>
      <c r="C4120" t="s">
        <v>12</v>
      </c>
      <c r="D4120" t="s">
        <v>28</v>
      </c>
      <c r="E4120">
        <v>3</v>
      </c>
      <c r="F4120" t="s">
        <v>34</v>
      </c>
      <c r="G4120" t="s">
        <v>15</v>
      </c>
      <c r="H4120" t="s">
        <v>32</v>
      </c>
      <c r="I4120">
        <v>1</v>
      </c>
      <c r="J4120" s="23">
        <v>-476</v>
      </c>
      <c r="K4120" t="s">
        <v>17</v>
      </c>
    </row>
    <row r="4121" spans="1:11" ht="15" customHeight="1" x14ac:dyDescent="0.3">
      <c r="A4121" t="s">
        <v>18</v>
      </c>
      <c r="B4121" t="s">
        <v>11</v>
      </c>
      <c r="C4121" t="s">
        <v>12</v>
      </c>
      <c r="D4121" t="s">
        <v>13</v>
      </c>
      <c r="E4121">
        <v>1</v>
      </c>
      <c r="F4121" t="s">
        <v>42</v>
      </c>
      <c r="G4121" t="s">
        <v>15</v>
      </c>
      <c r="H4121" t="s">
        <v>16</v>
      </c>
      <c r="I4121">
        <v>0</v>
      </c>
      <c r="J4121" s="23">
        <v>-22182</v>
      </c>
      <c r="K4121" t="s">
        <v>17</v>
      </c>
    </row>
    <row r="4122" spans="1:11" ht="15" customHeight="1" x14ac:dyDescent="0.3">
      <c r="A4122" t="s">
        <v>10</v>
      </c>
      <c r="B4122" t="s">
        <v>11</v>
      </c>
      <c r="C4122" t="s">
        <v>12</v>
      </c>
      <c r="D4122" t="s">
        <v>28</v>
      </c>
      <c r="E4122">
        <v>5</v>
      </c>
      <c r="F4122" t="s">
        <v>39</v>
      </c>
      <c r="G4122" t="s">
        <v>15</v>
      </c>
      <c r="H4122" t="s">
        <v>16</v>
      </c>
      <c r="I4122">
        <v>0</v>
      </c>
      <c r="J4122" s="23">
        <v>-33042</v>
      </c>
      <c r="K4122" t="s">
        <v>17</v>
      </c>
    </row>
    <row r="4123" spans="1:11" ht="15" customHeight="1" x14ac:dyDescent="0.3">
      <c r="A4123" t="s">
        <v>10</v>
      </c>
      <c r="B4123" t="s">
        <v>11</v>
      </c>
      <c r="C4123" t="s">
        <v>24</v>
      </c>
      <c r="D4123" t="s">
        <v>28</v>
      </c>
      <c r="E4123">
        <v>6</v>
      </c>
      <c r="F4123" t="s">
        <v>27</v>
      </c>
      <c r="G4123" t="s">
        <v>15</v>
      </c>
      <c r="H4123" t="s">
        <v>16</v>
      </c>
      <c r="I4123">
        <v>0</v>
      </c>
      <c r="J4123" s="23">
        <v>19108</v>
      </c>
      <c r="K4123">
        <v>114648</v>
      </c>
    </row>
    <row r="4124" spans="1:11" ht="15" customHeight="1" x14ac:dyDescent="0.3">
      <c r="A4124" t="s">
        <v>18</v>
      </c>
      <c r="B4124" t="s">
        <v>11</v>
      </c>
      <c r="C4124" t="s">
        <v>12</v>
      </c>
      <c r="D4124" t="s">
        <v>13</v>
      </c>
      <c r="E4124">
        <v>-4</v>
      </c>
      <c r="F4124" t="s">
        <v>34</v>
      </c>
      <c r="G4124" t="s">
        <v>15</v>
      </c>
      <c r="H4124" t="s">
        <v>16</v>
      </c>
      <c r="I4124">
        <v>0</v>
      </c>
      <c r="J4124" s="23">
        <v>-17</v>
      </c>
      <c r="K4124" t="s">
        <v>17</v>
      </c>
    </row>
    <row r="4125" spans="1:11" ht="15" customHeight="1" x14ac:dyDescent="0.3">
      <c r="A4125" t="s">
        <v>10</v>
      </c>
      <c r="B4125" t="s">
        <v>11</v>
      </c>
      <c r="C4125" t="s">
        <v>24</v>
      </c>
      <c r="D4125" t="s">
        <v>25</v>
      </c>
      <c r="E4125">
        <v>1</v>
      </c>
      <c r="F4125" t="s">
        <v>36</v>
      </c>
      <c r="G4125" t="s">
        <v>15</v>
      </c>
      <c r="H4125" t="s">
        <v>16</v>
      </c>
      <c r="I4125">
        <v>0</v>
      </c>
      <c r="J4125" s="23">
        <v>42730</v>
      </c>
      <c r="K4125">
        <v>42730</v>
      </c>
    </row>
    <row r="4126" spans="1:11" ht="15" customHeight="1" x14ac:dyDescent="0.3">
      <c r="A4126" t="s">
        <v>22</v>
      </c>
      <c r="B4126" t="s">
        <v>11</v>
      </c>
      <c r="C4126" t="s">
        <v>24</v>
      </c>
      <c r="D4126" t="s">
        <v>28</v>
      </c>
      <c r="E4126">
        <v>0</v>
      </c>
      <c r="F4126" t="s">
        <v>21</v>
      </c>
      <c r="G4126" t="s">
        <v>31</v>
      </c>
      <c r="H4126" t="s">
        <v>16</v>
      </c>
      <c r="I4126">
        <v>1</v>
      </c>
      <c r="J4126" s="23">
        <v>25291</v>
      </c>
      <c r="K4126" t="s">
        <v>17</v>
      </c>
    </row>
    <row r="4127" spans="1:11" ht="15" customHeight="1" x14ac:dyDescent="0.3">
      <c r="A4127" t="s">
        <v>22</v>
      </c>
      <c r="B4127" t="s">
        <v>11</v>
      </c>
      <c r="C4127" t="s">
        <v>12</v>
      </c>
      <c r="D4127" t="s">
        <v>13</v>
      </c>
      <c r="E4127">
        <v>0</v>
      </c>
      <c r="F4127" t="s">
        <v>34</v>
      </c>
      <c r="G4127" t="s">
        <v>15</v>
      </c>
      <c r="H4127" t="s">
        <v>16</v>
      </c>
      <c r="I4127">
        <v>0</v>
      </c>
      <c r="J4127" s="23">
        <v>-2751535</v>
      </c>
      <c r="K4127" t="s">
        <v>17</v>
      </c>
    </row>
    <row r="4128" spans="1:11" ht="15" customHeight="1" x14ac:dyDescent="0.3">
      <c r="A4128" t="s">
        <v>18</v>
      </c>
      <c r="B4128" t="s">
        <v>11</v>
      </c>
      <c r="C4128" t="s">
        <v>12</v>
      </c>
      <c r="D4128" t="s">
        <v>13</v>
      </c>
      <c r="E4128">
        <v>4</v>
      </c>
      <c r="F4128" t="s">
        <v>30</v>
      </c>
      <c r="G4128" t="s">
        <v>15</v>
      </c>
      <c r="H4128" t="s">
        <v>16</v>
      </c>
      <c r="I4128">
        <v>0</v>
      </c>
      <c r="J4128" s="23">
        <v>-178545</v>
      </c>
      <c r="K4128" t="s">
        <v>17</v>
      </c>
    </row>
    <row r="4129" spans="1:11" ht="15" customHeight="1" x14ac:dyDescent="0.3">
      <c r="A4129" t="s">
        <v>10</v>
      </c>
      <c r="B4129" t="s">
        <v>11</v>
      </c>
      <c r="C4129" t="s">
        <v>24</v>
      </c>
      <c r="D4129" t="s">
        <v>13</v>
      </c>
      <c r="E4129">
        <v>3</v>
      </c>
      <c r="F4129" t="s">
        <v>30</v>
      </c>
      <c r="G4129" t="s">
        <v>15</v>
      </c>
      <c r="H4129" t="s">
        <v>16</v>
      </c>
      <c r="I4129">
        <v>0</v>
      </c>
      <c r="J4129" s="23">
        <v>5939490</v>
      </c>
      <c r="K4129">
        <v>17818470</v>
      </c>
    </row>
    <row r="4130" spans="1:11" ht="15" customHeight="1" x14ac:dyDescent="0.3">
      <c r="A4130" t="s">
        <v>22</v>
      </c>
      <c r="B4130" t="s">
        <v>11</v>
      </c>
      <c r="C4130" t="s">
        <v>12</v>
      </c>
      <c r="D4130" t="s">
        <v>28</v>
      </c>
      <c r="E4130">
        <v>0</v>
      </c>
      <c r="F4130" t="s">
        <v>26</v>
      </c>
      <c r="G4130" t="s">
        <v>15</v>
      </c>
      <c r="H4130" t="s">
        <v>16</v>
      </c>
      <c r="I4130">
        <v>0</v>
      </c>
      <c r="J4130" s="23">
        <v>-249111</v>
      </c>
      <c r="K4130" t="s">
        <v>17</v>
      </c>
    </row>
    <row r="4131" spans="1:11" ht="15" customHeight="1" x14ac:dyDescent="0.3">
      <c r="A4131" t="s">
        <v>18</v>
      </c>
      <c r="B4131" t="s">
        <v>19</v>
      </c>
      <c r="C4131" t="s">
        <v>24</v>
      </c>
      <c r="D4131" t="s">
        <v>20</v>
      </c>
      <c r="E4131">
        <v>0</v>
      </c>
      <c r="F4131"/>
      <c r="G4131" t="s">
        <v>15</v>
      </c>
      <c r="H4131" t="s">
        <v>32</v>
      </c>
      <c r="I4131">
        <v>1</v>
      </c>
      <c r="J4131" s="23">
        <v>13274</v>
      </c>
      <c r="K4131" t="s">
        <v>17</v>
      </c>
    </row>
    <row r="4132" spans="1:11" ht="15" customHeight="1" x14ac:dyDescent="0.3">
      <c r="A4132" t="s">
        <v>18</v>
      </c>
      <c r="B4132" t="s">
        <v>11</v>
      </c>
      <c r="C4132" t="s">
        <v>24</v>
      </c>
      <c r="D4132" t="s">
        <v>28</v>
      </c>
      <c r="E4132">
        <v>5</v>
      </c>
      <c r="F4132" t="s">
        <v>35</v>
      </c>
      <c r="G4132" t="s">
        <v>15</v>
      </c>
      <c r="H4132" t="s">
        <v>16</v>
      </c>
      <c r="I4132">
        <v>0</v>
      </c>
      <c r="J4132" s="23">
        <v>1911855</v>
      </c>
      <c r="K4132">
        <v>9559275</v>
      </c>
    </row>
    <row r="4133" spans="1:11" ht="15" customHeight="1" x14ac:dyDescent="0.3">
      <c r="A4133" t="s">
        <v>10</v>
      </c>
      <c r="B4133" t="s">
        <v>11</v>
      </c>
      <c r="C4133" t="s">
        <v>12</v>
      </c>
      <c r="D4133" t="s">
        <v>25</v>
      </c>
      <c r="E4133">
        <v>1</v>
      </c>
      <c r="F4133" t="s">
        <v>26</v>
      </c>
      <c r="G4133" t="s">
        <v>15</v>
      </c>
      <c r="H4133" t="s">
        <v>16</v>
      </c>
      <c r="I4133">
        <v>0</v>
      </c>
      <c r="J4133" s="23">
        <v>-453</v>
      </c>
      <c r="K4133" t="s">
        <v>17</v>
      </c>
    </row>
    <row r="4134" spans="1:11" ht="15" customHeight="1" x14ac:dyDescent="0.3">
      <c r="A4134" t="s">
        <v>22</v>
      </c>
      <c r="B4134" t="s">
        <v>11</v>
      </c>
      <c r="C4134" t="s">
        <v>24</v>
      </c>
      <c r="D4134" t="s">
        <v>28</v>
      </c>
      <c r="E4134">
        <v>0</v>
      </c>
      <c r="F4134" t="s">
        <v>29</v>
      </c>
      <c r="G4134" t="s">
        <v>15</v>
      </c>
      <c r="H4134" t="s">
        <v>32</v>
      </c>
      <c r="I4134">
        <v>1</v>
      </c>
      <c r="J4134" s="23">
        <v>780694</v>
      </c>
      <c r="K4134" t="s">
        <v>17</v>
      </c>
    </row>
    <row r="4135" spans="1:11" ht="15" customHeight="1" x14ac:dyDescent="0.3">
      <c r="A4135" t="s">
        <v>22</v>
      </c>
      <c r="B4135" t="s">
        <v>11</v>
      </c>
      <c r="C4135" t="s">
        <v>12</v>
      </c>
      <c r="D4135" t="s">
        <v>13</v>
      </c>
      <c r="E4135">
        <v>-4</v>
      </c>
      <c r="F4135" t="s">
        <v>34</v>
      </c>
      <c r="G4135" t="s">
        <v>15</v>
      </c>
      <c r="H4135" t="s">
        <v>16</v>
      </c>
      <c r="I4135">
        <v>0</v>
      </c>
      <c r="J4135" s="23">
        <v>-6023595</v>
      </c>
      <c r="K4135" t="s">
        <v>17</v>
      </c>
    </row>
    <row r="4136" spans="1:11" ht="15" customHeight="1" x14ac:dyDescent="0.3">
      <c r="A4136" t="s">
        <v>10</v>
      </c>
      <c r="B4136" t="s">
        <v>19</v>
      </c>
      <c r="C4136" t="s">
        <v>24</v>
      </c>
      <c r="D4136" t="s">
        <v>20</v>
      </c>
      <c r="E4136">
        <v>14</v>
      </c>
      <c r="F4136"/>
      <c r="G4136" t="s">
        <v>15</v>
      </c>
      <c r="H4136" t="s">
        <v>32</v>
      </c>
      <c r="I4136">
        <v>1</v>
      </c>
      <c r="J4136" s="23">
        <v>151605</v>
      </c>
      <c r="K4136">
        <v>2122470</v>
      </c>
    </row>
    <row r="4137" spans="1:11" ht="15" customHeight="1" x14ac:dyDescent="0.3">
      <c r="A4137" t="s">
        <v>10</v>
      </c>
      <c r="B4137" t="s">
        <v>11</v>
      </c>
      <c r="C4137" t="s">
        <v>24</v>
      </c>
      <c r="D4137" t="s">
        <v>13</v>
      </c>
      <c r="E4137">
        <v>5</v>
      </c>
      <c r="F4137" t="s">
        <v>33</v>
      </c>
      <c r="G4137" t="s">
        <v>15</v>
      </c>
      <c r="H4137" t="s">
        <v>16</v>
      </c>
      <c r="I4137">
        <v>0</v>
      </c>
      <c r="J4137" s="23">
        <v>694200</v>
      </c>
      <c r="K4137">
        <v>3471000</v>
      </c>
    </row>
    <row r="4138" spans="1:11" ht="15" customHeight="1" x14ac:dyDescent="0.3">
      <c r="A4138" t="s">
        <v>22</v>
      </c>
      <c r="B4138" t="s">
        <v>11</v>
      </c>
      <c r="C4138" t="s">
        <v>12</v>
      </c>
      <c r="D4138" t="s">
        <v>13</v>
      </c>
      <c r="E4138">
        <v>1</v>
      </c>
      <c r="F4138" t="s">
        <v>39</v>
      </c>
      <c r="G4138" t="s">
        <v>15</v>
      </c>
      <c r="H4138" t="s">
        <v>16</v>
      </c>
      <c r="I4138">
        <v>0</v>
      </c>
      <c r="J4138" s="23">
        <v>-289904</v>
      </c>
      <c r="K4138" t="s">
        <v>17</v>
      </c>
    </row>
    <row r="4139" spans="1:11" ht="15" customHeight="1" x14ac:dyDescent="0.3">
      <c r="A4139" t="s">
        <v>10</v>
      </c>
      <c r="B4139" t="s">
        <v>11</v>
      </c>
      <c r="C4139" t="s">
        <v>24</v>
      </c>
      <c r="D4139" t="s">
        <v>28</v>
      </c>
      <c r="E4139">
        <v>8</v>
      </c>
      <c r="F4139" t="s">
        <v>26</v>
      </c>
      <c r="G4139" t="s">
        <v>15</v>
      </c>
      <c r="H4139" t="s">
        <v>16</v>
      </c>
      <c r="I4139">
        <v>0</v>
      </c>
      <c r="J4139" s="23">
        <v>10245224</v>
      </c>
      <c r="K4139">
        <v>81961792</v>
      </c>
    </row>
    <row r="4140" spans="1:11" ht="15" customHeight="1" x14ac:dyDescent="0.3">
      <c r="A4140" t="s">
        <v>18</v>
      </c>
      <c r="B4140" t="s">
        <v>11</v>
      </c>
      <c r="C4140" t="s">
        <v>24</v>
      </c>
      <c r="D4140" t="s">
        <v>28</v>
      </c>
      <c r="E4140">
        <v>5</v>
      </c>
      <c r="F4140" t="s">
        <v>14</v>
      </c>
      <c r="G4140" t="s">
        <v>31</v>
      </c>
      <c r="H4140" t="s">
        <v>16</v>
      </c>
      <c r="I4140">
        <v>1</v>
      </c>
      <c r="J4140" s="23">
        <v>42354</v>
      </c>
      <c r="K4140">
        <v>211770</v>
      </c>
    </row>
    <row r="4141" spans="1:11" ht="15" customHeight="1" x14ac:dyDescent="0.3">
      <c r="A4141" t="s">
        <v>18</v>
      </c>
      <c r="B4141" t="s">
        <v>19</v>
      </c>
      <c r="C4141" t="s">
        <v>24</v>
      </c>
      <c r="D4141" t="s">
        <v>28</v>
      </c>
      <c r="E4141">
        <v>1</v>
      </c>
      <c r="F4141"/>
      <c r="G4141" t="s">
        <v>15</v>
      </c>
      <c r="H4141" t="s">
        <v>32</v>
      </c>
      <c r="I4141">
        <v>1</v>
      </c>
      <c r="J4141" s="23">
        <v>20688</v>
      </c>
      <c r="K4141">
        <v>20688</v>
      </c>
    </row>
    <row r="4142" spans="1:11" ht="15" customHeight="1" x14ac:dyDescent="0.3">
      <c r="A4142" t="s">
        <v>18</v>
      </c>
      <c r="B4142" t="s">
        <v>11</v>
      </c>
      <c r="C4142" t="s">
        <v>12</v>
      </c>
      <c r="D4142" t="s">
        <v>28</v>
      </c>
      <c r="E4142">
        <v>2</v>
      </c>
      <c r="F4142" t="s">
        <v>45</v>
      </c>
      <c r="G4142" t="s">
        <v>15</v>
      </c>
      <c r="H4142" t="s">
        <v>16</v>
      </c>
      <c r="I4142">
        <v>0</v>
      </c>
      <c r="J4142" s="23">
        <v>-557</v>
      </c>
      <c r="K4142" t="s">
        <v>17</v>
      </c>
    </row>
    <row r="4143" spans="1:11" ht="15" customHeight="1" x14ac:dyDescent="0.3">
      <c r="A4143" t="s">
        <v>22</v>
      </c>
      <c r="B4143" t="s">
        <v>19</v>
      </c>
      <c r="C4143" t="s">
        <v>12</v>
      </c>
      <c r="D4143" t="s">
        <v>28</v>
      </c>
      <c r="E4143">
        <v>1</v>
      </c>
      <c r="F4143"/>
      <c r="G4143" t="s">
        <v>15</v>
      </c>
      <c r="H4143" t="s">
        <v>16</v>
      </c>
      <c r="I4143">
        <v>0</v>
      </c>
      <c r="J4143" s="23">
        <v>-15548</v>
      </c>
      <c r="K4143" t="s">
        <v>17</v>
      </c>
    </row>
    <row r="4144" spans="1:11" ht="15" customHeight="1" x14ac:dyDescent="0.3">
      <c r="A4144" t="s">
        <v>18</v>
      </c>
      <c r="B4144" t="s">
        <v>11</v>
      </c>
      <c r="C4144" t="s">
        <v>24</v>
      </c>
      <c r="D4144" t="s">
        <v>28</v>
      </c>
      <c r="E4144">
        <v>4</v>
      </c>
      <c r="F4144" t="s">
        <v>40</v>
      </c>
      <c r="G4144" t="s">
        <v>15</v>
      </c>
      <c r="H4144" t="s">
        <v>16</v>
      </c>
      <c r="I4144">
        <v>0</v>
      </c>
      <c r="J4144" s="23">
        <v>7295343</v>
      </c>
      <c r="K4144">
        <v>29181372</v>
      </c>
    </row>
    <row r="4145" spans="1:11" ht="15" customHeight="1" x14ac:dyDescent="0.3">
      <c r="A4145" t="s">
        <v>18</v>
      </c>
      <c r="B4145" t="s">
        <v>11</v>
      </c>
      <c r="C4145" t="s">
        <v>12</v>
      </c>
      <c r="D4145" t="s">
        <v>28</v>
      </c>
      <c r="E4145">
        <v>0</v>
      </c>
      <c r="F4145" t="s">
        <v>34</v>
      </c>
      <c r="G4145" t="s">
        <v>15</v>
      </c>
      <c r="H4145" t="s">
        <v>32</v>
      </c>
      <c r="I4145">
        <v>1</v>
      </c>
      <c r="J4145" s="23">
        <v>-87</v>
      </c>
      <c r="K4145" t="s">
        <v>17</v>
      </c>
    </row>
    <row r="4146" spans="1:11" ht="15" customHeight="1" x14ac:dyDescent="0.3">
      <c r="A4146" t="s">
        <v>22</v>
      </c>
      <c r="B4146" t="s">
        <v>11</v>
      </c>
      <c r="C4146" t="s">
        <v>12</v>
      </c>
      <c r="D4146" t="s">
        <v>13</v>
      </c>
      <c r="E4146">
        <v>1</v>
      </c>
      <c r="F4146" t="s">
        <v>42</v>
      </c>
      <c r="G4146" t="s">
        <v>15</v>
      </c>
      <c r="H4146" t="s">
        <v>16</v>
      </c>
      <c r="I4146">
        <v>0</v>
      </c>
      <c r="J4146" s="23">
        <v>-125137</v>
      </c>
      <c r="K4146" t="s">
        <v>17</v>
      </c>
    </row>
    <row r="4147" spans="1:11" ht="15" customHeight="1" x14ac:dyDescent="0.3">
      <c r="A4147" t="s">
        <v>22</v>
      </c>
      <c r="B4147" t="s">
        <v>11</v>
      </c>
      <c r="C4147" t="s">
        <v>12</v>
      </c>
      <c r="D4147" t="s">
        <v>13</v>
      </c>
      <c r="E4147">
        <v>8</v>
      </c>
      <c r="F4147" t="s">
        <v>40</v>
      </c>
      <c r="G4147" t="s">
        <v>15</v>
      </c>
      <c r="H4147" t="s">
        <v>16</v>
      </c>
      <c r="I4147">
        <v>0</v>
      </c>
      <c r="J4147" s="23">
        <v>-5233</v>
      </c>
      <c r="K4147" t="s">
        <v>17</v>
      </c>
    </row>
    <row r="4148" spans="1:11" ht="15" customHeight="1" x14ac:dyDescent="0.3">
      <c r="A4148" t="s">
        <v>18</v>
      </c>
      <c r="B4148" t="s">
        <v>19</v>
      </c>
      <c r="C4148" t="s">
        <v>24</v>
      </c>
      <c r="D4148" t="s">
        <v>20</v>
      </c>
      <c r="E4148">
        <v>41</v>
      </c>
      <c r="F4148"/>
      <c r="G4148" t="s">
        <v>15</v>
      </c>
      <c r="H4148" t="s">
        <v>32</v>
      </c>
      <c r="I4148">
        <v>1</v>
      </c>
      <c r="J4148" s="23">
        <v>251846</v>
      </c>
      <c r="K4148">
        <v>10325686</v>
      </c>
    </row>
    <row r="4149" spans="1:11" ht="15" customHeight="1" x14ac:dyDescent="0.3">
      <c r="A4149" t="s">
        <v>10</v>
      </c>
      <c r="B4149" t="s">
        <v>19</v>
      </c>
      <c r="C4149" t="s">
        <v>24</v>
      </c>
      <c r="D4149" t="s">
        <v>20</v>
      </c>
      <c r="E4149">
        <v>7</v>
      </c>
      <c r="F4149"/>
      <c r="G4149" t="s">
        <v>15</v>
      </c>
      <c r="H4149" t="s">
        <v>32</v>
      </c>
      <c r="I4149">
        <v>1</v>
      </c>
      <c r="J4149" s="23">
        <v>81468</v>
      </c>
      <c r="K4149">
        <v>570276</v>
      </c>
    </row>
    <row r="4150" spans="1:11" ht="15" customHeight="1" x14ac:dyDescent="0.3">
      <c r="A4150" t="s">
        <v>18</v>
      </c>
      <c r="B4150" t="s">
        <v>19</v>
      </c>
      <c r="C4150" t="s">
        <v>12</v>
      </c>
      <c r="D4150" t="s">
        <v>20</v>
      </c>
      <c r="E4150">
        <v>32</v>
      </c>
      <c r="F4150"/>
      <c r="G4150" t="s">
        <v>15</v>
      </c>
      <c r="H4150" t="s">
        <v>32</v>
      </c>
      <c r="I4150">
        <v>1</v>
      </c>
      <c r="J4150" s="23">
        <v>-639</v>
      </c>
      <c r="K4150" t="s">
        <v>17</v>
      </c>
    </row>
    <row r="4151" spans="1:11" ht="15" customHeight="1" x14ac:dyDescent="0.3">
      <c r="A4151" t="s">
        <v>10</v>
      </c>
      <c r="B4151" t="s">
        <v>11</v>
      </c>
      <c r="C4151" t="s">
        <v>12</v>
      </c>
      <c r="D4151" t="s">
        <v>13</v>
      </c>
      <c r="E4151">
        <v>11</v>
      </c>
      <c r="F4151" t="s">
        <v>34</v>
      </c>
      <c r="G4151" t="s">
        <v>15</v>
      </c>
      <c r="H4151" t="s">
        <v>16</v>
      </c>
      <c r="I4151">
        <v>0</v>
      </c>
      <c r="J4151" s="23">
        <v>-342791</v>
      </c>
      <c r="K4151" t="s">
        <v>17</v>
      </c>
    </row>
    <row r="4152" spans="1:11" ht="15" customHeight="1" x14ac:dyDescent="0.3">
      <c r="A4152" t="s">
        <v>18</v>
      </c>
      <c r="B4152" t="s">
        <v>11</v>
      </c>
      <c r="C4152" t="s">
        <v>12</v>
      </c>
      <c r="D4152" t="s">
        <v>28</v>
      </c>
      <c r="E4152">
        <v>3</v>
      </c>
      <c r="F4152" t="s">
        <v>26</v>
      </c>
      <c r="G4152" t="s">
        <v>31</v>
      </c>
      <c r="H4152" t="s">
        <v>16</v>
      </c>
      <c r="I4152">
        <v>1</v>
      </c>
      <c r="J4152" s="23">
        <v>-248</v>
      </c>
      <c r="K4152" t="s">
        <v>17</v>
      </c>
    </row>
    <row r="4153" spans="1:11" ht="15" customHeight="1" x14ac:dyDescent="0.3">
      <c r="A4153" t="s">
        <v>10</v>
      </c>
      <c r="B4153" t="s">
        <v>11</v>
      </c>
      <c r="C4153" t="s">
        <v>24</v>
      </c>
      <c r="D4153" t="s">
        <v>25</v>
      </c>
      <c r="E4153">
        <v>5</v>
      </c>
      <c r="F4153" t="s">
        <v>21</v>
      </c>
      <c r="G4153" t="s">
        <v>15</v>
      </c>
      <c r="H4153" t="s">
        <v>16</v>
      </c>
      <c r="I4153">
        <v>0</v>
      </c>
      <c r="J4153" s="23">
        <v>1541216</v>
      </c>
      <c r="K4153">
        <v>7706080</v>
      </c>
    </row>
    <row r="4154" spans="1:11" ht="15" customHeight="1" x14ac:dyDescent="0.3">
      <c r="A4154" t="s">
        <v>10</v>
      </c>
      <c r="B4154" t="s">
        <v>11</v>
      </c>
      <c r="C4154" t="s">
        <v>12</v>
      </c>
      <c r="D4154" t="s">
        <v>28</v>
      </c>
      <c r="E4154">
        <v>13</v>
      </c>
      <c r="F4154" t="s">
        <v>34</v>
      </c>
      <c r="G4154" t="s">
        <v>15</v>
      </c>
      <c r="H4154" t="s">
        <v>16</v>
      </c>
      <c r="I4154">
        <v>0</v>
      </c>
      <c r="J4154" s="23">
        <v>-46385</v>
      </c>
      <c r="K4154" t="s">
        <v>17</v>
      </c>
    </row>
    <row r="4155" spans="1:11" ht="15" customHeight="1" x14ac:dyDescent="0.3">
      <c r="A4155" t="s">
        <v>18</v>
      </c>
      <c r="B4155" t="s">
        <v>19</v>
      </c>
      <c r="C4155" t="s">
        <v>24</v>
      </c>
      <c r="D4155" t="s">
        <v>20</v>
      </c>
      <c r="E4155">
        <v>25</v>
      </c>
      <c r="F4155"/>
      <c r="G4155" t="s">
        <v>15</v>
      </c>
      <c r="H4155" t="s">
        <v>16</v>
      </c>
      <c r="I4155">
        <v>0</v>
      </c>
      <c r="J4155" s="23">
        <v>735252292</v>
      </c>
      <c r="K4155">
        <v>18381307300</v>
      </c>
    </row>
    <row r="4156" spans="1:11" ht="15" customHeight="1" x14ac:dyDescent="0.3">
      <c r="A4156" t="s">
        <v>18</v>
      </c>
      <c r="B4156" t="s">
        <v>11</v>
      </c>
      <c r="C4156" t="s">
        <v>24</v>
      </c>
      <c r="D4156" t="s">
        <v>25</v>
      </c>
      <c r="E4156">
        <v>7</v>
      </c>
      <c r="F4156" t="s">
        <v>42</v>
      </c>
      <c r="G4156" t="s">
        <v>15</v>
      </c>
      <c r="H4156" t="s">
        <v>16</v>
      </c>
      <c r="I4156">
        <v>0</v>
      </c>
      <c r="J4156" s="23">
        <v>38867</v>
      </c>
      <c r="K4156">
        <v>272069</v>
      </c>
    </row>
    <row r="4157" spans="1:11" ht="15" customHeight="1" x14ac:dyDescent="0.3">
      <c r="A4157" t="s">
        <v>10</v>
      </c>
      <c r="B4157" t="s">
        <v>11</v>
      </c>
      <c r="C4157" t="s">
        <v>24</v>
      </c>
      <c r="D4157" t="s">
        <v>13</v>
      </c>
      <c r="E4157">
        <v>8</v>
      </c>
      <c r="F4157" t="s">
        <v>23</v>
      </c>
      <c r="G4157" t="s">
        <v>15</v>
      </c>
      <c r="H4157" t="s">
        <v>16</v>
      </c>
      <c r="I4157">
        <v>0</v>
      </c>
      <c r="J4157" s="23">
        <v>591580</v>
      </c>
      <c r="K4157">
        <v>4732640</v>
      </c>
    </row>
    <row r="4158" spans="1:11" ht="15" customHeight="1" x14ac:dyDescent="0.3">
      <c r="A4158" t="s">
        <v>22</v>
      </c>
      <c r="B4158" t="s">
        <v>11</v>
      </c>
      <c r="C4158" t="s">
        <v>12</v>
      </c>
      <c r="D4158" t="s">
        <v>25</v>
      </c>
      <c r="E4158">
        <v>-4</v>
      </c>
      <c r="F4158" t="s">
        <v>41</v>
      </c>
      <c r="G4158" t="s">
        <v>15</v>
      </c>
      <c r="H4158" t="s">
        <v>16</v>
      </c>
      <c r="I4158">
        <v>0</v>
      </c>
      <c r="J4158" s="23">
        <v>-32424</v>
      </c>
      <c r="K4158" t="s">
        <v>17</v>
      </c>
    </row>
    <row r="4159" spans="1:11" ht="15" customHeight="1" x14ac:dyDescent="0.3">
      <c r="A4159" t="s">
        <v>10</v>
      </c>
      <c r="B4159" t="s">
        <v>11</v>
      </c>
      <c r="C4159" t="s">
        <v>24</v>
      </c>
      <c r="D4159" t="s">
        <v>13</v>
      </c>
      <c r="E4159">
        <v>0</v>
      </c>
      <c r="F4159" t="s">
        <v>35</v>
      </c>
      <c r="G4159" t="s">
        <v>15</v>
      </c>
      <c r="H4159" t="s">
        <v>16</v>
      </c>
      <c r="I4159">
        <v>0</v>
      </c>
      <c r="J4159" s="23">
        <v>1118678</v>
      </c>
      <c r="K4159" t="s">
        <v>17</v>
      </c>
    </row>
    <row r="4160" spans="1:11" ht="15" customHeight="1" x14ac:dyDescent="0.3">
      <c r="A4160" t="s">
        <v>10</v>
      </c>
      <c r="B4160" t="s">
        <v>11</v>
      </c>
      <c r="C4160" t="s">
        <v>12</v>
      </c>
      <c r="D4160" t="s">
        <v>13</v>
      </c>
      <c r="E4160">
        <v>3</v>
      </c>
      <c r="F4160" t="s">
        <v>38</v>
      </c>
      <c r="G4160" t="s">
        <v>15</v>
      </c>
      <c r="H4160" t="s">
        <v>16</v>
      </c>
      <c r="I4160">
        <v>0</v>
      </c>
      <c r="J4160" s="23">
        <v>-31197</v>
      </c>
      <c r="K4160" t="s">
        <v>17</v>
      </c>
    </row>
    <row r="4161" spans="1:11" ht="15" customHeight="1" x14ac:dyDescent="0.3">
      <c r="A4161" t="s">
        <v>10</v>
      </c>
      <c r="B4161" t="s">
        <v>19</v>
      </c>
      <c r="C4161" t="s">
        <v>12</v>
      </c>
      <c r="D4161" t="s">
        <v>20</v>
      </c>
      <c r="E4161">
        <v>44</v>
      </c>
      <c r="F4161"/>
      <c r="G4161" t="s">
        <v>15</v>
      </c>
      <c r="H4161" t="s">
        <v>16</v>
      </c>
      <c r="I4161">
        <v>0</v>
      </c>
      <c r="J4161" s="23">
        <v>-98241</v>
      </c>
      <c r="K4161" t="s">
        <v>17</v>
      </c>
    </row>
    <row r="4162" spans="1:11" ht="15" customHeight="1" x14ac:dyDescent="0.3">
      <c r="A4162" t="s">
        <v>10</v>
      </c>
      <c r="B4162" t="s">
        <v>11</v>
      </c>
      <c r="C4162" t="s">
        <v>12</v>
      </c>
      <c r="D4162" t="s">
        <v>28</v>
      </c>
      <c r="E4162">
        <v>10</v>
      </c>
      <c r="F4162" t="s">
        <v>21</v>
      </c>
      <c r="G4162" t="s">
        <v>15</v>
      </c>
      <c r="H4162" t="s">
        <v>16</v>
      </c>
      <c r="I4162">
        <v>0</v>
      </c>
      <c r="J4162" s="23">
        <v>-45833</v>
      </c>
      <c r="K4162" t="s">
        <v>17</v>
      </c>
    </row>
    <row r="4163" spans="1:11" ht="15" customHeight="1" x14ac:dyDescent="0.3">
      <c r="A4163" t="s">
        <v>10</v>
      </c>
      <c r="B4163" t="s">
        <v>11</v>
      </c>
      <c r="C4163" t="s">
        <v>12</v>
      </c>
      <c r="D4163" t="s">
        <v>28</v>
      </c>
      <c r="E4163">
        <v>9</v>
      </c>
      <c r="F4163" t="s">
        <v>35</v>
      </c>
      <c r="G4163" t="s">
        <v>15</v>
      </c>
      <c r="H4163" t="s">
        <v>16</v>
      </c>
      <c r="I4163">
        <v>0</v>
      </c>
      <c r="J4163" s="23">
        <v>-39962</v>
      </c>
      <c r="K4163" t="s">
        <v>17</v>
      </c>
    </row>
    <row r="4164" spans="1:11" ht="15" customHeight="1" x14ac:dyDescent="0.3">
      <c r="A4164" t="s">
        <v>18</v>
      </c>
      <c r="B4164" t="s">
        <v>19</v>
      </c>
      <c r="C4164" t="s">
        <v>24</v>
      </c>
      <c r="D4164" t="s">
        <v>28</v>
      </c>
      <c r="E4164">
        <v>18</v>
      </c>
      <c r="F4164"/>
      <c r="G4164" t="s">
        <v>15</v>
      </c>
      <c r="H4164" t="s">
        <v>32</v>
      </c>
      <c r="I4164">
        <v>1</v>
      </c>
      <c r="J4164" s="23">
        <v>71937</v>
      </c>
      <c r="K4164">
        <v>1294866</v>
      </c>
    </row>
    <row r="4165" spans="1:11" ht="15" customHeight="1" x14ac:dyDescent="0.3">
      <c r="A4165" t="s">
        <v>18</v>
      </c>
      <c r="B4165" t="s">
        <v>19</v>
      </c>
      <c r="C4165" t="s">
        <v>24</v>
      </c>
      <c r="D4165" t="s">
        <v>20</v>
      </c>
      <c r="E4165">
        <v>38</v>
      </c>
      <c r="F4165"/>
      <c r="G4165" t="s">
        <v>31</v>
      </c>
      <c r="H4165" t="s">
        <v>16</v>
      </c>
      <c r="I4165">
        <v>1</v>
      </c>
      <c r="J4165" s="23">
        <v>9505795</v>
      </c>
      <c r="K4165">
        <v>361220210</v>
      </c>
    </row>
    <row r="4166" spans="1:11" ht="15" customHeight="1" x14ac:dyDescent="0.3">
      <c r="A4166" t="s">
        <v>22</v>
      </c>
      <c r="B4166" t="s">
        <v>11</v>
      </c>
      <c r="C4166" t="s">
        <v>12</v>
      </c>
      <c r="D4166" t="s">
        <v>25</v>
      </c>
      <c r="E4166">
        <v>0</v>
      </c>
      <c r="F4166" t="s">
        <v>21</v>
      </c>
      <c r="G4166" t="s">
        <v>15</v>
      </c>
      <c r="H4166" t="s">
        <v>16</v>
      </c>
      <c r="I4166">
        <v>0</v>
      </c>
      <c r="J4166" s="23">
        <v>-106302</v>
      </c>
      <c r="K4166" t="s">
        <v>17</v>
      </c>
    </row>
    <row r="4167" spans="1:11" ht="15" customHeight="1" x14ac:dyDescent="0.3">
      <c r="A4167" t="s">
        <v>10</v>
      </c>
      <c r="B4167" t="s">
        <v>19</v>
      </c>
      <c r="C4167" t="s">
        <v>12</v>
      </c>
      <c r="D4167" t="s">
        <v>20</v>
      </c>
      <c r="E4167">
        <v>25</v>
      </c>
      <c r="F4167"/>
      <c r="G4167" t="s">
        <v>31</v>
      </c>
      <c r="H4167" t="s">
        <v>32</v>
      </c>
      <c r="I4167">
        <v>1</v>
      </c>
      <c r="J4167" s="23">
        <v>-2526</v>
      </c>
      <c r="K4167" t="s">
        <v>17</v>
      </c>
    </row>
    <row r="4168" spans="1:11" ht="15" customHeight="1" x14ac:dyDescent="0.3">
      <c r="A4168" t="s">
        <v>22</v>
      </c>
      <c r="B4168" t="s">
        <v>11</v>
      </c>
      <c r="C4168" t="s">
        <v>12</v>
      </c>
      <c r="D4168" t="s">
        <v>28</v>
      </c>
      <c r="E4168">
        <v>8</v>
      </c>
      <c r="F4168" t="s">
        <v>30</v>
      </c>
      <c r="G4168" t="s">
        <v>15</v>
      </c>
      <c r="H4168" t="s">
        <v>16</v>
      </c>
      <c r="I4168">
        <v>0</v>
      </c>
      <c r="J4168" s="23">
        <v>-32401</v>
      </c>
      <c r="K4168" t="s">
        <v>17</v>
      </c>
    </row>
    <row r="4169" spans="1:11" ht="15" customHeight="1" x14ac:dyDescent="0.3">
      <c r="A4169" t="s">
        <v>10</v>
      </c>
      <c r="B4169" t="s">
        <v>11</v>
      </c>
      <c r="C4169" t="s">
        <v>12</v>
      </c>
      <c r="D4169" t="s">
        <v>28</v>
      </c>
      <c r="E4169">
        <v>4</v>
      </c>
      <c r="F4169" t="s">
        <v>37</v>
      </c>
      <c r="G4169" t="s">
        <v>15</v>
      </c>
      <c r="H4169" t="s">
        <v>16</v>
      </c>
      <c r="I4169">
        <v>0</v>
      </c>
      <c r="J4169" s="23">
        <v>-697</v>
      </c>
      <c r="K4169" t="s">
        <v>17</v>
      </c>
    </row>
    <row r="4170" spans="1:11" ht="15" customHeight="1" x14ac:dyDescent="0.3">
      <c r="A4170" t="s">
        <v>18</v>
      </c>
      <c r="B4170" t="s">
        <v>11</v>
      </c>
      <c r="C4170" t="s">
        <v>12</v>
      </c>
      <c r="D4170" t="s">
        <v>28</v>
      </c>
      <c r="E4170">
        <v>4</v>
      </c>
      <c r="F4170" t="s">
        <v>27</v>
      </c>
      <c r="G4170" t="s">
        <v>15</v>
      </c>
      <c r="H4170" t="s">
        <v>16</v>
      </c>
      <c r="I4170">
        <v>0</v>
      </c>
      <c r="J4170" s="23">
        <v>-287</v>
      </c>
      <c r="K4170" t="s">
        <v>17</v>
      </c>
    </row>
    <row r="4171" spans="1:11" ht="15" customHeight="1" x14ac:dyDescent="0.3">
      <c r="A4171" t="s">
        <v>18</v>
      </c>
      <c r="B4171" t="s">
        <v>11</v>
      </c>
      <c r="C4171" t="s">
        <v>12</v>
      </c>
      <c r="D4171" t="s">
        <v>28</v>
      </c>
      <c r="E4171">
        <v>8</v>
      </c>
      <c r="F4171" t="s">
        <v>23</v>
      </c>
      <c r="G4171" t="s">
        <v>15</v>
      </c>
      <c r="H4171" t="s">
        <v>16</v>
      </c>
      <c r="I4171">
        <v>0</v>
      </c>
      <c r="J4171" s="23">
        <v>-50412</v>
      </c>
      <c r="K4171" t="s">
        <v>17</v>
      </c>
    </row>
    <row r="4172" spans="1:11" ht="15" customHeight="1" x14ac:dyDescent="0.3">
      <c r="A4172" t="s">
        <v>10</v>
      </c>
      <c r="B4172" t="s">
        <v>44</v>
      </c>
      <c r="C4172" t="s">
        <v>24</v>
      </c>
      <c r="D4172" t="s">
        <v>28</v>
      </c>
      <c r="E4172">
        <v>7</v>
      </c>
      <c r="F4172" t="s">
        <v>38</v>
      </c>
      <c r="G4172" t="s">
        <v>15</v>
      </c>
      <c r="H4172" t="s">
        <v>16</v>
      </c>
      <c r="I4172">
        <v>0</v>
      </c>
      <c r="J4172" s="23">
        <v>167339</v>
      </c>
      <c r="K4172">
        <v>1171373</v>
      </c>
    </row>
    <row r="4173" spans="1:11" ht="15" customHeight="1" x14ac:dyDescent="0.3">
      <c r="A4173" t="s">
        <v>22</v>
      </c>
      <c r="B4173" t="s">
        <v>11</v>
      </c>
      <c r="C4173" t="s">
        <v>24</v>
      </c>
      <c r="D4173" t="s">
        <v>13</v>
      </c>
      <c r="E4173">
        <v>11</v>
      </c>
      <c r="F4173" t="s">
        <v>29</v>
      </c>
      <c r="G4173" t="s">
        <v>15</v>
      </c>
      <c r="H4173" t="s">
        <v>16</v>
      </c>
      <c r="I4173">
        <v>0</v>
      </c>
      <c r="J4173" s="23">
        <v>418581</v>
      </c>
      <c r="K4173">
        <v>4604391</v>
      </c>
    </row>
    <row r="4174" spans="1:11" ht="15" customHeight="1" x14ac:dyDescent="0.3">
      <c r="A4174" t="s">
        <v>10</v>
      </c>
      <c r="B4174" t="s">
        <v>19</v>
      </c>
      <c r="C4174" t="s">
        <v>12</v>
      </c>
      <c r="D4174" t="s">
        <v>20</v>
      </c>
      <c r="E4174">
        <v>11</v>
      </c>
      <c r="F4174"/>
      <c r="G4174" t="s">
        <v>31</v>
      </c>
      <c r="H4174" t="s">
        <v>16</v>
      </c>
      <c r="I4174">
        <v>1</v>
      </c>
      <c r="J4174" s="23">
        <v>-1772</v>
      </c>
      <c r="K4174" t="s">
        <v>17</v>
      </c>
    </row>
    <row r="4175" spans="1:11" ht="15" customHeight="1" x14ac:dyDescent="0.3">
      <c r="A4175" t="s">
        <v>22</v>
      </c>
      <c r="B4175" t="s">
        <v>11</v>
      </c>
      <c r="C4175" t="s">
        <v>24</v>
      </c>
      <c r="D4175" t="s">
        <v>28</v>
      </c>
      <c r="E4175">
        <v>3</v>
      </c>
      <c r="F4175" t="s">
        <v>29</v>
      </c>
      <c r="G4175" t="s">
        <v>15</v>
      </c>
      <c r="H4175" t="s">
        <v>32</v>
      </c>
      <c r="I4175">
        <v>1</v>
      </c>
      <c r="J4175" s="23">
        <v>769033</v>
      </c>
      <c r="K4175">
        <v>2307099</v>
      </c>
    </row>
    <row r="4176" spans="1:11" ht="15" customHeight="1" x14ac:dyDescent="0.3">
      <c r="A4176" t="s">
        <v>18</v>
      </c>
      <c r="B4176" t="s">
        <v>11</v>
      </c>
      <c r="C4176" t="s">
        <v>24</v>
      </c>
      <c r="D4176" t="s">
        <v>13</v>
      </c>
      <c r="E4176">
        <v>2</v>
      </c>
      <c r="F4176" t="s">
        <v>39</v>
      </c>
      <c r="G4176" t="s">
        <v>15</v>
      </c>
      <c r="H4176" t="s">
        <v>16</v>
      </c>
      <c r="I4176">
        <v>0</v>
      </c>
      <c r="J4176" s="23">
        <v>19547750</v>
      </c>
      <c r="K4176">
        <v>39095500</v>
      </c>
    </row>
    <row r="4177" spans="1:11" ht="15" customHeight="1" x14ac:dyDescent="0.3">
      <c r="A4177" t="s">
        <v>22</v>
      </c>
      <c r="B4177" t="s">
        <v>11</v>
      </c>
      <c r="C4177" t="s">
        <v>24</v>
      </c>
      <c r="D4177" t="s">
        <v>13</v>
      </c>
      <c r="E4177">
        <v>3</v>
      </c>
      <c r="F4177" t="s">
        <v>37</v>
      </c>
      <c r="G4177" t="s">
        <v>15</v>
      </c>
      <c r="H4177" t="s">
        <v>16</v>
      </c>
      <c r="I4177">
        <v>0</v>
      </c>
      <c r="J4177" s="23">
        <v>112514</v>
      </c>
      <c r="K4177">
        <v>337542</v>
      </c>
    </row>
    <row r="4178" spans="1:11" ht="15" customHeight="1" x14ac:dyDescent="0.3">
      <c r="A4178" t="s">
        <v>18</v>
      </c>
      <c r="B4178" t="s">
        <v>19</v>
      </c>
      <c r="C4178" t="s">
        <v>24</v>
      </c>
      <c r="D4178" t="s">
        <v>28</v>
      </c>
      <c r="E4178">
        <v>30</v>
      </c>
      <c r="F4178"/>
      <c r="G4178" t="s">
        <v>15</v>
      </c>
      <c r="H4178" t="s">
        <v>16</v>
      </c>
      <c r="I4178">
        <v>0</v>
      </c>
      <c r="J4178" s="23">
        <v>282145</v>
      </c>
      <c r="K4178">
        <v>8464350</v>
      </c>
    </row>
    <row r="4179" spans="1:11" ht="15" customHeight="1" x14ac:dyDescent="0.3">
      <c r="A4179" t="s">
        <v>10</v>
      </c>
      <c r="B4179" t="s">
        <v>19</v>
      </c>
      <c r="C4179" t="s">
        <v>12</v>
      </c>
      <c r="D4179" t="s">
        <v>20</v>
      </c>
      <c r="E4179">
        <v>26</v>
      </c>
      <c r="F4179"/>
      <c r="G4179" t="s">
        <v>15</v>
      </c>
      <c r="H4179" t="s">
        <v>16</v>
      </c>
      <c r="I4179">
        <v>0</v>
      </c>
      <c r="J4179" s="23">
        <v>-1393271</v>
      </c>
      <c r="K4179" t="s">
        <v>17</v>
      </c>
    </row>
    <row r="4180" spans="1:11" ht="15" customHeight="1" x14ac:dyDescent="0.3">
      <c r="A4180" t="s">
        <v>22</v>
      </c>
      <c r="B4180" t="s">
        <v>19</v>
      </c>
      <c r="C4180" t="s">
        <v>12</v>
      </c>
      <c r="D4180" t="s">
        <v>20</v>
      </c>
      <c r="E4180">
        <v>2</v>
      </c>
      <c r="F4180"/>
      <c r="G4180" t="s">
        <v>31</v>
      </c>
      <c r="H4180" t="s">
        <v>16</v>
      </c>
      <c r="I4180">
        <v>1</v>
      </c>
      <c r="J4180" s="23">
        <v>-1146</v>
      </c>
      <c r="K4180" t="s">
        <v>17</v>
      </c>
    </row>
    <row r="4181" spans="1:11" ht="15" customHeight="1" x14ac:dyDescent="0.3">
      <c r="A4181" t="s">
        <v>10</v>
      </c>
      <c r="B4181" t="s">
        <v>19</v>
      </c>
      <c r="C4181" t="s">
        <v>24</v>
      </c>
      <c r="D4181" t="s">
        <v>28</v>
      </c>
      <c r="E4181">
        <v>13</v>
      </c>
      <c r="F4181"/>
      <c r="G4181" t="s">
        <v>15</v>
      </c>
      <c r="H4181" t="s">
        <v>16</v>
      </c>
      <c r="I4181">
        <v>0</v>
      </c>
      <c r="J4181" s="23">
        <v>2103507</v>
      </c>
      <c r="K4181">
        <v>27345591</v>
      </c>
    </row>
    <row r="4182" spans="1:11" ht="15" customHeight="1" x14ac:dyDescent="0.3">
      <c r="A4182" t="s">
        <v>10</v>
      </c>
      <c r="B4182" t="s">
        <v>11</v>
      </c>
      <c r="C4182" t="s">
        <v>24</v>
      </c>
      <c r="D4182" t="s">
        <v>28</v>
      </c>
      <c r="E4182">
        <v>-4</v>
      </c>
      <c r="F4182" t="s">
        <v>34</v>
      </c>
      <c r="G4182" t="s">
        <v>15</v>
      </c>
      <c r="H4182" t="s">
        <v>32</v>
      </c>
      <c r="I4182">
        <v>1</v>
      </c>
      <c r="J4182" s="23">
        <v>179</v>
      </c>
      <c r="K4182" t="s">
        <v>17</v>
      </c>
    </row>
    <row r="4183" spans="1:11" ht="15" customHeight="1" x14ac:dyDescent="0.3">
      <c r="A4183" t="s">
        <v>22</v>
      </c>
      <c r="B4183" t="s">
        <v>11</v>
      </c>
      <c r="C4183" t="s">
        <v>24</v>
      </c>
      <c r="D4183" t="s">
        <v>25</v>
      </c>
      <c r="E4183">
        <v>-4</v>
      </c>
      <c r="F4183" t="s">
        <v>40</v>
      </c>
      <c r="G4183" t="s">
        <v>15</v>
      </c>
      <c r="H4183" t="s">
        <v>16</v>
      </c>
      <c r="I4183">
        <v>0</v>
      </c>
      <c r="J4183" s="23">
        <v>1282377</v>
      </c>
      <c r="K4183" t="s">
        <v>17</v>
      </c>
    </row>
    <row r="4184" spans="1:11" ht="15" customHeight="1" x14ac:dyDescent="0.3">
      <c r="A4184" t="s">
        <v>22</v>
      </c>
      <c r="B4184" t="s">
        <v>11</v>
      </c>
      <c r="C4184" t="s">
        <v>24</v>
      </c>
      <c r="D4184" t="s">
        <v>25</v>
      </c>
      <c r="E4184">
        <v>0</v>
      </c>
      <c r="F4184" t="s">
        <v>33</v>
      </c>
      <c r="G4184" t="s">
        <v>15</v>
      </c>
      <c r="H4184" t="s">
        <v>16</v>
      </c>
      <c r="I4184">
        <v>0</v>
      </c>
      <c r="J4184" s="23">
        <v>5813</v>
      </c>
      <c r="K4184" t="s">
        <v>17</v>
      </c>
    </row>
    <row r="4185" spans="1:11" ht="15" customHeight="1" x14ac:dyDescent="0.3">
      <c r="A4185" t="s">
        <v>22</v>
      </c>
      <c r="B4185" t="s">
        <v>19</v>
      </c>
      <c r="C4185" t="s">
        <v>12</v>
      </c>
      <c r="D4185" t="s">
        <v>20</v>
      </c>
      <c r="E4185">
        <v>38</v>
      </c>
      <c r="F4185"/>
      <c r="G4185" t="s">
        <v>31</v>
      </c>
      <c r="H4185" t="s">
        <v>16</v>
      </c>
      <c r="I4185">
        <v>1</v>
      </c>
      <c r="J4185" s="23">
        <v>-31618</v>
      </c>
      <c r="K4185" t="s">
        <v>17</v>
      </c>
    </row>
    <row r="4186" spans="1:11" ht="15" customHeight="1" x14ac:dyDescent="0.3">
      <c r="A4186" t="s">
        <v>10</v>
      </c>
      <c r="B4186" t="s">
        <v>11</v>
      </c>
      <c r="C4186" t="s">
        <v>12</v>
      </c>
      <c r="D4186" t="s">
        <v>25</v>
      </c>
      <c r="E4186">
        <v>5</v>
      </c>
      <c r="F4186" t="s">
        <v>26</v>
      </c>
      <c r="G4186" t="s">
        <v>15</v>
      </c>
      <c r="H4186" t="s">
        <v>16</v>
      </c>
      <c r="I4186">
        <v>0</v>
      </c>
      <c r="J4186" s="23">
        <v>-25844</v>
      </c>
      <c r="K4186" t="s">
        <v>17</v>
      </c>
    </row>
    <row r="4187" spans="1:11" ht="15" customHeight="1" x14ac:dyDescent="0.3">
      <c r="A4187" t="s">
        <v>18</v>
      </c>
      <c r="B4187" t="s">
        <v>11</v>
      </c>
      <c r="C4187" t="s">
        <v>12</v>
      </c>
      <c r="D4187" t="s">
        <v>28</v>
      </c>
      <c r="E4187">
        <v>1</v>
      </c>
      <c r="F4187" t="s">
        <v>42</v>
      </c>
      <c r="G4187" t="s">
        <v>15</v>
      </c>
      <c r="H4187" t="s">
        <v>16</v>
      </c>
      <c r="I4187">
        <v>0</v>
      </c>
      <c r="J4187" s="23">
        <v>-2035</v>
      </c>
      <c r="K4187" t="s">
        <v>17</v>
      </c>
    </row>
    <row r="4188" spans="1:11" ht="15" customHeight="1" x14ac:dyDescent="0.3">
      <c r="A4188" t="s">
        <v>18</v>
      </c>
      <c r="B4188" t="s">
        <v>11</v>
      </c>
      <c r="C4188" t="s">
        <v>12</v>
      </c>
      <c r="D4188" t="s">
        <v>28</v>
      </c>
      <c r="E4188">
        <v>6</v>
      </c>
      <c r="F4188" t="s">
        <v>42</v>
      </c>
      <c r="G4188" t="s">
        <v>15</v>
      </c>
      <c r="H4188" t="s">
        <v>16</v>
      </c>
      <c r="I4188">
        <v>0</v>
      </c>
      <c r="J4188" s="23">
        <v>-5859</v>
      </c>
      <c r="K4188" t="s">
        <v>17</v>
      </c>
    </row>
    <row r="4189" spans="1:11" ht="15" customHeight="1" x14ac:dyDescent="0.3">
      <c r="A4189" t="s">
        <v>22</v>
      </c>
      <c r="B4189" t="s">
        <v>11</v>
      </c>
      <c r="C4189" t="s">
        <v>24</v>
      </c>
      <c r="D4189" t="s">
        <v>28</v>
      </c>
      <c r="E4189">
        <v>6</v>
      </c>
      <c r="F4189" t="s">
        <v>23</v>
      </c>
      <c r="G4189" t="s">
        <v>15</v>
      </c>
      <c r="H4189" t="s">
        <v>16</v>
      </c>
      <c r="I4189">
        <v>0</v>
      </c>
      <c r="J4189" s="23">
        <v>1392885</v>
      </c>
      <c r="K4189">
        <v>8357310</v>
      </c>
    </row>
    <row r="4190" spans="1:11" ht="15" customHeight="1" x14ac:dyDescent="0.3">
      <c r="A4190" t="s">
        <v>18</v>
      </c>
      <c r="B4190" t="s">
        <v>11</v>
      </c>
      <c r="C4190" t="s">
        <v>12</v>
      </c>
      <c r="D4190" t="s">
        <v>28</v>
      </c>
      <c r="E4190">
        <v>6</v>
      </c>
      <c r="F4190" t="s">
        <v>29</v>
      </c>
      <c r="G4190" t="s">
        <v>15</v>
      </c>
      <c r="H4190" t="s">
        <v>32</v>
      </c>
      <c r="I4190">
        <v>1</v>
      </c>
      <c r="J4190" s="23">
        <v>-14420</v>
      </c>
      <c r="K4190" t="s">
        <v>17</v>
      </c>
    </row>
    <row r="4191" spans="1:11" ht="15" customHeight="1" x14ac:dyDescent="0.3">
      <c r="A4191" t="s">
        <v>18</v>
      </c>
      <c r="B4191" t="s">
        <v>11</v>
      </c>
      <c r="C4191" t="s">
        <v>12</v>
      </c>
      <c r="D4191" t="s">
        <v>28</v>
      </c>
      <c r="E4191">
        <v>11</v>
      </c>
      <c r="F4191" t="s">
        <v>21</v>
      </c>
      <c r="G4191" t="s">
        <v>15</v>
      </c>
      <c r="H4191" t="s">
        <v>32</v>
      </c>
      <c r="I4191">
        <v>1</v>
      </c>
      <c r="J4191" s="23">
        <v>-212</v>
      </c>
      <c r="K4191" t="s">
        <v>17</v>
      </c>
    </row>
    <row r="4192" spans="1:11" ht="15" customHeight="1" x14ac:dyDescent="0.3">
      <c r="A4192" t="s">
        <v>10</v>
      </c>
      <c r="B4192" t="s">
        <v>11</v>
      </c>
      <c r="C4192" t="s">
        <v>24</v>
      </c>
      <c r="D4192" t="s">
        <v>25</v>
      </c>
      <c r="E4192">
        <v>2</v>
      </c>
      <c r="F4192" t="s">
        <v>30</v>
      </c>
      <c r="G4192" t="s">
        <v>15</v>
      </c>
      <c r="H4192" t="s">
        <v>16</v>
      </c>
      <c r="I4192">
        <v>0</v>
      </c>
      <c r="J4192" s="23">
        <v>503250</v>
      </c>
      <c r="K4192">
        <v>1006500</v>
      </c>
    </row>
    <row r="4193" spans="1:11" ht="15" customHeight="1" x14ac:dyDescent="0.3">
      <c r="A4193" t="s">
        <v>18</v>
      </c>
      <c r="B4193" t="s">
        <v>44</v>
      </c>
      <c r="C4193" t="s">
        <v>24</v>
      </c>
      <c r="D4193" t="s">
        <v>28</v>
      </c>
      <c r="E4193">
        <v>9</v>
      </c>
      <c r="F4193" t="s">
        <v>38</v>
      </c>
      <c r="G4193" t="s">
        <v>15</v>
      </c>
      <c r="H4193" t="s">
        <v>16</v>
      </c>
      <c r="I4193">
        <v>0</v>
      </c>
      <c r="J4193" s="23">
        <v>99830</v>
      </c>
      <c r="K4193">
        <v>898470</v>
      </c>
    </row>
    <row r="4194" spans="1:11" ht="15" customHeight="1" x14ac:dyDescent="0.3">
      <c r="A4194" t="s">
        <v>18</v>
      </c>
      <c r="B4194" t="s">
        <v>44</v>
      </c>
      <c r="C4194" t="s">
        <v>24</v>
      </c>
      <c r="D4194" t="s">
        <v>28</v>
      </c>
      <c r="E4194">
        <v>11</v>
      </c>
      <c r="F4194" t="s">
        <v>38</v>
      </c>
      <c r="G4194" t="s">
        <v>15</v>
      </c>
      <c r="H4194" t="s">
        <v>16</v>
      </c>
      <c r="I4194">
        <v>0</v>
      </c>
      <c r="J4194" s="23">
        <v>145621</v>
      </c>
      <c r="K4194">
        <v>1601831</v>
      </c>
    </row>
    <row r="4195" spans="1:11" ht="15" customHeight="1" x14ac:dyDescent="0.3">
      <c r="A4195" t="s">
        <v>10</v>
      </c>
      <c r="B4195" t="s">
        <v>11</v>
      </c>
      <c r="C4195" t="s">
        <v>12</v>
      </c>
      <c r="D4195" t="s">
        <v>13</v>
      </c>
      <c r="E4195">
        <v>4</v>
      </c>
      <c r="F4195" t="s">
        <v>30</v>
      </c>
      <c r="G4195" t="s">
        <v>15</v>
      </c>
      <c r="H4195" t="s">
        <v>16</v>
      </c>
      <c r="I4195">
        <v>0</v>
      </c>
      <c r="J4195" s="23">
        <v>-113634</v>
      </c>
      <c r="K4195" t="s">
        <v>17</v>
      </c>
    </row>
    <row r="4196" spans="1:11" ht="15" customHeight="1" x14ac:dyDescent="0.3">
      <c r="A4196" t="s">
        <v>18</v>
      </c>
      <c r="B4196" t="s">
        <v>11</v>
      </c>
      <c r="C4196" t="s">
        <v>24</v>
      </c>
      <c r="D4196" t="s">
        <v>28</v>
      </c>
      <c r="E4196">
        <v>8</v>
      </c>
      <c r="F4196" t="s">
        <v>26</v>
      </c>
      <c r="G4196" t="s">
        <v>15</v>
      </c>
      <c r="H4196" t="s">
        <v>16</v>
      </c>
      <c r="I4196">
        <v>0</v>
      </c>
      <c r="J4196" s="23">
        <v>31413699</v>
      </c>
      <c r="K4196">
        <v>251309592</v>
      </c>
    </row>
    <row r="4197" spans="1:11" ht="15" customHeight="1" x14ac:dyDescent="0.3">
      <c r="A4197" t="s">
        <v>10</v>
      </c>
      <c r="B4197" t="s">
        <v>11</v>
      </c>
      <c r="C4197" t="s">
        <v>12</v>
      </c>
      <c r="D4197" t="s">
        <v>13</v>
      </c>
      <c r="E4197">
        <v>-1</v>
      </c>
      <c r="F4197" t="s">
        <v>36</v>
      </c>
      <c r="G4197" t="s">
        <v>15</v>
      </c>
      <c r="H4197" t="s">
        <v>16</v>
      </c>
      <c r="I4197">
        <v>0</v>
      </c>
      <c r="J4197" s="23">
        <v>-12575</v>
      </c>
      <c r="K4197" t="s">
        <v>17</v>
      </c>
    </row>
    <row r="4198" spans="1:11" ht="15" customHeight="1" x14ac:dyDescent="0.3">
      <c r="A4198" t="s">
        <v>10</v>
      </c>
      <c r="B4198" t="s">
        <v>11</v>
      </c>
      <c r="C4198" t="s">
        <v>12</v>
      </c>
      <c r="D4198" t="s">
        <v>25</v>
      </c>
      <c r="E4198">
        <v>4</v>
      </c>
      <c r="F4198" t="s">
        <v>26</v>
      </c>
      <c r="G4198" t="s">
        <v>15</v>
      </c>
      <c r="H4198" t="s">
        <v>16</v>
      </c>
      <c r="I4198">
        <v>0</v>
      </c>
      <c r="J4198" s="23">
        <v>-41427</v>
      </c>
      <c r="K4198" t="s">
        <v>17</v>
      </c>
    </row>
    <row r="4199" spans="1:11" ht="15" customHeight="1" x14ac:dyDescent="0.3">
      <c r="A4199" t="s">
        <v>18</v>
      </c>
      <c r="B4199" t="s">
        <v>11</v>
      </c>
      <c r="C4199" t="s">
        <v>12</v>
      </c>
      <c r="D4199" t="s">
        <v>28</v>
      </c>
      <c r="E4199">
        <v>-1</v>
      </c>
      <c r="F4199" t="s">
        <v>33</v>
      </c>
      <c r="G4199" t="s">
        <v>15</v>
      </c>
      <c r="H4199" t="s">
        <v>32</v>
      </c>
      <c r="I4199">
        <v>1</v>
      </c>
      <c r="J4199" s="23">
        <v>-3436</v>
      </c>
      <c r="K4199" t="s">
        <v>17</v>
      </c>
    </row>
    <row r="4200" spans="1:11" ht="15" customHeight="1" x14ac:dyDescent="0.3">
      <c r="A4200" t="s">
        <v>18</v>
      </c>
      <c r="B4200" t="s">
        <v>11</v>
      </c>
      <c r="C4200" t="s">
        <v>24</v>
      </c>
      <c r="D4200" t="s">
        <v>13</v>
      </c>
      <c r="E4200">
        <v>9</v>
      </c>
      <c r="F4200" t="s">
        <v>36</v>
      </c>
      <c r="G4200" t="s">
        <v>15</v>
      </c>
      <c r="H4200" t="s">
        <v>16</v>
      </c>
      <c r="I4200">
        <v>0</v>
      </c>
      <c r="J4200" s="23">
        <v>26999430</v>
      </c>
      <c r="K4200">
        <v>242994870</v>
      </c>
    </row>
    <row r="4201" spans="1:11" ht="15" customHeight="1" x14ac:dyDescent="0.3">
      <c r="A4201" t="s">
        <v>22</v>
      </c>
      <c r="B4201" t="s">
        <v>19</v>
      </c>
      <c r="C4201" t="s">
        <v>12</v>
      </c>
      <c r="D4201" t="s">
        <v>28</v>
      </c>
      <c r="E4201">
        <v>22</v>
      </c>
      <c r="F4201"/>
      <c r="G4201" t="s">
        <v>15</v>
      </c>
      <c r="H4201" t="s">
        <v>16</v>
      </c>
      <c r="I4201">
        <v>0</v>
      </c>
      <c r="J4201" s="23">
        <v>-87357</v>
      </c>
      <c r="K4201" t="s">
        <v>17</v>
      </c>
    </row>
    <row r="4202" spans="1:11" ht="15" customHeight="1" x14ac:dyDescent="0.3">
      <c r="A4202" t="s">
        <v>22</v>
      </c>
      <c r="B4202" t="s">
        <v>11</v>
      </c>
      <c r="C4202" t="s">
        <v>24</v>
      </c>
      <c r="D4202" t="s">
        <v>13</v>
      </c>
      <c r="E4202">
        <v>2</v>
      </c>
      <c r="F4202" t="s">
        <v>35</v>
      </c>
      <c r="G4202" t="s">
        <v>15</v>
      </c>
      <c r="H4202" t="s">
        <v>16</v>
      </c>
      <c r="I4202">
        <v>0</v>
      </c>
      <c r="J4202" s="23">
        <v>367176</v>
      </c>
      <c r="K4202">
        <v>734352</v>
      </c>
    </row>
    <row r="4203" spans="1:11" ht="15" customHeight="1" x14ac:dyDescent="0.3">
      <c r="A4203" t="s">
        <v>10</v>
      </c>
      <c r="B4203" t="s">
        <v>11</v>
      </c>
      <c r="C4203" t="s">
        <v>12</v>
      </c>
      <c r="D4203" t="s">
        <v>25</v>
      </c>
      <c r="E4203">
        <v>4</v>
      </c>
      <c r="F4203" t="s">
        <v>39</v>
      </c>
      <c r="G4203" t="s">
        <v>15</v>
      </c>
      <c r="H4203" t="s">
        <v>16</v>
      </c>
      <c r="I4203">
        <v>0</v>
      </c>
      <c r="J4203" s="23">
        <v>-35258</v>
      </c>
      <c r="K4203" t="s">
        <v>17</v>
      </c>
    </row>
    <row r="4204" spans="1:11" ht="15" customHeight="1" x14ac:dyDescent="0.3">
      <c r="A4204" t="s">
        <v>22</v>
      </c>
      <c r="B4204" t="s">
        <v>19</v>
      </c>
      <c r="C4204" t="s">
        <v>24</v>
      </c>
      <c r="D4204" t="s">
        <v>20</v>
      </c>
      <c r="E4204">
        <v>37</v>
      </c>
      <c r="F4204"/>
      <c r="G4204" t="s">
        <v>15</v>
      </c>
      <c r="H4204" t="s">
        <v>16</v>
      </c>
      <c r="I4204">
        <v>0</v>
      </c>
      <c r="J4204" s="23">
        <v>8883053</v>
      </c>
      <c r="K4204">
        <v>328672961</v>
      </c>
    </row>
    <row r="4205" spans="1:11" ht="15" customHeight="1" x14ac:dyDescent="0.3">
      <c r="A4205" t="s">
        <v>22</v>
      </c>
      <c r="B4205" t="s">
        <v>19</v>
      </c>
      <c r="C4205" t="s">
        <v>24</v>
      </c>
      <c r="D4205" t="s">
        <v>20</v>
      </c>
      <c r="E4205">
        <v>34</v>
      </c>
      <c r="F4205"/>
      <c r="G4205" t="s">
        <v>15</v>
      </c>
      <c r="H4205" t="s">
        <v>32</v>
      </c>
      <c r="I4205">
        <v>1</v>
      </c>
      <c r="J4205" s="23">
        <v>49333</v>
      </c>
      <c r="K4205">
        <v>1677322</v>
      </c>
    </row>
    <row r="4206" spans="1:11" ht="15" customHeight="1" x14ac:dyDescent="0.3">
      <c r="A4206" t="s">
        <v>18</v>
      </c>
      <c r="B4206" t="s">
        <v>11</v>
      </c>
      <c r="C4206" t="s">
        <v>12</v>
      </c>
      <c r="D4206" t="s">
        <v>28</v>
      </c>
      <c r="E4206">
        <v>-1</v>
      </c>
      <c r="F4206" t="s">
        <v>42</v>
      </c>
      <c r="G4206" t="s">
        <v>15</v>
      </c>
      <c r="H4206" t="s">
        <v>16</v>
      </c>
      <c r="I4206">
        <v>0</v>
      </c>
      <c r="J4206" s="23">
        <v>-1567</v>
      </c>
      <c r="K4206" t="s">
        <v>17</v>
      </c>
    </row>
    <row r="4207" spans="1:11" ht="15" customHeight="1" x14ac:dyDescent="0.3">
      <c r="A4207" t="s">
        <v>18</v>
      </c>
      <c r="B4207" t="s">
        <v>11</v>
      </c>
      <c r="C4207" t="s">
        <v>12</v>
      </c>
      <c r="D4207" t="s">
        <v>25</v>
      </c>
      <c r="E4207">
        <v>4</v>
      </c>
      <c r="F4207" t="s">
        <v>39</v>
      </c>
      <c r="G4207" t="s">
        <v>15</v>
      </c>
      <c r="H4207" t="s">
        <v>16</v>
      </c>
      <c r="I4207">
        <v>0</v>
      </c>
      <c r="J4207" s="23">
        <v>-22096</v>
      </c>
      <c r="K4207" t="s">
        <v>17</v>
      </c>
    </row>
    <row r="4208" spans="1:11" ht="15" customHeight="1" x14ac:dyDescent="0.3">
      <c r="A4208" t="s">
        <v>18</v>
      </c>
      <c r="B4208" t="s">
        <v>11</v>
      </c>
      <c r="C4208" t="s">
        <v>12</v>
      </c>
      <c r="D4208" t="s">
        <v>25</v>
      </c>
      <c r="E4208">
        <v>0</v>
      </c>
      <c r="F4208" t="s">
        <v>41</v>
      </c>
      <c r="G4208" t="s">
        <v>15</v>
      </c>
      <c r="H4208" t="s">
        <v>16</v>
      </c>
      <c r="I4208">
        <v>0</v>
      </c>
      <c r="J4208" s="23">
        <v>-121</v>
      </c>
      <c r="K4208" t="s">
        <v>17</v>
      </c>
    </row>
    <row r="4209" spans="1:11" ht="15" customHeight="1" x14ac:dyDescent="0.3">
      <c r="A4209" t="s">
        <v>10</v>
      </c>
      <c r="B4209" t="s">
        <v>11</v>
      </c>
      <c r="C4209" t="s">
        <v>12</v>
      </c>
      <c r="D4209" t="s">
        <v>28</v>
      </c>
      <c r="E4209">
        <v>-4</v>
      </c>
      <c r="F4209" t="s">
        <v>26</v>
      </c>
      <c r="G4209" t="s">
        <v>15</v>
      </c>
      <c r="H4209" t="s">
        <v>16</v>
      </c>
      <c r="I4209">
        <v>0</v>
      </c>
      <c r="J4209" s="23">
        <v>-132</v>
      </c>
      <c r="K4209" t="s">
        <v>17</v>
      </c>
    </row>
    <row r="4210" spans="1:11" ht="15" customHeight="1" x14ac:dyDescent="0.3">
      <c r="A4210" t="s">
        <v>22</v>
      </c>
      <c r="B4210" t="s">
        <v>11</v>
      </c>
      <c r="C4210" t="s">
        <v>24</v>
      </c>
      <c r="D4210" t="s">
        <v>13</v>
      </c>
      <c r="E4210">
        <v>7</v>
      </c>
      <c r="F4210" t="s">
        <v>21</v>
      </c>
      <c r="G4210" t="s">
        <v>15</v>
      </c>
      <c r="H4210" t="s">
        <v>16</v>
      </c>
      <c r="I4210">
        <v>0</v>
      </c>
      <c r="J4210" s="23">
        <v>67088</v>
      </c>
      <c r="K4210">
        <v>469616</v>
      </c>
    </row>
    <row r="4211" spans="1:11" ht="15" customHeight="1" x14ac:dyDescent="0.3">
      <c r="A4211" t="s">
        <v>22</v>
      </c>
      <c r="B4211" t="s">
        <v>11</v>
      </c>
      <c r="C4211" t="s">
        <v>24</v>
      </c>
      <c r="D4211" t="s">
        <v>13</v>
      </c>
      <c r="E4211">
        <v>4</v>
      </c>
      <c r="F4211" t="s">
        <v>27</v>
      </c>
      <c r="G4211" t="s">
        <v>15</v>
      </c>
      <c r="H4211" t="s">
        <v>16</v>
      </c>
      <c r="I4211">
        <v>0</v>
      </c>
      <c r="J4211" s="23">
        <v>46619</v>
      </c>
      <c r="K4211">
        <v>186476</v>
      </c>
    </row>
    <row r="4212" spans="1:11" ht="15" customHeight="1" x14ac:dyDescent="0.3">
      <c r="A4212" t="s">
        <v>18</v>
      </c>
      <c r="B4212" t="s">
        <v>11</v>
      </c>
      <c r="C4212" t="s">
        <v>24</v>
      </c>
      <c r="D4212" t="s">
        <v>13</v>
      </c>
      <c r="E4212">
        <v>10</v>
      </c>
      <c r="F4212" t="s">
        <v>33</v>
      </c>
      <c r="G4212" t="s">
        <v>15</v>
      </c>
      <c r="H4212" t="s">
        <v>16</v>
      </c>
      <c r="I4212">
        <v>0</v>
      </c>
      <c r="J4212" s="23">
        <v>5792273</v>
      </c>
      <c r="K4212">
        <v>57922730</v>
      </c>
    </row>
    <row r="4213" spans="1:11" ht="15" customHeight="1" x14ac:dyDescent="0.3">
      <c r="A4213" t="s">
        <v>18</v>
      </c>
      <c r="B4213" t="s">
        <v>11</v>
      </c>
      <c r="C4213" t="s">
        <v>24</v>
      </c>
      <c r="D4213" t="s">
        <v>25</v>
      </c>
      <c r="E4213">
        <v>6</v>
      </c>
      <c r="F4213" t="s">
        <v>35</v>
      </c>
      <c r="G4213" t="s">
        <v>15</v>
      </c>
      <c r="H4213" t="s">
        <v>16</v>
      </c>
      <c r="I4213">
        <v>0</v>
      </c>
      <c r="J4213" s="23">
        <v>48143</v>
      </c>
      <c r="K4213">
        <v>288858</v>
      </c>
    </row>
    <row r="4214" spans="1:11" ht="15" customHeight="1" x14ac:dyDescent="0.3">
      <c r="A4214" t="s">
        <v>18</v>
      </c>
      <c r="B4214" t="s">
        <v>11</v>
      </c>
      <c r="C4214" t="s">
        <v>12</v>
      </c>
      <c r="D4214" t="s">
        <v>28</v>
      </c>
      <c r="E4214">
        <v>1</v>
      </c>
      <c r="F4214" t="s">
        <v>40</v>
      </c>
      <c r="G4214" t="s">
        <v>31</v>
      </c>
      <c r="H4214" t="s">
        <v>16</v>
      </c>
      <c r="I4214">
        <v>1</v>
      </c>
      <c r="J4214" s="23">
        <v>-28</v>
      </c>
      <c r="K4214" t="s">
        <v>17</v>
      </c>
    </row>
    <row r="4215" spans="1:11" ht="15" customHeight="1" x14ac:dyDescent="0.3">
      <c r="A4215" t="s">
        <v>10</v>
      </c>
      <c r="B4215" t="s">
        <v>11</v>
      </c>
      <c r="C4215" t="s">
        <v>12</v>
      </c>
      <c r="D4215" t="s">
        <v>25</v>
      </c>
      <c r="E4215">
        <v>6</v>
      </c>
      <c r="F4215" t="s">
        <v>40</v>
      </c>
      <c r="G4215" t="s">
        <v>15</v>
      </c>
      <c r="H4215" t="s">
        <v>16</v>
      </c>
      <c r="I4215">
        <v>0</v>
      </c>
      <c r="J4215" s="23">
        <v>-84139</v>
      </c>
      <c r="K4215" t="s">
        <v>17</v>
      </c>
    </row>
    <row r="4216" spans="1:11" ht="15" customHeight="1" x14ac:dyDescent="0.3">
      <c r="A4216" t="s">
        <v>10</v>
      </c>
      <c r="B4216" t="s">
        <v>19</v>
      </c>
      <c r="C4216" t="s">
        <v>12</v>
      </c>
      <c r="D4216" t="s">
        <v>20</v>
      </c>
      <c r="E4216">
        <v>33</v>
      </c>
      <c r="F4216"/>
      <c r="G4216" t="s">
        <v>15</v>
      </c>
      <c r="H4216" t="s">
        <v>32</v>
      </c>
      <c r="I4216">
        <v>1</v>
      </c>
      <c r="J4216" s="23">
        <v>-13646</v>
      </c>
      <c r="K4216" t="s">
        <v>17</v>
      </c>
    </row>
    <row r="4217" spans="1:11" ht="15" customHeight="1" x14ac:dyDescent="0.3">
      <c r="A4217" t="s">
        <v>10</v>
      </c>
      <c r="B4217" t="s">
        <v>11</v>
      </c>
      <c r="C4217" t="s">
        <v>12</v>
      </c>
      <c r="D4217" t="s">
        <v>25</v>
      </c>
      <c r="E4217">
        <v>3</v>
      </c>
      <c r="F4217" t="s">
        <v>39</v>
      </c>
      <c r="G4217" t="s">
        <v>15</v>
      </c>
      <c r="H4217" t="s">
        <v>16</v>
      </c>
      <c r="I4217">
        <v>0</v>
      </c>
      <c r="J4217" s="23">
        <v>-34308</v>
      </c>
      <c r="K4217" t="s">
        <v>17</v>
      </c>
    </row>
    <row r="4218" spans="1:11" ht="15" customHeight="1" x14ac:dyDescent="0.3">
      <c r="A4218" t="s">
        <v>10</v>
      </c>
      <c r="B4218" t="s">
        <v>11</v>
      </c>
      <c r="C4218" t="s">
        <v>24</v>
      </c>
      <c r="D4218" t="s">
        <v>28</v>
      </c>
      <c r="E4218">
        <v>12</v>
      </c>
      <c r="F4218" t="s">
        <v>34</v>
      </c>
      <c r="G4218" t="s">
        <v>15</v>
      </c>
      <c r="H4218" t="s">
        <v>32</v>
      </c>
      <c r="I4218">
        <v>1</v>
      </c>
      <c r="J4218" s="23">
        <v>396221</v>
      </c>
      <c r="K4218">
        <v>4754652</v>
      </c>
    </row>
    <row r="4219" spans="1:11" ht="15" customHeight="1" x14ac:dyDescent="0.3">
      <c r="A4219" t="s">
        <v>22</v>
      </c>
      <c r="B4219" t="s">
        <v>11</v>
      </c>
      <c r="C4219" t="s">
        <v>24</v>
      </c>
      <c r="D4219" t="s">
        <v>13</v>
      </c>
      <c r="E4219">
        <v>4</v>
      </c>
      <c r="F4219" t="s">
        <v>29</v>
      </c>
      <c r="G4219" t="s">
        <v>15</v>
      </c>
      <c r="H4219" t="s">
        <v>16</v>
      </c>
      <c r="I4219">
        <v>0</v>
      </c>
      <c r="J4219" s="23">
        <v>2761821</v>
      </c>
      <c r="K4219">
        <v>11047284</v>
      </c>
    </row>
    <row r="4220" spans="1:11" ht="15" customHeight="1" x14ac:dyDescent="0.3">
      <c r="A4220" t="s">
        <v>18</v>
      </c>
      <c r="B4220" t="s">
        <v>11</v>
      </c>
      <c r="C4220" t="s">
        <v>12</v>
      </c>
      <c r="D4220" t="s">
        <v>25</v>
      </c>
      <c r="E4220">
        <v>5</v>
      </c>
      <c r="F4220" t="s">
        <v>39</v>
      </c>
      <c r="G4220" t="s">
        <v>15</v>
      </c>
      <c r="H4220" t="s">
        <v>16</v>
      </c>
      <c r="I4220">
        <v>0</v>
      </c>
      <c r="J4220" s="23">
        <v>-16238</v>
      </c>
      <c r="K4220" t="s">
        <v>17</v>
      </c>
    </row>
    <row r="4221" spans="1:11" ht="15" customHeight="1" x14ac:dyDescent="0.3">
      <c r="A4221" t="s">
        <v>18</v>
      </c>
      <c r="B4221" t="s">
        <v>11</v>
      </c>
      <c r="C4221" t="s">
        <v>24</v>
      </c>
      <c r="D4221" t="s">
        <v>28</v>
      </c>
      <c r="E4221">
        <v>3</v>
      </c>
      <c r="F4221" t="s">
        <v>34</v>
      </c>
      <c r="G4221" t="s">
        <v>15</v>
      </c>
      <c r="H4221" t="s">
        <v>32</v>
      </c>
      <c r="I4221">
        <v>1</v>
      </c>
      <c r="J4221" s="23">
        <v>430527</v>
      </c>
      <c r="K4221">
        <v>1291581</v>
      </c>
    </row>
    <row r="4222" spans="1:11" ht="15" customHeight="1" x14ac:dyDescent="0.3">
      <c r="A4222" t="s">
        <v>10</v>
      </c>
      <c r="B4222" t="s">
        <v>19</v>
      </c>
      <c r="C4222" t="s">
        <v>12</v>
      </c>
      <c r="D4222" t="s">
        <v>20</v>
      </c>
      <c r="E4222">
        <v>30</v>
      </c>
      <c r="F4222"/>
      <c r="G4222" t="s">
        <v>15</v>
      </c>
      <c r="H4222" t="s">
        <v>32</v>
      </c>
      <c r="I4222">
        <v>1</v>
      </c>
      <c r="J4222" s="23">
        <v>-7856</v>
      </c>
      <c r="K4222" t="s">
        <v>17</v>
      </c>
    </row>
    <row r="4223" spans="1:11" ht="15" customHeight="1" x14ac:dyDescent="0.3">
      <c r="A4223" t="s">
        <v>18</v>
      </c>
      <c r="B4223" t="s">
        <v>19</v>
      </c>
      <c r="C4223" t="s">
        <v>12</v>
      </c>
      <c r="D4223" t="s">
        <v>20</v>
      </c>
      <c r="E4223">
        <v>38</v>
      </c>
      <c r="F4223"/>
      <c r="G4223" t="s">
        <v>31</v>
      </c>
      <c r="H4223" t="s">
        <v>16</v>
      </c>
      <c r="I4223">
        <v>1</v>
      </c>
      <c r="J4223" s="23">
        <v>-7209</v>
      </c>
      <c r="K4223" t="s">
        <v>17</v>
      </c>
    </row>
    <row r="4224" spans="1:11" ht="15" customHeight="1" x14ac:dyDescent="0.3">
      <c r="A4224" t="s">
        <v>18</v>
      </c>
      <c r="B4224" t="s">
        <v>19</v>
      </c>
      <c r="C4224" t="s">
        <v>24</v>
      </c>
      <c r="D4224" t="s">
        <v>20</v>
      </c>
      <c r="E4224">
        <v>7</v>
      </c>
      <c r="F4224"/>
      <c r="G4224" t="s">
        <v>31</v>
      </c>
      <c r="H4224" t="s">
        <v>32</v>
      </c>
      <c r="I4224">
        <v>1</v>
      </c>
      <c r="J4224" s="23">
        <v>49480</v>
      </c>
      <c r="K4224">
        <v>346360</v>
      </c>
    </row>
    <row r="4225" spans="1:11" ht="15" customHeight="1" x14ac:dyDescent="0.3">
      <c r="A4225" t="s">
        <v>22</v>
      </c>
      <c r="B4225" t="s">
        <v>11</v>
      </c>
      <c r="C4225" t="s">
        <v>24</v>
      </c>
      <c r="D4225" t="s">
        <v>25</v>
      </c>
      <c r="E4225">
        <v>-4</v>
      </c>
      <c r="F4225" t="s">
        <v>35</v>
      </c>
      <c r="G4225" t="s">
        <v>15</v>
      </c>
      <c r="H4225" t="s">
        <v>16</v>
      </c>
      <c r="I4225">
        <v>0</v>
      </c>
      <c r="J4225" s="23">
        <v>33630</v>
      </c>
      <c r="K4225" t="s">
        <v>17</v>
      </c>
    </row>
    <row r="4226" spans="1:11" ht="15" customHeight="1" x14ac:dyDescent="0.3">
      <c r="A4226" t="s">
        <v>18</v>
      </c>
      <c r="B4226" t="s">
        <v>11</v>
      </c>
      <c r="C4226" t="s">
        <v>24</v>
      </c>
      <c r="D4226" t="s">
        <v>13</v>
      </c>
      <c r="E4226">
        <v>-1</v>
      </c>
      <c r="F4226" t="s">
        <v>21</v>
      </c>
      <c r="G4226" t="s">
        <v>15</v>
      </c>
      <c r="H4226" t="s">
        <v>16</v>
      </c>
      <c r="I4226">
        <v>0</v>
      </c>
      <c r="J4226" s="23">
        <v>35856722</v>
      </c>
      <c r="K4226" t="s">
        <v>17</v>
      </c>
    </row>
    <row r="4227" spans="1:11" ht="15" customHeight="1" x14ac:dyDescent="0.3">
      <c r="A4227" t="s">
        <v>22</v>
      </c>
      <c r="B4227" t="s">
        <v>11</v>
      </c>
      <c r="C4227" t="s">
        <v>12</v>
      </c>
      <c r="D4227" t="s">
        <v>28</v>
      </c>
      <c r="E4227">
        <v>6</v>
      </c>
      <c r="F4227" t="s">
        <v>21</v>
      </c>
      <c r="G4227" t="s">
        <v>15</v>
      </c>
      <c r="H4227" t="s">
        <v>16</v>
      </c>
      <c r="I4227">
        <v>0</v>
      </c>
      <c r="J4227" s="23">
        <v>-118181</v>
      </c>
      <c r="K4227" t="s">
        <v>17</v>
      </c>
    </row>
    <row r="4228" spans="1:11" ht="15" customHeight="1" x14ac:dyDescent="0.3">
      <c r="A4228" t="s">
        <v>18</v>
      </c>
      <c r="B4228" t="s">
        <v>19</v>
      </c>
      <c r="C4228" t="s">
        <v>12</v>
      </c>
      <c r="D4228" t="s">
        <v>20</v>
      </c>
      <c r="E4228">
        <v>11</v>
      </c>
      <c r="F4228"/>
      <c r="G4228" t="s">
        <v>31</v>
      </c>
      <c r="H4228" t="s">
        <v>16</v>
      </c>
      <c r="I4228">
        <v>1</v>
      </c>
      <c r="J4228" s="23">
        <v>-1268</v>
      </c>
      <c r="K4228" t="s">
        <v>17</v>
      </c>
    </row>
    <row r="4229" spans="1:11" ht="15" customHeight="1" x14ac:dyDescent="0.3">
      <c r="A4229" t="s">
        <v>22</v>
      </c>
      <c r="B4229" t="s">
        <v>11</v>
      </c>
      <c r="C4229" t="s">
        <v>24</v>
      </c>
      <c r="D4229" t="s">
        <v>13</v>
      </c>
      <c r="E4229">
        <v>3</v>
      </c>
      <c r="F4229" t="s">
        <v>42</v>
      </c>
      <c r="G4229" t="s">
        <v>15</v>
      </c>
      <c r="H4229" t="s">
        <v>16</v>
      </c>
      <c r="I4229">
        <v>0</v>
      </c>
      <c r="J4229" s="23">
        <v>70465</v>
      </c>
      <c r="K4229">
        <v>211395</v>
      </c>
    </row>
    <row r="4230" spans="1:11" ht="15" customHeight="1" x14ac:dyDescent="0.3">
      <c r="A4230" t="s">
        <v>22</v>
      </c>
      <c r="B4230" t="s">
        <v>11</v>
      </c>
      <c r="C4230" t="s">
        <v>24</v>
      </c>
      <c r="D4230" t="s">
        <v>28</v>
      </c>
      <c r="E4230">
        <v>3</v>
      </c>
      <c r="F4230" t="s">
        <v>33</v>
      </c>
      <c r="G4230" t="s">
        <v>15</v>
      </c>
      <c r="H4230" t="s">
        <v>32</v>
      </c>
      <c r="I4230">
        <v>1</v>
      </c>
      <c r="J4230" s="23">
        <v>51982</v>
      </c>
      <c r="K4230">
        <v>155946</v>
      </c>
    </row>
    <row r="4231" spans="1:11" ht="15" customHeight="1" x14ac:dyDescent="0.3">
      <c r="A4231" t="s">
        <v>18</v>
      </c>
      <c r="B4231" t="s">
        <v>11</v>
      </c>
      <c r="C4231" t="s">
        <v>24</v>
      </c>
      <c r="D4231" t="s">
        <v>28</v>
      </c>
      <c r="E4231">
        <v>6</v>
      </c>
      <c r="F4231" t="s">
        <v>29</v>
      </c>
      <c r="G4231" t="s">
        <v>15</v>
      </c>
      <c r="H4231" t="s">
        <v>16</v>
      </c>
      <c r="I4231">
        <v>0</v>
      </c>
      <c r="J4231" s="23">
        <v>3113270</v>
      </c>
      <c r="K4231">
        <v>18679620</v>
      </c>
    </row>
    <row r="4232" spans="1:11" ht="15" customHeight="1" x14ac:dyDescent="0.3">
      <c r="A4232" t="s">
        <v>22</v>
      </c>
      <c r="B4232" t="s">
        <v>19</v>
      </c>
      <c r="C4232" t="s">
        <v>24</v>
      </c>
      <c r="D4232" t="s">
        <v>20</v>
      </c>
      <c r="E4232">
        <v>31</v>
      </c>
      <c r="F4232"/>
      <c r="G4232" t="s">
        <v>15</v>
      </c>
      <c r="H4232" t="s">
        <v>32</v>
      </c>
      <c r="I4232">
        <v>1</v>
      </c>
      <c r="J4232" s="23">
        <v>15278</v>
      </c>
      <c r="K4232">
        <v>473618</v>
      </c>
    </row>
    <row r="4233" spans="1:11" ht="15" customHeight="1" x14ac:dyDescent="0.3">
      <c r="A4233" t="s">
        <v>10</v>
      </c>
      <c r="B4233" t="s">
        <v>11</v>
      </c>
      <c r="C4233" t="s">
        <v>12</v>
      </c>
      <c r="D4233" t="s">
        <v>13</v>
      </c>
      <c r="E4233">
        <v>7</v>
      </c>
      <c r="F4233" t="s">
        <v>34</v>
      </c>
      <c r="G4233" t="s">
        <v>15</v>
      </c>
      <c r="H4233" t="s">
        <v>16</v>
      </c>
      <c r="I4233">
        <v>0</v>
      </c>
      <c r="J4233" s="23">
        <v>-174461</v>
      </c>
      <c r="K4233" t="s">
        <v>17</v>
      </c>
    </row>
    <row r="4234" spans="1:11" ht="15" customHeight="1" x14ac:dyDescent="0.3">
      <c r="A4234" t="s">
        <v>22</v>
      </c>
      <c r="B4234" t="s">
        <v>11</v>
      </c>
      <c r="C4234" t="s">
        <v>24</v>
      </c>
      <c r="D4234" t="s">
        <v>13</v>
      </c>
      <c r="E4234">
        <v>8</v>
      </c>
      <c r="F4234" t="s">
        <v>21</v>
      </c>
      <c r="G4234" t="s">
        <v>15</v>
      </c>
      <c r="H4234" t="s">
        <v>16</v>
      </c>
      <c r="I4234">
        <v>0</v>
      </c>
      <c r="J4234" s="23">
        <v>835040</v>
      </c>
      <c r="K4234">
        <v>6680320</v>
      </c>
    </row>
    <row r="4235" spans="1:11" ht="15" customHeight="1" x14ac:dyDescent="0.3">
      <c r="A4235" t="s">
        <v>10</v>
      </c>
      <c r="B4235" t="s">
        <v>11</v>
      </c>
      <c r="C4235" t="s">
        <v>12</v>
      </c>
      <c r="D4235" t="s">
        <v>28</v>
      </c>
      <c r="E4235">
        <v>4</v>
      </c>
      <c r="F4235" t="s">
        <v>29</v>
      </c>
      <c r="G4235" t="s">
        <v>15</v>
      </c>
      <c r="H4235" t="s">
        <v>32</v>
      </c>
      <c r="I4235">
        <v>1</v>
      </c>
      <c r="J4235" s="23">
        <v>-32825</v>
      </c>
      <c r="K4235" t="s">
        <v>17</v>
      </c>
    </row>
    <row r="4236" spans="1:11" ht="15" customHeight="1" x14ac:dyDescent="0.3">
      <c r="A4236" t="s">
        <v>22</v>
      </c>
      <c r="B4236" t="s">
        <v>19</v>
      </c>
      <c r="C4236" t="s">
        <v>12</v>
      </c>
      <c r="D4236" t="s">
        <v>20</v>
      </c>
      <c r="E4236">
        <v>15</v>
      </c>
      <c r="F4236"/>
      <c r="G4236" t="s">
        <v>31</v>
      </c>
      <c r="H4236" t="s">
        <v>16</v>
      </c>
      <c r="I4236">
        <v>1</v>
      </c>
      <c r="J4236" s="23">
        <v>-6748</v>
      </c>
      <c r="K4236" t="s">
        <v>17</v>
      </c>
    </row>
    <row r="4237" spans="1:11" ht="15" customHeight="1" x14ac:dyDescent="0.3">
      <c r="A4237" t="s">
        <v>18</v>
      </c>
      <c r="B4237" t="s">
        <v>11</v>
      </c>
      <c r="C4237" t="s">
        <v>24</v>
      </c>
      <c r="D4237" t="s">
        <v>25</v>
      </c>
      <c r="E4237">
        <v>1</v>
      </c>
      <c r="F4237" t="s">
        <v>41</v>
      </c>
      <c r="G4237" t="s">
        <v>15</v>
      </c>
      <c r="H4237" t="s">
        <v>16</v>
      </c>
      <c r="I4237">
        <v>0</v>
      </c>
      <c r="J4237" s="23">
        <v>299607</v>
      </c>
      <c r="K4237">
        <v>299607</v>
      </c>
    </row>
    <row r="4238" spans="1:11" ht="15" customHeight="1" x14ac:dyDescent="0.3">
      <c r="A4238" t="s">
        <v>18</v>
      </c>
      <c r="B4238" t="s">
        <v>11</v>
      </c>
      <c r="C4238" t="s">
        <v>24</v>
      </c>
      <c r="D4238" t="s">
        <v>13</v>
      </c>
      <c r="E4238">
        <v>8</v>
      </c>
      <c r="F4238" t="s">
        <v>26</v>
      </c>
      <c r="G4238" t="s">
        <v>15</v>
      </c>
      <c r="H4238" t="s">
        <v>16</v>
      </c>
      <c r="I4238">
        <v>0</v>
      </c>
      <c r="J4238" s="23">
        <v>3508062</v>
      </c>
      <c r="K4238">
        <v>28064496</v>
      </c>
    </row>
    <row r="4239" spans="1:11" ht="15" customHeight="1" x14ac:dyDescent="0.3">
      <c r="A4239" t="s">
        <v>22</v>
      </c>
      <c r="B4239" t="s">
        <v>11</v>
      </c>
      <c r="C4239" t="s">
        <v>24</v>
      </c>
      <c r="D4239" t="s">
        <v>25</v>
      </c>
      <c r="E4239">
        <v>5</v>
      </c>
      <c r="F4239" t="s">
        <v>34</v>
      </c>
      <c r="G4239" t="s">
        <v>15</v>
      </c>
      <c r="H4239" t="s">
        <v>16</v>
      </c>
      <c r="I4239">
        <v>0</v>
      </c>
      <c r="J4239" s="23">
        <v>35908</v>
      </c>
      <c r="K4239">
        <v>179540</v>
      </c>
    </row>
    <row r="4240" spans="1:11" ht="15" customHeight="1" x14ac:dyDescent="0.3">
      <c r="A4240" t="s">
        <v>18</v>
      </c>
      <c r="B4240" t="s">
        <v>11</v>
      </c>
      <c r="C4240" t="s">
        <v>12</v>
      </c>
      <c r="D4240" t="s">
        <v>25</v>
      </c>
      <c r="E4240">
        <v>5</v>
      </c>
      <c r="F4240" t="s">
        <v>42</v>
      </c>
      <c r="G4240" t="s">
        <v>15</v>
      </c>
      <c r="H4240" t="s">
        <v>16</v>
      </c>
      <c r="I4240">
        <v>0</v>
      </c>
      <c r="J4240" s="23">
        <v>-542</v>
      </c>
      <c r="K4240" t="s">
        <v>17</v>
      </c>
    </row>
    <row r="4241" spans="1:11" ht="15" customHeight="1" x14ac:dyDescent="0.3">
      <c r="A4241" t="s">
        <v>18</v>
      </c>
      <c r="B4241" t="s">
        <v>11</v>
      </c>
      <c r="C4241" t="s">
        <v>12</v>
      </c>
      <c r="D4241" t="s">
        <v>25</v>
      </c>
      <c r="E4241">
        <v>7</v>
      </c>
      <c r="F4241" t="s">
        <v>40</v>
      </c>
      <c r="G4241" t="s">
        <v>15</v>
      </c>
      <c r="H4241" t="s">
        <v>16</v>
      </c>
      <c r="I4241">
        <v>0</v>
      </c>
      <c r="J4241" s="23">
        <v>-9723</v>
      </c>
      <c r="K4241" t="s">
        <v>17</v>
      </c>
    </row>
    <row r="4242" spans="1:11" ht="15" customHeight="1" x14ac:dyDescent="0.3">
      <c r="A4242" t="s">
        <v>18</v>
      </c>
      <c r="B4242" t="s">
        <v>11</v>
      </c>
      <c r="C4242" t="s">
        <v>12</v>
      </c>
      <c r="D4242" t="s">
        <v>13</v>
      </c>
      <c r="E4242">
        <v>3</v>
      </c>
      <c r="F4242" t="s">
        <v>38</v>
      </c>
      <c r="G4242" t="s">
        <v>15</v>
      </c>
      <c r="H4242" t="s">
        <v>16</v>
      </c>
      <c r="I4242">
        <v>0</v>
      </c>
      <c r="J4242" s="23">
        <v>-821</v>
      </c>
      <c r="K4242" t="s">
        <v>17</v>
      </c>
    </row>
    <row r="4243" spans="1:11" ht="15" customHeight="1" x14ac:dyDescent="0.3">
      <c r="A4243" t="s">
        <v>18</v>
      </c>
      <c r="B4243" t="s">
        <v>19</v>
      </c>
      <c r="C4243" t="s">
        <v>24</v>
      </c>
      <c r="D4243" t="s">
        <v>20</v>
      </c>
      <c r="E4243">
        <v>22</v>
      </c>
      <c r="F4243"/>
      <c r="G4243" t="s">
        <v>15</v>
      </c>
      <c r="H4243" t="s">
        <v>16</v>
      </c>
      <c r="I4243">
        <v>0</v>
      </c>
      <c r="J4243" s="23">
        <v>750343770</v>
      </c>
      <c r="K4243">
        <v>16507562940</v>
      </c>
    </row>
    <row r="4244" spans="1:11" ht="15" customHeight="1" x14ac:dyDescent="0.3">
      <c r="A4244" t="s">
        <v>10</v>
      </c>
      <c r="B4244" t="s">
        <v>11</v>
      </c>
      <c r="C4244" t="s">
        <v>24</v>
      </c>
      <c r="D4244" t="s">
        <v>28</v>
      </c>
      <c r="E4244">
        <v>8</v>
      </c>
      <c r="F4244" t="s">
        <v>33</v>
      </c>
      <c r="G4244" t="s">
        <v>15</v>
      </c>
      <c r="H4244" t="s">
        <v>32</v>
      </c>
      <c r="I4244">
        <v>1</v>
      </c>
      <c r="J4244" s="23">
        <v>272023</v>
      </c>
      <c r="K4244">
        <v>2176184</v>
      </c>
    </row>
    <row r="4245" spans="1:11" ht="15" customHeight="1" x14ac:dyDescent="0.3">
      <c r="A4245" t="s">
        <v>18</v>
      </c>
      <c r="B4245" t="s">
        <v>43</v>
      </c>
      <c r="C4245" t="s">
        <v>24</v>
      </c>
      <c r="D4245" t="s">
        <v>28</v>
      </c>
      <c r="E4245">
        <v>12</v>
      </c>
      <c r="F4245" t="s">
        <v>38</v>
      </c>
      <c r="G4245" t="s">
        <v>15</v>
      </c>
      <c r="H4245" t="s">
        <v>16</v>
      </c>
      <c r="I4245">
        <v>0</v>
      </c>
      <c r="J4245" s="23">
        <v>425209</v>
      </c>
      <c r="K4245">
        <v>5102508</v>
      </c>
    </row>
    <row r="4246" spans="1:11" ht="15" customHeight="1" x14ac:dyDescent="0.3">
      <c r="A4246" t="s">
        <v>18</v>
      </c>
      <c r="B4246" t="s">
        <v>44</v>
      </c>
      <c r="C4246" t="s">
        <v>24</v>
      </c>
      <c r="D4246" t="s">
        <v>28</v>
      </c>
      <c r="E4246">
        <v>10</v>
      </c>
      <c r="F4246" t="s">
        <v>38</v>
      </c>
      <c r="G4246" t="s">
        <v>15</v>
      </c>
      <c r="H4246" t="s">
        <v>16</v>
      </c>
      <c r="I4246">
        <v>0</v>
      </c>
      <c r="J4246" s="23">
        <v>151981</v>
      </c>
      <c r="K4246">
        <v>1519810</v>
      </c>
    </row>
    <row r="4247" spans="1:11" ht="15" customHeight="1" x14ac:dyDescent="0.3">
      <c r="A4247" t="s">
        <v>18</v>
      </c>
      <c r="B4247" t="s">
        <v>11</v>
      </c>
      <c r="C4247" t="s">
        <v>12</v>
      </c>
      <c r="D4247" t="s">
        <v>13</v>
      </c>
      <c r="E4247">
        <v>7</v>
      </c>
      <c r="F4247" t="s">
        <v>36</v>
      </c>
      <c r="G4247" t="s">
        <v>15</v>
      </c>
      <c r="H4247" t="s">
        <v>16</v>
      </c>
      <c r="I4247">
        <v>0</v>
      </c>
      <c r="J4247" s="23">
        <v>-111431</v>
      </c>
      <c r="K4247" t="s">
        <v>17</v>
      </c>
    </row>
    <row r="4248" spans="1:11" ht="15" customHeight="1" x14ac:dyDescent="0.3">
      <c r="A4248" t="s">
        <v>18</v>
      </c>
      <c r="B4248" t="s">
        <v>19</v>
      </c>
      <c r="C4248" t="s">
        <v>12</v>
      </c>
      <c r="D4248" t="s">
        <v>20</v>
      </c>
      <c r="E4248">
        <v>40</v>
      </c>
      <c r="F4248"/>
      <c r="G4248" t="s">
        <v>31</v>
      </c>
      <c r="H4248" t="s">
        <v>16</v>
      </c>
      <c r="I4248">
        <v>1</v>
      </c>
      <c r="J4248" s="23">
        <v>-3923</v>
      </c>
      <c r="K4248" t="s">
        <v>17</v>
      </c>
    </row>
    <row r="4249" spans="1:11" ht="15" customHeight="1" x14ac:dyDescent="0.3">
      <c r="A4249" t="s">
        <v>10</v>
      </c>
      <c r="B4249" t="s">
        <v>11</v>
      </c>
      <c r="C4249" t="s">
        <v>24</v>
      </c>
      <c r="D4249" t="s">
        <v>28</v>
      </c>
      <c r="E4249">
        <v>15</v>
      </c>
      <c r="F4249" t="s">
        <v>38</v>
      </c>
      <c r="G4249" t="s">
        <v>15</v>
      </c>
      <c r="H4249" t="s">
        <v>16</v>
      </c>
      <c r="I4249">
        <v>0</v>
      </c>
      <c r="J4249" s="23">
        <v>167919</v>
      </c>
      <c r="K4249">
        <v>2518785</v>
      </c>
    </row>
    <row r="4250" spans="1:11" ht="15" customHeight="1" x14ac:dyDescent="0.3">
      <c r="A4250" t="s">
        <v>22</v>
      </c>
      <c r="B4250" t="s">
        <v>11</v>
      </c>
      <c r="C4250" t="s">
        <v>24</v>
      </c>
      <c r="D4250" t="s">
        <v>28</v>
      </c>
      <c r="E4250">
        <v>4</v>
      </c>
      <c r="F4250" t="s">
        <v>29</v>
      </c>
      <c r="G4250" t="s">
        <v>15</v>
      </c>
      <c r="H4250" t="s">
        <v>16</v>
      </c>
      <c r="I4250">
        <v>0</v>
      </c>
      <c r="J4250" s="23">
        <v>54951</v>
      </c>
      <c r="K4250">
        <v>219804</v>
      </c>
    </row>
    <row r="4251" spans="1:11" ht="15" customHeight="1" x14ac:dyDescent="0.3">
      <c r="A4251" t="s">
        <v>22</v>
      </c>
      <c r="B4251" t="s">
        <v>11</v>
      </c>
      <c r="C4251" t="s">
        <v>12</v>
      </c>
      <c r="D4251" t="s">
        <v>13</v>
      </c>
      <c r="E4251">
        <v>-4</v>
      </c>
      <c r="F4251" t="s">
        <v>35</v>
      </c>
      <c r="G4251" t="s">
        <v>15</v>
      </c>
      <c r="H4251" t="s">
        <v>16</v>
      </c>
      <c r="I4251">
        <v>0</v>
      </c>
      <c r="J4251" s="23">
        <v>-321209</v>
      </c>
      <c r="K4251" t="s">
        <v>17</v>
      </c>
    </row>
    <row r="4252" spans="1:11" ht="15" customHeight="1" x14ac:dyDescent="0.3">
      <c r="A4252" t="s">
        <v>22</v>
      </c>
      <c r="B4252" t="s">
        <v>19</v>
      </c>
      <c r="C4252" t="s">
        <v>12</v>
      </c>
      <c r="D4252" t="s">
        <v>20</v>
      </c>
      <c r="E4252">
        <v>21</v>
      </c>
      <c r="F4252"/>
      <c r="G4252" t="s">
        <v>15</v>
      </c>
      <c r="H4252" t="s">
        <v>16</v>
      </c>
      <c r="I4252">
        <v>0</v>
      </c>
      <c r="J4252" s="23">
        <v>-2762160</v>
      </c>
      <c r="K4252" t="s">
        <v>17</v>
      </c>
    </row>
    <row r="4253" spans="1:11" ht="15" customHeight="1" x14ac:dyDescent="0.3">
      <c r="A4253" t="s">
        <v>10</v>
      </c>
      <c r="B4253" t="s">
        <v>11</v>
      </c>
      <c r="C4253" t="s">
        <v>24</v>
      </c>
      <c r="D4253" t="s">
        <v>25</v>
      </c>
      <c r="E4253">
        <v>0</v>
      </c>
      <c r="F4253" t="s">
        <v>33</v>
      </c>
      <c r="G4253" t="s">
        <v>15</v>
      </c>
      <c r="H4253" t="s">
        <v>16</v>
      </c>
      <c r="I4253">
        <v>0</v>
      </c>
      <c r="J4253" s="23">
        <v>87064</v>
      </c>
      <c r="K4253" t="s">
        <v>17</v>
      </c>
    </row>
    <row r="4254" spans="1:11" ht="15" customHeight="1" x14ac:dyDescent="0.3">
      <c r="A4254" t="s">
        <v>10</v>
      </c>
      <c r="B4254" t="s">
        <v>19</v>
      </c>
      <c r="C4254" t="s">
        <v>24</v>
      </c>
      <c r="D4254" t="s">
        <v>28</v>
      </c>
      <c r="E4254">
        <v>-4</v>
      </c>
      <c r="F4254"/>
      <c r="G4254" t="s">
        <v>15</v>
      </c>
      <c r="H4254" t="s">
        <v>16</v>
      </c>
      <c r="I4254">
        <v>0</v>
      </c>
      <c r="J4254" s="23">
        <v>107551</v>
      </c>
      <c r="K4254" t="s">
        <v>17</v>
      </c>
    </row>
    <row r="4255" spans="1:11" ht="15" customHeight="1" x14ac:dyDescent="0.3">
      <c r="A4255" t="s">
        <v>18</v>
      </c>
      <c r="B4255" t="s">
        <v>11</v>
      </c>
      <c r="C4255" t="s">
        <v>24</v>
      </c>
      <c r="D4255" t="s">
        <v>25</v>
      </c>
      <c r="E4255">
        <v>4</v>
      </c>
      <c r="F4255" t="s">
        <v>45</v>
      </c>
      <c r="G4255" t="s">
        <v>15</v>
      </c>
      <c r="H4255" t="s">
        <v>16</v>
      </c>
      <c r="I4255">
        <v>0</v>
      </c>
      <c r="J4255" s="23">
        <v>189966</v>
      </c>
      <c r="K4255">
        <v>759864</v>
      </c>
    </row>
    <row r="4256" spans="1:11" ht="15" customHeight="1" x14ac:dyDescent="0.3">
      <c r="A4256" t="s">
        <v>10</v>
      </c>
      <c r="B4256" t="s">
        <v>11</v>
      </c>
      <c r="C4256" t="s">
        <v>24</v>
      </c>
      <c r="D4256" t="s">
        <v>13</v>
      </c>
      <c r="E4256">
        <v>6</v>
      </c>
      <c r="F4256" t="s">
        <v>34</v>
      </c>
      <c r="G4256" t="s">
        <v>15</v>
      </c>
      <c r="H4256" t="s">
        <v>16</v>
      </c>
      <c r="I4256">
        <v>0</v>
      </c>
      <c r="J4256" s="23">
        <v>4475438</v>
      </c>
      <c r="K4256">
        <v>26852628</v>
      </c>
    </row>
    <row r="4257" spans="1:11" ht="15" customHeight="1" x14ac:dyDescent="0.3">
      <c r="A4257" t="s">
        <v>22</v>
      </c>
      <c r="B4257" t="s">
        <v>19</v>
      </c>
      <c r="C4257" t="s">
        <v>24</v>
      </c>
      <c r="D4257" t="s">
        <v>20</v>
      </c>
      <c r="E4257">
        <v>41</v>
      </c>
      <c r="F4257"/>
      <c r="G4257" t="s">
        <v>31</v>
      </c>
      <c r="H4257" t="s">
        <v>16</v>
      </c>
      <c r="I4257">
        <v>1</v>
      </c>
      <c r="J4257" s="23">
        <v>97803</v>
      </c>
      <c r="K4257">
        <v>4009923</v>
      </c>
    </row>
    <row r="4258" spans="1:11" ht="15" customHeight="1" x14ac:dyDescent="0.3">
      <c r="A4258" t="s">
        <v>18</v>
      </c>
      <c r="B4258" t="s">
        <v>19</v>
      </c>
      <c r="C4258" t="s">
        <v>12</v>
      </c>
      <c r="D4258" t="s">
        <v>20</v>
      </c>
      <c r="E4258">
        <v>30</v>
      </c>
      <c r="F4258"/>
      <c r="G4258" t="s">
        <v>31</v>
      </c>
      <c r="H4258" t="s">
        <v>32</v>
      </c>
      <c r="I4258">
        <v>1</v>
      </c>
      <c r="J4258" s="23">
        <v>-59</v>
      </c>
      <c r="K4258" t="s">
        <v>17</v>
      </c>
    </row>
    <row r="4259" spans="1:11" ht="15" customHeight="1" x14ac:dyDescent="0.3">
      <c r="A4259" t="s">
        <v>18</v>
      </c>
      <c r="B4259" t="s">
        <v>11</v>
      </c>
      <c r="C4259" t="s">
        <v>12</v>
      </c>
      <c r="D4259" t="s">
        <v>13</v>
      </c>
      <c r="E4259">
        <v>2</v>
      </c>
      <c r="F4259" t="s">
        <v>30</v>
      </c>
      <c r="G4259" t="s">
        <v>15</v>
      </c>
      <c r="H4259" t="s">
        <v>16</v>
      </c>
      <c r="I4259">
        <v>0</v>
      </c>
      <c r="J4259" s="23">
        <v>-87598</v>
      </c>
      <c r="K4259" t="s">
        <v>17</v>
      </c>
    </row>
    <row r="4260" spans="1:11" ht="15" customHeight="1" x14ac:dyDescent="0.3">
      <c r="A4260" t="s">
        <v>22</v>
      </c>
      <c r="B4260" t="s">
        <v>11</v>
      </c>
      <c r="C4260" t="s">
        <v>24</v>
      </c>
      <c r="D4260" t="s">
        <v>13</v>
      </c>
      <c r="E4260">
        <v>-4</v>
      </c>
      <c r="F4260" t="s">
        <v>23</v>
      </c>
      <c r="G4260" t="s">
        <v>15</v>
      </c>
      <c r="H4260" t="s">
        <v>16</v>
      </c>
      <c r="I4260">
        <v>0</v>
      </c>
      <c r="J4260" s="23">
        <v>492637</v>
      </c>
      <c r="K4260" t="s">
        <v>17</v>
      </c>
    </row>
    <row r="4261" spans="1:11" ht="15" customHeight="1" x14ac:dyDescent="0.3">
      <c r="A4261" t="s">
        <v>10</v>
      </c>
      <c r="B4261" t="s">
        <v>11</v>
      </c>
      <c r="C4261" t="s">
        <v>24</v>
      </c>
      <c r="D4261" t="s">
        <v>13</v>
      </c>
      <c r="E4261">
        <v>8</v>
      </c>
      <c r="F4261" t="s">
        <v>35</v>
      </c>
      <c r="G4261" t="s">
        <v>15</v>
      </c>
      <c r="H4261" t="s">
        <v>16</v>
      </c>
      <c r="I4261">
        <v>0</v>
      </c>
      <c r="J4261" s="23">
        <v>32865</v>
      </c>
      <c r="K4261">
        <v>262920</v>
      </c>
    </row>
    <row r="4262" spans="1:11" ht="15" customHeight="1" x14ac:dyDescent="0.3">
      <c r="A4262" t="s">
        <v>18</v>
      </c>
      <c r="B4262" t="s">
        <v>19</v>
      </c>
      <c r="C4262" t="s">
        <v>24</v>
      </c>
      <c r="D4262" t="s">
        <v>20</v>
      </c>
      <c r="E4262">
        <v>23</v>
      </c>
      <c r="F4262"/>
      <c r="G4262" t="s">
        <v>31</v>
      </c>
      <c r="H4262" t="s">
        <v>16</v>
      </c>
      <c r="I4262">
        <v>1</v>
      </c>
      <c r="J4262" s="23">
        <v>7543868</v>
      </c>
      <c r="K4262">
        <v>173508964</v>
      </c>
    </row>
    <row r="4263" spans="1:11" ht="15" customHeight="1" x14ac:dyDescent="0.3">
      <c r="A4263" t="s">
        <v>18</v>
      </c>
      <c r="B4263" t="s">
        <v>19</v>
      </c>
      <c r="C4263" t="s">
        <v>12</v>
      </c>
      <c r="D4263" t="s">
        <v>20</v>
      </c>
      <c r="E4263">
        <v>31</v>
      </c>
      <c r="F4263"/>
      <c r="G4263" t="s">
        <v>15</v>
      </c>
      <c r="H4263" t="s">
        <v>16</v>
      </c>
      <c r="I4263">
        <v>0</v>
      </c>
      <c r="J4263" s="23">
        <v>-334259</v>
      </c>
      <c r="K4263" t="s">
        <v>17</v>
      </c>
    </row>
    <row r="4264" spans="1:11" ht="15" customHeight="1" x14ac:dyDescent="0.3">
      <c r="A4264" t="s">
        <v>18</v>
      </c>
      <c r="B4264" t="s">
        <v>11</v>
      </c>
      <c r="C4264" t="s">
        <v>12</v>
      </c>
      <c r="D4264" t="s">
        <v>28</v>
      </c>
      <c r="E4264">
        <v>7</v>
      </c>
      <c r="F4264" t="s">
        <v>27</v>
      </c>
      <c r="G4264" t="s">
        <v>15</v>
      </c>
      <c r="H4264" t="s">
        <v>16</v>
      </c>
      <c r="I4264">
        <v>0</v>
      </c>
      <c r="J4264" s="23">
        <v>-99</v>
      </c>
      <c r="K4264" t="s">
        <v>17</v>
      </c>
    </row>
    <row r="4265" spans="1:11" ht="15" customHeight="1" x14ac:dyDescent="0.3">
      <c r="A4265" t="s">
        <v>22</v>
      </c>
      <c r="B4265" t="s">
        <v>11</v>
      </c>
      <c r="C4265" t="s">
        <v>24</v>
      </c>
      <c r="D4265" t="s">
        <v>28</v>
      </c>
      <c r="E4265">
        <v>2</v>
      </c>
      <c r="F4265" t="s">
        <v>23</v>
      </c>
      <c r="G4265" t="s">
        <v>15</v>
      </c>
      <c r="H4265" t="s">
        <v>16</v>
      </c>
      <c r="I4265">
        <v>0</v>
      </c>
      <c r="J4265" s="23">
        <v>654974</v>
      </c>
      <c r="K4265">
        <v>1309948</v>
      </c>
    </row>
    <row r="4266" spans="1:11" ht="15" customHeight="1" x14ac:dyDescent="0.3">
      <c r="A4266" t="s">
        <v>10</v>
      </c>
      <c r="B4266" t="s">
        <v>11</v>
      </c>
      <c r="C4266" t="s">
        <v>24</v>
      </c>
      <c r="D4266" t="s">
        <v>28</v>
      </c>
      <c r="E4266">
        <v>8</v>
      </c>
      <c r="F4266" t="s">
        <v>14</v>
      </c>
      <c r="G4266" t="s">
        <v>15</v>
      </c>
      <c r="H4266" t="s">
        <v>16</v>
      </c>
      <c r="I4266">
        <v>0</v>
      </c>
      <c r="J4266" s="23">
        <v>1220126</v>
      </c>
      <c r="K4266">
        <v>9761008</v>
      </c>
    </row>
    <row r="4267" spans="1:11" ht="15" customHeight="1" x14ac:dyDescent="0.3">
      <c r="A4267" t="s">
        <v>18</v>
      </c>
      <c r="B4267" t="s">
        <v>11</v>
      </c>
      <c r="C4267" t="s">
        <v>12</v>
      </c>
      <c r="D4267" t="s">
        <v>25</v>
      </c>
      <c r="E4267">
        <v>1</v>
      </c>
      <c r="F4267" t="s">
        <v>27</v>
      </c>
      <c r="G4267" t="s">
        <v>15</v>
      </c>
      <c r="H4267" t="s">
        <v>16</v>
      </c>
      <c r="I4267">
        <v>0</v>
      </c>
      <c r="J4267" s="23">
        <v>-736</v>
      </c>
      <c r="K4267" t="s">
        <v>17</v>
      </c>
    </row>
    <row r="4268" spans="1:11" ht="15" customHeight="1" x14ac:dyDescent="0.3">
      <c r="A4268" t="s">
        <v>22</v>
      </c>
      <c r="B4268" t="s">
        <v>11</v>
      </c>
      <c r="C4268" t="s">
        <v>12</v>
      </c>
      <c r="D4268" t="s">
        <v>25</v>
      </c>
      <c r="E4268">
        <v>5</v>
      </c>
      <c r="F4268" t="s">
        <v>23</v>
      </c>
      <c r="G4268" t="s">
        <v>15</v>
      </c>
      <c r="H4268" t="s">
        <v>16</v>
      </c>
      <c r="I4268">
        <v>0</v>
      </c>
      <c r="J4268" s="23">
        <v>-28579</v>
      </c>
      <c r="K4268" t="s">
        <v>17</v>
      </c>
    </row>
    <row r="4269" spans="1:11" ht="15" customHeight="1" x14ac:dyDescent="0.3">
      <c r="A4269" t="s">
        <v>10</v>
      </c>
      <c r="B4269" t="s">
        <v>11</v>
      </c>
      <c r="C4269" t="s">
        <v>24</v>
      </c>
      <c r="D4269" t="s">
        <v>13</v>
      </c>
      <c r="E4269">
        <v>10</v>
      </c>
      <c r="F4269" t="s">
        <v>34</v>
      </c>
      <c r="G4269" t="s">
        <v>15</v>
      </c>
      <c r="H4269" t="s">
        <v>16</v>
      </c>
      <c r="I4269">
        <v>0</v>
      </c>
      <c r="J4269" s="23">
        <v>29849</v>
      </c>
      <c r="K4269">
        <v>298490</v>
      </c>
    </row>
    <row r="4270" spans="1:11" ht="15" customHeight="1" x14ac:dyDescent="0.3">
      <c r="A4270" t="s">
        <v>10</v>
      </c>
      <c r="B4270" t="s">
        <v>11</v>
      </c>
      <c r="C4270" t="s">
        <v>12</v>
      </c>
      <c r="D4270" t="s">
        <v>13</v>
      </c>
      <c r="E4270">
        <v>5</v>
      </c>
      <c r="F4270" t="s">
        <v>46</v>
      </c>
      <c r="G4270" t="s">
        <v>15</v>
      </c>
      <c r="H4270" t="s">
        <v>16</v>
      </c>
      <c r="I4270">
        <v>0</v>
      </c>
      <c r="J4270" s="23">
        <v>-2312</v>
      </c>
      <c r="K4270" t="s">
        <v>17</v>
      </c>
    </row>
    <row r="4271" spans="1:11" ht="15" customHeight="1" x14ac:dyDescent="0.3">
      <c r="A4271" t="s">
        <v>22</v>
      </c>
      <c r="B4271" t="s">
        <v>19</v>
      </c>
      <c r="C4271" t="s">
        <v>24</v>
      </c>
      <c r="D4271" t="s">
        <v>20</v>
      </c>
      <c r="E4271">
        <v>35</v>
      </c>
      <c r="F4271"/>
      <c r="G4271" t="s">
        <v>31</v>
      </c>
      <c r="H4271" t="s">
        <v>16</v>
      </c>
      <c r="I4271">
        <v>1</v>
      </c>
      <c r="J4271" s="23">
        <v>307689</v>
      </c>
      <c r="K4271">
        <v>10769115</v>
      </c>
    </row>
    <row r="4272" spans="1:11" ht="15" customHeight="1" x14ac:dyDescent="0.3">
      <c r="A4272" t="s">
        <v>18</v>
      </c>
      <c r="B4272" t="s">
        <v>11</v>
      </c>
      <c r="C4272" t="s">
        <v>12</v>
      </c>
      <c r="D4272" t="s">
        <v>13</v>
      </c>
      <c r="E4272">
        <v>8</v>
      </c>
      <c r="F4272" t="s">
        <v>23</v>
      </c>
      <c r="G4272" t="s">
        <v>15</v>
      </c>
      <c r="H4272" t="s">
        <v>16</v>
      </c>
      <c r="I4272">
        <v>0</v>
      </c>
      <c r="J4272" s="23">
        <v>-6934</v>
      </c>
      <c r="K4272" t="s">
        <v>17</v>
      </c>
    </row>
    <row r="4273" spans="1:11" ht="15" customHeight="1" x14ac:dyDescent="0.3">
      <c r="A4273" t="s">
        <v>18</v>
      </c>
      <c r="B4273" t="s">
        <v>11</v>
      </c>
      <c r="C4273" t="s">
        <v>12</v>
      </c>
      <c r="D4273" t="s">
        <v>13</v>
      </c>
      <c r="E4273">
        <v>1</v>
      </c>
      <c r="F4273" t="s">
        <v>14</v>
      </c>
      <c r="G4273" t="s">
        <v>15</v>
      </c>
      <c r="H4273" t="s">
        <v>16</v>
      </c>
      <c r="I4273">
        <v>0</v>
      </c>
      <c r="J4273" s="23">
        <v>-36568</v>
      </c>
      <c r="K4273" t="s">
        <v>17</v>
      </c>
    </row>
    <row r="4274" spans="1:11" ht="15" customHeight="1" x14ac:dyDescent="0.3">
      <c r="A4274" t="s">
        <v>18</v>
      </c>
      <c r="B4274" t="s">
        <v>11</v>
      </c>
      <c r="C4274" t="s">
        <v>24</v>
      </c>
      <c r="D4274" t="s">
        <v>28</v>
      </c>
      <c r="E4274">
        <v>14</v>
      </c>
      <c r="F4274" t="s">
        <v>40</v>
      </c>
      <c r="G4274" t="s">
        <v>15</v>
      </c>
      <c r="H4274" t="s">
        <v>16</v>
      </c>
      <c r="I4274">
        <v>0</v>
      </c>
      <c r="J4274" s="23">
        <v>428673</v>
      </c>
      <c r="K4274">
        <v>6001422</v>
      </c>
    </row>
    <row r="4275" spans="1:11" ht="15" customHeight="1" x14ac:dyDescent="0.3">
      <c r="A4275" t="s">
        <v>10</v>
      </c>
      <c r="B4275" t="s">
        <v>11</v>
      </c>
      <c r="C4275" t="s">
        <v>24</v>
      </c>
      <c r="D4275" t="s">
        <v>13</v>
      </c>
      <c r="E4275">
        <v>4</v>
      </c>
      <c r="F4275" t="s">
        <v>33</v>
      </c>
      <c r="G4275" t="s">
        <v>15</v>
      </c>
      <c r="H4275" t="s">
        <v>16</v>
      </c>
      <c r="I4275">
        <v>0</v>
      </c>
      <c r="J4275" s="23">
        <v>1676882</v>
      </c>
      <c r="K4275">
        <v>6707528</v>
      </c>
    </row>
    <row r="4276" spans="1:11" ht="15" customHeight="1" x14ac:dyDescent="0.3">
      <c r="A4276" t="s">
        <v>18</v>
      </c>
      <c r="B4276" t="s">
        <v>11</v>
      </c>
      <c r="C4276" t="s">
        <v>24</v>
      </c>
      <c r="D4276" t="s">
        <v>25</v>
      </c>
      <c r="E4276">
        <v>4</v>
      </c>
      <c r="F4276" t="s">
        <v>38</v>
      </c>
      <c r="G4276" t="s">
        <v>15</v>
      </c>
      <c r="H4276" t="s">
        <v>16</v>
      </c>
      <c r="I4276">
        <v>0</v>
      </c>
      <c r="J4276" s="23">
        <v>45555</v>
      </c>
      <c r="K4276">
        <v>182220</v>
      </c>
    </row>
    <row r="4277" spans="1:11" ht="15" customHeight="1" x14ac:dyDescent="0.3">
      <c r="A4277" t="s">
        <v>18</v>
      </c>
      <c r="B4277" t="s">
        <v>19</v>
      </c>
      <c r="C4277" t="s">
        <v>12</v>
      </c>
      <c r="D4277" t="s">
        <v>20</v>
      </c>
      <c r="E4277">
        <v>37</v>
      </c>
      <c r="F4277"/>
      <c r="G4277" t="s">
        <v>31</v>
      </c>
      <c r="H4277" t="s">
        <v>32</v>
      </c>
      <c r="I4277">
        <v>1</v>
      </c>
      <c r="J4277" s="23">
        <v>-287</v>
      </c>
      <c r="K4277" t="s">
        <v>17</v>
      </c>
    </row>
    <row r="4278" spans="1:11" ht="15" customHeight="1" x14ac:dyDescent="0.3">
      <c r="A4278" t="s">
        <v>18</v>
      </c>
      <c r="B4278" t="s">
        <v>19</v>
      </c>
      <c r="C4278" t="s">
        <v>24</v>
      </c>
      <c r="D4278" t="s">
        <v>28</v>
      </c>
      <c r="E4278">
        <v>7</v>
      </c>
      <c r="F4278"/>
      <c r="G4278" t="s">
        <v>15</v>
      </c>
      <c r="H4278" t="s">
        <v>32</v>
      </c>
      <c r="I4278">
        <v>1</v>
      </c>
      <c r="J4278" s="23">
        <v>1100881</v>
      </c>
      <c r="K4278">
        <v>7706167</v>
      </c>
    </row>
    <row r="4279" spans="1:11" ht="15" customHeight="1" x14ac:dyDescent="0.3">
      <c r="A4279" t="s">
        <v>10</v>
      </c>
      <c r="B4279" t="s">
        <v>11</v>
      </c>
      <c r="C4279" t="s">
        <v>24</v>
      </c>
      <c r="D4279" t="s">
        <v>13</v>
      </c>
      <c r="E4279">
        <v>0</v>
      </c>
      <c r="F4279" t="s">
        <v>34</v>
      </c>
      <c r="G4279" t="s">
        <v>15</v>
      </c>
      <c r="H4279" t="s">
        <v>16</v>
      </c>
      <c r="I4279">
        <v>0</v>
      </c>
      <c r="J4279" s="23">
        <v>16620905</v>
      </c>
      <c r="K4279" t="s">
        <v>17</v>
      </c>
    </row>
    <row r="4280" spans="1:11" ht="15" customHeight="1" x14ac:dyDescent="0.3">
      <c r="A4280" t="s">
        <v>22</v>
      </c>
      <c r="B4280" t="s">
        <v>11</v>
      </c>
      <c r="C4280" t="s">
        <v>24</v>
      </c>
      <c r="D4280" t="s">
        <v>28</v>
      </c>
      <c r="E4280">
        <v>-4</v>
      </c>
      <c r="F4280" t="s">
        <v>26</v>
      </c>
      <c r="G4280" t="s">
        <v>15</v>
      </c>
      <c r="H4280" t="s">
        <v>16</v>
      </c>
      <c r="I4280">
        <v>0</v>
      </c>
      <c r="J4280" s="23">
        <v>5574920</v>
      </c>
      <c r="K4280" t="s">
        <v>17</v>
      </c>
    </row>
    <row r="4281" spans="1:11" ht="15" customHeight="1" x14ac:dyDescent="0.3">
      <c r="A4281" t="s">
        <v>22</v>
      </c>
      <c r="B4281" t="s">
        <v>11</v>
      </c>
      <c r="C4281" t="s">
        <v>12</v>
      </c>
      <c r="D4281" t="s">
        <v>13</v>
      </c>
      <c r="E4281">
        <v>-1</v>
      </c>
      <c r="F4281" t="s">
        <v>34</v>
      </c>
      <c r="G4281" t="s">
        <v>15</v>
      </c>
      <c r="H4281" t="s">
        <v>16</v>
      </c>
      <c r="I4281">
        <v>0</v>
      </c>
      <c r="J4281" s="23">
        <v>-8683658</v>
      </c>
      <c r="K4281" t="s">
        <v>17</v>
      </c>
    </row>
    <row r="4282" spans="1:11" ht="15" customHeight="1" x14ac:dyDescent="0.3">
      <c r="A4282" t="s">
        <v>10</v>
      </c>
      <c r="B4282" t="s">
        <v>11</v>
      </c>
      <c r="C4282" t="s">
        <v>24</v>
      </c>
      <c r="D4282" t="s">
        <v>25</v>
      </c>
      <c r="E4282">
        <v>3</v>
      </c>
      <c r="F4282" t="s">
        <v>26</v>
      </c>
      <c r="G4282" t="s">
        <v>15</v>
      </c>
      <c r="H4282" t="s">
        <v>16</v>
      </c>
      <c r="I4282">
        <v>0</v>
      </c>
      <c r="J4282" s="23">
        <v>715386</v>
      </c>
      <c r="K4282">
        <v>2146158</v>
      </c>
    </row>
    <row r="4283" spans="1:11" ht="15" customHeight="1" x14ac:dyDescent="0.3">
      <c r="A4283" t="s">
        <v>22</v>
      </c>
      <c r="B4283" t="s">
        <v>11</v>
      </c>
      <c r="C4283" t="s">
        <v>12</v>
      </c>
      <c r="D4283" t="s">
        <v>25</v>
      </c>
      <c r="E4283">
        <v>2</v>
      </c>
      <c r="F4283" t="s">
        <v>29</v>
      </c>
      <c r="G4283" t="s">
        <v>15</v>
      </c>
      <c r="H4283" t="s">
        <v>16</v>
      </c>
      <c r="I4283">
        <v>0</v>
      </c>
      <c r="J4283" s="23">
        <v>-267131</v>
      </c>
      <c r="K4283" t="s">
        <v>17</v>
      </c>
    </row>
    <row r="4284" spans="1:11" ht="15" customHeight="1" x14ac:dyDescent="0.3">
      <c r="A4284" t="s">
        <v>22</v>
      </c>
      <c r="B4284" t="s">
        <v>11</v>
      </c>
      <c r="C4284" t="s">
        <v>12</v>
      </c>
      <c r="D4284" t="s">
        <v>25</v>
      </c>
      <c r="E4284">
        <v>-4</v>
      </c>
      <c r="F4284" t="s">
        <v>30</v>
      </c>
      <c r="G4284" t="s">
        <v>15</v>
      </c>
      <c r="H4284" t="s">
        <v>16</v>
      </c>
      <c r="I4284">
        <v>0</v>
      </c>
      <c r="J4284" s="23">
        <v>-32465</v>
      </c>
      <c r="K4284" t="s">
        <v>17</v>
      </c>
    </row>
    <row r="4285" spans="1:11" ht="15" customHeight="1" x14ac:dyDescent="0.3">
      <c r="A4285" t="s">
        <v>10</v>
      </c>
      <c r="B4285" t="s">
        <v>11</v>
      </c>
      <c r="C4285" t="s">
        <v>12</v>
      </c>
      <c r="D4285" t="s">
        <v>13</v>
      </c>
      <c r="E4285">
        <v>5</v>
      </c>
      <c r="F4285" t="s">
        <v>27</v>
      </c>
      <c r="G4285" t="s">
        <v>15</v>
      </c>
      <c r="H4285" t="s">
        <v>16</v>
      </c>
      <c r="I4285">
        <v>0</v>
      </c>
      <c r="J4285" s="23">
        <v>-23333</v>
      </c>
      <c r="K4285" t="s">
        <v>17</v>
      </c>
    </row>
    <row r="4286" spans="1:11" ht="15" customHeight="1" x14ac:dyDescent="0.3">
      <c r="A4286" t="s">
        <v>10</v>
      </c>
      <c r="B4286" t="s">
        <v>19</v>
      </c>
      <c r="C4286" t="s">
        <v>12</v>
      </c>
      <c r="D4286" t="s">
        <v>20</v>
      </c>
      <c r="E4286">
        <v>37</v>
      </c>
      <c r="F4286"/>
      <c r="G4286" t="s">
        <v>31</v>
      </c>
      <c r="H4286" t="s">
        <v>32</v>
      </c>
      <c r="I4286">
        <v>1</v>
      </c>
      <c r="J4286" s="23">
        <v>-998</v>
      </c>
      <c r="K4286" t="s">
        <v>17</v>
      </c>
    </row>
    <row r="4287" spans="1:11" ht="15" customHeight="1" x14ac:dyDescent="0.3">
      <c r="A4287" t="s">
        <v>22</v>
      </c>
      <c r="B4287" t="s">
        <v>11</v>
      </c>
      <c r="C4287" t="s">
        <v>12</v>
      </c>
      <c r="D4287" t="s">
        <v>28</v>
      </c>
      <c r="E4287">
        <v>3</v>
      </c>
      <c r="F4287" t="s">
        <v>30</v>
      </c>
      <c r="G4287" t="s">
        <v>15</v>
      </c>
      <c r="H4287" t="s">
        <v>16</v>
      </c>
      <c r="I4287">
        <v>0</v>
      </c>
      <c r="J4287" s="23">
        <v>-120637</v>
      </c>
      <c r="K4287" t="s">
        <v>17</v>
      </c>
    </row>
    <row r="4288" spans="1:11" ht="15" customHeight="1" x14ac:dyDescent="0.3">
      <c r="A4288" t="s">
        <v>18</v>
      </c>
      <c r="B4288" t="s">
        <v>11</v>
      </c>
      <c r="C4288" t="s">
        <v>12</v>
      </c>
      <c r="D4288" t="s">
        <v>13</v>
      </c>
      <c r="E4288">
        <v>-1</v>
      </c>
      <c r="F4288" t="s">
        <v>34</v>
      </c>
      <c r="G4288" t="s">
        <v>15</v>
      </c>
      <c r="H4288" t="s">
        <v>16</v>
      </c>
      <c r="I4288">
        <v>0</v>
      </c>
      <c r="J4288" s="23">
        <v>-1282664</v>
      </c>
      <c r="K4288" t="s">
        <v>17</v>
      </c>
    </row>
    <row r="4289" spans="1:11" ht="15" customHeight="1" x14ac:dyDescent="0.3">
      <c r="A4289" t="s">
        <v>22</v>
      </c>
      <c r="B4289" t="s">
        <v>11</v>
      </c>
      <c r="C4289" t="s">
        <v>24</v>
      </c>
      <c r="D4289" t="s">
        <v>28</v>
      </c>
      <c r="E4289">
        <v>11</v>
      </c>
      <c r="F4289" t="s">
        <v>21</v>
      </c>
      <c r="G4289" t="s">
        <v>15</v>
      </c>
      <c r="H4289" t="s">
        <v>16</v>
      </c>
      <c r="I4289">
        <v>0</v>
      </c>
      <c r="J4289" s="23">
        <v>156373</v>
      </c>
      <c r="K4289">
        <v>1720103</v>
      </c>
    </row>
    <row r="4290" spans="1:11" ht="15" customHeight="1" x14ac:dyDescent="0.3">
      <c r="A4290" t="s">
        <v>18</v>
      </c>
      <c r="B4290" t="s">
        <v>11</v>
      </c>
      <c r="C4290" t="s">
        <v>24</v>
      </c>
      <c r="D4290" t="s">
        <v>25</v>
      </c>
      <c r="E4290">
        <v>7</v>
      </c>
      <c r="F4290" t="s">
        <v>33</v>
      </c>
      <c r="G4290" t="s">
        <v>15</v>
      </c>
      <c r="H4290" t="s">
        <v>16</v>
      </c>
      <c r="I4290">
        <v>0</v>
      </c>
      <c r="J4290" s="23">
        <v>1304233</v>
      </c>
      <c r="K4290">
        <v>9129631</v>
      </c>
    </row>
    <row r="4291" spans="1:11" ht="15" customHeight="1" x14ac:dyDescent="0.3">
      <c r="A4291" t="s">
        <v>10</v>
      </c>
      <c r="B4291" t="s">
        <v>11</v>
      </c>
      <c r="C4291" t="s">
        <v>24</v>
      </c>
      <c r="D4291" t="s">
        <v>25</v>
      </c>
      <c r="E4291">
        <v>0</v>
      </c>
      <c r="F4291" t="s">
        <v>27</v>
      </c>
      <c r="G4291" t="s">
        <v>15</v>
      </c>
      <c r="H4291" t="s">
        <v>16</v>
      </c>
      <c r="I4291">
        <v>0</v>
      </c>
      <c r="J4291" s="23">
        <v>4115</v>
      </c>
      <c r="K4291" t="s">
        <v>17</v>
      </c>
    </row>
    <row r="4292" spans="1:11" ht="15" customHeight="1" x14ac:dyDescent="0.3">
      <c r="A4292" t="s">
        <v>10</v>
      </c>
      <c r="B4292" t="s">
        <v>11</v>
      </c>
      <c r="C4292" t="s">
        <v>24</v>
      </c>
      <c r="D4292" t="s">
        <v>25</v>
      </c>
      <c r="E4292">
        <v>3</v>
      </c>
      <c r="F4292" t="s">
        <v>37</v>
      </c>
      <c r="G4292" t="s">
        <v>15</v>
      </c>
      <c r="H4292" t="s">
        <v>16</v>
      </c>
      <c r="I4292">
        <v>0</v>
      </c>
      <c r="J4292" s="23">
        <v>215191</v>
      </c>
      <c r="K4292">
        <v>645573</v>
      </c>
    </row>
    <row r="4293" spans="1:11" ht="15" customHeight="1" x14ac:dyDescent="0.3">
      <c r="A4293" t="s">
        <v>18</v>
      </c>
      <c r="B4293" t="s">
        <v>11</v>
      </c>
      <c r="C4293" t="s">
        <v>12</v>
      </c>
      <c r="D4293" t="s">
        <v>28</v>
      </c>
      <c r="E4293">
        <v>5</v>
      </c>
      <c r="F4293" t="s">
        <v>26</v>
      </c>
      <c r="G4293" t="s">
        <v>15</v>
      </c>
      <c r="H4293" t="s">
        <v>16</v>
      </c>
      <c r="I4293">
        <v>0</v>
      </c>
      <c r="J4293" s="23">
        <v>-67044</v>
      </c>
      <c r="K4293" t="s">
        <v>17</v>
      </c>
    </row>
    <row r="4294" spans="1:11" ht="15" customHeight="1" x14ac:dyDescent="0.3">
      <c r="A4294" t="s">
        <v>22</v>
      </c>
      <c r="B4294" t="s">
        <v>11</v>
      </c>
      <c r="C4294" t="s">
        <v>24</v>
      </c>
      <c r="D4294" t="s">
        <v>28</v>
      </c>
      <c r="E4294">
        <v>14</v>
      </c>
      <c r="F4294" t="s">
        <v>26</v>
      </c>
      <c r="G4294" t="s">
        <v>15</v>
      </c>
      <c r="H4294" t="s">
        <v>16</v>
      </c>
      <c r="I4294">
        <v>0</v>
      </c>
      <c r="J4294" s="23">
        <v>158359</v>
      </c>
      <c r="K4294">
        <v>2217026</v>
      </c>
    </row>
    <row r="4295" spans="1:11" ht="15" customHeight="1" x14ac:dyDescent="0.3">
      <c r="A4295" t="s">
        <v>22</v>
      </c>
      <c r="B4295" t="s">
        <v>11</v>
      </c>
      <c r="C4295" t="s">
        <v>24</v>
      </c>
      <c r="D4295" t="s">
        <v>13</v>
      </c>
      <c r="E4295">
        <v>-4</v>
      </c>
      <c r="F4295" t="s">
        <v>45</v>
      </c>
      <c r="G4295" t="s">
        <v>15</v>
      </c>
      <c r="H4295" t="s">
        <v>16</v>
      </c>
      <c r="I4295">
        <v>0</v>
      </c>
      <c r="J4295" s="23">
        <v>61340</v>
      </c>
      <c r="K4295" t="s">
        <v>17</v>
      </c>
    </row>
    <row r="4296" spans="1:11" ht="15" customHeight="1" x14ac:dyDescent="0.3">
      <c r="A4296" t="s">
        <v>22</v>
      </c>
      <c r="B4296" t="s">
        <v>11</v>
      </c>
      <c r="C4296" t="s">
        <v>24</v>
      </c>
      <c r="D4296" t="s">
        <v>13</v>
      </c>
      <c r="E4296">
        <v>1</v>
      </c>
      <c r="F4296" t="s">
        <v>35</v>
      </c>
      <c r="G4296" t="s">
        <v>15</v>
      </c>
      <c r="H4296" t="s">
        <v>16</v>
      </c>
      <c r="I4296">
        <v>0</v>
      </c>
      <c r="J4296" s="23">
        <v>713459</v>
      </c>
      <c r="K4296">
        <v>713459</v>
      </c>
    </row>
    <row r="4297" spans="1:11" ht="15" customHeight="1" x14ac:dyDescent="0.3">
      <c r="A4297" t="s">
        <v>18</v>
      </c>
      <c r="B4297" t="s">
        <v>19</v>
      </c>
      <c r="C4297" t="s">
        <v>24</v>
      </c>
      <c r="D4297" t="s">
        <v>20</v>
      </c>
      <c r="E4297">
        <v>28</v>
      </c>
      <c r="F4297"/>
      <c r="G4297" t="s">
        <v>31</v>
      </c>
      <c r="H4297" t="s">
        <v>16</v>
      </c>
      <c r="I4297">
        <v>1</v>
      </c>
      <c r="J4297" s="23">
        <v>12993156</v>
      </c>
      <c r="K4297">
        <v>363808368</v>
      </c>
    </row>
    <row r="4298" spans="1:11" ht="15" customHeight="1" x14ac:dyDescent="0.3">
      <c r="A4298" t="s">
        <v>18</v>
      </c>
      <c r="B4298" t="s">
        <v>11</v>
      </c>
      <c r="C4298" t="s">
        <v>24</v>
      </c>
      <c r="D4298" t="s">
        <v>25</v>
      </c>
      <c r="E4298">
        <v>2</v>
      </c>
      <c r="F4298" t="s">
        <v>35</v>
      </c>
      <c r="G4298" t="s">
        <v>15</v>
      </c>
      <c r="H4298" t="s">
        <v>16</v>
      </c>
      <c r="I4298">
        <v>0</v>
      </c>
      <c r="J4298" s="23">
        <v>2924395</v>
      </c>
      <c r="K4298">
        <v>5848790</v>
      </c>
    </row>
    <row r="4299" spans="1:11" ht="15" customHeight="1" x14ac:dyDescent="0.3">
      <c r="A4299" t="s">
        <v>10</v>
      </c>
      <c r="B4299" t="s">
        <v>11</v>
      </c>
      <c r="C4299" t="s">
        <v>24</v>
      </c>
      <c r="D4299" t="s">
        <v>13</v>
      </c>
      <c r="E4299">
        <v>0</v>
      </c>
      <c r="F4299" t="s">
        <v>49</v>
      </c>
      <c r="G4299" t="s">
        <v>15</v>
      </c>
      <c r="H4299" t="s">
        <v>16</v>
      </c>
      <c r="I4299">
        <v>0</v>
      </c>
      <c r="J4299" s="23">
        <v>129408</v>
      </c>
      <c r="K4299" t="s">
        <v>17</v>
      </c>
    </row>
    <row r="4300" spans="1:11" ht="15" customHeight="1" x14ac:dyDescent="0.3">
      <c r="A4300" t="s">
        <v>18</v>
      </c>
      <c r="B4300" t="s">
        <v>11</v>
      </c>
      <c r="C4300" t="s">
        <v>24</v>
      </c>
      <c r="D4300" t="s">
        <v>28</v>
      </c>
      <c r="E4300">
        <v>4</v>
      </c>
      <c r="F4300" t="s">
        <v>34</v>
      </c>
      <c r="G4300" t="s">
        <v>15</v>
      </c>
      <c r="H4300" t="s">
        <v>16</v>
      </c>
      <c r="I4300">
        <v>0</v>
      </c>
      <c r="J4300" s="23">
        <v>6269155</v>
      </c>
      <c r="K4300">
        <v>25076620</v>
      </c>
    </row>
    <row r="4301" spans="1:11" ht="15" customHeight="1" x14ac:dyDescent="0.3">
      <c r="A4301" t="s">
        <v>18</v>
      </c>
      <c r="B4301" t="s">
        <v>11</v>
      </c>
      <c r="C4301" t="s">
        <v>24</v>
      </c>
      <c r="D4301" t="s">
        <v>25</v>
      </c>
      <c r="E4301">
        <v>7</v>
      </c>
      <c r="F4301" t="s">
        <v>14</v>
      </c>
      <c r="G4301" t="s">
        <v>15</v>
      </c>
      <c r="H4301" t="s">
        <v>16</v>
      </c>
      <c r="I4301">
        <v>0</v>
      </c>
      <c r="J4301" s="23">
        <v>1471948</v>
      </c>
      <c r="K4301">
        <v>10303636</v>
      </c>
    </row>
    <row r="4302" spans="1:11" ht="15" customHeight="1" x14ac:dyDescent="0.3">
      <c r="A4302" t="s">
        <v>18</v>
      </c>
      <c r="B4302" t="s">
        <v>11</v>
      </c>
      <c r="C4302" t="s">
        <v>12</v>
      </c>
      <c r="D4302" t="s">
        <v>28</v>
      </c>
      <c r="E4302">
        <v>9</v>
      </c>
      <c r="F4302" t="s">
        <v>34</v>
      </c>
      <c r="G4302" t="s">
        <v>15</v>
      </c>
      <c r="H4302" t="s">
        <v>32</v>
      </c>
      <c r="I4302">
        <v>1</v>
      </c>
      <c r="J4302" s="23">
        <v>-7044</v>
      </c>
      <c r="K4302" t="s">
        <v>17</v>
      </c>
    </row>
    <row r="4303" spans="1:11" ht="15" customHeight="1" x14ac:dyDescent="0.3">
      <c r="A4303" t="s">
        <v>10</v>
      </c>
      <c r="B4303" t="s">
        <v>11</v>
      </c>
      <c r="C4303" t="s">
        <v>12</v>
      </c>
      <c r="D4303" t="s">
        <v>28</v>
      </c>
      <c r="E4303">
        <v>13</v>
      </c>
      <c r="F4303" t="s">
        <v>21</v>
      </c>
      <c r="G4303" t="s">
        <v>15</v>
      </c>
      <c r="H4303" t="s">
        <v>16</v>
      </c>
      <c r="I4303">
        <v>0</v>
      </c>
      <c r="J4303" s="23">
        <v>-21311</v>
      </c>
      <c r="K4303" t="s">
        <v>17</v>
      </c>
    </row>
    <row r="4304" spans="1:11" ht="15" customHeight="1" x14ac:dyDescent="0.3">
      <c r="A4304" t="s">
        <v>18</v>
      </c>
      <c r="B4304" t="s">
        <v>11</v>
      </c>
      <c r="C4304" t="s">
        <v>12</v>
      </c>
      <c r="D4304" t="s">
        <v>13</v>
      </c>
      <c r="E4304">
        <v>2</v>
      </c>
      <c r="F4304" t="s">
        <v>46</v>
      </c>
      <c r="G4304" t="s">
        <v>15</v>
      </c>
      <c r="H4304" t="s">
        <v>16</v>
      </c>
      <c r="I4304">
        <v>0</v>
      </c>
      <c r="J4304" s="23">
        <v>-93</v>
      </c>
      <c r="K4304" t="s">
        <v>17</v>
      </c>
    </row>
    <row r="4305" spans="1:11" ht="15" customHeight="1" x14ac:dyDescent="0.3">
      <c r="A4305" t="s">
        <v>18</v>
      </c>
      <c r="B4305" t="s">
        <v>11</v>
      </c>
      <c r="C4305" t="s">
        <v>24</v>
      </c>
      <c r="D4305" t="s">
        <v>28</v>
      </c>
      <c r="E4305">
        <v>9</v>
      </c>
      <c r="F4305" t="s">
        <v>42</v>
      </c>
      <c r="G4305" t="s">
        <v>15</v>
      </c>
      <c r="H4305" t="s">
        <v>16</v>
      </c>
      <c r="I4305">
        <v>0</v>
      </c>
      <c r="J4305" s="23">
        <v>10632516</v>
      </c>
      <c r="K4305">
        <v>95692644</v>
      </c>
    </row>
    <row r="4306" spans="1:11" ht="15" customHeight="1" x14ac:dyDescent="0.3">
      <c r="A4306" t="s">
        <v>10</v>
      </c>
      <c r="B4306" t="s">
        <v>11</v>
      </c>
      <c r="C4306" t="s">
        <v>12</v>
      </c>
      <c r="D4306" t="s">
        <v>25</v>
      </c>
      <c r="E4306">
        <v>1</v>
      </c>
      <c r="F4306" t="s">
        <v>33</v>
      </c>
      <c r="G4306" t="s">
        <v>15</v>
      </c>
      <c r="H4306" t="s">
        <v>16</v>
      </c>
      <c r="I4306">
        <v>0</v>
      </c>
      <c r="J4306" s="23">
        <v>-16876</v>
      </c>
      <c r="K4306" t="s">
        <v>17</v>
      </c>
    </row>
    <row r="4307" spans="1:11" ht="15" customHeight="1" x14ac:dyDescent="0.3">
      <c r="A4307" t="s">
        <v>18</v>
      </c>
      <c r="B4307" t="s">
        <v>19</v>
      </c>
      <c r="C4307" t="s">
        <v>24</v>
      </c>
      <c r="D4307" t="s">
        <v>20</v>
      </c>
      <c r="E4307">
        <v>38</v>
      </c>
      <c r="F4307"/>
      <c r="G4307" t="s">
        <v>15</v>
      </c>
      <c r="H4307" t="s">
        <v>16</v>
      </c>
      <c r="I4307">
        <v>0</v>
      </c>
      <c r="J4307" s="23">
        <v>450581613</v>
      </c>
      <c r="K4307">
        <v>17122101294</v>
      </c>
    </row>
    <row r="4308" spans="1:11" ht="15" customHeight="1" x14ac:dyDescent="0.3">
      <c r="A4308" t="s">
        <v>22</v>
      </c>
      <c r="B4308" t="s">
        <v>19</v>
      </c>
      <c r="C4308" t="s">
        <v>12</v>
      </c>
      <c r="D4308" t="s">
        <v>20</v>
      </c>
      <c r="E4308">
        <v>-4</v>
      </c>
      <c r="F4308"/>
      <c r="G4308" t="s">
        <v>15</v>
      </c>
      <c r="H4308" t="s">
        <v>32</v>
      </c>
      <c r="I4308">
        <v>1</v>
      </c>
      <c r="J4308" s="23">
        <v>-472</v>
      </c>
      <c r="K4308" t="s">
        <v>17</v>
      </c>
    </row>
    <row r="4309" spans="1:11" ht="15" customHeight="1" x14ac:dyDescent="0.3">
      <c r="A4309" t="s">
        <v>10</v>
      </c>
      <c r="B4309" t="s">
        <v>19</v>
      </c>
      <c r="C4309" t="s">
        <v>24</v>
      </c>
      <c r="D4309" t="s">
        <v>20</v>
      </c>
      <c r="E4309">
        <v>38</v>
      </c>
      <c r="F4309"/>
      <c r="G4309" t="s">
        <v>31</v>
      </c>
      <c r="H4309" t="s">
        <v>16</v>
      </c>
      <c r="I4309">
        <v>1</v>
      </c>
      <c r="J4309" s="23">
        <v>1470015</v>
      </c>
      <c r="K4309">
        <v>55860570</v>
      </c>
    </row>
    <row r="4310" spans="1:11" ht="15" customHeight="1" x14ac:dyDescent="0.3">
      <c r="A4310" t="s">
        <v>22</v>
      </c>
      <c r="B4310" t="s">
        <v>11</v>
      </c>
      <c r="C4310" t="s">
        <v>12</v>
      </c>
      <c r="D4310" t="s">
        <v>28</v>
      </c>
      <c r="E4310">
        <v>0</v>
      </c>
      <c r="F4310" t="s">
        <v>33</v>
      </c>
      <c r="G4310" t="s">
        <v>15</v>
      </c>
      <c r="H4310" t="s">
        <v>16</v>
      </c>
      <c r="I4310">
        <v>0</v>
      </c>
      <c r="J4310" s="23">
        <v>-1806</v>
      </c>
      <c r="K4310" t="s">
        <v>17</v>
      </c>
    </row>
    <row r="4311" spans="1:11" ht="15" customHeight="1" x14ac:dyDescent="0.3">
      <c r="A4311" t="s">
        <v>18</v>
      </c>
      <c r="B4311" t="s">
        <v>11</v>
      </c>
      <c r="C4311" t="s">
        <v>24</v>
      </c>
      <c r="D4311" t="s">
        <v>25</v>
      </c>
      <c r="E4311">
        <v>4</v>
      </c>
      <c r="F4311" t="s">
        <v>34</v>
      </c>
      <c r="G4311" t="s">
        <v>15</v>
      </c>
      <c r="H4311" t="s">
        <v>16</v>
      </c>
      <c r="I4311">
        <v>0</v>
      </c>
      <c r="J4311" s="23">
        <v>12199210</v>
      </c>
      <c r="K4311">
        <v>48796840</v>
      </c>
    </row>
    <row r="4312" spans="1:11" ht="15" customHeight="1" x14ac:dyDescent="0.3">
      <c r="A4312" t="s">
        <v>22</v>
      </c>
      <c r="B4312" t="s">
        <v>11</v>
      </c>
      <c r="C4312" t="s">
        <v>24</v>
      </c>
      <c r="D4312" t="s">
        <v>28</v>
      </c>
      <c r="E4312">
        <v>0</v>
      </c>
      <c r="F4312" t="s">
        <v>26</v>
      </c>
      <c r="G4312" t="s">
        <v>15</v>
      </c>
      <c r="H4312" t="s">
        <v>16</v>
      </c>
      <c r="I4312">
        <v>0</v>
      </c>
      <c r="J4312" s="23">
        <v>494193</v>
      </c>
      <c r="K4312" t="s">
        <v>17</v>
      </c>
    </row>
    <row r="4313" spans="1:11" ht="15" customHeight="1" x14ac:dyDescent="0.3">
      <c r="A4313" t="s">
        <v>18</v>
      </c>
      <c r="B4313" t="s">
        <v>11</v>
      </c>
      <c r="C4313" t="s">
        <v>12</v>
      </c>
      <c r="D4313" t="s">
        <v>13</v>
      </c>
      <c r="E4313">
        <v>1</v>
      </c>
      <c r="F4313" t="s">
        <v>29</v>
      </c>
      <c r="G4313" t="s">
        <v>15</v>
      </c>
      <c r="H4313" t="s">
        <v>16</v>
      </c>
      <c r="I4313">
        <v>0</v>
      </c>
      <c r="J4313" s="23">
        <v>-498241</v>
      </c>
      <c r="K4313" t="s">
        <v>17</v>
      </c>
    </row>
    <row r="4314" spans="1:11" ht="15" customHeight="1" x14ac:dyDescent="0.3">
      <c r="A4314" t="s">
        <v>18</v>
      </c>
      <c r="B4314" t="s">
        <v>43</v>
      </c>
      <c r="C4314" t="s">
        <v>24</v>
      </c>
      <c r="D4314" t="s">
        <v>28</v>
      </c>
      <c r="E4314">
        <v>-4</v>
      </c>
      <c r="F4314" t="s">
        <v>38</v>
      </c>
      <c r="G4314" t="s">
        <v>15</v>
      </c>
      <c r="H4314" t="s">
        <v>16</v>
      </c>
      <c r="I4314">
        <v>0</v>
      </c>
      <c r="J4314" s="23">
        <v>29</v>
      </c>
      <c r="K4314" t="s">
        <v>17</v>
      </c>
    </row>
    <row r="4315" spans="1:11" ht="15" customHeight="1" x14ac:dyDescent="0.3">
      <c r="A4315" t="s">
        <v>22</v>
      </c>
      <c r="B4315" t="s">
        <v>19</v>
      </c>
      <c r="C4315" t="s">
        <v>12</v>
      </c>
      <c r="D4315" t="s">
        <v>28</v>
      </c>
      <c r="E4315">
        <v>0</v>
      </c>
      <c r="F4315"/>
      <c r="G4315" t="s">
        <v>15</v>
      </c>
      <c r="H4315" t="s">
        <v>16</v>
      </c>
      <c r="I4315">
        <v>0</v>
      </c>
      <c r="J4315" s="23">
        <v>-44658</v>
      </c>
      <c r="K4315" t="s">
        <v>17</v>
      </c>
    </row>
    <row r="4316" spans="1:11" ht="15" customHeight="1" x14ac:dyDescent="0.3">
      <c r="A4316" t="s">
        <v>10</v>
      </c>
      <c r="B4316" t="s">
        <v>11</v>
      </c>
      <c r="C4316" t="s">
        <v>12</v>
      </c>
      <c r="D4316" t="s">
        <v>13</v>
      </c>
      <c r="E4316">
        <v>3</v>
      </c>
      <c r="F4316" t="s">
        <v>35</v>
      </c>
      <c r="G4316" t="s">
        <v>15</v>
      </c>
      <c r="H4316" t="s">
        <v>16</v>
      </c>
      <c r="I4316">
        <v>0</v>
      </c>
      <c r="J4316" s="23">
        <v>-99018</v>
      </c>
      <c r="K4316" t="s">
        <v>17</v>
      </c>
    </row>
    <row r="4317" spans="1:11" ht="15" customHeight="1" x14ac:dyDescent="0.3">
      <c r="A4317" t="s">
        <v>10</v>
      </c>
      <c r="B4317" t="s">
        <v>11</v>
      </c>
      <c r="C4317" t="s">
        <v>24</v>
      </c>
      <c r="D4317" t="s">
        <v>28</v>
      </c>
      <c r="E4317">
        <v>1</v>
      </c>
      <c r="F4317" t="s">
        <v>34</v>
      </c>
      <c r="G4317" t="s">
        <v>15</v>
      </c>
      <c r="H4317" t="s">
        <v>32</v>
      </c>
      <c r="I4317">
        <v>1</v>
      </c>
      <c r="J4317" s="23">
        <v>31823</v>
      </c>
      <c r="K4317">
        <v>31823</v>
      </c>
    </row>
    <row r="4318" spans="1:11" ht="15" customHeight="1" x14ac:dyDescent="0.3">
      <c r="A4318" t="s">
        <v>10</v>
      </c>
      <c r="B4318" t="s">
        <v>11</v>
      </c>
      <c r="C4318" t="s">
        <v>24</v>
      </c>
      <c r="D4318" t="s">
        <v>25</v>
      </c>
      <c r="E4318">
        <v>1</v>
      </c>
      <c r="F4318" t="s">
        <v>23</v>
      </c>
      <c r="G4318" t="s">
        <v>15</v>
      </c>
      <c r="H4318" t="s">
        <v>16</v>
      </c>
      <c r="I4318">
        <v>0</v>
      </c>
      <c r="J4318" s="23">
        <v>145695</v>
      </c>
      <c r="K4318">
        <v>145695</v>
      </c>
    </row>
    <row r="4319" spans="1:11" ht="15" customHeight="1" x14ac:dyDescent="0.3">
      <c r="A4319" t="s">
        <v>18</v>
      </c>
      <c r="B4319" t="s">
        <v>11</v>
      </c>
      <c r="C4319" t="s">
        <v>12</v>
      </c>
      <c r="D4319" t="s">
        <v>13</v>
      </c>
      <c r="E4319">
        <v>0</v>
      </c>
      <c r="F4319" t="s">
        <v>40</v>
      </c>
      <c r="G4319" t="s">
        <v>15</v>
      </c>
      <c r="H4319" t="s">
        <v>16</v>
      </c>
      <c r="I4319">
        <v>0</v>
      </c>
      <c r="J4319" s="23">
        <v>-342639</v>
      </c>
      <c r="K4319" t="s">
        <v>17</v>
      </c>
    </row>
    <row r="4320" spans="1:11" ht="15" customHeight="1" x14ac:dyDescent="0.3">
      <c r="A4320" t="s">
        <v>18</v>
      </c>
      <c r="B4320" t="s">
        <v>19</v>
      </c>
      <c r="C4320" t="s">
        <v>12</v>
      </c>
      <c r="D4320" t="s">
        <v>20</v>
      </c>
      <c r="E4320">
        <v>21</v>
      </c>
      <c r="F4320"/>
      <c r="G4320" t="s">
        <v>15</v>
      </c>
      <c r="H4320" t="s">
        <v>16</v>
      </c>
      <c r="I4320">
        <v>0</v>
      </c>
      <c r="J4320" s="23">
        <v>-370736</v>
      </c>
      <c r="K4320" t="s">
        <v>17</v>
      </c>
    </row>
    <row r="4321" spans="1:11" ht="15" customHeight="1" x14ac:dyDescent="0.3">
      <c r="A4321" t="s">
        <v>22</v>
      </c>
      <c r="B4321" t="s">
        <v>11</v>
      </c>
      <c r="C4321" t="s">
        <v>12</v>
      </c>
      <c r="D4321" t="s">
        <v>13</v>
      </c>
      <c r="E4321">
        <v>9</v>
      </c>
      <c r="F4321" t="s">
        <v>34</v>
      </c>
      <c r="G4321" t="s">
        <v>15</v>
      </c>
      <c r="H4321" t="s">
        <v>16</v>
      </c>
      <c r="I4321">
        <v>0</v>
      </c>
      <c r="J4321" s="23">
        <v>-4588697</v>
      </c>
      <c r="K4321" t="s">
        <v>17</v>
      </c>
    </row>
    <row r="4322" spans="1:11" ht="15" customHeight="1" x14ac:dyDescent="0.3">
      <c r="A4322" t="s">
        <v>22</v>
      </c>
      <c r="B4322" t="s">
        <v>19</v>
      </c>
      <c r="C4322" t="s">
        <v>12</v>
      </c>
      <c r="D4322" t="s">
        <v>28</v>
      </c>
      <c r="E4322">
        <v>11</v>
      </c>
      <c r="F4322"/>
      <c r="G4322" t="s">
        <v>15</v>
      </c>
      <c r="H4322" t="s">
        <v>16</v>
      </c>
      <c r="I4322">
        <v>0</v>
      </c>
      <c r="J4322" s="23">
        <v>-17854</v>
      </c>
      <c r="K4322" t="s">
        <v>17</v>
      </c>
    </row>
    <row r="4323" spans="1:11" ht="15" customHeight="1" x14ac:dyDescent="0.3">
      <c r="A4323" t="s">
        <v>10</v>
      </c>
      <c r="B4323" t="s">
        <v>11</v>
      </c>
      <c r="C4323" t="s">
        <v>24</v>
      </c>
      <c r="D4323" t="s">
        <v>13</v>
      </c>
      <c r="E4323">
        <v>-1</v>
      </c>
      <c r="F4323" t="s">
        <v>41</v>
      </c>
      <c r="G4323" t="s">
        <v>15</v>
      </c>
      <c r="H4323" t="s">
        <v>16</v>
      </c>
      <c r="I4323">
        <v>0</v>
      </c>
      <c r="J4323" s="23">
        <v>575160</v>
      </c>
      <c r="K4323" t="s">
        <v>17</v>
      </c>
    </row>
    <row r="4324" spans="1:11" ht="15" customHeight="1" x14ac:dyDescent="0.3">
      <c r="A4324" t="s">
        <v>22</v>
      </c>
      <c r="B4324" t="s">
        <v>11</v>
      </c>
      <c r="C4324" t="s">
        <v>12</v>
      </c>
      <c r="D4324" t="s">
        <v>25</v>
      </c>
      <c r="E4324">
        <v>1</v>
      </c>
      <c r="F4324" t="s">
        <v>23</v>
      </c>
      <c r="G4324" t="s">
        <v>15</v>
      </c>
      <c r="H4324" t="s">
        <v>16</v>
      </c>
      <c r="I4324">
        <v>0</v>
      </c>
      <c r="J4324" s="23">
        <v>-40849</v>
      </c>
      <c r="K4324" t="s">
        <v>17</v>
      </c>
    </row>
    <row r="4325" spans="1:11" ht="15" customHeight="1" x14ac:dyDescent="0.3">
      <c r="A4325" t="s">
        <v>18</v>
      </c>
      <c r="B4325" t="s">
        <v>11</v>
      </c>
      <c r="C4325" t="s">
        <v>24</v>
      </c>
      <c r="D4325" t="s">
        <v>13</v>
      </c>
      <c r="E4325">
        <v>10</v>
      </c>
      <c r="F4325" t="s">
        <v>26</v>
      </c>
      <c r="G4325" t="s">
        <v>15</v>
      </c>
      <c r="H4325" t="s">
        <v>16</v>
      </c>
      <c r="I4325">
        <v>0</v>
      </c>
      <c r="J4325" s="23">
        <v>1653310</v>
      </c>
      <c r="K4325">
        <v>16533100</v>
      </c>
    </row>
    <row r="4326" spans="1:11" ht="15" customHeight="1" x14ac:dyDescent="0.3">
      <c r="A4326" t="s">
        <v>22</v>
      </c>
      <c r="B4326" t="s">
        <v>11</v>
      </c>
      <c r="C4326" t="s">
        <v>12</v>
      </c>
      <c r="D4326" t="s">
        <v>28</v>
      </c>
      <c r="E4326">
        <v>8</v>
      </c>
      <c r="F4326" t="s">
        <v>26</v>
      </c>
      <c r="G4326" t="s">
        <v>15</v>
      </c>
      <c r="H4326" t="s">
        <v>16</v>
      </c>
      <c r="I4326">
        <v>0</v>
      </c>
      <c r="J4326" s="23">
        <v>-243138</v>
      </c>
      <c r="K4326" t="s">
        <v>17</v>
      </c>
    </row>
    <row r="4327" spans="1:11" ht="15" customHeight="1" x14ac:dyDescent="0.3">
      <c r="A4327" t="s">
        <v>18</v>
      </c>
      <c r="B4327" t="s">
        <v>11</v>
      </c>
      <c r="C4327" t="s">
        <v>12</v>
      </c>
      <c r="D4327" t="s">
        <v>28</v>
      </c>
      <c r="E4327">
        <v>4</v>
      </c>
      <c r="F4327" t="s">
        <v>37</v>
      </c>
      <c r="G4327" t="s">
        <v>15</v>
      </c>
      <c r="H4327" t="s">
        <v>16</v>
      </c>
      <c r="I4327">
        <v>0</v>
      </c>
      <c r="J4327" s="23">
        <v>-25</v>
      </c>
      <c r="K4327" t="s">
        <v>17</v>
      </c>
    </row>
    <row r="4328" spans="1:11" ht="15" customHeight="1" x14ac:dyDescent="0.3">
      <c r="A4328" t="s">
        <v>10</v>
      </c>
      <c r="B4328" t="s">
        <v>11</v>
      </c>
      <c r="C4328" t="s">
        <v>12</v>
      </c>
      <c r="D4328" t="s">
        <v>13</v>
      </c>
      <c r="E4328">
        <v>4</v>
      </c>
      <c r="F4328" t="s">
        <v>41</v>
      </c>
      <c r="G4328" t="s">
        <v>15</v>
      </c>
      <c r="H4328" t="s">
        <v>16</v>
      </c>
      <c r="I4328">
        <v>0</v>
      </c>
      <c r="J4328" s="23">
        <v>-11837</v>
      </c>
      <c r="K4328" t="s">
        <v>17</v>
      </c>
    </row>
    <row r="4329" spans="1:11" ht="15" customHeight="1" x14ac:dyDescent="0.3">
      <c r="A4329" t="s">
        <v>10</v>
      </c>
      <c r="B4329" t="s">
        <v>11</v>
      </c>
      <c r="C4329" t="s">
        <v>24</v>
      </c>
      <c r="D4329" t="s">
        <v>25</v>
      </c>
      <c r="E4329">
        <v>-1</v>
      </c>
      <c r="F4329" t="s">
        <v>26</v>
      </c>
      <c r="G4329" t="s">
        <v>15</v>
      </c>
      <c r="H4329" t="s">
        <v>16</v>
      </c>
      <c r="I4329">
        <v>0</v>
      </c>
      <c r="J4329" s="23">
        <v>3440200</v>
      </c>
      <c r="K4329" t="s">
        <v>17</v>
      </c>
    </row>
    <row r="4330" spans="1:11" ht="15" customHeight="1" x14ac:dyDescent="0.3">
      <c r="A4330" t="s">
        <v>10</v>
      </c>
      <c r="B4330" t="s">
        <v>11</v>
      </c>
      <c r="C4330" t="s">
        <v>12</v>
      </c>
      <c r="D4330" t="s">
        <v>25</v>
      </c>
      <c r="E4330">
        <v>4</v>
      </c>
      <c r="F4330" t="s">
        <v>29</v>
      </c>
      <c r="G4330" t="s">
        <v>15</v>
      </c>
      <c r="H4330" t="s">
        <v>16</v>
      </c>
      <c r="I4330">
        <v>0</v>
      </c>
      <c r="J4330" s="23">
        <v>-180967</v>
      </c>
      <c r="K4330" t="s">
        <v>17</v>
      </c>
    </row>
    <row r="4331" spans="1:11" ht="15" customHeight="1" x14ac:dyDescent="0.3">
      <c r="A4331" t="s">
        <v>22</v>
      </c>
      <c r="B4331" t="s">
        <v>11</v>
      </c>
      <c r="C4331" t="s">
        <v>24</v>
      </c>
      <c r="D4331" t="s">
        <v>13</v>
      </c>
      <c r="E4331">
        <v>3</v>
      </c>
      <c r="F4331" t="s">
        <v>27</v>
      </c>
      <c r="G4331" t="s">
        <v>15</v>
      </c>
      <c r="H4331" t="s">
        <v>16</v>
      </c>
      <c r="I4331">
        <v>0</v>
      </c>
      <c r="J4331" s="23">
        <v>82260</v>
      </c>
      <c r="K4331">
        <v>246780</v>
      </c>
    </row>
    <row r="4332" spans="1:11" ht="15" customHeight="1" x14ac:dyDescent="0.3">
      <c r="A4332" t="s">
        <v>10</v>
      </c>
      <c r="B4332" t="s">
        <v>11</v>
      </c>
      <c r="C4332" t="s">
        <v>12</v>
      </c>
      <c r="D4332" t="s">
        <v>13</v>
      </c>
      <c r="E4332">
        <v>-4</v>
      </c>
      <c r="F4332" t="s">
        <v>40</v>
      </c>
      <c r="G4332" t="s">
        <v>15</v>
      </c>
      <c r="H4332" t="s">
        <v>16</v>
      </c>
      <c r="I4332">
        <v>0</v>
      </c>
      <c r="J4332" s="23">
        <v>-22613</v>
      </c>
      <c r="K4332" t="s">
        <v>17</v>
      </c>
    </row>
    <row r="4333" spans="1:11" ht="15" customHeight="1" x14ac:dyDescent="0.3">
      <c r="A4333" t="s">
        <v>18</v>
      </c>
      <c r="B4333" t="s">
        <v>19</v>
      </c>
      <c r="C4333" t="s">
        <v>24</v>
      </c>
      <c r="D4333" t="s">
        <v>20</v>
      </c>
      <c r="E4333">
        <v>32</v>
      </c>
      <c r="F4333"/>
      <c r="G4333" t="s">
        <v>15</v>
      </c>
      <c r="H4333" t="s">
        <v>16</v>
      </c>
      <c r="I4333">
        <v>0</v>
      </c>
      <c r="J4333" s="23">
        <v>803205459</v>
      </c>
      <c r="K4333">
        <v>25702574688</v>
      </c>
    </row>
    <row r="4334" spans="1:11" ht="15" customHeight="1" x14ac:dyDescent="0.3">
      <c r="A4334" t="s">
        <v>18</v>
      </c>
      <c r="B4334" t="s">
        <v>11</v>
      </c>
      <c r="C4334" t="s">
        <v>24</v>
      </c>
      <c r="D4334" t="s">
        <v>13</v>
      </c>
      <c r="E4334">
        <v>5</v>
      </c>
      <c r="F4334" t="s">
        <v>23</v>
      </c>
      <c r="G4334" t="s">
        <v>15</v>
      </c>
      <c r="H4334" t="s">
        <v>16</v>
      </c>
      <c r="I4334">
        <v>0</v>
      </c>
      <c r="J4334" s="23">
        <v>17654384</v>
      </c>
      <c r="K4334">
        <v>88271920</v>
      </c>
    </row>
    <row r="4335" spans="1:11" ht="15" customHeight="1" x14ac:dyDescent="0.3">
      <c r="A4335" t="s">
        <v>10</v>
      </c>
      <c r="B4335" t="s">
        <v>11</v>
      </c>
      <c r="C4335" t="s">
        <v>12</v>
      </c>
      <c r="D4335" t="s">
        <v>25</v>
      </c>
      <c r="E4335">
        <v>3</v>
      </c>
      <c r="F4335" t="s">
        <v>29</v>
      </c>
      <c r="G4335" t="s">
        <v>15</v>
      </c>
      <c r="H4335" t="s">
        <v>16</v>
      </c>
      <c r="I4335">
        <v>0</v>
      </c>
      <c r="J4335" s="23">
        <v>-146980</v>
      </c>
      <c r="K4335" t="s">
        <v>17</v>
      </c>
    </row>
    <row r="4336" spans="1:11" ht="15" customHeight="1" x14ac:dyDescent="0.3">
      <c r="A4336" t="s">
        <v>18</v>
      </c>
      <c r="B4336" t="s">
        <v>19</v>
      </c>
      <c r="C4336" t="s">
        <v>12</v>
      </c>
      <c r="D4336" t="s">
        <v>28</v>
      </c>
      <c r="E4336">
        <v>5</v>
      </c>
      <c r="F4336"/>
      <c r="G4336" t="s">
        <v>15</v>
      </c>
      <c r="H4336" t="s">
        <v>32</v>
      </c>
      <c r="I4336">
        <v>1</v>
      </c>
      <c r="J4336" s="23">
        <v>-2842</v>
      </c>
      <c r="K4336" t="s">
        <v>17</v>
      </c>
    </row>
    <row r="4337" spans="1:11" ht="15" customHeight="1" x14ac:dyDescent="0.3">
      <c r="A4337" t="s">
        <v>22</v>
      </c>
      <c r="B4337" t="s">
        <v>11</v>
      </c>
      <c r="C4337" t="s">
        <v>24</v>
      </c>
      <c r="D4337" t="s">
        <v>13</v>
      </c>
      <c r="E4337">
        <v>5</v>
      </c>
      <c r="F4337" t="s">
        <v>29</v>
      </c>
      <c r="G4337" t="s">
        <v>15</v>
      </c>
      <c r="H4337" t="s">
        <v>16</v>
      </c>
      <c r="I4337">
        <v>0</v>
      </c>
      <c r="J4337" s="23">
        <v>3140919</v>
      </c>
      <c r="K4337">
        <v>15704595</v>
      </c>
    </row>
    <row r="4338" spans="1:11" ht="15" customHeight="1" x14ac:dyDescent="0.3">
      <c r="A4338" t="s">
        <v>18</v>
      </c>
      <c r="B4338" t="s">
        <v>11</v>
      </c>
      <c r="C4338" t="s">
        <v>24</v>
      </c>
      <c r="D4338" t="s">
        <v>13</v>
      </c>
      <c r="E4338">
        <v>-1</v>
      </c>
      <c r="F4338" t="s">
        <v>45</v>
      </c>
      <c r="G4338" t="s">
        <v>15</v>
      </c>
      <c r="H4338" t="s">
        <v>16</v>
      </c>
      <c r="I4338">
        <v>0</v>
      </c>
      <c r="J4338" s="23">
        <v>4635753</v>
      </c>
      <c r="K4338" t="s">
        <v>17</v>
      </c>
    </row>
    <row r="4339" spans="1:11" ht="15" customHeight="1" x14ac:dyDescent="0.3">
      <c r="A4339" t="s">
        <v>18</v>
      </c>
      <c r="B4339" t="s">
        <v>19</v>
      </c>
      <c r="C4339" t="s">
        <v>12</v>
      </c>
      <c r="D4339" t="s">
        <v>20</v>
      </c>
      <c r="E4339">
        <v>9</v>
      </c>
      <c r="F4339"/>
      <c r="G4339" t="s">
        <v>15</v>
      </c>
      <c r="H4339" t="s">
        <v>32</v>
      </c>
      <c r="I4339">
        <v>1</v>
      </c>
      <c r="J4339" s="23">
        <v>-614</v>
      </c>
      <c r="K4339" t="s">
        <v>17</v>
      </c>
    </row>
    <row r="4340" spans="1:11" ht="15" customHeight="1" x14ac:dyDescent="0.3">
      <c r="A4340" t="s">
        <v>22</v>
      </c>
      <c r="B4340" t="s">
        <v>11</v>
      </c>
      <c r="C4340" t="s">
        <v>12</v>
      </c>
      <c r="D4340" t="s">
        <v>13</v>
      </c>
      <c r="E4340">
        <v>5</v>
      </c>
      <c r="F4340" t="s">
        <v>29</v>
      </c>
      <c r="G4340" t="s">
        <v>15</v>
      </c>
      <c r="H4340" t="s">
        <v>16</v>
      </c>
      <c r="I4340">
        <v>0</v>
      </c>
      <c r="J4340" s="23">
        <v>-2512659</v>
      </c>
      <c r="K4340" t="s">
        <v>17</v>
      </c>
    </row>
    <row r="4341" spans="1:11" ht="15" customHeight="1" x14ac:dyDescent="0.3">
      <c r="A4341" t="s">
        <v>18</v>
      </c>
      <c r="B4341" t="s">
        <v>19</v>
      </c>
      <c r="C4341" t="s">
        <v>24</v>
      </c>
      <c r="D4341" t="s">
        <v>28</v>
      </c>
      <c r="E4341">
        <v>13</v>
      </c>
      <c r="F4341"/>
      <c r="G4341" t="s">
        <v>31</v>
      </c>
      <c r="H4341" t="s">
        <v>16</v>
      </c>
      <c r="I4341">
        <v>1</v>
      </c>
      <c r="J4341" s="23">
        <v>119064</v>
      </c>
      <c r="K4341">
        <v>1547832</v>
      </c>
    </row>
    <row r="4342" spans="1:11" ht="15" customHeight="1" x14ac:dyDescent="0.3">
      <c r="A4342" t="s">
        <v>22</v>
      </c>
      <c r="B4342" t="s">
        <v>19</v>
      </c>
      <c r="C4342" t="s">
        <v>12</v>
      </c>
      <c r="D4342" t="s">
        <v>20</v>
      </c>
      <c r="E4342">
        <v>34</v>
      </c>
      <c r="F4342"/>
      <c r="G4342" t="s">
        <v>15</v>
      </c>
      <c r="H4342" t="s">
        <v>16</v>
      </c>
      <c r="I4342">
        <v>0</v>
      </c>
      <c r="J4342" s="23">
        <v>-1241594</v>
      </c>
      <c r="K4342" t="s">
        <v>17</v>
      </c>
    </row>
    <row r="4343" spans="1:11" ht="15" customHeight="1" x14ac:dyDescent="0.3">
      <c r="A4343" t="s">
        <v>18</v>
      </c>
      <c r="B4343" t="s">
        <v>19</v>
      </c>
      <c r="C4343" t="s">
        <v>24</v>
      </c>
      <c r="D4343" t="s">
        <v>20</v>
      </c>
      <c r="E4343">
        <v>13</v>
      </c>
      <c r="F4343"/>
      <c r="G4343" t="s">
        <v>15</v>
      </c>
      <c r="H4343" t="s">
        <v>32</v>
      </c>
      <c r="I4343">
        <v>1</v>
      </c>
      <c r="J4343" s="23">
        <v>1016656</v>
      </c>
      <c r="K4343">
        <v>13216528</v>
      </c>
    </row>
    <row r="4344" spans="1:11" ht="15" customHeight="1" x14ac:dyDescent="0.3">
      <c r="A4344" t="s">
        <v>18</v>
      </c>
      <c r="B4344" t="s">
        <v>11</v>
      </c>
      <c r="C4344" t="s">
        <v>24</v>
      </c>
      <c r="D4344" t="s">
        <v>28</v>
      </c>
      <c r="E4344">
        <v>10</v>
      </c>
      <c r="F4344" t="s">
        <v>29</v>
      </c>
      <c r="G4344" t="s">
        <v>15</v>
      </c>
      <c r="H4344" t="s">
        <v>16</v>
      </c>
      <c r="I4344">
        <v>0</v>
      </c>
      <c r="J4344" s="23">
        <v>2799688</v>
      </c>
      <c r="K4344">
        <v>27996880</v>
      </c>
    </row>
    <row r="4345" spans="1:11" ht="15" customHeight="1" x14ac:dyDescent="0.3">
      <c r="A4345" t="s">
        <v>10</v>
      </c>
      <c r="B4345" t="s">
        <v>11</v>
      </c>
      <c r="C4345" t="s">
        <v>12</v>
      </c>
      <c r="D4345" t="s">
        <v>13</v>
      </c>
      <c r="E4345">
        <v>2</v>
      </c>
      <c r="F4345" t="s">
        <v>30</v>
      </c>
      <c r="G4345" t="s">
        <v>15</v>
      </c>
      <c r="H4345" t="s">
        <v>16</v>
      </c>
      <c r="I4345">
        <v>0</v>
      </c>
      <c r="J4345" s="23">
        <v>-215681</v>
      </c>
      <c r="K4345" t="s">
        <v>17</v>
      </c>
    </row>
    <row r="4346" spans="1:11" ht="15" customHeight="1" x14ac:dyDescent="0.3">
      <c r="A4346" t="s">
        <v>10</v>
      </c>
      <c r="B4346" t="s">
        <v>19</v>
      </c>
      <c r="C4346" t="s">
        <v>12</v>
      </c>
      <c r="D4346" t="s">
        <v>28</v>
      </c>
      <c r="E4346">
        <v>-4</v>
      </c>
      <c r="F4346"/>
      <c r="G4346" t="s">
        <v>15</v>
      </c>
      <c r="H4346" t="s">
        <v>32</v>
      </c>
      <c r="I4346">
        <v>1</v>
      </c>
      <c r="J4346" s="23">
        <v>-62</v>
      </c>
      <c r="K4346" t="s">
        <v>17</v>
      </c>
    </row>
    <row r="4347" spans="1:11" ht="15" customHeight="1" x14ac:dyDescent="0.3">
      <c r="A4347" t="s">
        <v>18</v>
      </c>
      <c r="B4347" t="s">
        <v>11</v>
      </c>
      <c r="C4347" t="s">
        <v>12</v>
      </c>
      <c r="D4347" t="s">
        <v>25</v>
      </c>
      <c r="E4347">
        <v>5</v>
      </c>
      <c r="F4347" t="s">
        <v>29</v>
      </c>
      <c r="G4347" t="s">
        <v>15</v>
      </c>
      <c r="H4347" t="s">
        <v>16</v>
      </c>
      <c r="I4347">
        <v>0</v>
      </c>
      <c r="J4347" s="23">
        <v>-31811</v>
      </c>
      <c r="K4347" t="s">
        <v>17</v>
      </c>
    </row>
    <row r="4348" spans="1:11" ht="15" customHeight="1" x14ac:dyDescent="0.3">
      <c r="A4348" t="s">
        <v>18</v>
      </c>
      <c r="B4348" t="s">
        <v>11</v>
      </c>
      <c r="C4348" t="s">
        <v>12</v>
      </c>
      <c r="D4348" t="s">
        <v>28</v>
      </c>
      <c r="E4348">
        <v>6</v>
      </c>
      <c r="F4348" t="s">
        <v>41</v>
      </c>
      <c r="G4348" t="s">
        <v>15</v>
      </c>
      <c r="H4348" t="s">
        <v>32</v>
      </c>
      <c r="I4348">
        <v>1</v>
      </c>
      <c r="J4348" s="23">
        <v>-76</v>
      </c>
      <c r="K4348" t="s">
        <v>17</v>
      </c>
    </row>
    <row r="4349" spans="1:11" ht="15" customHeight="1" x14ac:dyDescent="0.3">
      <c r="A4349" t="s">
        <v>18</v>
      </c>
      <c r="B4349" t="s">
        <v>11</v>
      </c>
      <c r="C4349" t="s">
        <v>24</v>
      </c>
      <c r="D4349" t="s">
        <v>28</v>
      </c>
      <c r="E4349">
        <v>7</v>
      </c>
      <c r="F4349" t="s">
        <v>39</v>
      </c>
      <c r="G4349" t="s">
        <v>15</v>
      </c>
      <c r="H4349" t="s">
        <v>16</v>
      </c>
      <c r="I4349">
        <v>0</v>
      </c>
      <c r="J4349" s="23">
        <v>506793</v>
      </c>
      <c r="K4349">
        <v>3547551</v>
      </c>
    </row>
    <row r="4350" spans="1:11" ht="15" customHeight="1" x14ac:dyDescent="0.3">
      <c r="A4350" t="s">
        <v>10</v>
      </c>
      <c r="B4350" t="s">
        <v>11</v>
      </c>
      <c r="C4350" t="s">
        <v>12</v>
      </c>
      <c r="D4350" t="s">
        <v>13</v>
      </c>
      <c r="E4350">
        <v>1</v>
      </c>
      <c r="F4350" t="s">
        <v>14</v>
      </c>
      <c r="G4350" t="s">
        <v>15</v>
      </c>
      <c r="H4350" t="s">
        <v>16</v>
      </c>
      <c r="I4350">
        <v>0</v>
      </c>
      <c r="J4350" s="23">
        <v>-61654</v>
      </c>
      <c r="K4350" t="s">
        <v>17</v>
      </c>
    </row>
    <row r="4351" spans="1:11" ht="15" customHeight="1" x14ac:dyDescent="0.3">
      <c r="A4351" t="s">
        <v>18</v>
      </c>
      <c r="B4351" t="s">
        <v>11</v>
      </c>
      <c r="C4351" t="s">
        <v>12</v>
      </c>
      <c r="D4351" t="s">
        <v>13</v>
      </c>
      <c r="E4351">
        <v>6</v>
      </c>
      <c r="F4351" t="s">
        <v>23</v>
      </c>
      <c r="G4351" t="s">
        <v>15</v>
      </c>
      <c r="H4351" t="s">
        <v>16</v>
      </c>
      <c r="I4351">
        <v>0</v>
      </c>
      <c r="J4351" s="23">
        <v>-6501</v>
      </c>
      <c r="K4351" t="s">
        <v>17</v>
      </c>
    </row>
    <row r="4352" spans="1:11" ht="15" customHeight="1" x14ac:dyDescent="0.3">
      <c r="A4352" t="s">
        <v>22</v>
      </c>
      <c r="B4352" t="s">
        <v>11</v>
      </c>
      <c r="C4352" t="s">
        <v>24</v>
      </c>
      <c r="D4352" t="s">
        <v>13</v>
      </c>
      <c r="E4352">
        <v>13</v>
      </c>
      <c r="F4352" t="s">
        <v>34</v>
      </c>
      <c r="G4352" t="s">
        <v>15</v>
      </c>
      <c r="H4352" t="s">
        <v>16</v>
      </c>
      <c r="I4352">
        <v>0</v>
      </c>
      <c r="J4352" s="23">
        <v>64489</v>
      </c>
      <c r="K4352">
        <v>838357</v>
      </c>
    </row>
    <row r="4353" spans="1:11" ht="15" customHeight="1" x14ac:dyDescent="0.3">
      <c r="A4353" t="s">
        <v>22</v>
      </c>
      <c r="B4353" t="s">
        <v>19</v>
      </c>
      <c r="C4353" t="s">
        <v>24</v>
      </c>
      <c r="D4353" t="s">
        <v>20</v>
      </c>
      <c r="E4353">
        <v>4</v>
      </c>
      <c r="F4353"/>
      <c r="G4353" t="s">
        <v>31</v>
      </c>
      <c r="H4353" t="s">
        <v>16</v>
      </c>
      <c r="I4353">
        <v>1</v>
      </c>
      <c r="J4353" s="23">
        <v>33115</v>
      </c>
      <c r="K4353">
        <v>132460</v>
      </c>
    </row>
    <row r="4354" spans="1:11" ht="15" customHeight="1" x14ac:dyDescent="0.3">
      <c r="A4354" t="s">
        <v>18</v>
      </c>
      <c r="B4354" t="s">
        <v>11</v>
      </c>
      <c r="C4354" t="s">
        <v>24</v>
      </c>
      <c r="D4354" t="s">
        <v>28</v>
      </c>
      <c r="E4354">
        <v>6</v>
      </c>
      <c r="F4354" t="s">
        <v>42</v>
      </c>
      <c r="G4354" t="s">
        <v>15</v>
      </c>
      <c r="H4354" t="s">
        <v>16</v>
      </c>
      <c r="I4354">
        <v>0</v>
      </c>
      <c r="J4354" s="23">
        <v>7743104</v>
      </c>
      <c r="K4354">
        <v>46458624</v>
      </c>
    </row>
    <row r="4355" spans="1:11" ht="15" customHeight="1" x14ac:dyDescent="0.3">
      <c r="A4355" t="s">
        <v>22</v>
      </c>
      <c r="B4355" t="s">
        <v>11</v>
      </c>
      <c r="C4355" t="s">
        <v>12</v>
      </c>
      <c r="D4355" t="s">
        <v>13</v>
      </c>
      <c r="E4355">
        <v>11</v>
      </c>
      <c r="F4355" t="s">
        <v>40</v>
      </c>
      <c r="G4355" t="s">
        <v>15</v>
      </c>
      <c r="H4355" t="s">
        <v>16</v>
      </c>
      <c r="I4355">
        <v>0</v>
      </c>
      <c r="J4355" s="23">
        <v>-12456154</v>
      </c>
      <c r="K4355" t="s">
        <v>17</v>
      </c>
    </row>
    <row r="4356" spans="1:11" ht="15" customHeight="1" x14ac:dyDescent="0.3">
      <c r="A4356" t="s">
        <v>10</v>
      </c>
      <c r="B4356" t="s">
        <v>11</v>
      </c>
      <c r="C4356" t="s">
        <v>12</v>
      </c>
      <c r="D4356" t="s">
        <v>25</v>
      </c>
      <c r="E4356">
        <v>5</v>
      </c>
      <c r="F4356" t="s">
        <v>29</v>
      </c>
      <c r="G4356" t="s">
        <v>15</v>
      </c>
      <c r="H4356" t="s">
        <v>16</v>
      </c>
      <c r="I4356">
        <v>0</v>
      </c>
      <c r="J4356" s="23">
        <v>-111519</v>
      </c>
      <c r="K4356" t="s">
        <v>17</v>
      </c>
    </row>
    <row r="4357" spans="1:11" ht="15" customHeight="1" x14ac:dyDescent="0.3">
      <c r="A4357" t="s">
        <v>10</v>
      </c>
      <c r="B4357" t="s">
        <v>11</v>
      </c>
      <c r="C4357" t="s">
        <v>12</v>
      </c>
      <c r="D4357" t="s">
        <v>25</v>
      </c>
      <c r="E4357">
        <v>4</v>
      </c>
      <c r="F4357" t="s">
        <v>27</v>
      </c>
      <c r="G4357" t="s">
        <v>15</v>
      </c>
      <c r="H4357" t="s">
        <v>16</v>
      </c>
      <c r="I4357">
        <v>0</v>
      </c>
      <c r="J4357" s="23">
        <v>-14913</v>
      </c>
      <c r="K4357" t="s">
        <v>17</v>
      </c>
    </row>
    <row r="4358" spans="1:11" ht="15" customHeight="1" x14ac:dyDescent="0.3">
      <c r="A4358" t="s">
        <v>22</v>
      </c>
      <c r="B4358" t="s">
        <v>11</v>
      </c>
      <c r="C4358" t="s">
        <v>24</v>
      </c>
      <c r="D4358" t="s">
        <v>13</v>
      </c>
      <c r="E4358">
        <v>3</v>
      </c>
      <c r="F4358" t="s">
        <v>29</v>
      </c>
      <c r="G4358" t="s">
        <v>15</v>
      </c>
      <c r="H4358" t="s">
        <v>16</v>
      </c>
      <c r="I4358">
        <v>0</v>
      </c>
      <c r="J4358" s="23">
        <v>7221752</v>
      </c>
      <c r="K4358">
        <v>21665256</v>
      </c>
    </row>
    <row r="4359" spans="1:11" ht="15" customHeight="1" x14ac:dyDescent="0.3">
      <c r="A4359" t="s">
        <v>18</v>
      </c>
      <c r="B4359" t="s">
        <v>11</v>
      </c>
      <c r="C4359" t="s">
        <v>24</v>
      </c>
      <c r="D4359" t="s">
        <v>28</v>
      </c>
      <c r="E4359">
        <v>13</v>
      </c>
      <c r="F4359" t="s">
        <v>34</v>
      </c>
      <c r="G4359" t="s">
        <v>15</v>
      </c>
      <c r="H4359" t="s">
        <v>32</v>
      </c>
      <c r="I4359">
        <v>1</v>
      </c>
      <c r="J4359" s="23">
        <v>50124</v>
      </c>
      <c r="K4359">
        <v>651612</v>
      </c>
    </row>
    <row r="4360" spans="1:11" ht="15" customHeight="1" x14ac:dyDescent="0.3">
      <c r="A4360" t="s">
        <v>18</v>
      </c>
      <c r="B4360" t="s">
        <v>11</v>
      </c>
      <c r="C4360" t="s">
        <v>12</v>
      </c>
      <c r="D4360" t="s">
        <v>25</v>
      </c>
      <c r="E4360">
        <v>0</v>
      </c>
      <c r="F4360" t="s">
        <v>33</v>
      </c>
      <c r="G4360" t="s">
        <v>15</v>
      </c>
      <c r="H4360" t="s">
        <v>16</v>
      </c>
      <c r="I4360">
        <v>0</v>
      </c>
      <c r="J4360" s="23">
        <v>-220</v>
      </c>
      <c r="K4360" t="s">
        <v>17</v>
      </c>
    </row>
    <row r="4361" spans="1:11" ht="15" customHeight="1" x14ac:dyDescent="0.3">
      <c r="A4361" t="s">
        <v>18</v>
      </c>
      <c r="B4361" t="s">
        <v>44</v>
      </c>
      <c r="C4361" t="s">
        <v>12</v>
      </c>
      <c r="D4361" t="s">
        <v>28</v>
      </c>
      <c r="E4361">
        <v>2</v>
      </c>
      <c r="F4361" t="s">
        <v>26</v>
      </c>
      <c r="G4361" t="s">
        <v>15</v>
      </c>
      <c r="H4361" t="s">
        <v>16</v>
      </c>
      <c r="I4361">
        <v>0</v>
      </c>
      <c r="J4361" s="23">
        <v>-87</v>
      </c>
      <c r="K4361" t="s">
        <v>17</v>
      </c>
    </row>
    <row r="4362" spans="1:11" ht="15" customHeight="1" x14ac:dyDescent="0.3">
      <c r="A4362" t="s">
        <v>10</v>
      </c>
      <c r="B4362" t="s">
        <v>11</v>
      </c>
      <c r="C4362" t="s">
        <v>12</v>
      </c>
      <c r="D4362" t="s">
        <v>25</v>
      </c>
      <c r="E4362">
        <v>-4</v>
      </c>
      <c r="F4362" t="s">
        <v>45</v>
      </c>
      <c r="G4362" t="s">
        <v>15</v>
      </c>
      <c r="H4362" t="s">
        <v>16</v>
      </c>
      <c r="I4362">
        <v>0</v>
      </c>
      <c r="J4362" s="23">
        <v>-14</v>
      </c>
      <c r="K4362" t="s">
        <v>17</v>
      </c>
    </row>
    <row r="4363" spans="1:11" ht="15" customHeight="1" x14ac:dyDescent="0.3">
      <c r="A4363" t="s">
        <v>18</v>
      </c>
      <c r="B4363" t="s">
        <v>11</v>
      </c>
      <c r="C4363" t="s">
        <v>24</v>
      </c>
      <c r="D4363" t="s">
        <v>13</v>
      </c>
      <c r="E4363">
        <v>2</v>
      </c>
      <c r="F4363" t="s">
        <v>33</v>
      </c>
      <c r="G4363" t="s">
        <v>15</v>
      </c>
      <c r="H4363" t="s">
        <v>16</v>
      </c>
      <c r="I4363">
        <v>0</v>
      </c>
      <c r="J4363" s="23">
        <v>9720526</v>
      </c>
      <c r="K4363">
        <v>19441052</v>
      </c>
    </row>
    <row r="4364" spans="1:11" ht="15" customHeight="1" x14ac:dyDescent="0.3">
      <c r="A4364" t="s">
        <v>10</v>
      </c>
      <c r="B4364" t="s">
        <v>11</v>
      </c>
      <c r="C4364" t="s">
        <v>24</v>
      </c>
      <c r="D4364" t="s">
        <v>25</v>
      </c>
      <c r="E4364">
        <v>2</v>
      </c>
      <c r="F4364" t="s">
        <v>37</v>
      </c>
      <c r="G4364" t="s">
        <v>15</v>
      </c>
      <c r="H4364" t="s">
        <v>16</v>
      </c>
      <c r="I4364">
        <v>0</v>
      </c>
      <c r="J4364" s="23">
        <v>108492</v>
      </c>
      <c r="K4364">
        <v>216984</v>
      </c>
    </row>
    <row r="4365" spans="1:11" ht="15" customHeight="1" x14ac:dyDescent="0.3">
      <c r="A4365" t="s">
        <v>10</v>
      </c>
      <c r="B4365" t="s">
        <v>19</v>
      </c>
      <c r="C4365" t="s">
        <v>24</v>
      </c>
      <c r="D4365" t="s">
        <v>20</v>
      </c>
      <c r="E4365">
        <v>31</v>
      </c>
      <c r="F4365"/>
      <c r="G4365" t="s">
        <v>15</v>
      </c>
      <c r="H4365" t="s">
        <v>16</v>
      </c>
      <c r="I4365">
        <v>0</v>
      </c>
      <c r="J4365" s="23">
        <v>41338080</v>
      </c>
      <c r="K4365">
        <v>1281480480</v>
      </c>
    </row>
    <row r="4366" spans="1:11" ht="15" customHeight="1" x14ac:dyDescent="0.3">
      <c r="A4366" t="s">
        <v>10</v>
      </c>
      <c r="B4366" t="s">
        <v>19</v>
      </c>
      <c r="C4366" t="s">
        <v>12</v>
      </c>
      <c r="D4366" t="s">
        <v>20</v>
      </c>
      <c r="E4366">
        <v>41</v>
      </c>
      <c r="F4366"/>
      <c r="G4366" t="s">
        <v>31</v>
      </c>
      <c r="H4366" t="s">
        <v>16</v>
      </c>
      <c r="I4366">
        <v>1</v>
      </c>
      <c r="J4366" s="23">
        <v>-7110</v>
      </c>
      <c r="K4366" t="s">
        <v>17</v>
      </c>
    </row>
    <row r="4367" spans="1:11" ht="15" customHeight="1" x14ac:dyDescent="0.3">
      <c r="A4367" t="s">
        <v>18</v>
      </c>
      <c r="B4367" t="s">
        <v>11</v>
      </c>
      <c r="C4367" t="s">
        <v>12</v>
      </c>
      <c r="D4367" t="s">
        <v>28</v>
      </c>
      <c r="E4367">
        <v>11</v>
      </c>
      <c r="F4367" t="s">
        <v>40</v>
      </c>
      <c r="G4367" t="s">
        <v>15</v>
      </c>
      <c r="H4367" t="s">
        <v>16</v>
      </c>
      <c r="I4367">
        <v>0</v>
      </c>
      <c r="J4367" s="23">
        <v>-1180</v>
      </c>
      <c r="K4367" t="s">
        <v>17</v>
      </c>
    </row>
    <row r="4368" spans="1:11" ht="15" customHeight="1" x14ac:dyDescent="0.3">
      <c r="A4368" t="s">
        <v>10</v>
      </c>
      <c r="B4368" t="s">
        <v>11</v>
      </c>
      <c r="C4368" t="s">
        <v>12</v>
      </c>
      <c r="D4368" t="s">
        <v>25</v>
      </c>
      <c r="E4368">
        <v>7</v>
      </c>
      <c r="F4368" t="s">
        <v>34</v>
      </c>
      <c r="G4368" t="s">
        <v>15</v>
      </c>
      <c r="H4368" t="s">
        <v>16</v>
      </c>
      <c r="I4368">
        <v>0</v>
      </c>
      <c r="J4368" s="23">
        <v>-21890</v>
      </c>
      <c r="K4368" t="s">
        <v>17</v>
      </c>
    </row>
    <row r="4369" spans="1:11" ht="15" customHeight="1" x14ac:dyDescent="0.3">
      <c r="A4369" t="s">
        <v>22</v>
      </c>
      <c r="B4369" t="s">
        <v>11</v>
      </c>
      <c r="C4369" t="s">
        <v>24</v>
      </c>
      <c r="D4369" t="s">
        <v>28</v>
      </c>
      <c r="E4369">
        <v>3</v>
      </c>
      <c r="F4369" t="s">
        <v>39</v>
      </c>
      <c r="G4369" t="s">
        <v>15</v>
      </c>
      <c r="H4369" t="s">
        <v>16</v>
      </c>
      <c r="I4369">
        <v>0</v>
      </c>
      <c r="J4369" s="23">
        <v>47692</v>
      </c>
      <c r="K4369">
        <v>143076</v>
      </c>
    </row>
    <row r="4370" spans="1:11" ht="15" customHeight="1" x14ac:dyDescent="0.3">
      <c r="A4370" t="s">
        <v>18</v>
      </c>
      <c r="B4370" t="s">
        <v>11</v>
      </c>
      <c r="C4370" t="s">
        <v>12</v>
      </c>
      <c r="D4370" t="s">
        <v>28</v>
      </c>
      <c r="E4370">
        <v>1</v>
      </c>
      <c r="F4370" t="s">
        <v>29</v>
      </c>
      <c r="G4370" t="s">
        <v>15</v>
      </c>
      <c r="H4370" t="s">
        <v>16</v>
      </c>
      <c r="I4370">
        <v>0</v>
      </c>
      <c r="J4370" s="23">
        <v>-1119</v>
      </c>
      <c r="K4370" t="s">
        <v>17</v>
      </c>
    </row>
    <row r="4371" spans="1:11" ht="15" customHeight="1" x14ac:dyDescent="0.3">
      <c r="A4371" t="s">
        <v>10</v>
      </c>
      <c r="B4371" t="s">
        <v>11</v>
      </c>
      <c r="C4371" t="s">
        <v>12</v>
      </c>
      <c r="D4371" t="s">
        <v>13</v>
      </c>
      <c r="E4371">
        <v>0</v>
      </c>
      <c r="F4371" t="s">
        <v>21</v>
      </c>
      <c r="G4371" t="s">
        <v>15</v>
      </c>
      <c r="H4371" t="s">
        <v>16</v>
      </c>
      <c r="I4371">
        <v>0</v>
      </c>
      <c r="J4371" s="23">
        <v>-134715</v>
      </c>
      <c r="K4371" t="s">
        <v>17</v>
      </c>
    </row>
    <row r="4372" spans="1:11" ht="15" customHeight="1" x14ac:dyDescent="0.3">
      <c r="A4372" t="s">
        <v>18</v>
      </c>
      <c r="B4372" t="s">
        <v>11</v>
      </c>
      <c r="C4372" t="s">
        <v>24</v>
      </c>
      <c r="D4372" t="s">
        <v>28</v>
      </c>
      <c r="E4372">
        <v>7</v>
      </c>
      <c r="F4372" t="s">
        <v>37</v>
      </c>
      <c r="G4372" t="s">
        <v>15</v>
      </c>
      <c r="H4372" t="s">
        <v>16</v>
      </c>
      <c r="I4372">
        <v>0</v>
      </c>
      <c r="J4372" s="23">
        <v>129783</v>
      </c>
      <c r="K4372">
        <v>908481</v>
      </c>
    </row>
    <row r="4373" spans="1:11" ht="15" customHeight="1" x14ac:dyDescent="0.3">
      <c r="A4373" t="s">
        <v>22</v>
      </c>
      <c r="B4373" t="s">
        <v>19</v>
      </c>
      <c r="C4373" t="s">
        <v>24</v>
      </c>
      <c r="D4373" t="s">
        <v>20</v>
      </c>
      <c r="E4373">
        <v>37</v>
      </c>
      <c r="F4373"/>
      <c r="G4373" t="s">
        <v>31</v>
      </c>
      <c r="H4373" t="s">
        <v>16</v>
      </c>
      <c r="I4373">
        <v>1</v>
      </c>
      <c r="J4373" s="23">
        <v>617877</v>
      </c>
      <c r="K4373">
        <v>22861449</v>
      </c>
    </row>
    <row r="4374" spans="1:11" ht="15" customHeight="1" x14ac:dyDescent="0.3">
      <c r="A4374" t="s">
        <v>10</v>
      </c>
      <c r="B4374" t="s">
        <v>11</v>
      </c>
      <c r="C4374" t="s">
        <v>24</v>
      </c>
      <c r="D4374" t="s">
        <v>13</v>
      </c>
      <c r="E4374">
        <v>1</v>
      </c>
      <c r="F4374" t="s">
        <v>45</v>
      </c>
      <c r="G4374" t="s">
        <v>15</v>
      </c>
      <c r="H4374" t="s">
        <v>16</v>
      </c>
      <c r="I4374">
        <v>0</v>
      </c>
      <c r="J4374" s="23">
        <v>33572</v>
      </c>
      <c r="K4374">
        <v>33572</v>
      </c>
    </row>
    <row r="4375" spans="1:11" ht="15" customHeight="1" x14ac:dyDescent="0.3">
      <c r="A4375" t="s">
        <v>22</v>
      </c>
      <c r="B4375" t="s">
        <v>11</v>
      </c>
      <c r="C4375" t="s">
        <v>24</v>
      </c>
      <c r="D4375" t="s">
        <v>13</v>
      </c>
      <c r="E4375">
        <v>9</v>
      </c>
      <c r="F4375" t="s">
        <v>27</v>
      </c>
      <c r="G4375" t="s">
        <v>15</v>
      </c>
      <c r="H4375" t="s">
        <v>16</v>
      </c>
      <c r="I4375">
        <v>0</v>
      </c>
      <c r="J4375" s="23">
        <v>96342</v>
      </c>
      <c r="K4375">
        <v>867078</v>
      </c>
    </row>
    <row r="4376" spans="1:11" ht="15" customHeight="1" x14ac:dyDescent="0.3">
      <c r="A4376" t="s">
        <v>22</v>
      </c>
      <c r="B4376" t="s">
        <v>11</v>
      </c>
      <c r="C4376" t="s">
        <v>24</v>
      </c>
      <c r="D4376" t="s">
        <v>13</v>
      </c>
      <c r="E4376">
        <v>3</v>
      </c>
      <c r="F4376" t="s">
        <v>33</v>
      </c>
      <c r="G4376" t="s">
        <v>15</v>
      </c>
      <c r="H4376" t="s">
        <v>16</v>
      </c>
      <c r="I4376">
        <v>0</v>
      </c>
      <c r="J4376" s="23">
        <v>424455</v>
      </c>
      <c r="K4376">
        <v>1273365</v>
      </c>
    </row>
    <row r="4377" spans="1:11" ht="15" customHeight="1" x14ac:dyDescent="0.3">
      <c r="A4377" t="s">
        <v>22</v>
      </c>
      <c r="B4377" t="s">
        <v>19</v>
      </c>
      <c r="C4377" t="s">
        <v>24</v>
      </c>
      <c r="D4377" t="s">
        <v>20</v>
      </c>
      <c r="E4377">
        <v>32</v>
      </c>
      <c r="F4377"/>
      <c r="G4377" t="s">
        <v>15</v>
      </c>
      <c r="H4377" t="s">
        <v>32</v>
      </c>
      <c r="I4377">
        <v>1</v>
      </c>
      <c r="J4377" s="23">
        <v>123160</v>
      </c>
      <c r="K4377">
        <v>3941120</v>
      </c>
    </row>
    <row r="4378" spans="1:11" ht="15" customHeight="1" x14ac:dyDescent="0.3">
      <c r="A4378" t="s">
        <v>18</v>
      </c>
      <c r="B4378" t="s">
        <v>11</v>
      </c>
      <c r="C4378" t="s">
        <v>12</v>
      </c>
      <c r="D4378" t="s">
        <v>25</v>
      </c>
      <c r="E4378">
        <v>3</v>
      </c>
      <c r="F4378" t="s">
        <v>46</v>
      </c>
      <c r="G4378" t="s">
        <v>15</v>
      </c>
      <c r="H4378" t="s">
        <v>16</v>
      </c>
      <c r="I4378">
        <v>0</v>
      </c>
      <c r="J4378" s="23">
        <v>-26</v>
      </c>
      <c r="K4378" t="s">
        <v>17</v>
      </c>
    </row>
    <row r="4379" spans="1:11" ht="15" customHeight="1" x14ac:dyDescent="0.3">
      <c r="A4379" t="s">
        <v>18</v>
      </c>
      <c r="B4379" t="s">
        <v>11</v>
      </c>
      <c r="C4379" t="s">
        <v>24</v>
      </c>
      <c r="D4379" t="s">
        <v>28</v>
      </c>
      <c r="E4379">
        <v>8</v>
      </c>
      <c r="F4379" t="s">
        <v>14</v>
      </c>
      <c r="G4379" t="s">
        <v>15</v>
      </c>
      <c r="H4379" t="s">
        <v>16</v>
      </c>
      <c r="I4379">
        <v>0</v>
      </c>
      <c r="J4379" s="23">
        <v>3876331</v>
      </c>
      <c r="K4379">
        <v>31010648</v>
      </c>
    </row>
    <row r="4380" spans="1:11" ht="15" customHeight="1" x14ac:dyDescent="0.3">
      <c r="A4380" t="s">
        <v>22</v>
      </c>
      <c r="B4380" t="s">
        <v>19</v>
      </c>
      <c r="C4380" t="s">
        <v>24</v>
      </c>
      <c r="D4380" t="s">
        <v>20</v>
      </c>
      <c r="E4380">
        <v>13</v>
      </c>
      <c r="F4380"/>
      <c r="G4380" t="s">
        <v>15</v>
      </c>
      <c r="H4380" t="s">
        <v>16</v>
      </c>
      <c r="I4380">
        <v>0</v>
      </c>
      <c r="J4380" s="23">
        <v>3201560</v>
      </c>
      <c r="K4380">
        <v>41620280</v>
      </c>
    </row>
    <row r="4381" spans="1:11" ht="15" customHeight="1" x14ac:dyDescent="0.3">
      <c r="A4381" t="s">
        <v>22</v>
      </c>
      <c r="B4381" t="s">
        <v>11</v>
      </c>
      <c r="C4381" t="s">
        <v>24</v>
      </c>
      <c r="D4381" t="s">
        <v>13</v>
      </c>
      <c r="E4381">
        <v>4</v>
      </c>
      <c r="F4381" t="s">
        <v>26</v>
      </c>
      <c r="G4381" t="s">
        <v>15</v>
      </c>
      <c r="H4381" t="s">
        <v>16</v>
      </c>
      <c r="I4381">
        <v>0</v>
      </c>
      <c r="J4381" s="23">
        <v>871580</v>
      </c>
      <c r="K4381">
        <v>3486320</v>
      </c>
    </row>
    <row r="4382" spans="1:11" ht="15" customHeight="1" x14ac:dyDescent="0.3">
      <c r="A4382" t="s">
        <v>18</v>
      </c>
      <c r="B4382" t="s">
        <v>11</v>
      </c>
      <c r="C4382" t="s">
        <v>12</v>
      </c>
      <c r="D4382" t="s">
        <v>25</v>
      </c>
      <c r="E4382">
        <v>6</v>
      </c>
      <c r="F4382" t="s">
        <v>23</v>
      </c>
      <c r="G4382" t="s">
        <v>15</v>
      </c>
      <c r="H4382" t="s">
        <v>16</v>
      </c>
      <c r="I4382">
        <v>0</v>
      </c>
      <c r="J4382" s="23">
        <v>-2131</v>
      </c>
      <c r="K4382" t="s">
        <v>17</v>
      </c>
    </row>
    <row r="4383" spans="1:11" ht="15" customHeight="1" x14ac:dyDescent="0.3">
      <c r="A4383" t="s">
        <v>18</v>
      </c>
      <c r="B4383" t="s">
        <v>19</v>
      </c>
      <c r="C4383" t="s">
        <v>12</v>
      </c>
      <c r="D4383" t="s">
        <v>28</v>
      </c>
      <c r="E4383">
        <v>1</v>
      </c>
      <c r="F4383"/>
      <c r="G4383" t="s">
        <v>15</v>
      </c>
      <c r="H4383" t="s">
        <v>32</v>
      </c>
      <c r="I4383">
        <v>1</v>
      </c>
      <c r="J4383" s="23">
        <v>-44</v>
      </c>
      <c r="K4383" t="s">
        <v>17</v>
      </c>
    </row>
    <row r="4384" spans="1:11" ht="15" customHeight="1" x14ac:dyDescent="0.3">
      <c r="A4384" t="s">
        <v>22</v>
      </c>
      <c r="B4384" t="s">
        <v>11</v>
      </c>
      <c r="C4384" t="s">
        <v>12</v>
      </c>
      <c r="D4384" t="s">
        <v>13</v>
      </c>
      <c r="E4384">
        <v>5</v>
      </c>
      <c r="F4384" t="s">
        <v>33</v>
      </c>
      <c r="G4384" t="s">
        <v>15</v>
      </c>
      <c r="H4384" t="s">
        <v>16</v>
      </c>
      <c r="I4384">
        <v>0</v>
      </c>
      <c r="J4384" s="23">
        <v>-591525</v>
      </c>
      <c r="K4384" t="s">
        <v>17</v>
      </c>
    </row>
    <row r="4385" spans="1:11" ht="15" customHeight="1" x14ac:dyDescent="0.3">
      <c r="A4385" t="s">
        <v>10</v>
      </c>
      <c r="B4385" t="s">
        <v>11</v>
      </c>
      <c r="C4385" t="s">
        <v>24</v>
      </c>
      <c r="D4385" t="s">
        <v>28</v>
      </c>
      <c r="E4385">
        <v>12</v>
      </c>
      <c r="F4385" t="s">
        <v>21</v>
      </c>
      <c r="G4385" t="s">
        <v>15</v>
      </c>
      <c r="H4385" t="s">
        <v>16</v>
      </c>
      <c r="I4385">
        <v>0</v>
      </c>
      <c r="J4385" s="23">
        <v>1096489</v>
      </c>
      <c r="K4385">
        <v>13157868</v>
      </c>
    </row>
    <row r="4386" spans="1:11" ht="15" customHeight="1" x14ac:dyDescent="0.3">
      <c r="A4386" t="s">
        <v>10</v>
      </c>
      <c r="B4386" t="s">
        <v>19</v>
      </c>
      <c r="C4386" t="s">
        <v>24</v>
      </c>
      <c r="D4386" t="s">
        <v>20</v>
      </c>
      <c r="E4386">
        <v>21</v>
      </c>
      <c r="F4386"/>
      <c r="G4386" t="s">
        <v>31</v>
      </c>
      <c r="H4386" t="s">
        <v>16</v>
      </c>
      <c r="I4386">
        <v>1</v>
      </c>
      <c r="J4386" s="23">
        <v>532204</v>
      </c>
      <c r="K4386">
        <v>11176284</v>
      </c>
    </row>
    <row r="4387" spans="1:11" ht="15" customHeight="1" x14ac:dyDescent="0.3">
      <c r="A4387" t="s">
        <v>18</v>
      </c>
      <c r="B4387" t="s">
        <v>44</v>
      </c>
      <c r="C4387" t="s">
        <v>24</v>
      </c>
      <c r="D4387" t="s">
        <v>28</v>
      </c>
      <c r="E4387">
        <v>14</v>
      </c>
      <c r="F4387" t="s">
        <v>26</v>
      </c>
      <c r="G4387" t="s">
        <v>15</v>
      </c>
      <c r="H4387" t="s">
        <v>16</v>
      </c>
      <c r="I4387">
        <v>0</v>
      </c>
      <c r="J4387" s="23">
        <v>1412390</v>
      </c>
      <c r="K4387">
        <v>19773460</v>
      </c>
    </row>
    <row r="4388" spans="1:11" ht="15" customHeight="1" x14ac:dyDescent="0.3">
      <c r="A4388" t="s">
        <v>22</v>
      </c>
      <c r="B4388" t="s">
        <v>11</v>
      </c>
      <c r="C4388" t="s">
        <v>24</v>
      </c>
      <c r="D4388" t="s">
        <v>28</v>
      </c>
      <c r="E4388">
        <v>8</v>
      </c>
      <c r="F4388" t="s">
        <v>34</v>
      </c>
      <c r="G4388" t="s">
        <v>15</v>
      </c>
      <c r="H4388" t="s">
        <v>32</v>
      </c>
      <c r="I4388">
        <v>1</v>
      </c>
      <c r="J4388" s="23">
        <v>405480</v>
      </c>
      <c r="K4388">
        <v>3243840</v>
      </c>
    </row>
    <row r="4389" spans="1:11" ht="15" customHeight="1" x14ac:dyDescent="0.3">
      <c r="A4389" t="s">
        <v>18</v>
      </c>
      <c r="B4389" t="s">
        <v>11</v>
      </c>
      <c r="C4389" t="s">
        <v>12</v>
      </c>
      <c r="D4389" t="s">
        <v>28</v>
      </c>
      <c r="E4389">
        <v>4</v>
      </c>
      <c r="F4389" t="s">
        <v>39</v>
      </c>
      <c r="G4389" t="s">
        <v>15</v>
      </c>
      <c r="H4389" t="s">
        <v>16</v>
      </c>
      <c r="I4389">
        <v>0</v>
      </c>
      <c r="J4389" s="23">
        <v>-627</v>
      </c>
      <c r="K4389" t="s">
        <v>17</v>
      </c>
    </row>
    <row r="4390" spans="1:11" ht="15" customHeight="1" x14ac:dyDescent="0.3">
      <c r="A4390" t="s">
        <v>18</v>
      </c>
      <c r="B4390" t="s">
        <v>11</v>
      </c>
      <c r="C4390" t="s">
        <v>12</v>
      </c>
      <c r="D4390" t="s">
        <v>13</v>
      </c>
      <c r="E4390">
        <v>5</v>
      </c>
      <c r="F4390" t="s">
        <v>29</v>
      </c>
      <c r="G4390" t="s">
        <v>15</v>
      </c>
      <c r="H4390" t="s">
        <v>16</v>
      </c>
      <c r="I4390">
        <v>0</v>
      </c>
      <c r="J4390" s="23">
        <v>-57973</v>
      </c>
      <c r="K4390" t="s">
        <v>17</v>
      </c>
    </row>
    <row r="4391" spans="1:11" ht="15" customHeight="1" x14ac:dyDescent="0.3">
      <c r="A4391" t="s">
        <v>10</v>
      </c>
      <c r="B4391" t="s">
        <v>11</v>
      </c>
      <c r="C4391" t="s">
        <v>12</v>
      </c>
      <c r="D4391" t="s">
        <v>28</v>
      </c>
      <c r="E4391">
        <v>8</v>
      </c>
      <c r="F4391" t="s">
        <v>38</v>
      </c>
      <c r="G4391" t="s">
        <v>15</v>
      </c>
      <c r="H4391" t="s">
        <v>16</v>
      </c>
      <c r="I4391">
        <v>0</v>
      </c>
      <c r="J4391" s="23">
        <v>-10521</v>
      </c>
      <c r="K4391" t="s">
        <v>17</v>
      </c>
    </row>
    <row r="4392" spans="1:11" ht="15" customHeight="1" x14ac:dyDescent="0.3">
      <c r="A4392" t="s">
        <v>18</v>
      </c>
      <c r="B4392" t="s">
        <v>11</v>
      </c>
      <c r="C4392" t="s">
        <v>12</v>
      </c>
      <c r="D4392" t="s">
        <v>28</v>
      </c>
      <c r="E4392">
        <v>18</v>
      </c>
      <c r="F4392" t="s">
        <v>39</v>
      </c>
      <c r="G4392" t="s">
        <v>15</v>
      </c>
      <c r="H4392" t="s">
        <v>16</v>
      </c>
      <c r="I4392">
        <v>0</v>
      </c>
      <c r="J4392" s="23">
        <v>-2307</v>
      </c>
      <c r="K4392" t="s">
        <v>17</v>
      </c>
    </row>
    <row r="4393" spans="1:11" ht="15" customHeight="1" x14ac:dyDescent="0.3">
      <c r="A4393" t="s">
        <v>10</v>
      </c>
      <c r="B4393" t="s">
        <v>11</v>
      </c>
      <c r="C4393" t="s">
        <v>24</v>
      </c>
      <c r="D4393" t="s">
        <v>28</v>
      </c>
      <c r="E4393">
        <v>2</v>
      </c>
      <c r="F4393" t="s">
        <v>33</v>
      </c>
      <c r="G4393" t="s">
        <v>15</v>
      </c>
      <c r="H4393" t="s">
        <v>16</v>
      </c>
      <c r="I4393">
        <v>0</v>
      </c>
      <c r="J4393" s="23">
        <v>48010</v>
      </c>
      <c r="K4393">
        <v>96020</v>
      </c>
    </row>
    <row r="4394" spans="1:11" ht="15" customHeight="1" x14ac:dyDescent="0.3">
      <c r="A4394" t="s">
        <v>18</v>
      </c>
      <c r="B4394" t="s">
        <v>19</v>
      </c>
      <c r="C4394" t="s">
        <v>12</v>
      </c>
      <c r="D4394" t="s">
        <v>20</v>
      </c>
      <c r="E4394">
        <v>12</v>
      </c>
      <c r="F4394"/>
      <c r="G4394" t="s">
        <v>15</v>
      </c>
      <c r="H4394" t="s">
        <v>32</v>
      </c>
      <c r="I4394">
        <v>1</v>
      </c>
      <c r="J4394" s="23">
        <v>-1942</v>
      </c>
      <c r="K4394" t="s">
        <v>17</v>
      </c>
    </row>
    <row r="4395" spans="1:11" ht="15" customHeight="1" x14ac:dyDescent="0.3">
      <c r="A4395" t="s">
        <v>18</v>
      </c>
      <c r="B4395" t="s">
        <v>19</v>
      </c>
      <c r="C4395" t="s">
        <v>24</v>
      </c>
      <c r="D4395" t="s">
        <v>20</v>
      </c>
      <c r="E4395">
        <v>2</v>
      </c>
      <c r="F4395"/>
      <c r="G4395" t="s">
        <v>15</v>
      </c>
      <c r="H4395" t="s">
        <v>16</v>
      </c>
      <c r="I4395">
        <v>0</v>
      </c>
      <c r="J4395" s="23">
        <v>21127910</v>
      </c>
      <c r="K4395">
        <v>42255820</v>
      </c>
    </row>
    <row r="4396" spans="1:11" ht="15" customHeight="1" x14ac:dyDescent="0.3">
      <c r="A4396" t="s">
        <v>22</v>
      </c>
      <c r="B4396" t="s">
        <v>11</v>
      </c>
      <c r="C4396" t="s">
        <v>12</v>
      </c>
      <c r="D4396" t="s">
        <v>28</v>
      </c>
      <c r="E4396">
        <v>-4</v>
      </c>
      <c r="F4396" t="s">
        <v>21</v>
      </c>
      <c r="G4396" t="s">
        <v>15</v>
      </c>
      <c r="H4396" t="s">
        <v>16</v>
      </c>
      <c r="I4396">
        <v>0</v>
      </c>
      <c r="J4396" s="23">
        <v>-498425</v>
      </c>
      <c r="K4396" t="s">
        <v>17</v>
      </c>
    </row>
    <row r="4397" spans="1:11" ht="15" customHeight="1" x14ac:dyDescent="0.3">
      <c r="A4397" t="s">
        <v>10</v>
      </c>
      <c r="B4397" t="s">
        <v>11</v>
      </c>
      <c r="C4397" t="s">
        <v>12</v>
      </c>
      <c r="D4397" t="s">
        <v>13</v>
      </c>
      <c r="E4397">
        <v>7</v>
      </c>
      <c r="F4397" t="s">
        <v>21</v>
      </c>
      <c r="G4397" t="s">
        <v>15</v>
      </c>
      <c r="H4397" t="s">
        <v>16</v>
      </c>
      <c r="I4397">
        <v>0</v>
      </c>
      <c r="J4397" s="23">
        <v>-3177</v>
      </c>
      <c r="K4397" t="s">
        <v>17</v>
      </c>
    </row>
    <row r="4398" spans="1:11" ht="15" customHeight="1" x14ac:dyDescent="0.3">
      <c r="A4398" t="s">
        <v>10</v>
      </c>
      <c r="B4398" t="s">
        <v>19</v>
      </c>
      <c r="C4398" t="s">
        <v>12</v>
      </c>
      <c r="D4398" t="s">
        <v>20</v>
      </c>
      <c r="E4398">
        <v>14</v>
      </c>
      <c r="F4398"/>
      <c r="G4398" t="s">
        <v>15</v>
      </c>
      <c r="H4398" t="s">
        <v>16</v>
      </c>
      <c r="I4398">
        <v>0</v>
      </c>
      <c r="J4398" s="23">
        <v>-570287</v>
      </c>
      <c r="K4398" t="s">
        <v>17</v>
      </c>
    </row>
    <row r="4399" spans="1:11" ht="15" customHeight="1" x14ac:dyDescent="0.3">
      <c r="A4399" t="s">
        <v>10</v>
      </c>
      <c r="B4399" t="s">
        <v>11</v>
      </c>
      <c r="C4399" t="s">
        <v>12</v>
      </c>
      <c r="D4399" t="s">
        <v>28</v>
      </c>
      <c r="E4399">
        <v>11</v>
      </c>
      <c r="F4399" t="s">
        <v>34</v>
      </c>
      <c r="G4399" t="s">
        <v>15</v>
      </c>
      <c r="H4399" t="s">
        <v>16</v>
      </c>
      <c r="I4399">
        <v>0</v>
      </c>
      <c r="J4399" s="23">
        <v>-94770</v>
      </c>
      <c r="K4399" t="s">
        <v>17</v>
      </c>
    </row>
    <row r="4400" spans="1:11" ht="15" customHeight="1" x14ac:dyDescent="0.3">
      <c r="A4400" t="s">
        <v>10</v>
      </c>
      <c r="B4400" t="s">
        <v>11</v>
      </c>
      <c r="C4400" t="s">
        <v>12</v>
      </c>
      <c r="D4400" t="s">
        <v>25</v>
      </c>
      <c r="E4400">
        <v>0</v>
      </c>
      <c r="F4400" t="s">
        <v>30</v>
      </c>
      <c r="G4400" t="s">
        <v>15</v>
      </c>
      <c r="H4400" t="s">
        <v>16</v>
      </c>
      <c r="I4400">
        <v>0</v>
      </c>
      <c r="J4400" s="23">
        <v>-996</v>
      </c>
      <c r="K4400" t="s">
        <v>17</v>
      </c>
    </row>
    <row r="4401" spans="1:11" ht="15" customHeight="1" x14ac:dyDescent="0.3">
      <c r="A4401" t="s">
        <v>18</v>
      </c>
      <c r="B4401" t="s">
        <v>11</v>
      </c>
      <c r="C4401" t="s">
        <v>24</v>
      </c>
      <c r="D4401" t="s">
        <v>13</v>
      </c>
      <c r="E4401">
        <v>7</v>
      </c>
      <c r="F4401" t="s">
        <v>29</v>
      </c>
      <c r="G4401" t="s">
        <v>15</v>
      </c>
      <c r="H4401" t="s">
        <v>16</v>
      </c>
      <c r="I4401">
        <v>0</v>
      </c>
      <c r="J4401" s="23">
        <v>31362823</v>
      </c>
      <c r="K4401">
        <v>219539761</v>
      </c>
    </row>
    <row r="4402" spans="1:11" ht="15" customHeight="1" x14ac:dyDescent="0.3">
      <c r="A4402" t="s">
        <v>18</v>
      </c>
      <c r="B4402" t="s">
        <v>11</v>
      </c>
      <c r="C4402" t="s">
        <v>24</v>
      </c>
      <c r="D4402" t="s">
        <v>25</v>
      </c>
      <c r="E4402">
        <v>-1</v>
      </c>
      <c r="F4402" t="s">
        <v>17</v>
      </c>
      <c r="G4402" t="s">
        <v>15</v>
      </c>
      <c r="H4402" t="s">
        <v>16</v>
      </c>
      <c r="I4402">
        <v>0</v>
      </c>
      <c r="J4402" s="23">
        <v>0</v>
      </c>
      <c r="K4402" t="s">
        <v>17</v>
      </c>
    </row>
    <row r="4403" spans="1:11" ht="15" customHeight="1" x14ac:dyDescent="0.3">
      <c r="A4403" t="s">
        <v>22</v>
      </c>
      <c r="B4403" t="s">
        <v>11</v>
      </c>
      <c r="C4403" t="s">
        <v>24</v>
      </c>
      <c r="D4403" t="s">
        <v>13</v>
      </c>
      <c r="E4403">
        <v>-1</v>
      </c>
      <c r="F4403" t="s">
        <v>27</v>
      </c>
      <c r="G4403" t="s">
        <v>15</v>
      </c>
      <c r="H4403" t="s">
        <v>16</v>
      </c>
      <c r="I4403">
        <v>0</v>
      </c>
      <c r="J4403" s="23">
        <v>522913</v>
      </c>
      <c r="K4403" t="s">
        <v>17</v>
      </c>
    </row>
    <row r="4404" spans="1:11" ht="15" customHeight="1" x14ac:dyDescent="0.3">
      <c r="A4404" t="s">
        <v>18</v>
      </c>
      <c r="B4404" t="s">
        <v>19</v>
      </c>
      <c r="C4404" t="s">
        <v>24</v>
      </c>
      <c r="D4404" t="s">
        <v>28</v>
      </c>
      <c r="E4404">
        <v>0</v>
      </c>
      <c r="F4404"/>
      <c r="G4404" t="s">
        <v>15</v>
      </c>
      <c r="H4404" t="s">
        <v>32</v>
      </c>
      <c r="I4404">
        <v>1</v>
      </c>
      <c r="J4404" s="23">
        <v>34312</v>
      </c>
      <c r="K4404" t="s">
        <v>17</v>
      </c>
    </row>
    <row r="4405" spans="1:11" ht="15" customHeight="1" x14ac:dyDescent="0.3">
      <c r="A4405" t="s">
        <v>22</v>
      </c>
      <c r="B4405" t="s">
        <v>11</v>
      </c>
      <c r="C4405" t="s">
        <v>24</v>
      </c>
      <c r="D4405" t="s">
        <v>25</v>
      </c>
      <c r="E4405">
        <v>5</v>
      </c>
      <c r="F4405" t="s">
        <v>21</v>
      </c>
      <c r="G4405" t="s">
        <v>15</v>
      </c>
      <c r="H4405" t="s">
        <v>16</v>
      </c>
      <c r="I4405">
        <v>0</v>
      </c>
      <c r="J4405" s="23">
        <v>55525</v>
      </c>
      <c r="K4405">
        <v>277625</v>
      </c>
    </row>
    <row r="4406" spans="1:11" ht="15" customHeight="1" x14ac:dyDescent="0.3">
      <c r="A4406" t="s">
        <v>18</v>
      </c>
      <c r="B4406" t="s">
        <v>19</v>
      </c>
      <c r="C4406" t="s">
        <v>12</v>
      </c>
      <c r="D4406" t="s">
        <v>28</v>
      </c>
      <c r="E4406">
        <v>15</v>
      </c>
      <c r="F4406"/>
      <c r="G4406" t="s">
        <v>15</v>
      </c>
      <c r="H4406" t="s">
        <v>16</v>
      </c>
      <c r="I4406">
        <v>0</v>
      </c>
      <c r="J4406" s="23">
        <v>-3227</v>
      </c>
      <c r="K4406" t="s">
        <v>17</v>
      </c>
    </row>
    <row r="4407" spans="1:11" ht="15" customHeight="1" x14ac:dyDescent="0.3">
      <c r="A4407" t="s">
        <v>18</v>
      </c>
      <c r="B4407" t="s">
        <v>11</v>
      </c>
      <c r="C4407" t="s">
        <v>24</v>
      </c>
      <c r="D4407" t="s">
        <v>13</v>
      </c>
      <c r="E4407">
        <v>1</v>
      </c>
      <c r="F4407" t="s">
        <v>21</v>
      </c>
      <c r="G4407" t="s">
        <v>15</v>
      </c>
      <c r="H4407" t="s">
        <v>16</v>
      </c>
      <c r="I4407">
        <v>0</v>
      </c>
      <c r="J4407" s="23">
        <v>38073707</v>
      </c>
      <c r="K4407">
        <v>38073707</v>
      </c>
    </row>
    <row r="4408" spans="1:11" ht="15" customHeight="1" x14ac:dyDescent="0.3">
      <c r="A4408" t="s">
        <v>18</v>
      </c>
      <c r="B4408" t="s">
        <v>11</v>
      </c>
      <c r="C4408" t="s">
        <v>24</v>
      </c>
      <c r="D4408" t="s">
        <v>28</v>
      </c>
      <c r="E4408">
        <v>14</v>
      </c>
      <c r="F4408" t="s">
        <v>37</v>
      </c>
      <c r="G4408" t="s">
        <v>15</v>
      </c>
      <c r="H4408" t="s">
        <v>16</v>
      </c>
      <c r="I4408">
        <v>0</v>
      </c>
      <c r="J4408" s="23">
        <v>576586</v>
      </c>
      <c r="K4408">
        <v>8072204</v>
      </c>
    </row>
    <row r="4409" spans="1:11" ht="15" customHeight="1" x14ac:dyDescent="0.3">
      <c r="A4409" t="s">
        <v>18</v>
      </c>
      <c r="B4409" t="s">
        <v>11</v>
      </c>
      <c r="C4409" t="s">
        <v>12</v>
      </c>
      <c r="D4409" t="s">
        <v>28</v>
      </c>
      <c r="E4409">
        <v>14</v>
      </c>
      <c r="F4409" t="s">
        <v>29</v>
      </c>
      <c r="G4409" t="s">
        <v>15</v>
      </c>
      <c r="H4409" t="s">
        <v>16</v>
      </c>
      <c r="I4409">
        <v>0</v>
      </c>
      <c r="J4409" s="23">
        <v>-1787</v>
      </c>
      <c r="K4409" t="s">
        <v>17</v>
      </c>
    </row>
    <row r="4410" spans="1:11" ht="15" customHeight="1" x14ac:dyDescent="0.3">
      <c r="A4410" t="s">
        <v>10</v>
      </c>
      <c r="B4410" t="s">
        <v>11</v>
      </c>
      <c r="C4410" t="s">
        <v>24</v>
      </c>
      <c r="D4410" t="s">
        <v>28</v>
      </c>
      <c r="E4410">
        <v>7</v>
      </c>
      <c r="F4410" t="s">
        <v>40</v>
      </c>
      <c r="G4410" t="s">
        <v>15</v>
      </c>
      <c r="H4410" t="s">
        <v>16</v>
      </c>
      <c r="I4410">
        <v>0</v>
      </c>
      <c r="J4410" s="23">
        <v>166876</v>
      </c>
      <c r="K4410">
        <v>1168132</v>
      </c>
    </row>
    <row r="4411" spans="1:11" ht="15" customHeight="1" x14ac:dyDescent="0.3">
      <c r="A4411" t="s">
        <v>18</v>
      </c>
      <c r="B4411" t="s">
        <v>11</v>
      </c>
      <c r="C4411" t="s">
        <v>24</v>
      </c>
      <c r="D4411" t="s">
        <v>28</v>
      </c>
      <c r="E4411">
        <v>5</v>
      </c>
      <c r="F4411" t="s">
        <v>14</v>
      </c>
      <c r="G4411" t="s">
        <v>15</v>
      </c>
      <c r="H4411" t="s">
        <v>16</v>
      </c>
      <c r="I4411">
        <v>0</v>
      </c>
      <c r="J4411" s="23">
        <v>2076159</v>
      </c>
      <c r="K4411">
        <v>10380795</v>
      </c>
    </row>
    <row r="4412" spans="1:11" ht="15" customHeight="1" x14ac:dyDescent="0.3">
      <c r="A4412" t="s">
        <v>18</v>
      </c>
      <c r="B4412" t="s">
        <v>11</v>
      </c>
      <c r="C4412" t="s">
        <v>12</v>
      </c>
      <c r="D4412" t="s">
        <v>28</v>
      </c>
      <c r="E4412">
        <v>5</v>
      </c>
      <c r="F4412" t="s">
        <v>35</v>
      </c>
      <c r="G4412" t="s">
        <v>15</v>
      </c>
      <c r="H4412" t="s">
        <v>16</v>
      </c>
      <c r="I4412">
        <v>0</v>
      </c>
      <c r="J4412" s="23">
        <v>-1141</v>
      </c>
      <c r="K4412" t="s">
        <v>17</v>
      </c>
    </row>
    <row r="4413" spans="1:11" ht="15" customHeight="1" x14ac:dyDescent="0.3">
      <c r="A4413" t="s">
        <v>10</v>
      </c>
      <c r="B4413" t="s">
        <v>19</v>
      </c>
      <c r="C4413" t="s">
        <v>24</v>
      </c>
      <c r="D4413" t="s">
        <v>28</v>
      </c>
      <c r="E4413">
        <v>0</v>
      </c>
      <c r="F4413"/>
      <c r="G4413" t="s">
        <v>31</v>
      </c>
      <c r="H4413" t="s">
        <v>16</v>
      </c>
      <c r="I4413">
        <v>1</v>
      </c>
      <c r="J4413" s="23">
        <v>1981</v>
      </c>
      <c r="K4413" t="s">
        <v>17</v>
      </c>
    </row>
    <row r="4414" spans="1:11" ht="15" customHeight="1" x14ac:dyDescent="0.3">
      <c r="A4414" t="s">
        <v>22</v>
      </c>
      <c r="B4414" t="s">
        <v>11</v>
      </c>
      <c r="C4414" t="s">
        <v>24</v>
      </c>
      <c r="D4414" t="s">
        <v>28</v>
      </c>
      <c r="E4414">
        <v>27</v>
      </c>
      <c r="F4414" t="s">
        <v>23</v>
      </c>
      <c r="G4414" t="s">
        <v>15</v>
      </c>
      <c r="H4414" t="s">
        <v>16</v>
      </c>
      <c r="I4414">
        <v>0</v>
      </c>
      <c r="J4414" s="23">
        <v>6330314</v>
      </c>
      <c r="K4414">
        <v>170918478</v>
      </c>
    </row>
    <row r="4415" spans="1:11" ht="15" customHeight="1" x14ac:dyDescent="0.3">
      <c r="A4415" t="s">
        <v>18</v>
      </c>
      <c r="B4415" t="s">
        <v>11</v>
      </c>
      <c r="C4415" t="s">
        <v>12</v>
      </c>
      <c r="D4415" t="s">
        <v>28</v>
      </c>
      <c r="E4415">
        <v>0</v>
      </c>
      <c r="F4415" t="s">
        <v>30</v>
      </c>
      <c r="G4415" t="s">
        <v>15</v>
      </c>
      <c r="H4415" t="s">
        <v>16</v>
      </c>
      <c r="I4415">
        <v>0</v>
      </c>
      <c r="J4415" s="23">
        <v>-15402</v>
      </c>
      <c r="K4415" t="s">
        <v>17</v>
      </c>
    </row>
    <row r="4416" spans="1:11" ht="15" customHeight="1" x14ac:dyDescent="0.3">
      <c r="A4416" t="s">
        <v>18</v>
      </c>
      <c r="B4416" t="s">
        <v>11</v>
      </c>
      <c r="C4416" t="s">
        <v>24</v>
      </c>
      <c r="D4416" t="s">
        <v>28</v>
      </c>
      <c r="E4416">
        <v>14</v>
      </c>
      <c r="F4416" t="s">
        <v>26</v>
      </c>
      <c r="G4416" t="s">
        <v>15</v>
      </c>
      <c r="H4416" t="s">
        <v>16</v>
      </c>
      <c r="I4416">
        <v>0</v>
      </c>
      <c r="J4416" s="23">
        <v>40229187</v>
      </c>
      <c r="K4416">
        <v>563208618</v>
      </c>
    </row>
    <row r="4417" spans="1:11" ht="15" customHeight="1" x14ac:dyDescent="0.3">
      <c r="A4417" t="s">
        <v>22</v>
      </c>
      <c r="B4417" t="s">
        <v>11</v>
      </c>
      <c r="C4417" t="s">
        <v>12</v>
      </c>
      <c r="D4417" t="s">
        <v>25</v>
      </c>
      <c r="E4417">
        <v>4</v>
      </c>
      <c r="F4417" t="s">
        <v>29</v>
      </c>
      <c r="G4417" t="s">
        <v>15</v>
      </c>
      <c r="H4417" t="s">
        <v>16</v>
      </c>
      <c r="I4417">
        <v>0</v>
      </c>
      <c r="J4417" s="23">
        <v>-109442</v>
      </c>
      <c r="K4417" t="s">
        <v>17</v>
      </c>
    </row>
    <row r="4418" spans="1:11" ht="15" customHeight="1" x14ac:dyDescent="0.3">
      <c r="A4418" t="s">
        <v>10</v>
      </c>
      <c r="B4418" t="s">
        <v>11</v>
      </c>
      <c r="C4418" t="s">
        <v>24</v>
      </c>
      <c r="D4418" t="s">
        <v>13</v>
      </c>
      <c r="E4418">
        <v>-1</v>
      </c>
      <c r="F4418" t="s">
        <v>35</v>
      </c>
      <c r="G4418" t="s">
        <v>15</v>
      </c>
      <c r="H4418" t="s">
        <v>16</v>
      </c>
      <c r="I4418">
        <v>0</v>
      </c>
      <c r="J4418" s="23">
        <v>2998199</v>
      </c>
      <c r="K4418" t="s">
        <v>17</v>
      </c>
    </row>
    <row r="4419" spans="1:11" ht="15" customHeight="1" x14ac:dyDescent="0.3">
      <c r="A4419" t="s">
        <v>18</v>
      </c>
      <c r="B4419" t="s">
        <v>11</v>
      </c>
      <c r="C4419" t="s">
        <v>12</v>
      </c>
      <c r="D4419" t="s">
        <v>13</v>
      </c>
      <c r="E4419">
        <v>7</v>
      </c>
      <c r="F4419" t="s">
        <v>39</v>
      </c>
      <c r="G4419" t="s">
        <v>15</v>
      </c>
      <c r="H4419" t="s">
        <v>16</v>
      </c>
      <c r="I4419">
        <v>0</v>
      </c>
      <c r="J4419" s="23">
        <v>-1341</v>
      </c>
      <c r="K4419" t="s">
        <v>17</v>
      </c>
    </row>
    <row r="4420" spans="1:11" ht="15" customHeight="1" x14ac:dyDescent="0.3">
      <c r="A4420" t="s">
        <v>18</v>
      </c>
      <c r="B4420" t="s">
        <v>11</v>
      </c>
      <c r="C4420" t="s">
        <v>24</v>
      </c>
      <c r="D4420" t="s">
        <v>28</v>
      </c>
      <c r="E4420">
        <v>4</v>
      </c>
      <c r="F4420" t="s">
        <v>14</v>
      </c>
      <c r="G4420" t="s">
        <v>15</v>
      </c>
      <c r="H4420" t="s">
        <v>16</v>
      </c>
      <c r="I4420">
        <v>0</v>
      </c>
      <c r="J4420" s="23">
        <v>1402995</v>
      </c>
      <c r="K4420">
        <v>5611980</v>
      </c>
    </row>
    <row r="4421" spans="1:11" ht="15" customHeight="1" x14ac:dyDescent="0.3">
      <c r="A4421" t="s">
        <v>18</v>
      </c>
      <c r="B4421" t="s">
        <v>19</v>
      </c>
      <c r="C4421" t="s">
        <v>24</v>
      </c>
      <c r="D4421" t="s">
        <v>20</v>
      </c>
      <c r="E4421">
        <v>43</v>
      </c>
      <c r="F4421"/>
      <c r="G4421" t="s">
        <v>15</v>
      </c>
      <c r="H4421" t="s">
        <v>16</v>
      </c>
      <c r="I4421">
        <v>0</v>
      </c>
      <c r="J4421" s="23">
        <v>19366254</v>
      </c>
      <c r="K4421">
        <v>832748922</v>
      </c>
    </row>
    <row r="4422" spans="1:11" ht="15" customHeight="1" x14ac:dyDescent="0.3">
      <c r="A4422" t="s">
        <v>18</v>
      </c>
      <c r="B4422" t="s">
        <v>19</v>
      </c>
      <c r="C4422" t="s">
        <v>12</v>
      </c>
      <c r="D4422" t="s">
        <v>20</v>
      </c>
      <c r="E4422">
        <v>41</v>
      </c>
      <c r="F4422"/>
      <c r="G4422" t="s">
        <v>31</v>
      </c>
      <c r="H4422" t="s">
        <v>32</v>
      </c>
      <c r="I4422">
        <v>1</v>
      </c>
      <c r="J4422" s="23">
        <v>-24</v>
      </c>
      <c r="K4422" t="s">
        <v>17</v>
      </c>
    </row>
    <row r="4423" spans="1:11" ht="15" customHeight="1" x14ac:dyDescent="0.3">
      <c r="A4423" t="s">
        <v>18</v>
      </c>
      <c r="B4423" t="s">
        <v>11</v>
      </c>
      <c r="C4423" t="s">
        <v>24</v>
      </c>
      <c r="D4423" t="s">
        <v>25</v>
      </c>
      <c r="E4423">
        <v>4</v>
      </c>
      <c r="F4423" t="s">
        <v>46</v>
      </c>
      <c r="G4423" t="s">
        <v>15</v>
      </c>
      <c r="H4423" t="s">
        <v>16</v>
      </c>
      <c r="I4423">
        <v>0</v>
      </c>
      <c r="J4423" s="23">
        <v>35452</v>
      </c>
      <c r="K4423">
        <v>141808</v>
      </c>
    </row>
    <row r="4424" spans="1:11" ht="15" customHeight="1" x14ac:dyDescent="0.3">
      <c r="A4424" t="s">
        <v>18</v>
      </c>
      <c r="B4424" t="s">
        <v>11</v>
      </c>
      <c r="C4424" t="s">
        <v>12</v>
      </c>
      <c r="D4424" t="s">
        <v>13</v>
      </c>
      <c r="E4424">
        <v>4</v>
      </c>
      <c r="F4424" t="s">
        <v>40</v>
      </c>
      <c r="G4424" t="s">
        <v>15</v>
      </c>
      <c r="H4424" t="s">
        <v>16</v>
      </c>
      <c r="I4424">
        <v>0</v>
      </c>
      <c r="J4424" s="23">
        <v>-37596</v>
      </c>
      <c r="K4424" t="s">
        <v>17</v>
      </c>
    </row>
    <row r="4425" spans="1:11" ht="15" customHeight="1" x14ac:dyDescent="0.3">
      <c r="A4425" t="s">
        <v>10</v>
      </c>
      <c r="B4425" t="s">
        <v>11</v>
      </c>
      <c r="C4425" t="s">
        <v>12</v>
      </c>
      <c r="D4425" t="s">
        <v>25</v>
      </c>
      <c r="E4425">
        <v>1</v>
      </c>
      <c r="F4425" t="s">
        <v>23</v>
      </c>
      <c r="G4425" t="s">
        <v>15</v>
      </c>
      <c r="H4425" t="s">
        <v>16</v>
      </c>
      <c r="I4425">
        <v>0</v>
      </c>
      <c r="J4425" s="23">
        <v>-16230</v>
      </c>
      <c r="K4425" t="s">
        <v>17</v>
      </c>
    </row>
    <row r="4426" spans="1:11" ht="15" customHeight="1" x14ac:dyDescent="0.3">
      <c r="A4426" t="s">
        <v>10</v>
      </c>
      <c r="B4426" t="s">
        <v>11</v>
      </c>
      <c r="C4426" t="s">
        <v>12</v>
      </c>
      <c r="D4426" t="s">
        <v>28</v>
      </c>
      <c r="E4426">
        <v>5</v>
      </c>
      <c r="F4426" t="s">
        <v>21</v>
      </c>
      <c r="G4426" t="s">
        <v>15</v>
      </c>
      <c r="H4426" t="s">
        <v>32</v>
      </c>
      <c r="I4426">
        <v>1</v>
      </c>
      <c r="J4426" s="23">
        <v>-3307</v>
      </c>
      <c r="K4426" t="s">
        <v>17</v>
      </c>
    </row>
    <row r="4427" spans="1:11" ht="15" customHeight="1" x14ac:dyDescent="0.3">
      <c r="A4427" t="s">
        <v>10</v>
      </c>
      <c r="B4427" t="s">
        <v>19</v>
      </c>
      <c r="C4427" t="s">
        <v>24</v>
      </c>
      <c r="D4427" t="s">
        <v>20</v>
      </c>
      <c r="E4427">
        <v>6</v>
      </c>
      <c r="F4427"/>
      <c r="G4427" t="s">
        <v>15</v>
      </c>
      <c r="H4427" t="s">
        <v>16</v>
      </c>
      <c r="I4427">
        <v>0</v>
      </c>
      <c r="J4427" s="23">
        <v>15623276</v>
      </c>
      <c r="K4427">
        <v>93739656</v>
      </c>
    </row>
    <row r="4428" spans="1:11" ht="15" customHeight="1" x14ac:dyDescent="0.3">
      <c r="A4428" t="s">
        <v>10</v>
      </c>
      <c r="B4428" t="s">
        <v>19</v>
      </c>
      <c r="C4428" t="s">
        <v>12</v>
      </c>
      <c r="D4428" t="s">
        <v>20</v>
      </c>
      <c r="E4428">
        <v>31</v>
      </c>
      <c r="F4428"/>
      <c r="G4428" t="s">
        <v>15</v>
      </c>
      <c r="H4428" t="s">
        <v>32</v>
      </c>
      <c r="I4428">
        <v>1</v>
      </c>
      <c r="J4428" s="23">
        <v>-1968</v>
      </c>
      <c r="K4428" t="s">
        <v>17</v>
      </c>
    </row>
    <row r="4429" spans="1:11" ht="15" customHeight="1" x14ac:dyDescent="0.3">
      <c r="A4429" t="s">
        <v>22</v>
      </c>
      <c r="B4429" t="s">
        <v>11</v>
      </c>
      <c r="C4429" t="s">
        <v>12</v>
      </c>
      <c r="D4429" t="s">
        <v>13</v>
      </c>
      <c r="E4429">
        <v>1</v>
      </c>
      <c r="F4429" t="s">
        <v>34</v>
      </c>
      <c r="G4429" t="s">
        <v>15</v>
      </c>
      <c r="H4429" t="s">
        <v>16</v>
      </c>
      <c r="I4429">
        <v>0</v>
      </c>
      <c r="J4429" s="23">
        <v>-2510650</v>
      </c>
      <c r="K4429" t="s">
        <v>17</v>
      </c>
    </row>
    <row r="4430" spans="1:11" ht="15" customHeight="1" x14ac:dyDescent="0.3">
      <c r="A4430" t="s">
        <v>18</v>
      </c>
      <c r="B4430" t="s">
        <v>11</v>
      </c>
      <c r="C4430" t="s">
        <v>12</v>
      </c>
      <c r="D4430" t="s">
        <v>28</v>
      </c>
      <c r="E4430">
        <v>14</v>
      </c>
      <c r="F4430" t="s">
        <v>27</v>
      </c>
      <c r="G4430" t="s">
        <v>15</v>
      </c>
      <c r="H4430" t="s">
        <v>16</v>
      </c>
      <c r="I4430">
        <v>0</v>
      </c>
      <c r="J4430" s="23">
        <v>-227</v>
      </c>
      <c r="K4430" t="s">
        <v>17</v>
      </c>
    </row>
    <row r="4431" spans="1:11" ht="15" customHeight="1" x14ac:dyDescent="0.3">
      <c r="A4431" t="s">
        <v>10</v>
      </c>
      <c r="B4431" t="s">
        <v>11</v>
      </c>
      <c r="C4431" t="s">
        <v>24</v>
      </c>
      <c r="D4431" t="s">
        <v>13</v>
      </c>
      <c r="E4431">
        <v>2</v>
      </c>
      <c r="F4431" t="s">
        <v>42</v>
      </c>
      <c r="G4431" t="s">
        <v>15</v>
      </c>
      <c r="H4431" t="s">
        <v>16</v>
      </c>
      <c r="I4431">
        <v>0</v>
      </c>
      <c r="J4431" s="23">
        <v>1203443</v>
      </c>
      <c r="K4431">
        <v>2406886</v>
      </c>
    </row>
    <row r="4432" spans="1:11" ht="15" customHeight="1" x14ac:dyDescent="0.3">
      <c r="A4432" t="s">
        <v>18</v>
      </c>
      <c r="B4432" t="s">
        <v>11</v>
      </c>
      <c r="C4432" t="s">
        <v>24</v>
      </c>
      <c r="D4432" t="s">
        <v>28</v>
      </c>
      <c r="E4432">
        <v>5</v>
      </c>
      <c r="F4432" t="s">
        <v>33</v>
      </c>
      <c r="G4432" t="s">
        <v>15</v>
      </c>
      <c r="H4432" t="s">
        <v>16</v>
      </c>
      <c r="I4432">
        <v>0</v>
      </c>
      <c r="J4432" s="23">
        <v>272608</v>
      </c>
      <c r="K4432">
        <v>1363040</v>
      </c>
    </row>
    <row r="4433" spans="1:11" ht="15" customHeight="1" x14ac:dyDescent="0.3">
      <c r="A4433" t="s">
        <v>18</v>
      </c>
      <c r="B4433" t="s">
        <v>11</v>
      </c>
      <c r="C4433" t="s">
        <v>24</v>
      </c>
      <c r="D4433" t="s">
        <v>28</v>
      </c>
      <c r="E4433">
        <v>5</v>
      </c>
      <c r="F4433" t="s">
        <v>21</v>
      </c>
      <c r="G4433" t="s">
        <v>31</v>
      </c>
      <c r="H4433" t="s">
        <v>16</v>
      </c>
      <c r="I4433">
        <v>1</v>
      </c>
      <c r="J4433" s="23">
        <v>22186</v>
      </c>
      <c r="K4433">
        <v>110930</v>
      </c>
    </row>
    <row r="4434" spans="1:11" ht="15" customHeight="1" x14ac:dyDescent="0.3">
      <c r="A4434" t="s">
        <v>10</v>
      </c>
      <c r="B4434" t="s">
        <v>11</v>
      </c>
      <c r="C4434" t="s">
        <v>12</v>
      </c>
      <c r="D4434" t="s">
        <v>13</v>
      </c>
      <c r="E4434">
        <v>3</v>
      </c>
      <c r="F4434" t="s">
        <v>26</v>
      </c>
      <c r="G4434" t="s">
        <v>15</v>
      </c>
      <c r="H4434" t="s">
        <v>16</v>
      </c>
      <c r="I4434">
        <v>0</v>
      </c>
      <c r="J4434" s="23">
        <v>-276329</v>
      </c>
      <c r="K4434" t="s">
        <v>17</v>
      </c>
    </row>
    <row r="4435" spans="1:11" ht="15" customHeight="1" x14ac:dyDescent="0.3">
      <c r="A4435" t="s">
        <v>18</v>
      </c>
      <c r="B4435" t="s">
        <v>11</v>
      </c>
      <c r="C4435" t="s">
        <v>24</v>
      </c>
      <c r="D4435" t="s">
        <v>25</v>
      </c>
      <c r="E4435">
        <v>-1</v>
      </c>
      <c r="F4435" t="s">
        <v>41</v>
      </c>
      <c r="G4435" t="s">
        <v>15</v>
      </c>
      <c r="H4435" t="s">
        <v>16</v>
      </c>
      <c r="I4435">
        <v>0</v>
      </c>
      <c r="J4435" s="23">
        <v>307530</v>
      </c>
      <c r="K4435" t="s">
        <v>17</v>
      </c>
    </row>
    <row r="4436" spans="1:11" ht="15" customHeight="1" x14ac:dyDescent="0.3">
      <c r="A4436" t="s">
        <v>18</v>
      </c>
      <c r="B4436" t="s">
        <v>11</v>
      </c>
      <c r="C4436" t="s">
        <v>12</v>
      </c>
      <c r="D4436" t="s">
        <v>28</v>
      </c>
      <c r="E4436">
        <v>3</v>
      </c>
      <c r="F4436" t="s">
        <v>33</v>
      </c>
      <c r="G4436" t="s">
        <v>15</v>
      </c>
      <c r="H4436" t="s">
        <v>16</v>
      </c>
      <c r="I4436">
        <v>0</v>
      </c>
      <c r="J4436" s="23">
        <v>-1142</v>
      </c>
      <c r="K4436" t="s">
        <v>17</v>
      </c>
    </row>
    <row r="4437" spans="1:11" ht="15" customHeight="1" x14ac:dyDescent="0.3">
      <c r="A4437" t="s">
        <v>18</v>
      </c>
      <c r="B4437" t="s">
        <v>19</v>
      </c>
      <c r="C4437" t="s">
        <v>24</v>
      </c>
      <c r="D4437" t="s">
        <v>20</v>
      </c>
      <c r="E4437">
        <v>35</v>
      </c>
      <c r="F4437"/>
      <c r="G4437" t="s">
        <v>31</v>
      </c>
      <c r="H4437" t="s">
        <v>16</v>
      </c>
      <c r="I4437">
        <v>1</v>
      </c>
      <c r="J4437" s="23">
        <v>23226967</v>
      </c>
      <c r="K4437">
        <v>812943845</v>
      </c>
    </row>
    <row r="4438" spans="1:11" ht="15" customHeight="1" x14ac:dyDescent="0.3">
      <c r="A4438" t="s">
        <v>10</v>
      </c>
      <c r="B4438" t="s">
        <v>11</v>
      </c>
      <c r="C4438" t="s">
        <v>12</v>
      </c>
      <c r="D4438" t="s">
        <v>13</v>
      </c>
      <c r="E4438">
        <v>5</v>
      </c>
      <c r="F4438" t="s">
        <v>45</v>
      </c>
      <c r="G4438" t="s">
        <v>15</v>
      </c>
      <c r="H4438" t="s">
        <v>16</v>
      </c>
      <c r="I4438">
        <v>0</v>
      </c>
      <c r="J4438" s="23">
        <v>-20201</v>
      </c>
      <c r="K4438" t="s">
        <v>17</v>
      </c>
    </row>
    <row r="4439" spans="1:11" ht="15" customHeight="1" x14ac:dyDescent="0.3">
      <c r="A4439" t="s">
        <v>18</v>
      </c>
      <c r="B4439" t="s">
        <v>19</v>
      </c>
      <c r="C4439" t="s">
        <v>12</v>
      </c>
      <c r="D4439" t="s">
        <v>20</v>
      </c>
      <c r="E4439">
        <v>25</v>
      </c>
      <c r="F4439"/>
      <c r="G4439" t="s">
        <v>15</v>
      </c>
      <c r="H4439" t="s">
        <v>16</v>
      </c>
      <c r="I4439">
        <v>0</v>
      </c>
      <c r="J4439" s="23">
        <v>-331167</v>
      </c>
      <c r="K4439" t="s">
        <v>17</v>
      </c>
    </row>
    <row r="4440" spans="1:11" ht="15" customHeight="1" x14ac:dyDescent="0.3">
      <c r="A4440" t="s">
        <v>18</v>
      </c>
      <c r="B4440" t="s">
        <v>11</v>
      </c>
      <c r="C4440" t="s">
        <v>24</v>
      </c>
      <c r="D4440" t="s">
        <v>28</v>
      </c>
      <c r="E4440">
        <v>18</v>
      </c>
      <c r="F4440" t="s">
        <v>26</v>
      </c>
      <c r="G4440" t="s">
        <v>15</v>
      </c>
      <c r="H4440" t="s">
        <v>16</v>
      </c>
      <c r="I4440">
        <v>0</v>
      </c>
      <c r="J4440" s="23">
        <v>767176</v>
      </c>
      <c r="K4440">
        <v>13809168</v>
      </c>
    </row>
    <row r="4441" spans="1:11" ht="15" customHeight="1" x14ac:dyDescent="0.3">
      <c r="A4441" t="s">
        <v>18</v>
      </c>
      <c r="B4441" t="s">
        <v>19</v>
      </c>
      <c r="C4441" t="s">
        <v>12</v>
      </c>
      <c r="D4441" t="s">
        <v>20</v>
      </c>
      <c r="E4441">
        <v>17</v>
      </c>
      <c r="F4441"/>
      <c r="G4441" t="s">
        <v>15</v>
      </c>
      <c r="H4441" t="s">
        <v>16</v>
      </c>
      <c r="I4441">
        <v>0</v>
      </c>
      <c r="J4441" s="23">
        <v>-167438</v>
      </c>
      <c r="K4441" t="s">
        <v>17</v>
      </c>
    </row>
    <row r="4442" spans="1:11" ht="15" customHeight="1" x14ac:dyDescent="0.3">
      <c r="A4442" t="s">
        <v>22</v>
      </c>
      <c r="B4442" t="s">
        <v>11</v>
      </c>
      <c r="C4442" t="s">
        <v>12</v>
      </c>
      <c r="D4442" t="s">
        <v>13</v>
      </c>
      <c r="E4442">
        <v>-4</v>
      </c>
      <c r="F4442" t="s">
        <v>37</v>
      </c>
      <c r="G4442" t="s">
        <v>15</v>
      </c>
      <c r="H4442" t="s">
        <v>16</v>
      </c>
      <c r="I4442">
        <v>0</v>
      </c>
      <c r="J4442" s="23">
        <v>-117517</v>
      </c>
      <c r="K4442" t="s">
        <v>17</v>
      </c>
    </row>
    <row r="4443" spans="1:11" ht="15" customHeight="1" x14ac:dyDescent="0.3">
      <c r="A4443" t="s">
        <v>10</v>
      </c>
      <c r="B4443" t="s">
        <v>11</v>
      </c>
      <c r="C4443" t="s">
        <v>24</v>
      </c>
      <c r="D4443" t="s">
        <v>13</v>
      </c>
      <c r="E4443">
        <v>0</v>
      </c>
      <c r="F4443" t="s">
        <v>14</v>
      </c>
      <c r="G4443" t="s">
        <v>15</v>
      </c>
      <c r="H4443" t="s">
        <v>16</v>
      </c>
      <c r="I4443">
        <v>0</v>
      </c>
      <c r="J4443" s="23">
        <v>393618</v>
      </c>
      <c r="K4443" t="s">
        <v>17</v>
      </c>
    </row>
    <row r="4444" spans="1:11" ht="15" customHeight="1" x14ac:dyDescent="0.3">
      <c r="A4444" t="s">
        <v>22</v>
      </c>
      <c r="B4444" t="s">
        <v>11</v>
      </c>
      <c r="C4444" t="s">
        <v>24</v>
      </c>
      <c r="D4444" t="s">
        <v>25</v>
      </c>
      <c r="E4444">
        <v>4</v>
      </c>
      <c r="F4444" t="s">
        <v>40</v>
      </c>
      <c r="G4444" t="s">
        <v>15</v>
      </c>
      <c r="H4444" t="s">
        <v>16</v>
      </c>
      <c r="I4444">
        <v>0</v>
      </c>
      <c r="J4444" s="23">
        <v>99065</v>
      </c>
      <c r="K4444">
        <v>396260</v>
      </c>
    </row>
    <row r="4445" spans="1:11" ht="15" customHeight="1" x14ac:dyDescent="0.3">
      <c r="A4445" t="s">
        <v>10</v>
      </c>
      <c r="B4445" t="s">
        <v>19</v>
      </c>
      <c r="C4445" t="s">
        <v>12</v>
      </c>
      <c r="D4445" t="s">
        <v>20</v>
      </c>
      <c r="E4445">
        <v>21</v>
      </c>
      <c r="F4445"/>
      <c r="G4445" t="s">
        <v>15</v>
      </c>
      <c r="H4445" t="s">
        <v>32</v>
      </c>
      <c r="I4445">
        <v>1</v>
      </c>
      <c r="J4445" s="23">
        <v>-11211</v>
      </c>
      <c r="K4445" t="s">
        <v>17</v>
      </c>
    </row>
    <row r="4446" spans="1:11" ht="15" customHeight="1" x14ac:dyDescent="0.3">
      <c r="A4446" t="s">
        <v>18</v>
      </c>
      <c r="B4446" t="s">
        <v>11</v>
      </c>
      <c r="C4446" t="s">
        <v>24</v>
      </c>
      <c r="D4446" t="s">
        <v>28</v>
      </c>
      <c r="E4446">
        <v>18</v>
      </c>
      <c r="F4446" t="s">
        <v>39</v>
      </c>
      <c r="G4446" t="s">
        <v>15</v>
      </c>
      <c r="H4446" t="s">
        <v>16</v>
      </c>
      <c r="I4446">
        <v>0</v>
      </c>
      <c r="J4446" s="23">
        <v>311485</v>
      </c>
      <c r="K4446">
        <v>5606730</v>
      </c>
    </row>
    <row r="4447" spans="1:11" ht="15" customHeight="1" x14ac:dyDescent="0.3">
      <c r="A4447" t="s">
        <v>10</v>
      </c>
      <c r="B4447" t="s">
        <v>11</v>
      </c>
      <c r="C4447" t="s">
        <v>24</v>
      </c>
      <c r="D4447" t="s">
        <v>28</v>
      </c>
      <c r="E4447">
        <v>15</v>
      </c>
      <c r="F4447" t="s">
        <v>27</v>
      </c>
      <c r="G4447" t="s">
        <v>15</v>
      </c>
      <c r="H4447" t="s">
        <v>16</v>
      </c>
      <c r="I4447">
        <v>0</v>
      </c>
      <c r="J4447" s="23">
        <v>836150</v>
      </c>
      <c r="K4447">
        <v>12542250</v>
      </c>
    </row>
    <row r="4448" spans="1:11" ht="15" customHeight="1" x14ac:dyDescent="0.3">
      <c r="A4448" t="s">
        <v>10</v>
      </c>
      <c r="B4448" t="s">
        <v>11</v>
      </c>
      <c r="C4448" t="s">
        <v>24</v>
      </c>
      <c r="D4448" t="s">
        <v>13</v>
      </c>
      <c r="E4448">
        <v>8</v>
      </c>
      <c r="F4448" t="s">
        <v>26</v>
      </c>
      <c r="G4448" t="s">
        <v>15</v>
      </c>
      <c r="H4448" t="s">
        <v>16</v>
      </c>
      <c r="I4448">
        <v>0</v>
      </c>
      <c r="J4448" s="23">
        <v>114975</v>
      </c>
      <c r="K4448">
        <v>919800</v>
      </c>
    </row>
    <row r="4449" spans="1:11" ht="15" customHeight="1" x14ac:dyDescent="0.3">
      <c r="A4449" t="s">
        <v>18</v>
      </c>
      <c r="B4449" t="s">
        <v>11</v>
      </c>
      <c r="C4449" t="s">
        <v>12</v>
      </c>
      <c r="D4449" t="s">
        <v>13</v>
      </c>
      <c r="E4449">
        <v>2</v>
      </c>
      <c r="F4449" t="s">
        <v>38</v>
      </c>
      <c r="G4449" t="s">
        <v>15</v>
      </c>
      <c r="H4449" t="s">
        <v>16</v>
      </c>
      <c r="I4449">
        <v>0</v>
      </c>
      <c r="J4449" s="23">
        <v>-986</v>
      </c>
      <c r="K4449" t="s">
        <v>17</v>
      </c>
    </row>
    <row r="4450" spans="1:11" ht="15" customHeight="1" x14ac:dyDescent="0.3">
      <c r="A4450" t="s">
        <v>18</v>
      </c>
      <c r="B4450" t="s">
        <v>11</v>
      </c>
      <c r="C4450" t="s">
        <v>12</v>
      </c>
      <c r="D4450" t="s">
        <v>28</v>
      </c>
      <c r="E4450">
        <v>2</v>
      </c>
      <c r="F4450" t="s">
        <v>42</v>
      </c>
      <c r="G4450" t="s">
        <v>15</v>
      </c>
      <c r="H4450" t="s">
        <v>16</v>
      </c>
      <c r="I4450">
        <v>0</v>
      </c>
      <c r="J4450" s="23">
        <v>-2797</v>
      </c>
      <c r="K4450" t="s">
        <v>17</v>
      </c>
    </row>
    <row r="4451" spans="1:11" ht="15" customHeight="1" x14ac:dyDescent="0.3">
      <c r="A4451" t="s">
        <v>18</v>
      </c>
      <c r="B4451" t="s">
        <v>11</v>
      </c>
      <c r="C4451" t="s">
        <v>24</v>
      </c>
      <c r="D4451" t="s">
        <v>28</v>
      </c>
      <c r="E4451">
        <v>5</v>
      </c>
      <c r="F4451" t="s">
        <v>29</v>
      </c>
      <c r="G4451" t="s">
        <v>15</v>
      </c>
      <c r="H4451" t="s">
        <v>16</v>
      </c>
      <c r="I4451">
        <v>0</v>
      </c>
      <c r="J4451" s="23">
        <v>12251740</v>
      </c>
      <c r="K4451">
        <v>61258700</v>
      </c>
    </row>
    <row r="4452" spans="1:11" ht="15" customHeight="1" x14ac:dyDescent="0.3">
      <c r="A4452" t="s">
        <v>10</v>
      </c>
      <c r="B4452" t="s">
        <v>19</v>
      </c>
      <c r="C4452" t="s">
        <v>12</v>
      </c>
      <c r="D4452" t="s">
        <v>28</v>
      </c>
      <c r="E4452">
        <v>14</v>
      </c>
      <c r="F4452"/>
      <c r="G4452" t="s">
        <v>15</v>
      </c>
      <c r="H4452" t="s">
        <v>16</v>
      </c>
      <c r="I4452">
        <v>0</v>
      </c>
      <c r="J4452" s="23">
        <v>-19388</v>
      </c>
      <c r="K4452" t="s">
        <v>17</v>
      </c>
    </row>
    <row r="4453" spans="1:11" ht="15" customHeight="1" x14ac:dyDescent="0.3">
      <c r="A4453" t="s">
        <v>18</v>
      </c>
      <c r="B4453" t="s">
        <v>11</v>
      </c>
      <c r="C4453" t="s">
        <v>12</v>
      </c>
      <c r="D4453" t="s">
        <v>25</v>
      </c>
      <c r="E4453">
        <v>-1</v>
      </c>
      <c r="F4453" t="s">
        <v>30</v>
      </c>
      <c r="G4453" t="s">
        <v>15</v>
      </c>
      <c r="H4453" t="s">
        <v>16</v>
      </c>
      <c r="I4453">
        <v>0</v>
      </c>
      <c r="J4453" s="23">
        <v>-127</v>
      </c>
      <c r="K4453" t="s">
        <v>17</v>
      </c>
    </row>
    <row r="4454" spans="1:11" ht="15" customHeight="1" x14ac:dyDescent="0.3">
      <c r="A4454" t="s">
        <v>18</v>
      </c>
      <c r="B4454" t="s">
        <v>19</v>
      </c>
      <c r="C4454" t="s">
        <v>24</v>
      </c>
      <c r="D4454" t="s">
        <v>28</v>
      </c>
      <c r="E4454">
        <v>17</v>
      </c>
      <c r="F4454"/>
      <c r="G4454" t="s">
        <v>15</v>
      </c>
      <c r="H4454" t="s">
        <v>16</v>
      </c>
      <c r="I4454">
        <v>0</v>
      </c>
      <c r="J4454" s="23">
        <v>902193</v>
      </c>
      <c r="K4454">
        <v>15337281</v>
      </c>
    </row>
    <row r="4455" spans="1:11" ht="15" customHeight="1" x14ac:dyDescent="0.3">
      <c r="A4455" t="s">
        <v>22</v>
      </c>
      <c r="B4455" t="s">
        <v>11</v>
      </c>
      <c r="C4455" t="s">
        <v>12</v>
      </c>
      <c r="D4455" t="s">
        <v>25</v>
      </c>
      <c r="E4455">
        <v>2</v>
      </c>
      <c r="F4455" t="s">
        <v>23</v>
      </c>
      <c r="G4455" t="s">
        <v>15</v>
      </c>
      <c r="H4455" t="s">
        <v>16</v>
      </c>
      <c r="I4455">
        <v>0</v>
      </c>
      <c r="J4455" s="23">
        <v>-48646</v>
      </c>
      <c r="K4455" t="s">
        <v>17</v>
      </c>
    </row>
    <row r="4456" spans="1:11" ht="15" customHeight="1" x14ac:dyDescent="0.3">
      <c r="A4456" t="s">
        <v>18</v>
      </c>
      <c r="B4456" t="s">
        <v>11</v>
      </c>
      <c r="C4456" t="s">
        <v>12</v>
      </c>
      <c r="D4456" t="s">
        <v>13</v>
      </c>
      <c r="E4456">
        <v>9</v>
      </c>
      <c r="F4456" t="s">
        <v>33</v>
      </c>
      <c r="G4456" t="s">
        <v>15</v>
      </c>
      <c r="H4456" t="s">
        <v>16</v>
      </c>
      <c r="I4456">
        <v>0</v>
      </c>
      <c r="J4456" s="23">
        <v>-1170</v>
      </c>
      <c r="K4456" t="s">
        <v>17</v>
      </c>
    </row>
    <row r="4457" spans="1:11" ht="15" customHeight="1" x14ac:dyDescent="0.3">
      <c r="A4457" t="s">
        <v>18</v>
      </c>
      <c r="B4457" t="s">
        <v>11</v>
      </c>
      <c r="C4457" t="s">
        <v>12</v>
      </c>
      <c r="D4457" t="s">
        <v>28</v>
      </c>
      <c r="E4457">
        <v>14</v>
      </c>
      <c r="F4457" t="s">
        <v>14</v>
      </c>
      <c r="G4457" t="s">
        <v>15</v>
      </c>
      <c r="H4457" t="s">
        <v>16</v>
      </c>
      <c r="I4457">
        <v>0</v>
      </c>
      <c r="J4457" s="23">
        <v>-4980</v>
      </c>
      <c r="K4457" t="s">
        <v>17</v>
      </c>
    </row>
    <row r="4458" spans="1:11" ht="15" customHeight="1" x14ac:dyDescent="0.3">
      <c r="A4458" t="s">
        <v>18</v>
      </c>
      <c r="B4458" t="s">
        <v>11</v>
      </c>
      <c r="C4458" t="s">
        <v>12</v>
      </c>
      <c r="D4458" t="s">
        <v>28</v>
      </c>
      <c r="E4458">
        <v>13</v>
      </c>
      <c r="F4458" t="s">
        <v>23</v>
      </c>
      <c r="G4458" t="s">
        <v>31</v>
      </c>
      <c r="H4458" t="s">
        <v>16</v>
      </c>
      <c r="I4458">
        <v>1</v>
      </c>
      <c r="J4458" s="23">
        <v>-1625</v>
      </c>
      <c r="K4458" t="s">
        <v>17</v>
      </c>
    </row>
    <row r="4459" spans="1:11" ht="15" customHeight="1" x14ac:dyDescent="0.3">
      <c r="A4459" t="s">
        <v>10</v>
      </c>
      <c r="B4459" t="s">
        <v>11</v>
      </c>
      <c r="C4459" t="s">
        <v>12</v>
      </c>
      <c r="D4459" t="s">
        <v>25</v>
      </c>
      <c r="E4459">
        <v>-1</v>
      </c>
      <c r="F4459" t="s">
        <v>30</v>
      </c>
      <c r="G4459" t="s">
        <v>15</v>
      </c>
      <c r="H4459" t="s">
        <v>16</v>
      </c>
      <c r="I4459">
        <v>0</v>
      </c>
      <c r="J4459" s="23">
        <v>-4072</v>
      </c>
      <c r="K4459" t="s">
        <v>17</v>
      </c>
    </row>
    <row r="4460" spans="1:11" ht="15" customHeight="1" x14ac:dyDescent="0.3">
      <c r="A4460" t="s">
        <v>22</v>
      </c>
      <c r="B4460" t="s">
        <v>11</v>
      </c>
      <c r="C4460" t="s">
        <v>12</v>
      </c>
      <c r="D4460" t="s">
        <v>28</v>
      </c>
      <c r="E4460">
        <v>3</v>
      </c>
      <c r="F4460" t="s">
        <v>34</v>
      </c>
      <c r="G4460" t="s">
        <v>15</v>
      </c>
      <c r="H4460" t="s">
        <v>16</v>
      </c>
      <c r="I4460">
        <v>0</v>
      </c>
      <c r="J4460" s="23">
        <v>-86508</v>
      </c>
      <c r="K4460" t="s">
        <v>17</v>
      </c>
    </row>
    <row r="4461" spans="1:11" ht="15" customHeight="1" x14ac:dyDescent="0.3">
      <c r="A4461" t="s">
        <v>18</v>
      </c>
      <c r="B4461" t="s">
        <v>11</v>
      </c>
      <c r="C4461" t="s">
        <v>12</v>
      </c>
      <c r="D4461" t="s">
        <v>25</v>
      </c>
      <c r="E4461">
        <v>8</v>
      </c>
      <c r="F4461" t="s">
        <v>40</v>
      </c>
      <c r="G4461" t="s">
        <v>15</v>
      </c>
      <c r="H4461" t="s">
        <v>16</v>
      </c>
      <c r="I4461">
        <v>0</v>
      </c>
      <c r="J4461" s="23">
        <v>-29151</v>
      </c>
      <c r="K4461" t="s">
        <v>17</v>
      </c>
    </row>
    <row r="4462" spans="1:11" ht="15" customHeight="1" x14ac:dyDescent="0.3">
      <c r="A4462" t="s">
        <v>10</v>
      </c>
      <c r="B4462" t="s">
        <v>11</v>
      </c>
      <c r="C4462" t="s">
        <v>24</v>
      </c>
      <c r="D4462" t="s">
        <v>13</v>
      </c>
      <c r="E4462">
        <v>-1</v>
      </c>
      <c r="F4462" t="s">
        <v>40</v>
      </c>
      <c r="G4462" t="s">
        <v>15</v>
      </c>
      <c r="H4462" t="s">
        <v>16</v>
      </c>
      <c r="I4462">
        <v>0</v>
      </c>
      <c r="J4462" s="23">
        <v>7379031</v>
      </c>
      <c r="K4462" t="s">
        <v>17</v>
      </c>
    </row>
    <row r="4463" spans="1:11" ht="15" customHeight="1" x14ac:dyDescent="0.3">
      <c r="A4463" t="s">
        <v>18</v>
      </c>
      <c r="B4463" t="s">
        <v>47</v>
      </c>
      <c r="C4463" t="s">
        <v>24</v>
      </c>
      <c r="D4463" t="s">
        <v>28</v>
      </c>
      <c r="E4463">
        <v>5</v>
      </c>
      <c r="F4463" t="s">
        <v>46</v>
      </c>
      <c r="G4463" t="s">
        <v>15</v>
      </c>
      <c r="H4463" t="s">
        <v>16</v>
      </c>
      <c r="I4463">
        <v>0</v>
      </c>
      <c r="J4463" s="23">
        <v>38712</v>
      </c>
      <c r="K4463">
        <v>193560</v>
      </c>
    </row>
    <row r="4464" spans="1:11" ht="15" customHeight="1" x14ac:dyDescent="0.3">
      <c r="A4464" t="s">
        <v>22</v>
      </c>
      <c r="B4464" t="s">
        <v>11</v>
      </c>
      <c r="C4464" t="s">
        <v>12</v>
      </c>
      <c r="D4464" t="s">
        <v>25</v>
      </c>
      <c r="E4464">
        <v>0</v>
      </c>
      <c r="F4464" t="s">
        <v>30</v>
      </c>
      <c r="G4464" t="s">
        <v>15</v>
      </c>
      <c r="H4464" t="s">
        <v>16</v>
      </c>
      <c r="I4464">
        <v>0</v>
      </c>
      <c r="J4464" s="23">
        <v>-19835</v>
      </c>
      <c r="K4464" t="s">
        <v>17</v>
      </c>
    </row>
    <row r="4465" spans="1:11" ht="15" customHeight="1" x14ac:dyDescent="0.3">
      <c r="A4465" t="s">
        <v>10</v>
      </c>
      <c r="B4465" t="s">
        <v>11</v>
      </c>
      <c r="C4465" t="s">
        <v>24</v>
      </c>
      <c r="D4465" t="s">
        <v>13</v>
      </c>
      <c r="E4465">
        <v>6</v>
      </c>
      <c r="F4465" t="s">
        <v>14</v>
      </c>
      <c r="G4465" t="s">
        <v>15</v>
      </c>
      <c r="H4465" t="s">
        <v>16</v>
      </c>
      <c r="I4465">
        <v>0</v>
      </c>
      <c r="J4465" s="23">
        <v>3032107</v>
      </c>
      <c r="K4465">
        <v>18192642</v>
      </c>
    </row>
    <row r="4466" spans="1:11" ht="15" customHeight="1" x14ac:dyDescent="0.3">
      <c r="A4466" t="s">
        <v>10</v>
      </c>
      <c r="B4466" t="s">
        <v>11</v>
      </c>
      <c r="C4466" t="s">
        <v>24</v>
      </c>
      <c r="D4466" t="s">
        <v>13</v>
      </c>
      <c r="E4466">
        <v>14</v>
      </c>
      <c r="F4466" t="s">
        <v>23</v>
      </c>
      <c r="G4466" t="s">
        <v>15</v>
      </c>
      <c r="H4466" t="s">
        <v>16</v>
      </c>
      <c r="I4466">
        <v>0</v>
      </c>
      <c r="J4466" s="23">
        <v>39467</v>
      </c>
      <c r="K4466">
        <v>552538</v>
      </c>
    </row>
    <row r="4467" spans="1:11" ht="15" customHeight="1" x14ac:dyDescent="0.3">
      <c r="A4467" t="s">
        <v>18</v>
      </c>
      <c r="B4467" t="s">
        <v>11</v>
      </c>
      <c r="C4467" t="s">
        <v>12</v>
      </c>
      <c r="D4467" t="s">
        <v>13</v>
      </c>
      <c r="E4467">
        <v>0</v>
      </c>
      <c r="F4467" t="s">
        <v>41</v>
      </c>
      <c r="G4467" t="s">
        <v>15</v>
      </c>
      <c r="H4467" t="s">
        <v>16</v>
      </c>
      <c r="I4467">
        <v>0</v>
      </c>
      <c r="J4467" s="23">
        <v>-10475</v>
      </c>
      <c r="K4467" t="s">
        <v>17</v>
      </c>
    </row>
    <row r="4468" spans="1:11" ht="15" customHeight="1" x14ac:dyDescent="0.3">
      <c r="A4468" t="s">
        <v>22</v>
      </c>
      <c r="B4468" t="s">
        <v>11</v>
      </c>
      <c r="C4468" t="s">
        <v>24</v>
      </c>
      <c r="D4468" t="s">
        <v>13</v>
      </c>
      <c r="E4468">
        <v>1</v>
      </c>
      <c r="F4468" t="s">
        <v>42</v>
      </c>
      <c r="G4468" t="s">
        <v>15</v>
      </c>
      <c r="H4468" t="s">
        <v>16</v>
      </c>
      <c r="I4468">
        <v>0</v>
      </c>
      <c r="J4468" s="23">
        <v>212366</v>
      </c>
      <c r="K4468">
        <v>212366</v>
      </c>
    </row>
    <row r="4469" spans="1:11" ht="15" customHeight="1" x14ac:dyDescent="0.3">
      <c r="A4469" t="s">
        <v>22</v>
      </c>
      <c r="B4469" t="s">
        <v>11</v>
      </c>
      <c r="C4469" t="s">
        <v>12</v>
      </c>
      <c r="D4469" t="s">
        <v>13</v>
      </c>
      <c r="E4469">
        <v>4</v>
      </c>
      <c r="F4469" t="s">
        <v>40</v>
      </c>
      <c r="G4469" t="s">
        <v>15</v>
      </c>
      <c r="H4469" t="s">
        <v>16</v>
      </c>
      <c r="I4469">
        <v>0</v>
      </c>
      <c r="J4469" s="23">
        <v>-198251</v>
      </c>
      <c r="K4469" t="s">
        <v>17</v>
      </c>
    </row>
    <row r="4470" spans="1:11" ht="15" customHeight="1" x14ac:dyDescent="0.3">
      <c r="A4470" t="s">
        <v>22</v>
      </c>
      <c r="B4470" t="s">
        <v>11</v>
      </c>
      <c r="C4470" t="s">
        <v>24</v>
      </c>
      <c r="D4470" t="s">
        <v>28</v>
      </c>
      <c r="E4470">
        <v>2</v>
      </c>
      <c r="F4470" t="s">
        <v>14</v>
      </c>
      <c r="G4470" t="s">
        <v>15</v>
      </c>
      <c r="H4470" t="s">
        <v>16</v>
      </c>
      <c r="I4470">
        <v>0</v>
      </c>
      <c r="J4470" s="23">
        <v>87545</v>
      </c>
      <c r="K4470">
        <v>175090</v>
      </c>
    </row>
    <row r="4471" spans="1:11" ht="15" customHeight="1" x14ac:dyDescent="0.3">
      <c r="A4471" t="s">
        <v>18</v>
      </c>
      <c r="B4471" t="s">
        <v>11</v>
      </c>
      <c r="C4471" t="s">
        <v>24</v>
      </c>
      <c r="D4471" t="s">
        <v>28</v>
      </c>
      <c r="E4471">
        <v>4</v>
      </c>
      <c r="F4471" t="s">
        <v>27</v>
      </c>
      <c r="G4471" t="s">
        <v>15</v>
      </c>
      <c r="H4471" t="s">
        <v>16</v>
      </c>
      <c r="I4471">
        <v>0</v>
      </c>
      <c r="J4471" s="23">
        <v>169917</v>
      </c>
      <c r="K4471">
        <v>679668</v>
      </c>
    </row>
    <row r="4472" spans="1:11" ht="15" customHeight="1" x14ac:dyDescent="0.3">
      <c r="A4472" t="s">
        <v>22</v>
      </c>
      <c r="B4472" t="s">
        <v>11</v>
      </c>
      <c r="C4472" t="s">
        <v>12</v>
      </c>
      <c r="D4472" t="s">
        <v>28</v>
      </c>
      <c r="E4472">
        <v>13</v>
      </c>
      <c r="F4472" t="s">
        <v>23</v>
      </c>
      <c r="G4472" t="s">
        <v>15</v>
      </c>
      <c r="H4472" t="s">
        <v>16</v>
      </c>
      <c r="I4472">
        <v>0</v>
      </c>
      <c r="J4472" s="23">
        <v>-6631654</v>
      </c>
      <c r="K4472" t="s">
        <v>17</v>
      </c>
    </row>
    <row r="4473" spans="1:11" ht="15" customHeight="1" x14ac:dyDescent="0.3">
      <c r="A4473" t="s">
        <v>22</v>
      </c>
      <c r="B4473" t="s">
        <v>11</v>
      </c>
      <c r="C4473" t="s">
        <v>12</v>
      </c>
      <c r="D4473" t="s">
        <v>13</v>
      </c>
      <c r="E4473">
        <v>2</v>
      </c>
      <c r="F4473" t="s">
        <v>34</v>
      </c>
      <c r="G4473" t="s">
        <v>15</v>
      </c>
      <c r="H4473" t="s">
        <v>16</v>
      </c>
      <c r="I4473">
        <v>0</v>
      </c>
      <c r="J4473" s="23">
        <v>-2307748</v>
      </c>
      <c r="K4473" t="s">
        <v>17</v>
      </c>
    </row>
    <row r="4474" spans="1:11" ht="15" customHeight="1" x14ac:dyDescent="0.3">
      <c r="A4474" t="s">
        <v>18</v>
      </c>
      <c r="B4474" t="s">
        <v>11</v>
      </c>
      <c r="C4474" t="s">
        <v>12</v>
      </c>
      <c r="D4474" t="s">
        <v>13</v>
      </c>
      <c r="E4474">
        <v>2</v>
      </c>
      <c r="F4474" t="s">
        <v>45</v>
      </c>
      <c r="G4474" t="s">
        <v>15</v>
      </c>
      <c r="H4474" t="s">
        <v>16</v>
      </c>
      <c r="I4474">
        <v>0</v>
      </c>
      <c r="J4474" s="23">
        <v>-5389</v>
      </c>
      <c r="K4474" t="s">
        <v>17</v>
      </c>
    </row>
    <row r="4475" spans="1:11" ht="15" customHeight="1" x14ac:dyDescent="0.3">
      <c r="A4475" t="s">
        <v>18</v>
      </c>
      <c r="B4475" t="s">
        <v>11</v>
      </c>
      <c r="C4475" t="s">
        <v>12</v>
      </c>
      <c r="D4475" t="s">
        <v>28</v>
      </c>
      <c r="E4475">
        <v>13</v>
      </c>
      <c r="F4475" t="s">
        <v>30</v>
      </c>
      <c r="G4475" t="s">
        <v>15</v>
      </c>
      <c r="H4475" t="s">
        <v>16</v>
      </c>
      <c r="I4475">
        <v>0</v>
      </c>
      <c r="J4475" s="23">
        <v>-4721</v>
      </c>
      <c r="K4475" t="s">
        <v>17</v>
      </c>
    </row>
    <row r="4476" spans="1:11" ht="15" customHeight="1" x14ac:dyDescent="0.3">
      <c r="A4476" t="s">
        <v>10</v>
      </c>
      <c r="B4476" t="s">
        <v>11</v>
      </c>
      <c r="C4476" t="s">
        <v>12</v>
      </c>
      <c r="D4476" t="s">
        <v>28</v>
      </c>
      <c r="E4476">
        <v>0</v>
      </c>
      <c r="F4476" t="s">
        <v>29</v>
      </c>
      <c r="G4476" t="s">
        <v>15</v>
      </c>
      <c r="H4476" t="s">
        <v>32</v>
      </c>
      <c r="I4476">
        <v>1</v>
      </c>
      <c r="J4476" s="23">
        <v>-290</v>
      </c>
      <c r="K4476" t="s">
        <v>17</v>
      </c>
    </row>
    <row r="4477" spans="1:11" ht="15" customHeight="1" x14ac:dyDescent="0.3">
      <c r="A4477" t="s">
        <v>18</v>
      </c>
      <c r="B4477" t="s">
        <v>11</v>
      </c>
      <c r="C4477" t="s">
        <v>12</v>
      </c>
      <c r="D4477" t="s">
        <v>13</v>
      </c>
      <c r="E4477">
        <v>7</v>
      </c>
      <c r="F4477" t="s">
        <v>37</v>
      </c>
      <c r="G4477" t="s">
        <v>15</v>
      </c>
      <c r="H4477" t="s">
        <v>16</v>
      </c>
      <c r="I4477">
        <v>0</v>
      </c>
      <c r="J4477" s="23">
        <v>-3812</v>
      </c>
      <c r="K4477" t="s">
        <v>17</v>
      </c>
    </row>
    <row r="4478" spans="1:11" ht="15" customHeight="1" x14ac:dyDescent="0.3">
      <c r="A4478" t="s">
        <v>10</v>
      </c>
      <c r="B4478" t="s">
        <v>19</v>
      </c>
      <c r="C4478" t="s">
        <v>24</v>
      </c>
      <c r="D4478" t="s">
        <v>20</v>
      </c>
      <c r="E4478">
        <v>-4</v>
      </c>
      <c r="F4478"/>
      <c r="G4478" t="s">
        <v>15</v>
      </c>
      <c r="H4478" t="s">
        <v>16</v>
      </c>
      <c r="I4478">
        <v>0</v>
      </c>
      <c r="J4478" s="23">
        <v>1720</v>
      </c>
      <c r="K4478" t="s">
        <v>17</v>
      </c>
    </row>
    <row r="4479" spans="1:11" ht="15" customHeight="1" x14ac:dyDescent="0.3">
      <c r="A4479" t="s">
        <v>10</v>
      </c>
      <c r="B4479" t="s">
        <v>11</v>
      </c>
      <c r="C4479" t="s">
        <v>24</v>
      </c>
      <c r="D4479" t="s">
        <v>25</v>
      </c>
      <c r="E4479">
        <v>5</v>
      </c>
      <c r="F4479" t="s">
        <v>30</v>
      </c>
      <c r="G4479" t="s">
        <v>15</v>
      </c>
      <c r="H4479" t="s">
        <v>16</v>
      </c>
      <c r="I4479">
        <v>0</v>
      </c>
      <c r="J4479" s="23">
        <v>1895141</v>
      </c>
      <c r="K4479">
        <v>9475705</v>
      </c>
    </row>
    <row r="4480" spans="1:11" ht="15" customHeight="1" x14ac:dyDescent="0.3">
      <c r="A4480" t="s">
        <v>18</v>
      </c>
      <c r="B4480" t="s">
        <v>11</v>
      </c>
      <c r="C4480" t="s">
        <v>24</v>
      </c>
      <c r="D4480" t="s">
        <v>13</v>
      </c>
      <c r="E4480">
        <v>-4</v>
      </c>
      <c r="F4480" t="s">
        <v>38</v>
      </c>
      <c r="G4480" t="s">
        <v>15</v>
      </c>
      <c r="H4480" t="s">
        <v>16</v>
      </c>
      <c r="I4480">
        <v>0</v>
      </c>
      <c r="J4480" s="23">
        <v>333880</v>
      </c>
      <c r="K4480" t="s">
        <v>17</v>
      </c>
    </row>
    <row r="4481" spans="1:11" ht="15" customHeight="1" x14ac:dyDescent="0.3">
      <c r="A4481" t="s">
        <v>18</v>
      </c>
      <c r="B4481" t="s">
        <v>11</v>
      </c>
      <c r="C4481" t="s">
        <v>12</v>
      </c>
      <c r="D4481" t="s">
        <v>13</v>
      </c>
      <c r="E4481">
        <v>10</v>
      </c>
      <c r="F4481" t="s">
        <v>42</v>
      </c>
      <c r="G4481" t="s">
        <v>15</v>
      </c>
      <c r="H4481" t="s">
        <v>16</v>
      </c>
      <c r="I4481">
        <v>0</v>
      </c>
      <c r="J4481" s="23">
        <v>-9278</v>
      </c>
      <c r="K4481" t="s">
        <v>17</v>
      </c>
    </row>
    <row r="4482" spans="1:11" ht="15" customHeight="1" x14ac:dyDescent="0.3">
      <c r="A4482" t="s">
        <v>10</v>
      </c>
      <c r="B4482" t="s">
        <v>11</v>
      </c>
      <c r="C4482" t="s">
        <v>24</v>
      </c>
      <c r="D4482" t="s">
        <v>28</v>
      </c>
      <c r="E4482">
        <v>-4</v>
      </c>
      <c r="F4482" t="s">
        <v>26</v>
      </c>
      <c r="G4482" t="s">
        <v>15</v>
      </c>
      <c r="H4482" t="s">
        <v>16</v>
      </c>
      <c r="I4482">
        <v>0</v>
      </c>
      <c r="J4482" s="23">
        <v>1592</v>
      </c>
      <c r="K4482" t="s">
        <v>17</v>
      </c>
    </row>
    <row r="4483" spans="1:11" ht="15" customHeight="1" x14ac:dyDescent="0.3">
      <c r="A4483" t="s">
        <v>10</v>
      </c>
      <c r="B4483" t="s">
        <v>19</v>
      </c>
      <c r="C4483" t="s">
        <v>12</v>
      </c>
      <c r="D4483" t="s">
        <v>20</v>
      </c>
      <c r="E4483">
        <v>1</v>
      </c>
      <c r="F4483"/>
      <c r="G4483" t="s">
        <v>31</v>
      </c>
      <c r="H4483" t="s">
        <v>16</v>
      </c>
      <c r="I4483">
        <v>1</v>
      </c>
      <c r="J4483" s="23">
        <v>-152</v>
      </c>
      <c r="K4483" t="s">
        <v>17</v>
      </c>
    </row>
    <row r="4484" spans="1:11" ht="15" customHeight="1" x14ac:dyDescent="0.3">
      <c r="A4484" t="s">
        <v>10</v>
      </c>
      <c r="B4484" t="s">
        <v>11</v>
      </c>
      <c r="C4484" t="s">
        <v>12</v>
      </c>
      <c r="D4484" t="s">
        <v>28</v>
      </c>
      <c r="E4484">
        <v>4</v>
      </c>
      <c r="F4484" t="s">
        <v>34</v>
      </c>
      <c r="G4484" t="s">
        <v>15</v>
      </c>
      <c r="H4484" t="s">
        <v>16</v>
      </c>
      <c r="I4484">
        <v>0</v>
      </c>
      <c r="J4484" s="23">
        <v>-79374</v>
      </c>
      <c r="K4484" t="s">
        <v>17</v>
      </c>
    </row>
    <row r="4485" spans="1:11" ht="15" customHeight="1" x14ac:dyDescent="0.3">
      <c r="A4485" t="s">
        <v>18</v>
      </c>
      <c r="B4485" t="s">
        <v>11</v>
      </c>
      <c r="C4485" t="s">
        <v>12</v>
      </c>
      <c r="D4485" t="s">
        <v>28</v>
      </c>
      <c r="E4485">
        <v>4</v>
      </c>
      <c r="F4485" t="s">
        <v>21</v>
      </c>
      <c r="G4485" t="s">
        <v>15</v>
      </c>
      <c r="H4485" t="s">
        <v>16</v>
      </c>
      <c r="I4485">
        <v>0</v>
      </c>
      <c r="J4485" s="23">
        <v>-12818</v>
      </c>
      <c r="K4485" t="s">
        <v>17</v>
      </c>
    </row>
    <row r="4486" spans="1:11" ht="15" customHeight="1" x14ac:dyDescent="0.3">
      <c r="A4486" t="s">
        <v>22</v>
      </c>
      <c r="B4486" t="s">
        <v>11</v>
      </c>
      <c r="C4486" t="s">
        <v>24</v>
      </c>
      <c r="D4486" t="s">
        <v>13</v>
      </c>
      <c r="E4486">
        <v>-1</v>
      </c>
      <c r="F4486" t="s">
        <v>45</v>
      </c>
      <c r="G4486" t="s">
        <v>15</v>
      </c>
      <c r="H4486" t="s">
        <v>16</v>
      </c>
      <c r="I4486">
        <v>0</v>
      </c>
      <c r="J4486" s="23">
        <v>68407</v>
      </c>
      <c r="K4486" t="s">
        <v>17</v>
      </c>
    </row>
    <row r="4487" spans="1:11" ht="15" customHeight="1" x14ac:dyDescent="0.3">
      <c r="A4487" t="s">
        <v>10</v>
      </c>
      <c r="B4487" t="s">
        <v>11</v>
      </c>
      <c r="C4487" t="s">
        <v>12</v>
      </c>
      <c r="D4487" t="s">
        <v>13</v>
      </c>
      <c r="E4487">
        <v>8</v>
      </c>
      <c r="F4487" t="s">
        <v>30</v>
      </c>
      <c r="G4487" t="s">
        <v>15</v>
      </c>
      <c r="H4487" t="s">
        <v>16</v>
      </c>
      <c r="I4487">
        <v>0</v>
      </c>
      <c r="J4487" s="23">
        <v>-96433</v>
      </c>
      <c r="K4487" t="s">
        <v>17</v>
      </c>
    </row>
    <row r="4488" spans="1:11" ht="15" customHeight="1" x14ac:dyDescent="0.3">
      <c r="A4488" t="s">
        <v>18</v>
      </c>
      <c r="B4488" t="s">
        <v>11</v>
      </c>
      <c r="C4488" t="s">
        <v>12</v>
      </c>
      <c r="D4488" t="s">
        <v>13</v>
      </c>
      <c r="E4488">
        <v>6</v>
      </c>
      <c r="F4488" t="s">
        <v>30</v>
      </c>
      <c r="G4488" t="s">
        <v>15</v>
      </c>
      <c r="H4488" t="s">
        <v>16</v>
      </c>
      <c r="I4488">
        <v>0</v>
      </c>
      <c r="J4488" s="23">
        <v>-52854</v>
      </c>
      <c r="K4488" t="s">
        <v>17</v>
      </c>
    </row>
    <row r="4489" spans="1:11" ht="15" customHeight="1" x14ac:dyDescent="0.3">
      <c r="A4489" t="s">
        <v>18</v>
      </c>
      <c r="B4489" t="s">
        <v>11</v>
      </c>
      <c r="C4489" t="s">
        <v>24</v>
      </c>
      <c r="D4489" t="s">
        <v>28</v>
      </c>
      <c r="E4489">
        <v>10</v>
      </c>
      <c r="F4489" t="s">
        <v>23</v>
      </c>
      <c r="G4489" t="s">
        <v>15</v>
      </c>
      <c r="H4489" t="s">
        <v>16</v>
      </c>
      <c r="I4489">
        <v>0</v>
      </c>
      <c r="J4489" s="23">
        <v>25910742</v>
      </c>
      <c r="K4489">
        <v>259107420</v>
      </c>
    </row>
    <row r="4490" spans="1:11" ht="15" customHeight="1" x14ac:dyDescent="0.3">
      <c r="A4490" t="s">
        <v>18</v>
      </c>
      <c r="B4490" t="s">
        <v>11</v>
      </c>
      <c r="C4490" t="s">
        <v>24</v>
      </c>
      <c r="D4490" t="s">
        <v>28</v>
      </c>
      <c r="E4490">
        <v>16</v>
      </c>
      <c r="F4490" t="s">
        <v>30</v>
      </c>
      <c r="G4490" t="s">
        <v>15</v>
      </c>
      <c r="H4490" t="s">
        <v>16</v>
      </c>
      <c r="I4490">
        <v>0</v>
      </c>
      <c r="J4490" s="23">
        <v>267500</v>
      </c>
      <c r="K4490">
        <v>4280000</v>
      </c>
    </row>
    <row r="4491" spans="1:11" ht="15" customHeight="1" x14ac:dyDescent="0.3">
      <c r="A4491" t="s">
        <v>10</v>
      </c>
      <c r="B4491" t="s">
        <v>11</v>
      </c>
      <c r="C4491" t="s">
        <v>24</v>
      </c>
      <c r="D4491" t="s">
        <v>28</v>
      </c>
      <c r="E4491">
        <v>5</v>
      </c>
      <c r="F4491" t="s">
        <v>27</v>
      </c>
      <c r="G4491" t="s">
        <v>15</v>
      </c>
      <c r="H4491" t="s">
        <v>16</v>
      </c>
      <c r="I4491">
        <v>0</v>
      </c>
      <c r="J4491" s="23">
        <v>26104</v>
      </c>
      <c r="K4491">
        <v>130520</v>
      </c>
    </row>
    <row r="4492" spans="1:11" ht="15" customHeight="1" x14ac:dyDescent="0.3">
      <c r="A4492" t="s">
        <v>18</v>
      </c>
      <c r="B4492" t="s">
        <v>11</v>
      </c>
      <c r="C4492" t="s">
        <v>12</v>
      </c>
      <c r="D4492" t="s">
        <v>25</v>
      </c>
      <c r="E4492">
        <v>3</v>
      </c>
      <c r="F4492" t="s">
        <v>23</v>
      </c>
      <c r="G4492" t="s">
        <v>15</v>
      </c>
      <c r="H4492" t="s">
        <v>16</v>
      </c>
      <c r="I4492">
        <v>0</v>
      </c>
      <c r="J4492" s="23">
        <v>-4399</v>
      </c>
      <c r="K4492" t="s">
        <v>17</v>
      </c>
    </row>
    <row r="4493" spans="1:11" ht="15" customHeight="1" x14ac:dyDescent="0.3">
      <c r="A4493" t="s">
        <v>22</v>
      </c>
      <c r="B4493" t="s">
        <v>19</v>
      </c>
      <c r="C4493" t="s">
        <v>24</v>
      </c>
      <c r="D4493" t="s">
        <v>20</v>
      </c>
      <c r="E4493">
        <v>27</v>
      </c>
      <c r="F4493"/>
      <c r="G4493" t="s">
        <v>15</v>
      </c>
      <c r="H4493" t="s">
        <v>16</v>
      </c>
      <c r="I4493">
        <v>0</v>
      </c>
      <c r="J4493" s="23">
        <v>7669143</v>
      </c>
      <c r="K4493">
        <v>207066861</v>
      </c>
    </row>
    <row r="4494" spans="1:11" ht="15" customHeight="1" x14ac:dyDescent="0.3">
      <c r="A4494" t="s">
        <v>10</v>
      </c>
      <c r="B4494" t="s">
        <v>11</v>
      </c>
      <c r="C4494" t="s">
        <v>24</v>
      </c>
      <c r="D4494" t="s">
        <v>28</v>
      </c>
      <c r="E4494">
        <v>12</v>
      </c>
      <c r="F4494" t="s">
        <v>39</v>
      </c>
      <c r="G4494" t="s">
        <v>15</v>
      </c>
      <c r="H4494" t="s">
        <v>16</v>
      </c>
      <c r="I4494">
        <v>0</v>
      </c>
      <c r="J4494" s="23">
        <v>415624</v>
      </c>
      <c r="K4494">
        <v>4987488</v>
      </c>
    </row>
    <row r="4495" spans="1:11" ht="15" customHeight="1" x14ac:dyDescent="0.3">
      <c r="A4495" t="s">
        <v>22</v>
      </c>
      <c r="B4495" t="s">
        <v>11</v>
      </c>
      <c r="C4495" t="s">
        <v>12</v>
      </c>
      <c r="D4495" t="s">
        <v>13</v>
      </c>
      <c r="E4495">
        <v>5</v>
      </c>
      <c r="F4495" t="s">
        <v>23</v>
      </c>
      <c r="G4495" t="s">
        <v>15</v>
      </c>
      <c r="H4495" t="s">
        <v>16</v>
      </c>
      <c r="I4495">
        <v>0</v>
      </c>
      <c r="J4495" s="23">
        <v>-110320</v>
      </c>
      <c r="K4495" t="s">
        <v>17</v>
      </c>
    </row>
    <row r="4496" spans="1:11" ht="15" customHeight="1" x14ac:dyDescent="0.3">
      <c r="A4496" t="s">
        <v>18</v>
      </c>
      <c r="B4496" t="s">
        <v>11</v>
      </c>
      <c r="C4496" t="s">
        <v>12</v>
      </c>
      <c r="D4496" t="s">
        <v>28</v>
      </c>
      <c r="E4496">
        <v>8</v>
      </c>
      <c r="F4496" t="s">
        <v>40</v>
      </c>
      <c r="G4496" t="s">
        <v>31</v>
      </c>
      <c r="H4496" t="s">
        <v>16</v>
      </c>
      <c r="I4496">
        <v>1</v>
      </c>
      <c r="J4496" s="23">
        <v>-64</v>
      </c>
      <c r="K4496" t="s">
        <v>17</v>
      </c>
    </row>
    <row r="4497" spans="1:11" ht="15" customHeight="1" x14ac:dyDescent="0.3">
      <c r="A4497" t="s">
        <v>10</v>
      </c>
      <c r="B4497" t="s">
        <v>11</v>
      </c>
      <c r="C4497" t="s">
        <v>12</v>
      </c>
      <c r="D4497" t="s">
        <v>13</v>
      </c>
      <c r="E4497">
        <v>4</v>
      </c>
      <c r="F4497" t="s">
        <v>40</v>
      </c>
      <c r="G4497" t="s">
        <v>15</v>
      </c>
      <c r="H4497" t="s">
        <v>16</v>
      </c>
      <c r="I4497">
        <v>0</v>
      </c>
      <c r="J4497" s="23">
        <v>-143937</v>
      </c>
      <c r="K4497" t="s">
        <v>17</v>
      </c>
    </row>
    <row r="4498" spans="1:11" ht="15" customHeight="1" x14ac:dyDescent="0.3">
      <c r="A4498" t="s">
        <v>22</v>
      </c>
      <c r="B4498" t="s">
        <v>19</v>
      </c>
      <c r="C4498" t="s">
        <v>12</v>
      </c>
      <c r="D4498" t="s">
        <v>28</v>
      </c>
      <c r="E4498">
        <v>34</v>
      </c>
      <c r="F4498"/>
      <c r="G4498" t="s">
        <v>15</v>
      </c>
      <c r="H4498" t="s">
        <v>16</v>
      </c>
      <c r="I4498">
        <v>0</v>
      </c>
      <c r="J4498" s="23">
        <v>-32484</v>
      </c>
      <c r="K4498" t="s">
        <v>17</v>
      </c>
    </row>
    <row r="4499" spans="1:11" ht="15" customHeight="1" x14ac:dyDescent="0.3">
      <c r="A4499" t="s">
        <v>18</v>
      </c>
      <c r="B4499" t="s">
        <v>11</v>
      </c>
      <c r="C4499" t="s">
        <v>24</v>
      </c>
      <c r="D4499" t="s">
        <v>28</v>
      </c>
      <c r="E4499">
        <v>1</v>
      </c>
      <c r="F4499" t="s">
        <v>30</v>
      </c>
      <c r="G4499" t="s">
        <v>15</v>
      </c>
      <c r="H4499" t="s">
        <v>16</v>
      </c>
      <c r="I4499">
        <v>0</v>
      </c>
      <c r="J4499" s="23">
        <v>2032063</v>
      </c>
      <c r="K4499">
        <v>2032063</v>
      </c>
    </row>
    <row r="4500" spans="1:11" ht="15" customHeight="1" x14ac:dyDescent="0.3">
      <c r="A4500" t="s">
        <v>18</v>
      </c>
      <c r="B4500" t="s">
        <v>11</v>
      </c>
      <c r="C4500" t="s">
        <v>24</v>
      </c>
      <c r="D4500" t="s">
        <v>13</v>
      </c>
      <c r="E4500">
        <v>-1</v>
      </c>
      <c r="F4500" t="s">
        <v>14</v>
      </c>
      <c r="G4500" t="s">
        <v>15</v>
      </c>
      <c r="H4500" t="s">
        <v>16</v>
      </c>
      <c r="I4500">
        <v>0</v>
      </c>
      <c r="J4500" s="23">
        <v>11770684</v>
      </c>
      <c r="K4500" t="s">
        <v>17</v>
      </c>
    </row>
    <row r="4501" spans="1:11" ht="15" customHeight="1" x14ac:dyDescent="0.3">
      <c r="A4501" t="s">
        <v>18</v>
      </c>
      <c r="B4501" t="s">
        <v>11</v>
      </c>
      <c r="C4501" t="s">
        <v>24</v>
      </c>
      <c r="D4501" t="s">
        <v>28</v>
      </c>
      <c r="E4501">
        <v>6</v>
      </c>
      <c r="F4501" t="s">
        <v>35</v>
      </c>
      <c r="G4501" t="s">
        <v>15</v>
      </c>
      <c r="H4501" t="s">
        <v>16</v>
      </c>
      <c r="I4501">
        <v>0</v>
      </c>
      <c r="J4501" s="23">
        <v>139235</v>
      </c>
      <c r="K4501">
        <v>835410</v>
      </c>
    </row>
    <row r="4502" spans="1:11" ht="15" customHeight="1" x14ac:dyDescent="0.3">
      <c r="A4502" t="s">
        <v>10</v>
      </c>
      <c r="B4502" t="s">
        <v>11</v>
      </c>
      <c r="C4502" t="s">
        <v>12</v>
      </c>
      <c r="D4502" t="s">
        <v>13</v>
      </c>
      <c r="E4502">
        <v>-1</v>
      </c>
      <c r="F4502" t="s">
        <v>33</v>
      </c>
      <c r="G4502" t="s">
        <v>15</v>
      </c>
      <c r="H4502" t="s">
        <v>16</v>
      </c>
      <c r="I4502">
        <v>0</v>
      </c>
      <c r="J4502" s="23">
        <v>-503563</v>
      </c>
      <c r="K4502" t="s">
        <v>17</v>
      </c>
    </row>
    <row r="4503" spans="1:11" ht="15" customHeight="1" x14ac:dyDescent="0.3">
      <c r="A4503" t="s">
        <v>10</v>
      </c>
      <c r="B4503" t="s">
        <v>19</v>
      </c>
      <c r="C4503" t="s">
        <v>12</v>
      </c>
      <c r="D4503" t="s">
        <v>20</v>
      </c>
      <c r="E4503">
        <v>37</v>
      </c>
      <c r="F4503"/>
      <c r="G4503" t="s">
        <v>31</v>
      </c>
      <c r="H4503" t="s">
        <v>16</v>
      </c>
      <c r="I4503">
        <v>1</v>
      </c>
      <c r="J4503" s="23">
        <v>-45581</v>
      </c>
      <c r="K4503" t="s">
        <v>17</v>
      </c>
    </row>
    <row r="4504" spans="1:11" ht="15" customHeight="1" x14ac:dyDescent="0.3">
      <c r="A4504" t="s">
        <v>10</v>
      </c>
      <c r="B4504" t="s">
        <v>11</v>
      </c>
      <c r="C4504" t="s">
        <v>24</v>
      </c>
      <c r="D4504" t="s">
        <v>25</v>
      </c>
      <c r="E4504">
        <v>-1</v>
      </c>
      <c r="F4504" t="s">
        <v>21</v>
      </c>
      <c r="G4504" t="s">
        <v>15</v>
      </c>
      <c r="H4504" t="s">
        <v>16</v>
      </c>
      <c r="I4504">
        <v>0</v>
      </c>
      <c r="J4504" s="23">
        <v>486832</v>
      </c>
      <c r="K4504" t="s">
        <v>17</v>
      </c>
    </row>
    <row r="4505" spans="1:11" ht="15" customHeight="1" x14ac:dyDescent="0.3">
      <c r="A4505" t="s">
        <v>18</v>
      </c>
      <c r="B4505" t="s">
        <v>11</v>
      </c>
      <c r="C4505" t="s">
        <v>24</v>
      </c>
      <c r="D4505" t="s">
        <v>13</v>
      </c>
      <c r="E4505">
        <v>9</v>
      </c>
      <c r="F4505" t="s">
        <v>33</v>
      </c>
      <c r="G4505" t="s">
        <v>15</v>
      </c>
      <c r="H4505" t="s">
        <v>16</v>
      </c>
      <c r="I4505">
        <v>0</v>
      </c>
      <c r="J4505" s="23">
        <v>344771</v>
      </c>
      <c r="K4505">
        <v>3102939</v>
      </c>
    </row>
    <row r="4506" spans="1:11" ht="15" customHeight="1" x14ac:dyDescent="0.3">
      <c r="A4506" t="s">
        <v>10</v>
      </c>
      <c r="B4506" t="s">
        <v>11</v>
      </c>
      <c r="C4506" t="s">
        <v>12</v>
      </c>
      <c r="D4506" t="s">
        <v>28</v>
      </c>
      <c r="E4506">
        <v>-4</v>
      </c>
      <c r="F4506" t="s">
        <v>14</v>
      </c>
      <c r="G4506" t="s">
        <v>31</v>
      </c>
      <c r="H4506" t="s">
        <v>16</v>
      </c>
      <c r="I4506">
        <v>1</v>
      </c>
      <c r="J4506" s="23">
        <v>-44</v>
      </c>
      <c r="K4506" t="s">
        <v>17</v>
      </c>
    </row>
    <row r="4507" spans="1:11" ht="15" customHeight="1" x14ac:dyDescent="0.3">
      <c r="A4507" t="s">
        <v>22</v>
      </c>
      <c r="B4507" t="s">
        <v>19</v>
      </c>
      <c r="C4507" t="s">
        <v>12</v>
      </c>
      <c r="D4507" t="s">
        <v>20</v>
      </c>
      <c r="E4507">
        <v>42</v>
      </c>
      <c r="F4507"/>
      <c r="G4507" t="s">
        <v>15</v>
      </c>
      <c r="H4507" t="s">
        <v>16</v>
      </c>
      <c r="I4507">
        <v>0</v>
      </c>
      <c r="J4507" s="23">
        <v>-298050</v>
      </c>
      <c r="K4507" t="s">
        <v>17</v>
      </c>
    </row>
    <row r="4508" spans="1:11" ht="15" customHeight="1" x14ac:dyDescent="0.3">
      <c r="A4508" t="s">
        <v>18</v>
      </c>
      <c r="B4508" t="s">
        <v>11</v>
      </c>
      <c r="C4508" t="s">
        <v>24</v>
      </c>
      <c r="D4508" t="s">
        <v>28</v>
      </c>
      <c r="E4508">
        <v>1</v>
      </c>
      <c r="F4508" t="s">
        <v>29</v>
      </c>
      <c r="G4508" t="s">
        <v>15</v>
      </c>
      <c r="H4508" t="s">
        <v>32</v>
      </c>
      <c r="I4508">
        <v>1</v>
      </c>
      <c r="J4508" s="23">
        <v>497998</v>
      </c>
      <c r="K4508">
        <v>497998</v>
      </c>
    </row>
    <row r="4509" spans="1:11" ht="15" customHeight="1" x14ac:dyDescent="0.3">
      <c r="A4509" t="s">
        <v>10</v>
      </c>
      <c r="B4509" t="s">
        <v>19</v>
      </c>
      <c r="C4509" t="s">
        <v>12</v>
      </c>
      <c r="D4509" t="s">
        <v>28</v>
      </c>
      <c r="E4509">
        <v>1</v>
      </c>
      <c r="F4509"/>
      <c r="G4509" t="s">
        <v>15</v>
      </c>
      <c r="H4509" t="s">
        <v>16</v>
      </c>
      <c r="I4509">
        <v>0</v>
      </c>
      <c r="J4509" s="23">
        <v>-2144</v>
      </c>
      <c r="K4509" t="s">
        <v>17</v>
      </c>
    </row>
    <row r="4510" spans="1:11" ht="15" customHeight="1" x14ac:dyDescent="0.3">
      <c r="A4510" t="s">
        <v>22</v>
      </c>
      <c r="B4510" t="s">
        <v>19</v>
      </c>
      <c r="C4510" t="s">
        <v>12</v>
      </c>
      <c r="D4510" t="s">
        <v>20</v>
      </c>
      <c r="E4510">
        <v>15</v>
      </c>
      <c r="F4510"/>
      <c r="G4510" t="s">
        <v>15</v>
      </c>
      <c r="H4510" t="s">
        <v>32</v>
      </c>
      <c r="I4510">
        <v>1</v>
      </c>
      <c r="J4510" s="23">
        <v>-34389</v>
      </c>
      <c r="K4510" t="s">
        <v>17</v>
      </c>
    </row>
    <row r="4511" spans="1:11" ht="15" customHeight="1" x14ac:dyDescent="0.3">
      <c r="A4511" t="s">
        <v>10</v>
      </c>
      <c r="B4511" t="s">
        <v>11</v>
      </c>
      <c r="C4511" t="s">
        <v>24</v>
      </c>
      <c r="D4511" t="s">
        <v>25</v>
      </c>
      <c r="E4511">
        <v>4</v>
      </c>
      <c r="F4511" t="s">
        <v>38</v>
      </c>
      <c r="G4511" t="s">
        <v>15</v>
      </c>
      <c r="H4511" t="s">
        <v>16</v>
      </c>
      <c r="I4511">
        <v>0</v>
      </c>
      <c r="J4511" s="23">
        <v>60506</v>
      </c>
      <c r="K4511">
        <v>242024</v>
      </c>
    </row>
    <row r="4512" spans="1:11" ht="15" customHeight="1" x14ac:dyDescent="0.3">
      <c r="A4512" t="s">
        <v>18</v>
      </c>
      <c r="B4512" t="s">
        <v>19</v>
      </c>
      <c r="C4512" t="s">
        <v>12</v>
      </c>
      <c r="D4512" t="s">
        <v>20</v>
      </c>
      <c r="E4512">
        <v>20</v>
      </c>
      <c r="F4512"/>
      <c r="G4512" t="s">
        <v>31</v>
      </c>
      <c r="H4512" t="s">
        <v>16</v>
      </c>
      <c r="I4512">
        <v>1</v>
      </c>
      <c r="J4512" s="23">
        <v>-3608</v>
      </c>
      <c r="K4512" t="s">
        <v>17</v>
      </c>
    </row>
    <row r="4513" spans="1:11" ht="15" customHeight="1" x14ac:dyDescent="0.3">
      <c r="A4513" t="s">
        <v>22</v>
      </c>
      <c r="B4513" t="s">
        <v>11</v>
      </c>
      <c r="C4513" t="s">
        <v>24</v>
      </c>
      <c r="D4513" t="s">
        <v>25</v>
      </c>
      <c r="E4513">
        <v>6</v>
      </c>
      <c r="F4513" t="s">
        <v>40</v>
      </c>
      <c r="G4513" t="s">
        <v>15</v>
      </c>
      <c r="H4513" t="s">
        <v>16</v>
      </c>
      <c r="I4513">
        <v>0</v>
      </c>
      <c r="J4513" s="23">
        <v>9060970</v>
      </c>
      <c r="K4513">
        <v>54365820</v>
      </c>
    </row>
    <row r="4514" spans="1:11" ht="15" customHeight="1" x14ac:dyDescent="0.3">
      <c r="A4514" t="s">
        <v>22</v>
      </c>
      <c r="B4514" t="s">
        <v>11</v>
      </c>
      <c r="C4514" t="s">
        <v>12</v>
      </c>
      <c r="D4514" t="s">
        <v>13</v>
      </c>
      <c r="E4514">
        <v>3</v>
      </c>
      <c r="F4514" t="s">
        <v>39</v>
      </c>
      <c r="G4514" t="s">
        <v>15</v>
      </c>
      <c r="H4514" t="s">
        <v>16</v>
      </c>
      <c r="I4514">
        <v>0</v>
      </c>
      <c r="J4514" s="23">
        <v>-139211</v>
      </c>
      <c r="K4514" t="s">
        <v>17</v>
      </c>
    </row>
    <row r="4515" spans="1:11" ht="15" customHeight="1" x14ac:dyDescent="0.3">
      <c r="A4515" t="s">
        <v>10</v>
      </c>
      <c r="B4515" t="s">
        <v>11</v>
      </c>
      <c r="C4515" t="s">
        <v>12</v>
      </c>
      <c r="D4515" t="s">
        <v>28</v>
      </c>
      <c r="E4515">
        <v>8</v>
      </c>
      <c r="F4515" t="s">
        <v>30</v>
      </c>
      <c r="G4515" t="s">
        <v>15</v>
      </c>
      <c r="H4515" t="s">
        <v>16</v>
      </c>
      <c r="I4515">
        <v>0</v>
      </c>
      <c r="J4515" s="23">
        <v>-44666</v>
      </c>
      <c r="K4515" t="s">
        <v>17</v>
      </c>
    </row>
    <row r="4516" spans="1:11" ht="15" customHeight="1" x14ac:dyDescent="0.3">
      <c r="A4516" t="s">
        <v>18</v>
      </c>
      <c r="B4516" t="s">
        <v>19</v>
      </c>
      <c r="C4516" t="s">
        <v>12</v>
      </c>
      <c r="D4516" t="s">
        <v>20</v>
      </c>
      <c r="E4516">
        <v>34</v>
      </c>
      <c r="F4516"/>
      <c r="G4516" t="s">
        <v>15</v>
      </c>
      <c r="H4516" t="s">
        <v>32</v>
      </c>
      <c r="I4516">
        <v>1</v>
      </c>
      <c r="J4516" s="23">
        <v>-521</v>
      </c>
      <c r="K4516" t="s">
        <v>17</v>
      </c>
    </row>
    <row r="4517" spans="1:11" ht="15" customHeight="1" x14ac:dyDescent="0.3">
      <c r="A4517" t="s">
        <v>10</v>
      </c>
      <c r="B4517" t="s">
        <v>19</v>
      </c>
      <c r="C4517" t="s">
        <v>12</v>
      </c>
      <c r="D4517" t="s">
        <v>28</v>
      </c>
      <c r="E4517">
        <v>1</v>
      </c>
      <c r="F4517"/>
      <c r="G4517" t="s">
        <v>15</v>
      </c>
      <c r="H4517" t="s">
        <v>32</v>
      </c>
      <c r="I4517">
        <v>1</v>
      </c>
      <c r="J4517" s="23">
        <v>0</v>
      </c>
      <c r="K4517" t="s">
        <v>17</v>
      </c>
    </row>
    <row r="4518" spans="1:11" ht="15" customHeight="1" x14ac:dyDescent="0.3">
      <c r="A4518" t="s">
        <v>22</v>
      </c>
      <c r="B4518" t="s">
        <v>11</v>
      </c>
      <c r="C4518" t="s">
        <v>12</v>
      </c>
      <c r="D4518" t="s">
        <v>13</v>
      </c>
      <c r="E4518">
        <v>6</v>
      </c>
      <c r="F4518" t="s">
        <v>33</v>
      </c>
      <c r="G4518" t="s">
        <v>15</v>
      </c>
      <c r="H4518" t="s">
        <v>16</v>
      </c>
      <c r="I4518">
        <v>0</v>
      </c>
      <c r="J4518" s="23">
        <v>-7802</v>
      </c>
      <c r="K4518" t="s">
        <v>17</v>
      </c>
    </row>
    <row r="4519" spans="1:11" ht="15" customHeight="1" x14ac:dyDescent="0.3">
      <c r="A4519" t="s">
        <v>18</v>
      </c>
      <c r="B4519" t="s">
        <v>11</v>
      </c>
      <c r="C4519" t="s">
        <v>12</v>
      </c>
      <c r="D4519" t="s">
        <v>13</v>
      </c>
      <c r="E4519">
        <v>3</v>
      </c>
      <c r="F4519" t="s">
        <v>37</v>
      </c>
      <c r="G4519" t="s">
        <v>15</v>
      </c>
      <c r="H4519" t="s">
        <v>16</v>
      </c>
      <c r="I4519">
        <v>0</v>
      </c>
      <c r="J4519" s="23">
        <v>-11743</v>
      </c>
      <c r="K4519" t="s">
        <v>17</v>
      </c>
    </row>
    <row r="4520" spans="1:11" ht="15" customHeight="1" x14ac:dyDescent="0.3">
      <c r="A4520" t="s">
        <v>22</v>
      </c>
      <c r="B4520" t="s">
        <v>11</v>
      </c>
      <c r="C4520" t="s">
        <v>24</v>
      </c>
      <c r="D4520" t="s">
        <v>13</v>
      </c>
      <c r="E4520">
        <v>-1</v>
      </c>
      <c r="F4520" t="s">
        <v>38</v>
      </c>
      <c r="G4520" t="s">
        <v>15</v>
      </c>
      <c r="H4520" t="s">
        <v>16</v>
      </c>
      <c r="I4520">
        <v>0</v>
      </c>
      <c r="J4520" s="23">
        <v>30777</v>
      </c>
      <c r="K4520" t="s">
        <v>17</v>
      </c>
    </row>
    <row r="4521" spans="1:11" ht="15" customHeight="1" x14ac:dyDescent="0.3">
      <c r="A4521" t="s">
        <v>22</v>
      </c>
      <c r="B4521" t="s">
        <v>11</v>
      </c>
      <c r="C4521" t="s">
        <v>12</v>
      </c>
      <c r="D4521" t="s">
        <v>25</v>
      </c>
      <c r="E4521">
        <v>1</v>
      </c>
      <c r="F4521" t="s">
        <v>27</v>
      </c>
      <c r="G4521" t="s">
        <v>15</v>
      </c>
      <c r="H4521" t="s">
        <v>16</v>
      </c>
      <c r="I4521">
        <v>0</v>
      </c>
      <c r="J4521" s="23">
        <v>-18181</v>
      </c>
      <c r="K4521" t="s">
        <v>17</v>
      </c>
    </row>
    <row r="4522" spans="1:11" ht="15" customHeight="1" x14ac:dyDescent="0.3">
      <c r="A4522" t="s">
        <v>10</v>
      </c>
      <c r="B4522" t="s">
        <v>11</v>
      </c>
      <c r="C4522" t="s">
        <v>24</v>
      </c>
      <c r="D4522" t="s">
        <v>28</v>
      </c>
      <c r="E4522">
        <v>4</v>
      </c>
      <c r="F4522" t="s">
        <v>29</v>
      </c>
      <c r="G4522" t="s">
        <v>15</v>
      </c>
      <c r="H4522" t="s">
        <v>32</v>
      </c>
      <c r="I4522">
        <v>1</v>
      </c>
      <c r="J4522" s="23">
        <v>329809</v>
      </c>
      <c r="K4522">
        <v>1319236</v>
      </c>
    </row>
    <row r="4523" spans="1:11" ht="15" customHeight="1" x14ac:dyDescent="0.3">
      <c r="A4523" t="s">
        <v>10</v>
      </c>
      <c r="B4523" t="s">
        <v>11</v>
      </c>
      <c r="C4523" t="s">
        <v>12</v>
      </c>
      <c r="D4523" t="s">
        <v>25</v>
      </c>
      <c r="E4523">
        <v>-4</v>
      </c>
      <c r="F4523" t="s">
        <v>14</v>
      </c>
      <c r="G4523" t="s">
        <v>15</v>
      </c>
      <c r="H4523" t="s">
        <v>16</v>
      </c>
      <c r="I4523">
        <v>0</v>
      </c>
      <c r="J4523" s="23">
        <v>-150</v>
      </c>
      <c r="K4523" t="s">
        <v>17</v>
      </c>
    </row>
    <row r="4524" spans="1:11" ht="15" customHeight="1" x14ac:dyDescent="0.3">
      <c r="A4524" t="s">
        <v>18</v>
      </c>
      <c r="B4524" t="s">
        <v>19</v>
      </c>
      <c r="C4524" t="s">
        <v>12</v>
      </c>
      <c r="D4524" t="s">
        <v>20</v>
      </c>
      <c r="E4524">
        <v>38</v>
      </c>
      <c r="F4524"/>
      <c r="G4524" t="s">
        <v>15</v>
      </c>
      <c r="H4524" t="s">
        <v>32</v>
      </c>
      <c r="I4524">
        <v>1</v>
      </c>
      <c r="J4524" s="23">
        <v>-377</v>
      </c>
      <c r="K4524" t="s">
        <v>17</v>
      </c>
    </row>
    <row r="4525" spans="1:11" ht="15" customHeight="1" x14ac:dyDescent="0.3">
      <c r="A4525" t="s">
        <v>10</v>
      </c>
      <c r="B4525" t="s">
        <v>11</v>
      </c>
      <c r="C4525" t="s">
        <v>12</v>
      </c>
      <c r="D4525" t="s">
        <v>25</v>
      </c>
      <c r="E4525">
        <v>7</v>
      </c>
      <c r="F4525" t="s">
        <v>14</v>
      </c>
      <c r="G4525" t="s">
        <v>15</v>
      </c>
      <c r="H4525" t="s">
        <v>16</v>
      </c>
      <c r="I4525">
        <v>0</v>
      </c>
      <c r="J4525" s="23">
        <v>-11986</v>
      </c>
      <c r="K4525" t="s">
        <v>17</v>
      </c>
    </row>
    <row r="4526" spans="1:11" ht="15" customHeight="1" x14ac:dyDescent="0.3">
      <c r="A4526" t="s">
        <v>22</v>
      </c>
      <c r="B4526" t="s">
        <v>19</v>
      </c>
      <c r="C4526" t="s">
        <v>12</v>
      </c>
      <c r="D4526" t="s">
        <v>20</v>
      </c>
      <c r="E4526">
        <v>30</v>
      </c>
      <c r="F4526"/>
      <c r="G4526" t="s">
        <v>31</v>
      </c>
      <c r="H4526" t="s">
        <v>16</v>
      </c>
      <c r="I4526">
        <v>1</v>
      </c>
      <c r="J4526" s="23">
        <v>-92921</v>
      </c>
      <c r="K4526" t="s">
        <v>17</v>
      </c>
    </row>
    <row r="4527" spans="1:11" ht="15" customHeight="1" x14ac:dyDescent="0.3">
      <c r="A4527" t="s">
        <v>18</v>
      </c>
      <c r="B4527" t="s">
        <v>11</v>
      </c>
      <c r="C4527" t="s">
        <v>12</v>
      </c>
      <c r="D4527" t="s">
        <v>28</v>
      </c>
      <c r="E4527">
        <v>8</v>
      </c>
      <c r="F4527" t="s">
        <v>21</v>
      </c>
      <c r="G4527" t="s">
        <v>31</v>
      </c>
      <c r="H4527" t="s">
        <v>16</v>
      </c>
      <c r="I4527">
        <v>1</v>
      </c>
      <c r="J4527" s="23">
        <v>-918</v>
      </c>
      <c r="K4527" t="s">
        <v>17</v>
      </c>
    </row>
    <row r="4528" spans="1:11" ht="15" customHeight="1" x14ac:dyDescent="0.3">
      <c r="A4528" t="s">
        <v>10</v>
      </c>
      <c r="B4528" t="s">
        <v>11</v>
      </c>
      <c r="C4528" t="s">
        <v>12</v>
      </c>
      <c r="D4528" t="s">
        <v>13</v>
      </c>
      <c r="E4528">
        <v>0</v>
      </c>
      <c r="F4528" t="s">
        <v>42</v>
      </c>
      <c r="G4528" t="s">
        <v>15</v>
      </c>
      <c r="H4528" t="s">
        <v>16</v>
      </c>
      <c r="I4528">
        <v>0</v>
      </c>
      <c r="J4528" s="23">
        <v>-1561</v>
      </c>
      <c r="K4528" t="s">
        <v>17</v>
      </c>
    </row>
    <row r="4529" spans="1:11" ht="15" customHeight="1" x14ac:dyDescent="0.3">
      <c r="A4529" t="s">
        <v>10</v>
      </c>
      <c r="B4529" t="s">
        <v>19</v>
      </c>
      <c r="C4529" t="s">
        <v>24</v>
      </c>
      <c r="D4529" t="s">
        <v>20</v>
      </c>
      <c r="E4529">
        <v>4</v>
      </c>
      <c r="F4529"/>
      <c r="G4529" t="s">
        <v>15</v>
      </c>
      <c r="H4529" t="s">
        <v>16</v>
      </c>
      <c r="I4529">
        <v>0</v>
      </c>
      <c r="J4529" s="23">
        <v>8124584</v>
      </c>
      <c r="K4529">
        <v>32498336</v>
      </c>
    </row>
    <row r="4530" spans="1:11" ht="15" customHeight="1" x14ac:dyDescent="0.3">
      <c r="A4530" t="s">
        <v>18</v>
      </c>
      <c r="B4530" t="s">
        <v>11</v>
      </c>
      <c r="C4530" t="s">
        <v>12</v>
      </c>
      <c r="D4530" t="s">
        <v>13</v>
      </c>
      <c r="E4530">
        <v>13</v>
      </c>
      <c r="F4530" t="s">
        <v>21</v>
      </c>
      <c r="G4530" t="s">
        <v>15</v>
      </c>
      <c r="H4530" t="s">
        <v>16</v>
      </c>
      <c r="I4530">
        <v>0</v>
      </c>
      <c r="J4530" s="23">
        <v>-68</v>
      </c>
      <c r="K4530" t="s">
        <v>17</v>
      </c>
    </row>
    <row r="4531" spans="1:11" ht="15" customHeight="1" x14ac:dyDescent="0.3">
      <c r="A4531" t="s">
        <v>18</v>
      </c>
      <c r="B4531" t="s">
        <v>11</v>
      </c>
      <c r="C4531" t="s">
        <v>24</v>
      </c>
      <c r="D4531" t="s">
        <v>28</v>
      </c>
      <c r="E4531">
        <v>10</v>
      </c>
      <c r="F4531" t="s">
        <v>34</v>
      </c>
      <c r="G4531" t="s">
        <v>15</v>
      </c>
      <c r="H4531" t="s">
        <v>32</v>
      </c>
      <c r="I4531">
        <v>1</v>
      </c>
      <c r="J4531" s="23">
        <v>686864</v>
      </c>
      <c r="K4531">
        <v>6868640</v>
      </c>
    </row>
    <row r="4532" spans="1:11" ht="15" customHeight="1" x14ac:dyDescent="0.3">
      <c r="A4532" t="s">
        <v>18</v>
      </c>
      <c r="B4532" t="s">
        <v>11</v>
      </c>
      <c r="C4532" t="s">
        <v>12</v>
      </c>
      <c r="D4532" t="s">
        <v>25</v>
      </c>
      <c r="E4532">
        <v>3</v>
      </c>
      <c r="F4532" t="s">
        <v>45</v>
      </c>
      <c r="G4532" t="s">
        <v>15</v>
      </c>
      <c r="H4532" t="s">
        <v>16</v>
      </c>
      <c r="I4532">
        <v>0</v>
      </c>
      <c r="J4532" s="23">
        <v>-654</v>
      </c>
      <c r="K4532" t="s">
        <v>17</v>
      </c>
    </row>
    <row r="4533" spans="1:11" ht="15" customHeight="1" x14ac:dyDescent="0.3">
      <c r="A4533" t="s">
        <v>22</v>
      </c>
      <c r="B4533" t="s">
        <v>19</v>
      </c>
      <c r="C4533" t="s">
        <v>12</v>
      </c>
      <c r="D4533" t="s">
        <v>28</v>
      </c>
      <c r="E4533">
        <v>16</v>
      </c>
      <c r="F4533"/>
      <c r="G4533" t="s">
        <v>15</v>
      </c>
      <c r="H4533" t="s">
        <v>16</v>
      </c>
      <c r="I4533">
        <v>0</v>
      </c>
      <c r="J4533" s="23">
        <v>-21865</v>
      </c>
      <c r="K4533" t="s">
        <v>17</v>
      </c>
    </row>
    <row r="4534" spans="1:11" ht="15" customHeight="1" x14ac:dyDescent="0.3">
      <c r="A4534" t="s">
        <v>10</v>
      </c>
      <c r="B4534" t="s">
        <v>19</v>
      </c>
      <c r="C4534" t="s">
        <v>24</v>
      </c>
      <c r="D4534" t="s">
        <v>20</v>
      </c>
      <c r="E4534">
        <v>39</v>
      </c>
      <c r="F4534"/>
      <c r="G4534" t="s">
        <v>31</v>
      </c>
      <c r="H4534" t="s">
        <v>16</v>
      </c>
      <c r="I4534">
        <v>1</v>
      </c>
      <c r="J4534" s="23">
        <v>556514</v>
      </c>
      <c r="K4534">
        <v>21704046</v>
      </c>
    </row>
    <row r="4535" spans="1:11" ht="15" customHeight="1" x14ac:dyDescent="0.3">
      <c r="A4535" t="s">
        <v>18</v>
      </c>
      <c r="B4535" t="s">
        <v>19</v>
      </c>
      <c r="C4535" t="s">
        <v>24</v>
      </c>
      <c r="D4535" t="s">
        <v>20</v>
      </c>
      <c r="E4535">
        <v>39</v>
      </c>
      <c r="F4535"/>
      <c r="G4535" t="s">
        <v>15</v>
      </c>
      <c r="H4535" t="s">
        <v>16</v>
      </c>
      <c r="I4535">
        <v>0</v>
      </c>
      <c r="J4535" s="23">
        <v>390351293</v>
      </c>
      <c r="K4535">
        <v>15223700427</v>
      </c>
    </row>
    <row r="4536" spans="1:11" ht="15" customHeight="1" x14ac:dyDescent="0.3">
      <c r="A4536" t="s">
        <v>10</v>
      </c>
      <c r="B4536" t="s">
        <v>11</v>
      </c>
      <c r="C4536" t="s">
        <v>24</v>
      </c>
      <c r="D4536" t="s">
        <v>28</v>
      </c>
      <c r="E4536">
        <v>11</v>
      </c>
      <c r="F4536" t="s">
        <v>40</v>
      </c>
      <c r="G4536" t="s">
        <v>15</v>
      </c>
      <c r="H4536" t="s">
        <v>16</v>
      </c>
      <c r="I4536">
        <v>0</v>
      </c>
      <c r="J4536" s="23">
        <v>236854</v>
      </c>
      <c r="K4536">
        <v>2605394</v>
      </c>
    </row>
    <row r="4537" spans="1:11" ht="15" customHeight="1" x14ac:dyDescent="0.3">
      <c r="A4537" t="s">
        <v>18</v>
      </c>
      <c r="B4537" t="s">
        <v>11</v>
      </c>
      <c r="C4537" t="s">
        <v>12</v>
      </c>
      <c r="D4537" t="s">
        <v>28</v>
      </c>
      <c r="E4537">
        <v>8</v>
      </c>
      <c r="F4537" t="s">
        <v>42</v>
      </c>
      <c r="G4537" t="s">
        <v>15</v>
      </c>
      <c r="H4537" t="s">
        <v>16</v>
      </c>
      <c r="I4537">
        <v>0</v>
      </c>
      <c r="J4537" s="23">
        <v>-2956</v>
      </c>
      <c r="K4537" t="s">
        <v>17</v>
      </c>
    </row>
    <row r="4538" spans="1:11" ht="15" customHeight="1" x14ac:dyDescent="0.3">
      <c r="A4538" t="s">
        <v>18</v>
      </c>
      <c r="B4538" t="s">
        <v>11</v>
      </c>
      <c r="C4538" t="s">
        <v>24</v>
      </c>
      <c r="D4538" t="s">
        <v>13</v>
      </c>
      <c r="E4538">
        <v>3</v>
      </c>
      <c r="F4538" t="s">
        <v>33</v>
      </c>
      <c r="G4538" t="s">
        <v>15</v>
      </c>
      <c r="H4538" t="s">
        <v>16</v>
      </c>
      <c r="I4538">
        <v>0</v>
      </c>
      <c r="J4538" s="23">
        <v>11296308</v>
      </c>
      <c r="K4538">
        <v>33888924</v>
      </c>
    </row>
    <row r="4539" spans="1:11" ht="15" customHeight="1" x14ac:dyDescent="0.3">
      <c r="A4539" t="s">
        <v>18</v>
      </c>
      <c r="B4539" t="s">
        <v>11</v>
      </c>
      <c r="C4539" t="s">
        <v>12</v>
      </c>
      <c r="D4539" t="s">
        <v>25</v>
      </c>
      <c r="E4539">
        <v>6</v>
      </c>
      <c r="F4539" t="s">
        <v>29</v>
      </c>
      <c r="G4539" t="s">
        <v>15</v>
      </c>
      <c r="H4539" t="s">
        <v>16</v>
      </c>
      <c r="I4539">
        <v>0</v>
      </c>
      <c r="J4539" s="23">
        <v>-5257</v>
      </c>
      <c r="K4539" t="s">
        <v>17</v>
      </c>
    </row>
    <row r="4540" spans="1:11" ht="15" customHeight="1" x14ac:dyDescent="0.3">
      <c r="A4540" t="s">
        <v>22</v>
      </c>
      <c r="B4540" t="s">
        <v>11</v>
      </c>
      <c r="C4540" t="s">
        <v>24</v>
      </c>
      <c r="D4540" t="s">
        <v>13</v>
      </c>
      <c r="E4540">
        <v>-1</v>
      </c>
      <c r="F4540" t="s">
        <v>23</v>
      </c>
      <c r="G4540" t="s">
        <v>15</v>
      </c>
      <c r="H4540" t="s">
        <v>16</v>
      </c>
      <c r="I4540">
        <v>0</v>
      </c>
      <c r="J4540" s="23">
        <v>2537387</v>
      </c>
      <c r="K4540" t="s">
        <v>17</v>
      </c>
    </row>
    <row r="4541" spans="1:11" ht="15" customHeight="1" x14ac:dyDescent="0.3">
      <c r="A4541" t="s">
        <v>10</v>
      </c>
      <c r="B4541" t="s">
        <v>11</v>
      </c>
      <c r="C4541" t="s">
        <v>12</v>
      </c>
      <c r="D4541" t="s">
        <v>13</v>
      </c>
      <c r="E4541">
        <v>8</v>
      </c>
      <c r="F4541" t="s">
        <v>33</v>
      </c>
      <c r="G4541" t="s">
        <v>15</v>
      </c>
      <c r="H4541" t="s">
        <v>16</v>
      </c>
      <c r="I4541">
        <v>0</v>
      </c>
      <c r="J4541" s="23">
        <v>-20612</v>
      </c>
      <c r="K4541" t="s">
        <v>17</v>
      </c>
    </row>
    <row r="4542" spans="1:11" ht="15" customHeight="1" x14ac:dyDescent="0.3">
      <c r="A4542" t="s">
        <v>22</v>
      </c>
      <c r="B4542" t="s">
        <v>11</v>
      </c>
      <c r="C4542" t="s">
        <v>12</v>
      </c>
      <c r="D4542" t="s">
        <v>13</v>
      </c>
      <c r="E4542">
        <v>6</v>
      </c>
      <c r="F4542" t="s">
        <v>29</v>
      </c>
      <c r="G4542" t="s">
        <v>15</v>
      </c>
      <c r="H4542" t="s">
        <v>16</v>
      </c>
      <c r="I4542">
        <v>0</v>
      </c>
      <c r="J4542" s="23">
        <v>-1236715</v>
      </c>
      <c r="K4542" t="s">
        <v>17</v>
      </c>
    </row>
    <row r="4543" spans="1:11" ht="15" customHeight="1" x14ac:dyDescent="0.3">
      <c r="A4543" t="s">
        <v>18</v>
      </c>
      <c r="B4543" t="s">
        <v>11</v>
      </c>
      <c r="C4543" t="s">
        <v>24</v>
      </c>
      <c r="D4543" t="s">
        <v>13</v>
      </c>
      <c r="E4543">
        <v>-1</v>
      </c>
      <c r="F4543" t="s">
        <v>29</v>
      </c>
      <c r="G4543" t="s">
        <v>15</v>
      </c>
      <c r="H4543" t="s">
        <v>16</v>
      </c>
      <c r="I4543">
        <v>0</v>
      </c>
      <c r="J4543" s="23">
        <v>164644844</v>
      </c>
      <c r="K4543" t="s">
        <v>17</v>
      </c>
    </row>
    <row r="4544" spans="1:11" ht="15" customHeight="1" x14ac:dyDescent="0.3">
      <c r="A4544" t="s">
        <v>10</v>
      </c>
      <c r="B4544" t="s">
        <v>19</v>
      </c>
      <c r="C4544" t="s">
        <v>12</v>
      </c>
      <c r="D4544" t="s">
        <v>28</v>
      </c>
      <c r="E4544">
        <v>24</v>
      </c>
      <c r="F4544"/>
      <c r="G4544" t="s">
        <v>15</v>
      </c>
      <c r="H4544" t="s">
        <v>16</v>
      </c>
      <c r="I4544">
        <v>0</v>
      </c>
      <c r="J4544" s="23">
        <v>-222</v>
      </c>
      <c r="K4544" t="s">
        <v>17</v>
      </c>
    </row>
    <row r="4545" spans="1:11" ht="15" customHeight="1" x14ac:dyDescent="0.3">
      <c r="A4545" t="s">
        <v>22</v>
      </c>
      <c r="B4545" t="s">
        <v>19</v>
      </c>
      <c r="C4545" t="s">
        <v>24</v>
      </c>
      <c r="D4545" t="s">
        <v>20</v>
      </c>
      <c r="E4545">
        <v>16</v>
      </c>
      <c r="F4545"/>
      <c r="G4545" t="s">
        <v>15</v>
      </c>
      <c r="H4545" t="s">
        <v>16</v>
      </c>
      <c r="I4545">
        <v>0</v>
      </c>
      <c r="J4545" s="23">
        <v>4474378</v>
      </c>
      <c r="K4545">
        <v>71590048</v>
      </c>
    </row>
    <row r="4546" spans="1:11" ht="15" customHeight="1" x14ac:dyDescent="0.3">
      <c r="A4546" t="s">
        <v>10</v>
      </c>
      <c r="B4546" t="s">
        <v>11</v>
      </c>
      <c r="C4546" t="s">
        <v>24</v>
      </c>
      <c r="D4546" t="s">
        <v>28</v>
      </c>
      <c r="E4546">
        <v>5</v>
      </c>
      <c r="F4546" t="s">
        <v>33</v>
      </c>
      <c r="G4546" t="s">
        <v>15</v>
      </c>
      <c r="H4546" t="s">
        <v>32</v>
      </c>
      <c r="I4546">
        <v>1</v>
      </c>
      <c r="J4546" s="23">
        <v>728221</v>
      </c>
      <c r="K4546">
        <v>3641105</v>
      </c>
    </row>
    <row r="4547" spans="1:11" ht="15" customHeight="1" x14ac:dyDescent="0.3">
      <c r="A4547" t="s">
        <v>22</v>
      </c>
      <c r="B4547" t="s">
        <v>11</v>
      </c>
      <c r="C4547" t="s">
        <v>12</v>
      </c>
      <c r="D4547" t="s">
        <v>25</v>
      </c>
      <c r="E4547">
        <v>-1</v>
      </c>
      <c r="F4547" t="s">
        <v>34</v>
      </c>
      <c r="G4547" t="s">
        <v>15</v>
      </c>
      <c r="H4547" t="s">
        <v>16</v>
      </c>
      <c r="I4547">
        <v>0</v>
      </c>
      <c r="J4547" s="23">
        <v>-79534</v>
      </c>
      <c r="K4547" t="s">
        <v>17</v>
      </c>
    </row>
    <row r="4548" spans="1:11" ht="15" customHeight="1" x14ac:dyDescent="0.3">
      <c r="A4548" t="s">
        <v>22</v>
      </c>
      <c r="B4548" t="s">
        <v>19</v>
      </c>
      <c r="C4548" t="s">
        <v>12</v>
      </c>
      <c r="D4548" t="s">
        <v>20</v>
      </c>
      <c r="E4548">
        <v>4</v>
      </c>
      <c r="F4548"/>
      <c r="G4548" t="s">
        <v>31</v>
      </c>
      <c r="H4548" t="s">
        <v>16</v>
      </c>
      <c r="I4548">
        <v>1</v>
      </c>
      <c r="J4548" s="23">
        <v>-10213</v>
      </c>
      <c r="K4548" t="s">
        <v>17</v>
      </c>
    </row>
    <row r="4549" spans="1:11" ht="15" customHeight="1" x14ac:dyDescent="0.3">
      <c r="A4549" t="s">
        <v>10</v>
      </c>
      <c r="B4549" t="s">
        <v>11</v>
      </c>
      <c r="C4549" t="s">
        <v>12</v>
      </c>
      <c r="D4549" t="s">
        <v>13</v>
      </c>
      <c r="E4549">
        <v>-1</v>
      </c>
      <c r="F4549" t="s">
        <v>30</v>
      </c>
      <c r="G4549" t="s">
        <v>15</v>
      </c>
      <c r="H4549" t="s">
        <v>16</v>
      </c>
      <c r="I4549">
        <v>0</v>
      </c>
      <c r="J4549" s="23">
        <v>-665389</v>
      </c>
      <c r="K4549" t="s">
        <v>17</v>
      </c>
    </row>
    <row r="4550" spans="1:11" ht="15" customHeight="1" x14ac:dyDescent="0.3">
      <c r="A4550" t="s">
        <v>18</v>
      </c>
      <c r="B4550" t="s">
        <v>11</v>
      </c>
      <c r="C4550" t="s">
        <v>24</v>
      </c>
      <c r="D4550" t="s">
        <v>28</v>
      </c>
      <c r="E4550">
        <v>1</v>
      </c>
      <c r="F4550" t="s">
        <v>33</v>
      </c>
      <c r="G4550" t="s">
        <v>15</v>
      </c>
      <c r="H4550" t="s">
        <v>32</v>
      </c>
      <c r="I4550">
        <v>1</v>
      </c>
      <c r="J4550" s="23">
        <v>1381124</v>
      </c>
      <c r="K4550">
        <v>1381124</v>
      </c>
    </row>
    <row r="4551" spans="1:11" ht="15" customHeight="1" x14ac:dyDescent="0.3">
      <c r="A4551" t="s">
        <v>18</v>
      </c>
      <c r="B4551" t="s">
        <v>11</v>
      </c>
      <c r="C4551" t="s">
        <v>24</v>
      </c>
      <c r="D4551" t="s">
        <v>13</v>
      </c>
      <c r="E4551">
        <v>4</v>
      </c>
      <c r="F4551" t="s">
        <v>37</v>
      </c>
      <c r="G4551" t="s">
        <v>15</v>
      </c>
      <c r="H4551" t="s">
        <v>16</v>
      </c>
      <c r="I4551">
        <v>0</v>
      </c>
      <c r="J4551" s="23">
        <v>2602414</v>
      </c>
      <c r="K4551">
        <v>10409656</v>
      </c>
    </row>
    <row r="4552" spans="1:11" ht="15" customHeight="1" x14ac:dyDescent="0.3">
      <c r="A4552" t="s">
        <v>22</v>
      </c>
      <c r="B4552" t="s">
        <v>19</v>
      </c>
      <c r="C4552" t="s">
        <v>12</v>
      </c>
      <c r="D4552" t="s">
        <v>20</v>
      </c>
      <c r="E4552">
        <v>13</v>
      </c>
      <c r="F4552"/>
      <c r="G4552" t="s">
        <v>15</v>
      </c>
      <c r="H4552" t="s">
        <v>16</v>
      </c>
      <c r="I4552">
        <v>0</v>
      </c>
      <c r="J4552" s="23">
        <v>-1054711</v>
      </c>
      <c r="K4552" t="s">
        <v>17</v>
      </c>
    </row>
    <row r="4553" spans="1:11" ht="15" customHeight="1" x14ac:dyDescent="0.3">
      <c r="A4553" t="s">
        <v>10</v>
      </c>
      <c r="B4553" t="s">
        <v>19</v>
      </c>
      <c r="C4553" t="s">
        <v>24</v>
      </c>
      <c r="D4553" t="s">
        <v>20</v>
      </c>
      <c r="E4553">
        <v>37</v>
      </c>
      <c r="F4553"/>
      <c r="G4553" t="s">
        <v>15</v>
      </c>
      <c r="H4553" t="s">
        <v>16</v>
      </c>
      <c r="I4553">
        <v>0</v>
      </c>
      <c r="J4553" s="23">
        <v>67290605</v>
      </c>
      <c r="K4553">
        <v>2489752385</v>
      </c>
    </row>
    <row r="4554" spans="1:11" ht="15" customHeight="1" x14ac:dyDescent="0.3">
      <c r="A4554" t="s">
        <v>18</v>
      </c>
      <c r="B4554" t="s">
        <v>11</v>
      </c>
      <c r="C4554" t="s">
        <v>24</v>
      </c>
      <c r="D4554" t="s">
        <v>13</v>
      </c>
      <c r="E4554">
        <v>8</v>
      </c>
      <c r="F4554" t="s">
        <v>23</v>
      </c>
      <c r="G4554" t="s">
        <v>15</v>
      </c>
      <c r="H4554" t="s">
        <v>16</v>
      </c>
      <c r="I4554">
        <v>0</v>
      </c>
      <c r="J4554" s="23">
        <v>2904891</v>
      </c>
      <c r="K4554">
        <v>23239128</v>
      </c>
    </row>
    <row r="4555" spans="1:11" ht="15" customHeight="1" x14ac:dyDescent="0.3">
      <c r="A4555" t="s">
        <v>10</v>
      </c>
      <c r="B4555" t="s">
        <v>11</v>
      </c>
      <c r="C4555" t="s">
        <v>12</v>
      </c>
      <c r="D4555" t="s">
        <v>25</v>
      </c>
      <c r="E4555">
        <v>2</v>
      </c>
      <c r="F4555" t="s">
        <v>29</v>
      </c>
      <c r="G4555" t="s">
        <v>15</v>
      </c>
      <c r="H4555" t="s">
        <v>16</v>
      </c>
      <c r="I4555">
        <v>0</v>
      </c>
      <c r="J4555" s="23">
        <v>-102971</v>
      </c>
      <c r="K4555" t="s">
        <v>17</v>
      </c>
    </row>
    <row r="4556" spans="1:11" ht="15" customHeight="1" x14ac:dyDescent="0.3">
      <c r="A4556" t="s">
        <v>22</v>
      </c>
      <c r="B4556" t="s">
        <v>11</v>
      </c>
      <c r="C4556" t="s">
        <v>24</v>
      </c>
      <c r="D4556" t="s">
        <v>28</v>
      </c>
      <c r="E4556">
        <v>13</v>
      </c>
      <c r="F4556" t="s">
        <v>23</v>
      </c>
      <c r="G4556" t="s">
        <v>15</v>
      </c>
      <c r="H4556" t="s">
        <v>16</v>
      </c>
      <c r="I4556">
        <v>0</v>
      </c>
      <c r="J4556" s="23">
        <v>13386438</v>
      </c>
      <c r="K4556">
        <v>174023694</v>
      </c>
    </row>
    <row r="4557" spans="1:11" ht="15" customHeight="1" x14ac:dyDescent="0.3">
      <c r="A4557" t="s">
        <v>10</v>
      </c>
      <c r="B4557" t="s">
        <v>11</v>
      </c>
      <c r="C4557" t="s">
        <v>12</v>
      </c>
      <c r="D4557" t="s">
        <v>25</v>
      </c>
      <c r="E4557">
        <v>7</v>
      </c>
      <c r="F4557" t="s">
        <v>29</v>
      </c>
      <c r="G4557" t="s">
        <v>15</v>
      </c>
      <c r="H4557" t="s">
        <v>16</v>
      </c>
      <c r="I4557">
        <v>0</v>
      </c>
      <c r="J4557" s="23">
        <v>-13118</v>
      </c>
      <c r="K4557" t="s">
        <v>17</v>
      </c>
    </row>
    <row r="4558" spans="1:11" ht="15" customHeight="1" x14ac:dyDescent="0.3">
      <c r="A4558" t="s">
        <v>10</v>
      </c>
      <c r="B4558" t="s">
        <v>11</v>
      </c>
      <c r="C4558" t="s">
        <v>12</v>
      </c>
      <c r="D4558" t="s">
        <v>13</v>
      </c>
      <c r="E4558">
        <v>-1</v>
      </c>
      <c r="F4558" t="s">
        <v>29</v>
      </c>
      <c r="G4558" t="s">
        <v>15</v>
      </c>
      <c r="H4558" t="s">
        <v>16</v>
      </c>
      <c r="I4558">
        <v>0</v>
      </c>
      <c r="J4558" s="23">
        <v>-1875961</v>
      </c>
      <c r="K4558" t="s">
        <v>17</v>
      </c>
    </row>
    <row r="4559" spans="1:11" ht="15" customHeight="1" x14ac:dyDescent="0.3">
      <c r="A4559" t="s">
        <v>10</v>
      </c>
      <c r="B4559" t="s">
        <v>11</v>
      </c>
      <c r="C4559" t="s">
        <v>12</v>
      </c>
      <c r="D4559" t="s">
        <v>28</v>
      </c>
      <c r="E4559">
        <v>20</v>
      </c>
      <c r="F4559" t="s">
        <v>23</v>
      </c>
      <c r="G4559" t="s">
        <v>15</v>
      </c>
      <c r="H4559" t="s">
        <v>16</v>
      </c>
      <c r="I4559">
        <v>0</v>
      </c>
      <c r="J4559" s="23">
        <v>-20150</v>
      </c>
      <c r="K4559" t="s">
        <v>17</v>
      </c>
    </row>
    <row r="4560" spans="1:11" ht="15" customHeight="1" x14ac:dyDescent="0.3">
      <c r="A4560" t="s">
        <v>10</v>
      </c>
      <c r="B4560" t="s">
        <v>11</v>
      </c>
      <c r="C4560" t="s">
        <v>12</v>
      </c>
      <c r="D4560" t="s">
        <v>13</v>
      </c>
      <c r="E4560">
        <v>7</v>
      </c>
      <c r="F4560" t="s">
        <v>26</v>
      </c>
      <c r="G4560" t="s">
        <v>15</v>
      </c>
      <c r="H4560" t="s">
        <v>16</v>
      </c>
      <c r="I4560">
        <v>0</v>
      </c>
      <c r="J4560" s="23">
        <v>-101466</v>
      </c>
      <c r="K4560" t="s">
        <v>17</v>
      </c>
    </row>
    <row r="4561" spans="1:11" ht="15" customHeight="1" x14ac:dyDescent="0.3">
      <c r="A4561" t="s">
        <v>18</v>
      </c>
      <c r="B4561" t="s">
        <v>11</v>
      </c>
      <c r="C4561" t="s">
        <v>24</v>
      </c>
      <c r="D4561" t="s">
        <v>25</v>
      </c>
      <c r="E4561">
        <v>6</v>
      </c>
      <c r="F4561" t="s">
        <v>14</v>
      </c>
      <c r="G4561" t="s">
        <v>15</v>
      </c>
      <c r="H4561" t="s">
        <v>16</v>
      </c>
      <c r="I4561">
        <v>0</v>
      </c>
      <c r="J4561" s="23">
        <v>1340729</v>
      </c>
      <c r="K4561">
        <v>8044374</v>
      </c>
    </row>
    <row r="4562" spans="1:11" ht="15" customHeight="1" x14ac:dyDescent="0.3">
      <c r="A4562" t="s">
        <v>22</v>
      </c>
      <c r="B4562" t="s">
        <v>11</v>
      </c>
      <c r="C4562" t="s">
        <v>24</v>
      </c>
      <c r="D4562" t="s">
        <v>13</v>
      </c>
      <c r="E4562">
        <v>11</v>
      </c>
      <c r="F4562" t="s">
        <v>35</v>
      </c>
      <c r="G4562" t="s">
        <v>15</v>
      </c>
      <c r="H4562" t="s">
        <v>16</v>
      </c>
      <c r="I4562">
        <v>0</v>
      </c>
      <c r="J4562" s="23">
        <v>43020</v>
      </c>
      <c r="K4562">
        <v>473220</v>
      </c>
    </row>
    <row r="4563" spans="1:11" ht="15" customHeight="1" x14ac:dyDescent="0.3">
      <c r="A4563" t="s">
        <v>22</v>
      </c>
      <c r="B4563" t="s">
        <v>11</v>
      </c>
      <c r="C4563" t="s">
        <v>24</v>
      </c>
      <c r="D4563" t="s">
        <v>13</v>
      </c>
      <c r="E4563">
        <v>0</v>
      </c>
      <c r="F4563" t="s">
        <v>42</v>
      </c>
      <c r="G4563" t="s">
        <v>15</v>
      </c>
      <c r="H4563" t="s">
        <v>16</v>
      </c>
      <c r="I4563">
        <v>0</v>
      </c>
      <c r="J4563" s="23">
        <v>6541</v>
      </c>
      <c r="K4563" t="s">
        <v>17</v>
      </c>
    </row>
    <row r="4564" spans="1:11" ht="15" customHeight="1" x14ac:dyDescent="0.3">
      <c r="A4564" t="s">
        <v>18</v>
      </c>
      <c r="B4564" t="s">
        <v>11</v>
      </c>
      <c r="C4564" t="s">
        <v>24</v>
      </c>
      <c r="D4564" t="s">
        <v>13</v>
      </c>
      <c r="E4564">
        <v>8</v>
      </c>
      <c r="F4564" t="s">
        <v>34</v>
      </c>
      <c r="G4564" t="s">
        <v>15</v>
      </c>
      <c r="H4564" t="s">
        <v>16</v>
      </c>
      <c r="I4564">
        <v>0</v>
      </c>
      <c r="J4564" s="23">
        <v>4500061</v>
      </c>
      <c r="K4564">
        <v>36000488</v>
      </c>
    </row>
    <row r="4565" spans="1:11" ht="15" customHeight="1" x14ac:dyDescent="0.3">
      <c r="A4565" t="s">
        <v>22</v>
      </c>
      <c r="B4565" t="s">
        <v>11</v>
      </c>
      <c r="C4565" t="s">
        <v>12</v>
      </c>
      <c r="D4565" t="s">
        <v>13</v>
      </c>
      <c r="E4565">
        <v>6</v>
      </c>
      <c r="F4565" t="s">
        <v>27</v>
      </c>
      <c r="G4565" t="s">
        <v>15</v>
      </c>
      <c r="H4565" t="s">
        <v>16</v>
      </c>
      <c r="I4565">
        <v>0</v>
      </c>
      <c r="J4565" s="23">
        <v>-23594</v>
      </c>
      <c r="K4565" t="s">
        <v>17</v>
      </c>
    </row>
    <row r="4566" spans="1:11" ht="15" customHeight="1" x14ac:dyDescent="0.3">
      <c r="A4566" t="s">
        <v>10</v>
      </c>
      <c r="B4566" t="s">
        <v>11</v>
      </c>
      <c r="C4566" t="s">
        <v>12</v>
      </c>
      <c r="D4566" t="s">
        <v>28</v>
      </c>
      <c r="E4566">
        <v>-4</v>
      </c>
      <c r="F4566" t="s">
        <v>23</v>
      </c>
      <c r="G4566" t="s">
        <v>15</v>
      </c>
      <c r="H4566" t="s">
        <v>16</v>
      </c>
      <c r="I4566">
        <v>0</v>
      </c>
      <c r="J4566" s="23">
        <v>-64</v>
      </c>
      <c r="K4566" t="s">
        <v>17</v>
      </c>
    </row>
    <row r="4567" spans="1:11" ht="15" customHeight="1" x14ac:dyDescent="0.3">
      <c r="A4567" t="s">
        <v>18</v>
      </c>
      <c r="B4567" t="s">
        <v>11</v>
      </c>
      <c r="C4567" t="s">
        <v>12</v>
      </c>
      <c r="D4567" t="s">
        <v>25</v>
      </c>
      <c r="E4567">
        <v>7</v>
      </c>
      <c r="F4567" t="s">
        <v>29</v>
      </c>
      <c r="G4567" t="s">
        <v>15</v>
      </c>
      <c r="H4567" t="s">
        <v>16</v>
      </c>
      <c r="I4567">
        <v>0</v>
      </c>
      <c r="J4567" s="23">
        <v>-1453</v>
      </c>
      <c r="K4567" t="s">
        <v>17</v>
      </c>
    </row>
    <row r="4568" spans="1:11" ht="15" customHeight="1" x14ac:dyDescent="0.3">
      <c r="A4568" t="s">
        <v>18</v>
      </c>
      <c r="B4568" t="s">
        <v>11</v>
      </c>
      <c r="C4568" t="s">
        <v>24</v>
      </c>
      <c r="D4568" t="s">
        <v>28</v>
      </c>
      <c r="E4568">
        <v>3</v>
      </c>
      <c r="F4568" t="s">
        <v>37</v>
      </c>
      <c r="G4568" t="s">
        <v>15</v>
      </c>
      <c r="H4568" t="s">
        <v>16</v>
      </c>
      <c r="I4568">
        <v>0</v>
      </c>
      <c r="J4568" s="23">
        <v>256218</v>
      </c>
      <c r="K4568">
        <v>768654</v>
      </c>
    </row>
    <row r="4569" spans="1:11" ht="15" customHeight="1" x14ac:dyDescent="0.3">
      <c r="A4569" t="s">
        <v>22</v>
      </c>
      <c r="B4569" t="s">
        <v>11</v>
      </c>
      <c r="C4569" t="s">
        <v>12</v>
      </c>
      <c r="D4569" t="s">
        <v>25</v>
      </c>
      <c r="E4569">
        <v>1</v>
      </c>
      <c r="F4569" t="s">
        <v>33</v>
      </c>
      <c r="G4569" t="s">
        <v>15</v>
      </c>
      <c r="H4569" t="s">
        <v>16</v>
      </c>
      <c r="I4569">
        <v>0</v>
      </c>
      <c r="J4569" s="23">
        <v>-51031</v>
      </c>
      <c r="K4569" t="s">
        <v>17</v>
      </c>
    </row>
    <row r="4570" spans="1:11" ht="15" customHeight="1" x14ac:dyDescent="0.3">
      <c r="A4570" t="s">
        <v>18</v>
      </c>
      <c r="B4570" t="s">
        <v>11</v>
      </c>
      <c r="C4570" t="s">
        <v>24</v>
      </c>
      <c r="D4570" t="s">
        <v>28</v>
      </c>
      <c r="E4570">
        <v>-1</v>
      </c>
      <c r="F4570" t="s">
        <v>39</v>
      </c>
      <c r="G4570" t="s">
        <v>15</v>
      </c>
      <c r="H4570" t="s">
        <v>16</v>
      </c>
      <c r="I4570">
        <v>0</v>
      </c>
      <c r="J4570" s="23">
        <v>1</v>
      </c>
      <c r="K4570" t="s">
        <v>17</v>
      </c>
    </row>
    <row r="4571" spans="1:11" ht="15" customHeight="1" x14ac:dyDescent="0.3">
      <c r="A4571" t="s">
        <v>22</v>
      </c>
      <c r="B4571" t="s">
        <v>19</v>
      </c>
      <c r="C4571" t="s">
        <v>24</v>
      </c>
      <c r="D4571" t="s">
        <v>20</v>
      </c>
      <c r="E4571">
        <v>20</v>
      </c>
      <c r="F4571"/>
      <c r="G4571" t="s">
        <v>31</v>
      </c>
      <c r="H4571" t="s">
        <v>16</v>
      </c>
      <c r="I4571">
        <v>1</v>
      </c>
      <c r="J4571" s="23">
        <v>57680</v>
      </c>
      <c r="K4571">
        <v>1153600</v>
      </c>
    </row>
    <row r="4572" spans="1:11" ht="15" customHeight="1" x14ac:dyDescent="0.3">
      <c r="A4572" t="s">
        <v>18</v>
      </c>
      <c r="B4572" t="s">
        <v>11</v>
      </c>
      <c r="C4572" t="s">
        <v>24</v>
      </c>
      <c r="D4572" t="s">
        <v>28</v>
      </c>
      <c r="E4572">
        <v>8</v>
      </c>
      <c r="F4572" t="s">
        <v>26</v>
      </c>
      <c r="G4572" t="s">
        <v>31</v>
      </c>
      <c r="H4572" t="s">
        <v>16</v>
      </c>
      <c r="I4572">
        <v>1</v>
      </c>
      <c r="J4572" s="23">
        <v>720644</v>
      </c>
      <c r="K4572">
        <v>5765152</v>
      </c>
    </row>
    <row r="4573" spans="1:11" ht="15" customHeight="1" x14ac:dyDescent="0.3">
      <c r="A4573" t="s">
        <v>22</v>
      </c>
      <c r="B4573" t="s">
        <v>19</v>
      </c>
      <c r="C4573" t="s">
        <v>24</v>
      </c>
      <c r="D4573" t="s">
        <v>20</v>
      </c>
      <c r="E4573">
        <v>10</v>
      </c>
      <c r="F4573"/>
      <c r="G4573" t="s">
        <v>15</v>
      </c>
      <c r="H4573" t="s">
        <v>32</v>
      </c>
      <c r="I4573">
        <v>1</v>
      </c>
      <c r="J4573" s="23">
        <v>92351</v>
      </c>
      <c r="K4573">
        <v>923510</v>
      </c>
    </row>
    <row r="4574" spans="1:11" ht="15" customHeight="1" x14ac:dyDescent="0.3">
      <c r="A4574" t="s">
        <v>22</v>
      </c>
      <c r="B4574" t="s">
        <v>11</v>
      </c>
      <c r="C4574" t="s">
        <v>24</v>
      </c>
      <c r="D4574" t="s">
        <v>28</v>
      </c>
      <c r="E4574">
        <v>8</v>
      </c>
      <c r="F4574" t="s">
        <v>30</v>
      </c>
      <c r="G4574" t="s">
        <v>15</v>
      </c>
      <c r="H4574" t="s">
        <v>16</v>
      </c>
      <c r="I4574">
        <v>0</v>
      </c>
      <c r="J4574" s="23">
        <v>97474</v>
      </c>
      <c r="K4574">
        <v>779792</v>
      </c>
    </row>
    <row r="4575" spans="1:11" ht="15" customHeight="1" x14ac:dyDescent="0.3">
      <c r="A4575" t="s">
        <v>18</v>
      </c>
      <c r="B4575" t="s">
        <v>11</v>
      </c>
      <c r="C4575" t="s">
        <v>12</v>
      </c>
      <c r="D4575" t="s">
        <v>28</v>
      </c>
      <c r="E4575">
        <v>11</v>
      </c>
      <c r="F4575" t="s">
        <v>33</v>
      </c>
      <c r="G4575" t="s">
        <v>15</v>
      </c>
      <c r="H4575" t="s">
        <v>32</v>
      </c>
      <c r="I4575">
        <v>1</v>
      </c>
      <c r="J4575" s="23">
        <v>-20334</v>
      </c>
      <c r="K4575" t="s">
        <v>17</v>
      </c>
    </row>
    <row r="4576" spans="1:11" ht="15" customHeight="1" x14ac:dyDescent="0.3">
      <c r="A4576" t="s">
        <v>10</v>
      </c>
      <c r="B4576" t="s">
        <v>11</v>
      </c>
      <c r="C4576" t="s">
        <v>24</v>
      </c>
      <c r="D4576" t="s">
        <v>28</v>
      </c>
      <c r="E4576">
        <v>12</v>
      </c>
      <c r="F4576" t="s">
        <v>26</v>
      </c>
      <c r="G4576" t="s">
        <v>15</v>
      </c>
      <c r="H4576" t="s">
        <v>16</v>
      </c>
      <c r="I4576">
        <v>0</v>
      </c>
      <c r="J4576" s="23">
        <v>2370110</v>
      </c>
      <c r="K4576">
        <v>28441320</v>
      </c>
    </row>
    <row r="4577" spans="1:11" ht="15" customHeight="1" x14ac:dyDescent="0.3">
      <c r="A4577" t="s">
        <v>10</v>
      </c>
      <c r="B4577" t="s">
        <v>11</v>
      </c>
      <c r="C4577" t="s">
        <v>12</v>
      </c>
      <c r="D4577" t="s">
        <v>25</v>
      </c>
      <c r="E4577">
        <v>6</v>
      </c>
      <c r="F4577" t="s">
        <v>30</v>
      </c>
      <c r="G4577" t="s">
        <v>15</v>
      </c>
      <c r="H4577" t="s">
        <v>16</v>
      </c>
      <c r="I4577">
        <v>0</v>
      </c>
      <c r="J4577" s="23">
        <v>-14925</v>
      </c>
      <c r="K4577" t="s">
        <v>17</v>
      </c>
    </row>
    <row r="4578" spans="1:11" ht="15" customHeight="1" x14ac:dyDescent="0.3">
      <c r="A4578" t="s">
        <v>18</v>
      </c>
      <c r="B4578" t="s">
        <v>19</v>
      </c>
      <c r="C4578" t="s">
        <v>24</v>
      </c>
      <c r="D4578" t="s">
        <v>20</v>
      </c>
      <c r="E4578">
        <v>18</v>
      </c>
      <c r="F4578"/>
      <c r="G4578" t="s">
        <v>31</v>
      </c>
      <c r="H4578" t="s">
        <v>32</v>
      </c>
      <c r="I4578">
        <v>1</v>
      </c>
      <c r="J4578" s="23">
        <v>327332</v>
      </c>
      <c r="K4578">
        <v>5891976</v>
      </c>
    </row>
    <row r="4579" spans="1:11" ht="15" customHeight="1" x14ac:dyDescent="0.3">
      <c r="A4579" t="s">
        <v>10</v>
      </c>
      <c r="B4579" t="s">
        <v>11</v>
      </c>
      <c r="C4579" t="s">
        <v>24</v>
      </c>
      <c r="D4579" t="s">
        <v>25</v>
      </c>
      <c r="E4579">
        <v>7</v>
      </c>
      <c r="F4579" t="s">
        <v>14</v>
      </c>
      <c r="G4579" t="s">
        <v>15</v>
      </c>
      <c r="H4579" t="s">
        <v>16</v>
      </c>
      <c r="I4579">
        <v>0</v>
      </c>
      <c r="J4579" s="23">
        <v>142418</v>
      </c>
      <c r="K4579">
        <v>996926</v>
      </c>
    </row>
    <row r="4580" spans="1:11" ht="15" customHeight="1" x14ac:dyDescent="0.3">
      <c r="A4580" t="s">
        <v>18</v>
      </c>
      <c r="B4580" t="s">
        <v>19</v>
      </c>
      <c r="C4580" t="s">
        <v>12</v>
      </c>
      <c r="D4580" t="s">
        <v>20</v>
      </c>
      <c r="E4580">
        <v>1</v>
      </c>
      <c r="F4580"/>
      <c r="G4580" t="s">
        <v>31</v>
      </c>
      <c r="H4580" t="s">
        <v>16</v>
      </c>
      <c r="I4580">
        <v>1</v>
      </c>
      <c r="J4580" s="23">
        <v>-42</v>
      </c>
      <c r="K4580" t="s">
        <v>17</v>
      </c>
    </row>
    <row r="4581" spans="1:11" ht="15" customHeight="1" x14ac:dyDescent="0.3">
      <c r="A4581" t="s">
        <v>22</v>
      </c>
      <c r="B4581" t="s">
        <v>11</v>
      </c>
      <c r="C4581" t="s">
        <v>24</v>
      </c>
      <c r="D4581" t="s">
        <v>13</v>
      </c>
      <c r="E4581">
        <v>-1</v>
      </c>
      <c r="F4581" t="s">
        <v>34</v>
      </c>
      <c r="G4581" t="s">
        <v>15</v>
      </c>
      <c r="H4581" t="s">
        <v>16</v>
      </c>
      <c r="I4581">
        <v>0</v>
      </c>
      <c r="J4581" s="23">
        <v>11364461</v>
      </c>
      <c r="K4581" t="s">
        <v>17</v>
      </c>
    </row>
    <row r="4582" spans="1:11" ht="15" customHeight="1" x14ac:dyDescent="0.3">
      <c r="A4582" t="s">
        <v>18</v>
      </c>
      <c r="B4582" t="s">
        <v>11</v>
      </c>
      <c r="C4582" t="s">
        <v>12</v>
      </c>
      <c r="D4582" t="s">
        <v>28</v>
      </c>
      <c r="E4582">
        <v>13</v>
      </c>
      <c r="F4582" t="s">
        <v>39</v>
      </c>
      <c r="G4582" t="s">
        <v>15</v>
      </c>
      <c r="H4582" t="s">
        <v>16</v>
      </c>
      <c r="I4582">
        <v>0</v>
      </c>
      <c r="J4582" s="23">
        <v>-3923</v>
      </c>
      <c r="K4582" t="s">
        <v>17</v>
      </c>
    </row>
    <row r="4583" spans="1:11" ht="15" customHeight="1" x14ac:dyDescent="0.3">
      <c r="A4583" t="s">
        <v>18</v>
      </c>
      <c r="B4583" t="s">
        <v>11</v>
      </c>
      <c r="C4583" t="s">
        <v>12</v>
      </c>
      <c r="D4583" t="s">
        <v>28</v>
      </c>
      <c r="E4583">
        <v>0</v>
      </c>
      <c r="F4583" t="s">
        <v>33</v>
      </c>
      <c r="G4583" t="s">
        <v>15</v>
      </c>
      <c r="H4583" t="s">
        <v>32</v>
      </c>
      <c r="I4583">
        <v>1</v>
      </c>
      <c r="J4583" s="23">
        <v>-14</v>
      </c>
      <c r="K4583" t="s">
        <v>17</v>
      </c>
    </row>
    <row r="4584" spans="1:11" ht="15" customHeight="1" x14ac:dyDescent="0.3">
      <c r="A4584" t="s">
        <v>22</v>
      </c>
      <c r="B4584" t="s">
        <v>19</v>
      </c>
      <c r="C4584" t="s">
        <v>24</v>
      </c>
      <c r="D4584" t="s">
        <v>20</v>
      </c>
      <c r="E4584">
        <v>23</v>
      </c>
      <c r="F4584"/>
      <c r="G4584" t="s">
        <v>15</v>
      </c>
      <c r="H4584" t="s">
        <v>16</v>
      </c>
      <c r="I4584">
        <v>0</v>
      </c>
      <c r="J4584" s="23">
        <v>8803702</v>
      </c>
      <c r="K4584">
        <v>202485146</v>
      </c>
    </row>
    <row r="4585" spans="1:11" ht="15" customHeight="1" x14ac:dyDescent="0.3">
      <c r="A4585" t="s">
        <v>10</v>
      </c>
      <c r="B4585" t="s">
        <v>11</v>
      </c>
      <c r="C4585" t="s">
        <v>24</v>
      </c>
      <c r="D4585" t="s">
        <v>28</v>
      </c>
      <c r="E4585">
        <v>3</v>
      </c>
      <c r="F4585" t="s">
        <v>30</v>
      </c>
      <c r="G4585" t="s">
        <v>15</v>
      </c>
      <c r="H4585" t="s">
        <v>16</v>
      </c>
      <c r="I4585">
        <v>0</v>
      </c>
      <c r="J4585" s="23">
        <v>305294</v>
      </c>
      <c r="K4585">
        <v>915882</v>
      </c>
    </row>
    <row r="4586" spans="1:11" ht="15" customHeight="1" x14ac:dyDescent="0.3">
      <c r="A4586" t="s">
        <v>10</v>
      </c>
      <c r="B4586" t="s">
        <v>11</v>
      </c>
      <c r="C4586" t="s">
        <v>24</v>
      </c>
      <c r="D4586" t="s">
        <v>13</v>
      </c>
      <c r="E4586">
        <v>2</v>
      </c>
      <c r="F4586" t="s">
        <v>33</v>
      </c>
      <c r="G4586" t="s">
        <v>15</v>
      </c>
      <c r="H4586" t="s">
        <v>16</v>
      </c>
      <c r="I4586">
        <v>0</v>
      </c>
      <c r="J4586" s="23">
        <v>3012179</v>
      </c>
      <c r="K4586">
        <v>6024358</v>
      </c>
    </row>
    <row r="4587" spans="1:11" ht="15" customHeight="1" x14ac:dyDescent="0.3">
      <c r="A4587" t="s">
        <v>18</v>
      </c>
      <c r="B4587" t="s">
        <v>11</v>
      </c>
      <c r="C4587" t="s">
        <v>12</v>
      </c>
      <c r="D4587" t="s">
        <v>28</v>
      </c>
      <c r="E4587">
        <v>2</v>
      </c>
      <c r="F4587" t="s">
        <v>29</v>
      </c>
      <c r="G4587" t="s">
        <v>15</v>
      </c>
      <c r="H4587" t="s">
        <v>16</v>
      </c>
      <c r="I4587">
        <v>0</v>
      </c>
      <c r="J4587" s="23">
        <v>-5123</v>
      </c>
      <c r="K4587" t="s">
        <v>17</v>
      </c>
    </row>
    <row r="4588" spans="1:11" ht="15" customHeight="1" x14ac:dyDescent="0.3">
      <c r="A4588" t="s">
        <v>10</v>
      </c>
      <c r="B4588" t="s">
        <v>11</v>
      </c>
      <c r="C4588" t="s">
        <v>24</v>
      </c>
      <c r="D4588" t="s">
        <v>25</v>
      </c>
      <c r="E4588">
        <v>6</v>
      </c>
      <c r="F4588" t="s">
        <v>21</v>
      </c>
      <c r="G4588" t="s">
        <v>15</v>
      </c>
      <c r="H4588" t="s">
        <v>16</v>
      </c>
      <c r="I4588">
        <v>0</v>
      </c>
      <c r="J4588" s="23">
        <v>586118</v>
      </c>
      <c r="K4588">
        <v>3516708</v>
      </c>
    </row>
    <row r="4589" spans="1:11" ht="15" customHeight="1" x14ac:dyDescent="0.3">
      <c r="A4589" t="s">
        <v>10</v>
      </c>
      <c r="B4589" t="s">
        <v>11</v>
      </c>
      <c r="C4589" t="s">
        <v>24</v>
      </c>
      <c r="D4589" t="s">
        <v>28</v>
      </c>
      <c r="E4589">
        <v>10</v>
      </c>
      <c r="F4589" t="s">
        <v>35</v>
      </c>
      <c r="G4589" t="s">
        <v>15</v>
      </c>
      <c r="H4589" t="s">
        <v>16</v>
      </c>
      <c r="I4589">
        <v>0</v>
      </c>
      <c r="J4589" s="23">
        <v>789111</v>
      </c>
      <c r="K4589">
        <v>7891110</v>
      </c>
    </row>
    <row r="4590" spans="1:11" ht="15" customHeight="1" x14ac:dyDescent="0.3">
      <c r="A4590" t="s">
        <v>18</v>
      </c>
      <c r="B4590" t="s">
        <v>11</v>
      </c>
      <c r="C4590" t="s">
        <v>24</v>
      </c>
      <c r="D4590" t="s">
        <v>28</v>
      </c>
      <c r="E4590">
        <v>12</v>
      </c>
      <c r="F4590" t="s">
        <v>30</v>
      </c>
      <c r="G4590" t="s">
        <v>15</v>
      </c>
      <c r="H4590" t="s">
        <v>16</v>
      </c>
      <c r="I4590">
        <v>0</v>
      </c>
      <c r="J4590" s="23">
        <v>5843291</v>
      </c>
      <c r="K4590">
        <v>70119492</v>
      </c>
    </row>
    <row r="4591" spans="1:11" ht="15" customHeight="1" x14ac:dyDescent="0.3">
      <c r="A4591" t="s">
        <v>10</v>
      </c>
      <c r="B4591" t="s">
        <v>19</v>
      </c>
      <c r="C4591" t="s">
        <v>24</v>
      </c>
      <c r="D4591" t="s">
        <v>20</v>
      </c>
      <c r="E4591">
        <v>3</v>
      </c>
      <c r="F4591"/>
      <c r="G4591" t="s">
        <v>15</v>
      </c>
      <c r="H4591" t="s">
        <v>32</v>
      </c>
      <c r="I4591">
        <v>1</v>
      </c>
      <c r="J4591" s="23">
        <v>109796</v>
      </c>
      <c r="K4591">
        <v>329388</v>
      </c>
    </row>
    <row r="4592" spans="1:11" ht="15" customHeight="1" x14ac:dyDescent="0.3">
      <c r="A4592" t="s">
        <v>18</v>
      </c>
      <c r="B4592" t="s">
        <v>11</v>
      </c>
      <c r="C4592" t="s">
        <v>12</v>
      </c>
      <c r="D4592" t="s">
        <v>28</v>
      </c>
      <c r="E4592">
        <v>0</v>
      </c>
      <c r="F4592" t="s">
        <v>26</v>
      </c>
      <c r="G4592" t="s">
        <v>15</v>
      </c>
      <c r="H4592" t="s">
        <v>16</v>
      </c>
      <c r="I4592">
        <v>0</v>
      </c>
      <c r="J4592" s="23">
        <v>-13080</v>
      </c>
      <c r="K4592" t="s">
        <v>17</v>
      </c>
    </row>
    <row r="4593" spans="1:11" ht="15" customHeight="1" x14ac:dyDescent="0.3">
      <c r="A4593" t="s">
        <v>18</v>
      </c>
      <c r="B4593" t="s">
        <v>11</v>
      </c>
      <c r="C4593" t="s">
        <v>24</v>
      </c>
      <c r="D4593" t="s">
        <v>28</v>
      </c>
      <c r="E4593">
        <v>14</v>
      </c>
      <c r="F4593" t="s">
        <v>30</v>
      </c>
      <c r="G4593" t="s">
        <v>15</v>
      </c>
      <c r="H4593" t="s">
        <v>16</v>
      </c>
      <c r="I4593">
        <v>0</v>
      </c>
      <c r="J4593" s="23">
        <v>3373689</v>
      </c>
      <c r="K4593">
        <v>47231646</v>
      </c>
    </row>
    <row r="4594" spans="1:11" ht="15" customHeight="1" x14ac:dyDescent="0.3">
      <c r="A4594" t="s">
        <v>22</v>
      </c>
      <c r="B4594" t="s">
        <v>11</v>
      </c>
      <c r="C4594" t="s">
        <v>12</v>
      </c>
      <c r="D4594" t="s">
        <v>28</v>
      </c>
      <c r="E4594">
        <v>5</v>
      </c>
      <c r="F4594" t="s">
        <v>14</v>
      </c>
      <c r="G4594" t="s">
        <v>15</v>
      </c>
      <c r="H4594" t="s">
        <v>16</v>
      </c>
      <c r="I4594">
        <v>0</v>
      </c>
      <c r="J4594" s="23">
        <v>-87209</v>
      </c>
      <c r="K4594" t="s">
        <v>17</v>
      </c>
    </row>
    <row r="4595" spans="1:11" ht="15" customHeight="1" x14ac:dyDescent="0.3">
      <c r="A4595" t="s">
        <v>18</v>
      </c>
      <c r="B4595" t="s">
        <v>19</v>
      </c>
      <c r="C4595" t="s">
        <v>24</v>
      </c>
      <c r="D4595" t="s">
        <v>20</v>
      </c>
      <c r="E4595">
        <v>6</v>
      </c>
      <c r="F4595"/>
      <c r="G4595" t="s">
        <v>15</v>
      </c>
      <c r="H4595" t="s">
        <v>16</v>
      </c>
      <c r="I4595">
        <v>0</v>
      </c>
      <c r="J4595" s="23">
        <v>127439414</v>
      </c>
      <c r="K4595">
        <v>764636484</v>
      </c>
    </row>
    <row r="4596" spans="1:11" ht="15" customHeight="1" x14ac:dyDescent="0.3">
      <c r="A4596" t="s">
        <v>22</v>
      </c>
      <c r="B4596" t="s">
        <v>19</v>
      </c>
      <c r="C4596" t="s">
        <v>12</v>
      </c>
      <c r="D4596" t="s">
        <v>28</v>
      </c>
      <c r="E4596">
        <v>26</v>
      </c>
      <c r="F4596"/>
      <c r="G4596" t="s">
        <v>15</v>
      </c>
      <c r="H4596" t="s">
        <v>16</v>
      </c>
      <c r="I4596">
        <v>0</v>
      </c>
      <c r="J4596" s="23">
        <v>-48592</v>
      </c>
      <c r="K4596" t="s">
        <v>17</v>
      </c>
    </row>
    <row r="4597" spans="1:11" ht="15" customHeight="1" x14ac:dyDescent="0.3">
      <c r="A4597" t="s">
        <v>18</v>
      </c>
      <c r="B4597" t="s">
        <v>11</v>
      </c>
      <c r="C4597" t="s">
        <v>12</v>
      </c>
      <c r="D4597" t="s">
        <v>28</v>
      </c>
      <c r="E4597">
        <v>13</v>
      </c>
      <c r="F4597" t="s">
        <v>42</v>
      </c>
      <c r="G4597" t="s">
        <v>15</v>
      </c>
      <c r="H4597" t="s">
        <v>16</v>
      </c>
      <c r="I4597">
        <v>0</v>
      </c>
      <c r="J4597" s="23">
        <v>-175</v>
      </c>
      <c r="K4597" t="s">
        <v>17</v>
      </c>
    </row>
    <row r="4598" spans="1:11" ht="15" customHeight="1" x14ac:dyDescent="0.3">
      <c r="A4598" t="s">
        <v>10</v>
      </c>
      <c r="B4598" t="s">
        <v>11</v>
      </c>
      <c r="C4598" t="s">
        <v>24</v>
      </c>
      <c r="D4598" t="s">
        <v>13</v>
      </c>
      <c r="E4598">
        <v>5</v>
      </c>
      <c r="F4598" t="s">
        <v>34</v>
      </c>
      <c r="G4598" t="s">
        <v>15</v>
      </c>
      <c r="H4598" t="s">
        <v>16</v>
      </c>
      <c r="I4598">
        <v>0</v>
      </c>
      <c r="J4598" s="23">
        <v>5200231</v>
      </c>
      <c r="K4598">
        <v>26001155</v>
      </c>
    </row>
    <row r="4599" spans="1:11" ht="15" customHeight="1" x14ac:dyDescent="0.3">
      <c r="A4599" t="s">
        <v>10</v>
      </c>
      <c r="B4599" t="s">
        <v>11</v>
      </c>
      <c r="C4599" t="s">
        <v>12</v>
      </c>
      <c r="D4599" t="s">
        <v>13</v>
      </c>
      <c r="E4599">
        <v>3</v>
      </c>
      <c r="F4599" t="s">
        <v>29</v>
      </c>
      <c r="G4599" t="s">
        <v>15</v>
      </c>
      <c r="H4599" t="s">
        <v>16</v>
      </c>
      <c r="I4599">
        <v>0</v>
      </c>
      <c r="J4599" s="23">
        <v>-1532604</v>
      </c>
      <c r="K4599" t="s">
        <v>17</v>
      </c>
    </row>
    <row r="4600" spans="1:11" ht="15" customHeight="1" x14ac:dyDescent="0.3">
      <c r="A4600" t="s">
        <v>18</v>
      </c>
      <c r="B4600" t="s">
        <v>19</v>
      </c>
      <c r="C4600" t="s">
        <v>24</v>
      </c>
      <c r="D4600" t="s">
        <v>20</v>
      </c>
      <c r="E4600">
        <v>14</v>
      </c>
      <c r="F4600"/>
      <c r="G4600" t="s">
        <v>31</v>
      </c>
      <c r="H4600" t="s">
        <v>16</v>
      </c>
      <c r="I4600">
        <v>1</v>
      </c>
      <c r="J4600" s="23">
        <v>2778330</v>
      </c>
      <c r="K4600">
        <v>38896620</v>
      </c>
    </row>
    <row r="4601" spans="1:11" ht="15" customHeight="1" x14ac:dyDescent="0.3">
      <c r="A4601" t="s">
        <v>22</v>
      </c>
      <c r="B4601" t="s">
        <v>19</v>
      </c>
      <c r="C4601" t="s">
        <v>24</v>
      </c>
      <c r="D4601" t="s">
        <v>20</v>
      </c>
      <c r="E4601">
        <v>22</v>
      </c>
      <c r="F4601"/>
      <c r="G4601" t="s">
        <v>31</v>
      </c>
      <c r="H4601" t="s">
        <v>16</v>
      </c>
      <c r="I4601">
        <v>1</v>
      </c>
      <c r="J4601" s="23">
        <v>63747</v>
      </c>
      <c r="K4601">
        <v>1402434</v>
      </c>
    </row>
    <row r="4602" spans="1:11" ht="15" customHeight="1" x14ac:dyDescent="0.3">
      <c r="A4602" t="s">
        <v>18</v>
      </c>
      <c r="B4602" t="s">
        <v>11</v>
      </c>
      <c r="C4602" t="s">
        <v>12</v>
      </c>
      <c r="D4602" t="s">
        <v>28</v>
      </c>
      <c r="E4602">
        <v>7</v>
      </c>
      <c r="F4602" t="s">
        <v>21</v>
      </c>
      <c r="G4602" t="s">
        <v>15</v>
      </c>
      <c r="H4602" t="s">
        <v>16</v>
      </c>
      <c r="I4602">
        <v>0</v>
      </c>
      <c r="J4602" s="23">
        <v>-2889</v>
      </c>
      <c r="K4602" t="s">
        <v>17</v>
      </c>
    </row>
    <row r="4603" spans="1:11" ht="15" customHeight="1" x14ac:dyDescent="0.3">
      <c r="A4603" t="s">
        <v>10</v>
      </c>
      <c r="B4603" t="s">
        <v>19</v>
      </c>
      <c r="C4603" t="s">
        <v>24</v>
      </c>
      <c r="D4603" t="s">
        <v>20</v>
      </c>
      <c r="E4603">
        <v>29</v>
      </c>
      <c r="F4603"/>
      <c r="G4603" t="s">
        <v>15</v>
      </c>
      <c r="H4603" t="s">
        <v>32</v>
      </c>
      <c r="I4603">
        <v>1</v>
      </c>
      <c r="J4603" s="23">
        <v>98325</v>
      </c>
      <c r="K4603">
        <v>2851425</v>
      </c>
    </row>
    <row r="4604" spans="1:11" ht="15" customHeight="1" x14ac:dyDescent="0.3">
      <c r="A4604" t="s">
        <v>10</v>
      </c>
      <c r="B4604" t="s">
        <v>11</v>
      </c>
      <c r="C4604" t="s">
        <v>12</v>
      </c>
      <c r="D4604" t="s">
        <v>25</v>
      </c>
      <c r="E4604">
        <v>1</v>
      </c>
      <c r="F4604" t="s">
        <v>40</v>
      </c>
      <c r="G4604" t="s">
        <v>15</v>
      </c>
      <c r="H4604" t="s">
        <v>16</v>
      </c>
      <c r="I4604">
        <v>0</v>
      </c>
      <c r="J4604" s="23">
        <v>-38954</v>
      </c>
      <c r="K4604" t="s">
        <v>17</v>
      </c>
    </row>
    <row r="4605" spans="1:11" ht="15" customHeight="1" x14ac:dyDescent="0.3">
      <c r="A4605" t="s">
        <v>22</v>
      </c>
      <c r="B4605" t="s">
        <v>11</v>
      </c>
      <c r="C4605" t="s">
        <v>12</v>
      </c>
      <c r="D4605" t="s">
        <v>13</v>
      </c>
      <c r="E4605">
        <v>-4</v>
      </c>
      <c r="F4605" t="s">
        <v>33</v>
      </c>
      <c r="G4605" t="s">
        <v>15</v>
      </c>
      <c r="H4605" t="s">
        <v>16</v>
      </c>
      <c r="I4605">
        <v>0</v>
      </c>
      <c r="J4605" s="23">
        <v>-670003</v>
      </c>
      <c r="K4605" t="s">
        <v>17</v>
      </c>
    </row>
    <row r="4606" spans="1:11" ht="15" customHeight="1" x14ac:dyDescent="0.3">
      <c r="A4606" t="s">
        <v>10</v>
      </c>
      <c r="B4606" t="s">
        <v>19</v>
      </c>
      <c r="C4606" t="s">
        <v>24</v>
      </c>
      <c r="D4606" t="s">
        <v>20</v>
      </c>
      <c r="E4606">
        <v>24</v>
      </c>
      <c r="F4606"/>
      <c r="G4606" t="s">
        <v>15</v>
      </c>
      <c r="H4606" t="s">
        <v>32</v>
      </c>
      <c r="I4606">
        <v>1</v>
      </c>
      <c r="J4606" s="23">
        <v>380062</v>
      </c>
      <c r="K4606">
        <v>9121488</v>
      </c>
    </row>
    <row r="4607" spans="1:11" ht="15" customHeight="1" x14ac:dyDescent="0.3">
      <c r="A4607" t="s">
        <v>18</v>
      </c>
      <c r="B4607" t="s">
        <v>11</v>
      </c>
      <c r="C4607" t="s">
        <v>12</v>
      </c>
      <c r="D4607" t="s">
        <v>28</v>
      </c>
      <c r="E4607">
        <v>14</v>
      </c>
      <c r="F4607" t="s">
        <v>33</v>
      </c>
      <c r="G4607" t="s">
        <v>15</v>
      </c>
      <c r="H4607" t="s">
        <v>32</v>
      </c>
      <c r="I4607">
        <v>1</v>
      </c>
      <c r="J4607" s="23">
        <v>-33646</v>
      </c>
      <c r="K4607" t="s">
        <v>17</v>
      </c>
    </row>
    <row r="4608" spans="1:11" ht="15" customHeight="1" x14ac:dyDescent="0.3">
      <c r="A4608" t="s">
        <v>10</v>
      </c>
      <c r="B4608" t="s">
        <v>11</v>
      </c>
      <c r="C4608" t="s">
        <v>24</v>
      </c>
      <c r="D4608" t="s">
        <v>25</v>
      </c>
      <c r="E4608">
        <v>-4</v>
      </c>
      <c r="F4608" t="s">
        <v>30</v>
      </c>
      <c r="G4608" t="s">
        <v>15</v>
      </c>
      <c r="H4608" t="s">
        <v>16</v>
      </c>
      <c r="I4608">
        <v>0</v>
      </c>
      <c r="J4608" s="23">
        <v>2139</v>
      </c>
      <c r="K4608" t="s">
        <v>17</v>
      </c>
    </row>
    <row r="4609" spans="1:11" ht="15" customHeight="1" x14ac:dyDescent="0.3">
      <c r="A4609" t="s">
        <v>18</v>
      </c>
      <c r="B4609" t="s">
        <v>11</v>
      </c>
      <c r="C4609" t="s">
        <v>24</v>
      </c>
      <c r="D4609" t="s">
        <v>28</v>
      </c>
      <c r="E4609">
        <v>0</v>
      </c>
      <c r="F4609" t="s">
        <v>27</v>
      </c>
      <c r="G4609" t="s">
        <v>15</v>
      </c>
      <c r="H4609" t="s">
        <v>16</v>
      </c>
      <c r="I4609">
        <v>0</v>
      </c>
      <c r="J4609" s="23">
        <v>12037</v>
      </c>
      <c r="K4609" t="s">
        <v>17</v>
      </c>
    </row>
    <row r="4610" spans="1:11" ht="15" customHeight="1" x14ac:dyDescent="0.3">
      <c r="A4610" t="s">
        <v>10</v>
      </c>
      <c r="B4610" t="s">
        <v>11</v>
      </c>
      <c r="C4610" t="s">
        <v>12</v>
      </c>
      <c r="D4610" t="s">
        <v>28</v>
      </c>
      <c r="E4610">
        <v>0</v>
      </c>
      <c r="F4610" t="s">
        <v>29</v>
      </c>
      <c r="G4610" t="s">
        <v>15</v>
      </c>
      <c r="H4610" t="s">
        <v>16</v>
      </c>
      <c r="I4610">
        <v>0</v>
      </c>
      <c r="J4610" s="23">
        <v>-24114</v>
      </c>
      <c r="K4610" t="s">
        <v>17</v>
      </c>
    </row>
    <row r="4611" spans="1:11" ht="15" customHeight="1" x14ac:dyDescent="0.3">
      <c r="A4611" t="s">
        <v>18</v>
      </c>
      <c r="B4611" t="s">
        <v>19</v>
      </c>
      <c r="C4611" t="s">
        <v>12</v>
      </c>
      <c r="D4611" t="s">
        <v>20</v>
      </c>
      <c r="E4611">
        <v>25</v>
      </c>
      <c r="F4611"/>
      <c r="G4611" t="s">
        <v>31</v>
      </c>
      <c r="H4611" t="s">
        <v>16</v>
      </c>
      <c r="I4611">
        <v>1</v>
      </c>
      <c r="J4611" s="23">
        <v>-3366</v>
      </c>
      <c r="K4611" t="s">
        <v>17</v>
      </c>
    </row>
    <row r="4612" spans="1:11" ht="15" customHeight="1" x14ac:dyDescent="0.3">
      <c r="A4612" t="s">
        <v>18</v>
      </c>
      <c r="B4612" t="s">
        <v>11</v>
      </c>
      <c r="C4612" t="s">
        <v>12</v>
      </c>
      <c r="D4612" t="s">
        <v>28</v>
      </c>
      <c r="E4612">
        <v>14</v>
      </c>
      <c r="F4612" t="s">
        <v>37</v>
      </c>
      <c r="G4612" t="s">
        <v>15</v>
      </c>
      <c r="H4612" t="s">
        <v>16</v>
      </c>
      <c r="I4612">
        <v>0</v>
      </c>
      <c r="J4612" s="23">
        <v>-497</v>
      </c>
      <c r="K4612" t="s">
        <v>17</v>
      </c>
    </row>
    <row r="4613" spans="1:11" ht="15" customHeight="1" x14ac:dyDescent="0.3">
      <c r="A4613" t="s">
        <v>10</v>
      </c>
      <c r="B4613" t="s">
        <v>11</v>
      </c>
      <c r="C4613" t="s">
        <v>12</v>
      </c>
      <c r="D4613" t="s">
        <v>25</v>
      </c>
      <c r="E4613">
        <v>-1</v>
      </c>
      <c r="F4613" t="s">
        <v>39</v>
      </c>
      <c r="G4613" t="s">
        <v>15</v>
      </c>
      <c r="H4613" t="s">
        <v>16</v>
      </c>
      <c r="I4613">
        <v>0</v>
      </c>
      <c r="J4613" s="23">
        <v>-839</v>
      </c>
      <c r="K4613" t="s">
        <v>17</v>
      </c>
    </row>
    <row r="4614" spans="1:11" ht="15" customHeight="1" x14ac:dyDescent="0.3">
      <c r="A4614" t="s">
        <v>22</v>
      </c>
      <c r="B4614" t="s">
        <v>11</v>
      </c>
      <c r="C4614" t="s">
        <v>24</v>
      </c>
      <c r="D4614" t="s">
        <v>28</v>
      </c>
      <c r="E4614">
        <v>4</v>
      </c>
      <c r="F4614" t="s">
        <v>21</v>
      </c>
      <c r="G4614" t="s">
        <v>15</v>
      </c>
      <c r="H4614" t="s">
        <v>16</v>
      </c>
      <c r="I4614">
        <v>0</v>
      </c>
      <c r="J4614" s="23">
        <v>750434</v>
      </c>
      <c r="K4614">
        <v>3001736</v>
      </c>
    </row>
    <row r="4615" spans="1:11" ht="15" customHeight="1" x14ac:dyDescent="0.3">
      <c r="A4615" t="s">
        <v>10</v>
      </c>
      <c r="B4615" t="s">
        <v>11</v>
      </c>
      <c r="C4615" t="s">
        <v>12</v>
      </c>
      <c r="D4615" t="s">
        <v>28</v>
      </c>
      <c r="E4615">
        <v>7</v>
      </c>
      <c r="F4615" t="s">
        <v>23</v>
      </c>
      <c r="G4615" t="s">
        <v>15</v>
      </c>
      <c r="H4615" t="s">
        <v>16</v>
      </c>
      <c r="I4615">
        <v>0</v>
      </c>
      <c r="J4615" s="23">
        <v>-475171</v>
      </c>
      <c r="K4615" t="s">
        <v>17</v>
      </c>
    </row>
    <row r="4616" spans="1:11" ht="15" customHeight="1" x14ac:dyDescent="0.3">
      <c r="A4616" t="s">
        <v>10</v>
      </c>
      <c r="B4616" t="s">
        <v>11</v>
      </c>
      <c r="C4616" t="s">
        <v>12</v>
      </c>
      <c r="D4616" t="s">
        <v>25</v>
      </c>
      <c r="E4616">
        <v>1</v>
      </c>
      <c r="F4616" t="s">
        <v>21</v>
      </c>
      <c r="G4616" t="s">
        <v>15</v>
      </c>
      <c r="H4616" t="s">
        <v>16</v>
      </c>
      <c r="I4616">
        <v>0</v>
      </c>
      <c r="J4616" s="23">
        <v>-31121</v>
      </c>
      <c r="K4616" t="s">
        <v>17</v>
      </c>
    </row>
    <row r="4617" spans="1:11" ht="15" customHeight="1" x14ac:dyDescent="0.3">
      <c r="A4617" t="s">
        <v>22</v>
      </c>
      <c r="B4617" t="s">
        <v>11</v>
      </c>
      <c r="C4617" t="s">
        <v>12</v>
      </c>
      <c r="D4617" t="s">
        <v>13</v>
      </c>
      <c r="E4617">
        <v>7</v>
      </c>
      <c r="F4617" t="s">
        <v>29</v>
      </c>
      <c r="G4617" t="s">
        <v>15</v>
      </c>
      <c r="H4617" t="s">
        <v>16</v>
      </c>
      <c r="I4617">
        <v>0</v>
      </c>
      <c r="J4617" s="23">
        <v>-1223350</v>
      </c>
      <c r="K4617" t="s">
        <v>17</v>
      </c>
    </row>
    <row r="4618" spans="1:11" ht="15" customHeight="1" x14ac:dyDescent="0.3">
      <c r="A4618" t="s">
        <v>10</v>
      </c>
      <c r="B4618" t="s">
        <v>11</v>
      </c>
      <c r="C4618" t="s">
        <v>24</v>
      </c>
      <c r="D4618" t="s">
        <v>28</v>
      </c>
      <c r="E4618">
        <v>6</v>
      </c>
      <c r="F4618" t="s">
        <v>34</v>
      </c>
      <c r="G4618" t="s">
        <v>15</v>
      </c>
      <c r="H4618" t="s">
        <v>32</v>
      </c>
      <c r="I4618">
        <v>1</v>
      </c>
      <c r="J4618" s="23">
        <v>731268</v>
      </c>
      <c r="K4618">
        <v>4387608</v>
      </c>
    </row>
    <row r="4619" spans="1:11" ht="15" customHeight="1" x14ac:dyDescent="0.3">
      <c r="A4619" t="s">
        <v>10</v>
      </c>
      <c r="B4619" t="s">
        <v>11</v>
      </c>
      <c r="C4619" t="s">
        <v>12</v>
      </c>
      <c r="D4619" t="s">
        <v>28</v>
      </c>
      <c r="E4619">
        <v>3</v>
      </c>
      <c r="F4619" t="s">
        <v>33</v>
      </c>
      <c r="G4619" t="s">
        <v>15</v>
      </c>
      <c r="H4619" t="s">
        <v>16</v>
      </c>
      <c r="I4619">
        <v>0</v>
      </c>
      <c r="J4619" s="23">
        <v>-2969</v>
      </c>
      <c r="K4619" t="s">
        <v>17</v>
      </c>
    </row>
    <row r="4620" spans="1:11" ht="15" customHeight="1" x14ac:dyDescent="0.3">
      <c r="A4620" t="s">
        <v>18</v>
      </c>
      <c r="B4620" t="s">
        <v>19</v>
      </c>
      <c r="C4620" t="s">
        <v>12</v>
      </c>
      <c r="D4620" t="s">
        <v>20</v>
      </c>
      <c r="E4620">
        <v>11</v>
      </c>
      <c r="F4620"/>
      <c r="G4620" t="s">
        <v>31</v>
      </c>
      <c r="H4620" t="s">
        <v>32</v>
      </c>
      <c r="I4620">
        <v>1</v>
      </c>
      <c r="J4620" s="23">
        <v>-23</v>
      </c>
      <c r="K4620" t="s">
        <v>17</v>
      </c>
    </row>
    <row r="4621" spans="1:11" ht="15" customHeight="1" x14ac:dyDescent="0.3">
      <c r="A4621" t="s">
        <v>10</v>
      </c>
      <c r="B4621" t="s">
        <v>19</v>
      </c>
      <c r="C4621" t="s">
        <v>24</v>
      </c>
      <c r="D4621" t="s">
        <v>20</v>
      </c>
      <c r="E4621">
        <v>38</v>
      </c>
      <c r="F4621"/>
      <c r="G4621" t="s">
        <v>15</v>
      </c>
      <c r="H4621" t="s">
        <v>32</v>
      </c>
      <c r="I4621">
        <v>1</v>
      </c>
      <c r="J4621" s="23">
        <v>144559</v>
      </c>
      <c r="K4621">
        <v>5493242</v>
      </c>
    </row>
    <row r="4622" spans="1:11" ht="15" customHeight="1" x14ac:dyDescent="0.3">
      <c r="A4622" t="s">
        <v>18</v>
      </c>
      <c r="B4622" t="s">
        <v>19</v>
      </c>
      <c r="C4622" t="s">
        <v>24</v>
      </c>
      <c r="D4622" t="s">
        <v>28</v>
      </c>
      <c r="E4622">
        <v>11</v>
      </c>
      <c r="F4622"/>
      <c r="G4622" t="s">
        <v>15</v>
      </c>
      <c r="H4622" t="s">
        <v>16</v>
      </c>
      <c r="I4622">
        <v>0</v>
      </c>
      <c r="J4622" s="23">
        <v>4259245</v>
      </c>
      <c r="K4622">
        <v>46851695</v>
      </c>
    </row>
    <row r="4623" spans="1:11" ht="15" customHeight="1" x14ac:dyDescent="0.3">
      <c r="A4623" t="s">
        <v>10</v>
      </c>
      <c r="B4623" t="s">
        <v>11</v>
      </c>
      <c r="C4623" t="s">
        <v>12</v>
      </c>
      <c r="D4623" t="s">
        <v>25</v>
      </c>
      <c r="E4623">
        <v>-1</v>
      </c>
      <c r="F4623" t="s">
        <v>42</v>
      </c>
      <c r="G4623" t="s">
        <v>15</v>
      </c>
      <c r="H4623" t="s">
        <v>16</v>
      </c>
      <c r="I4623">
        <v>0</v>
      </c>
      <c r="J4623" s="23">
        <v>-1064</v>
      </c>
      <c r="K4623" t="s">
        <v>17</v>
      </c>
    </row>
    <row r="4624" spans="1:11" ht="15" customHeight="1" x14ac:dyDescent="0.3">
      <c r="A4624" t="s">
        <v>22</v>
      </c>
      <c r="B4624" t="s">
        <v>11</v>
      </c>
      <c r="C4624" t="s">
        <v>24</v>
      </c>
      <c r="D4624" t="s">
        <v>28</v>
      </c>
      <c r="E4624">
        <v>2</v>
      </c>
      <c r="F4624" t="s">
        <v>41</v>
      </c>
      <c r="G4624" t="s">
        <v>15</v>
      </c>
      <c r="H4624" t="s">
        <v>32</v>
      </c>
      <c r="I4624">
        <v>1</v>
      </c>
      <c r="J4624" s="23">
        <v>739531</v>
      </c>
      <c r="K4624">
        <v>1479062</v>
      </c>
    </row>
    <row r="4625" spans="1:11" ht="15" customHeight="1" x14ac:dyDescent="0.3">
      <c r="A4625" t="s">
        <v>18</v>
      </c>
      <c r="B4625" t="s">
        <v>19</v>
      </c>
      <c r="C4625" t="s">
        <v>24</v>
      </c>
      <c r="D4625" t="s">
        <v>20</v>
      </c>
      <c r="E4625">
        <v>35</v>
      </c>
      <c r="F4625"/>
      <c r="G4625" t="s">
        <v>15</v>
      </c>
      <c r="H4625" t="s">
        <v>16</v>
      </c>
      <c r="I4625">
        <v>0</v>
      </c>
      <c r="J4625" s="23">
        <v>1353162512</v>
      </c>
      <c r="K4625">
        <v>47360687920</v>
      </c>
    </row>
    <row r="4626" spans="1:11" ht="15" customHeight="1" x14ac:dyDescent="0.3">
      <c r="A4626" t="s">
        <v>10</v>
      </c>
      <c r="B4626" t="s">
        <v>11</v>
      </c>
      <c r="C4626" t="s">
        <v>12</v>
      </c>
      <c r="D4626" t="s">
        <v>28</v>
      </c>
      <c r="E4626">
        <v>9</v>
      </c>
      <c r="F4626" t="s">
        <v>33</v>
      </c>
      <c r="G4626" t="s">
        <v>15</v>
      </c>
      <c r="H4626" t="s">
        <v>32</v>
      </c>
      <c r="I4626">
        <v>1</v>
      </c>
      <c r="J4626" s="23">
        <v>-28628</v>
      </c>
      <c r="K4626" t="s">
        <v>17</v>
      </c>
    </row>
    <row r="4627" spans="1:11" ht="15" customHeight="1" x14ac:dyDescent="0.3">
      <c r="A4627" t="s">
        <v>22</v>
      </c>
      <c r="B4627" t="s">
        <v>11</v>
      </c>
      <c r="C4627" t="s">
        <v>12</v>
      </c>
      <c r="D4627" t="s">
        <v>28</v>
      </c>
      <c r="E4627">
        <v>29</v>
      </c>
      <c r="F4627" t="s">
        <v>17</v>
      </c>
      <c r="G4627" t="s">
        <v>15</v>
      </c>
      <c r="H4627" t="s">
        <v>16</v>
      </c>
      <c r="I4627">
        <v>0</v>
      </c>
      <c r="J4627" s="23">
        <v>-35000000</v>
      </c>
      <c r="K4627" t="s">
        <v>17</v>
      </c>
    </row>
    <row r="4628" spans="1:11" ht="15" customHeight="1" x14ac:dyDescent="0.3">
      <c r="A4628" t="s">
        <v>10</v>
      </c>
      <c r="B4628" t="s">
        <v>11</v>
      </c>
      <c r="C4628" t="s">
        <v>24</v>
      </c>
      <c r="D4628" t="s">
        <v>25</v>
      </c>
      <c r="E4628">
        <v>-4</v>
      </c>
      <c r="F4628" t="s">
        <v>27</v>
      </c>
      <c r="G4628" t="s">
        <v>15</v>
      </c>
      <c r="H4628" t="s">
        <v>16</v>
      </c>
      <c r="I4628">
        <v>0</v>
      </c>
      <c r="J4628" s="23">
        <v>317</v>
      </c>
      <c r="K4628" t="s">
        <v>17</v>
      </c>
    </row>
    <row r="4629" spans="1:11" ht="15" customHeight="1" x14ac:dyDescent="0.3">
      <c r="A4629" t="s">
        <v>18</v>
      </c>
      <c r="B4629" t="s">
        <v>19</v>
      </c>
      <c r="C4629" t="s">
        <v>24</v>
      </c>
      <c r="D4629" t="s">
        <v>20</v>
      </c>
      <c r="E4629">
        <v>21</v>
      </c>
      <c r="F4629"/>
      <c r="G4629" t="s">
        <v>31</v>
      </c>
      <c r="H4629" t="s">
        <v>32</v>
      </c>
      <c r="I4629">
        <v>1</v>
      </c>
      <c r="J4629" s="23">
        <v>226427</v>
      </c>
      <c r="K4629">
        <v>4754967</v>
      </c>
    </row>
    <row r="4630" spans="1:11" ht="15" customHeight="1" x14ac:dyDescent="0.3">
      <c r="A4630" t="s">
        <v>22</v>
      </c>
      <c r="B4630" t="s">
        <v>11</v>
      </c>
      <c r="C4630" t="s">
        <v>12</v>
      </c>
      <c r="D4630" t="s">
        <v>13</v>
      </c>
      <c r="E4630">
        <v>2</v>
      </c>
      <c r="F4630" t="s">
        <v>35</v>
      </c>
      <c r="G4630" t="s">
        <v>15</v>
      </c>
      <c r="H4630" t="s">
        <v>16</v>
      </c>
      <c r="I4630">
        <v>0</v>
      </c>
      <c r="J4630" s="23">
        <v>-228351</v>
      </c>
      <c r="K4630" t="s">
        <v>17</v>
      </c>
    </row>
    <row r="4631" spans="1:11" ht="15" customHeight="1" x14ac:dyDescent="0.3">
      <c r="A4631" t="s">
        <v>22</v>
      </c>
      <c r="B4631" t="s">
        <v>11</v>
      </c>
      <c r="C4631" t="s">
        <v>12</v>
      </c>
      <c r="D4631" t="s">
        <v>13</v>
      </c>
      <c r="E4631">
        <v>0</v>
      </c>
      <c r="F4631" t="s">
        <v>27</v>
      </c>
      <c r="G4631" t="s">
        <v>15</v>
      </c>
      <c r="H4631" t="s">
        <v>16</v>
      </c>
      <c r="I4631">
        <v>0</v>
      </c>
      <c r="J4631" s="23">
        <v>-41835</v>
      </c>
      <c r="K4631" t="s">
        <v>17</v>
      </c>
    </row>
    <row r="4632" spans="1:11" ht="15" customHeight="1" x14ac:dyDescent="0.3">
      <c r="A4632" t="s">
        <v>22</v>
      </c>
      <c r="B4632" t="s">
        <v>19</v>
      </c>
      <c r="C4632" t="s">
        <v>24</v>
      </c>
      <c r="D4632" t="s">
        <v>20</v>
      </c>
      <c r="E4632">
        <v>18</v>
      </c>
      <c r="F4632"/>
      <c r="G4632" t="s">
        <v>15</v>
      </c>
      <c r="H4632" t="s">
        <v>16</v>
      </c>
      <c r="I4632">
        <v>0</v>
      </c>
      <c r="J4632" s="23">
        <v>5593284</v>
      </c>
      <c r="K4632">
        <v>100679112</v>
      </c>
    </row>
    <row r="4633" spans="1:11" ht="15" customHeight="1" x14ac:dyDescent="0.3">
      <c r="A4633" t="s">
        <v>22</v>
      </c>
      <c r="B4633" t="s">
        <v>11</v>
      </c>
      <c r="C4633" t="s">
        <v>12</v>
      </c>
      <c r="D4633" t="s">
        <v>13</v>
      </c>
      <c r="E4633">
        <v>-4</v>
      </c>
      <c r="F4633" t="s">
        <v>14</v>
      </c>
      <c r="G4633" t="s">
        <v>15</v>
      </c>
      <c r="H4633" t="s">
        <v>16</v>
      </c>
      <c r="I4633">
        <v>0</v>
      </c>
      <c r="J4633" s="23">
        <v>-192428</v>
      </c>
      <c r="K4633" t="s">
        <v>17</v>
      </c>
    </row>
    <row r="4634" spans="1:11" ht="15" customHeight="1" x14ac:dyDescent="0.3">
      <c r="A4634" t="s">
        <v>18</v>
      </c>
      <c r="B4634" t="s">
        <v>11</v>
      </c>
      <c r="C4634" t="s">
        <v>24</v>
      </c>
      <c r="D4634" t="s">
        <v>28</v>
      </c>
      <c r="E4634">
        <v>11</v>
      </c>
      <c r="F4634" t="s">
        <v>39</v>
      </c>
      <c r="G4634" t="s">
        <v>31</v>
      </c>
      <c r="H4634" t="s">
        <v>16</v>
      </c>
      <c r="I4634">
        <v>1</v>
      </c>
      <c r="J4634" s="23">
        <v>98104</v>
      </c>
      <c r="K4634">
        <v>1079144</v>
      </c>
    </row>
    <row r="4635" spans="1:11" ht="15" customHeight="1" x14ac:dyDescent="0.3">
      <c r="A4635" t="s">
        <v>10</v>
      </c>
      <c r="B4635" t="s">
        <v>11</v>
      </c>
      <c r="C4635" t="s">
        <v>24</v>
      </c>
      <c r="D4635" t="s">
        <v>25</v>
      </c>
      <c r="E4635">
        <v>6</v>
      </c>
      <c r="F4635" t="s">
        <v>40</v>
      </c>
      <c r="G4635" t="s">
        <v>15</v>
      </c>
      <c r="H4635" t="s">
        <v>16</v>
      </c>
      <c r="I4635">
        <v>0</v>
      </c>
      <c r="J4635" s="23">
        <v>1328534</v>
      </c>
      <c r="K4635">
        <v>7971204</v>
      </c>
    </row>
    <row r="4636" spans="1:11" ht="15" customHeight="1" x14ac:dyDescent="0.3">
      <c r="A4636" t="s">
        <v>18</v>
      </c>
      <c r="B4636" t="s">
        <v>19</v>
      </c>
      <c r="C4636" t="s">
        <v>12</v>
      </c>
      <c r="D4636" t="s">
        <v>20</v>
      </c>
      <c r="E4636">
        <v>3</v>
      </c>
      <c r="F4636"/>
      <c r="G4636" t="s">
        <v>31</v>
      </c>
      <c r="H4636" t="s">
        <v>32</v>
      </c>
      <c r="I4636">
        <v>1</v>
      </c>
      <c r="J4636" s="23">
        <v>-8</v>
      </c>
      <c r="K4636" t="s">
        <v>17</v>
      </c>
    </row>
    <row r="4637" spans="1:11" ht="15" customHeight="1" x14ac:dyDescent="0.3">
      <c r="A4637" t="s">
        <v>10</v>
      </c>
      <c r="B4637" t="s">
        <v>19</v>
      </c>
      <c r="C4637" t="s">
        <v>24</v>
      </c>
      <c r="D4637" t="s">
        <v>20</v>
      </c>
      <c r="E4637">
        <v>11</v>
      </c>
      <c r="F4637"/>
      <c r="G4637" t="s">
        <v>31</v>
      </c>
      <c r="H4637" t="s">
        <v>16</v>
      </c>
      <c r="I4637">
        <v>1</v>
      </c>
      <c r="J4637" s="23">
        <v>110079</v>
      </c>
      <c r="K4637">
        <v>1210869</v>
      </c>
    </row>
    <row r="4638" spans="1:11" ht="15" customHeight="1" x14ac:dyDescent="0.3">
      <c r="A4638" t="s">
        <v>10</v>
      </c>
      <c r="B4638" t="s">
        <v>11</v>
      </c>
      <c r="C4638" t="s">
        <v>12</v>
      </c>
      <c r="D4638" t="s">
        <v>28</v>
      </c>
      <c r="E4638">
        <v>5</v>
      </c>
      <c r="F4638" t="s">
        <v>21</v>
      </c>
      <c r="G4638" t="s">
        <v>15</v>
      </c>
      <c r="H4638" t="s">
        <v>16</v>
      </c>
      <c r="I4638">
        <v>0</v>
      </c>
      <c r="J4638" s="23">
        <v>-92823</v>
      </c>
      <c r="K4638" t="s">
        <v>17</v>
      </c>
    </row>
    <row r="4639" spans="1:11" ht="15" customHeight="1" x14ac:dyDescent="0.3">
      <c r="A4639" t="s">
        <v>22</v>
      </c>
      <c r="B4639" t="s">
        <v>11</v>
      </c>
      <c r="C4639" t="s">
        <v>12</v>
      </c>
      <c r="D4639" t="s">
        <v>25</v>
      </c>
      <c r="E4639">
        <v>3</v>
      </c>
      <c r="F4639" t="s">
        <v>39</v>
      </c>
      <c r="G4639" t="s">
        <v>15</v>
      </c>
      <c r="H4639" t="s">
        <v>16</v>
      </c>
      <c r="I4639">
        <v>0</v>
      </c>
      <c r="J4639" s="23">
        <v>-70898</v>
      </c>
      <c r="K4639" t="s">
        <v>17</v>
      </c>
    </row>
    <row r="4640" spans="1:11" ht="15" customHeight="1" x14ac:dyDescent="0.3">
      <c r="A4640" t="s">
        <v>10</v>
      </c>
      <c r="B4640" t="s">
        <v>11</v>
      </c>
      <c r="C4640" t="s">
        <v>12</v>
      </c>
      <c r="D4640" t="s">
        <v>28</v>
      </c>
      <c r="E4640">
        <v>2</v>
      </c>
      <c r="F4640" t="s">
        <v>39</v>
      </c>
      <c r="G4640" t="s">
        <v>15</v>
      </c>
      <c r="H4640" t="s">
        <v>16</v>
      </c>
      <c r="I4640">
        <v>0</v>
      </c>
      <c r="J4640" s="23">
        <v>-6227</v>
      </c>
      <c r="K4640" t="s">
        <v>17</v>
      </c>
    </row>
    <row r="4641" spans="1:11" ht="15" customHeight="1" x14ac:dyDescent="0.3">
      <c r="A4641" t="s">
        <v>10</v>
      </c>
      <c r="B4641" t="s">
        <v>11</v>
      </c>
      <c r="C4641" t="s">
        <v>12</v>
      </c>
      <c r="D4641" t="s">
        <v>13</v>
      </c>
      <c r="E4641">
        <v>5</v>
      </c>
      <c r="F4641" t="s">
        <v>21</v>
      </c>
      <c r="G4641" t="s">
        <v>15</v>
      </c>
      <c r="H4641" t="s">
        <v>16</v>
      </c>
      <c r="I4641">
        <v>0</v>
      </c>
      <c r="J4641" s="23">
        <v>-142012</v>
      </c>
      <c r="K4641" t="s">
        <v>17</v>
      </c>
    </row>
    <row r="4642" spans="1:11" ht="15" customHeight="1" x14ac:dyDescent="0.3">
      <c r="A4642" t="s">
        <v>18</v>
      </c>
      <c r="B4642" t="s">
        <v>11</v>
      </c>
      <c r="C4642" t="s">
        <v>24</v>
      </c>
      <c r="D4642" t="s">
        <v>28</v>
      </c>
      <c r="E4642">
        <v>7</v>
      </c>
      <c r="F4642" t="s">
        <v>21</v>
      </c>
      <c r="G4642" t="s">
        <v>31</v>
      </c>
      <c r="H4642" t="s">
        <v>32</v>
      </c>
      <c r="I4642">
        <v>1</v>
      </c>
      <c r="J4642" s="23">
        <v>33276</v>
      </c>
      <c r="K4642">
        <v>232932</v>
      </c>
    </row>
    <row r="4643" spans="1:11" ht="15" customHeight="1" x14ac:dyDescent="0.3">
      <c r="A4643" t="s">
        <v>18</v>
      </c>
      <c r="B4643" t="s">
        <v>11</v>
      </c>
      <c r="C4643" t="s">
        <v>12</v>
      </c>
      <c r="D4643" t="s">
        <v>28</v>
      </c>
      <c r="E4643">
        <v>14</v>
      </c>
      <c r="F4643" t="s">
        <v>39</v>
      </c>
      <c r="G4643" t="s">
        <v>15</v>
      </c>
      <c r="H4643" t="s">
        <v>16</v>
      </c>
      <c r="I4643">
        <v>0</v>
      </c>
      <c r="J4643" s="23">
        <v>-202</v>
      </c>
      <c r="K4643" t="s">
        <v>17</v>
      </c>
    </row>
    <row r="4644" spans="1:11" ht="15" customHeight="1" x14ac:dyDescent="0.3">
      <c r="A4644" t="s">
        <v>18</v>
      </c>
      <c r="B4644" t="s">
        <v>11</v>
      </c>
      <c r="C4644" t="s">
        <v>24</v>
      </c>
      <c r="D4644" t="s">
        <v>28</v>
      </c>
      <c r="E4644">
        <v>-4</v>
      </c>
      <c r="F4644" t="s">
        <v>29</v>
      </c>
      <c r="G4644" t="s">
        <v>15</v>
      </c>
      <c r="H4644" t="s">
        <v>16</v>
      </c>
      <c r="I4644">
        <v>0</v>
      </c>
      <c r="J4644" s="23">
        <v>75</v>
      </c>
      <c r="K4644" t="s">
        <v>17</v>
      </c>
    </row>
    <row r="4645" spans="1:11" ht="15" customHeight="1" x14ac:dyDescent="0.3">
      <c r="A4645" t="s">
        <v>10</v>
      </c>
      <c r="B4645" t="s">
        <v>11</v>
      </c>
      <c r="C4645" t="s">
        <v>24</v>
      </c>
      <c r="D4645" t="s">
        <v>13</v>
      </c>
      <c r="E4645">
        <v>8</v>
      </c>
      <c r="F4645" t="s">
        <v>30</v>
      </c>
      <c r="G4645" t="s">
        <v>15</v>
      </c>
      <c r="H4645" t="s">
        <v>16</v>
      </c>
      <c r="I4645">
        <v>0</v>
      </c>
      <c r="J4645" s="23">
        <v>954746</v>
      </c>
      <c r="K4645">
        <v>7637968</v>
      </c>
    </row>
    <row r="4646" spans="1:11" ht="15" customHeight="1" x14ac:dyDescent="0.3">
      <c r="A4646" t="s">
        <v>22</v>
      </c>
      <c r="B4646" t="s">
        <v>11</v>
      </c>
      <c r="C4646" t="s">
        <v>24</v>
      </c>
      <c r="D4646" t="s">
        <v>13</v>
      </c>
      <c r="E4646">
        <v>1</v>
      </c>
      <c r="F4646" t="s">
        <v>33</v>
      </c>
      <c r="G4646" t="s">
        <v>15</v>
      </c>
      <c r="H4646" t="s">
        <v>16</v>
      </c>
      <c r="I4646">
        <v>0</v>
      </c>
      <c r="J4646" s="23">
        <v>17886896</v>
      </c>
      <c r="K4646">
        <v>17886896</v>
      </c>
    </row>
    <row r="4647" spans="1:11" ht="15" customHeight="1" x14ac:dyDescent="0.3">
      <c r="A4647" t="s">
        <v>18</v>
      </c>
      <c r="B4647" t="s">
        <v>11</v>
      </c>
      <c r="C4647" t="s">
        <v>12</v>
      </c>
      <c r="D4647" t="s">
        <v>13</v>
      </c>
      <c r="E4647">
        <v>16</v>
      </c>
      <c r="F4647" t="s">
        <v>14</v>
      </c>
      <c r="G4647" t="s">
        <v>15</v>
      </c>
      <c r="H4647" t="s">
        <v>16</v>
      </c>
      <c r="I4647">
        <v>0</v>
      </c>
      <c r="J4647" s="23">
        <v>-305</v>
      </c>
      <c r="K4647" t="s">
        <v>17</v>
      </c>
    </row>
    <row r="4648" spans="1:11" ht="15" customHeight="1" x14ac:dyDescent="0.3">
      <c r="A4648" t="s">
        <v>18</v>
      </c>
      <c r="B4648" t="s">
        <v>11</v>
      </c>
      <c r="C4648" t="s">
        <v>24</v>
      </c>
      <c r="D4648" t="s">
        <v>28</v>
      </c>
      <c r="E4648">
        <v>22</v>
      </c>
      <c r="F4648" t="s">
        <v>14</v>
      </c>
      <c r="G4648" t="s">
        <v>15</v>
      </c>
      <c r="H4648" t="s">
        <v>16</v>
      </c>
      <c r="I4648">
        <v>0</v>
      </c>
      <c r="J4648" s="23">
        <v>104878</v>
      </c>
      <c r="K4648">
        <v>2307316</v>
      </c>
    </row>
    <row r="4649" spans="1:11" ht="15" customHeight="1" x14ac:dyDescent="0.3">
      <c r="A4649" t="s">
        <v>22</v>
      </c>
      <c r="B4649" t="s">
        <v>11</v>
      </c>
      <c r="C4649" t="s">
        <v>12</v>
      </c>
      <c r="D4649" t="s">
        <v>13</v>
      </c>
      <c r="E4649">
        <v>-4</v>
      </c>
      <c r="F4649" t="s">
        <v>30</v>
      </c>
      <c r="G4649" t="s">
        <v>15</v>
      </c>
      <c r="H4649" t="s">
        <v>16</v>
      </c>
      <c r="I4649">
        <v>0</v>
      </c>
      <c r="J4649" s="23">
        <v>-974958</v>
      </c>
      <c r="K4649" t="s">
        <v>17</v>
      </c>
    </row>
    <row r="4650" spans="1:11" ht="15" customHeight="1" x14ac:dyDescent="0.3">
      <c r="A4650" t="s">
        <v>18</v>
      </c>
      <c r="B4650" t="s">
        <v>11</v>
      </c>
      <c r="C4650" t="s">
        <v>24</v>
      </c>
      <c r="D4650" t="s">
        <v>28</v>
      </c>
      <c r="E4650">
        <v>2</v>
      </c>
      <c r="F4650" t="s">
        <v>21</v>
      </c>
      <c r="G4650" t="s">
        <v>15</v>
      </c>
      <c r="H4650" t="s">
        <v>16</v>
      </c>
      <c r="I4650">
        <v>0</v>
      </c>
      <c r="J4650" s="23">
        <v>221370550</v>
      </c>
      <c r="K4650">
        <v>442741100</v>
      </c>
    </row>
    <row r="4651" spans="1:11" ht="15" customHeight="1" x14ac:dyDescent="0.3">
      <c r="A4651" t="s">
        <v>18</v>
      </c>
      <c r="B4651" t="s">
        <v>11</v>
      </c>
      <c r="C4651" t="s">
        <v>12</v>
      </c>
      <c r="D4651" t="s">
        <v>13</v>
      </c>
      <c r="E4651">
        <v>4</v>
      </c>
      <c r="F4651" t="s">
        <v>45</v>
      </c>
      <c r="G4651" t="s">
        <v>15</v>
      </c>
      <c r="H4651" t="s">
        <v>16</v>
      </c>
      <c r="I4651">
        <v>0</v>
      </c>
      <c r="J4651" s="23">
        <v>-2375</v>
      </c>
      <c r="K4651" t="s">
        <v>17</v>
      </c>
    </row>
    <row r="4652" spans="1:11" ht="15" customHeight="1" x14ac:dyDescent="0.3">
      <c r="A4652" t="s">
        <v>18</v>
      </c>
      <c r="B4652" t="s">
        <v>11</v>
      </c>
      <c r="C4652" t="s">
        <v>12</v>
      </c>
      <c r="D4652" t="s">
        <v>28</v>
      </c>
      <c r="E4652">
        <v>19</v>
      </c>
      <c r="F4652" t="s">
        <v>21</v>
      </c>
      <c r="G4652" t="s">
        <v>15</v>
      </c>
      <c r="H4652" t="s">
        <v>16</v>
      </c>
      <c r="I4652">
        <v>0</v>
      </c>
      <c r="J4652" s="23">
        <v>-2328</v>
      </c>
      <c r="K4652" t="s">
        <v>17</v>
      </c>
    </row>
    <row r="4653" spans="1:11" ht="15" customHeight="1" x14ac:dyDescent="0.3">
      <c r="A4653" t="s">
        <v>18</v>
      </c>
      <c r="B4653" t="s">
        <v>19</v>
      </c>
      <c r="C4653" t="s">
        <v>24</v>
      </c>
      <c r="D4653" t="s">
        <v>28</v>
      </c>
      <c r="E4653">
        <v>21</v>
      </c>
      <c r="F4653"/>
      <c r="G4653" t="s">
        <v>15</v>
      </c>
      <c r="H4653" t="s">
        <v>16</v>
      </c>
      <c r="I4653">
        <v>0</v>
      </c>
      <c r="J4653" s="23">
        <v>867628</v>
      </c>
      <c r="K4653">
        <v>18220188</v>
      </c>
    </row>
    <row r="4654" spans="1:11" ht="15" customHeight="1" x14ac:dyDescent="0.3">
      <c r="A4654" t="s">
        <v>10</v>
      </c>
      <c r="B4654" t="s">
        <v>11</v>
      </c>
      <c r="C4654" t="s">
        <v>24</v>
      </c>
      <c r="D4654" t="s">
        <v>25</v>
      </c>
      <c r="E4654">
        <v>1</v>
      </c>
      <c r="F4654" t="s">
        <v>26</v>
      </c>
      <c r="G4654" t="s">
        <v>15</v>
      </c>
      <c r="H4654" t="s">
        <v>16</v>
      </c>
      <c r="I4654">
        <v>0</v>
      </c>
      <c r="J4654" s="23">
        <v>35405</v>
      </c>
      <c r="K4654">
        <v>35405</v>
      </c>
    </row>
    <row r="4655" spans="1:11" ht="15" customHeight="1" x14ac:dyDescent="0.3">
      <c r="A4655" t="s">
        <v>18</v>
      </c>
      <c r="B4655" t="s">
        <v>11</v>
      </c>
      <c r="C4655" t="s">
        <v>12</v>
      </c>
      <c r="D4655" t="s">
        <v>28</v>
      </c>
      <c r="E4655">
        <v>14</v>
      </c>
      <c r="F4655" t="s">
        <v>42</v>
      </c>
      <c r="G4655" t="s">
        <v>15</v>
      </c>
      <c r="H4655" t="s">
        <v>16</v>
      </c>
      <c r="I4655">
        <v>0</v>
      </c>
      <c r="J4655" s="23">
        <v>-1310</v>
      </c>
      <c r="K4655" t="s">
        <v>17</v>
      </c>
    </row>
    <row r="4656" spans="1:11" ht="15" customHeight="1" x14ac:dyDescent="0.3">
      <c r="A4656" t="s">
        <v>18</v>
      </c>
      <c r="B4656" t="s">
        <v>11</v>
      </c>
      <c r="C4656" t="s">
        <v>12</v>
      </c>
      <c r="D4656" t="s">
        <v>13</v>
      </c>
      <c r="E4656">
        <v>-1</v>
      </c>
      <c r="F4656" t="s">
        <v>26</v>
      </c>
      <c r="G4656" t="s">
        <v>15</v>
      </c>
      <c r="H4656" t="s">
        <v>16</v>
      </c>
      <c r="I4656">
        <v>0</v>
      </c>
      <c r="J4656" s="23">
        <v>-155771</v>
      </c>
      <c r="K4656" t="s">
        <v>17</v>
      </c>
    </row>
    <row r="4657" spans="1:11" ht="15" customHeight="1" x14ac:dyDescent="0.3">
      <c r="A4657" t="s">
        <v>22</v>
      </c>
      <c r="B4657" t="s">
        <v>11</v>
      </c>
      <c r="C4657" t="s">
        <v>12</v>
      </c>
      <c r="D4657" t="s">
        <v>25</v>
      </c>
      <c r="E4657">
        <v>2</v>
      </c>
      <c r="F4657" t="s">
        <v>21</v>
      </c>
      <c r="G4657" t="s">
        <v>15</v>
      </c>
      <c r="H4657" t="s">
        <v>16</v>
      </c>
      <c r="I4657">
        <v>0</v>
      </c>
      <c r="J4657" s="23">
        <v>-159468</v>
      </c>
      <c r="K4657" t="s">
        <v>17</v>
      </c>
    </row>
    <row r="4658" spans="1:11" ht="15" customHeight="1" x14ac:dyDescent="0.3">
      <c r="A4658" t="s">
        <v>22</v>
      </c>
      <c r="B4658" t="s">
        <v>11</v>
      </c>
      <c r="C4658" t="s">
        <v>24</v>
      </c>
      <c r="D4658" t="s">
        <v>28</v>
      </c>
      <c r="E4658">
        <v>0</v>
      </c>
      <c r="F4658" t="s">
        <v>34</v>
      </c>
      <c r="G4658" t="s">
        <v>15</v>
      </c>
      <c r="H4658" t="s">
        <v>16</v>
      </c>
      <c r="I4658">
        <v>0</v>
      </c>
      <c r="J4658" s="23">
        <v>237440</v>
      </c>
      <c r="K4658" t="s">
        <v>17</v>
      </c>
    </row>
    <row r="4659" spans="1:11" ht="15" customHeight="1" x14ac:dyDescent="0.3">
      <c r="A4659" t="s">
        <v>22</v>
      </c>
      <c r="B4659" t="s">
        <v>19</v>
      </c>
      <c r="C4659" t="s">
        <v>24</v>
      </c>
      <c r="D4659" t="s">
        <v>20</v>
      </c>
      <c r="E4659">
        <v>24</v>
      </c>
      <c r="F4659"/>
      <c r="G4659" t="s">
        <v>31</v>
      </c>
      <c r="H4659" t="s">
        <v>16</v>
      </c>
      <c r="I4659">
        <v>1</v>
      </c>
      <c r="J4659" s="23">
        <v>12186</v>
      </c>
      <c r="K4659">
        <v>292464</v>
      </c>
    </row>
    <row r="4660" spans="1:11" ht="15" customHeight="1" x14ac:dyDescent="0.3">
      <c r="A4660" t="s">
        <v>18</v>
      </c>
      <c r="B4660" t="s">
        <v>19</v>
      </c>
      <c r="C4660" t="s">
        <v>24</v>
      </c>
      <c r="D4660" t="s">
        <v>20</v>
      </c>
      <c r="E4660">
        <v>9</v>
      </c>
      <c r="F4660"/>
      <c r="G4660" t="s">
        <v>31</v>
      </c>
      <c r="H4660" t="s">
        <v>16</v>
      </c>
      <c r="I4660">
        <v>1</v>
      </c>
      <c r="J4660" s="23">
        <v>2293756</v>
      </c>
      <c r="K4660">
        <v>20643804</v>
      </c>
    </row>
    <row r="4661" spans="1:11" ht="15" customHeight="1" x14ac:dyDescent="0.3">
      <c r="A4661" t="s">
        <v>18</v>
      </c>
      <c r="B4661" t="s">
        <v>11</v>
      </c>
      <c r="C4661" t="s">
        <v>12</v>
      </c>
      <c r="D4661" t="s">
        <v>13</v>
      </c>
      <c r="E4661">
        <v>-1</v>
      </c>
      <c r="F4661" t="s">
        <v>41</v>
      </c>
      <c r="G4661" t="s">
        <v>15</v>
      </c>
      <c r="H4661" t="s">
        <v>16</v>
      </c>
      <c r="I4661">
        <v>0</v>
      </c>
      <c r="J4661" s="23">
        <v>-3564</v>
      </c>
      <c r="K4661" t="s">
        <v>17</v>
      </c>
    </row>
    <row r="4662" spans="1:11" ht="15" customHeight="1" x14ac:dyDescent="0.3">
      <c r="A4662" t="s">
        <v>10</v>
      </c>
      <c r="B4662" t="s">
        <v>11</v>
      </c>
      <c r="C4662" t="s">
        <v>24</v>
      </c>
      <c r="D4662" t="s">
        <v>13</v>
      </c>
      <c r="E4662">
        <v>7</v>
      </c>
      <c r="F4662" t="s">
        <v>27</v>
      </c>
      <c r="G4662" t="s">
        <v>15</v>
      </c>
      <c r="H4662" t="s">
        <v>16</v>
      </c>
      <c r="I4662">
        <v>0</v>
      </c>
      <c r="J4662" s="23">
        <v>73763</v>
      </c>
      <c r="K4662">
        <v>516341</v>
      </c>
    </row>
    <row r="4663" spans="1:11" ht="15" customHeight="1" x14ac:dyDescent="0.3">
      <c r="A4663" t="s">
        <v>18</v>
      </c>
      <c r="B4663" t="s">
        <v>11</v>
      </c>
      <c r="C4663" t="s">
        <v>12</v>
      </c>
      <c r="D4663" t="s">
        <v>13</v>
      </c>
      <c r="E4663">
        <v>0</v>
      </c>
      <c r="F4663" t="s">
        <v>29</v>
      </c>
      <c r="G4663" t="s">
        <v>15</v>
      </c>
      <c r="H4663" t="s">
        <v>16</v>
      </c>
      <c r="I4663">
        <v>0</v>
      </c>
      <c r="J4663" s="23">
        <v>-2556532</v>
      </c>
      <c r="K4663" t="s">
        <v>17</v>
      </c>
    </row>
    <row r="4664" spans="1:11" ht="15" customHeight="1" x14ac:dyDescent="0.3">
      <c r="A4664" t="s">
        <v>10</v>
      </c>
      <c r="B4664" t="s">
        <v>11</v>
      </c>
      <c r="C4664" t="s">
        <v>24</v>
      </c>
      <c r="D4664" t="s">
        <v>28</v>
      </c>
      <c r="E4664">
        <v>1</v>
      </c>
      <c r="F4664" t="s">
        <v>26</v>
      </c>
      <c r="G4664" t="s">
        <v>15</v>
      </c>
      <c r="H4664" t="s">
        <v>16</v>
      </c>
      <c r="I4664">
        <v>0</v>
      </c>
      <c r="J4664" s="23">
        <v>486997</v>
      </c>
      <c r="K4664">
        <v>486997</v>
      </c>
    </row>
    <row r="4665" spans="1:11" ht="15" customHeight="1" x14ac:dyDescent="0.3">
      <c r="A4665" t="s">
        <v>10</v>
      </c>
      <c r="B4665" t="s">
        <v>19</v>
      </c>
      <c r="C4665" t="s">
        <v>24</v>
      </c>
      <c r="D4665" t="s">
        <v>28</v>
      </c>
      <c r="E4665">
        <v>12</v>
      </c>
      <c r="F4665"/>
      <c r="G4665" t="s">
        <v>31</v>
      </c>
      <c r="H4665" t="s">
        <v>16</v>
      </c>
      <c r="I4665">
        <v>1</v>
      </c>
      <c r="J4665" s="23">
        <v>26808</v>
      </c>
      <c r="K4665">
        <v>321696</v>
      </c>
    </row>
    <row r="4666" spans="1:11" ht="15" customHeight="1" x14ac:dyDescent="0.3">
      <c r="A4666" t="s">
        <v>10</v>
      </c>
      <c r="B4666" t="s">
        <v>11</v>
      </c>
      <c r="C4666" t="s">
        <v>24</v>
      </c>
      <c r="D4666" t="s">
        <v>13</v>
      </c>
      <c r="E4666">
        <v>6</v>
      </c>
      <c r="F4666" t="s">
        <v>42</v>
      </c>
      <c r="G4666" t="s">
        <v>15</v>
      </c>
      <c r="H4666" t="s">
        <v>16</v>
      </c>
      <c r="I4666">
        <v>0</v>
      </c>
      <c r="J4666" s="23">
        <v>18891</v>
      </c>
      <c r="K4666">
        <v>113346</v>
      </c>
    </row>
    <row r="4667" spans="1:11" ht="15" customHeight="1" x14ac:dyDescent="0.3">
      <c r="A4667" t="s">
        <v>18</v>
      </c>
      <c r="B4667" t="s">
        <v>11</v>
      </c>
      <c r="C4667" t="s">
        <v>24</v>
      </c>
      <c r="D4667" t="s">
        <v>28</v>
      </c>
      <c r="E4667">
        <v>11</v>
      </c>
      <c r="F4667" t="s">
        <v>45</v>
      </c>
      <c r="G4667" t="s">
        <v>15</v>
      </c>
      <c r="H4667" t="s">
        <v>16</v>
      </c>
      <c r="I4667">
        <v>0</v>
      </c>
      <c r="J4667" s="23">
        <v>275838</v>
      </c>
      <c r="K4667">
        <v>3034218</v>
      </c>
    </row>
    <row r="4668" spans="1:11" ht="15" customHeight="1" x14ac:dyDescent="0.3">
      <c r="A4668" t="s">
        <v>10</v>
      </c>
      <c r="B4668" t="s">
        <v>11</v>
      </c>
      <c r="C4668" t="s">
        <v>12</v>
      </c>
      <c r="D4668" t="s">
        <v>13</v>
      </c>
      <c r="E4668">
        <v>5</v>
      </c>
      <c r="F4668" t="s">
        <v>40</v>
      </c>
      <c r="G4668" t="s">
        <v>15</v>
      </c>
      <c r="H4668" t="s">
        <v>16</v>
      </c>
      <c r="I4668">
        <v>0</v>
      </c>
      <c r="J4668" s="23">
        <v>-66107</v>
      </c>
      <c r="K4668" t="s">
        <v>17</v>
      </c>
    </row>
    <row r="4669" spans="1:11" ht="15" customHeight="1" x14ac:dyDescent="0.3">
      <c r="A4669" t="s">
        <v>18</v>
      </c>
      <c r="B4669" t="s">
        <v>19</v>
      </c>
      <c r="C4669" t="s">
        <v>12</v>
      </c>
      <c r="D4669" t="s">
        <v>28</v>
      </c>
      <c r="E4669">
        <v>36</v>
      </c>
      <c r="F4669"/>
      <c r="G4669" t="s">
        <v>15</v>
      </c>
      <c r="H4669" t="s">
        <v>16</v>
      </c>
      <c r="I4669">
        <v>0</v>
      </c>
      <c r="J4669" s="23">
        <v>-381</v>
      </c>
      <c r="K4669" t="s">
        <v>17</v>
      </c>
    </row>
    <row r="4670" spans="1:11" ht="15" customHeight="1" x14ac:dyDescent="0.3">
      <c r="A4670" t="s">
        <v>22</v>
      </c>
      <c r="B4670" t="s">
        <v>11</v>
      </c>
      <c r="C4670" t="s">
        <v>24</v>
      </c>
      <c r="D4670" t="s">
        <v>28</v>
      </c>
      <c r="E4670">
        <v>9</v>
      </c>
      <c r="F4670" t="s">
        <v>29</v>
      </c>
      <c r="G4670" t="s">
        <v>15</v>
      </c>
      <c r="H4670" t="s">
        <v>16</v>
      </c>
      <c r="I4670">
        <v>0</v>
      </c>
      <c r="J4670" s="23">
        <v>21124</v>
      </c>
      <c r="K4670">
        <v>190116</v>
      </c>
    </row>
    <row r="4671" spans="1:11" ht="15" customHeight="1" x14ac:dyDescent="0.3">
      <c r="A4671" t="s">
        <v>22</v>
      </c>
      <c r="B4671" t="s">
        <v>11</v>
      </c>
      <c r="C4671" t="s">
        <v>12</v>
      </c>
      <c r="D4671" t="s">
        <v>25</v>
      </c>
      <c r="E4671">
        <v>0</v>
      </c>
      <c r="F4671" t="s">
        <v>37</v>
      </c>
      <c r="G4671" t="s">
        <v>15</v>
      </c>
      <c r="H4671" t="s">
        <v>16</v>
      </c>
      <c r="I4671">
        <v>0</v>
      </c>
      <c r="J4671" s="23">
        <v>-6131</v>
      </c>
      <c r="K4671" t="s">
        <v>17</v>
      </c>
    </row>
    <row r="4672" spans="1:11" ht="15" customHeight="1" x14ac:dyDescent="0.3">
      <c r="A4672" t="s">
        <v>10</v>
      </c>
      <c r="B4672" t="s">
        <v>11</v>
      </c>
      <c r="C4672" t="s">
        <v>24</v>
      </c>
      <c r="D4672" t="s">
        <v>25</v>
      </c>
      <c r="E4672">
        <v>5</v>
      </c>
      <c r="F4672" t="s">
        <v>26</v>
      </c>
      <c r="G4672" t="s">
        <v>15</v>
      </c>
      <c r="H4672" t="s">
        <v>16</v>
      </c>
      <c r="I4672">
        <v>0</v>
      </c>
      <c r="J4672" s="23">
        <v>428472</v>
      </c>
      <c r="K4672">
        <v>2142360</v>
      </c>
    </row>
    <row r="4673" spans="1:11" ht="15" customHeight="1" x14ac:dyDescent="0.3">
      <c r="A4673" t="s">
        <v>10</v>
      </c>
      <c r="B4673" t="s">
        <v>11</v>
      </c>
      <c r="C4673" t="s">
        <v>24</v>
      </c>
      <c r="D4673" t="s">
        <v>13</v>
      </c>
      <c r="E4673">
        <v>7</v>
      </c>
      <c r="F4673" t="s">
        <v>30</v>
      </c>
      <c r="G4673" t="s">
        <v>15</v>
      </c>
      <c r="H4673" t="s">
        <v>16</v>
      </c>
      <c r="I4673">
        <v>0</v>
      </c>
      <c r="J4673" s="23">
        <v>1326827</v>
      </c>
      <c r="K4673">
        <v>9287789</v>
      </c>
    </row>
    <row r="4674" spans="1:11" ht="15" customHeight="1" x14ac:dyDescent="0.3">
      <c r="A4674" t="s">
        <v>18</v>
      </c>
      <c r="B4674" t="s">
        <v>19</v>
      </c>
      <c r="C4674" t="s">
        <v>12</v>
      </c>
      <c r="D4674" t="s">
        <v>20</v>
      </c>
      <c r="E4674">
        <v>45</v>
      </c>
      <c r="F4674"/>
      <c r="G4674" t="s">
        <v>15</v>
      </c>
      <c r="H4674" t="s">
        <v>32</v>
      </c>
      <c r="I4674">
        <v>1</v>
      </c>
      <c r="J4674" s="23">
        <v>-37</v>
      </c>
      <c r="K4674" t="s">
        <v>17</v>
      </c>
    </row>
    <row r="4675" spans="1:11" ht="15" customHeight="1" x14ac:dyDescent="0.3">
      <c r="A4675" t="s">
        <v>18</v>
      </c>
      <c r="B4675" t="s">
        <v>11</v>
      </c>
      <c r="C4675" t="s">
        <v>12</v>
      </c>
      <c r="D4675" t="s">
        <v>13</v>
      </c>
      <c r="E4675">
        <v>5</v>
      </c>
      <c r="F4675" t="s">
        <v>35</v>
      </c>
      <c r="G4675" t="s">
        <v>15</v>
      </c>
      <c r="H4675" t="s">
        <v>16</v>
      </c>
      <c r="I4675">
        <v>0</v>
      </c>
      <c r="J4675" s="23">
        <v>-3028</v>
      </c>
      <c r="K4675" t="s">
        <v>17</v>
      </c>
    </row>
    <row r="4676" spans="1:11" ht="15" customHeight="1" x14ac:dyDescent="0.3">
      <c r="A4676" t="s">
        <v>18</v>
      </c>
      <c r="B4676" t="s">
        <v>11</v>
      </c>
      <c r="C4676" t="s">
        <v>24</v>
      </c>
      <c r="D4676" t="s">
        <v>25</v>
      </c>
      <c r="E4676">
        <v>5</v>
      </c>
      <c r="F4676" t="s">
        <v>36</v>
      </c>
      <c r="G4676" t="s">
        <v>15</v>
      </c>
      <c r="H4676" t="s">
        <v>16</v>
      </c>
      <c r="I4676">
        <v>0</v>
      </c>
      <c r="J4676" s="23">
        <v>102783</v>
      </c>
      <c r="K4676">
        <v>513915</v>
      </c>
    </row>
    <row r="4677" spans="1:11" ht="15" customHeight="1" x14ac:dyDescent="0.3">
      <c r="A4677" t="s">
        <v>10</v>
      </c>
      <c r="B4677" t="s">
        <v>11</v>
      </c>
      <c r="C4677" t="s">
        <v>24</v>
      </c>
      <c r="D4677" t="s">
        <v>25</v>
      </c>
      <c r="E4677">
        <v>7</v>
      </c>
      <c r="F4677" t="s">
        <v>37</v>
      </c>
      <c r="G4677" t="s">
        <v>15</v>
      </c>
      <c r="H4677" t="s">
        <v>16</v>
      </c>
      <c r="I4677">
        <v>0</v>
      </c>
      <c r="J4677" s="23">
        <v>242677</v>
      </c>
      <c r="K4677">
        <v>1698739</v>
      </c>
    </row>
    <row r="4678" spans="1:11" ht="15" customHeight="1" x14ac:dyDescent="0.3">
      <c r="A4678" t="s">
        <v>10</v>
      </c>
      <c r="B4678" t="s">
        <v>11</v>
      </c>
      <c r="C4678" t="s">
        <v>12</v>
      </c>
      <c r="D4678" t="s">
        <v>28</v>
      </c>
      <c r="E4678">
        <v>4</v>
      </c>
      <c r="F4678" t="s">
        <v>21</v>
      </c>
      <c r="G4678" t="s">
        <v>15</v>
      </c>
      <c r="H4678" t="s">
        <v>16</v>
      </c>
      <c r="I4678">
        <v>0</v>
      </c>
      <c r="J4678" s="23">
        <v>-3537</v>
      </c>
      <c r="K4678" t="s">
        <v>17</v>
      </c>
    </row>
    <row r="4679" spans="1:11" ht="15" customHeight="1" x14ac:dyDescent="0.3">
      <c r="A4679" t="s">
        <v>10</v>
      </c>
      <c r="B4679" t="s">
        <v>11</v>
      </c>
      <c r="C4679" t="s">
        <v>12</v>
      </c>
      <c r="D4679" t="s">
        <v>28</v>
      </c>
      <c r="E4679">
        <v>6</v>
      </c>
      <c r="F4679" t="s">
        <v>21</v>
      </c>
      <c r="G4679" t="s">
        <v>15</v>
      </c>
      <c r="H4679" t="s">
        <v>32</v>
      </c>
      <c r="I4679">
        <v>1</v>
      </c>
      <c r="J4679" s="23">
        <v>-665</v>
      </c>
      <c r="K4679" t="s">
        <v>17</v>
      </c>
    </row>
    <row r="4680" spans="1:11" ht="15" customHeight="1" x14ac:dyDescent="0.3">
      <c r="A4680" t="s">
        <v>10</v>
      </c>
      <c r="B4680" t="s">
        <v>19</v>
      </c>
      <c r="C4680" t="s">
        <v>24</v>
      </c>
      <c r="D4680" t="s">
        <v>28</v>
      </c>
      <c r="E4680">
        <v>9</v>
      </c>
      <c r="F4680"/>
      <c r="G4680" t="s">
        <v>15</v>
      </c>
      <c r="H4680" t="s">
        <v>16</v>
      </c>
      <c r="I4680">
        <v>0</v>
      </c>
      <c r="J4680" s="23">
        <v>726785</v>
      </c>
      <c r="K4680">
        <v>6541065</v>
      </c>
    </row>
    <row r="4681" spans="1:11" ht="15" customHeight="1" x14ac:dyDescent="0.3">
      <c r="A4681" t="s">
        <v>10</v>
      </c>
      <c r="B4681" t="s">
        <v>11</v>
      </c>
      <c r="C4681" t="s">
        <v>12</v>
      </c>
      <c r="D4681" t="s">
        <v>28</v>
      </c>
      <c r="E4681">
        <v>11</v>
      </c>
      <c r="F4681" t="s">
        <v>29</v>
      </c>
      <c r="G4681" t="s">
        <v>15</v>
      </c>
      <c r="H4681" t="s">
        <v>32</v>
      </c>
      <c r="I4681">
        <v>1</v>
      </c>
      <c r="J4681" s="23">
        <v>-62721</v>
      </c>
      <c r="K4681" t="s">
        <v>17</v>
      </c>
    </row>
    <row r="4682" spans="1:11" ht="15" customHeight="1" x14ac:dyDescent="0.3">
      <c r="A4682" t="s">
        <v>10</v>
      </c>
      <c r="B4682" t="s">
        <v>11</v>
      </c>
      <c r="C4682" t="s">
        <v>12</v>
      </c>
      <c r="D4682" t="s">
        <v>13</v>
      </c>
      <c r="E4682">
        <v>2</v>
      </c>
      <c r="F4682" t="s">
        <v>21</v>
      </c>
      <c r="G4682" t="s">
        <v>15</v>
      </c>
      <c r="H4682" t="s">
        <v>16</v>
      </c>
      <c r="I4682">
        <v>0</v>
      </c>
      <c r="J4682" s="23">
        <v>-628886</v>
      </c>
      <c r="K4682" t="s">
        <v>17</v>
      </c>
    </row>
    <row r="4683" spans="1:11" ht="15" customHeight="1" x14ac:dyDescent="0.3">
      <c r="A4683" t="s">
        <v>22</v>
      </c>
      <c r="B4683" t="s">
        <v>11</v>
      </c>
      <c r="C4683" t="s">
        <v>24</v>
      </c>
      <c r="D4683" t="s">
        <v>13</v>
      </c>
      <c r="E4683">
        <v>3</v>
      </c>
      <c r="F4683" t="s">
        <v>21</v>
      </c>
      <c r="G4683" t="s">
        <v>15</v>
      </c>
      <c r="H4683" t="s">
        <v>16</v>
      </c>
      <c r="I4683">
        <v>0</v>
      </c>
      <c r="J4683" s="23">
        <v>7348753</v>
      </c>
      <c r="K4683">
        <v>22046259</v>
      </c>
    </row>
    <row r="4684" spans="1:11" ht="15" customHeight="1" x14ac:dyDescent="0.3">
      <c r="A4684" t="s">
        <v>10</v>
      </c>
      <c r="B4684" t="s">
        <v>11</v>
      </c>
      <c r="C4684" t="s">
        <v>12</v>
      </c>
      <c r="D4684" t="s">
        <v>13</v>
      </c>
      <c r="E4684">
        <v>1</v>
      </c>
      <c r="F4684" t="s">
        <v>35</v>
      </c>
      <c r="G4684" t="s">
        <v>15</v>
      </c>
      <c r="H4684" t="s">
        <v>16</v>
      </c>
      <c r="I4684">
        <v>0</v>
      </c>
      <c r="J4684" s="23">
        <v>-55824</v>
      </c>
      <c r="K4684" t="s">
        <v>17</v>
      </c>
    </row>
    <row r="4685" spans="1:11" ht="15" customHeight="1" x14ac:dyDescent="0.3">
      <c r="A4685" t="s">
        <v>10</v>
      </c>
      <c r="B4685" t="s">
        <v>11</v>
      </c>
      <c r="C4685" t="s">
        <v>24</v>
      </c>
      <c r="D4685" t="s">
        <v>25</v>
      </c>
      <c r="E4685">
        <v>7</v>
      </c>
      <c r="F4685" t="s">
        <v>26</v>
      </c>
      <c r="G4685" t="s">
        <v>15</v>
      </c>
      <c r="H4685" t="s">
        <v>16</v>
      </c>
      <c r="I4685">
        <v>0</v>
      </c>
      <c r="J4685" s="23">
        <v>127287</v>
      </c>
      <c r="K4685">
        <v>891009</v>
      </c>
    </row>
    <row r="4686" spans="1:11" ht="15" customHeight="1" x14ac:dyDescent="0.3">
      <c r="A4686" t="s">
        <v>10</v>
      </c>
      <c r="B4686" t="s">
        <v>19</v>
      </c>
      <c r="C4686" t="s">
        <v>24</v>
      </c>
      <c r="D4686" t="s">
        <v>20</v>
      </c>
      <c r="E4686">
        <v>5</v>
      </c>
      <c r="F4686"/>
      <c r="G4686" t="s">
        <v>15</v>
      </c>
      <c r="H4686" t="s">
        <v>16</v>
      </c>
      <c r="I4686">
        <v>0</v>
      </c>
      <c r="J4686" s="23">
        <v>12107025</v>
      </c>
      <c r="K4686">
        <v>60535125</v>
      </c>
    </row>
    <row r="4687" spans="1:11" ht="15" customHeight="1" x14ac:dyDescent="0.3">
      <c r="A4687" t="s">
        <v>10</v>
      </c>
      <c r="B4687" t="s">
        <v>11</v>
      </c>
      <c r="C4687" t="s">
        <v>12</v>
      </c>
      <c r="D4687" t="s">
        <v>25</v>
      </c>
      <c r="E4687">
        <v>2</v>
      </c>
      <c r="F4687" t="s">
        <v>39</v>
      </c>
      <c r="G4687" t="s">
        <v>15</v>
      </c>
      <c r="H4687" t="s">
        <v>16</v>
      </c>
      <c r="I4687">
        <v>0</v>
      </c>
      <c r="J4687" s="23">
        <v>-26241</v>
      </c>
      <c r="K4687" t="s">
        <v>17</v>
      </c>
    </row>
    <row r="4688" spans="1:11" ht="15" customHeight="1" x14ac:dyDescent="0.3">
      <c r="A4688" t="s">
        <v>18</v>
      </c>
      <c r="B4688" t="s">
        <v>11</v>
      </c>
      <c r="C4688" t="s">
        <v>12</v>
      </c>
      <c r="D4688" t="s">
        <v>25</v>
      </c>
      <c r="E4688">
        <v>4</v>
      </c>
      <c r="F4688" t="s">
        <v>40</v>
      </c>
      <c r="G4688" t="s">
        <v>15</v>
      </c>
      <c r="H4688" t="s">
        <v>16</v>
      </c>
      <c r="I4688">
        <v>0</v>
      </c>
      <c r="J4688" s="23">
        <v>-110531</v>
      </c>
      <c r="K4688" t="s">
        <v>17</v>
      </c>
    </row>
    <row r="4689" spans="1:11" ht="15" customHeight="1" x14ac:dyDescent="0.3">
      <c r="A4689" t="s">
        <v>18</v>
      </c>
      <c r="B4689" t="s">
        <v>11</v>
      </c>
      <c r="C4689" t="s">
        <v>12</v>
      </c>
      <c r="D4689" t="s">
        <v>25</v>
      </c>
      <c r="E4689">
        <v>0</v>
      </c>
      <c r="F4689" t="s">
        <v>36</v>
      </c>
      <c r="G4689" t="s">
        <v>15</v>
      </c>
      <c r="H4689" t="s">
        <v>16</v>
      </c>
      <c r="I4689">
        <v>0</v>
      </c>
      <c r="J4689" s="23">
        <v>-6</v>
      </c>
      <c r="K4689" t="s">
        <v>17</v>
      </c>
    </row>
    <row r="4690" spans="1:11" ht="15" customHeight="1" x14ac:dyDescent="0.3">
      <c r="A4690" t="s">
        <v>18</v>
      </c>
      <c r="B4690" t="s">
        <v>11</v>
      </c>
      <c r="C4690" t="s">
        <v>24</v>
      </c>
      <c r="D4690" t="s">
        <v>28</v>
      </c>
      <c r="E4690">
        <v>-1</v>
      </c>
      <c r="F4690" t="s">
        <v>30</v>
      </c>
      <c r="G4690" t="s">
        <v>15</v>
      </c>
      <c r="H4690" t="s">
        <v>16</v>
      </c>
      <c r="I4690">
        <v>0</v>
      </c>
      <c r="J4690" s="23">
        <v>200608</v>
      </c>
      <c r="K4690" t="s">
        <v>17</v>
      </c>
    </row>
    <row r="4691" spans="1:11" ht="15" customHeight="1" x14ac:dyDescent="0.3">
      <c r="A4691" t="s">
        <v>18</v>
      </c>
      <c r="B4691" t="s">
        <v>11</v>
      </c>
      <c r="C4691" t="s">
        <v>24</v>
      </c>
      <c r="D4691" t="s">
        <v>28</v>
      </c>
      <c r="E4691">
        <v>1</v>
      </c>
      <c r="F4691" t="s">
        <v>26</v>
      </c>
      <c r="G4691" t="s">
        <v>15</v>
      </c>
      <c r="H4691" t="s">
        <v>16</v>
      </c>
      <c r="I4691">
        <v>0</v>
      </c>
      <c r="J4691" s="23">
        <v>105650074</v>
      </c>
      <c r="K4691">
        <v>105650074</v>
      </c>
    </row>
    <row r="4692" spans="1:11" ht="15" customHeight="1" x14ac:dyDescent="0.3">
      <c r="A4692" t="s">
        <v>10</v>
      </c>
      <c r="B4692" t="s">
        <v>11</v>
      </c>
      <c r="C4692" t="s">
        <v>24</v>
      </c>
      <c r="D4692" t="s">
        <v>28</v>
      </c>
      <c r="E4692">
        <v>12</v>
      </c>
      <c r="F4692" t="s">
        <v>14</v>
      </c>
      <c r="G4692" t="s">
        <v>15</v>
      </c>
      <c r="H4692" t="s">
        <v>16</v>
      </c>
      <c r="I4692">
        <v>0</v>
      </c>
      <c r="J4692" s="23">
        <v>1482147</v>
      </c>
      <c r="K4692">
        <v>17785764</v>
      </c>
    </row>
    <row r="4693" spans="1:11" ht="15" customHeight="1" x14ac:dyDescent="0.3">
      <c r="A4693" t="s">
        <v>18</v>
      </c>
      <c r="B4693" t="s">
        <v>11</v>
      </c>
      <c r="C4693" t="s">
        <v>24</v>
      </c>
      <c r="D4693" t="s">
        <v>28</v>
      </c>
      <c r="E4693">
        <v>6</v>
      </c>
      <c r="F4693" t="s">
        <v>26</v>
      </c>
      <c r="G4693" t="s">
        <v>31</v>
      </c>
      <c r="H4693" t="s">
        <v>16</v>
      </c>
      <c r="I4693">
        <v>1</v>
      </c>
      <c r="J4693" s="23">
        <v>365303</v>
      </c>
      <c r="K4693">
        <v>2191818</v>
      </c>
    </row>
    <row r="4694" spans="1:11" ht="15" customHeight="1" x14ac:dyDescent="0.3">
      <c r="A4694" t="s">
        <v>22</v>
      </c>
      <c r="B4694" t="s">
        <v>19</v>
      </c>
      <c r="C4694" t="s">
        <v>12</v>
      </c>
      <c r="D4694" t="s">
        <v>28</v>
      </c>
      <c r="E4694">
        <v>20</v>
      </c>
      <c r="F4694"/>
      <c r="G4694" t="s">
        <v>15</v>
      </c>
      <c r="H4694" t="s">
        <v>16</v>
      </c>
      <c r="I4694">
        <v>0</v>
      </c>
      <c r="J4694" s="23">
        <v>-241057</v>
      </c>
      <c r="K4694" t="s">
        <v>17</v>
      </c>
    </row>
    <row r="4695" spans="1:11" ht="15" customHeight="1" x14ac:dyDescent="0.3">
      <c r="A4695" t="s">
        <v>18</v>
      </c>
      <c r="B4695" t="s">
        <v>11</v>
      </c>
      <c r="C4695" t="s">
        <v>24</v>
      </c>
      <c r="D4695" t="s">
        <v>25</v>
      </c>
      <c r="E4695">
        <v>6</v>
      </c>
      <c r="F4695" t="s">
        <v>37</v>
      </c>
      <c r="G4695" t="s">
        <v>15</v>
      </c>
      <c r="H4695" t="s">
        <v>16</v>
      </c>
      <c r="I4695">
        <v>0</v>
      </c>
      <c r="J4695" s="23">
        <v>733622</v>
      </c>
      <c r="K4695">
        <v>4401732</v>
      </c>
    </row>
    <row r="4696" spans="1:11" ht="15" customHeight="1" x14ac:dyDescent="0.3">
      <c r="A4696" t="s">
        <v>10</v>
      </c>
      <c r="B4696" t="s">
        <v>19</v>
      </c>
      <c r="C4696" t="s">
        <v>12</v>
      </c>
      <c r="D4696" t="s">
        <v>20</v>
      </c>
      <c r="E4696">
        <v>1</v>
      </c>
      <c r="F4696"/>
      <c r="G4696" t="s">
        <v>15</v>
      </c>
      <c r="H4696" t="s">
        <v>16</v>
      </c>
      <c r="I4696">
        <v>0</v>
      </c>
      <c r="J4696" s="23">
        <v>-15591</v>
      </c>
      <c r="K4696" t="s">
        <v>17</v>
      </c>
    </row>
    <row r="4697" spans="1:11" ht="15" customHeight="1" x14ac:dyDescent="0.3">
      <c r="A4697" t="s">
        <v>10</v>
      </c>
      <c r="B4697" t="s">
        <v>19</v>
      </c>
      <c r="C4697" t="s">
        <v>12</v>
      </c>
      <c r="D4697" t="s">
        <v>20</v>
      </c>
      <c r="E4697">
        <v>33</v>
      </c>
      <c r="F4697"/>
      <c r="G4697" t="s">
        <v>15</v>
      </c>
      <c r="H4697" t="s">
        <v>16</v>
      </c>
      <c r="I4697">
        <v>0</v>
      </c>
      <c r="J4697" s="23">
        <v>-1479240</v>
      </c>
      <c r="K4697" t="s">
        <v>17</v>
      </c>
    </row>
    <row r="4698" spans="1:11" ht="15" customHeight="1" x14ac:dyDescent="0.3">
      <c r="A4698" t="s">
        <v>18</v>
      </c>
      <c r="B4698" t="s">
        <v>11</v>
      </c>
      <c r="C4698" t="s">
        <v>24</v>
      </c>
      <c r="D4698" t="s">
        <v>28</v>
      </c>
      <c r="E4698">
        <v>16</v>
      </c>
      <c r="F4698" t="s">
        <v>37</v>
      </c>
      <c r="G4698" t="s">
        <v>15</v>
      </c>
      <c r="H4698" t="s">
        <v>16</v>
      </c>
      <c r="I4698">
        <v>0</v>
      </c>
      <c r="J4698" s="23">
        <v>66048</v>
      </c>
      <c r="K4698">
        <v>1056768</v>
      </c>
    </row>
    <row r="4699" spans="1:11" ht="15" customHeight="1" x14ac:dyDescent="0.3">
      <c r="A4699" t="s">
        <v>10</v>
      </c>
      <c r="B4699" t="s">
        <v>11</v>
      </c>
      <c r="C4699" t="s">
        <v>12</v>
      </c>
      <c r="D4699" t="s">
        <v>28</v>
      </c>
      <c r="E4699">
        <v>5</v>
      </c>
      <c r="F4699" t="s">
        <v>21</v>
      </c>
      <c r="G4699" t="s">
        <v>31</v>
      </c>
      <c r="H4699" t="s">
        <v>32</v>
      </c>
      <c r="I4699">
        <v>1</v>
      </c>
      <c r="J4699" s="23">
        <v>-512</v>
      </c>
      <c r="K4699" t="s">
        <v>17</v>
      </c>
    </row>
    <row r="4700" spans="1:11" ht="15" customHeight="1" x14ac:dyDescent="0.3">
      <c r="A4700" t="s">
        <v>22</v>
      </c>
      <c r="B4700" t="s">
        <v>19</v>
      </c>
      <c r="C4700" t="s">
        <v>24</v>
      </c>
      <c r="D4700" t="s">
        <v>20</v>
      </c>
      <c r="E4700">
        <v>26</v>
      </c>
      <c r="F4700"/>
      <c r="G4700" t="s">
        <v>15</v>
      </c>
      <c r="H4700" t="s">
        <v>16</v>
      </c>
      <c r="I4700">
        <v>0</v>
      </c>
      <c r="J4700" s="23">
        <v>10757035</v>
      </c>
      <c r="K4700">
        <v>279682910</v>
      </c>
    </row>
    <row r="4701" spans="1:11" ht="15" customHeight="1" x14ac:dyDescent="0.3">
      <c r="A4701" t="s">
        <v>10</v>
      </c>
      <c r="B4701" t="s">
        <v>11</v>
      </c>
      <c r="C4701" t="s">
        <v>12</v>
      </c>
      <c r="D4701" t="s">
        <v>25</v>
      </c>
      <c r="E4701">
        <v>-4</v>
      </c>
      <c r="F4701" t="s">
        <v>39</v>
      </c>
      <c r="G4701" t="s">
        <v>15</v>
      </c>
      <c r="H4701" t="s">
        <v>16</v>
      </c>
      <c r="I4701">
        <v>0</v>
      </c>
      <c r="J4701" s="23">
        <v>-1797</v>
      </c>
      <c r="K4701" t="s">
        <v>17</v>
      </c>
    </row>
    <row r="4702" spans="1:11" ht="15" customHeight="1" x14ac:dyDescent="0.3">
      <c r="A4702" t="s">
        <v>18</v>
      </c>
      <c r="B4702" t="s">
        <v>11</v>
      </c>
      <c r="C4702" t="s">
        <v>24</v>
      </c>
      <c r="D4702" t="s">
        <v>13</v>
      </c>
      <c r="E4702">
        <v>7</v>
      </c>
      <c r="F4702" t="s">
        <v>36</v>
      </c>
      <c r="G4702" t="s">
        <v>15</v>
      </c>
      <c r="H4702" t="s">
        <v>16</v>
      </c>
      <c r="I4702">
        <v>0</v>
      </c>
      <c r="J4702" s="23">
        <v>105671444</v>
      </c>
      <c r="K4702">
        <v>739700108</v>
      </c>
    </row>
    <row r="4703" spans="1:11" ht="15" customHeight="1" x14ac:dyDescent="0.3">
      <c r="A4703" t="s">
        <v>18</v>
      </c>
      <c r="B4703" t="s">
        <v>11</v>
      </c>
      <c r="C4703" t="s">
        <v>24</v>
      </c>
      <c r="D4703" t="s">
        <v>28</v>
      </c>
      <c r="E4703">
        <v>8</v>
      </c>
      <c r="F4703" t="s">
        <v>21</v>
      </c>
      <c r="G4703" t="s">
        <v>15</v>
      </c>
      <c r="H4703" t="s">
        <v>32</v>
      </c>
      <c r="I4703">
        <v>1</v>
      </c>
      <c r="J4703" s="23">
        <v>45503</v>
      </c>
      <c r="K4703">
        <v>364024</v>
      </c>
    </row>
    <row r="4704" spans="1:11" ht="15" customHeight="1" x14ac:dyDescent="0.3">
      <c r="A4704" t="s">
        <v>22</v>
      </c>
      <c r="B4704" t="s">
        <v>19</v>
      </c>
      <c r="C4704" t="s">
        <v>24</v>
      </c>
      <c r="D4704" t="s">
        <v>20</v>
      </c>
      <c r="E4704">
        <v>31</v>
      </c>
      <c r="F4704"/>
      <c r="G4704" t="s">
        <v>15</v>
      </c>
      <c r="H4704" t="s">
        <v>16</v>
      </c>
      <c r="I4704">
        <v>0</v>
      </c>
      <c r="J4704" s="23">
        <v>4766213</v>
      </c>
      <c r="K4704">
        <v>147752603</v>
      </c>
    </row>
    <row r="4705" spans="1:11" ht="15" customHeight="1" x14ac:dyDescent="0.3">
      <c r="A4705" t="s">
        <v>22</v>
      </c>
      <c r="B4705" t="s">
        <v>11</v>
      </c>
      <c r="C4705" t="s">
        <v>24</v>
      </c>
      <c r="D4705" t="s">
        <v>13</v>
      </c>
      <c r="E4705">
        <v>7</v>
      </c>
      <c r="F4705" t="s">
        <v>39</v>
      </c>
      <c r="G4705" t="s">
        <v>15</v>
      </c>
      <c r="H4705" t="s">
        <v>16</v>
      </c>
      <c r="I4705">
        <v>0</v>
      </c>
      <c r="J4705" s="23">
        <v>605293</v>
      </c>
      <c r="K4705">
        <v>4237051</v>
      </c>
    </row>
    <row r="4706" spans="1:11" ht="15" customHeight="1" x14ac:dyDescent="0.3">
      <c r="A4706" t="s">
        <v>10</v>
      </c>
      <c r="B4706" t="s">
        <v>11</v>
      </c>
      <c r="C4706" t="s">
        <v>12</v>
      </c>
      <c r="D4706" t="s">
        <v>13</v>
      </c>
      <c r="E4706">
        <v>4</v>
      </c>
      <c r="F4706" t="s">
        <v>34</v>
      </c>
      <c r="G4706" t="s">
        <v>15</v>
      </c>
      <c r="H4706" t="s">
        <v>16</v>
      </c>
      <c r="I4706">
        <v>0</v>
      </c>
      <c r="J4706" s="23">
        <v>-1093970</v>
      </c>
      <c r="K4706" t="s">
        <v>17</v>
      </c>
    </row>
    <row r="4707" spans="1:11" ht="15" customHeight="1" x14ac:dyDescent="0.3">
      <c r="A4707" t="s">
        <v>22</v>
      </c>
      <c r="B4707" t="s">
        <v>11</v>
      </c>
      <c r="C4707" t="s">
        <v>24</v>
      </c>
      <c r="D4707" t="s">
        <v>13</v>
      </c>
      <c r="E4707">
        <v>-1</v>
      </c>
      <c r="F4707" t="s">
        <v>48</v>
      </c>
      <c r="G4707" t="s">
        <v>15</v>
      </c>
      <c r="H4707" t="s">
        <v>16</v>
      </c>
      <c r="I4707">
        <v>0</v>
      </c>
      <c r="J4707" s="23">
        <v>335</v>
      </c>
      <c r="K4707" t="s">
        <v>17</v>
      </c>
    </row>
    <row r="4708" spans="1:11" ht="15" customHeight="1" x14ac:dyDescent="0.3">
      <c r="A4708" t="s">
        <v>18</v>
      </c>
      <c r="B4708" t="s">
        <v>11</v>
      </c>
      <c r="C4708" t="s">
        <v>12</v>
      </c>
      <c r="D4708" t="s">
        <v>25</v>
      </c>
      <c r="E4708">
        <v>4</v>
      </c>
      <c r="F4708" t="s">
        <v>21</v>
      </c>
      <c r="G4708" t="s">
        <v>15</v>
      </c>
      <c r="H4708" t="s">
        <v>16</v>
      </c>
      <c r="I4708">
        <v>0</v>
      </c>
      <c r="J4708" s="23">
        <v>-31611</v>
      </c>
      <c r="K4708" t="s">
        <v>17</v>
      </c>
    </row>
    <row r="4709" spans="1:11" ht="15" customHeight="1" x14ac:dyDescent="0.3">
      <c r="A4709" t="s">
        <v>18</v>
      </c>
      <c r="B4709" t="s">
        <v>19</v>
      </c>
      <c r="C4709" t="s">
        <v>24</v>
      </c>
      <c r="D4709" t="s">
        <v>20</v>
      </c>
      <c r="E4709">
        <v>38</v>
      </c>
      <c r="F4709"/>
      <c r="G4709" t="s">
        <v>31</v>
      </c>
      <c r="H4709" t="s">
        <v>32</v>
      </c>
      <c r="I4709">
        <v>1</v>
      </c>
      <c r="J4709" s="23">
        <v>127661</v>
      </c>
      <c r="K4709">
        <v>4851118</v>
      </c>
    </row>
    <row r="4710" spans="1:11" ht="15" customHeight="1" x14ac:dyDescent="0.3">
      <c r="A4710" t="s">
        <v>18</v>
      </c>
      <c r="B4710" t="s">
        <v>19</v>
      </c>
      <c r="C4710" t="s">
        <v>12</v>
      </c>
      <c r="D4710" t="s">
        <v>20</v>
      </c>
      <c r="E4710">
        <v>22</v>
      </c>
      <c r="F4710"/>
      <c r="G4710" t="s">
        <v>15</v>
      </c>
      <c r="H4710" t="s">
        <v>16</v>
      </c>
      <c r="I4710">
        <v>0</v>
      </c>
      <c r="J4710" s="23">
        <v>-399012</v>
      </c>
      <c r="K4710" t="s">
        <v>17</v>
      </c>
    </row>
    <row r="4711" spans="1:11" ht="15" customHeight="1" x14ac:dyDescent="0.3">
      <c r="A4711" t="s">
        <v>18</v>
      </c>
      <c r="B4711" t="s">
        <v>11</v>
      </c>
      <c r="C4711" t="s">
        <v>24</v>
      </c>
      <c r="D4711" t="s">
        <v>25</v>
      </c>
      <c r="E4711">
        <v>3</v>
      </c>
      <c r="F4711" t="s">
        <v>46</v>
      </c>
      <c r="G4711" t="s">
        <v>15</v>
      </c>
      <c r="H4711" t="s">
        <v>16</v>
      </c>
      <c r="I4711">
        <v>0</v>
      </c>
      <c r="J4711" s="23">
        <v>13739</v>
      </c>
      <c r="K4711">
        <v>41217</v>
      </c>
    </row>
    <row r="4712" spans="1:11" ht="15" customHeight="1" x14ac:dyDescent="0.3">
      <c r="A4712" t="s">
        <v>10</v>
      </c>
      <c r="B4712" t="s">
        <v>11</v>
      </c>
      <c r="C4712" t="s">
        <v>24</v>
      </c>
      <c r="D4712" t="s">
        <v>25</v>
      </c>
      <c r="E4712">
        <v>-1</v>
      </c>
      <c r="F4712" t="s">
        <v>23</v>
      </c>
      <c r="G4712" t="s">
        <v>15</v>
      </c>
      <c r="H4712" t="s">
        <v>16</v>
      </c>
      <c r="I4712">
        <v>0</v>
      </c>
      <c r="J4712" s="23">
        <v>1114097</v>
      </c>
      <c r="K4712" t="s">
        <v>17</v>
      </c>
    </row>
    <row r="4713" spans="1:11" ht="15" customHeight="1" x14ac:dyDescent="0.3">
      <c r="A4713" t="s">
        <v>18</v>
      </c>
      <c r="B4713" t="s">
        <v>11</v>
      </c>
      <c r="C4713" t="s">
        <v>12</v>
      </c>
      <c r="D4713" t="s">
        <v>28</v>
      </c>
      <c r="E4713">
        <v>18</v>
      </c>
      <c r="F4713" t="s">
        <v>23</v>
      </c>
      <c r="G4713" t="s">
        <v>15</v>
      </c>
      <c r="H4713" t="s">
        <v>16</v>
      </c>
      <c r="I4713">
        <v>0</v>
      </c>
      <c r="J4713" s="23">
        <v>-171</v>
      </c>
      <c r="K4713" t="s">
        <v>17</v>
      </c>
    </row>
    <row r="4714" spans="1:11" ht="15" customHeight="1" x14ac:dyDescent="0.3">
      <c r="A4714" t="s">
        <v>10</v>
      </c>
      <c r="B4714" t="s">
        <v>11</v>
      </c>
      <c r="C4714" t="s">
        <v>24</v>
      </c>
      <c r="D4714" t="s">
        <v>25</v>
      </c>
      <c r="E4714">
        <v>4</v>
      </c>
      <c r="F4714" t="s">
        <v>35</v>
      </c>
      <c r="G4714" t="s">
        <v>15</v>
      </c>
      <c r="H4714" t="s">
        <v>16</v>
      </c>
      <c r="I4714">
        <v>0</v>
      </c>
      <c r="J4714" s="23">
        <v>307248</v>
      </c>
      <c r="K4714">
        <v>1228992</v>
      </c>
    </row>
    <row r="4715" spans="1:11" ht="15" customHeight="1" x14ac:dyDescent="0.3">
      <c r="A4715" t="s">
        <v>22</v>
      </c>
      <c r="B4715" t="s">
        <v>11</v>
      </c>
      <c r="C4715" t="s">
        <v>24</v>
      </c>
      <c r="D4715" t="s">
        <v>28</v>
      </c>
      <c r="E4715">
        <v>3</v>
      </c>
      <c r="F4715" t="s">
        <v>34</v>
      </c>
      <c r="G4715" t="s">
        <v>15</v>
      </c>
      <c r="H4715" t="s">
        <v>16</v>
      </c>
      <c r="I4715">
        <v>0</v>
      </c>
      <c r="J4715" s="23">
        <v>224693</v>
      </c>
      <c r="K4715">
        <v>674079</v>
      </c>
    </row>
    <row r="4716" spans="1:11" ht="15" customHeight="1" x14ac:dyDescent="0.3">
      <c r="A4716" t="s">
        <v>22</v>
      </c>
      <c r="B4716" t="s">
        <v>19</v>
      </c>
      <c r="C4716" t="s">
        <v>12</v>
      </c>
      <c r="D4716" t="s">
        <v>20</v>
      </c>
      <c r="E4716">
        <v>6</v>
      </c>
      <c r="F4716"/>
      <c r="G4716" t="s">
        <v>15</v>
      </c>
      <c r="H4716" t="s">
        <v>16</v>
      </c>
      <c r="I4716">
        <v>0</v>
      </c>
      <c r="J4716" s="23">
        <v>-644755</v>
      </c>
      <c r="K4716" t="s">
        <v>17</v>
      </c>
    </row>
    <row r="4717" spans="1:11" ht="15" customHeight="1" x14ac:dyDescent="0.3">
      <c r="A4717" t="s">
        <v>22</v>
      </c>
      <c r="B4717" t="s">
        <v>11</v>
      </c>
      <c r="C4717" t="s">
        <v>24</v>
      </c>
      <c r="D4717" t="s">
        <v>13</v>
      </c>
      <c r="E4717">
        <v>-1</v>
      </c>
      <c r="F4717" t="s">
        <v>35</v>
      </c>
      <c r="G4717" t="s">
        <v>15</v>
      </c>
      <c r="H4717" t="s">
        <v>16</v>
      </c>
      <c r="I4717">
        <v>0</v>
      </c>
      <c r="J4717" s="23">
        <v>732597</v>
      </c>
      <c r="K4717" t="s">
        <v>17</v>
      </c>
    </row>
    <row r="4718" spans="1:11" ht="15" customHeight="1" x14ac:dyDescent="0.3">
      <c r="A4718" t="s">
        <v>10</v>
      </c>
      <c r="B4718" t="s">
        <v>19</v>
      </c>
      <c r="C4718" t="s">
        <v>24</v>
      </c>
      <c r="D4718" t="s">
        <v>20</v>
      </c>
      <c r="E4718">
        <v>25</v>
      </c>
      <c r="F4718"/>
      <c r="G4718" t="s">
        <v>31</v>
      </c>
      <c r="H4718" t="s">
        <v>32</v>
      </c>
      <c r="I4718">
        <v>1</v>
      </c>
      <c r="J4718" s="23">
        <v>167823</v>
      </c>
      <c r="K4718">
        <v>4195575</v>
      </c>
    </row>
    <row r="4719" spans="1:11" ht="15" customHeight="1" x14ac:dyDescent="0.3">
      <c r="A4719" t="s">
        <v>18</v>
      </c>
      <c r="B4719" t="s">
        <v>44</v>
      </c>
      <c r="C4719" t="s">
        <v>24</v>
      </c>
      <c r="D4719" t="s">
        <v>28</v>
      </c>
      <c r="E4719">
        <v>2</v>
      </c>
      <c r="F4719" t="s">
        <v>26</v>
      </c>
      <c r="G4719" t="s">
        <v>15</v>
      </c>
      <c r="H4719" t="s">
        <v>16</v>
      </c>
      <c r="I4719">
        <v>0</v>
      </c>
      <c r="J4719" s="23">
        <v>153165</v>
      </c>
      <c r="K4719">
        <v>306330</v>
      </c>
    </row>
    <row r="4720" spans="1:11" ht="15" customHeight="1" x14ac:dyDescent="0.3">
      <c r="A4720" t="s">
        <v>22</v>
      </c>
      <c r="B4720" t="s">
        <v>19</v>
      </c>
      <c r="C4720" t="s">
        <v>12</v>
      </c>
      <c r="D4720" t="s">
        <v>20</v>
      </c>
      <c r="E4720">
        <v>5</v>
      </c>
      <c r="F4720"/>
      <c r="G4720" t="s">
        <v>15</v>
      </c>
      <c r="H4720" t="s">
        <v>32</v>
      </c>
      <c r="I4720">
        <v>1</v>
      </c>
      <c r="J4720" s="23">
        <v>-4645</v>
      </c>
      <c r="K4720" t="s">
        <v>17</v>
      </c>
    </row>
    <row r="4721" spans="1:11" ht="15" customHeight="1" x14ac:dyDescent="0.3">
      <c r="A4721" t="s">
        <v>22</v>
      </c>
      <c r="B4721" t="s">
        <v>11</v>
      </c>
      <c r="C4721" t="s">
        <v>24</v>
      </c>
      <c r="D4721" t="s">
        <v>13</v>
      </c>
      <c r="E4721">
        <v>5</v>
      </c>
      <c r="F4721" t="s">
        <v>21</v>
      </c>
      <c r="G4721" t="s">
        <v>15</v>
      </c>
      <c r="H4721" t="s">
        <v>16</v>
      </c>
      <c r="I4721">
        <v>0</v>
      </c>
      <c r="J4721" s="23">
        <v>4113846</v>
      </c>
      <c r="K4721">
        <v>20569230</v>
      </c>
    </row>
    <row r="4722" spans="1:11" ht="15" customHeight="1" x14ac:dyDescent="0.3">
      <c r="A4722" t="s">
        <v>18</v>
      </c>
      <c r="B4722" t="s">
        <v>11</v>
      </c>
      <c r="C4722" t="s">
        <v>24</v>
      </c>
      <c r="D4722" t="s">
        <v>13</v>
      </c>
      <c r="E4722">
        <v>13</v>
      </c>
      <c r="F4722" t="s">
        <v>21</v>
      </c>
      <c r="G4722" t="s">
        <v>15</v>
      </c>
      <c r="H4722" t="s">
        <v>16</v>
      </c>
      <c r="I4722">
        <v>0</v>
      </c>
      <c r="J4722" s="23">
        <v>10110</v>
      </c>
      <c r="K4722">
        <v>131430</v>
      </c>
    </row>
    <row r="4723" spans="1:11" ht="15" customHeight="1" x14ac:dyDescent="0.3">
      <c r="A4723" t="s">
        <v>18</v>
      </c>
      <c r="B4723" t="s">
        <v>19</v>
      </c>
      <c r="C4723" t="s">
        <v>12</v>
      </c>
      <c r="D4723" t="s">
        <v>20</v>
      </c>
      <c r="E4723">
        <v>21</v>
      </c>
      <c r="F4723"/>
      <c r="G4723" t="s">
        <v>31</v>
      </c>
      <c r="H4723" t="s">
        <v>32</v>
      </c>
      <c r="I4723">
        <v>1</v>
      </c>
      <c r="J4723" s="23">
        <v>-869</v>
      </c>
      <c r="K4723" t="s">
        <v>17</v>
      </c>
    </row>
    <row r="4724" spans="1:11" ht="15" customHeight="1" x14ac:dyDescent="0.3">
      <c r="A4724" t="s">
        <v>22</v>
      </c>
      <c r="B4724" t="s">
        <v>11</v>
      </c>
      <c r="C4724" t="s">
        <v>12</v>
      </c>
      <c r="D4724" t="s">
        <v>28</v>
      </c>
      <c r="E4724">
        <v>4</v>
      </c>
      <c r="F4724" t="s">
        <v>30</v>
      </c>
      <c r="G4724" t="s">
        <v>15</v>
      </c>
      <c r="H4724" t="s">
        <v>16</v>
      </c>
      <c r="I4724">
        <v>0</v>
      </c>
      <c r="J4724" s="23">
        <v>-36107</v>
      </c>
      <c r="K4724" t="s">
        <v>17</v>
      </c>
    </row>
    <row r="4725" spans="1:11" ht="15" customHeight="1" x14ac:dyDescent="0.3">
      <c r="A4725" t="s">
        <v>10</v>
      </c>
      <c r="B4725" t="s">
        <v>11</v>
      </c>
      <c r="C4725" t="s">
        <v>12</v>
      </c>
      <c r="D4725" t="s">
        <v>28</v>
      </c>
      <c r="E4725">
        <v>1</v>
      </c>
      <c r="F4725" t="s">
        <v>21</v>
      </c>
      <c r="G4725" t="s">
        <v>15</v>
      </c>
      <c r="H4725" t="s">
        <v>32</v>
      </c>
      <c r="I4725">
        <v>1</v>
      </c>
      <c r="J4725" s="23">
        <v>-1293</v>
      </c>
      <c r="K4725" t="s">
        <v>17</v>
      </c>
    </row>
    <row r="4726" spans="1:11" ht="15" customHeight="1" x14ac:dyDescent="0.3">
      <c r="A4726" t="s">
        <v>22</v>
      </c>
      <c r="B4726" t="s">
        <v>11</v>
      </c>
      <c r="C4726" t="s">
        <v>12</v>
      </c>
      <c r="D4726" t="s">
        <v>13</v>
      </c>
      <c r="E4726">
        <v>5</v>
      </c>
      <c r="F4726" t="s">
        <v>21</v>
      </c>
      <c r="G4726" t="s">
        <v>15</v>
      </c>
      <c r="H4726" t="s">
        <v>16</v>
      </c>
      <c r="I4726">
        <v>0</v>
      </c>
      <c r="J4726" s="23">
        <v>-2815947</v>
      </c>
      <c r="K4726" t="s">
        <v>17</v>
      </c>
    </row>
    <row r="4727" spans="1:11" ht="15" customHeight="1" x14ac:dyDescent="0.3">
      <c r="A4727" t="s">
        <v>10</v>
      </c>
      <c r="B4727" t="s">
        <v>19</v>
      </c>
      <c r="C4727" t="s">
        <v>24</v>
      </c>
      <c r="D4727" t="s">
        <v>20</v>
      </c>
      <c r="E4727">
        <v>36</v>
      </c>
      <c r="F4727"/>
      <c r="G4727" t="s">
        <v>31</v>
      </c>
      <c r="H4727" t="s">
        <v>32</v>
      </c>
      <c r="I4727">
        <v>1</v>
      </c>
      <c r="J4727" s="23">
        <v>88109</v>
      </c>
      <c r="K4727">
        <v>3171924</v>
      </c>
    </row>
    <row r="4728" spans="1:11" ht="15" customHeight="1" x14ac:dyDescent="0.3">
      <c r="A4728" t="s">
        <v>22</v>
      </c>
      <c r="B4728" t="s">
        <v>19</v>
      </c>
      <c r="C4728" t="s">
        <v>24</v>
      </c>
      <c r="D4728" t="s">
        <v>20</v>
      </c>
      <c r="E4728">
        <v>30</v>
      </c>
      <c r="F4728"/>
      <c r="G4728" t="s">
        <v>31</v>
      </c>
      <c r="H4728" t="s">
        <v>16</v>
      </c>
      <c r="I4728">
        <v>1</v>
      </c>
      <c r="J4728" s="23">
        <v>354498</v>
      </c>
      <c r="K4728">
        <v>10634940</v>
      </c>
    </row>
    <row r="4729" spans="1:11" ht="15" customHeight="1" x14ac:dyDescent="0.3">
      <c r="A4729" t="s">
        <v>22</v>
      </c>
      <c r="B4729" t="s">
        <v>11</v>
      </c>
      <c r="C4729" t="s">
        <v>24</v>
      </c>
      <c r="D4729" t="s">
        <v>25</v>
      </c>
      <c r="E4729">
        <v>9</v>
      </c>
      <c r="F4729" t="s">
        <v>41</v>
      </c>
      <c r="G4729" t="s">
        <v>15</v>
      </c>
      <c r="H4729" t="s">
        <v>16</v>
      </c>
      <c r="I4729">
        <v>0</v>
      </c>
      <c r="J4729" s="23">
        <v>194934</v>
      </c>
      <c r="K4729">
        <v>1754406</v>
      </c>
    </row>
    <row r="4730" spans="1:11" ht="15" customHeight="1" x14ac:dyDescent="0.3">
      <c r="A4730" t="s">
        <v>18</v>
      </c>
      <c r="B4730" t="s">
        <v>11</v>
      </c>
      <c r="C4730" t="s">
        <v>24</v>
      </c>
      <c r="D4730" t="s">
        <v>28</v>
      </c>
      <c r="E4730">
        <v>13</v>
      </c>
      <c r="F4730" t="s">
        <v>39</v>
      </c>
      <c r="G4730" t="s">
        <v>15</v>
      </c>
      <c r="H4730" t="s">
        <v>16</v>
      </c>
      <c r="I4730">
        <v>0</v>
      </c>
      <c r="J4730" s="23">
        <v>1707419</v>
      </c>
      <c r="K4730">
        <v>22196447</v>
      </c>
    </row>
    <row r="4731" spans="1:11" ht="15" customHeight="1" x14ac:dyDescent="0.3">
      <c r="A4731" t="s">
        <v>10</v>
      </c>
      <c r="B4731" t="s">
        <v>11</v>
      </c>
      <c r="C4731" t="s">
        <v>12</v>
      </c>
      <c r="D4731" t="s">
        <v>25</v>
      </c>
      <c r="E4731">
        <v>5</v>
      </c>
      <c r="F4731" t="s">
        <v>35</v>
      </c>
      <c r="G4731" t="s">
        <v>15</v>
      </c>
      <c r="H4731" t="s">
        <v>16</v>
      </c>
      <c r="I4731">
        <v>0</v>
      </c>
      <c r="J4731" s="23">
        <v>-21494</v>
      </c>
      <c r="K4731" t="s">
        <v>17</v>
      </c>
    </row>
    <row r="4732" spans="1:11" ht="15" customHeight="1" x14ac:dyDescent="0.3">
      <c r="A4732" t="s">
        <v>10</v>
      </c>
      <c r="B4732" t="s">
        <v>19</v>
      </c>
      <c r="C4732" t="s">
        <v>24</v>
      </c>
      <c r="D4732" t="s">
        <v>20</v>
      </c>
      <c r="E4732">
        <v>13</v>
      </c>
      <c r="F4732"/>
      <c r="G4732" t="s">
        <v>15</v>
      </c>
      <c r="H4732" t="s">
        <v>16</v>
      </c>
      <c r="I4732">
        <v>0</v>
      </c>
      <c r="J4732" s="23">
        <v>20507716</v>
      </c>
      <c r="K4732">
        <v>266600308</v>
      </c>
    </row>
    <row r="4733" spans="1:11" ht="15" customHeight="1" x14ac:dyDescent="0.3">
      <c r="A4733" t="s">
        <v>22</v>
      </c>
      <c r="B4733" t="s">
        <v>19</v>
      </c>
      <c r="C4733" t="s">
        <v>24</v>
      </c>
      <c r="D4733" t="s">
        <v>20</v>
      </c>
      <c r="E4733">
        <v>16</v>
      </c>
      <c r="F4733"/>
      <c r="G4733" t="s">
        <v>31</v>
      </c>
      <c r="H4733" t="s">
        <v>16</v>
      </c>
      <c r="I4733">
        <v>1</v>
      </c>
      <c r="J4733" s="23">
        <v>98209</v>
      </c>
      <c r="K4733">
        <v>1571344</v>
      </c>
    </row>
    <row r="4734" spans="1:11" ht="15" customHeight="1" x14ac:dyDescent="0.3">
      <c r="A4734" t="s">
        <v>10</v>
      </c>
      <c r="B4734" t="s">
        <v>11</v>
      </c>
      <c r="C4734" t="s">
        <v>12</v>
      </c>
      <c r="D4734" t="s">
        <v>28</v>
      </c>
      <c r="E4734">
        <v>12</v>
      </c>
      <c r="F4734" t="s">
        <v>29</v>
      </c>
      <c r="G4734" t="s">
        <v>15</v>
      </c>
      <c r="H4734" t="s">
        <v>16</v>
      </c>
      <c r="I4734">
        <v>0</v>
      </c>
      <c r="J4734" s="23">
        <v>-43814</v>
      </c>
      <c r="K4734" t="s">
        <v>17</v>
      </c>
    </row>
    <row r="4735" spans="1:11" ht="15" customHeight="1" x14ac:dyDescent="0.3">
      <c r="A4735" t="s">
        <v>18</v>
      </c>
      <c r="B4735" t="s">
        <v>19</v>
      </c>
      <c r="C4735" t="s">
        <v>24</v>
      </c>
      <c r="D4735" t="s">
        <v>20</v>
      </c>
      <c r="E4735">
        <v>13</v>
      </c>
      <c r="F4735"/>
      <c r="G4735" t="s">
        <v>31</v>
      </c>
      <c r="H4735" t="s">
        <v>16</v>
      </c>
      <c r="I4735">
        <v>1</v>
      </c>
      <c r="J4735" s="23">
        <v>2553828</v>
      </c>
      <c r="K4735">
        <v>33199764</v>
      </c>
    </row>
    <row r="4736" spans="1:11" ht="15" customHeight="1" x14ac:dyDescent="0.3">
      <c r="A4736" t="s">
        <v>18</v>
      </c>
      <c r="B4736" t="s">
        <v>11</v>
      </c>
      <c r="C4736" t="s">
        <v>24</v>
      </c>
      <c r="D4736" t="s">
        <v>25</v>
      </c>
      <c r="E4736">
        <v>3</v>
      </c>
      <c r="F4736" t="s">
        <v>27</v>
      </c>
      <c r="G4736" t="s">
        <v>15</v>
      </c>
      <c r="H4736" t="s">
        <v>16</v>
      </c>
      <c r="I4736">
        <v>0</v>
      </c>
      <c r="J4736" s="23">
        <v>681775</v>
      </c>
      <c r="K4736">
        <v>2045325</v>
      </c>
    </row>
    <row r="4737" spans="1:11" ht="15" customHeight="1" x14ac:dyDescent="0.3">
      <c r="A4737" t="s">
        <v>18</v>
      </c>
      <c r="B4737" t="s">
        <v>11</v>
      </c>
      <c r="C4737" t="s">
        <v>24</v>
      </c>
      <c r="D4737" t="s">
        <v>13</v>
      </c>
      <c r="E4737">
        <v>5</v>
      </c>
      <c r="F4737" t="s">
        <v>39</v>
      </c>
      <c r="G4737" t="s">
        <v>15</v>
      </c>
      <c r="H4737" t="s">
        <v>16</v>
      </c>
      <c r="I4737">
        <v>0</v>
      </c>
      <c r="J4737" s="23">
        <v>1353589</v>
      </c>
      <c r="K4737">
        <v>6767945</v>
      </c>
    </row>
    <row r="4738" spans="1:11" ht="15" customHeight="1" x14ac:dyDescent="0.3">
      <c r="A4738" t="s">
        <v>18</v>
      </c>
      <c r="B4738" t="s">
        <v>11</v>
      </c>
      <c r="C4738" t="s">
        <v>24</v>
      </c>
      <c r="D4738" t="s">
        <v>28</v>
      </c>
      <c r="E4738">
        <v>7</v>
      </c>
      <c r="F4738" t="s">
        <v>34</v>
      </c>
      <c r="G4738" t="s">
        <v>15</v>
      </c>
      <c r="H4738" t="s">
        <v>32</v>
      </c>
      <c r="I4738">
        <v>1</v>
      </c>
      <c r="J4738" s="23">
        <v>529289</v>
      </c>
      <c r="K4738">
        <v>3705023</v>
      </c>
    </row>
    <row r="4739" spans="1:11" ht="15" customHeight="1" x14ac:dyDescent="0.3">
      <c r="A4739" t="s">
        <v>22</v>
      </c>
      <c r="B4739" t="s">
        <v>19</v>
      </c>
      <c r="C4739" t="s">
        <v>12</v>
      </c>
      <c r="D4739" t="s">
        <v>20</v>
      </c>
      <c r="E4739">
        <v>7</v>
      </c>
      <c r="F4739"/>
      <c r="G4739" t="s">
        <v>15</v>
      </c>
      <c r="H4739" t="s">
        <v>32</v>
      </c>
      <c r="I4739">
        <v>1</v>
      </c>
      <c r="J4739" s="23">
        <v>-18383</v>
      </c>
      <c r="K4739" t="s">
        <v>17</v>
      </c>
    </row>
    <row r="4740" spans="1:11" ht="15" customHeight="1" x14ac:dyDescent="0.3">
      <c r="A4740" t="s">
        <v>22</v>
      </c>
      <c r="B4740" t="s">
        <v>11</v>
      </c>
      <c r="C4740" t="s">
        <v>24</v>
      </c>
      <c r="D4740" t="s">
        <v>25</v>
      </c>
      <c r="E4740">
        <v>-4</v>
      </c>
      <c r="F4740" t="s">
        <v>39</v>
      </c>
      <c r="G4740" t="s">
        <v>15</v>
      </c>
      <c r="H4740" t="s">
        <v>16</v>
      </c>
      <c r="I4740">
        <v>0</v>
      </c>
      <c r="J4740" s="23">
        <v>732187</v>
      </c>
      <c r="K4740" t="s">
        <v>17</v>
      </c>
    </row>
    <row r="4741" spans="1:11" ht="15" customHeight="1" x14ac:dyDescent="0.3">
      <c r="A4741" t="s">
        <v>18</v>
      </c>
      <c r="B4741" t="s">
        <v>11</v>
      </c>
      <c r="C4741" t="s">
        <v>12</v>
      </c>
      <c r="D4741" t="s">
        <v>13</v>
      </c>
      <c r="E4741">
        <v>5</v>
      </c>
      <c r="F4741" t="s">
        <v>21</v>
      </c>
      <c r="G4741" t="s">
        <v>15</v>
      </c>
      <c r="H4741" t="s">
        <v>16</v>
      </c>
      <c r="I4741">
        <v>0</v>
      </c>
      <c r="J4741" s="23">
        <v>-13051</v>
      </c>
      <c r="K4741" t="s">
        <v>17</v>
      </c>
    </row>
    <row r="4742" spans="1:11" ht="15" customHeight="1" x14ac:dyDescent="0.3">
      <c r="A4742" t="s">
        <v>22</v>
      </c>
      <c r="B4742" t="s">
        <v>11</v>
      </c>
      <c r="C4742" t="s">
        <v>24</v>
      </c>
      <c r="D4742" t="s">
        <v>13</v>
      </c>
      <c r="E4742">
        <v>18</v>
      </c>
      <c r="F4742" t="s">
        <v>29</v>
      </c>
      <c r="G4742" t="s">
        <v>15</v>
      </c>
      <c r="H4742" t="s">
        <v>16</v>
      </c>
      <c r="I4742">
        <v>0</v>
      </c>
      <c r="J4742" s="23">
        <v>25502</v>
      </c>
      <c r="K4742">
        <v>459036</v>
      </c>
    </row>
    <row r="4743" spans="1:11" ht="15" customHeight="1" x14ac:dyDescent="0.3">
      <c r="A4743" t="s">
        <v>10</v>
      </c>
      <c r="B4743" t="s">
        <v>11</v>
      </c>
      <c r="C4743" t="s">
        <v>12</v>
      </c>
      <c r="D4743" t="s">
        <v>25</v>
      </c>
      <c r="E4743">
        <v>7</v>
      </c>
      <c r="F4743" t="s">
        <v>26</v>
      </c>
      <c r="G4743" t="s">
        <v>15</v>
      </c>
      <c r="H4743" t="s">
        <v>16</v>
      </c>
      <c r="I4743">
        <v>0</v>
      </c>
      <c r="J4743" s="23">
        <v>-13235</v>
      </c>
      <c r="K4743" t="s">
        <v>17</v>
      </c>
    </row>
    <row r="4744" spans="1:11" ht="15" customHeight="1" x14ac:dyDescent="0.3">
      <c r="A4744" t="s">
        <v>22</v>
      </c>
      <c r="B4744" t="s">
        <v>11</v>
      </c>
      <c r="C4744" t="s">
        <v>24</v>
      </c>
      <c r="D4744" t="s">
        <v>25</v>
      </c>
      <c r="E4744">
        <v>-4</v>
      </c>
      <c r="F4744" t="s">
        <v>42</v>
      </c>
      <c r="G4744" t="s">
        <v>15</v>
      </c>
      <c r="H4744" t="s">
        <v>16</v>
      </c>
      <c r="I4744">
        <v>0</v>
      </c>
      <c r="J4744" s="23">
        <v>8073</v>
      </c>
      <c r="K4744" t="s">
        <v>17</v>
      </c>
    </row>
    <row r="4745" spans="1:11" ht="15" customHeight="1" x14ac:dyDescent="0.3">
      <c r="A4745" t="s">
        <v>10</v>
      </c>
      <c r="B4745" t="s">
        <v>11</v>
      </c>
      <c r="C4745" t="s">
        <v>12</v>
      </c>
      <c r="D4745" t="s">
        <v>25</v>
      </c>
      <c r="E4745">
        <v>-4</v>
      </c>
      <c r="F4745" t="s">
        <v>26</v>
      </c>
      <c r="G4745" t="s">
        <v>15</v>
      </c>
      <c r="H4745" t="s">
        <v>16</v>
      </c>
      <c r="I4745">
        <v>0</v>
      </c>
      <c r="J4745" s="23">
        <v>-359</v>
      </c>
      <c r="K4745" t="s">
        <v>17</v>
      </c>
    </row>
    <row r="4746" spans="1:11" ht="15" customHeight="1" x14ac:dyDescent="0.3">
      <c r="A4746" t="s">
        <v>10</v>
      </c>
      <c r="B4746" t="s">
        <v>11</v>
      </c>
      <c r="C4746" t="s">
        <v>12</v>
      </c>
      <c r="D4746" t="s">
        <v>25</v>
      </c>
      <c r="E4746">
        <v>2</v>
      </c>
      <c r="F4746" t="s">
        <v>41</v>
      </c>
      <c r="G4746" t="s">
        <v>15</v>
      </c>
      <c r="H4746" t="s">
        <v>16</v>
      </c>
      <c r="I4746">
        <v>0</v>
      </c>
      <c r="J4746" s="23">
        <v>-1782</v>
      </c>
      <c r="K4746" t="s">
        <v>17</v>
      </c>
    </row>
    <row r="4747" spans="1:11" ht="15" customHeight="1" x14ac:dyDescent="0.3">
      <c r="A4747" t="s">
        <v>18</v>
      </c>
      <c r="B4747" t="s">
        <v>11</v>
      </c>
      <c r="C4747" t="s">
        <v>24</v>
      </c>
      <c r="D4747" t="s">
        <v>25</v>
      </c>
      <c r="E4747">
        <v>1</v>
      </c>
      <c r="F4747" t="s">
        <v>21</v>
      </c>
      <c r="G4747" t="s">
        <v>15</v>
      </c>
      <c r="H4747" t="s">
        <v>16</v>
      </c>
      <c r="I4747">
        <v>0</v>
      </c>
      <c r="J4747" s="23">
        <v>5732922</v>
      </c>
      <c r="K4747">
        <v>5732922</v>
      </c>
    </row>
    <row r="4748" spans="1:11" ht="15" customHeight="1" x14ac:dyDescent="0.3">
      <c r="A4748" t="s">
        <v>10</v>
      </c>
      <c r="B4748" t="s">
        <v>11</v>
      </c>
      <c r="C4748" t="s">
        <v>12</v>
      </c>
      <c r="D4748" t="s">
        <v>13</v>
      </c>
      <c r="E4748">
        <v>4</v>
      </c>
      <c r="F4748" t="s">
        <v>45</v>
      </c>
      <c r="G4748" t="s">
        <v>15</v>
      </c>
      <c r="H4748" t="s">
        <v>16</v>
      </c>
      <c r="I4748">
        <v>0</v>
      </c>
      <c r="J4748" s="23">
        <v>-16090</v>
      </c>
      <c r="K4748" t="s">
        <v>17</v>
      </c>
    </row>
    <row r="4749" spans="1:11" ht="15" customHeight="1" x14ac:dyDescent="0.3">
      <c r="A4749" t="s">
        <v>22</v>
      </c>
      <c r="B4749" t="s">
        <v>11</v>
      </c>
      <c r="C4749" t="s">
        <v>12</v>
      </c>
      <c r="D4749" t="s">
        <v>13</v>
      </c>
      <c r="E4749">
        <v>12</v>
      </c>
      <c r="F4749" t="s">
        <v>34</v>
      </c>
      <c r="G4749" t="s">
        <v>15</v>
      </c>
      <c r="H4749" t="s">
        <v>16</v>
      </c>
      <c r="I4749">
        <v>0</v>
      </c>
      <c r="J4749" s="23">
        <v>-20502</v>
      </c>
      <c r="K4749" t="s">
        <v>17</v>
      </c>
    </row>
    <row r="4750" spans="1:11" ht="15" customHeight="1" x14ac:dyDescent="0.3">
      <c r="A4750" t="s">
        <v>18</v>
      </c>
      <c r="B4750" t="s">
        <v>11</v>
      </c>
      <c r="C4750" t="s">
        <v>12</v>
      </c>
      <c r="D4750" t="s">
        <v>28</v>
      </c>
      <c r="E4750">
        <v>-4</v>
      </c>
      <c r="F4750" t="s">
        <v>34</v>
      </c>
      <c r="G4750" t="s">
        <v>15</v>
      </c>
      <c r="H4750" t="s">
        <v>16</v>
      </c>
      <c r="I4750">
        <v>0</v>
      </c>
      <c r="J4750" s="23">
        <v>-178</v>
      </c>
      <c r="K4750" t="s">
        <v>17</v>
      </c>
    </row>
    <row r="4751" spans="1:11" ht="15" customHeight="1" x14ac:dyDescent="0.3">
      <c r="A4751" t="s">
        <v>18</v>
      </c>
      <c r="B4751" t="s">
        <v>11</v>
      </c>
      <c r="C4751" t="s">
        <v>12</v>
      </c>
      <c r="D4751" t="s">
        <v>25</v>
      </c>
      <c r="E4751">
        <v>4</v>
      </c>
      <c r="F4751" t="s">
        <v>36</v>
      </c>
      <c r="G4751" t="s">
        <v>15</v>
      </c>
      <c r="H4751" t="s">
        <v>16</v>
      </c>
      <c r="I4751">
        <v>0</v>
      </c>
      <c r="J4751" s="23">
        <v>-806</v>
      </c>
      <c r="K4751" t="s">
        <v>17</v>
      </c>
    </row>
    <row r="4752" spans="1:11" ht="15" customHeight="1" x14ac:dyDescent="0.3">
      <c r="A4752" t="s">
        <v>10</v>
      </c>
      <c r="B4752" t="s">
        <v>11</v>
      </c>
      <c r="C4752" t="s">
        <v>12</v>
      </c>
      <c r="D4752" t="s">
        <v>13</v>
      </c>
      <c r="E4752">
        <v>-1</v>
      </c>
      <c r="F4752" t="s">
        <v>41</v>
      </c>
      <c r="G4752" t="s">
        <v>15</v>
      </c>
      <c r="H4752" t="s">
        <v>16</v>
      </c>
      <c r="I4752">
        <v>0</v>
      </c>
      <c r="J4752" s="23">
        <v>-41574</v>
      </c>
      <c r="K4752" t="s">
        <v>17</v>
      </c>
    </row>
    <row r="4753" spans="1:11" ht="15" customHeight="1" x14ac:dyDescent="0.3">
      <c r="A4753" t="s">
        <v>22</v>
      </c>
      <c r="B4753" t="s">
        <v>11</v>
      </c>
      <c r="C4753" t="s">
        <v>12</v>
      </c>
      <c r="D4753" t="s">
        <v>28</v>
      </c>
      <c r="E4753">
        <v>6</v>
      </c>
      <c r="F4753" t="s">
        <v>26</v>
      </c>
      <c r="G4753" t="s">
        <v>15</v>
      </c>
      <c r="H4753" t="s">
        <v>16</v>
      </c>
      <c r="I4753">
        <v>0</v>
      </c>
      <c r="J4753" s="23">
        <v>-166872</v>
      </c>
      <c r="K4753" t="s">
        <v>17</v>
      </c>
    </row>
    <row r="4754" spans="1:11" ht="15" customHeight="1" x14ac:dyDescent="0.3">
      <c r="A4754" t="s">
        <v>18</v>
      </c>
      <c r="B4754" t="s">
        <v>11</v>
      </c>
      <c r="C4754" t="s">
        <v>12</v>
      </c>
      <c r="D4754" t="s">
        <v>28</v>
      </c>
      <c r="E4754">
        <v>8</v>
      </c>
      <c r="F4754" t="s">
        <v>33</v>
      </c>
      <c r="G4754" t="s">
        <v>15</v>
      </c>
      <c r="H4754" t="s">
        <v>16</v>
      </c>
      <c r="I4754">
        <v>0</v>
      </c>
      <c r="J4754" s="23">
        <v>-1641</v>
      </c>
      <c r="K4754" t="s">
        <v>17</v>
      </c>
    </row>
    <row r="4755" spans="1:11" ht="15" customHeight="1" x14ac:dyDescent="0.3">
      <c r="A4755" t="s">
        <v>18</v>
      </c>
      <c r="B4755" t="s">
        <v>19</v>
      </c>
      <c r="C4755" t="s">
        <v>24</v>
      </c>
      <c r="D4755" t="s">
        <v>20</v>
      </c>
      <c r="E4755">
        <v>31</v>
      </c>
      <c r="F4755"/>
      <c r="G4755" t="s">
        <v>15</v>
      </c>
      <c r="H4755" t="s">
        <v>32</v>
      </c>
      <c r="I4755">
        <v>1</v>
      </c>
      <c r="J4755" s="23">
        <v>1310194</v>
      </c>
      <c r="K4755">
        <v>40616014</v>
      </c>
    </row>
    <row r="4756" spans="1:11" ht="15" customHeight="1" x14ac:dyDescent="0.3">
      <c r="A4756" t="s">
        <v>18</v>
      </c>
      <c r="B4756" t="s">
        <v>11</v>
      </c>
      <c r="C4756" t="s">
        <v>12</v>
      </c>
      <c r="D4756" t="s">
        <v>25</v>
      </c>
      <c r="E4756">
        <v>4</v>
      </c>
      <c r="F4756" t="s">
        <v>35</v>
      </c>
      <c r="G4756" t="s">
        <v>15</v>
      </c>
      <c r="H4756" t="s">
        <v>16</v>
      </c>
      <c r="I4756">
        <v>0</v>
      </c>
      <c r="J4756" s="23">
        <v>-2611</v>
      </c>
      <c r="K4756" t="s">
        <v>17</v>
      </c>
    </row>
    <row r="4757" spans="1:11" ht="15" customHeight="1" x14ac:dyDescent="0.3">
      <c r="A4757" t="s">
        <v>18</v>
      </c>
      <c r="B4757" t="s">
        <v>11</v>
      </c>
      <c r="C4757" t="s">
        <v>12</v>
      </c>
      <c r="D4757" t="s">
        <v>25</v>
      </c>
      <c r="E4757">
        <v>0</v>
      </c>
      <c r="F4757" t="s">
        <v>21</v>
      </c>
      <c r="G4757" t="s">
        <v>15</v>
      </c>
      <c r="H4757" t="s">
        <v>16</v>
      </c>
      <c r="I4757">
        <v>0</v>
      </c>
      <c r="J4757" s="23">
        <v>-2567</v>
      </c>
      <c r="K4757" t="s">
        <v>17</v>
      </c>
    </row>
    <row r="4758" spans="1:11" ht="15" customHeight="1" x14ac:dyDescent="0.3">
      <c r="A4758" t="s">
        <v>18</v>
      </c>
      <c r="B4758" t="s">
        <v>11</v>
      </c>
      <c r="C4758" t="s">
        <v>24</v>
      </c>
      <c r="D4758" t="s">
        <v>13</v>
      </c>
      <c r="E4758">
        <v>-1</v>
      </c>
      <c r="F4758" t="s">
        <v>37</v>
      </c>
      <c r="G4758" t="s">
        <v>15</v>
      </c>
      <c r="H4758" t="s">
        <v>16</v>
      </c>
      <c r="I4758">
        <v>0</v>
      </c>
      <c r="J4758" s="23">
        <v>3238312</v>
      </c>
      <c r="K4758" t="s">
        <v>17</v>
      </c>
    </row>
    <row r="4759" spans="1:11" ht="15" customHeight="1" x14ac:dyDescent="0.3">
      <c r="A4759" t="s">
        <v>10</v>
      </c>
      <c r="B4759" t="s">
        <v>11</v>
      </c>
      <c r="C4759" t="s">
        <v>24</v>
      </c>
      <c r="D4759" t="s">
        <v>28</v>
      </c>
      <c r="E4759">
        <v>9</v>
      </c>
      <c r="F4759" t="s">
        <v>34</v>
      </c>
      <c r="G4759" t="s">
        <v>15</v>
      </c>
      <c r="H4759" t="s">
        <v>16</v>
      </c>
      <c r="I4759">
        <v>0</v>
      </c>
      <c r="J4759" s="23">
        <v>2695006</v>
      </c>
      <c r="K4759">
        <v>24255054</v>
      </c>
    </row>
    <row r="4760" spans="1:11" ht="15" customHeight="1" x14ac:dyDescent="0.3">
      <c r="A4760" t="s">
        <v>18</v>
      </c>
      <c r="B4760" t="s">
        <v>11</v>
      </c>
      <c r="C4760" t="s">
        <v>12</v>
      </c>
      <c r="D4760" t="s">
        <v>28</v>
      </c>
      <c r="E4760">
        <v>11</v>
      </c>
      <c r="F4760" t="s">
        <v>34</v>
      </c>
      <c r="G4760" t="s">
        <v>31</v>
      </c>
      <c r="H4760" t="s">
        <v>16</v>
      </c>
      <c r="I4760">
        <v>1</v>
      </c>
      <c r="J4760" s="23">
        <v>-41</v>
      </c>
      <c r="K4760" t="s">
        <v>17</v>
      </c>
    </row>
    <row r="4761" spans="1:11" ht="15" customHeight="1" x14ac:dyDescent="0.3">
      <c r="A4761" t="s">
        <v>22</v>
      </c>
      <c r="B4761" t="s">
        <v>11</v>
      </c>
      <c r="C4761" t="s">
        <v>24</v>
      </c>
      <c r="D4761" t="s">
        <v>13</v>
      </c>
      <c r="E4761">
        <v>2</v>
      </c>
      <c r="F4761" t="s">
        <v>37</v>
      </c>
      <c r="G4761" t="s">
        <v>15</v>
      </c>
      <c r="H4761" t="s">
        <v>16</v>
      </c>
      <c r="I4761">
        <v>0</v>
      </c>
      <c r="J4761" s="23">
        <v>207840</v>
      </c>
      <c r="K4761">
        <v>415680</v>
      </c>
    </row>
    <row r="4762" spans="1:11" ht="15" customHeight="1" x14ac:dyDescent="0.3">
      <c r="A4762" t="s">
        <v>10</v>
      </c>
      <c r="B4762" t="s">
        <v>11</v>
      </c>
      <c r="C4762" t="s">
        <v>24</v>
      </c>
      <c r="D4762" t="s">
        <v>28</v>
      </c>
      <c r="E4762">
        <v>11</v>
      </c>
      <c r="F4762" t="s">
        <v>34</v>
      </c>
      <c r="G4762" t="s">
        <v>15</v>
      </c>
      <c r="H4762" t="s">
        <v>32</v>
      </c>
      <c r="I4762">
        <v>1</v>
      </c>
      <c r="J4762" s="23">
        <v>296892</v>
      </c>
      <c r="K4762">
        <v>3265812</v>
      </c>
    </row>
    <row r="4763" spans="1:11" ht="15" customHeight="1" x14ac:dyDescent="0.3">
      <c r="A4763" t="s">
        <v>18</v>
      </c>
      <c r="B4763" t="s">
        <v>11</v>
      </c>
      <c r="C4763" t="s">
        <v>24</v>
      </c>
      <c r="D4763" t="s">
        <v>28</v>
      </c>
      <c r="E4763">
        <v>13</v>
      </c>
      <c r="F4763" t="s">
        <v>34</v>
      </c>
      <c r="G4763" t="s">
        <v>31</v>
      </c>
      <c r="H4763" t="s">
        <v>16</v>
      </c>
      <c r="I4763">
        <v>1</v>
      </c>
      <c r="J4763" s="23">
        <v>102205</v>
      </c>
      <c r="K4763">
        <v>1328665</v>
      </c>
    </row>
    <row r="4764" spans="1:11" ht="15" customHeight="1" x14ac:dyDescent="0.3">
      <c r="A4764" t="s">
        <v>18</v>
      </c>
      <c r="B4764" t="s">
        <v>11</v>
      </c>
      <c r="C4764" t="s">
        <v>24</v>
      </c>
      <c r="D4764" t="s">
        <v>25</v>
      </c>
      <c r="E4764">
        <v>8</v>
      </c>
      <c r="F4764" t="s">
        <v>21</v>
      </c>
      <c r="G4764" t="s">
        <v>15</v>
      </c>
      <c r="H4764" t="s">
        <v>16</v>
      </c>
      <c r="I4764">
        <v>0</v>
      </c>
      <c r="J4764" s="23">
        <v>366492</v>
      </c>
      <c r="K4764">
        <v>2931936</v>
      </c>
    </row>
    <row r="4765" spans="1:11" ht="15" customHeight="1" x14ac:dyDescent="0.3">
      <c r="A4765" t="s">
        <v>18</v>
      </c>
      <c r="B4765" t="s">
        <v>11</v>
      </c>
      <c r="C4765" t="s">
        <v>12</v>
      </c>
      <c r="D4765" t="s">
        <v>13</v>
      </c>
      <c r="E4765">
        <v>5</v>
      </c>
      <c r="F4765" t="s">
        <v>40</v>
      </c>
      <c r="G4765" t="s">
        <v>15</v>
      </c>
      <c r="H4765" t="s">
        <v>16</v>
      </c>
      <c r="I4765">
        <v>0</v>
      </c>
      <c r="J4765" s="23">
        <v>-78779</v>
      </c>
      <c r="K4765" t="s">
        <v>17</v>
      </c>
    </row>
    <row r="4766" spans="1:11" ht="15" customHeight="1" x14ac:dyDescent="0.3">
      <c r="A4766" t="s">
        <v>22</v>
      </c>
      <c r="B4766" t="s">
        <v>11</v>
      </c>
      <c r="C4766" t="s">
        <v>12</v>
      </c>
      <c r="D4766" t="s">
        <v>25</v>
      </c>
      <c r="E4766">
        <v>9</v>
      </c>
      <c r="F4766" t="s">
        <v>41</v>
      </c>
      <c r="G4766" t="s">
        <v>15</v>
      </c>
      <c r="H4766" t="s">
        <v>16</v>
      </c>
      <c r="I4766">
        <v>0</v>
      </c>
      <c r="J4766" s="23">
        <v>-194934</v>
      </c>
      <c r="K4766" t="s">
        <v>17</v>
      </c>
    </row>
    <row r="4767" spans="1:11" ht="15" customHeight="1" x14ac:dyDescent="0.3">
      <c r="A4767" t="s">
        <v>22</v>
      </c>
      <c r="B4767" t="s">
        <v>11</v>
      </c>
      <c r="C4767" t="s">
        <v>24</v>
      </c>
      <c r="D4767" t="s">
        <v>13</v>
      </c>
      <c r="E4767">
        <v>-1</v>
      </c>
      <c r="F4767" t="s">
        <v>21</v>
      </c>
      <c r="G4767" t="s">
        <v>15</v>
      </c>
      <c r="H4767" t="s">
        <v>16</v>
      </c>
      <c r="I4767">
        <v>0</v>
      </c>
      <c r="J4767" s="23">
        <v>5965671</v>
      </c>
      <c r="K4767" t="s">
        <v>17</v>
      </c>
    </row>
    <row r="4768" spans="1:11" ht="15" customHeight="1" x14ac:dyDescent="0.3">
      <c r="A4768"/>
      <c r="B4768"/>
      <c r="C4768"/>
      <c r="D4768"/>
      <c r="E4768"/>
      <c r="F4768"/>
      <c r="G4768"/>
      <c r="H4768"/>
      <c r="I4768"/>
      <c r="J4768" s="23"/>
      <c r="K4768"/>
    </row>
    <row r="4769" spans="1:11" ht="15" customHeight="1" x14ac:dyDescent="0.3">
      <c r="A4769"/>
      <c r="B4769"/>
      <c r="C4769"/>
      <c r="D4769"/>
      <c r="E4769"/>
      <c r="F4769"/>
      <c r="G4769"/>
      <c r="H4769"/>
      <c r="I4769"/>
      <c r="J4769" s="23"/>
      <c r="K4769"/>
    </row>
    <row r="4770" spans="1:11" ht="15" customHeight="1" x14ac:dyDescent="0.3">
      <c r="A4770"/>
      <c r="B4770"/>
      <c r="C4770"/>
      <c r="D4770"/>
      <c r="E4770"/>
      <c r="F4770"/>
      <c r="G4770"/>
      <c r="H4770"/>
      <c r="I4770"/>
      <c r="J4770" s="23"/>
      <c r="K4770"/>
    </row>
    <row r="4771" spans="1:11" ht="15" customHeight="1" x14ac:dyDescent="0.3">
      <c r="A4771"/>
      <c r="B4771"/>
      <c r="C4771"/>
      <c r="D4771"/>
      <c r="E4771"/>
      <c r="F4771"/>
      <c r="G4771"/>
      <c r="H4771"/>
      <c r="I4771"/>
      <c r="J4771" s="23"/>
      <c r="K4771"/>
    </row>
    <row r="4772" spans="1:11" ht="15" customHeight="1" x14ac:dyDescent="0.3">
      <c r="A4772"/>
      <c r="B4772"/>
      <c r="C4772"/>
      <c r="D4772"/>
      <c r="E4772"/>
      <c r="F4772"/>
      <c r="G4772"/>
      <c r="H4772"/>
      <c r="I4772"/>
      <c r="J4772" s="23"/>
      <c r="K4772"/>
    </row>
    <row r="4773" spans="1:11" ht="15" customHeight="1" x14ac:dyDescent="0.3">
      <c r="A4773"/>
      <c r="B4773"/>
      <c r="C4773"/>
      <c r="D4773"/>
      <c r="E4773"/>
      <c r="F4773"/>
      <c r="G4773"/>
      <c r="H4773"/>
      <c r="I4773"/>
      <c r="J4773" s="23"/>
      <c r="K4773"/>
    </row>
    <row r="4774" spans="1:11" ht="15" customHeight="1" x14ac:dyDescent="0.3">
      <c r="A4774"/>
      <c r="B4774"/>
      <c r="C4774"/>
      <c r="D4774"/>
      <c r="E4774"/>
      <c r="F4774"/>
      <c r="G4774"/>
      <c r="H4774"/>
      <c r="I4774"/>
      <c r="J4774" s="23"/>
      <c r="K4774"/>
    </row>
    <row r="4775" spans="1:11" ht="15" customHeight="1" x14ac:dyDescent="0.3">
      <c r="A4775"/>
      <c r="B4775"/>
      <c r="C4775"/>
      <c r="D4775"/>
      <c r="E4775"/>
      <c r="F4775"/>
      <c r="G4775"/>
      <c r="H4775"/>
      <c r="I4775"/>
      <c r="J4775" s="23"/>
      <c r="K4775"/>
    </row>
    <row r="4776" spans="1:11" ht="15" customHeight="1" x14ac:dyDescent="0.3">
      <c r="A4776"/>
      <c r="B4776"/>
      <c r="C4776"/>
      <c r="D4776"/>
      <c r="E4776"/>
      <c r="F4776"/>
      <c r="G4776"/>
      <c r="H4776"/>
      <c r="I4776"/>
      <c r="J4776" s="23"/>
      <c r="K4776"/>
    </row>
    <row r="4777" spans="1:11" ht="15" customHeight="1" x14ac:dyDescent="0.3">
      <c r="A4777"/>
      <c r="B4777"/>
      <c r="C4777"/>
      <c r="D4777"/>
      <c r="E4777"/>
      <c r="F4777"/>
      <c r="G4777"/>
      <c r="H4777"/>
      <c r="I4777"/>
      <c r="J4777" s="23"/>
      <c r="K4777"/>
    </row>
    <row r="4778" spans="1:11" ht="15" customHeight="1" x14ac:dyDescent="0.3">
      <c r="J4778" s="33"/>
    </row>
    <row r="4779" spans="1:11" ht="15" customHeight="1" x14ac:dyDescent="0.3">
      <c r="J4779" s="33"/>
    </row>
    <row r="4780" spans="1:11" ht="15" customHeight="1" x14ac:dyDescent="0.3">
      <c r="J4780" s="33"/>
    </row>
    <row r="4781" spans="1:11" ht="15" customHeight="1" x14ac:dyDescent="0.3">
      <c r="J4781" s="33"/>
    </row>
    <row r="4782" spans="1:11" ht="15" customHeight="1" x14ac:dyDescent="0.3">
      <c r="J4782" s="33"/>
    </row>
    <row r="4783" spans="1:11" ht="15" customHeight="1" x14ac:dyDescent="0.3">
      <c r="J4783" s="33"/>
    </row>
    <row r="4784" spans="1:11" ht="15" customHeight="1" x14ac:dyDescent="0.3">
      <c r="J4784" s="33"/>
    </row>
    <row r="4785" spans="10:10" ht="15" customHeight="1" x14ac:dyDescent="0.3">
      <c r="J4785" s="33"/>
    </row>
    <row r="4786" spans="10:10" ht="15" customHeight="1" x14ac:dyDescent="0.3">
      <c r="J4786" s="33"/>
    </row>
    <row r="4787" spans="10:10" ht="15" customHeight="1" x14ac:dyDescent="0.3">
      <c r="J4787" s="33"/>
    </row>
    <row r="4788" spans="10:10" ht="15" customHeight="1" x14ac:dyDescent="0.3">
      <c r="J4788" s="33"/>
    </row>
    <row r="4789" spans="10:10" ht="15" customHeight="1" x14ac:dyDescent="0.3">
      <c r="J4789" s="33"/>
    </row>
    <row r="4790" spans="10:10" ht="15" customHeight="1" x14ac:dyDescent="0.3">
      <c r="J4790" s="33"/>
    </row>
    <row r="4791" spans="10:10" ht="15" customHeight="1" x14ac:dyDescent="0.3">
      <c r="J4791" s="33"/>
    </row>
    <row r="4792" spans="10:10" ht="15" customHeight="1" x14ac:dyDescent="0.3">
      <c r="J4792" s="33"/>
    </row>
    <row r="4793" spans="10:10" ht="15" customHeight="1" x14ac:dyDescent="0.3">
      <c r="J4793" s="33"/>
    </row>
    <row r="4794" spans="10:10" ht="15" customHeight="1" x14ac:dyDescent="0.3">
      <c r="J4794" s="33"/>
    </row>
    <row r="4795" spans="10:10" ht="15" customHeight="1" x14ac:dyDescent="0.3">
      <c r="J4795" s="33"/>
    </row>
    <row r="4796" spans="10:10" ht="15" customHeight="1" x14ac:dyDescent="0.3">
      <c r="J4796" s="33"/>
    </row>
    <row r="4797" spans="10:10" ht="15" customHeight="1" x14ac:dyDescent="0.3">
      <c r="J4797" s="33"/>
    </row>
    <row r="4798" spans="10:10" ht="15" customHeight="1" x14ac:dyDescent="0.3">
      <c r="J4798" s="33"/>
    </row>
    <row r="4799" spans="10:10" ht="15" customHeight="1" x14ac:dyDescent="0.3">
      <c r="J4799" s="33"/>
    </row>
    <row r="4800" spans="10:10" ht="15" customHeight="1" x14ac:dyDescent="0.3">
      <c r="J4800" s="33"/>
    </row>
    <row r="4801" spans="10:10" ht="15" customHeight="1" x14ac:dyDescent="0.3">
      <c r="J4801" s="33"/>
    </row>
    <row r="4802" spans="10:10" ht="15" customHeight="1" x14ac:dyDescent="0.3">
      <c r="J4802" s="33"/>
    </row>
    <row r="4803" spans="10:10" ht="15" customHeight="1" x14ac:dyDescent="0.3">
      <c r="J4803" s="33"/>
    </row>
    <row r="4804" spans="10:10" ht="15" customHeight="1" x14ac:dyDescent="0.3">
      <c r="J4804" s="33"/>
    </row>
    <row r="4805" spans="10:10" ht="15" customHeight="1" x14ac:dyDescent="0.3">
      <c r="J4805" s="33"/>
    </row>
    <row r="4806" spans="10:10" ht="15" customHeight="1" x14ac:dyDescent="0.3">
      <c r="J4806" s="33"/>
    </row>
    <row r="4807" spans="10:10" ht="15" customHeight="1" x14ac:dyDescent="0.3">
      <c r="J4807" s="33"/>
    </row>
    <row r="4808" spans="10:10" ht="15" customHeight="1" x14ac:dyDescent="0.3">
      <c r="J4808" s="33"/>
    </row>
    <row r="4809" spans="10:10" ht="15" customHeight="1" x14ac:dyDescent="0.3">
      <c r="J4809" s="33"/>
    </row>
    <row r="4810" spans="10:10" ht="15" customHeight="1" x14ac:dyDescent="0.3">
      <c r="J4810" s="33"/>
    </row>
    <row r="4811" spans="10:10" ht="15" customHeight="1" x14ac:dyDescent="0.3">
      <c r="J4811" s="33"/>
    </row>
    <row r="4812" spans="10:10" ht="15" customHeight="1" x14ac:dyDescent="0.3">
      <c r="J4812" s="33"/>
    </row>
    <row r="4813" spans="10:10" ht="15" customHeight="1" x14ac:dyDescent="0.3">
      <c r="J4813" s="33"/>
    </row>
    <row r="4814" spans="10:10" ht="15" customHeight="1" x14ac:dyDescent="0.3">
      <c r="J4814" s="33"/>
    </row>
    <row r="4815" spans="10:10" ht="15" customHeight="1" x14ac:dyDescent="0.3">
      <c r="J4815" s="33"/>
    </row>
    <row r="4816" spans="10:10" ht="15" customHeight="1" x14ac:dyDescent="0.3">
      <c r="J4816" s="33"/>
    </row>
    <row r="4817" spans="10:10" ht="15" customHeight="1" x14ac:dyDescent="0.3">
      <c r="J4817" s="33"/>
    </row>
    <row r="4818" spans="10:10" ht="15" customHeight="1" x14ac:dyDescent="0.3">
      <c r="J4818" s="33"/>
    </row>
    <row r="4819" spans="10:10" ht="15" customHeight="1" x14ac:dyDescent="0.3">
      <c r="J4819" s="33"/>
    </row>
    <row r="4820" spans="10:10" ht="15" customHeight="1" x14ac:dyDescent="0.3">
      <c r="J4820" s="33"/>
    </row>
    <row r="4821" spans="10:10" ht="15" customHeight="1" x14ac:dyDescent="0.3">
      <c r="J4821" s="33"/>
    </row>
    <row r="4822" spans="10:10" ht="15" customHeight="1" x14ac:dyDescent="0.3">
      <c r="J4822" s="33"/>
    </row>
    <row r="4823" spans="10:10" ht="15" customHeight="1" x14ac:dyDescent="0.3">
      <c r="J4823" s="33"/>
    </row>
    <row r="4824" spans="10:10" ht="15" customHeight="1" x14ac:dyDescent="0.3">
      <c r="J4824" s="33"/>
    </row>
    <row r="4825" spans="10:10" ht="15" customHeight="1" x14ac:dyDescent="0.3">
      <c r="J4825" s="33"/>
    </row>
    <row r="4826" spans="10:10" ht="15" customHeight="1" x14ac:dyDescent="0.3">
      <c r="J4826" s="33"/>
    </row>
    <row r="4827" spans="10:10" ht="15" customHeight="1" x14ac:dyDescent="0.3">
      <c r="J4827" s="33"/>
    </row>
    <row r="4828" spans="10:10" ht="15" customHeight="1" x14ac:dyDescent="0.3">
      <c r="J4828" s="33"/>
    </row>
    <row r="4829" spans="10:10" ht="15" customHeight="1" x14ac:dyDescent="0.3">
      <c r="J4829" s="33"/>
    </row>
    <row r="4830" spans="10:10" ht="15" customHeight="1" x14ac:dyDescent="0.3">
      <c r="J4830" s="33"/>
    </row>
    <row r="4831" spans="10:10" ht="15" customHeight="1" x14ac:dyDescent="0.3">
      <c r="J4831" s="33"/>
    </row>
    <row r="4832" spans="10:10" ht="15" customHeight="1" x14ac:dyDescent="0.3">
      <c r="J4832" s="33"/>
    </row>
    <row r="4833" spans="10:10" ht="15" customHeight="1" x14ac:dyDescent="0.3">
      <c r="J4833" s="33"/>
    </row>
    <row r="4834" spans="10:10" ht="15" customHeight="1" x14ac:dyDescent="0.3">
      <c r="J4834" s="33"/>
    </row>
    <row r="4835" spans="10:10" ht="15" customHeight="1" x14ac:dyDescent="0.3">
      <c r="J4835" s="33"/>
    </row>
    <row r="4836" spans="10:10" ht="15" customHeight="1" x14ac:dyDescent="0.3">
      <c r="J4836" s="33"/>
    </row>
    <row r="4837" spans="10:10" ht="15" customHeight="1" x14ac:dyDescent="0.3">
      <c r="J4837" s="33"/>
    </row>
    <row r="4838" spans="10:10" ht="15" customHeight="1" x14ac:dyDescent="0.3">
      <c r="J4838" s="33"/>
    </row>
    <row r="4839" spans="10:10" ht="15" customHeight="1" x14ac:dyDescent="0.3">
      <c r="J4839" s="33"/>
    </row>
    <row r="4840" spans="10:10" ht="15" customHeight="1" x14ac:dyDescent="0.3">
      <c r="J4840" s="33"/>
    </row>
    <row r="4841" spans="10:10" ht="15" customHeight="1" x14ac:dyDescent="0.3">
      <c r="J4841" s="33"/>
    </row>
    <row r="4842" spans="10:10" ht="15" customHeight="1" x14ac:dyDescent="0.3">
      <c r="J4842" s="33"/>
    </row>
    <row r="4843" spans="10:10" ht="15" customHeight="1" x14ac:dyDescent="0.3">
      <c r="J4843" s="33"/>
    </row>
    <row r="4844" spans="10:10" ht="15" customHeight="1" x14ac:dyDescent="0.3">
      <c r="J4844" s="33"/>
    </row>
    <row r="4845" spans="10:10" ht="15" customHeight="1" x14ac:dyDescent="0.3">
      <c r="J4845" s="33"/>
    </row>
    <row r="4846" spans="10:10" ht="15" customHeight="1" x14ac:dyDescent="0.3">
      <c r="J4846" s="33"/>
    </row>
    <row r="4847" spans="10:10" ht="15" customHeight="1" x14ac:dyDescent="0.3">
      <c r="J4847" s="33"/>
    </row>
    <row r="4848" spans="10:10" ht="15" customHeight="1" x14ac:dyDescent="0.3">
      <c r="J4848" s="33"/>
    </row>
    <row r="4849" spans="10:10" ht="15" customHeight="1" x14ac:dyDescent="0.3">
      <c r="J4849" s="33"/>
    </row>
    <row r="4850" spans="10:10" ht="15" customHeight="1" x14ac:dyDescent="0.3">
      <c r="J4850" s="33"/>
    </row>
    <row r="4851" spans="10:10" ht="15" customHeight="1" x14ac:dyDescent="0.3">
      <c r="J4851" s="33"/>
    </row>
    <row r="4852" spans="10:10" ht="15" customHeight="1" x14ac:dyDescent="0.3">
      <c r="J4852" s="33"/>
    </row>
    <row r="4853" spans="10:10" ht="15" customHeight="1" x14ac:dyDescent="0.3">
      <c r="J4853" s="33"/>
    </row>
    <row r="4854" spans="10:10" ht="15" customHeight="1" x14ac:dyDescent="0.3">
      <c r="J4854" s="33"/>
    </row>
    <row r="4855" spans="10:10" ht="15" customHeight="1" x14ac:dyDescent="0.3">
      <c r="J4855" s="33"/>
    </row>
    <row r="4856" spans="10:10" ht="15" customHeight="1" x14ac:dyDescent="0.3">
      <c r="J4856" s="33"/>
    </row>
    <row r="4857" spans="10:10" ht="15" customHeight="1" x14ac:dyDescent="0.3">
      <c r="J4857" s="33"/>
    </row>
    <row r="4858" spans="10:10" ht="15" customHeight="1" x14ac:dyDescent="0.3">
      <c r="J4858" s="33"/>
    </row>
    <row r="4859" spans="10:10" ht="15" customHeight="1" x14ac:dyDescent="0.3">
      <c r="J4859" s="33"/>
    </row>
    <row r="4860" spans="10:10" ht="15" customHeight="1" x14ac:dyDescent="0.3">
      <c r="J4860" s="33"/>
    </row>
    <row r="4861" spans="10:10" ht="15" customHeight="1" x14ac:dyDescent="0.3">
      <c r="J4861" s="33"/>
    </row>
    <row r="4862" spans="10:10" ht="15" customHeight="1" x14ac:dyDescent="0.3">
      <c r="J4862" s="33"/>
    </row>
    <row r="4863" spans="10:10" ht="15" customHeight="1" x14ac:dyDescent="0.3">
      <c r="J4863" s="33"/>
    </row>
    <row r="4864" spans="10:10" ht="15" customHeight="1" x14ac:dyDescent="0.3">
      <c r="J4864" s="33"/>
    </row>
    <row r="4865" spans="10:10" ht="15" customHeight="1" x14ac:dyDescent="0.3">
      <c r="J4865" s="33"/>
    </row>
    <row r="4866" spans="10:10" ht="15" customHeight="1" x14ac:dyDescent="0.3">
      <c r="J4866" s="33"/>
    </row>
    <row r="4867" spans="10:10" ht="15" customHeight="1" x14ac:dyDescent="0.3">
      <c r="J4867" s="33"/>
    </row>
    <row r="4868" spans="10:10" ht="15" customHeight="1" x14ac:dyDescent="0.3">
      <c r="J4868" s="33"/>
    </row>
    <row r="4869" spans="10:10" ht="15" customHeight="1" x14ac:dyDescent="0.3">
      <c r="J4869" s="33"/>
    </row>
    <row r="4870" spans="10:10" ht="15" customHeight="1" x14ac:dyDescent="0.3">
      <c r="J4870" s="33"/>
    </row>
    <row r="4871" spans="10:10" ht="15" customHeight="1" x14ac:dyDescent="0.3">
      <c r="J4871" s="33"/>
    </row>
    <row r="4872" spans="10:10" ht="15" customHeight="1" x14ac:dyDescent="0.3">
      <c r="J4872" s="33"/>
    </row>
    <row r="4873" spans="10:10" ht="15" customHeight="1" x14ac:dyDescent="0.3">
      <c r="J4873" s="33"/>
    </row>
    <row r="4874" spans="10:10" ht="15" customHeight="1" x14ac:dyDescent="0.3">
      <c r="J4874" s="33"/>
    </row>
    <row r="4875" spans="10:10" ht="15" customHeight="1" x14ac:dyDescent="0.3">
      <c r="J4875" s="33"/>
    </row>
    <row r="4876" spans="10:10" ht="15" customHeight="1" x14ac:dyDescent="0.3">
      <c r="J4876" s="33"/>
    </row>
    <row r="4877" spans="10:10" ht="15" customHeight="1" x14ac:dyDescent="0.3">
      <c r="J4877" s="33"/>
    </row>
    <row r="4878" spans="10:10" ht="15" customHeight="1" x14ac:dyDescent="0.3">
      <c r="J4878" s="33"/>
    </row>
    <row r="4879" spans="10:10" ht="15" customHeight="1" x14ac:dyDescent="0.3">
      <c r="J4879" s="33"/>
    </row>
    <row r="4880" spans="10:10" ht="15" customHeight="1" x14ac:dyDescent="0.3">
      <c r="J4880" s="33"/>
    </row>
    <row r="4881" spans="10:10" ht="15" customHeight="1" x14ac:dyDescent="0.3">
      <c r="J4881" s="33"/>
    </row>
    <row r="4882" spans="10:10" ht="15" customHeight="1" x14ac:dyDescent="0.3">
      <c r="J4882" s="33"/>
    </row>
    <row r="4883" spans="10:10" ht="15" customHeight="1" x14ac:dyDescent="0.3">
      <c r="J4883" s="33"/>
    </row>
    <row r="4884" spans="10:10" ht="15" customHeight="1" x14ac:dyDescent="0.3">
      <c r="J4884" s="33"/>
    </row>
    <row r="4885" spans="10:10" ht="15" customHeight="1" x14ac:dyDescent="0.3">
      <c r="J4885" s="33"/>
    </row>
    <row r="4886" spans="10:10" ht="15" customHeight="1" x14ac:dyDescent="0.3">
      <c r="J4886" s="33"/>
    </row>
    <row r="4887" spans="10:10" ht="15" customHeight="1" x14ac:dyDescent="0.3">
      <c r="J4887" s="33"/>
    </row>
    <row r="4888" spans="10:10" ht="15" customHeight="1" x14ac:dyDescent="0.3">
      <c r="J4888" s="33"/>
    </row>
    <row r="4889" spans="10:10" ht="15" customHeight="1" x14ac:dyDescent="0.3">
      <c r="J4889" s="33"/>
    </row>
    <row r="4890" spans="10:10" ht="15" customHeight="1" x14ac:dyDescent="0.3">
      <c r="J4890" s="33"/>
    </row>
    <row r="4891" spans="10:10" ht="15" customHeight="1" x14ac:dyDescent="0.3">
      <c r="J4891" s="33"/>
    </row>
    <row r="4892" spans="10:10" ht="15" customHeight="1" x14ac:dyDescent="0.3">
      <c r="J4892" s="33"/>
    </row>
    <row r="4893" spans="10:10" ht="15" customHeight="1" x14ac:dyDescent="0.3">
      <c r="J4893" s="33"/>
    </row>
    <row r="4894" spans="10:10" ht="15" customHeight="1" x14ac:dyDescent="0.3">
      <c r="J4894" s="33"/>
    </row>
    <row r="4895" spans="10:10" ht="15" customHeight="1" x14ac:dyDescent="0.3">
      <c r="J4895" s="33"/>
    </row>
    <row r="4896" spans="10:10" ht="15" customHeight="1" x14ac:dyDescent="0.3">
      <c r="J4896" s="33"/>
    </row>
    <row r="4897" spans="10:10" ht="15" customHeight="1" x14ac:dyDescent="0.3">
      <c r="J4897" s="33"/>
    </row>
    <row r="4898" spans="10:10" ht="15" customHeight="1" x14ac:dyDescent="0.3">
      <c r="J4898" s="33"/>
    </row>
    <row r="4899" spans="10:10" ht="15" customHeight="1" x14ac:dyDescent="0.3">
      <c r="J4899" s="33"/>
    </row>
    <row r="4900" spans="10:10" ht="15" customHeight="1" x14ac:dyDescent="0.3">
      <c r="J4900" s="33"/>
    </row>
    <row r="4901" spans="10:10" ht="15" customHeight="1" x14ac:dyDescent="0.3">
      <c r="J4901" s="33"/>
    </row>
    <row r="4902" spans="10:10" ht="15" customHeight="1" x14ac:dyDescent="0.3">
      <c r="J4902" s="33"/>
    </row>
    <row r="4903" spans="10:10" ht="15" customHeight="1" x14ac:dyDescent="0.3">
      <c r="J4903" s="33"/>
    </row>
    <row r="4904" spans="10:10" ht="15" customHeight="1" x14ac:dyDescent="0.3">
      <c r="J4904" s="33"/>
    </row>
    <row r="4905" spans="10:10" ht="15" customHeight="1" x14ac:dyDescent="0.3">
      <c r="J4905" s="33"/>
    </row>
    <row r="4906" spans="10:10" ht="15" customHeight="1" x14ac:dyDescent="0.3">
      <c r="J4906" s="33"/>
    </row>
    <row r="4907" spans="10:10" ht="15" customHeight="1" x14ac:dyDescent="0.3">
      <c r="J4907" s="33"/>
    </row>
    <row r="4908" spans="10:10" ht="15" customHeight="1" x14ac:dyDescent="0.3">
      <c r="J4908" s="33"/>
    </row>
    <row r="4909" spans="10:10" ht="15" customHeight="1" x14ac:dyDescent="0.3">
      <c r="J4909" s="33"/>
    </row>
    <row r="4910" spans="10:10" ht="15" customHeight="1" x14ac:dyDescent="0.3">
      <c r="J4910" s="33"/>
    </row>
    <row r="4911" spans="10:10" ht="15" customHeight="1" x14ac:dyDescent="0.3">
      <c r="J4911" s="33"/>
    </row>
    <row r="4912" spans="10:10" ht="15" customHeight="1" x14ac:dyDescent="0.3">
      <c r="J4912" s="33"/>
    </row>
    <row r="4913" spans="10:10" ht="15" customHeight="1" x14ac:dyDescent="0.3">
      <c r="J4913" s="33"/>
    </row>
    <row r="4914" spans="10:10" ht="15" customHeight="1" x14ac:dyDescent="0.3">
      <c r="J4914" s="33"/>
    </row>
    <row r="4915" spans="10:10" ht="15" customHeight="1" x14ac:dyDescent="0.3">
      <c r="J4915" s="33"/>
    </row>
    <row r="4916" spans="10:10" ht="15" customHeight="1" x14ac:dyDescent="0.3">
      <c r="J4916" s="33"/>
    </row>
    <row r="4917" spans="10:10" ht="15" customHeight="1" x14ac:dyDescent="0.3">
      <c r="J4917" s="33"/>
    </row>
    <row r="4918" spans="10:10" ht="15" customHeight="1" x14ac:dyDescent="0.3">
      <c r="J4918" s="33"/>
    </row>
    <row r="4919" spans="10:10" ht="15" customHeight="1" x14ac:dyDescent="0.3">
      <c r="J4919" s="33"/>
    </row>
    <row r="4920" spans="10:10" ht="15" customHeight="1" x14ac:dyDescent="0.3">
      <c r="J4920" s="33"/>
    </row>
    <row r="4921" spans="10:10" ht="15" customHeight="1" x14ac:dyDescent="0.3">
      <c r="J4921" s="33"/>
    </row>
    <row r="4922" spans="10:10" ht="15" customHeight="1" x14ac:dyDescent="0.3">
      <c r="J4922" s="33"/>
    </row>
    <row r="4923" spans="10:10" ht="15" customHeight="1" x14ac:dyDescent="0.3">
      <c r="J4923" s="33"/>
    </row>
    <row r="4924" spans="10:10" ht="15" customHeight="1" x14ac:dyDescent="0.3">
      <c r="J4924" s="33"/>
    </row>
    <row r="4925" spans="10:10" ht="15" customHeight="1" x14ac:dyDescent="0.3">
      <c r="J4925" s="33"/>
    </row>
    <row r="4926" spans="10:10" ht="15" customHeight="1" x14ac:dyDescent="0.3">
      <c r="J4926" s="33"/>
    </row>
    <row r="4927" spans="10:10" ht="15" customHeight="1" x14ac:dyDescent="0.3">
      <c r="J4927" s="33"/>
    </row>
    <row r="4928" spans="10:10" ht="15" customHeight="1" x14ac:dyDescent="0.3">
      <c r="J4928" s="33"/>
    </row>
    <row r="4929" spans="10:10" ht="15" customHeight="1" x14ac:dyDescent="0.3">
      <c r="J4929" s="33"/>
    </row>
    <row r="4930" spans="10:10" ht="15" customHeight="1" x14ac:dyDescent="0.3">
      <c r="J4930" s="33"/>
    </row>
    <row r="4931" spans="10:10" ht="15" customHeight="1" x14ac:dyDescent="0.3">
      <c r="J4931" s="33"/>
    </row>
    <row r="4932" spans="10:10" ht="15" customHeight="1" x14ac:dyDescent="0.3">
      <c r="J4932" s="33"/>
    </row>
    <row r="4933" spans="10:10" ht="15" customHeight="1" x14ac:dyDescent="0.3">
      <c r="J4933" s="33"/>
    </row>
    <row r="4934" spans="10:10" ht="15" customHeight="1" x14ac:dyDescent="0.3">
      <c r="J4934" s="33"/>
    </row>
    <row r="4935" spans="10:10" ht="15" customHeight="1" x14ac:dyDescent="0.3">
      <c r="J4935" s="33"/>
    </row>
    <row r="4936" spans="10:10" ht="15" customHeight="1" x14ac:dyDescent="0.3">
      <c r="J4936" s="33"/>
    </row>
    <row r="4937" spans="10:10" ht="15" customHeight="1" x14ac:dyDescent="0.3">
      <c r="J4937" s="33"/>
    </row>
    <row r="4938" spans="10:10" ht="15" customHeight="1" x14ac:dyDescent="0.3">
      <c r="J4938" s="33"/>
    </row>
    <row r="4939" spans="10:10" ht="15" customHeight="1" x14ac:dyDescent="0.3">
      <c r="J4939" s="33"/>
    </row>
    <row r="4940" spans="10:10" ht="15" customHeight="1" x14ac:dyDescent="0.3">
      <c r="J4940" s="33"/>
    </row>
    <row r="4941" spans="10:10" ht="15" customHeight="1" x14ac:dyDescent="0.3">
      <c r="J4941" s="33"/>
    </row>
    <row r="4942" spans="10:10" ht="15" customHeight="1" x14ac:dyDescent="0.3">
      <c r="J4942" s="33"/>
    </row>
    <row r="4943" spans="10:10" ht="15" customHeight="1" x14ac:dyDescent="0.3">
      <c r="J4943" s="33"/>
    </row>
    <row r="4944" spans="10:10" ht="15" customHeight="1" x14ac:dyDescent="0.3">
      <c r="J4944" s="33"/>
    </row>
    <row r="4945" spans="10:10" ht="15" customHeight="1" x14ac:dyDescent="0.3">
      <c r="J4945" s="33"/>
    </row>
    <row r="4946" spans="10:10" ht="15" customHeight="1" x14ac:dyDescent="0.3">
      <c r="J4946" s="33"/>
    </row>
    <row r="4947" spans="10:10" ht="15" customHeight="1" x14ac:dyDescent="0.3">
      <c r="J4947" s="33"/>
    </row>
    <row r="4948" spans="10:10" ht="15" customHeight="1" x14ac:dyDescent="0.3">
      <c r="J4948" s="33"/>
    </row>
    <row r="4949" spans="10:10" ht="15" customHeight="1" x14ac:dyDescent="0.3">
      <c r="J4949" s="33"/>
    </row>
    <row r="4950" spans="10:10" ht="15" customHeight="1" x14ac:dyDescent="0.3">
      <c r="J4950" s="33"/>
    </row>
    <row r="4951" spans="10:10" ht="15" customHeight="1" x14ac:dyDescent="0.3">
      <c r="J4951" s="33"/>
    </row>
    <row r="4952" spans="10:10" ht="15" customHeight="1" x14ac:dyDescent="0.3">
      <c r="J4952" s="33"/>
    </row>
    <row r="4953" spans="10:10" ht="15" customHeight="1" x14ac:dyDescent="0.3">
      <c r="J4953" s="33"/>
    </row>
    <row r="4954" spans="10:10" ht="15" customHeight="1" x14ac:dyDescent="0.3">
      <c r="J4954" s="33"/>
    </row>
    <row r="4955" spans="10:10" ht="15" customHeight="1" x14ac:dyDescent="0.3">
      <c r="J4955" s="33"/>
    </row>
    <row r="4956" spans="10:10" ht="15" customHeight="1" x14ac:dyDescent="0.3">
      <c r="J4956" s="33"/>
    </row>
    <row r="4957" spans="10:10" ht="15" customHeight="1" x14ac:dyDescent="0.3">
      <c r="J4957" s="33"/>
    </row>
    <row r="4958" spans="10:10" ht="15" customHeight="1" x14ac:dyDescent="0.3">
      <c r="J4958" s="33"/>
    </row>
    <row r="4959" spans="10:10" ht="15" customHeight="1" x14ac:dyDescent="0.3">
      <c r="J4959" s="33"/>
    </row>
    <row r="4960" spans="10:10" ht="15" customHeight="1" x14ac:dyDescent="0.3">
      <c r="J4960" s="33"/>
    </row>
    <row r="4961" spans="10:10" ht="15" customHeight="1" x14ac:dyDescent="0.3">
      <c r="J4961" s="33"/>
    </row>
    <row r="4962" spans="10:10" ht="15" customHeight="1" x14ac:dyDescent="0.3">
      <c r="J4962" s="33"/>
    </row>
    <row r="4963" spans="10:10" ht="15" customHeight="1" x14ac:dyDescent="0.3">
      <c r="J4963" s="33"/>
    </row>
    <row r="4964" spans="10:10" ht="15" customHeight="1" x14ac:dyDescent="0.3">
      <c r="J4964" s="33"/>
    </row>
    <row r="4965" spans="10:10" ht="15" customHeight="1" x14ac:dyDescent="0.3">
      <c r="J4965" s="33"/>
    </row>
    <row r="4966" spans="10:10" ht="15" customHeight="1" x14ac:dyDescent="0.3">
      <c r="J4966" s="33"/>
    </row>
    <row r="4967" spans="10:10" ht="15" customHeight="1" x14ac:dyDescent="0.3">
      <c r="J4967" s="33"/>
    </row>
    <row r="4968" spans="10:10" ht="15" customHeight="1" x14ac:dyDescent="0.3">
      <c r="J4968" s="33"/>
    </row>
    <row r="4969" spans="10:10" ht="15" customHeight="1" x14ac:dyDescent="0.3">
      <c r="J4969" s="33"/>
    </row>
    <row r="4970" spans="10:10" ht="15" customHeight="1" x14ac:dyDescent="0.3">
      <c r="J4970" s="33"/>
    </row>
    <row r="4971" spans="10:10" ht="15" customHeight="1" x14ac:dyDescent="0.3">
      <c r="J4971" s="33"/>
    </row>
    <row r="4972" spans="10:10" ht="15" customHeight="1" x14ac:dyDescent="0.3">
      <c r="J4972" s="33"/>
    </row>
    <row r="4973" spans="10:10" ht="15" customHeight="1" x14ac:dyDescent="0.3">
      <c r="J4973" s="33"/>
    </row>
    <row r="4974" spans="10:10" ht="15" customHeight="1" x14ac:dyDescent="0.3">
      <c r="J4974" s="33"/>
    </row>
    <row r="4975" spans="10:10" ht="15" customHeight="1" x14ac:dyDescent="0.3">
      <c r="J4975" s="33"/>
    </row>
    <row r="4976" spans="10:10" ht="15" customHeight="1" x14ac:dyDescent="0.3">
      <c r="J4976" s="33"/>
    </row>
    <row r="4977" spans="10:10" ht="15" customHeight="1" x14ac:dyDescent="0.3">
      <c r="J4977" s="33"/>
    </row>
    <row r="4978" spans="10:10" ht="15" customHeight="1" x14ac:dyDescent="0.3">
      <c r="J4978" s="33"/>
    </row>
    <row r="4979" spans="10:10" ht="15" customHeight="1" x14ac:dyDescent="0.3">
      <c r="J4979" s="33"/>
    </row>
    <row r="4980" spans="10:10" ht="15" customHeight="1" x14ac:dyDescent="0.3">
      <c r="J4980" s="33"/>
    </row>
    <row r="4981" spans="10:10" ht="15" customHeight="1" x14ac:dyDescent="0.3">
      <c r="J4981" s="33"/>
    </row>
    <row r="4982" spans="10:10" ht="15" customHeight="1" x14ac:dyDescent="0.3">
      <c r="J4982" s="33"/>
    </row>
    <row r="4983" spans="10:10" ht="15" customHeight="1" x14ac:dyDescent="0.3">
      <c r="J4983" s="33"/>
    </row>
    <row r="4984" spans="10:10" ht="15" customHeight="1" x14ac:dyDescent="0.3">
      <c r="J4984" s="33"/>
    </row>
    <row r="4985" spans="10:10" ht="15" customHeight="1" x14ac:dyDescent="0.3">
      <c r="J4985" s="33"/>
    </row>
    <row r="4986" spans="10:10" ht="15" customHeight="1" x14ac:dyDescent="0.3">
      <c r="J4986" s="33"/>
    </row>
    <row r="4987" spans="10:10" ht="15" customHeight="1" x14ac:dyDescent="0.3">
      <c r="J4987" s="33"/>
    </row>
    <row r="4988" spans="10:10" ht="15" customHeight="1" x14ac:dyDescent="0.3">
      <c r="J4988" s="33"/>
    </row>
    <row r="4989" spans="10:10" ht="15" customHeight="1" x14ac:dyDescent="0.3">
      <c r="J4989" s="33"/>
    </row>
    <row r="4990" spans="10:10" ht="15" customHeight="1" x14ac:dyDescent="0.3">
      <c r="J4990" s="33"/>
    </row>
    <row r="4991" spans="10:10" ht="15" customHeight="1" x14ac:dyDescent="0.3">
      <c r="J4991" s="33"/>
    </row>
    <row r="4992" spans="10:10" ht="15" customHeight="1" x14ac:dyDescent="0.3">
      <c r="J4992" s="33"/>
    </row>
    <row r="4993" spans="10:10" ht="15" customHeight="1" x14ac:dyDescent="0.3">
      <c r="J4993" s="33"/>
    </row>
    <row r="4994" spans="10:10" ht="15" customHeight="1" x14ac:dyDescent="0.3">
      <c r="J4994" s="33"/>
    </row>
    <row r="4995" spans="10:10" ht="15" customHeight="1" x14ac:dyDescent="0.3">
      <c r="J4995" s="33"/>
    </row>
    <row r="4996" spans="10:10" ht="15" customHeight="1" x14ac:dyDescent="0.3">
      <c r="J4996" s="33"/>
    </row>
    <row r="4997" spans="10:10" ht="15" customHeight="1" x14ac:dyDescent="0.3">
      <c r="J4997" s="33"/>
    </row>
    <row r="4998" spans="10:10" ht="15" customHeight="1" x14ac:dyDescent="0.3">
      <c r="J4998" s="33"/>
    </row>
    <row r="4999" spans="10:10" ht="15" customHeight="1" x14ac:dyDescent="0.3">
      <c r="J4999" s="33"/>
    </row>
    <row r="5000" spans="10:10" ht="15" customHeight="1" x14ac:dyDescent="0.3">
      <c r="J5000" s="33"/>
    </row>
    <row r="5001" spans="10:10" ht="15" customHeight="1" x14ac:dyDescent="0.3">
      <c r="J5001" s="33"/>
    </row>
    <row r="5002" spans="10:10" ht="15" customHeight="1" x14ac:dyDescent="0.3">
      <c r="J5002" s="33"/>
    </row>
    <row r="5003" spans="10:10" ht="15" customHeight="1" x14ac:dyDescent="0.3">
      <c r="J5003" s="33"/>
    </row>
    <row r="5004" spans="10:10" ht="15" customHeight="1" x14ac:dyDescent="0.3">
      <c r="J5004" s="33"/>
    </row>
    <row r="5005" spans="10:10" ht="15" customHeight="1" x14ac:dyDescent="0.3">
      <c r="J5005" s="33"/>
    </row>
    <row r="5006" spans="10:10" ht="15" customHeight="1" x14ac:dyDescent="0.3">
      <c r="J5006" s="33"/>
    </row>
    <row r="5007" spans="10:10" ht="15" customHeight="1" x14ac:dyDescent="0.3">
      <c r="J5007" s="33"/>
    </row>
    <row r="5008" spans="10:10" ht="15" customHeight="1" x14ac:dyDescent="0.3">
      <c r="J5008" s="33"/>
    </row>
    <row r="5009" spans="10:10" ht="15" customHeight="1" x14ac:dyDescent="0.3">
      <c r="J5009" s="33"/>
    </row>
    <row r="5010" spans="10:10" ht="15" customHeight="1" x14ac:dyDescent="0.3">
      <c r="J5010" s="33"/>
    </row>
    <row r="5011" spans="10:10" ht="15" customHeight="1" x14ac:dyDescent="0.3">
      <c r="J5011" s="33"/>
    </row>
    <row r="5012" spans="10:10" ht="15" customHeight="1" x14ac:dyDescent="0.3">
      <c r="J5012" s="33"/>
    </row>
    <row r="5013" spans="10:10" ht="15" customHeight="1" x14ac:dyDescent="0.3">
      <c r="J5013" s="33"/>
    </row>
    <row r="5014" spans="10:10" ht="15" customHeight="1" x14ac:dyDescent="0.3">
      <c r="J5014" s="33"/>
    </row>
    <row r="5015" spans="10:10" ht="15" customHeight="1" x14ac:dyDescent="0.3">
      <c r="J5015" s="33"/>
    </row>
    <row r="5016" spans="10:10" ht="15" customHeight="1" x14ac:dyDescent="0.3">
      <c r="J5016" s="33"/>
    </row>
    <row r="5017" spans="10:10" ht="15" customHeight="1" x14ac:dyDescent="0.3">
      <c r="J5017" s="33"/>
    </row>
    <row r="5018" spans="10:10" ht="15" customHeight="1" x14ac:dyDescent="0.3">
      <c r="J5018" s="33"/>
    </row>
    <row r="5019" spans="10:10" ht="15" customHeight="1" x14ac:dyDescent="0.3">
      <c r="J5019" s="33"/>
    </row>
    <row r="5020" spans="10:10" ht="15" customHeight="1" x14ac:dyDescent="0.3">
      <c r="J5020" s="33"/>
    </row>
    <row r="5021" spans="10:10" ht="15" customHeight="1" x14ac:dyDescent="0.3">
      <c r="J5021" s="33"/>
    </row>
    <row r="5022" spans="10:10" ht="15" customHeight="1" x14ac:dyDescent="0.3">
      <c r="J5022" s="33"/>
    </row>
    <row r="5023" spans="10:10" ht="15" customHeight="1" x14ac:dyDescent="0.3">
      <c r="J5023" s="33"/>
    </row>
    <row r="5024" spans="10:10" ht="15" customHeight="1" x14ac:dyDescent="0.3">
      <c r="J5024" s="33"/>
    </row>
    <row r="5025" spans="10:10" ht="15" customHeight="1" x14ac:dyDescent="0.3">
      <c r="J5025" s="33"/>
    </row>
    <row r="5026" spans="10:10" ht="15" customHeight="1" x14ac:dyDescent="0.3">
      <c r="J5026" s="33"/>
    </row>
    <row r="5027" spans="10:10" ht="15" customHeight="1" x14ac:dyDescent="0.3">
      <c r="J5027" s="33"/>
    </row>
    <row r="5028" spans="10:10" ht="15" customHeight="1" x14ac:dyDescent="0.3">
      <c r="J5028" s="33"/>
    </row>
    <row r="5029" spans="10:10" ht="15" customHeight="1" x14ac:dyDescent="0.3">
      <c r="J5029" s="33"/>
    </row>
    <row r="5030" spans="10:10" ht="15" customHeight="1" x14ac:dyDescent="0.3">
      <c r="J5030" s="33"/>
    </row>
    <row r="5031" spans="10:10" ht="15" customHeight="1" x14ac:dyDescent="0.3">
      <c r="J5031" s="33"/>
    </row>
    <row r="5032" spans="10:10" ht="15" customHeight="1" x14ac:dyDescent="0.3">
      <c r="J5032" s="33"/>
    </row>
    <row r="5033" spans="10:10" ht="15" customHeight="1" x14ac:dyDescent="0.3">
      <c r="J5033" s="33"/>
    </row>
    <row r="5034" spans="10:10" ht="15" customHeight="1" x14ac:dyDescent="0.3">
      <c r="J5034" s="33"/>
    </row>
    <row r="5035" spans="10:10" ht="15" customHeight="1" x14ac:dyDescent="0.3">
      <c r="J5035" s="33"/>
    </row>
    <row r="5036" spans="10:10" ht="15" customHeight="1" x14ac:dyDescent="0.3">
      <c r="J5036" s="33"/>
    </row>
    <row r="5037" spans="10:10" ht="15" customHeight="1" x14ac:dyDescent="0.3">
      <c r="J5037" s="33"/>
    </row>
    <row r="5038" spans="10:10" ht="15" customHeight="1" x14ac:dyDescent="0.3">
      <c r="J5038" s="33"/>
    </row>
    <row r="5039" spans="10:10" ht="15" customHeight="1" x14ac:dyDescent="0.3">
      <c r="J5039" s="33"/>
    </row>
    <row r="5040" spans="10:10" ht="15" customHeight="1" x14ac:dyDescent="0.3">
      <c r="J5040" s="33"/>
    </row>
    <row r="5041" spans="10:10" ht="15" customHeight="1" x14ac:dyDescent="0.3">
      <c r="J5041" s="33"/>
    </row>
    <row r="5042" spans="10:10" ht="15" customHeight="1" x14ac:dyDescent="0.3">
      <c r="J5042" s="33"/>
    </row>
    <row r="5043" spans="10:10" ht="15" customHeight="1" x14ac:dyDescent="0.3">
      <c r="J5043" s="33"/>
    </row>
    <row r="5044" spans="10:10" ht="15" customHeight="1" x14ac:dyDescent="0.3">
      <c r="J5044" s="33"/>
    </row>
    <row r="5045" spans="10:10" ht="15" customHeight="1" x14ac:dyDescent="0.3">
      <c r="J5045" s="33"/>
    </row>
    <row r="5046" spans="10:10" ht="15" customHeight="1" x14ac:dyDescent="0.3">
      <c r="J5046" s="33"/>
    </row>
    <row r="5047" spans="10:10" ht="15" customHeight="1" x14ac:dyDescent="0.3">
      <c r="J5047" s="33"/>
    </row>
    <row r="5048" spans="10:10" ht="15" customHeight="1" x14ac:dyDescent="0.3">
      <c r="J5048" s="33"/>
    </row>
    <row r="5049" spans="10:10" ht="15" customHeight="1" x14ac:dyDescent="0.3">
      <c r="J5049" s="33"/>
    </row>
    <row r="5050" spans="10:10" ht="15" customHeight="1" x14ac:dyDescent="0.3">
      <c r="J5050" s="33"/>
    </row>
    <row r="5051" spans="10:10" ht="15" customHeight="1" x14ac:dyDescent="0.3">
      <c r="J5051" s="33"/>
    </row>
    <row r="5052" spans="10:10" ht="15" customHeight="1" x14ac:dyDescent="0.3">
      <c r="J5052" s="33"/>
    </row>
    <row r="5053" spans="10:10" ht="15" customHeight="1" x14ac:dyDescent="0.3">
      <c r="J5053" s="33"/>
    </row>
    <row r="5054" spans="10:10" ht="15" customHeight="1" x14ac:dyDescent="0.3">
      <c r="J5054" s="33"/>
    </row>
    <row r="5055" spans="10:10" ht="15" customHeight="1" x14ac:dyDescent="0.3">
      <c r="J5055" s="33"/>
    </row>
    <row r="5056" spans="10:10" ht="15" customHeight="1" x14ac:dyDescent="0.3">
      <c r="J5056" s="33"/>
    </row>
    <row r="5057" spans="10:10" ht="15" customHeight="1" x14ac:dyDescent="0.3">
      <c r="J5057" s="33"/>
    </row>
    <row r="5058" spans="10:10" ht="15" customHeight="1" x14ac:dyDescent="0.3">
      <c r="J5058" s="33"/>
    </row>
    <row r="5059" spans="10:10" ht="15" customHeight="1" x14ac:dyDescent="0.3">
      <c r="J5059" s="33"/>
    </row>
    <row r="5060" spans="10:10" ht="15" customHeight="1" x14ac:dyDescent="0.3">
      <c r="J5060" s="33"/>
    </row>
    <row r="5061" spans="10:10" ht="15" customHeight="1" x14ac:dyDescent="0.3">
      <c r="J5061" s="33"/>
    </row>
    <row r="5062" spans="10:10" ht="15" customHeight="1" x14ac:dyDescent="0.3">
      <c r="J5062" s="33"/>
    </row>
    <row r="5063" spans="10:10" ht="15" customHeight="1" x14ac:dyDescent="0.3">
      <c r="J5063" s="33"/>
    </row>
    <row r="5064" spans="10:10" ht="15" customHeight="1" x14ac:dyDescent="0.3">
      <c r="J5064" s="33"/>
    </row>
    <row r="5065" spans="10:10" ht="15" customHeight="1" x14ac:dyDescent="0.3">
      <c r="J5065" s="33"/>
    </row>
    <row r="5066" spans="10:10" ht="15" customHeight="1" x14ac:dyDescent="0.3">
      <c r="J5066" s="33"/>
    </row>
    <row r="5067" spans="10:10" ht="15" customHeight="1" x14ac:dyDescent="0.3">
      <c r="J5067" s="33"/>
    </row>
    <row r="5068" spans="10:10" ht="15" customHeight="1" x14ac:dyDescent="0.3">
      <c r="J5068" s="33"/>
    </row>
    <row r="5069" spans="10:10" ht="15" customHeight="1" x14ac:dyDescent="0.3">
      <c r="J5069" s="33"/>
    </row>
    <row r="5070" spans="10:10" ht="15" customHeight="1" x14ac:dyDescent="0.3">
      <c r="J5070" s="33"/>
    </row>
    <row r="5071" spans="10:10" ht="15" customHeight="1" x14ac:dyDescent="0.3">
      <c r="J5071" s="33"/>
    </row>
    <row r="5072" spans="10:10" ht="15" customHeight="1" x14ac:dyDescent="0.3">
      <c r="J5072" s="33"/>
    </row>
    <row r="5073" spans="10:10" ht="15" customHeight="1" x14ac:dyDescent="0.3">
      <c r="J5073" s="33"/>
    </row>
    <row r="5074" spans="10:10" ht="15" customHeight="1" x14ac:dyDescent="0.3">
      <c r="J5074" s="33"/>
    </row>
    <row r="5075" spans="10:10" ht="15" customHeight="1" x14ac:dyDescent="0.3">
      <c r="J5075" s="33"/>
    </row>
    <row r="5076" spans="10:10" ht="15" customHeight="1" x14ac:dyDescent="0.3">
      <c r="J5076" s="33"/>
    </row>
    <row r="5077" spans="10:10" ht="15" customHeight="1" x14ac:dyDescent="0.3">
      <c r="J5077" s="33"/>
    </row>
    <row r="5078" spans="10:10" ht="15" customHeight="1" x14ac:dyDescent="0.3">
      <c r="J5078" s="33"/>
    </row>
    <row r="5079" spans="10:10" ht="15" customHeight="1" x14ac:dyDescent="0.3">
      <c r="J5079" s="33"/>
    </row>
    <row r="5080" spans="10:10" ht="15" customHeight="1" x14ac:dyDescent="0.3">
      <c r="J5080" s="33"/>
    </row>
    <row r="5081" spans="10:10" ht="15" customHeight="1" x14ac:dyDescent="0.3">
      <c r="J5081" s="33"/>
    </row>
    <row r="5082" spans="10:10" ht="15" customHeight="1" x14ac:dyDescent="0.3">
      <c r="J5082" s="33"/>
    </row>
    <row r="5083" spans="10:10" ht="15" customHeight="1" x14ac:dyDescent="0.3">
      <c r="J5083" s="33"/>
    </row>
    <row r="5084" spans="10:10" ht="15" customHeight="1" x14ac:dyDescent="0.3">
      <c r="J5084" s="33"/>
    </row>
    <row r="5085" spans="10:10" ht="15" customHeight="1" x14ac:dyDescent="0.3">
      <c r="J5085" s="33"/>
    </row>
    <row r="5086" spans="10:10" ht="15" customHeight="1" x14ac:dyDescent="0.3">
      <c r="J5086" s="33"/>
    </row>
    <row r="5087" spans="10:10" ht="15" customHeight="1" x14ac:dyDescent="0.3">
      <c r="J5087" s="33"/>
    </row>
    <row r="5088" spans="10:10" ht="15" customHeight="1" x14ac:dyDescent="0.3">
      <c r="J5088" s="33"/>
    </row>
    <row r="5089" spans="10:10" ht="15" customHeight="1" x14ac:dyDescent="0.3">
      <c r="J5089" s="33"/>
    </row>
    <row r="5090" spans="10:10" ht="15" customHeight="1" x14ac:dyDescent="0.3">
      <c r="J5090" s="33"/>
    </row>
    <row r="5091" spans="10:10" ht="15" customHeight="1" x14ac:dyDescent="0.3">
      <c r="J5091" s="33"/>
    </row>
    <row r="5092" spans="10:10" ht="15" customHeight="1" x14ac:dyDescent="0.3">
      <c r="J5092" s="33"/>
    </row>
    <row r="5093" spans="10:10" ht="15" customHeight="1" x14ac:dyDescent="0.3">
      <c r="J5093" s="33"/>
    </row>
    <row r="5094" spans="10:10" ht="15" customHeight="1" x14ac:dyDescent="0.3">
      <c r="J5094" s="33"/>
    </row>
    <row r="5095" spans="10:10" ht="15" customHeight="1" x14ac:dyDescent="0.3">
      <c r="J5095" s="33"/>
    </row>
    <row r="5096" spans="10:10" ht="15" customHeight="1" x14ac:dyDescent="0.3">
      <c r="J5096" s="33"/>
    </row>
    <row r="5097" spans="10:10" ht="15" customHeight="1" x14ac:dyDescent="0.3">
      <c r="J5097" s="33"/>
    </row>
    <row r="5098" spans="10:10" ht="15" customHeight="1" x14ac:dyDescent="0.3">
      <c r="J5098" s="33"/>
    </row>
    <row r="5099" spans="10:10" ht="15" customHeight="1" x14ac:dyDescent="0.3">
      <c r="J5099" s="33"/>
    </row>
    <row r="5100" spans="10:10" ht="15" customHeight="1" x14ac:dyDescent="0.3">
      <c r="J5100" s="33"/>
    </row>
    <row r="5101" spans="10:10" ht="15" customHeight="1" x14ac:dyDescent="0.3">
      <c r="J5101" s="33"/>
    </row>
    <row r="5102" spans="10:10" ht="15" customHeight="1" x14ac:dyDescent="0.3">
      <c r="J5102" s="33"/>
    </row>
    <row r="5103" spans="10:10" ht="15" customHeight="1" x14ac:dyDescent="0.3">
      <c r="J5103" s="33"/>
    </row>
    <row r="5104" spans="10:10" ht="15" customHeight="1" x14ac:dyDescent="0.3">
      <c r="J5104" s="33"/>
    </row>
    <row r="5105" spans="10:10" ht="15" customHeight="1" x14ac:dyDescent="0.3">
      <c r="J5105" s="33"/>
    </row>
    <row r="5106" spans="10:10" ht="15" customHeight="1" x14ac:dyDescent="0.3">
      <c r="J5106" s="33"/>
    </row>
    <row r="5107" spans="10:10" ht="15" customHeight="1" x14ac:dyDescent="0.3">
      <c r="J5107" s="33"/>
    </row>
    <row r="5108" spans="10:10" ht="15" customHeight="1" x14ac:dyDescent="0.3">
      <c r="J5108" s="33"/>
    </row>
    <row r="5109" spans="10:10" ht="15" customHeight="1" x14ac:dyDescent="0.3">
      <c r="J5109" s="33"/>
    </row>
    <row r="5110" spans="10:10" ht="15" customHeight="1" x14ac:dyDescent="0.3">
      <c r="J5110" s="33"/>
    </row>
    <row r="5111" spans="10:10" ht="15" customHeight="1" x14ac:dyDescent="0.3">
      <c r="J5111" s="33"/>
    </row>
    <row r="5112" spans="10:10" ht="15" customHeight="1" x14ac:dyDescent="0.3">
      <c r="J5112" s="33"/>
    </row>
    <row r="5113" spans="10:10" ht="15" customHeight="1" x14ac:dyDescent="0.3">
      <c r="J5113" s="33"/>
    </row>
    <row r="5114" spans="10:10" ht="15" customHeight="1" x14ac:dyDescent="0.3">
      <c r="J5114" s="33"/>
    </row>
    <row r="5115" spans="10:10" ht="15" customHeight="1" x14ac:dyDescent="0.3">
      <c r="J5115" s="33"/>
    </row>
    <row r="5116" spans="10:10" ht="15" customHeight="1" x14ac:dyDescent="0.3">
      <c r="J5116" s="33"/>
    </row>
    <row r="5117" spans="10:10" ht="15" customHeight="1" x14ac:dyDescent="0.3">
      <c r="J5117" s="33"/>
    </row>
    <row r="5118" spans="10:10" ht="15" customHeight="1" x14ac:dyDescent="0.3">
      <c r="J5118" s="33"/>
    </row>
    <row r="5119" spans="10:10" ht="15" customHeight="1" x14ac:dyDescent="0.3">
      <c r="J5119" s="33"/>
    </row>
    <row r="5120" spans="10:10" ht="15" customHeight="1" x14ac:dyDescent="0.3">
      <c r="J5120" s="33"/>
    </row>
    <row r="5121" spans="10:10" ht="15" customHeight="1" x14ac:dyDescent="0.3">
      <c r="J5121" s="33"/>
    </row>
    <row r="5122" spans="10:10" ht="15" customHeight="1" x14ac:dyDescent="0.3">
      <c r="J5122" s="33"/>
    </row>
    <row r="5123" spans="10:10" ht="15" customHeight="1" x14ac:dyDescent="0.3">
      <c r="J5123" s="33"/>
    </row>
    <row r="5124" spans="10:10" ht="15" customHeight="1" x14ac:dyDescent="0.3">
      <c r="J5124" s="33"/>
    </row>
    <row r="5125" spans="10:10" ht="15" customHeight="1" x14ac:dyDescent="0.3">
      <c r="J5125" s="33"/>
    </row>
    <row r="5126" spans="10:10" ht="15" customHeight="1" x14ac:dyDescent="0.3">
      <c r="J5126" s="33"/>
    </row>
    <row r="5127" spans="10:10" ht="15" customHeight="1" x14ac:dyDescent="0.3">
      <c r="J5127" s="33"/>
    </row>
    <row r="5128" spans="10:10" ht="15" customHeight="1" x14ac:dyDescent="0.3">
      <c r="J5128" s="33"/>
    </row>
    <row r="5129" spans="10:10" ht="15" customHeight="1" x14ac:dyDescent="0.3">
      <c r="J5129" s="33"/>
    </row>
    <row r="5130" spans="10:10" ht="15" customHeight="1" x14ac:dyDescent="0.3">
      <c r="J5130" s="33"/>
    </row>
    <row r="5131" spans="10:10" ht="15" customHeight="1" x14ac:dyDescent="0.3">
      <c r="J5131" s="33"/>
    </row>
    <row r="5132" spans="10:10" ht="15" customHeight="1" x14ac:dyDescent="0.3">
      <c r="J5132" s="33"/>
    </row>
    <row r="5133" spans="10:10" ht="15" customHeight="1" x14ac:dyDescent="0.3">
      <c r="J5133" s="33"/>
    </row>
    <row r="5134" spans="10:10" ht="15" customHeight="1" x14ac:dyDescent="0.3">
      <c r="J5134" s="33"/>
    </row>
    <row r="5135" spans="10:10" ht="15" customHeight="1" x14ac:dyDescent="0.3">
      <c r="J5135" s="33"/>
    </row>
    <row r="5136" spans="10:10" ht="15" customHeight="1" x14ac:dyDescent="0.3">
      <c r="J5136" s="33"/>
    </row>
    <row r="5137" spans="10:10" ht="15" customHeight="1" x14ac:dyDescent="0.3">
      <c r="J5137" s="33"/>
    </row>
    <row r="5138" spans="10:10" ht="15" customHeight="1" x14ac:dyDescent="0.3">
      <c r="J5138" s="33"/>
    </row>
    <row r="5139" spans="10:10" ht="15" customHeight="1" x14ac:dyDescent="0.3">
      <c r="J5139" s="33"/>
    </row>
    <row r="5140" spans="10:10" ht="15" customHeight="1" x14ac:dyDescent="0.3">
      <c r="J5140" s="33"/>
    </row>
    <row r="5141" spans="10:10" ht="15" customHeight="1" x14ac:dyDescent="0.3">
      <c r="J5141" s="33"/>
    </row>
    <row r="5142" spans="10:10" ht="15" customHeight="1" x14ac:dyDescent="0.3">
      <c r="J5142" s="33"/>
    </row>
    <row r="5143" spans="10:10" ht="15" customHeight="1" x14ac:dyDescent="0.3">
      <c r="J5143" s="33"/>
    </row>
    <row r="5144" spans="10:10" ht="15" customHeight="1" x14ac:dyDescent="0.3">
      <c r="J5144" s="33"/>
    </row>
    <row r="5145" spans="10:10" ht="15" customHeight="1" x14ac:dyDescent="0.3">
      <c r="J5145" s="33"/>
    </row>
    <row r="5146" spans="10:10" ht="15" customHeight="1" x14ac:dyDescent="0.3">
      <c r="J5146" s="33"/>
    </row>
    <row r="5147" spans="10:10" ht="15" customHeight="1" x14ac:dyDescent="0.3">
      <c r="J5147" s="33"/>
    </row>
    <row r="5148" spans="10:10" ht="15" customHeight="1" x14ac:dyDescent="0.3">
      <c r="J5148" s="33"/>
    </row>
    <row r="5149" spans="10:10" ht="15" customHeight="1" x14ac:dyDescent="0.3">
      <c r="J5149" s="33"/>
    </row>
    <row r="5150" spans="10:10" ht="15" customHeight="1" x14ac:dyDescent="0.3">
      <c r="J5150" s="33"/>
    </row>
    <row r="5151" spans="10:10" ht="15" customHeight="1" x14ac:dyDescent="0.3">
      <c r="J5151" s="33"/>
    </row>
    <row r="5152" spans="10:10" ht="15" customHeight="1" x14ac:dyDescent="0.3">
      <c r="J5152" s="33"/>
    </row>
    <row r="5153" spans="10:10" ht="15" customHeight="1" x14ac:dyDescent="0.3">
      <c r="J5153" s="33"/>
    </row>
    <row r="5154" spans="10:10" ht="15" customHeight="1" x14ac:dyDescent="0.3">
      <c r="J5154" s="33"/>
    </row>
    <row r="5155" spans="10:10" ht="15" customHeight="1" x14ac:dyDescent="0.3">
      <c r="J5155" s="33"/>
    </row>
    <row r="5156" spans="10:10" ht="15" customHeight="1" x14ac:dyDescent="0.3">
      <c r="J5156" s="33"/>
    </row>
    <row r="5157" spans="10:10" ht="15" customHeight="1" x14ac:dyDescent="0.3">
      <c r="J5157" s="33"/>
    </row>
    <row r="5158" spans="10:10" ht="15" customHeight="1" x14ac:dyDescent="0.3">
      <c r="J5158" s="33"/>
    </row>
    <row r="5159" spans="10:10" ht="15" customHeight="1" x14ac:dyDescent="0.3">
      <c r="J5159" s="33"/>
    </row>
    <row r="5160" spans="10:10" ht="15" customHeight="1" x14ac:dyDescent="0.3">
      <c r="J5160" s="33"/>
    </row>
    <row r="5161" spans="10:10" ht="15" customHeight="1" x14ac:dyDescent="0.3">
      <c r="J5161" s="33"/>
    </row>
    <row r="5162" spans="10:10" ht="15" customHeight="1" x14ac:dyDescent="0.3">
      <c r="J5162" s="33"/>
    </row>
    <row r="5163" spans="10:10" ht="15" customHeight="1" x14ac:dyDescent="0.3">
      <c r="J5163" s="33"/>
    </row>
    <row r="5164" spans="10:10" ht="15" customHeight="1" x14ac:dyDescent="0.3">
      <c r="J5164" s="33"/>
    </row>
    <row r="5165" spans="10:10" ht="15" customHeight="1" x14ac:dyDescent="0.3">
      <c r="J5165" s="33"/>
    </row>
    <row r="5166" spans="10:10" ht="15" customHeight="1" x14ac:dyDescent="0.3">
      <c r="J5166" s="33"/>
    </row>
    <row r="5167" spans="10:10" ht="15" customHeight="1" x14ac:dyDescent="0.3">
      <c r="J5167" s="33"/>
    </row>
    <row r="5168" spans="10:10" ht="15" customHeight="1" x14ac:dyDescent="0.3">
      <c r="J5168" s="33"/>
    </row>
    <row r="5169" spans="10:10" ht="15" customHeight="1" x14ac:dyDescent="0.3">
      <c r="J5169" s="33"/>
    </row>
    <row r="5170" spans="10:10" ht="15" customHeight="1" x14ac:dyDescent="0.3">
      <c r="J5170" s="33"/>
    </row>
    <row r="5171" spans="10:10" ht="15" customHeight="1" x14ac:dyDescent="0.3">
      <c r="J5171" s="33"/>
    </row>
    <row r="5172" spans="10:10" ht="15" customHeight="1" x14ac:dyDescent="0.3">
      <c r="J5172" s="33"/>
    </row>
    <row r="5173" spans="10:10" ht="15" customHeight="1" x14ac:dyDescent="0.3">
      <c r="J5173" s="33"/>
    </row>
    <row r="5174" spans="10:10" ht="15" customHeight="1" x14ac:dyDescent="0.3">
      <c r="J5174" s="33"/>
    </row>
    <row r="5175" spans="10:10" ht="15" customHeight="1" x14ac:dyDescent="0.3">
      <c r="J5175" s="33"/>
    </row>
    <row r="5176" spans="10:10" ht="15" customHeight="1" x14ac:dyDescent="0.3">
      <c r="J5176" s="33"/>
    </row>
    <row r="5177" spans="10:10" ht="15" customHeight="1" x14ac:dyDescent="0.3">
      <c r="J5177" s="33"/>
    </row>
    <row r="5178" spans="10:10" ht="15" customHeight="1" x14ac:dyDescent="0.3">
      <c r="J5178" s="33"/>
    </row>
    <row r="5179" spans="10:10" ht="15" customHeight="1" x14ac:dyDescent="0.3">
      <c r="J5179" s="33"/>
    </row>
    <row r="5180" spans="10:10" ht="15" customHeight="1" x14ac:dyDescent="0.3">
      <c r="J5180" s="33"/>
    </row>
    <row r="5181" spans="10:10" ht="15" customHeight="1" x14ac:dyDescent="0.3">
      <c r="J5181" s="33"/>
    </row>
    <row r="5182" spans="10:10" ht="15" customHeight="1" x14ac:dyDescent="0.3">
      <c r="J5182" s="33"/>
    </row>
    <row r="5183" spans="10:10" ht="15" customHeight="1" x14ac:dyDescent="0.3">
      <c r="J5183" s="33"/>
    </row>
    <row r="5184" spans="10:10" ht="15" customHeight="1" x14ac:dyDescent="0.3">
      <c r="J5184" s="33"/>
    </row>
    <row r="5185" spans="10:10" ht="15" customHeight="1" x14ac:dyDescent="0.3">
      <c r="J5185" s="33"/>
    </row>
    <row r="5186" spans="10:10" ht="15" customHeight="1" x14ac:dyDescent="0.3">
      <c r="J5186" s="33"/>
    </row>
    <row r="5187" spans="10:10" ht="15" customHeight="1" x14ac:dyDescent="0.3">
      <c r="J5187" s="33"/>
    </row>
    <row r="5188" spans="10:10" ht="15" customHeight="1" x14ac:dyDescent="0.3">
      <c r="J5188" s="33"/>
    </row>
    <row r="5189" spans="10:10" ht="15" customHeight="1" x14ac:dyDescent="0.3">
      <c r="J5189" s="33"/>
    </row>
    <row r="5190" spans="10:10" ht="15" customHeight="1" x14ac:dyDescent="0.3">
      <c r="J5190" s="33"/>
    </row>
    <row r="5191" spans="10:10" ht="15" customHeight="1" x14ac:dyDescent="0.3">
      <c r="J5191" s="33"/>
    </row>
    <row r="5192" spans="10:10" ht="15" customHeight="1" x14ac:dyDescent="0.3">
      <c r="J5192" s="33"/>
    </row>
    <row r="5193" spans="10:10" ht="15" customHeight="1" x14ac:dyDescent="0.3">
      <c r="J5193" s="33"/>
    </row>
    <row r="5194" spans="10:10" ht="15" customHeight="1" x14ac:dyDescent="0.3">
      <c r="J5194" s="33"/>
    </row>
    <row r="5195" spans="10:10" ht="15" customHeight="1" x14ac:dyDescent="0.3">
      <c r="J5195" s="33"/>
    </row>
    <row r="5196" spans="10:10" ht="15" customHeight="1" x14ac:dyDescent="0.3">
      <c r="J5196" s="33"/>
    </row>
    <row r="5197" spans="10:10" ht="15" customHeight="1" x14ac:dyDescent="0.3">
      <c r="J5197" s="33"/>
    </row>
    <row r="5198" spans="10:10" ht="15" customHeight="1" x14ac:dyDescent="0.3">
      <c r="J5198" s="33"/>
    </row>
    <row r="5199" spans="10:10" ht="15" customHeight="1" x14ac:dyDescent="0.3">
      <c r="J5199" s="33"/>
    </row>
    <row r="5200" spans="10:10" ht="15" customHeight="1" x14ac:dyDescent="0.3">
      <c r="J5200" s="33"/>
    </row>
    <row r="5201" spans="10:10" ht="15" customHeight="1" x14ac:dyDescent="0.3">
      <c r="J5201" s="33"/>
    </row>
    <row r="5202" spans="10:10" ht="15" customHeight="1" x14ac:dyDescent="0.3">
      <c r="J5202" s="33"/>
    </row>
    <row r="5203" spans="10:10" ht="15" customHeight="1" x14ac:dyDescent="0.3">
      <c r="J5203" s="33"/>
    </row>
    <row r="5204" spans="10:10" ht="15" customHeight="1" x14ac:dyDescent="0.3">
      <c r="J5204" s="33"/>
    </row>
    <row r="5205" spans="10:10" ht="15" customHeight="1" x14ac:dyDescent="0.3">
      <c r="J5205" s="33"/>
    </row>
    <row r="5206" spans="10:10" ht="15" customHeight="1" x14ac:dyDescent="0.3">
      <c r="J5206" s="33"/>
    </row>
    <row r="5207" spans="10:10" ht="15" customHeight="1" x14ac:dyDescent="0.3">
      <c r="J5207" s="33"/>
    </row>
    <row r="5208" spans="10:10" ht="15" customHeight="1" x14ac:dyDescent="0.3">
      <c r="J5208" s="33"/>
    </row>
    <row r="5209" spans="10:10" ht="15" customHeight="1" x14ac:dyDescent="0.3">
      <c r="J5209" s="33"/>
    </row>
    <row r="5210" spans="10:10" ht="15" customHeight="1" x14ac:dyDescent="0.3">
      <c r="J5210" s="33"/>
    </row>
    <row r="5211" spans="10:10" ht="15" customHeight="1" x14ac:dyDescent="0.3">
      <c r="J5211" s="33"/>
    </row>
    <row r="5212" spans="10:10" ht="15" customHeight="1" x14ac:dyDescent="0.3">
      <c r="J5212" s="33"/>
    </row>
    <row r="5213" spans="10:10" ht="15" customHeight="1" x14ac:dyDescent="0.3">
      <c r="J5213" s="33"/>
    </row>
    <row r="5214" spans="10:10" ht="15" customHeight="1" x14ac:dyDescent="0.3">
      <c r="J5214" s="33"/>
    </row>
    <row r="5215" spans="10:10" ht="15" customHeight="1" x14ac:dyDescent="0.3">
      <c r="J5215" s="33"/>
    </row>
    <row r="5216" spans="10:10" ht="15" customHeight="1" x14ac:dyDescent="0.3">
      <c r="J5216" s="33"/>
    </row>
    <row r="5217" spans="10:10" ht="15" customHeight="1" x14ac:dyDescent="0.3">
      <c r="J5217" s="33"/>
    </row>
    <row r="5218" spans="10:10" ht="15" customHeight="1" x14ac:dyDescent="0.3">
      <c r="J5218" s="33"/>
    </row>
    <row r="5219" spans="10:10" ht="15" customHeight="1" x14ac:dyDescent="0.3">
      <c r="J5219" s="33"/>
    </row>
    <row r="5220" spans="10:10" ht="15" customHeight="1" x14ac:dyDescent="0.3">
      <c r="J5220" s="33"/>
    </row>
    <row r="5221" spans="10:10" ht="15" customHeight="1" x14ac:dyDescent="0.3">
      <c r="J5221" s="33"/>
    </row>
    <row r="5222" spans="10:10" ht="15" customHeight="1" x14ac:dyDescent="0.3">
      <c r="J5222" s="33"/>
    </row>
    <row r="5223" spans="10:10" ht="15" customHeight="1" x14ac:dyDescent="0.3">
      <c r="J5223" s="33"/>
    </row>
    <row r="5224" spans="10:10" ht="15" customHeight="1" x14ac:dyDescent="0.3">
      <c r="J5224" s="33"/>
    </row>
    <row r="5225" spans="10:10" ht="15" customHeight="1" x14ac:dyDescent="0.3">
      <c r="J5225" s="33"/>
    </row>
    <row r="5226" spans="10:10" ht="15" customHeight="1" x14ac:dyDescent="0.3">
      <c r="J5226" s="33"/>
    </row>
    <row r="5227" spans="10:10" ht="15" customHeight="1" x14ac:dyDescent="0.3">
      <c r="J5227" s="33"/>
    </row>
    <row r="5228" spans="10:10" ht="15" customHeight="1" x14ac:dyDescent="0.3">
      <c r="J5228" s="33"/>
    </row>
    <row r="5229" spans="10:10" ht="15" customHeight="1" x14ac:dyDescent="0.3">
      <c r="J5229" s="33"/>
    </row>
    <row r="5230" spans="10:10" ht="15" customHeight="1" x14ac:dyDescent="0.3">
      <c r="J5230" s="33"/>
    </row>
    <row r="5231" spans="10:10" ht="15" customHeight="1" x14ac:dyDescent="0.3">
      <c r="J5231" s="33"/>
    </row>
    <row r="5232" spans="10:10" ht="15" customHeight="1" x14ac:dyDescent="0.3">
      <c r="J5232" s="33"/>
    </row>
    <row r="5233" spans="10:10" ht="15" customHeight="1" x14ac:dyDescent="0.3">
      <c r="J5233" s="33"/>
    </row>
    <row r="5234" spans="10:10" ht="15" customHeight="1" x14ac:dyDescent="0.3">
      <c r="J5234" s="33"/>
    </row>
    <row r="5235" spans="10:10" ht="15" customHeight="1" x14ac:dyDescent="0.3">
      <c r="J5235" s="33"/>
    </row>
    <row r="5236" spans="10:10" ht="15" customHeight="1" x14ac:dyDescent="0.3">
      <c r="J5236" s="33"/>
    </row>
    <row r="5237" spans="10:10" ht="15" customHeight="1" x14ac:dyDescent="0.3">
      <c r="J5237" s="33"/>
    </row>
    <row r="5238" spans="10:10" ht="15" customHeight="1" x14ac:dyDescent="0.3">
      <c r="J5238" s="33"/>
    </row>
    <row r="5239" spans="10:10" ht="15" customHeight="1" x14ac:dyDescent="0.3">
      <c r="J5239" s="33"/>
    </row>
    <row r="5240" spans="10:10" ht="15" customHeight="1" x14ac:dyDescent="0.3">
      <c r="J5240" s="33"/>
    </row>
    <row r="5241" spans="10:10" ht="15" customHeight="1" x14ac:dyDescent="0.3">
      <c r="J5241" s="33"/>
    </row>
    <row r="5242" spans="10:10" ht="15" customHeight="1" x14ac:dyDescent="0.3">
      <c r="J5242" s="33"/>
    </row>
    <row r="5243" spans="10:10" ht="15" customHeight="1" x14ac:dyDescent="0.3">
      <c r="J5243" s="33"/>
    </row>
    <row r="5244" spans="10:10" ht="15" customHeight="1" x14ac:dyDescent="0.3">
      <c r="J5244" s="33"/>
    </row>
    <row r="5245" spans="10:10" ht="15" customHeight="1" x14ac:dyDescent="0.3">
      <c r="J5245" s="33"/>
    </row>
    <row r="5246" spans="10:10" ht="15" customHeight="1" x14ac:dyDescent="0.3">
      <c r="J5246" s="33"/>
    </row>
    <row r="5247" spans="10:10" ht="15" customHeight="1" x14ac:dyDescent="0.3">
      <c r="J5247" s="33"/>
    </row>
    <row r="5248" spans="10:10" ht="15" customHeight="1" x14ac:dyDescent="0.3">
      <c r="J5248" s="33"/>
    </row>
    <row r="5249" spans="10:10" ht="15" customHeight="1" x14ac:dyDescent="0.3">
      <c r="J5249" s="33"/>
    </row>
    <row r="5250" spans="10:10" ht="15" customHeight="1" x14ac:dyDescent="0.3">
      <c r="J5250" s="33"/>
    </row>
    <row r="5251" spans="10:10" ht="15" customHeight="1" x14ac:dyDescent="0.3">
      <c r="J5251" s="33"/>
    </row>
    <row r="5252" spans="10:10" ht="15" customHeight="1" x14ac:dyDescent="0.3">
      <c r="J5252" s="33"/>
    </row>
    <row r="5253" spans="10:10" ht="15" customHeight="1" x14ac:dyDescent="0.3">
      <c r="J5253" s="33"/>
    </row>
    <row r="5254" spans="10:10" ht="15" customHeight="1" x14ac:dyDescent="0.3">
      <c r="J5254" s="33"/>
    </row>
    <row r="5255" spans="10:10" ht="15" customHeight="1" x14ac:dyDescent="0.3">
      <c r="J5255" s="33"/>
    </row>
    <row r="5256" spans="10:10" ht="15" customHeight="1" x14ac:dyDescent="0.3">
      <c r="J5256" s="33"/>
    </row>
    <row r="5257" spans="10:10" ht="15" customHeight="1" x14ac:dyDescent="0.3">
      <c r="J5257" s="33"/>
    </row>
    <row r="5258" spans="10:10" ht="15" customHeight="1" x14ac:dyDescent="0.3">
      <c r="J5258" s="33"/>
    </row>
    <row r="5259" spans="10:10" ht="15" customHeight="1" x14ac:dyDescent="0.3">
      <c r="J5259" s="33"/>
    </row>
    <row r="5260" spans="10:10" ht="15" customHeight="1" x14ac:dyDescent="0.3">
      <c r="J5260" s="33"/>
    </row>
    <row r="5261" spans="10:10" ht="15" customHeight="1" x14ac:dyDescent="0.3">
      <c r="J5261" s="33"/>
    </row>
    <row r="5262" spans="10:10" ht="15" customHeight="1" x14ac:dyDescent="0.3">
      <c r="J5262" s="33"/>
    </row>
    <row r="5263" spans="10:10" ht="15" customHeight="1" x14ac:dyDescent="0.3">
      <c r="J5263" s="33"/>
    </row>
    <row r="5264" spans="10:10" ht="15" customHeight="1" x14ac:dyDescent="0.3">
      <c r="J5264" s="33"/>
    </row>
    <row r="5265" spans="10:10" ht="15" customHeight="1" x14ac:dyDescent="0.3">
      <c r="J5265" s="33"/>
    </row>
    <row r="5266" spans="10:10" ht="15" customHeight="1" x14ac:dyDescent="0.3">
      <c r="J5266" s="33"/>
    </row>
    <row r="5267" spans="10:10" ht="15" customHeight="1" x14ac:dyDescent="0.3">
      <c r="J5267" s="33"/>
    </row>
    <row r="5268" spans="10:10" ht="15" customHeight="1" x14ac:dyDescent="0.3">
      <c r="J5268" s="33"/>
    </row>
    <row r="5269" spans="10:10" ht="15" customHeight="1" x14ac:dyDescent="0.3">
      <c r="J5269" s="33"/>
    </row>
    <row r="5270" spans="10:10" ht="15" customHeight="1" x14ac:dyDescent="0.3">
      <c r="J5270" s="33"/>
    </row>
    <row r="5271" spans="10:10" ht="15" customHeight="1" x14ac:dyDescent="0.3">
      <c r="J5271" s="33"/>
    </row>
    <row r="5272" spans="10:10" ht="15" customHeight="1" x14ac:dyDescent="0.3">
      <c r="J5272" s="33"/>
    </row>
    <row r="5273" spans="10:10" ht="15" customHeight="1" x14ac:dyDescent="0.3">
      <c r="J5273" s="33"/>
    </row>
    <row r="5274" spans="10:10" ht="15" customHeight="1" x14ac:dyDescent="0.3">
      <c r="J5274" s="33"/>
    </row>
    <row r="5275" spans="10:10" ht="15" customHeight="1" x14ac:dyDescent="0.3">
      <c r="J5275" s="33"/>
    </row>
    <row r="5276" spans="10:10" ht="15" customHeight="1" x14ac:dyDescent="0.3">
      <c r="J5276" s="33"/>
    </row>
    <row r="5277" spans="10:10" ht="15" customHeight="1" x14ac:dyDescent="0.3">
      <c r="J5277" s="33"/>
    </row>
    <row r="5278" spans="10:10" ht="15" customHeight="1" x14ac:dyDescent="0.3">
      <c r="J5278" s="33"/>
    </row>
    <row r="5279" spans="10:10" ht="15" customHeight="1" x14ac:dyDescent="0.3">
      <c r="J5279" s="33"/>
    </row>
    <row r="5280" spans="10:10" ht="15" customHeight="1" x14ac:dyDescent="0.3">
      <c r="J5280" s="33"/>
    </row>
    <row r="5281" spans="10:10" ht="15" customHeight="1" x14ac:dyDescent="0.3">
      <c r="J5281" s="33"/>
    </row>
    <row r="5282" spans="10:10" ht="15" customHeight="1" x14ac:dyDescent="0.3">
      <c r="J5282" s="33"/>
    </row>
    <row r="5283" spans="10:10" ht="15" customHeight="1" x14ac:dyDescent="0.3">
      <c r="J5283" s="33"/>
    </row>
    <row r="5284" spans="10:10" ht="15" customHeight="1" x14ac:dyDescent="0.3">
      <c r="J5284" s="33"/>
    </row>
    <row r="5285" spans="10:10" ht="15" customHeight="1" x14ac:dyDescent="0.3">
      <c r="J5285" s="33"/>
    </row>
    <row r="5286" spans="10:10" ht="15" customHeight="1" x14ac:dyDescent="0.3">
      <c r="J5286" s="33"/>
    </row>
    <row r="5287" spans="10:10" ht="15" customHeight="1" x14ac:dyDescent="0.3">
      <c r="J5287" s="33"/>
    </row>
    <row r="5288" spans="10:10" ht="15" customHeight="1" x14ac:dyDescent="0.3">
      <c r="J5288" s="33"/>
    </row>
    <row r="5289" spans="10:10" ht="15" customHeight="1" x14ac:dyDescent="0.3">
      <c r="J5289" s="33"/>
    </row>
    <row r="5290" spans="10:10" ht="15" customHeight="1" x14ac:dyDescent="0.3">
      <c r="J5290" s="33"/>
    </row>
    <row r="5291" spans="10:10" ht="15" customHeight="1" x14ac:dyDescent="0.3">
      <c r="J5291" s="33"/>
    </row>
    <row r="5292" spans="10:10" ht="15" customHeight="1" x14ac:dyDescent="0.3">
      <c r="J5292" s="33"/>
    </row>
    <row r="5293" spans="10:10" ht="15" customHeight="1" x14ac:dyDescent="0.3">
      <c r="J5293" s="33"/>
    </row>
    <row r="5294" spans="10:10" ht="15" customHeight="1" x14ac:dyDescent="0.3">
      <c r="J5294" s="33"/>
    </row>
    <row r="5295" spans="10:10" ht="15" customHeight="1" x14ac:dyDescent="0.3">
      <c r="J5295" s="33"/>
    </row>
    <row r="5296" spans="10:10" ht="15" customHeight="1" x14ac:dyDescent="0.3">
      <c r="J5296" s="33"/>
    </row>
    <row r="5297" spans="10:10" ht="15" customHeight="1" x14ac:dyDescent="0.3">
      <c r="J5297" s="33"/>
    </row>
    <row r="5298" spans="10:10" ht="15" customHeight="1" x14ac:dyDescent="0.3">
      <c r="J5298" s="33"/>
    </row>
    <row r="5299" spans="10:10" ht="15" customHeight="1" x14ac:dyDescent="0.3">
      <c r="J5299" s="33"/>
    </row>
    <row r="5300" spans="10:10" ht="15" customHeight="1" x14ac:dyDescent="0.3">
      <c r="J5300" s="33"/>
    </row>
    <row r="5301" spans="10:10" ht="15" customHeight="1" x14ac:dyDescent="0.3">
      <c r="J5301" s="33"/>
    </row>
    <row r="5302" spans="10:10" ht="15" customHeight="1" x14ac:dyDescent="0.3">
      <c r="J5302" s="33"/>
    </row>
    <row r="5303" spans="10:10" ht="15" customHeight="1" x14ac:dyDescent="0.3">
      <c r="J5303" s="33"/>
    </row>
    <row r="5304" spans="10:10" ht="15" customHeight="1" x14ac:dyDescent="0.3">
      <c r="J5304" s="33"/>
    </row>
    <row r="5305" spans="10:10" ht="15" customHeight="1" x14ac:dyDescent="0.3">
      <c r="J5305" s="33"/>
    </row>
    <row r="5306" spans="10:10" ht="15" customHeight="1" x14ac:dyDescent="0.3">
      <c r="J5306" s="33"/>
    </row>
    <row r="5307" spans="10:10" ht="15" customHeight="1" x14ac:dyDescent="0.3">
      <c r="J5307" s="33"/>
    </row>
    <row r="5308" spans="10:10" ht="15" customHeight="1" x14ac:dyDescent="0.3">
      <c r="J5308" s="33"/>
    </row>
    <row r="5309" spans="10:10" ht="15" customHeight="1" x14ac:dyDescent="0.3">
      <c r="J5309" s="33"/>
    </row>
    <row r="5310" spans="10:10" ht="15" customHeight="1" x14ac:dyDescent="0.3">
      <c r="J5310" s="33"/>
    </row>
    <row r="5311" spans="10:10" ht="15" customHeight="1" x14ac:dyDescent="0.3">
      <c r="J5311" s="33"/>
    </row>
    <row r="5312" spans="10:10" ht="15" customHeight="1" x14ac:dyDescent="0.3">
      <c r="J5312" s="33"/>
    </row>
    <row r="5313" spans="10:10" ht="15" customHeight="1" x14ac:dyDescent="0.3">
      <c r="J5313" s="33"/>
    </row>
    <row r="5314" spans="10:10" ht="15" customHeight="1" x14ac:dyDescent="0.3">
      <c r="J5314" s="33"/>
    </row>
    <row r="5315" spans="10:10" ht="15" customHeight="1" x14ac:dyDescent="0.3">
      <c r="J5315" s="33"/>
    </row>
    <row r="5316" spans="10:10" ht="15" customHeight="1" x14ac:dyDescent="0.3">
      <c r="J5316" s="33"/>
    </row>
    <row r="5317" spans="10:10" ht="15" customHeight="1" x14ac:dyDescent="0.3">
      <c r="J5317" s="33"/>
    </row>
    <row r="5318" spans="10:10" ht="15" customHeight="1" x14ac:dyDescent="0.3">
      <c r="J5318" s="33"/>
    </row>
    <row r="5319" spans="10:10" ht="15" customHeight="1" x14ac:dyDescent="0.3">
      <c r="J5319" s="33"/>
    </row>
    <row r="5320" spans="10:10" ht="15" customHeight="1" x14ac:dyDescent="0.3">
      <c r="J5320" s="33"/>
    </row>
    <row r="5321" spans="10:10" ht="15" customHeight="1" x14ac:dyDescent="0.3">
      <c r="J5321" s="33"/>
    </row>
    <row r="5322" spans="10:10" ht="15" customHeight="1" x14ac:dyDescent="0.3">
      <c r="J5322" s="33"/>
    </row>
    <row r="5323" spans="10:10" ht="15" customHeight="1" x14ac:dyDescent="0.3">
      <c r="J5323" s="33"/>
    </row>
    <row r="5324" spans="10:10" ht="15" customHeight="1" x14ac:dyDescent="0.3">
      <c r="J5324" s="33"/>
    </row>
    <row r="5325" spans="10:10" ht="15" customHeight="1" x14ac:dyDescent="0.3">
      <c r="J5325" s="33"/>
    </row>
    <row r="5326" spans="10:10" ht="15" customHeight="1" x14ac:dyDescent="0.3">
      <c r="J5326" s="33"/>
    </row>
    <row r="5327" spans="10:10" ht="15" customHeight="1" x14ac:dyDescent="0.3">
      <c r="J5327" s="33"/>
    </row>
    <row r="5328" spans="10:10" ht="15" customHeight="1" x14ac:dyDescent="0.3">
      <c r="J5328" s="33"/>
    </row>
    <row r="5329" spans="10:10" ht="15" customHeight="1" x14ac:dyDescent="0.3">
      <c r="J5329" s="33"/>
    </row>
    <row r="5330" spans="10:10" ht="15" customHeight="1" x14ac:dyDescent="0.3">
      <c r="J5330" s="33"/>
    </row>
    <row r="5331" spans="10:10" ht="15" customHeight="1" x14ac:dyDescent="0.3">
      <c r="J5331" s="33"/>
    </row>
    <row r="5332" spans="10:10" ht="15" customHeight="1" x14ac:dyDescent="0.3">
      <c r="J5332" s="33"/>
    </row>
    <row r="5333" spans="10:10" ht="15" customHeight="1" x14ac:dyDescent="0.3">
      <c r="J5333" s="33"/>
    </row>
    <row r="5334" spans="10:10" ht="15" customHeight="1" x14ac:dyDescent="0.3">
      <c r="J5334" s="33"/>
    </row>
    <row r="5335" spans="10:10" ht="15" customHeight="1" x14ac:dyDescent="0.3">
      <c r="J5335" s="33"/>
    </row>
    <row r="5336" spans="10:10" ht="15" customHeight="1" x14ac:dyDescent="0.3">
      <c r="J5336" s="33"/>
    </row>
    <row r="5337" spans="10:10" ht="15" customHeight="1" x14ac:dyDescent="0.3">
      <c r="J5337" s="33"/>
    </row>
    <row r="5338" spans="10:10" ht="15" customHeight="1" x14ac:dyDescent="0.3">
      <c r="J5338" s="33"/>
    </row>
    <row r="5339" spans="10:10" ht="15" customHeight="1" x14ac:dyDescent="0.3">
      <c r="J5339" s="33"/>
    </row>
    <row r="5340" spans="10:10" ht="15" customHeight="1" x14ac:dyDescent="0.3">
      <c r="J5340" s="33"/>
    </row>
    <row r="5341" spans="10:10" ht="15" customHeight="1" x14ac:dyDescent="0.3">
      <c r="J5341" s="33"/>
    </row>
    <row r="5342" spans="10:10" ht="15" customHeight="1" x14ac:dyDescent="0.3">
      <c r="J5342" s="33"/>
    </row>
    <row r="5343" spans="10:10" ht="15" customHeight="1" x14ac:dyDescent="0.3">
      <c r="J5343" s="33"/>
    </row>
    <row r="5344" spans="10:10" ht="15" customHeight="1" x14ac:dyDescent="0.3">
      <c r="J5344" s="33"/>
    </row>
    <row r="5345" spans="10:10" ht="15" customHeight="1" x14ac:dyDescent="0.3">
      <c r="J5345" s="33"/>
    </row>
    <row r="5346" spans="10:10" ht="15" customHeight="1" x14ac:dyDescent="0.3">
      <c r="J5346" s="33"/>
    </row>
    <row r="5347" spans="10:10" ht="15" customHeight="1" x14ac:dyDescent="0.3">
      <c r="J5347" s="33"/>
    </row>
    <row r="5348" spans="10:10" ht="15" customHeight="1" x14ac:dyDescent="0.3">
      <c r="J5348" s="33"/>
    </row>
    <row r="5349" spans="10:10" ht="15" customHeight="1" x14ac:dyDescent="0.3">
      <c r="J5349" s="33"/>
    </row>
    <row r="5350" spans="10:10" ht="15" customHeight="1" x14ac:dyDescent="0.3">
      <c r="J5350" s="33"/>
    </row>
    <row r="5351" spans="10:10" ht="15" customHeight="1" x14ac:dyDescent="0.3">
      <c r="J5351" s="33"/>
    </row>
    <row r="5352" spans="10:10" ht="15" customHeight="1" x14ac:dyDescent="0.3">
      <c r="J5352" s="33"/>
    </row>
    <row r="5353" spans="10:10" ht="15" customHeight="1" x14ac:dyDescent="0.3">
      <c r="J5353" s="33"/>
    </row>
    <row r="5354" spans="10:10" ht="15" customHeight="1" x14ac:dyDescent="0.3">
      <c r="J5354" s="33"/>
    </row>
    <row r="5355" spans="10:10" ht="15" customHeight="1" x14ac:dyDescent="0.3">
      <c r="J5355" s="33"/>
    </row>
    <row r="5356" spans="10:10" ht="15" customHeight="1" x14ac:dyDescent="0.3">
      <c r="J5356" s="33"/>
    </row>
    <row r="5357" spans="10:10" ht="15" customHeight="1" x14ac:dyDescent="0.3">
      <c r="J5357" s="33"/>
    </row>
    <row r="5358" spans="10:10" ht="15" customHeight="1" x14ac:dyDescent="0.3">
      <c r="J5358" s="33"/>
    </row>
    <row r="5359" spans="10:10" ht="15" customHeight="1" x14ac:dyDescent="0.3">
      <c r="J5359" s="33"/>
    </row>
    <row r="5360" spans="10:10" ht="15" customHeight="1" x14ac:dyDescent="0.3">
      <c r="J5360" s="33"/>
    </row>
    <row r="5361" spans="10:10" ht="15" customHeight="1" x14ac:dyDescent="0.3">
      <c r="J5361" s="33"/>
    </row>
    <row r="5362" spans="10:10" ht="15" customHeight="1" x14ac:dyDescent="0.3">
      <c r="J5362" s="33"/>
    </row>
    <row r="5363" spans="10:10" ht="15" customHeight="1" x14ac:dyDescent="0.3">
      <c r="J5363" s="33"/>
    </row>
    <row r="5364" spans="10:10" ht="15" customHeight="1" x14ac:dyDescent="0.3">
      <c r="J5364" s="33"/>
    </row>
    <row r="5365" spans="10:10" ht="15" customHeight="1" x14ac:dyDescent="0.3">
      <c r="J5365" s="33"/>
    </row>
    <row r="5366" spans="10:10" ht="15" customHeight="1" x14ac:dyDescent="0.3">
      <c r="J5366" s="33"/>
    </row>
    <row r="5367" spans="10:10" ht="15" customHeight="1" x14ac:dyDescent="0.3">
      <c r="J5367" s="33"/>
    </row>
    <row r="5368" spans="10:10" ht="15" customHeight="1" x14ac:dyDescent="0.3">
      <c r="J5368" s="33"/>
    </row>
    <row r="5369" spans="10:10" ht="15" customHeight="1" x14ac:dyDescent="0.3">
      <c r="J5369" s="33"/>
    </row>
    <row r="5370" spans="10:10" ht="15" customHeight="1" x14ac:dyDescent="0.3">
      <c r="J5370" s="33"/>
    </row>
    <row r="5371" spans="10:10" ht="15" customHeight="1" x14ac:dyDescent="0.3">
      <c r="J5371" s="33"/>
    </row>
    <row r="5372" spans="10:10" ht="15" customHeight="1" x14ac:dyDescent="0.3">
      <c r="J5372" s="33"/>
    </row>
    <row r="5373" spans="10:10" ht="15" customHeight="1" x14ac:dyDescent="0.3">
      <c r="J5373" s="33"/>
    </row>
    <row r="5374" spans="10:10" ht="15" customHeight="1" x14ac:dyDescent="0.3">
      <c r="J5374" s="33"/>
    </row>
    <row r="5375" spans="10:10" ht="15" customHeight="1" x14ac:dyDescent="0.3">
      <c r="J5375" s="33"/>
    </row>
    <row r="5376" spans="10:10" ht="15" customHeight="1" x14ac:dyDescent="0.3">
      <c r="J5376" s="33"/>
    </row>
    <row r="5377" spans="10:10" ht="15" customHeight="1" x14ac:dyDescent="0.3">
      <c r="J5377" s="33"/>
    </row>
    <row r="5378" spans="10:10" ht="15" customHeight="1" x14ac:dyDescent="0.3">
      <c r="J5378" s="33"/>
    </row>
    <row r="5379" spans="10:10" ht="15" customHeight="1" x14ac:dyDescent="0.3">
      <c r="J5379" s="33"/>
    </row>
    <row r="5380" spans="10:10" ht="15" customHeight="1" x14ac:dyDescent="0.3">
      <c r="J5380" s="33"/>
    </row>
    <row r="5381" spans="10:10" ht="15" customHeight="1" x14ac:dyDescent="0.3">
      <c r="J5381" s="33"/>
    </row>
    <row r="5382" spans="10:10" ht="15" customHeight="1" x14ac:dyDescent="0.3">
      <c r="J5382" s="33"/>
    </row>
    <row r="5383" spans="10:10" ht="15" customHeight="1" x14ac:dyDescent="0.3">
      <c r="J5383" s="33"/>
    </row>
    <row r="5384" spans="10:10" ht="15" customHeight="1" x14ac:dyDescent="0.3">
      <c r="J5384" s="33"/>
    </row>
    <row r="5385" spans="10:10" ht="15" customHeight="1" x14ac:dyDescent="0.3">
      <c r="J5385" s="33"/>
    </row>
    <row r="5386" spans="10:10" ht="15" customHeight="1" x14ac:dyDescent="0.3">
      <c r="J5386" s="33"/>
    </row>
    <row r="5387" spans="10:10" ht="15" customHeight="1" x14ac:dyDescent="0.3">
      <c r="J5387" s="33"/>
    </row>
    <row r="5388" spans="10:10" ht="15" customHeight="1" x14ac:dyDescent="0.3">
      <c r="J5388" s="33"/>
    </row>
    <row r="5389" spans="10:10" ht="15" customHeight="1" x14ac:dyDescent="0.3">
      <c r="J5389" s="33"/>
    </row>
    <row r="5390" spans="10:10" ht="15" customHeight="1" x14ac:dyDescent="0.3">
      <c r="J5390" s="33"/>
    </row>
    <row r="5391" spans="10:10" ht="15" customHeight="1" x14ac:dyDescent="0.3">
      <c r="J5391" s="33"/>
    </row>
    <row r="5392" spans="10:10" ht="15" customHeight="1" x14ac:dyDescent="0.3">
      <c r="J5392" s="33"/>
    </row>
    <row r="5393" spans="10:10" ht="15" customHeight="1" x14ac:dyDescent="0.3">
      <c r="J5393" s="33"/>
    </row>
    <row r="5394" spans="10:10" ht="15" customHeight="1" x14ac:dyDescent="0.3">
      <c r="J5394" s="33"/>
    </row>
    <row r="5395" spans="10:10" ht="15" customHeight="1" x14ac:dyDescent="0.3">
      <c r="J5395" s="33"/>
    </row>
    <row r="5396" spans="10:10" ht="15" customHeight="1" x14ac:dyDescent="0.3">
      <c r="J5396" s="33"/>
    </row>
    <row r="5397" spans="10:10" ht="15" customHeight="1" x14ac:dyDescent="0.3">
      <c r="J5397" s="33"/>
    </row>
    <row r="5398" spans="10:10" ht="15" customHeight="1" x14ac:dyDescent="0.3">
      <c r="J5398" s="33"/>
    </row>
    <row r="5399" spans="10:10" ht="15" customHeight="1" x14ac:dyDescent="0.3">
      <c r="J5399" s="33"/>
    </row>
    <row r="5400" spans="10:10" ht="15" customHeight="1" x14ac:dyDescent="0.3">
      <c r="J5400" s="33"/>
    </row>
    <row r="5401" spans="10:10" ht="15" customHeight="1" x14ac:dyDescent="0.3">
      <c r="J5401" s="33"/>
    </row>
    <row r="5402" spans="10:10" ht="15" customHeight="1" x14ac:dyDescent="0.3">
      <c r="J5402" s="33"/>
    </row>
    <row r="5403" spans="10:10" ht="15" customHeight="1" x14ac:dyDescent="0.3">
      <c r="J5403" s="33"/>
    </row>
    <row r="5404" spans="10:10" ht="15" customHeight="1" x14ac:dyDescent="0.3">
      <c r="J5404" s="33"/>
    </row>
    <row r="5405" spans="10:10" ht="15" customHeight="1" x14ac:dyDescent="0.3">
      <c r="J5405" s="33"/>
    </row>
    <row r="5406" spans="10:10" ht="15" customHeight="1" x14ac:dyDescent="0.3">
      <c r="J5406" s="33"/>
    </row>
    <row r="5407" spans="10:10" ht="15" customHeight="1" x14ac:dyDescent="0.3">
      <c r="J5407" s="33"/>
    </row>
    <row r="5408" spans="10:10" ht="15" customHeight="1" x14ac:dyDescent="0.3">
      <c r="J5408" s="33"/>
    </row>
    <row r="5409" spans="10:10" ht="15" customHeight="1" x14ac:dyDescent="0.3">
      <c r="J5409" s="33"/>
    </row>
    <row r="5410" spans="10:10" ht="15" customHeight="1" x14ac:dyDescent="0.3">
      <c r="J5410" s="33"/>
    </row>
    <row r="5411" spans="10:10" ht="15" customHeight="1" x14ac:dyDescent="0.3">
      <c r="J5411" s="33"/>
    </row>
    <row r="5412" spans="10:10" ht="15" customHeight="1" x14ac:dyDescent="0.3">
      <c r="J5412" s="33"/>
    </row>
    <row r="5413" spans="10:10" ht="15" customHeight="1" x14ac:dyDescent="0.3">
      <c r="J5413" s="33"/>
    </row>
    <row r="5414" spans="10:10" ht="15" customHeight="1" x14ac:dyDescent="0.3">
      <c r="J5414" s="33"/>
    </row>
    <row r="5415" spans="10:10" ht="15" customHeight="1" x14ac:dyDescent="0.3">
      <c r="J5415" s="33"/>
    </row>
    <row r="5416" spans="10:10" ht="15" customHeight="1" x14ac:dyDescent="0.3">
      <c r="J5416" s="33"/>
    </row>
    <row r="5417" spans="10:10" ht="15" customHeight="1" x14ac:dyDescent="0.3">
      <c r="J5417" s="33"/>
    </row>
    <row r="5418" spans="10:10" ht="15" customHeight="1" x14ac:dyDescent="0.3">
      <c r="J5418" s="33"/>
    </row>
    <row r="5419" spans="10:10" ht="15" customHeight="1" x14ac:dyDescent="0.3">
      <c r="J5419" s="33"/>
    </row>
    <row r="5420" spans="10:10" ht="15" customHeight="1" x14ac:dyDescent="0.3">
      <c r="J5420" s="33"/>
    </row>
    <row r="5421" spans="10:10" ht="15" customHeight="1" x14ac:dyDescent="0.3">
      <c r="J5421" s="33"/>
    </row>
    <row r="5422" spans="10:10" ht="15" customHeight="1" x14ac:dyDescent="0.3">
      <c r="J5422" s="33"/>
    </row>
    <row r="5423" spans="10:10" ht="15" customHeight="1" x14ac:dyDescent="0.3">
      <c r="J5423" s="33"/>
    </row>
    <row r="5424" spans="10:10" ht="15" customHeight="1" x14ac:dyDescent="0.3">
      <c r="J5424" s="33"/>
    </row>
    <row r="5425" spans="10:10" ht="15" customHeight="1" x14ac:dyDescent="0.3">
      <c r="J5425" s="33"/>
    </row>
    <row r="5426" spans="10:10" ht="15" customHeight="1" x14ac:dyDescent="0.3">
      <c r="J5426" s="33"/>
    </row>
    <row r="5427" spans="10:10" ht="15" customHeight="1" x14ac:dyDescent="0.3">
      <c r="J5427" s="33"/>
    </row>
    <row r="5428" spans="10:10" ht="15" customHeight="1" x14ac:dyDescent="0.3">
      <c r="J5428" s="33"/>
    </row>
    <row r="5429" spans="10:10" ht="15" customHeight="1" x14ac:dyDescent="0.3">
      <c r="J5429" s="33"/>
    </row>
    <row r="5430" spans="10:10" ht="15" customHeight="1" x14ac:dyDescent="0.3">
      <c r="J5430" s="33"/>
    </row>
    <row r="5431" spans="10:10" ht="15" customHeight="1" x14ac:dyDescent="0.3">
      <c r="J5431" s="33"/>
    </row>
    <row r="5432" spans="10:10" ht="15" customHeight="1" x14ac:dyDescent="0.3">
      <c r="J5432" s="33"/>
    </row>
    <row r="5433" spans="10:10" ht="15" customHeight="1" x14ac:dyDescent="0.3">
      <c r="J5433" s="33"/>
    </row>
    <row r="5434" spans="10:10" ht="15" customHeight="1" x14ac:dyDescent="0.3">
      <c r="J5434" s="33"/>
    </row>
    <row r="5435" spans="10:10" ht="15" customHeight="1" x14ac:dyDescent="0.3">
      <c r="J5435" s="33"/>
    </row>
    <row r="5436" spans="10:10" ht="15" customHeight="1" x14ac:dyDescent="0.3">
      <c r="J5436" s="33"/>
    </row>
    <row r="5437" spans="10:10" ht="15" customHeight="1" x14ac:dyDescent="0.3">
      <c r="J5437" s="33"/>
    </row>
    <row r="5438" spans="10:10" ht="15" customHeight="1" x14ac:dyDescent="0.3">
      <c r="J5438" s="33"/>
    </row>
    <row r="5439" spans="10:10" ht="15" customHeight="1" x14ac:dyDescent="0.3">
      <c r="J5439" s="33"/>
    </row>
    <row r="5440" spans="10:10" ht="15" customHeight="1" x14ac:dyDescent="0.3">
      <c r="J5440" s="33"/>
    </row>
    <row r="5441" spans="10:10" ht="15" customHeight="1" x14ac:dyDescent="0.3">
      <c r="J5441" s="33"/>
    </row>
    <row r="5442" spans="10:10" ht="15" customHeight="1" x14ac:dyDescent="0.3">
      <c r="J5442" s="33"/>
    </row>
    <row r="5443" spans="10:10" ht="15" customHeight="1" x14ac:dyDescent="0.3">
      <c r="J5443" s="33"/>
    </row>
    <row r="5444" spans="10:10" ht="15" customHeight="1" x14ac:dyDescent="0.3">
      <c r="J5444" s="33"/>
    </row>
    <row r="5445" spans="10:10" ht="15" customHeight="1" x14ac:dyDescent="0.3">
      <c r="J5445" s="33"/>
    </row>
    <row r="5446" spans="10:10" ht="15" customHeight="1" x14ac:dyDescent="0.3">
      <c r="J5446" s="33"/>
    </row>
    <row r="5447" spans="10:10" ht="15" customHeight="1" x14ac:dyDescent="0.3">
      <c r="J5447" s="33"/>
    </row>
    <row r="5448" spans="10:10" ht="15" customHeight="1" x14ac:dyDescent="0.3">
      <c r="J5448" s="33"/>
    </row>
    <row r="5449" spans="10:10" ht="15" customHeight="1" x14ac:dyDescent="0.3">
      <c r="J5449" s="33"/>
    </row>
    <row r="5450" spans="10:10" ht="15" customHeight="1" x14ac:dyDescent="0.3">
      <c r="J5450" s="33"/>
    </row>
    <row r="5451" spans="10:10" ht="15" customHeight="1" x14ac:dyDescent="0.3">
      <c r="J5451" s="33"/>
    </row>
    <row r="5452" spans="10:10" ht="15" customHeight="1" x14ac:dyDescent="0.3">
      <c r="J5452" s="33"/>
    </row>
    <row r="5453" spans="10:10" ht="15" customHeight="1" x14ac:dyDescent="0.3">
      <c r="J5453" s="33"/>
    </row>
    <row r="5454" spans="10:10" ht="15" customHeight="1" x14ac:dyDescent="0.3">
      <c r="J5454" s="33"/>
    </row>
    <row r="5455" spans="10:10" ht="15" customHeight="1" x14ac:dyDescent="0.3">
      <c r="J5455" s="33"/>
    </row>
    <row r="5456" spans="10:10" ht="15" customHeight="1" x14ac:dyDescent="0.3">
      <c r="J5456" s="33"/>
    </row>
    <row r="5457" spans="10:10" ht="15" customHeight="1" x14ac:dyDescent="0.3">
      <c r="J5457" s="33"/>
    </row>
    <row r="5458" spans="10:10" ht="15" customHeight="1" x14ac:dyDescent="0.3">
      <c r="J5458" s="33"/>
    </row>
    <row r="5459" spans="10:10" ht="15" customHeight="1" x14ac:dyDescent="0.3">
      <c r="J5459" s="33"/>
    </row>
    <row r="5460" spans="10:10" ht="15" customHeight="1" x14ac:dyDescent="0.3">
      <c r="J5460" s="33"/>
    </row>
    <row r="5461" spans="10:10" ht="15" customHeight="1" x14ac:dyDescent="0.3">
      <c r="J5461" s="33"/>
    </row>
    <row r="5462" spans="10:10" ht="15" customHeight="1" x14ac:dyDescent="0.3">
      <c r="J5462" s="33"/>
    </row>
    <row r="5463" spans="10:10" ht="15" customHeight="1" x14ac:dyDescent="0.3">
      <c r="J5463" s="33"/>
    </row>
    <row r="5464" spans="10:10" ht="15" customHeight="1" x14ac:dyDescent="0.3">
      <c r="J5464" s="33"/>
    </row>
    <row r="5465" spans="10:10" ht="15" customHeight="1" x14ac:dyDescent="0.3">
      <c r="J5465" s="33"/>
    </row>
    <row r="5466" spans="10:10" ht="15" customHeight="1" x14ac:dyDescent="0.3">
      <c r="J5466" s="33"/>
    </row>
    <row r="5467" spans="10:10" ht="15" customHeight="1" x14ac:dyDescent="0.3">
      <c r="J5467" s="33"/>
    </row>
    <row r="5468" spans="10:10" ht="15" customHeight="1" x14ac:dyDescent="0.3">
      <c r="J5468" s="33"/>
    </row>
    <row r="5469" spans="10:10" ht="15" customHeight="1" x14ac:dyDescent="0.3">
      <c r="J5469" s="33"/>
    </row>
    <row r="5470" spans="10:10" ht="15" customHeight="1" x14ac:dyDescent="0.3">
      <c r="J5470" s="33"/>
    </row>
    <row r="5471" spans="10:10" ht="15" customHeight="1" x14ac:dyDescent="0.3">
      <c r="J5471" s="33"/>
    </row>
    <row r="5472" spans="10:10" ht="15" customHeight="1" x14ac:dyDescent="0.3">
      <c r="J5472" s="33"/>
    </row>
    <row r="5473" spans="10:10" ht="15" customHeight="1" x14ac:dyDescent="0.3">
      <c r="J5473" s="33"/>
    </row>
    <row r="5474" spans="10:10" ht="15" customHeight="1" x14ac:dyDescent="0.3">
      <c r="J5474" s="33"/>
    </row>
    <row r="5475" spans="10:10" ht="15" customHeight="1" x14ac:dyDescent="0.3">
      <c r="J5475" s="33"/>
    </row>
    <row r="5476" spans="10:10" ht="15" customHeight="1" x14ac:dyDescent="0.3">
      <c r="J5476" s="33"/>
    </row>
    <row r="5477" spans="10:10" ht="15" customHeight="1" x14ac:dyDescent="0.3">
      <c r="J5477" s="33"/>
    </row>
    <row r="5478" spans="10:10" ht="15" customHeight="1" x14ac:dyDescent="0.3">
      <c r="J5478" s="33"/>
    </row>
    <row r="5479" spans="10:10" ht="15" customHeight="1" x14ac:dyDescent="0.3">
      <c r="J5479" s="33"/>
    </row>
    <row r="5480" spans="10:10" ht="15" customHeight="1" x14ac:dyDescent="0.3">
      <c r="J5480" s="33"/>
    </row>
    <row r="5481" spans="10:10" ht="15" customHeight="1" x14ac:dyDescent="0.3">
      <c r="J5481" s="33"/>
    </row>
    <row r="5482" spans="10:10" ht="15" customHeight="1" x14ac:dyDescent="0.3">
      <c r="J5482" s="33"/>
    </row>
    <row r="5483" spans="10:10" ht="15" customHeight="1" x14ac:dyDescent="0.3">
      <c r="J5483" s="33"/>
    </row>
    <row r="5484" spans="10:10" ht="15" customHeight="1" x14ac:dyDescent="0.3">
      <c r="J5484" s="33"/>
    </row>
    <row r="5485" spans="10:10" ht="15" customHeight="1" x14ac:dyDescent="0.3">
      <c r="J5485" s="33"/>
    </row>
    <row r="5486" spans="10:10" ht="15" customHeight="1" x14ac:dyDescent="0.3">
      <c r="J5486" s="33"/>
    </row>
    <row r="5487" spans="10:10" ht="15" customHeight="1" x14ac:dyDescent="0.3">
      <c r="J5487" s="33"/>
    </row>
    <row r="5488" spans="10:10" ht="15" customHeight="1" x14ac:dyDescent="0.3">
      <c r="J5488" s="33"/>
    </row>
    <row r="5489" spans="10:10" ht="15" customHeight="1" x14ac:dyDescent="0.3">
      <c r="J5489" s="33"/>
    </row>
    <row r="5490" spans="10:10" ht="15" customHeight="1" x14ac:dyDescent="0.3">
      <c r="J5490" s="33"/>
    </row>
    <row r="5491" spans="10:10" ht="15" customHeight="1" x14ac:dyDescent="0.3">
      <c r="J5491" s="33"/>
    </row>
    <row r="5492" spans="10:10" ht="15" customHeight="1" x14ac:dyDescent="0.3">
      <c r="J5492" s="33"/>
    </row>
    <row r="5493" spans="10:10" ht="15" customHeight="1" x14ac:dyDescent="0.3">
      <c r="J5493" s="33"/>
    </row>
    <row r="5494" spans="10:10" ht="15" customHeight="1" x14ac:dyDescent="0.3">
      <c r="J5494" s="33"/>
    </row>
    <row r="5495" spans="10:10" ht="15" customHeight="1" x14ac:dyDescent="0.3">
      <c r="J5495" s="33"/>
    </row>
    <row r="5496" spans="10:10" ht="15" customHeight="1" x14ac:dyDescent="0.3">
      <c r="J5496" s="33"/>
    </row>
    <row r="5497" spans="10:10" ht="15" customHeight="1" x14ac:dyDescent="0.3">
      <c r="J5497" s="33"/>
    </row>
    <row r="5498" spans="10:10" ht="15" customHeight="1" x14ac:dyDescent="0.3">
      <c r="J5498" s="33"/>
    </row>
    <row r="5499" spans="10:10" ht="15" customHeight="1" x14ac:dyDescent="0.3">
      <c r="J5499" s="33"/>
    </row>
    <row r="5500" spans="10:10" ht="15" customHeight="1" x14ac:dyDescent="0.3">
      <c r="J5500" s="33"/>
    </row>
    <row r="5501" spans="10:10" ht="15" customHeight="1" x14ac:dyDescent="0.3">
      <c r="J5501" s="33"/>
    </row>
    <row r="5502" spans="10:10" ht="15" customHeight="1" x14ac:dyDescent="0.3">
      <c r="J5502" s="33"/>
    </row>
    <row r="5503" spans="10:10" ht="15" customHeight="1" x14ac:dyDescent="0.3">
      <c r="J5503" s="33"/>
    </row>
    <row r="5504" spans="10:10" ht="15" customHeight="1" x14ac:dyDescent="0.3">
      <c r="J5504" s="33"/>
    </row>
    <row r="5505" spans="10:10" ht="15" customHeight="1" x14ac:dyDescent="0.3">
      <c r="J5505" s="33"/>
    </row>
    <row r="5506" spans="10:10" ht="15" customHeight="1" x14ac:dyDescent="0.3">
      <c r="J5506" s="33"/>
    </row>
    <row r="5507" spans="10:10" ht="15" customHeight="1" x14ac:dyDescent="0.3">
      <c r="J5507" s="33"/>
    </row>
    <row r="5508" spans="10:10" ht="15" customHeight="1" x14ac:dyDescent="0.3">
      <c r="J5508" s="33"/>
    </row>
    <row r="5509" spans="10:10" ht="15" customHeight="1" x14ac:dyDescent="0.3">
      <c r="J5509" s="33"/>
    </row>
    <row r="5510" spans="10:10" ht="15" customHeight="1" x14ac:dyDescent="0.3">
      <c r="J5510" s="33"/>
    </row>
    <row r="5511" spans="10:10" ht="15" customHeight="1" x14ac:dyDescent="0.3">
      <c r="J5511" s="33"/>
    </row>
    <row r="5512" spans="10:10" ht="15" customHeight="1" x14ac:dyDescent="0.3">
      <c r="J5512" s="33"/>
    </row>
    <row r="5513" spans="10:10" ht="15" customHeight="1" x14ac:dyDescent="0.3">
      <c r="J5513" s="33"/>
    </row>
    <row r="5514" spans="10:10" ht="15" customHeight="1" x14ac:dyDescent="0.3">
      <c r="J5514" s="33"/>
    </row>
    <row r="5515" spans="10:10" ht="15" customHeight="1" x14ac:dyDescent="0.3">
      <c r="J5515" s="33"/>
    </row>
    <row r="5516" spans="10:10" ht="15" customHeight="1" x14ac:dyDescent="0.3">
      <c r="J5516" s="33"/>
    </row>
    <row r="5517" spans="10:10" ht="15" customHeight="1" x14ac:dyDescent="0.3">
      <c r="J5517" s="33"/>
    </row>
    <row r="5518" spans="10:10" ht="15" customHeight="1" x14ac:dyDescent="0.3">
      <c r="J5518" s="33"/>
    </row>
    <row r="5519" spans="10:10" ht="15" customHeight="1" x14ac:dyDescent="0.3">
      <c r="J5519" s="33"/>
    </row>
    <row r="5520" spans="10:10" ht="15" customHeight="1" x14ac:dyDescent="0.3">
      <c r="J5520" s="33"/>
    </row>
    <row r="5521" spans="10:10" ht="15" customHeight="1" x14ac:dyDescent="0.3">
      <c r="J5521" s="33"/>
    </row>
    <row r="5522" spans="10:10" ht="15" customHeight="1" x14ac:dyDescent="0.3">
      <c r="J5522" s="33"/>
    </row>
    <row r="5523" spans="10:10" ht="15" customHeight="1" x14ac:dyDescent="0.3">
      <c r="J5523" s="33"/>
    </row>
    <row r="5524" spans="10:10" ht="15" customHeight="1" x14ac:dyDescent="0.3">
      <c r="J5524" s="33"/>
    </row>
    <row r="5525" spans="10:10" ht="15" customHeight="1" x14ac:dyDescent="0.3">
      <c r="J5525" s="33"/>
    </row>
    <row r="5526" spans="10:10" ht="15" customHeight="1" x14ac:dyDescent="0.3">
      <c r="J5526" s="33"/>
    </row>
    <row r="5527" spans="10:10" ht="15" customHeight="1" x14ac:dyDescent="0.3">
      <c r="J5527" s="33"/>
    </row>
    <row r="5528" spans="10:10" ht="15" customHeight="1" x14ac:dyDescent="0.3">
      <c r="J5528" s="33"/>
    </row>
    <row r="5529" spans="10:10" ht="15" customHeight="1" x14ac:dyDescent="0.3">
      <c r="J5529" s="33"/>
    </row>
    <row r="5530" spans="10:10" ht="15" customHeight="1" x14ac:dyDescent="0.3">
      <c r="J5530" s="33"/>
    </row>
    <row r="5531" spans="10:10" ht="15" customHeight="1" x14ac:dyDescent="0.3">
      <c r="J5531" s="33"/>
    </row>
    <row r="5532" spans="10:10" ht="15" customHeight="1" x14ac:dyDescent="0.3">
      <c r="J5532" s="33"/>
    </row>
    <row r="5533" spans="10:10" ht="15" customHeight="1" x14ac:dyDescent="0.3">
      <c r="J5533" s="33"/>
    </row>
    <row r="5534" spans="10:10" ht="15" customHeight="1" x14ac:dyDescent="0.3">
      <c r="J5534" s="33"/>
    </row>
    <row r="5535" spans="10:10" ht="15" customHeight="1" x14ac:dyDescent="0.3">
      <c r="J5535" s="33"/>
    </row>
    <row r="5536" spans="10:10" ht="15" customHeight="1" x14ac:dyDescent="0.3">
      <c r="J5536" s="33"/>
    </row>
    <row r="5537" spans="10:10" ht="15" customHeight="1" x14ac:dyDescent="0.3">
      <c r="J5537" s="33"/>
    </row>
    <row r="5538" spans="10:10" ht="15" customHeight="1" x14ac:dyDescent="0.3">
      <c r="J5538" s="33"/>
    </row>
    <row r="5539" spans="10:10" ht="15" customHeight="1" x14ac:dyDescent="0.3">
      <c r="J5539" s="33"/>
    </row>
    <row r="5540" spans="10:10" ht="15" customHeight="1" x14ac:dyDescent="0.3">
      <c r="J5540" s="33"/>
    </row>
    <row r="5541" spans="10:10" ht="15" customHeight="1" x14ac:dyDescent="0.3">
      <c r="J5541" s="33"/>
    </row>
    <row r="5542" spans="10:10" ht="15" customHeight="1" x14ac:dyDescent="0.3">
      <c r="J5542" s="33"/>
    </row>
    <row r="5543" spans="10:10" ht="15" customHeight="1" x14ac:dyDescent="0.3">
      <c r="J5543" s="33"/>
    </row>
    <row r="5544" spans="10:10" ht="15" customHeight="1" x14ac:dyDescent="0.3">
      <c r="J5544" s="33"/>
    </row>
    <row r="5545" spans="10:10" ht="15" customHeight="1" x14ac:dyDescent="0.3">
      <c r="J5545" s="33"/>
    </row>
    <row r="5546" spans="10:10" ht="15" customHeight="1" x14ac:dyDescent="0.3">
      <c r="J5546" s="33"/>
    </row>
    <row r="5547" spans="10:10" ht="15" customHeight="1" x14ac:dyDescent="0.3">
      <c r="J5547" s="33"/>
    </row>
    <row r="5548" spans="10:10" ht="15" customHeight="1" x14ac:dyDescent="0.3">
      <c r="J5548" s="33"/>
    </row>
    <row r="5549" spans="10:10" ht="15" customHeight="1" x14ac:dyDescent="0.3">
      <c r="J5549" s="33"/>
    </row>
    <row r="5550" spans="10:10" ht="15" customHeight="1" x14ac:dyDescent="0.3">
      <c r="J5550" s="33"/>
    </row>
    <row r="5551" spans="10:10" ht="15" customHeight="1" x14ac:dyDescent="0.3">
      <c r="J5551" s="33"/>
    </row>
    <row r="5552" spans="10:10" ht="15" customHeight="1" x14ac:dyDescent="0.3">
      <c r="J5552" s="33"/>
    </row>
    <row r="5553" spans="10:10" ht="15" customHeight="1" x14ac:dyDescent="0.3">
      <c r="J5553" s="33"/>
    </row>
    <row r="5554" spans="10:10" ht="15" customHeight="1" x14ac:dyDescent="0.3">
      <c r="J5554" s="33"/>
    </row>
    <row r="5555" spans="10:10" ht="15" customHeight="1" x14ac:dyDescent="0.3">
      <c r="J5555" s="33"/>
    </row>
    <row r="5556" spans="10:10" ht="15" customHeight="1" x14ac:dyDescent="0.3">
      <c r="J5556" s="33"/>
    </row>
    <row r="5557" spans="10:10" ht="15" customHeight="1" x14ac:dyDescent="0.3">
      <c r="J5557" s="33"/>
    </row>
    <row r="5558" spans="10:10" ht="15" customHeight="1" x14ac:dyDescent="0.3">
      <c r="J5558" s="33"/>
    </row>
    <row r="5559" spans="10:10" ht="15" customHeight="1" x14ac:dyDescent="0.3">
      <c r="J5559" s="33"/>
    </row>
    <row r="5560" spans="10:10" ht="15" customHeight="1" x14ac:dyDescent="0.3">
      <c r="J5560" s="33"/>
    </row>
    <row r="5561" spans="10:10" ht="15" customHeight="1" x14ac:dyDescent="0.3">
      <c r="J5561" s="33"/>
    </row>
    <row r="5562" spans="10:10" ht="15" customHeight="1" x14ac:dyDescent="0.3">
      <c r="J5562" s="33"/>
    </row>
    <row r="5563" spans="10:10" ht="15" customHeight="1" x14ac:dyDescent="0.3">
      <c r="J5563" s="33"/>
    </row>
    <row r="5564" spans="10:10" ht="15" customHeight="1" x14ac:dyDescent="0.3">
      <c r="J5564" s="33"/>
    </row>
    <row r="5565" spans="10:10" ht="15" customHeight="1" x14ac:dyDescent="0.3">
      <c r="J5565" s="33"/>
    </row>
    <row r="5566" spans="10:10" ht="15" customHeight="1" x14ac:dyDescent="0.3">
      <c r="J5566" s="33"/>
    </row>
    <row r="5567" spans="10:10" ht="15" customHeight="1" x14ac:dyDescent="0.3">
      <c r="J5567" s="33"/>
    </row>
    <row r="5568" spans="10:10" ht="15" customHeight="1" x14ac:dyDescent="0.3">
      <c r="J5568" s="33"/>
    </row>
    <row r="5569" spans="10:10" ht="15" customHeight="1" x14ac:dyDescent="0.3">
      <c r="J5569" s="33"/>
    </row>
    <row r="5570" spans="10:10" ht="15" customHeight="1" x14ac:dyDescent="0.3">
      <c r="J5570" s="33"/>
    </row>
    <row r="5571" spans="10:10" ht="15" customHeight="1" x14ac:dyDescent="0.3">
      <c r="J5571" s="33"/>
    </row>
    <row r="5572" spans="10:10" ht="15" customHeight="1" x14ac:dyDescent="0.3">
      <c r="J5572" s="33"/>
    </row>
    <row r="5573" spans="10:10" ht="15" customHeight="1" x14ac:dyDescent="0.3">
      <c r="J5573" s="33"/>
    </row>
    <row r="5574" spans="10:10" ht="15" customHeight="1" x14ac:dyDescent="0.3">
      <c r="J5574" s="33"/>
    </row>
    <row r="5575" spans="10:10" ht="15" customHeight="1" x14ac:dyDescent="0.3">
      <c r="J5575" s="33"/>
    </row>
    <row r="5576" spans="10:10" ht="15" customHeight="1" x14ac:dyDescent="0.3">
      <c r="J5576" s="33"/>
    </row>
    <row r="5577" spans="10:10" ht="15" customHeight="1" x14ac:dyDescent="0.3">
      <c r="J5577" s="33"/>
    </row>
    <row r="5578" spans="10:10" ht="15" customHeight="1" x14ac:dyDescent="0.3">
      <c r="J5578" s="33"/>
    </row>
    <row r="5579" spans="10:10" ht="15" customHeight="1" x14ac:dyDescent="0.3">
      <c r="J5579" s="33"/>
    </row>
    <row r="5580" spans="10:10" ht="15" customHeight="1" x14ac:dyDescent="0.3">
      <c r="J5580" s="33"/>
    </row>
    <row r="5581" spans="10:10" ht="15" customHeight="1" x14ac:dyDescent="0.3">
      <c r="J5581" s="33"/>
    </row>
    <row r="5582" spans="10:10" ht="15" customHeight="1" x14ac:dyDescent="0.3">
      <c r="J5582" s="33"/>
    </row>
    <row r="5583" spans="10:10" ht="15" customHeight="1" x14ac:dyDescent="0.3">
      <c r="J5583" s="33"/>
    </row>
    <row r="5584" spans="10:10" ht="15" customHeight="1" x14ac:dyDescent="0.3">
      <c r="J5584" s="33"/>
    </row>
    <row r="5585" spans="10:10" ht="15" customHeight="1" x14ac:dyDescent="0.3">
      <c r="J5585" s="33"/>
    </row>
    <row r="5586" spans="10:10" ht="15" customHeight="1" x14ac:dyDescent="0.3">
      <c r="J5586" s="33"/>
    </row>
    <row r="5587" spans="10:10" ht="15" customHeight="1" x14ac:dyDescent="0.3">
      <c r="J5587" s="33"/>
    </row>
    <row r="5588" spans="10:10" ht="15" customHeight="1" x14ac:dyDescent="0.3">
      <c r="J5588" s="33"/>
    </row>
    <row r="5589" spans="10:10" ht="15" customHeight="1" x14ac:dyDescent="0.3">
      <c r="J5589" s="33"/>
    </row>
    <row r="5590" spans="10:10" ht="15" customHeight="1" x14ac:dyDescent="0.3">
      <c r="J5590" s="33"/>
    </row>
    <row r="5591" spans="10:10" ht="15" customHeight="1" x14ac:dyDescent="0.3">
      <c r="J5591" s="33"/>
    </row>
    <row r="5592" spans="10:10" ht="15" customHeight="1" x14ac:dyDescent="0.3">
      <c r="J5592" s="33"/>
    </row>
    <row r="5593" spans="10:10" ht="15" customHeight="1" x14ac:dyDescent="0.3">
      <c r="J5593" s="33"/>
    </row>
    <row r="5594" spans="10:10" ht="15" customHeight="1" x14ac:dyDescent="0.3">
      <c r="J5594" s="33"/>
    </row>
    <row r="5595" spans="10:10" ht="15" customHeight="1" x14ac:dyDescent="0.3">
      <c r="J5595" s="33"/>
    </row>
    <row r="5596" spans="10:10" ht="15" customHeight="1" x14ac:dyDescent="0.3">
      <c r="J5596" s="33"/>
    </row>
    <row r="5597" spans="10:10" ht="15" customHeight="1" x14ac:dyDescent="0.3">
      <c r="J5597" s="33"/>
    </row>
    <row r="5598" spans="10:10" ht="15" customHeight="1" x14ac:dyDescent="0.3">
      <c r="J5598" s="33"/>
    </row>
    <row r="5599" spans="10:10" ht="15" customHeight="1" x14ac:dyDescent="0.3">
      <c r="J5599" s="33"/>
    </row>
    <row r="5600" spans="10:10" ht="15" customHeight="1" x14ac:dyDescent="0.3">
      <c r="J5600" s="33"/>
    </row>
    <row r="5601" spans="10:10" ht="15" customHeight="1" x14ac:dyDescent="0.3">
      <c r="J5601" s="33"/>
    </row>
    <row r="5602" spans="10:10" ht="15" customHeight="1" x14ac:dyDescent="0.3">
      <c r="J5602" s="33"/>
    </row>
    <row r="5603" spans="10:10" ht="15" customHeight="1" x14ac:dyDescent="0.3">
      <c r="J5603" s="33"/>
    </row>
    <row r="5604" spans="10:10" ht="15" customHeight="1" x14ac:dyDescent="0.3">
      <c r="J5604" s="33"/>
    </row>
    <row r="5605" spans="10:10" ht="15" customHeight="1" x14ac:dyDescent="0.3">
      <c r="J5605" s="33"/>
    </row>
    <row r="5606" spans="10:10" ht="15" customHeight="1" x14ac:dyDescent="0.3">
      <c r="J5606" s="33"/>
    </row>
    <row r="5607" spans="10:10" ht="15" customHeight="1" x14ac:dyDescent="0.3">
      <c r="J5607" s="33"/>
    </row>
    <row r="5608" spans="10:10" ht="15" customHeight="1" x14ac:dyDescent="0.3">
      <c r="J5608" s="33"/>
    </row>
    <row r="5609" spans="10:10" ht="15" customHeight="1" x14ac:dyDescent="0.3">
      <c r="J5609" s="33"/>
    </row>
    <row r="5610" spans="10:10" ht="15" customHeight="1" x14ac:dyDescent="0.3">
      <c r="J5610" s="33"/>
    </row>
    <row r="5611" spans="10:10" ht="15" customHeight="1" x14ac:dyDescent="0.3">
      <c r="J5611" s="33"/>
    </row>
    <row r="5612" spans="10:10" ht="15" customHeight="1" x14ac:dyDescent="0.3">
      <c r="J5612" s="33"/>
    </row>
    <row r="5613" spans="10:10" ht="15" customHeight="1" x14ac:dyDescent="0.3">
      <c r="J5613" s="33"/>
    </row>
    <row r="5614" spans="10:10" ht="15" customHeight="1" x14ac:dyDescent="0.3">
      <c r="J5614" s="33"/>
    </row>
    <row r="5615" spans="10:10" ht="15" customHeight="1" x14ac:dyDescent="0.3">
      <c r="J5615" s="33"/>
    </row>
    <row r="5616" spans="10:10" ht="15" customHeight="1" x14ac:dyDescent="0.3">
      <c r="J5616" s="33"/>
    </row>
    <row r="5617" spans="10:10" ht="15" customHeight="1" x14ac:dyDescent="0.3">
      <c r="J5617" s="33"/>
    </row>
    <row r="5618" spans="10:10" ht="15" customHeight="1" x14ac:dyDescent="0.3">
      <c r="J5618" s="33"/>
    </row>
    <row r="5619" spans="10:10" ht="15" customHeight="1" x14ac:dyDescent="0.3">
      <c r="J5619" s="33"/>
    </row>
    <row r="5620" spans="10:10" ht="15" customHeight="1" x14ac:dyDescent="0.3">
      <c r="J5620" s="33"/>
    </row>
    <row r="5621" spans="10:10" ht="15" customHeight="1" x14ac:dyDescent="0.3">
      <c r="J5621" s="33"/>
    </row>
    <row r="5622" spans="10:10" ht="15" customHeight="1" x14ac:dyDescent="0.3">
      <c r="J5622" s="33"/>
    </row>
    <row r="5623" spans="10:10" ht="15" customHeight="1" x14ac:dyDescent="0.3">
      <c r="J5623" s="33"/>
    </row>
    <row r="5624" spans="10:10" ht="15" customHeight="1" x14ac:dyDescent="0.3">
      <c r="J5624" s="33"/>
    </row>
    <row r="5625" spans="10:10" ht="15" customHeight="1" x14ac:dyDescent="0.3">
      <c r="J5625" s="33"/>
    </row>
    <row r="5626" spans="10:10" ht="15" customHeight="1" x14ac:dyDescent="0.3">
      <c r="J5626" s="33"/>
    </row>
    <row r="5627" spans="10:10" ht="15" customHeight="1" x14ac:dyDescent="0.3">
      <c r="J5627" s="33"/>
    </row>
    <row r="5628" spans="10:10" ht="15" customHeight="1" x14ac:dyDescent="0.3">
      <c r="J5628" s="33"/>
    </row>
    <row r="5629" spans="10:10" ht="15" customHeight="1" x14ac:dyDescent="0.3">
      <c r="J5629" s="33"/>
    </row>
    <row r="5630" spans="10:10" ht="15" customHeight="1" x14ac:dyDescent="0.3">
      <c r="J5630" s="33"/>
    </row>
    <row r="5631" spans="10:10" ht="15" customHeight="1" x14ac:dyDescent="0.3">
      <c r="J5631" s="33"/>
    </row>
    <row r="5632" spans="10:10" ht="15" customHeight="1" x14ac:dyDescent="0.3">
      <c r="J5632" s="33"/>
    </row>
    <row r="5633" spans="10:10" ht="15" customHeight="1" x14ac:dyDescent="0.3">
      <c r="J5633" s="33"/>
    </row>
    <row r="5634" spans="10:10" ht="15" customHeight="1" x14ac:dyDescent="0.3">
      <c r="J5634" s="33"/>
    </row>
    <row r="5635" spans="10:10" ht="15" customHeight="1" x14ac:dyDescent="0.3">
      <c r="J5635" s="33"/>
    </row>
    <row r="5636" spans="10:10" ht="15" customHeight="1" x14ac:dyDescent="0.3">
      <c r="J5636" s="33"/>
    </row>
    <row r="5637" spans="10:10" ht="15" customHeight="1" x14ac:dyDescent="0.3">
      <c r="J5637" s="33"/>
    </row>
    <row r="5638" spans="10:10" ht="15" customHeight="1" x14ac:dyDescent="0.3">
      <c r="J5638" s="33"/>
    </row>
    <row r="5639" spans="10:10" ht="15" customHeight="1" x14ac:dyDescent="0.3">
      <c r="J5639" s="33"/>
    </row>
    <row r="5640" spans="10:10" ht="15" customHeight="1" x14ac:dyDescent="0.3">
      <c r="J5640" s="33"/>
    </row>
    <row r="5641" spans="10:10" ht="15" customHeight="1" x14ac:dyDescent="0.3">
      <c r="J5641" s="33"/>
    </row>
    <row r="5642" spans="10:10" ht="15" customHeight="1" x14ac:dyDescent="0.3">
      <c r="J5642" s="33"/>
    </row>
    <row r="5643" spans="10:10" ht="15" customHeight="1" x14ac:dyDescent="0.3">
      <c r="J5643" s="33"/>
    </row>
    <row r="5644" spans="10:10" ht="15" customHeight="1" x14ac:dyDescent="0.3">
      <c r="J5644" s="33"/>
    </row>
    <row r="5645" spans="10:10" ht="15" customHeight="1" x14ac:dyDescent="0.3">
      <c r="J5645" s="33"/>
    </row>
    <row r="5646" spans="10:10" ht="15" customHeight="1" x14ac:dyDescent="0.3">
      <c r="J5646" s="33"/>
    </row>
    <row r="5647" spans="10:10" ht="15" customHeight="1" x14ac:dyDescent="0.3">
      <c r="J5647" s="33"/>
    </row>
    <row r="5648" spans="10:10" ht="15" customHeight="1" x14ac:dyDescent="0.3">
      <c r="J5648" s="33"/>
    </row>
    <row r="5649" spans="10:10" ht="15" customHeight="1" x14ac:dyDescent="0.3">
      <c r="J5649" s="33"/>
    </row>
    <row r="5650" spans="10:10" ht="15" customHeight="1" x14ac:dyDescent="0.3">
      <c r="J5650" s="33"/>
    </row>
    <row r="5651" spans="10:10" ht="15" customHeight="1" x14ac:dyDescent="0.3">
      <c r="J5651" s="33"/>
    </row>
    <row r="5652" spans="10:10" ht="15" customHeight="1" x14ac:dyDescent="0.3">
      <c r="J5652" s="33"/>
    </row>
    <row r="5653" spans="10:10" ht="15" customHeight="1" x14ac:dyDescent="0.3">
      <c r="J5653" s="33"/>
    </row>
    <row r="5654" spans="10:10" ht="15" customHeight="1" x14ac:dyDescent="0.3">
      <c r="J5654" s="33"/>
    </row>
    <row r="5655" spans="10:10" ht="15" customHeight="1" x14ac:dyDescent="0.3">
      <c r="J5655" s="33"/>
    </row>
    <row r="5656" spans="10:10" ht="15" customHeight="1" x14ac:dyDescent="0.3">
      <c r="J5656" s="33"/>
    </row>
    <row r="5657" spans="10:10" ht="15" customHeight="1" x14ac:dyDescent="0.3">
      <c r="J5657" s="33"/>
    </row>
    <row r="5658" spans="10:10" ht="15" customHeight="1" x14ac:dyDescent="0.3">
      <c r="J5658" s="33"/>
    </row>
    <row r="5659" spans="10:10" ht="15" customHeight="1" x14ac:dyDescent="0.3">
      <c r="J5659" s="33"/>
    </row>
    <row r="5660" spans="10:10" ht="15" customHeight="1" x14ac:dyDescent="0.3">
      <c r="J5660" s="33"/>
    </row>
    <row r="5661" spans="10:10" ht="15" customHeight="1" x14ac:dyDescent="0.3">
      <c r="J5661" s="33"/>
    </row>
    <row r="5662" spans="10:10" ht="15" customHeight="1" x14ac:dyDescent="0.3">
      <c r="J5662" s="33"/>
    </row>
    <row r="5663" spans="10:10" ht="15" customHeight="1" x14ac:dyDescent="0.3">
      <c r="J5663" s="33"/>
    </row>
    <row r="5664" spans="10:10" ht="15" customHeight="1" x14ac:dyDescent="0.3">
      <c r="J5664" s="33"/>
    </row>
    <row r="5665" spans="10:10" ht="15" customHeight="1" x14ac:dyDescent="0.3">
      <c r="J5665" s="33"/>
    </row>
    <row r="5666" spans="10:10" ht="15" customHeight="1" x14ac:dyDescent="0.3">
      <c r="J5666" s="33"/>
    </row>
    <row r="5667" spans="10:10" ht="15" customHeight="1" x14ac:dyDescent="0.3">
      <c r="J5667" s="33"/>
    </row>
    <row r="5668" spans="10:10" ht="15" customHeight="1" x14ac:dyDescent="0.3">
      <c r="J5668" s="33"/>
    </row>
    <row r="5669" spans="10:10" ht="15" customHeight="1" x14ac:dyDescent="0.3">
      <c r="J5669" s="33"/>
    </row>
    <row r="5670" spans="10:10" ht="15" customHeight="1" x14ac:dyDescent="0.3">
      <c r="J5670" s="33"/>
    </row>
    <row r="5671" spans="10:10" ht="15" customHeight="1" x14ac:dyDescent="0.3">
      <c r="J5671" s="33"/>
    </row>
    <row r="5672" spans="10:10" ht="15" customHeight="1" x14ac:dyDescent="0.3">
      <c r="J5672" s="33"/>
    </row>
    <row r="5673" spans="10:10" ht="15" customHeight="1" x14ac:dyDescent="0.3">
      <c r="J5673" s="33"/>
    </row>
    <row r="5674" spans="10:10" ht="15" customHeight="1" x14ac:dyDescent="0.3">
      <c r="J5674" s="33"/>
    </row>
    <row r="5675" spans="10:10" ht="15" customHeight="1" x14ac:dyDescent="0.3">
      <c r="J5675" s="33"/>
    </row>
    <row r="5676" spans="10:10" ht="15" customHeight="1" x14ac:dyDescent="0.3">
      <c r="J5676" s="33"/>
    </row>
    <row r="5677" spans="10:10" ht="15" customHeight="1" x14ac:dyDescent="0.3">
      <c r="J5677" s="33"/>
    </row>
    <row r="5678" spans="10:10" ht="15" customHeight="1" x14ac:dyDescent="0.3">
      <c r="J5678" s="33"/>
    </row>
    <row r="5679" spans="10:10" ht="15" customHeight="1" x14ac:dyDescent="0.3">
      <c r="J5679" s="33"/>
    </row>
    <row r="5680" spans="10:10" ht="15" customHeight="1" x14ac:dyDescent="0.3">
      <c r="J5680" s="33"/>
    </row>
    <row r="5681" spans="10:10" ht="15" customHeight="1" x14ac:dyDescent="0.3">
      <c r="J5681" s="33"/>
    </row>
    <row r="5682" spans="10:10" ht="15" customHeight="1" x14ac:dyDescent="0.3">
      <c r="J5682" s="33"/>
    </row>
    <row r="5683" spans="10:10" ht="15" customHeight="1" x14ac:dyDescent="0.3">
      <c r="J5683" s="33"/>
    </row>
    <row r="5684" spans="10:10" ht="15" customHeight="1" x14ac:dyDescent="0.3">
      <c r="J5684" s="33"/>
    </row>
    <row r="5685" spans="10:10" ht="15" customHeight="1" x14ac:dyDescent="0.3">
      <c r="J5685" s="33"/>
    </row>
    <row r="5686" spans="10:10" ht="15" customHeight="1" x14ac:dyDescent="0.3">
      <c r="J5686" s="33"/>
    </row>
    <row r="5687" spans="10:10" ht="15" customHeight="1" x14ac:dyDescent="0.3">
      <c r="J5687" s="33"/>
    </row>
    <row r="5688" spans="10:10" ht="15" customHeight="1" x14ac:dyDescent="0.3">
      <c r="J5688" s="33"/>
    </row>
    <row r="5689" spans="10:10" ht="15" customHeight="1" x14ac:dyDescent="0.3">
      <c r="J5689" s="33"/>
    </row>
    <row r="5690" spans="10:10" ht="15" customHeight="1" x14ac:dyDescent="0.3">
      <c r="J5690" s="33"/>
    </row>
    <row r="5691" spans="10:10" ht="15" customHeight="1" x14ac:dyDescent="0.3">
      <c r="J5691" s="33"/>
    </row>
    <row r="5692" spans="10:10" ht="15" customHeight="1" x14ac:dyDescent="0.3">
      <c r="J5692" s="33"/>
    </row>
    <row r="5693" spans="10:10" ht="15" customHeight="1" x14ac:dyDescent="0.3">
      <c r="J5693" s="33"/>
    </row>
    <row r="5694" spans="10:10" ht="15" customHeight="1" x14ac:dyDescent="0.3">
      <c r="J5694" s="33"/>
    </row>
    <row r="5695" spans="10:10" ht="15" customHeight="1" x14ac:dyDescent="0.3">
      <c r="J5695" s="33"/>
    </row>
    <row r="5696" spans="10:10" ht="15" customHeight="1" x14ac:dyDescent="0.3">
      <c r="J5696" s="33"/>
    </row>
    <row r="5697" spans="10:10" ht="15" customHeight="1" x14ac:dyDescent="0.3">
      <c r="J5697" s="33"/>
    </row>
    <row r="5698" spans="10:10" ht="15" customHeight="1" x14ac:dyDescent="0.3">
      <c r="J5698" s="33"/>
    </row>
    <row r="5699" spans="10:10" ht="15" customHeight="1" x14ac:dyDescent="0.3">
      <c r="J5699" s="33"/>
    </row>
    <row r="5700" spans="10:10" ht="15" customHeight="1" x14ac:dyDescent="0.3">
      <c r="J5700" s="33"/>
    </row>
    <row r="5701" spans="10:10" ht="15" customHeight="1" x14ac:dyDescent="0.3">
      <c r="J5701" s="33"/>
    </row>
    <row r="5702" spans="10:10" ht="15" customHeight="1" x14ac:dyDescent="0.3">
      <c r="J5702" s="33"/>
    </row>
    <row r="5703" spans="10:10" ht="15" customHeight="1" x14ac:dyDescent="0.3">
      <c r="J5703" s="33"/>
    </row>
    <row r="5704" spans="10:10" ht="15" customHeight="1" x14ac:dyDescent="0.3">
      <c r="J5704" s="33"/>
    </row>
    <row r="5705" spans="10:10" ht="15" customHeight="1" x14ac:dyDescent="0.3">
      <c r="J5705" s="33"/>
    </row>
    <row r="5706" spans="10:10" ht="15" customHeight="1" x14ac:dyDescent="0.3">
      <c r="J5706" s="33"/>
    </row>
    <row r="5707" spans="10:10" ht="15" customHeight="1" x14ac:dyDescent="0.3">
      <c r="J5707" s="33"/>
    </row>
    <row r="5708" spans="10:10" ht="15" customHeight="1" x14ac:dyDescent="0.3">
      <c r="J5708" s="33"/>
    </row>
    <row r="5709" spans="10:10" ht="15" customHeight="1" x14ac:dyDescent="0.3">
      <c r="J5709" s="33"/>
    </row>
    <row r="5710" spans="10:10" ht="15" customHeight="1" x14ac:dyDescent="0.3">
      <c r="J5710" s="33"/>
    </row>
    <row r="5711" spans="10:10" ht="15" customHeight="1" x14ac:dyDescent="0.3">
      <c r="J5711" s="33"/>
    </row>
    <row r="5712" spans="10:10" ht="15" customHeight="1" x14ac:dyDescent="0.3">
      <c r="J5712" s="33"/>
    </row>
    <row r="5713" spans="10:10" ht="15" customHeight="1" x14ac:dyDescent="0.3">
      <c r="J5713" s="33"/>
    </row>
    <row r="5714" spans="10:10" ht="15" customHeight="1" x14ac:dyDescent="0.3">
      <c r="J5714" s="33"/>
    </row>
    <row r="5715" spans="10:10" ht="15" customHeight="1" x14ac:dyDescent="0.3">
      <c r="J5715" s="33"/>
    </row>
    <row r="5716" spans="10:10" ht="15" customHeight="1" x14ac:dyDescent="0.3">
      <c r="J5716" s="33"/>
    </row>
    <row r="5717" spans="10:10" ht="15" customHeight="1" x14ac:dyDescent="0.3">
      <c r="J5717" s="33"/>
    </row>
    <row r="5718" spans="10:10" ht="15" customHeight="1" x14ac:dyDescent="0.3">
      <c r="J5718" s="33"/>
    </row>
    <row r="5719" spans="10:10" ht="15" customHeight="1" x14ac:dyDescent="0.3">
      <c r="J5719" s="33"/>
    </row>
    <row r="5720" spans="10:10" ht="15" customHeight="1" x14ac:dyDescent="0.3">
      <c r="J5720" s="33"/>
    </row>
    <row r="5721" spans="10:10" ht="15" customHeight="1" x14ac:dyDescent="0.3">
      <c r="J5721" s="33"/>
    </row>
    <row r="5722" spans="10:10" ht="15" customHeight="1" x14ac:dyDescent="0.3">
      <c r="J5722" s="33"/>
    </row>
    <row r="5723" spans="10:10" ht="15" customHeight="1" x14ac:dyDescent="0.3">
      <c r="J5723" s="33"/>
    </row>
    <row r="5724" spans="10:10" ht="15" customHeight="1" x14ac:dyDescent="0.3">
      <c r="J5724" s="33"/>
    </row>
    <row r="5725" spans="10:10" ht="15" customHeight="1" x14ac:dyDescent="0.3">
      <c r="J5725" s="33"/>
    </row>
    <row r="5726" spans="10:10" ht="15" customHeight="1" x14ac:dyDescent="0.3">
      <c r="J5726" s="33"/>
    </row>
    <row r="5727" spans="10:10" ht="15" customHeight="1" x14ac:dyDescent="0.3">
      <c r="J5727" s="33"/>
    </row>
    <row r="5728" spans="10:10" ht="15" customHeight="1" x14ac:dyDescent="0.3">
      <c r="J5728" s="33"/>
    </row>
    <row r="5729" spans="10:10" ht="15" customHeight="1" x14ac:dyDescent="0.3">
      <c r="J5729" s="33"/>
    </row>
    <row r="5730" spans="10:10" ht="15" customHeight="1" x14ac:dyDescent="0.3">
      <c r="J5730" s="33"/>
    </row>
    <row r="5731" spans="10:10" ht="15" customHeight="1" x14ac:dyDescent="0.3">
      <c r="J5731" s="33"/>
    </row>
    <row r="5732" spans="10:10" ht="15" customHeight="1" x14ac:dyDescent="0.3">
      <c r="J5732" s="33"/>
    </row>
    <row r="5733" spans="10:10" ht="15" customHeight="1" x14ac:dyDescent="0.3">
      <c r="J5733" s="33"/>
    </row>
    <row r="5734" spans="10:10" ht="15" customHeight="1" x14ac:dyDescent="0.3">
      <c r="J5734" s="33"/>
    </row>
    <row r="5735" spans="10:10" ht="15" customHeight="1" x14ac:dyDescent="0.3">
      <c r="J5735" s="33"/>
    </row>
    <row r="5736" spans="10:10" ht="15" customHeight="1" x14ac:dyDescent="0.3">
      <c r="J5736" s="33"/>
    </row>
    <row r="5737" spans="10:10" ht="15" customHeight="1" x14ac:dyDescent="0.3">
      <c r="J5737" s="33"/>
    </row>
    <row r="5738" spans="10:10" ht="15" customHeight="1" x14ac:dyDescent="0.3">
      <c r="J5738" s="33"/>
    </row>
    <row r="5739" spans="10:10" ht="15" customHeight="1" x14ac:dyDescent="0.3">
      <c r="J5739" s="33"/>
    </row>
    <row r="5740" spans="10:10" ht="15" customHeight="1" x14ac:dyDescent="0.3">
      <c r="J5740" s="33"/>
    </row>
    <row r="5741" spans="10:10" ht="15" customHeight="1" x14ac:dyDescent="0.3">
      <c r="J5741" s="33"/>
    </row>
    <row r="5742" spans="10:10" ht="15" customHeight="1" x14ac:dyDescent="0.3">
      <c r="J5742" s="33"/>
    </row>
    <row r="5743" spans="10:10" ht="15" customHeight="1" x14ac:dyDescent="0.3">
      <c r="J5743" s="33"/>
    </row>
    <row r="5744" spans="10:10" ht="15" customHeight="1" x14ac:dyDescent="0.3">
      <c r="J5744" s="33"/>
    </row>
    <row r="5745" spans="10:10" ht="15" customHeight="1" x14ac:dyDescent="0.3">
      <c r="J5745" s="33"/>
    </row>
    <row r="5746" spans="10:10" ht="15" customHeight="1" x14ac:dyDescent="0.3">
      <c r="J5746" s="33"/>
    </row>
    <row r="5747" spans="10:10" ht="15" customHeight="1" x14ac:dyDescent="0.3">
      <c r="J5747" s="33"/>
    </row>
    <row r="5748" spans="10:10" ht="15" customHeight="1" x14ac:dyDescent="0.3">
      <c r="J5748" s="33"/>
    </row>
    <row r="5749" spans="10:10" ht="15" customHeight="1" x14ac:dyDescent="0.3">
      <c r="J5749" s="33"/>
    </row>
    <row r="5750" spans="10:10" ht="15" customHeight="1" x14ac:dyDescent="0.3">
      <c r="J5750" s="33"/>
    </row>
    <row r="5751" spans="10:10" ht="15" customHeight="1" x14ac:dyDescent="0.3">
      <c r="J5751" s="33"/>
    </row>
    <row r="5752" spans="10:10" ht="15" customHeight="1" x14ac:dyDescent="0.3">
      <c r="J5752" s="33"/>
    </row>
    <row r="5753" spans="10:10" ht="15" customHeight="1" x14ac:dyDescent="0.3">
      <c r="J5753" s="33"/>
    </row>
    <row r="5754" spans="10:10" ht="15" customHeight="1" x14ac:dyDescent="0.3">
      <c r="J5754" s="33"/>
    </row>
    <row r="5755" spans="10:10" ht="15" customHeight="1" x14ac:dyDescent="0.3">
      <c r="J5755" s="33"/>
    </row>
    <row r="5756" spans="10:10" ht="15" customHeight="1" x14ac:dyDescent="0.3">
      <c r="J5756" s="33"/>
    </row>
    <row r="5757" spans="10:10" ht="15" customHeight="1" x14ac:dyDescent="0.3">
      <c r="J5757" s="33"/>
    </row>
    <row r="5758" spans="10:10" ht="15" customHeight="1" x14ac:dyDescent="0.3">
      <c r="J5758" s="33"/>
    </row>
    <row r="5759" spans="10:10" ht="15" customHeight="1" x14ac:dyDescent="0.3">
      <c r="J5759" s="33"/>
    </row>
    <row r="5760" spans="10:10" ht="15" customHeight="1" x14ac:dyDescent="0.3">
      <c r="J5760" s="33"/>
    </row>
    <row r="5761" spans="10:10" ht="15" customHeight="1" x14ac:dyDescent="0.3">
      <c r="J5761" s="33"/>
    </row>
    <row r="5762" spans="10:10" ht="15" customHeight="1" x14ac:dyDescent="0.3">
      <c r="J5762" s="33"/>
    </row>
    <row r="5763" spans="10:10" ht="15" customHeight="1" x14ac:dyDescent="0.3">
      <c r="J5763" s="33"/>
    </row>
    <row r="5764" spans="10:10" ht="15" customHeight="1" x14ac:dyDescent="0.3">
      <c r="J5764" s="33"/>
    </row>
    <row r="5765" spans="10:10" ht="15" customHeight="1" x14ac:dyDescent="0.3">
      <c r="J5765" s="33"/>
    </row>
    <row r="5766" spans="10:10" ht="15" customHeight="1" x14ac:dyDescent="0.3">
      <c r="J5766" s="33"/>
    </row>
    <row r="5767" spans="10:10" ht="15" customHeight="1" x14ac:dyDescent="0.3">
      <c r="J5767" s="33"/>
    </row>
    <row r="5768" spans="10:10" ht="15" customHeight="1" x14ac:dyDescent="0.3">
      <c r="J5768" s="33"/>
    </row>
    <row r="5769" spans="10:10" ht="15" customHeight="1" x14ac:dyDescent="0.3">
      <c r="J5769" s="33"/>
    </row>
    <row r="5770" spans="10:10" ht="15" customHeight="1" x14ac:dyDescent="0.3">
      <c r="J5770" s="33"/>
    </row>
    <row r="5771" spans="10:10" ht="15" customHeight="1" x14ac:dyDescent="0.3">
      <c r="J5771" s="33"/>
    </row>
    <row r="5772" spans="10:10" ht="15" customHeight="1" x14ac:dyDescent="0.3">
      <c r="J5772" s="33"/>
    </row>
    <row r="5773" spans="10:10" ht="15" customHeight="1" x14ac:dyDescent="0.3">
      <c r="J5773" s="33"/>
    </row>
    <row r="5774" spans="10:10" ht="15" customHeight="1" x14ac:dyDescent="0.3">
      <c r="J5774" s="33"/>
    </row>
    <row r="5775" spans="10:10" ht="15" customHeight="1" x14ac:dyDescent="0.3">
      <c r="J5775" s="33"/>
    </row>
    <row r="5776" spans="10:10" ht="15" customHeight="1" x14ac:dyDescent="0.3">
      <c r="J5776" s="33"/>
    </row>
    <row r="5777" spans="10:10" ht="15" customHeight="1" x14ac:dyDescent="0.3">
      <c r="J5777" s="33"/>
    </row>
    <row r="5778" spans="10:10" ht="15" customHeight="1" x14ac:dyDescent="0.3">
      <c r="J5778" s="33"/>
    </row>
    <row r="5779" spans="10:10" ht="15" customHeight="1" x14ac:dyDescent="0.3">
      <c r="J5779" s="33"/>
    </row>
    <row r="5780" spans="10:10" ht="15" customHeight="1" x14ac:dyDescent="0.3">
      <c r="J5780" s="33"/>
    </row>
    <row r="5781" spans="10:10" ht="15" customHeight="1" x14ac:dyDescent="0.3">
      <c r="J5781" s="33"/>
    </row>
    <row r="5782" spans="10:10" ht="15" customHeight="1" x14ac:dyDescent="0.3">
      <c r="J5782" s="33"/>
    </row>
    <row r="5783" spans="10:10" ht="15" customHeight="1" x14ac:dyDescent="0.3">
      <c r="J5783" s="33"/>
    </row>
    <row r="5784" spans="10:10" ht="15" customHeight="1" x14ac:dyDescent="0.3">
      <c r="J5784" s="33"/>
    </row>
    <row r="5785" spans="10:10" ht="15" customHeight="1" x14ac:dyDescent="0.3">
      <c r="J5785" s="33"/>
    </row>
    <row r="5786" spans="10:10" ht="15" customHeight="1" x14ac:dyDescent="0.3">
      <c r="J5786" s="33"/>
    </row>
    <row r="5787" spans="10:10" ht="15" customHeight="1" x14ac:dyDescent="0.3">
      <c r="J5787" s="33"/>
    </row>
    <row r="5788" spans="10:10" ht="15" customHeight="1" x14ac:dyDescent="0.3">
      <c r="J5788" s="33"/>
    </row>
    <row r="5789" spans="10:10" ht="15" customHeight="1" x14ac:dyDescent="0.3">
      <c r="J5789" s="33"/>
    </row>
    <row r="5790" spans="10:10" ht="15" customHeight="1" x14ac:dyDescent="0.3">
      <c r="J5790" s="33"/>
    </row>
    <row r="5791" spans="10:10" ht="15" customHeight="1" x14ac:dyDescent="0.3">
      <c r="J5791" s="33"/>
    </row>
    <row r="5792" spans="10:10" ht="15" customHeight="1" x14ac:dyDescent="0.3">
      <c r="J5792" s="33"/>
    </row>
    <row r="5793" spans="10:10" ht="15" customHeight="1" x14ac:dyDescent="0.3">
      <c r="J5793" s="33"/>
    </row>
    <row r="5794" spans="10:10" ht="15" customHeight="1" x14ac:dyDescent="0.3">
      <c r="J5794" s="33"/>
    </row>
    <row r="5795" spans="10:10" ht="15" customHeight="1" x14ac:dyDescent="0.3">
      <c r="J5795" s="33"/>
    </row>
    <row r="5796" spans="10:10" ht="15" customHeight="1" x14ac:dyDescent="0.3">
      <c r="J5796" s="33"/>
    </row>
    <row r="5797" spans="10:10" ht="15" customHeight="1" x14ac:dyDescent="0.3">
      <c r="J5797" s="33"/>
    </row>
    <row r="5798" spans="10:10" ht="15" customHeight="1" x14ac:dyDescent="0.3">
      <c r="J5798" s="33"/>
    </row>
    <row r="5799" spans="10:10" ht="15" customHeight="1" x14ac:dyDescent="0.3">
      <c r="J5799" s="33"/>
    </row>
    <row r="5800" spans="10:10" ht="15" customHeight="1" x14ac:dyDescent="0.3">
      <c r="J5800" s="33"/>
    </row>
    <row r="5801" spans="10:10" ht="15" customHeight="1" x14ac:dyDescent="0.3">
      <c r="J5801" s="33"/>
    </row>
    <row r="5802" spans="10:10" ht="15" customHeight="1" x14ac:dyDescent="0.3">
      <c r="J5802" s="33"/>
    </row>
    <row r="5803" spans="10:10" ht="15" customHeight="1" x14ac:dyDescent="0.3">
      <c r="J5803" s="33"/>
    </row>
    <row r="5804" spans="10:10" ht="15" customHeight="1" x14ac:dyDescent="0.3">
      <c r="J5804" s="33"/>
    </row>
    <row r="5805" spans="10:10" ht="15" customHeight="1" x14ac:dyDescent="0.3">
      <c r="J5805" s="33"/>
    </row>
    <row r="5806" spans="10:10" ht="15" customHeight="1" x14ac:dyDescent="0.3">
      <c r="J5806" s="33"/>
    </row>
    <row r="5807" spans="10:10" ht="15" customHeight="1" x14ac:dyDescent="0.3">
      <c r="J5807" s="33"/>
    </row>
    <row r="5808" spans="10:10" ht="15" customHeight="1" x14ac:dyDescent="0.3">
      <c r="J5808" s="33"/>
    </row>
    <row r="5809" spans="10:10" ht="15" customHeight="1" x14ac:dyDescent="0.3">
      <c r="J5809" s="33"/>
    </row>
    <row r="5810" spans="10:10" ht="15" customHeight="1" x14ac:dyDescent="0.3">
      <c r="J5810" s="33"/>
    </row>
    <row r="5811" spans="10:10" ht="15" customHeight="1" x14ac:dyDescent="0.3">
      <c r="J5811" s="33"/>
    </row>
    <row r="5812" spans="10:10" ht="15" customHeight="1" x14ac:dyDescent="0.3">
      <c r="J5812" s="33"/>
    </row>
    <row r="5813" spans="10:10" ht="15" customHeight="1" x14ac:dyDescent="0.3">
      <c r="J5813" s="33"/>
    </row>
    <row r="5814" spans="10:10" ht="15" customHeight="1" x14ac:dyDescent="0.3">
      <c r="J5814" s="33"/>
    </row>
    <row r="5815" spans="10:10" ht="15" customHeight="1" x14ac:dyDescent="0.3">
      <c r="J5815" s="33"/>
    </row>
    <row r="5816" spans="10:10" ht="15" customHeight="1" x14ac:dyDescent="0.3">
      <c r="J5816" s="33"/>
    </row>
    <row r="5817" spans="10:10" ht="15" customHeight="1" x14ac:dyDescent="0.3">
      <c r="J5817" s="33"/>
    </row>
    <row r="5818" spans="10:10" ht="15" customHeight="1" x14ac:dyDescent="0.3">
      <c r="J5818" s="33"/>
    </row>
    <row r="5819" spans="10:10" ht="15" customHeight="1" x14ac:dyDescent="0.3">
      <c r="J5819" s="33"/>
    </row>
    <row r="5820" spans="10:10" ht="15" customHeight="1" x14ac:dyDescent="0.3">
      <c r="J5820" s="33"/>
    </row>
    <row r="5821" spans="10:10" ht="15" customHeight="1" x14ac:dyDescent="0.3">
      <c r="J5821" s="33"/>
    </row>
    <row r="5822" spans="10:10" ht="15" customHeight="1" x14ac:dyDescent="0.3">
      <c r="J5822" s="33"/>
    </row>
    <row r="5823" spans="10:10" ht="15" customHeight="1" x14ac:dyDescent="0.3">
      <c r="J5823" s="33"/>
    </row>
    <row r="5824" spans="10:10" ht="15" customHeight="1" x14ac:dyDescent="0.3">
      <c r="J5824" s="33"/>
    </row>
    <row r="5825" spans="10:10" ht="15" customHeight="1" x14ac:dyDescent="0.3">
      <c r="J5825" s="33"/>
    </row>
    <row r="5826" spans="10:10" ht="15" customHeight="1" x14ac:dyDescent="0.3">
      <c r="J5826" s="33"/>
    </row>
    <row r="5827" spans="10:10" ht="15" customHeight="1" x14ac:dyDescent="0.3">
      <c r="J5827" s="33"/>
    </row>
    <row r="5828" spans="10:10" ht="15" customHeight="1" x14ac:dyDescent="0.3">
      <c r="J5828" s="33"/>
    </row>
    <row r="5829" spans="10:10" ht="15" customHeight="1" x14ac:dyDescent="0.3">
      <c r="J5829" s="33"/>
    </row>
    <row r="5830" spans="10:10" ht="15" customHeight="1" x14ac:dyDescent="0.3">
      <c r="J5830" s="33"/>
    </row>
    <row r="5831" spans="10:10" ht="15" customHeight="1" x14ac:dyDescent="0.3">
      <c r="J5831" s="33"/>
    </row>
    <row r="5832" spans="10:10" ht="15" customHeight="1" x14ac:dyDescent="0.3">
      <c r="J5832" s="33"/>
    </row>
    <row r="5833" spans="10:10" ht="15" customHeight="1" x14ac:dyDescent="0.3">
      <c r="J5833" s="33"/>
    </row>
    <row r="5834" spans="10:10" ht="15" customHeight="1" x14ac:dyDescent="0.3">
      <c r="J5834" s="33"/>
    </row>
    <row r="5835" spans="10:10" ht="15" customHeight="1" x14ac:dyDescent="0.3">
      <c r="J5835" s="33"/>
    </row>
    <row r="5836" spans="10:10" ht="15" customHeight="1" x14ac:dyDescent="0.3">
      <c r="J5836" s="33"/>
    </row>
    <row r="5837" spans="10:10" ht="15" customHeight="1" x14ac:dyDescent="0.3">
      <c r="J5837" s="33"/>
    </row>
    <row r="5838" spans="10:10" ht="15" customHeight="1" x14ac:dyDescent="0.3">
      <c r="J5838" s="33"/>
    </row>
    <row r="5839" spans="10:10" ht="15" customHeight="1" x14ac:dyDescent="0.3">
      <c r="J5839" s="33"/>
    </row>
    <row r="5840" spans="10:10" ht="15" customHeight="1" x14ac:dyDescent="0.3">
      <c r="J5840" s="33"/>
    </row>
    <row r="5841" spans="10:10" ht="15" customHeight="1" x14ac:dyDescent="0.3">
      <c r="J5841" s="33"/>
    </row>
    <row r="5842" spans="10:10" ht="15" customHeight="1" x14ac:dyDescent="0.3">
      <c r="J5842" s="33"/>
    </row>
    <row r="5843" spans="10:10" ht="15" customHeight="1" x14ac:dyDescent="0.3">
      <c r="J5843" s="33"/>
    </row>
    <row r="5844" spans="10:10" ht="15" customHeight="1" x14ac:dyDescent="0.3">
      <c r="J5844" s="33"/>
    </row>
    <row r="5845" spans="10:10" ht="15" customHeight="1" x14ac:dyDescent="0.3">
      <c r="J5845" s="33"/>
    </row>
    <row r="5846" spans="10:10" ht="15" customHeight="1" x14ac:dyDescent="0.3">
      <c r="J5846" s="33"/>
    </row>
    <row r="5847" spans="10:10" ht="15" customHeight="1" x14ac:dyDescent="0.3">
      <c r="J5847" s="33"/>
    </row>
    <row r="5848" spans="10:10" ht="15" customHeight="1" x14ac:dyDescent="0.3">
      <c r="J5848" s="33"/>
    </row>
    <row r="5849" spans="10:10" ht="15" customHeight="1" x14ac:dyDescent="0.3">
      <c r="J5849" s="33"/>
    </row>
    <row r="5850" spans="10:10" ht="15" customHeight="1" x14ac:dyDescent="0.3">
      <c r="J5850" s="33"/>
    </row>
    <row r="5851" spans="10:10" ht="15" customHeight="1" x14ac:dyDescent="0.3">
      <c r="J5851" s="33"/>
    </row>
    <row r="5852" spans="10:10" ht="15" customHeight="1" x14ac:dyDescent="0.3">
      <c r="J5852" s="33"/>
    </row>
    <row r="5853" spans="10:10" ht="15" customHeight="1" x14ac:dyDescent="0.3">
      <c r="J5853" s="33"/>
    </row>
    <row r="5854" spans="10:10" ht="15" customHeight="1" x14ac:dyDescent="0.3">
      <c r="J5854" s="33"/>
    </row>
    <row r="5855" spans="10:10" ht="15" customHeight="1" x14ac:dyDescent="0.3">
      <c r="J5855" s="33"/>
    </row>
    <row r="5856" spans="10:10" ht="15" customHeight="1" x14ac:dyDescent="0.3">
      <c r="J5856" s="33"/>
    </row>
    <row r="5857" spans="10:10" ht="15" customHeight="1" x14ac:dyDescent="0.3">
      <c r="J5857" s="33"/>
    </row>
    <row r="5858" spans="10:10" ht="15" customHeight="1" x14ac:dyDescent="0.3">
      <c r="J5858" s="33"/>
    </row>
    <row r="5859" spans="10:10" ht="15" customHeight="1" x14ac:dyDescent="0.3">
      <c r="J5859" s="33"/>
    </row>
    <row r="5860" spans="10:10" ht="15" customHeight="1" x14ac:dyDescent="0.3">
      <c r="J5860" s="33"/>
    </row>
    <row r="5861" spans="10:10" ht="15" customHeight="1" x14ac:dyDescent="0.3">
      <c r="J5861" s="33"/>
    </row>
    <row r="5862" spans="10:10" ht="15" customHeight="1" x14ac:dyDescent="0.3">
      <c r="J5862" s="33"/>
    </row>
    <row r="5863" spans="10:10" ht="15" customHeight="1" x14ac:dyDescent="0.3">
      <c r="J5863" s="33"/>
    </row>
    <row r="5864" spans="10:10" ht="15" customHeight="1" x14ac:dyDescent="0.3">
      <c r="J5864" s="33"/>
    </row>
    <row r="5865" spans="10:10" ht="15" customHeight="1" x14ac:dyDescent="0.3">
      <c r="J5865" s="33"/>
    </row>
    <row r="5866" spans="10:10" ht="15" customHeight="1" x14ac:dyDescent="0.3">
      <c r="J5866" s="33"/>
    </row>
    <row r="5867" spans="10:10" ht="15" customHeight="1" x14ac:dyDescent="0.3">
      <c r="J5867" s="33"/>
    </row>
    <row r="5868" spans="10:10" ht="15" customHeight="1" x14ac:dyDescent="0.3">
      <c r="J5868" s="33"/>
    </row>
    <row r="5869" spans="10:10" ht="15" customHeight="1" x14ac:dyDescent="0.3">
      <c r="J5869" s="33"/>
    </row>
    <row r="5870" spans="10:10" ht="15" customHeight="1" x14ac:dyDescent="0.3">
      <c r="J5870" s="33"/>
    </row>
    <row r="5871" spans="10:10" ht="15" customHeight="1" x14ac:dyDescent="0.3">
      <c r="J5871" s="33"/>
    </row>
    <row r="5872" spans="10:10" ht="15" customHeight="1" x14ac:dyDescent="0.3">
      <c r="J5872" s="33"/>
    </row>
    <row r="5873" spans="10:10" ht="15" customHeight="1" x14ac:dyDescent="0.3">
      <c r="J5873" s="33"/>
    </row>
    <row r="5874" spans="10:10" ht="15" customHeight="1" x14ac:dyDescent="0.3">
      <c r="J5874" s="33"/>
    </row>
    <row r="5875" spans="10:10" ht="15" customHeight="1" x14ac:dyDescent="0.3">
      <c r="J5875" s="33"/>
    </row>
    <row r="5876" spans="10:10" ht="15" customHeight="1" x14ac:dyDescent="0.3">
      <c r="J5876" s="33"/>
    </row>
    <row r="5877" spans="10:10" ht="15" customHeight="1" x14ac:dyDescent="0.3">
      <c r="J5877" s="33"/>
    </row>
    <row r="5878" spans="10:10" ht="15" customHeight="1" x14ac:dyDescent="0.3">
      <c r="J5878" s="33"/>
    </row>
    <row r="5879" spans="10:10" ht="15" customHeight="1" x14ac:dyDescent="0.3">
      <c r="J5879" s="33"/>
    </row>
    <row r="5880" spans="10:10" ht="15" customHeight="1" x14ac:dyDescent="0.3">
      <c r="J5880" s="33"/>
    </row>
    <row r="5881" spans="10:10" ht="15" customHeight="1" x14ac:dyDescent="0.3">
      <c r="J5881" s="33"/>
    </row>
    <row r="5882" spans="10:10" ht="15" customHeight="1" x14ac:dyDescent="0.3">
      <c r="J5882" s="33"/>
    </row>
    <row r="5883" spans="10:10" ht="15" customHeight="1" x14ac:dyDescent="0.3">
      <c r="J5883" s="33"/>
    </row>
    <row r="5884" spans="10:10" ht="15" customHeight="1" x14ac:dyDescent="0.3">
      <c r="J5884" s="33"/>
    </row>
    <row r="5885" spans="10:10" ht="15" customHeight="1" x14ac:dyDescent="0.3">
      <c r="J5885" s="33"/>
    </row>
    <row r="5886" spans="10:10" ht="15" customHeight="1" x14ac:dyDescent="0.3">
      <c r="J5886" s="33"/>
    </row>
    <row r="5887" spans="10:10" ht="15" customHeight="1" x14ac:dyDescent="0.3">
      <c r="J5887" s="33"/>
    </row>
    <row r="5888" spans="10:10" ht="15" customHeight="1" x14ac:dyDescent="0.3">
      <c r="J5888" s="33"/>
    </row>
    <row r="5889" spans="10:10" ht="15" customHeight="1" x14ac:dyDescent="0.3">
      <c r="J5889" s="33"/>
    </row>
    <row r="5890" spans="10:10" ht="15" customHeight="1" x14ac:dyDescent="0.3">
      <c r="J5890" s="33"/>
    </row>
    <row r="5891" spans="10:10" ht="15" customHeight="1" x14ac:dyDescent="0.3">
      <c r="J5891" s="33"/>
    </row>
    <row r="5892" spans="10:10" ht="15" customHeight="1" x14ac:dyDescent="0.3">
      <c r="J5892" s="33"/>
    </row>
    <row r="5893" spans="10:10" ht="15" customHeight="1" x14ac:dyDescent="0.3">
      <c r="J5893" s="33"/>
    </row>
    <row r="5894" spans="10:10" ht="15" customHeight="1" x14ac:dyDescent="0.3">
      <c r="J5894" s="33"/>
    </row>
    <row r="5895" spans="10:10" ht="15" customHeight="1" x14ac:dyDescent="0.3">
      <c r="J5895" s="33"/>
    </row>
    <row r="5896" spans="10:10" ht="15" customHeight="1" x14ac:dyDescent="0.3">
      <c r="J5896" s="33"/>
    </row>
    <row r="5897" spans="10:10" ht="15" customHeight="1" x14ac:dyDescent="0.3">
      <c r="J5897" s="33"/>
    </row>
    <row r="5898" spans="10:10" ht="15" customHeight="1" x14ac:dyDescent="0.3">
      <c r="J5898" s="33"/>
    </row>
    <row r="5899" spans="10:10" ht="15" customHeight="1" x14ac:dyDescent="0.3">
      <c r="J5899" s="33"/>
    </row>
    <row r="5900" spans="10:10" ht="15" customHeight="1" x14ac:dyDescent="0.3">
      <c r="J5900" s="33"/>
    </row>
    <row r="5901" spans="10:10" ht="15" customHeight="1" x14ac:dyDescent="0.3">
      <c r="J5901" s="33"/>
    </row>
    <row r="5902" spans="10:10" ht="15" customHeight="1" x14ac:dyDescent="0.3">
      <c r="J5902" s="33"/>
    </row>
    <row r="5903" spans="10:10" ht="15" customHeight="1" x14ac:dyDescent="0.3">
      <c r="J5903" s="33"/>
    </row>
    <row r="5904" spans="10:10" ht="15" customHeight="1" x14ac:dyDescent="0.3">
      <c r="J5904" s="33"/>
    </row>
    <row r="5905" spans="10:10" ht="15" customHeight="1" x14ac:dyDescent="0.3">
      <c r="J5905" s="33"/>
    </row>
    <row r="5906" spans="10:10" ht="15" customHeight="1" x14ac:dyDescent="0.3">
      <c r="J5906" s="33"/>
    </row>
    <row r="5907" spans="10:10" ht="15" customHeight="1" x14ac:dyDescent="0.3">
      <c r="J5907" s="33"/>
    </row>
    <row r="5908" spans="10:10" ht="15" customHeight="1" x14ac:dyDescent="0.3">
      <c r="J5908" s="33"/>
    </row>
    <row r="5909" spans="10:10" ht="15" customHeight="1" x14ac:dyDescent="0.3">
      <c r="J5909" s="33"/>
    </row>
    <row r="5910" spans="10:10" ht="15" customHeight="1" x14ac:dyDescent="0.3">
      <c r="J5910" s="33"/>
    </row>
    <row r="5911" spans="10:10" ht="15" customHeight="1" x14ac:dyDescent="0.3">
      <c r="J5911" s="33"/>
    </row>
    <row r="5912" spans="10:10" ht="15" customHeight="1" x14ac:dyDescent="0.3">
      <c r="J5912" s="33"/>
    </row>
    <row r="5913" spans="10:10" ht="15" customHeight="1" x14ac:dyDescent="0.3">
      <c r="J5913" s="33"/>
    </row>
    <row r="5914" spans="10:10" ht="15" customHeight="1" x14ac:dyDescent="0.3">
      <c r="J5914" s="33"/>
    </row>
    <row r="5915" spans="10:10" ht="15" customHeight="1" x14ac:dyDescent="0.3">
      <c r="J5915" s="33"/>
    </row>
    <row r="5916" spans="10:10" ht="15" customHeight="1" x14ac:dyDescent="0.3">
      <c r="J5916" s="33"/>
    </row>
    <row r="5917" spans="10:10" ht="15" customHeight="1" x14ac:dyDescent="0.3">
      <c r="J5917" s="33"/>
    </row>
    <row r="5918" spans="10:10" ht="15" customHeight="1" x14ac:dyDescent="0.3">
      <c r="J5918" s="33"/>
    </row>
    <row r="5919" spans="10:10" ht="15" customHeight="1" x14ac:dyDescent="0.3">
      <c r="J5919" s="33"/>
    </row>
    <row r="5920" spans="10:10" ht="15" customHeight="1" x14ac:dyDescent="0.3">
      <c r="J5920" s="33"/>
    </row>
    <row r="5921" spans="10:10" ht="15" customHeight="1" x14ac:dyDescent="0.3">
      <c r="J5921" s="33"/>
    </row>
    <row r="5922" spans="10:10" ht="15" customHeight="1" x14ac:dyDescent="0.3">
      <c r="J5922" s="33"/>
    </row>
    <row r="5923" spans="10:10" ht="15" customHeight="1" x14ac:dyDescent="0.3">
      <c r="J5923" s="33"/>
    </row>
    <row r="5924" spans="10:10" ht="15" customHeight="1" x14ac:dyDescent="0.3">
      <c r="J5924" s="33"/>
    </row>
    <row r="5925" spans="10:10" ht="15" customHeight="1" x14ac:dyDescent="0.3">
      <c r="J5925" s="33"/>
    </row>
    <row r="5926" spans="10:10" ht="15" customHeight="1" x14ac:dyDescent="0.3">
      <c r="J5926" s="33"/>
    </row>
    <row r="5927" spans="10:10" ht="15" customHeight="1" x14ac:dyDescent="0.3">
      <c r="J5927" s="33"/>
    </row>
    <row r="5928" spans="10:10" ht="15" customHeight="1" x14ac:dyDescent="0.3">
      <c r="J5928" s="33"/>
    </row>
    <row r="5929" spans="10:10" ht="15" customHeight="1" x14ac:dyDescent="0.3">
      <c r="J5929" s="33"/>
    </row>
    <row r="5930" spans="10:10" ht="15" customHeight="1" x14ac:dyDescent="0.3">
      <c r="J5930" s="33"/>
    </row>
    <row r="5931" spans="10:10" ht="15" customHeight="1" x14ac:dyDescent="0.3">
      <c r="J5931" s="33"/>
    </row>
    <row r="5932" spans="10:10" ht="15" customHeight="1" x14ac:dyDescent="0.3">
      <c r="J5932" s="33"/>
    </row>
    <row r="5933" spans="10:10" ht="15" customHeight="1" x14ac:dyDescent="0.3">
      <c r="J5933" s="33"/>
    </row>
    <row r="5934" spans="10:10" ht="15" customHeight="1" x14ac:dyDescent="0.3">
      <c r="J5934" s="33"/>
    </row>
    <row r="5935" spans="10:10" ht="15" customHeight="1" x14ac:dyDescent="0.3">
      <c r="J5935" s="33"/>
    </row>
    <row r="5936" spans="10:10" ht="15" customHeight="1" x14ac:dyDescent="0.3">
      <c r="J5936" s="33"/>
    </row>
    <row r="5937" spans="10:10" ht="15" customHeight="1" x14ac:dyDescent="0.3">
      <c r="J5937" s="33"/>
    </row>
    <row r="5938" spans="10:10" ht="15" customHeight="1" x14ac:dyDescent="0.3">
      <c r="J5938" s="33"/>
    </row>
    <row r="5939" spans="10:10" ht="15" customHeight="1" x14ac:dyDescent="0.3">
      <c r="J5939" s="33"/>
    </row>
    <row r="5940" spans="10:10" ht="15" customHeight="1" x14ac:dyDescent="0.3">
      <c r="J5940" s="33"/>
    </row>
    <row r="5941" spans="10:10" ht="15" customHeight="1" x14ac:dyDescent="0.3">
      <c r="J5941" s="33"/>
    </row>
    <row r="5942" spans="10:10" ht="15" customHeight="1" x14ac:dyDescent="0.3">
      <c r="J5942" s="33"/>
    </row>
    <row r="5943" spans="10:10" ht="15" customHeight="1" x14ac:dyDescent="0.3">
      <c r="J5943" s="33"/>
    </row>
    <row r="5944" spans="10:10" ht="15" customHeight="1" x14ac:dyDescent="0.3">
      <c r="J5944" s="33"/>
    </row>
    <row r="5945" spans="10:10" ht="15" customHeight="1" x14ac:dyDescent="0.3">
      <c r="J5945" s="33"/>
    </row>
    <row r="5946" spans="10:10" ht="15" customHeight="1" x14ac:dyDescent="0.3">
      <c r="J5946" s="33"/>
    </row>
    <row r="5947" spans="10:10" ht="15" customHeight="1" x14ac:dyDescent="0.3">
      <c r="J5947" s="33"/>
    </row>
    <row r="5948" spans="10:10" ht="15" customHeight="1" x14ac:dyDescent="0.3">
      <c r="J5948" s="33"/>
    </row>
    <row r="5949" spans="10:10" ht="15" customHeight="1" x14ac:dyDescent="0.3">
      <c r="J5949" s="33"/>
    </row>
    <row r="5950" spans="10:10" ht="15" customHeight="1" x14ac:dyDescent="0.3">
      <c r="J5950" s="33"/>
    </row>
    <row r="5951" spans="10:10" ht="15" customHeight="1" x14ac:dyDescent="0.3">
      <c r="J5951" s="33"/>
    </row>
    <row r="5952" spans="10:10" ht="15" customHeight="1" x14ac:dyDescent="0.3">
      <c r="J5952" s="33"/>
    </row>
    <row r="5953" spans="10:10" ht="15" customHeight="1" x14ac:dyDescent="0.3">
      <c r="J5953" s="33"/>
    </row>
    <row r="5954" spans="10:10" ht="15" customHeight="1" x14ac:dyDescent="0.3">
      <c r="J5954" s="33"/>
    </row>
    <row r="5955" spans="10:10" ht="15" customHeight="1" x14ac:dyDescent="0.3">
      <c r="J5955" s="33"/>
    </row>
    <row r="5956" spans="10:10" ht="15" customHeight="1" x14ac:dyDescent="0.3">
      <c r="J5956" s="33"/>
    </row>
    <row r="5957" spans="10:10" ht="15" customHeight="1" x14ac:dyDescent="0.3">
      <c r="J5957" s="33"/>
    </row>
    <row r="5958" spans="10:10" ht="15" customHeight="1" x14ac:dyDescent="0.3">
      <c r="J5958" s="33"/>
    </row>
    <row r="5959" spans="10:10" ht="15" customHeight="1" x14ac:dyDescent="0.3">
      <c r="J5959" s="33"/>
    </row>
    <row r="5960" spans="10:10" ht="15" customHeight="1" x14ac:dyDescent="0.3">
      <c r="J5960" s="33"/>
    </row>
    <row r="5961" spans="10:10" ht="15" customHeight="1" x14ac:dyDescent="0.3">
      <c r="J5961" s="33"/>
    </row>
    <row r="5962" spans="10:10" ht="15" customHeight="1" x14ac:dyDescent="0.3">
      <c r="J5962" s="33"/>
    </row>
    <row r="5963" spans="10:10" ht="15" customHeight="1" x14ac:dyDescent="0.3">
      <c r="J5963" s="33"/>
    </row>
    <row r="5964" spans="10:10" ht="15" customHeight="1" x14ac:dyDescent="0.3">
      <c r="J5964" s="33"/>
    </row>
    <row r="5965" spans="10:10" ht="15" customHeight="1" x14ac:dyDescent="0.3">
      <c r="J5965" s="33"/>
    </row>
    <row r="5966" spans="10:10" ht="15" customHeight="1" x14ac:dyDescent="0.3">
      <c r="J5966" s="33"/>
    </row>
    <row r="5967" spans="10:10" ht="15" customHeight="1" x14ac:dyDescent="0.3">
      <c r="J5967" s="33"/>
    </row>
    <row r="5968" spans="10:10" ht="15" customHeight="1" x14ac:dyDescent="0.3">
      <c r="J5968" s="33"/>
    </row>
    <row r="5969" spans="10:10" ht="15" customHeight="1" x14ac:dyDescent="0.3">
      <c r="J5969" s="33"/>
    </row>
    <row r="5970" spans="10:10" ht="15" customHeight="1" x14ac:dyDescent="0.3">
      <c r="J5970" s="33"/>
    </row>
    <row r="5971" spans="10:10" ht="15" customHeight="1" x14ac:dyDescent="0.3">
      <c r="J5971" s="33"/>
    </row>
    <row r="5972" spans="10:10" ht="15" customHeight="1" x14ac:dyDescent="0.3">
      <c r="J5972" s="33"/>
    </row>
    <row r="5973" spans="10:10" ht="15" customHeight="1" x14ac:dyDescent="0.3">
      <c r="J5973" s="33"/>
    </row>
    <row r="5974" spans="10:10" ht="15" customHeight="1" x14ac:dyDescent="0.3">
      <c r="J5974" s="33"/>
    </row>
    <row r="5975" spans="10:10" ht="15" customHeight="1" x14ac:dyDescent="0.3">
      <c r="J5975" s="33"/>
    </row>
    <row r="5976" spans="10:10" ht="15" customHeight="1" x14ac:dyDescent="0.3">
      <c r="J5976" s="33"/>
    </row>
    <row r="5977" spans="10:10" ht="15" customHeight="1" x14ac:dyDescent="0.3">
      <c r="J5977" s="33"/>
    </row>
    <row r="5978" spans="10:10" ht="15" customHeight="1" x14ac:dyDescent="0.3">
      <c r="J5978" s="33"/>
    </row>
    <row r="5979" spans="10:10" ht="15" customHeight="1" x14ac:dyDescent="0.3">
      <c r="J5979" s="33"/>
    </row>
    <row r="5980" spans="10:10" ht="15" customHeight="1" x14ac:dyDescent="0.3">
      <c r="J5980" s="33"/>
    </row>
    <row r="5981" spans="10:10" ht="15" customHeight="1" x14ac:dyDescent="0.3">
      <c r="J5981" s="33"/>
    </row>
    <row r="5982" spans="10:10" ht="15" customHeight="1" x14ac:dyDescent="0.3">
      <c r="J5982" s="33"/>
    </row>
    <row r="5983" spans="10:10" ht="15" customHeight="1" x14ac:dyDescent="0.3">
      <c r="J5983" s="33"/>
    </row>
    <row r="5984" spans="10:10" ht="15" customHeight="1" x14ac:dyDescent="0.3">
      <c r="J5984" s="33"/>
    </row>
    <row r="5985" spans="10:10" ht="15" customHeight="1" x14ac:dyDescent="0.3">
      <c r="J5985" s="33"/>
    </row>
    <row r="5986" spans="10:10" ht="15" customHeight="1" x14ac:dyDescent="0.3">
      <c r="J5986" s="33"/>
    </row>
    <row r="5987" spans="10:10" ht="15" customHeight="1" x14ac:dyDescent="0.3">
      <c r="J5987" s="33"/>
    </row>
    <row r="5988" spans="10:10" ht="15" customHeight="1" x14ac:dyDescent="0.3">
      <c r="J5988" s="33"/>
    </row>
    <row r="5989" spans="10:10" ht="15" customHeight="1" x14ac:dyDescent="0.3">
      <c r="J5989" s="33"/>
    </row>
    <row r="5990" spans="10:10" ht="15" customHeight="1" x14ac:dyDescent="0.3">
      <c r="J5990" s="33"/>
    </row>
    <row r="5991" spans="10:10" ht="15" customHeight="1" x14ac:dyDescent="0.3">
      <c r="J5991" s="33"/>
    </row>
    <row r="5992" spans="10:10" ht="15" customHeight="1" x14ac:dyDescent="0.3">
      <c r="J5992" s="33"/>
    </row>
    <row r="5993" spans="10:10" ht="15" customHeight="1" x14ac:dyDescent="0.3">
      <c r="J5993" s="33"/>
    </row>
    <row r="5994" spans="10:10" ht="15" customHeight="1" x14ac:dyDescent="0.3">
      <c r="J5994" s="33"/>
    </row>
    <row r="5995" spans="10:10" ht="15" customHeight="1" x14ac:dyDescent="0.3">
      <c r="J5995" s="33"/>
    </row>
    <row r="5996" spans="10:10" ht="15" customHeight="1" x14ac:dyDescent="0.3">
      <c r="J5996" s="33"/>
    </row>
    <row r="5997" spans="10:10" ht="15" customHeight="1" x14ac:dyDescent="0.3">
      <c r="J5997" s="33"/>
    </row>
    <row r="5998" spans="10:10" ht="15" customHeight="1" x14ac:dyDescent="0.3">
      <c r="J5998" s="33"/>
    </row>
    <row r="5999" spans="10:10" ht="15" customHeight="1" x14ac:dyDescent="0.3">
      <c r="J5999" s="33"/>
    </row>
    <row r="6000" spans="10:10" ht="15" customHeight="1" x14ac:dyDescent="0.3">
      <c r="J6000" s="33"/>
    </row>
    <row r="6001" spans="10:10" ht="15" customHeight="1" x14ac:dyDescent="0.3">
      <c r="J6001" s="33"/>
    </row>
    <row r="6002" spans="10:10" ht="15" customHeight="1" x14ac:dyDescent="0.3">
      <c r="J6002" s="33"/>
    </row>
    <row r="6003" spans="10:10" ht="15" customHeight="1" x14ac:dyDescent="0.3">
      <c r="J6003" s="33"/>
    </row>
    <row r="6004" spans="10:10" ht="15" customHeight="1" x14ac:dyDescent="0.3">
      <c r="J6004" s="33"/>
    </row>
    <row r="6005" spans="10:10" ht="15" customHeight="1" x14ac:dyDescent="0.3">
      <c r="J6005" s="33"/>
    </row>
    <row r="6006" spans="10:10" ht="15" customHeight="1" x14ac:dyDescent="0.3">
      <c r="J6006" s="33"/>
    </row>
    <row r="6007" spans="10:10" ht="15" customHeight="1" x14ac:dyDescent="0.3">
      <c r="J6007" s="33"/>
    </row>
    <row r="6008" spans="10:10" ht="15" customHeight="1" x14ac:dyDescent="0.3">
      <c r="J6008" s="33"/>
    </row>
    <row r="6009" spans="10:10" ht="15" customHeight="1" x14ac:dyDescent="0.3">
      <c r="J6009" s="33"/>
    </row>
    <row r="6010" spans="10:10" ht="15" customHeight="1" x14ac:dyDescent="0.3">
      <c r="J6010" s="33"/>
    </row>
    <row r="6011" spans="10:10" ht="15" customHeight="1" x14ac:dyDescent="0.3">
      <c r="J6011" s="33"/>
    </row>
    <row r="6012" spans="10:10" ht="15" customHeight="1" x14ac:dyDescent="0.3">
      <c r="J6012" s="33"/>
    </row>
    <row r="6013" spans="10:10" ht="15" customHeight="1" x14ac:dyDescent="0.3">
      <c r="J6013" s="33"/>
    </row>
    <row r="6014" spans="10:10" ht="15" customHeight="1" x14ac:dyDescent="0.3">
      <c r="J6014" s="33"/>
    </row>
    <row r="6015" spans="10:10" ht="15" customHeight="1" x14ac:dyDescent="0.3">
      <c r="J6015" s="33"/>
    </row>
    <row r="6016" spans="10:10" ht="15" customHeight="1" x14ac:dyDescent="0.3">
      <c r="J6016" s="33"/>
    </row>
    <row r="6017" spans="10:10" ht="15" customHeight="1" x14ac:dyDescent="0.3">
      <c r="J6017" s="33"/>
    </row>
    <row r="6018" spans="10:10" ht="15" customHeight="1" x14ac:dyDescent="0.3">
      <c r="J6018" s="33"/>
    </row>
    <row r="6019" spans="10:10" ht="15" customHeight="1" x14ac:dyDescent="0.3">
      <c r="J6019" s="33"/>
    </row>
    <row r="6020" spans="10:10" ht="15" customHeight="1" x14ac:dyDescent="0.3">
      <c r="J6020" s="33"/>
    </row>
    <row r="6021" spans="10:10" ht="15" customHeight="1" x14ac:dyDescent="0.3">
      <c r="J6021" s="33"/>
    </row>
    <row r="6022" spans="10:10" ht="15" customHeight="1" x14ac:dyDescent="0.3">
      <c r="J6022" s="33"/>
    </row>
    <row r="6023" spans="10:10" ht="15" customHeight="1" x14ac:dyDescent="0.3">
      <c r="J6023" s="33"/>
    </row>
    <row r="6024" spans="10:10" ht="15" customHeight="1" x14ac:dyDescent="0.3">
      <c r="J6024" s="33"/>
    </row>
    <row r="6025" spans="10:10" ht="15" customHeight="1" x14ac:dyDescent="0.3">
      <c r="J6025" s="33"/>
    </row>
    <row r="6026" spans="10:10" ht="15" customHeight="1" x14ac:dyDescent="0.3">
      <c r="J6026" s="33"/>
    </row>
    <row r="6027" spans="10:10" ht="15" customHeight="1" x14ac:dyDescent="0.3">
      <c r="J6027" s="33"/>
    </row>
    <row r="6028" spans="10:10" ht="15" customHeight="1" x14ac:dyDescent="0.3">
      <c r="J6028" s="33"/>
    </row>
    <row r="6029" spans="10:10" ht="15" customHeight="1" x14ac:dyDescent="0.3">
      <c r="J6029" s="33"/>
    </row>
    <row r="6030" spans="10:10" ht="15" customHeight="1" x14ac:dyDescent="0.3">
      <c r="J6030" s="33"/>
    </row>
    <row r="6031" spans="10:10" ht="15" customHeight="1" x14ac:dyDescent="0.3">
      <c r="J6031" s="33"/>
    </row>
    <row r="6032" spans="10:10" ht="15" customHeight="1" x14ac:dyDescent="0.3">
      <c r="J6032" s="33"/>
    </row>
    <row r="6033" spans="10:10" ht="15" customHeight="1" x14ac:dyDescent="0.3">
      <c r="J6033" s="33"/>
    </row>
    <row r="6034" spans="10:10" ht="15" customHeight="1" x14ac:dyDescent="0.3">
      <c r="J6034" s="33"/>
    </row>
    <row r="6035" spans="10:10" ht="15" customHeight="1" x14ac:dyDescent="0.3">
      <c r="J6035" s="33"/>
    </row>
    <row r="6036" spans="10:10" ht="15" customHeight="1" x14ac:dyDescent="0.3">
      <c r="J6036" s="33"/>
    </row>
    <row r="6037" spans="10:10" ht="15" customHeight="1" x14ac:dyDescent="0.3">
      <c r="J6037" s="33"/>
    </row>
    <row r="6038" spans="10:10" ht="15" customHeight="1" x14ac:dyDescent="0.3">
      <c r="J6038" s="33"/>
    </row>
    <row r="6039" spans="10:10" ht="15" customHeight="1" x14ac:dyDescent="0.3">
      <c r="J6039" s="33"/>
    </row>
    <row r="6040" spans="10:10" ht="15" customHeight="1" x14ac:dyDescent="0.3">
      <c r="J6040" s="33"/>
    </row>
    <row r="6041" spans="10:10" ht="15" customHeight="1" x14ac:dyDescent="0.3">
      <c r="J6041" s="33"/>
    </row>
    <row r="6042" spans="10:10" ht="15" customHeight="1" x14ac:dyDescent="0.3">
      <c r="J6042" s="33"/>
    </row>
    <row r="6043" spans="10:10" ht="15" customHeight="1" x14ac:dyDescent="0.3">
      <c r="J6043" s="33"/>
    </row>
    <row r="6044" spans="10:10" ht="15" customHeight="1" x14ac:dyDescent="0.3">
      <c r="J6044" s="33"/>
    </row>
    <row r="6045" spans="10:10" ht="15" customHeight="1" x14ac:dyDescent="0.3">
      <c r="J6045" s="33"/>
    </row>
    <row r="6046" spans="10:10" ht="15" customHeight="1" x14ac:dyDescent="0.3">
      <c r="J6046" s="33"/>
    </row>
    <row r="6047" spans="10:10" ht="15" customHeight="1" x14ac:dyDescent="0.3">
      <c r="J6047" s="33"/>
    </row>
    <row r="6048" spans="10:10" ht="15" customHeight="1" x14ac:dyDescent="0.3">
      <c r="J6048" s="33"/>
    </row>
    <row r="6049" spans="10:10" ht="15" customHeight="1" x14ac:dyDescent="0.3">
      <c r="J6049" s="33"/>
    </row>
    <row r="6050" spans="10:10" ht="15" customHeight="1" x14ac:dyDescent="0.3">
      <c r="J6050" s="33"/>
    </row>
    <row r="6051" spans="10:10" ht="15" customHeight="1" x14ac:dyDescent="0.3">
      <c r="J6051" s="33"/>
    </row>
    <row r="6052" spans="10:10" ht="15" customHeight="1" x14ac:dyDescent="0.3">
      <c r="J6052" s="33"/>
    </row>
    <row r="6053" spans="10:10" ht="15" customHeight="1" x14ac:dyDescent="0.3">
      <c r="J6053" s="33"/>
    </row>
    <row r="6054" spans="10:10" ht="15" customHeight="1" x14ac:dyDescent="0.3">
      <c r="J6054" s="33"/>
    </row>
    <row r="6055" spans="10:10" ht="15" customHeight="1" x14ac:dyDescent="0.3">
      <c r="J6055" s="33"/>
    </row>
    <row r="6056" spans="10:10" ht="15" customHeight="1" x14ac:dyDescent="0.3">
      <c r="J6056" s="33"/>
    </row>
    <row r="6057" spans="10:10" ht="15" customHeight="1" x14ac:dyDescent="0.3">
      <c r="J6057" s="33"/>
    </row>
    <row r="6058" spans="10:10" ht="15" customHeight="1" x14ac:dyDescent="0.3">
      <c r="J6058" s="33"/>
    </row>
    <row r="6059" spans="10:10" ht="15" customHeight="1" x14ac:dyDescent="0.3">
      <c r="J6059" s="33"/>
    </row>
    <row r="6060" spans="10:10" ht="15" customHeight="1" x14ac:dyDescent="0.3">
      <c r="J6060" s="33"/>
    </row>
    <row r="6061" spans="10:10" ht="15" customHeight="1" x14ac:dyDescent="0.3">
      <c r="J6061" s="33"/>
    </row>
    <row r="6062" spans="10:10" ht="15" customHeight="1" x14ac:dyDescent="0.3">
      <c r="J6062" s="33"/>
    </row>
    <row r="6063" spans="10:10" ht="15" customHeight="1" x14ac:dyDescent="0.3">
      <c r="J6063" s="33"/>
    </row>
    <row r="6064" spans="10:10" ht="15" customHeight="1" x14ac:dyDescent="0.3">
      <c r="J6064" s="33"/>
    </row>
    <row r="6065" spans="10:10" ht="15" customHeight="1" x14ac:dyDescent="0.3">
      <c r="J6065" s="33"/>
    </row>
    <row r="6066" spans="10:10" ht="15" customHeight="1" x14ac:dyDescent="0.3">
      <c r="J6066" s="33"/>
    </row>
    <row r="6067" spans="10:10" ht="15" customHeight="1" x14ac:dyDescent="0.3">
      <c r="J6067" s="33"/>
    </row>
    <row r="6068" spans="10:10" ht="15" customHeight="1" x14ac:dyDescent="0.3">
      <c r="J6068" s="33"/>
    </row>
    <row r="6069" spans="10:10" ht="15" customHeight="1" x14ac:dyDescent="0.3">
      <c r="J6069" s="33"/>
    </row>
    <row r="6070" spans="10:10" ht="15" customHeight="1" x14ac:dyDescent="0.3">
      <c r="J6070" s="33"/>
    </row>
    <row r="6071" spans="10:10" ht="15" customHeight="1" x14ac:dyDescent="0.3">
      <c r="J6071" s="33"/>
    </row>
    <row r="6072" spans="10:10" ht="15" customHeight="1" x14ac:dyDescent="0.3">
      <c r="J6072" s="33"/>
    </row>
    <row r="6073" spans="10:10" ht="15" customHeight="1" x14ac:dyDescent="0.3">
      <c r="J6073" s="33"/>
    </row>
    <row r="6074" spans="10:10" ht="15" customHeight="1" x14ac:dyDescent="0.3">
      <c r="J6074" s="33"/>
    </row>
    <row r="6075" spans="10:10" ht="15" customHeight="1" x14ac:dyDescent="0.3">
      <c r="J6075" s="33"/>
    </row>
    <row r="6076" spans="10:10" ht="15" customHeight="1" x14ac:dyDescent="0.3">
      <c r="J6076" s="33"/>
    </row>
    <row r="6077" spans="10:10" ht="15" customHeight="1" x14ac:dyDescent="0.3">
      <c r="J6077" s="33"/>
    </row>
    <row r="6078" spans="10:10" ht="15" customHeight="1" x14ac:dyDescent="0.3">
      <c r="J6078" s="33"/>
    </row>
    <row r="6079" spans="10:10" ht="15" customHeight="1" x14ac:dyDescent="0.3">
      <c r="J6079" s="33"/>
    </row>
    <row r="6080" spans="10:10" ht="15" customHeight="1" x14ac:dyDescent="0.3">
      <c r="J6080" s="33"/>
    </row>
    <row r="6081" spans="10:10" ht="15" customHeight="1" x14ac:dyDescent="0.3">
      <c r="J6081" s="33"/>
    </row>
    <row r="6082" spans="10:10" ht="15" customHeight="1" x14ac:dyDescent="0.3">
      <c r="J6082" s="33"/>
    </row>
    <row r="6083" spans="10:10" ht="15" customHeight="1" x14ac:dyDescent="0.3">
      <c r="J6083" s="33"/>
    </row>
    <row r="6084" spans="10:10" ht="15" customHeight="1" x14ac:dyDescent="0.3">
      <c r="J6084" s="33"/>
    </row>
    <row r="6085" spans="10:10" ht="15" customHeight="1" x14ac:dyDescent="0.3">
      <c r="J6085" s="33"/>
    </row>
    <row r="6086" spans="10:10" ht="15" customHeight="1" x14ac:dyDescent="0.3">
      <c r="J6086" s="33"/>
    </row>
    <row r="6087" spans="10:10" ht="15" customHeight="1" x14ac:dyDescent="0.3">
      <c r="J6087" s="33"/>
    </row>
    <row r="6088" spans="10:10" ht="15" customHeight="1" x14ac:dyDescent="0.3">
      <c r="J6088" s="33"/>
    </row>
    <row r="6089" spans="10:10" ht="15" customHeight="1" x14ac:dyDescent="0.3">
      <c r="J6089" s="33"/>
    </row>
    <row r="6090" spans="10:10" ht="15" customHeight="1" x14ac:dyDescent="0.3">
      <c r="J6090" s="33"/>
    </row>
    <row r="6091" spans="10:10" ht="15" customHeight="1" x14ac:dyDescent="0.3">
      <c r="J6091" s="33"/>
    </row>
    <row r="6092" spans="10:10" ht="15" customHeight="1" x14ac:dyDescent="0.3">
      <c r="J6092" s="33"/>
    </row>
    <row r="6093" spans="10:10" ht="15" customHeight="1" x14ac:dyDescent="0.3">
      <c r="J6093" s="33"/>
    </row>
    <row r="6094" spans="10:10" ht="15" customHeight="1" x14ac:dyDescent="0.3">
      <c r="J6094" s="33"/>
    </row>
    <row r="6095" spans="10:10" ht="15" customHeight="1" x14ac:dyDescent="0.3">
      <c r="J6095" s="33"/>
    </row>
    <row r="6096" spans="10:10" ht="15" customHeight="1" x14ac:dyDescent="0.3">
      <c r="J6096" s="33"/>
    </row>
    <row r="6097" spans="10:10" ht="15" customHeight="1" x14ac:dyDescent="0.3">
      <c r="J6097" s="33"/>
    </row>
    <row r="6098" spans="10:10" ht="15" customHeight="1" x14ac:dyDescent="0.3">
      <c r="J6098" s="33"/>
    </row>
    <row r="6099" spans="10:10" ht="15" customHeight="1" x14ac:dyDescent="0.3">
      <c r="J6099" s="33"/>
    </row>
    <row r="6100" spans="10:10" ht="15" customHeight="1" x14ac:dyDescent="0.3">
      <c r="J6100" s="33"/>
    </row>
    <row r="6101" spans="10:10" ht="15" customHeight="1" x14ac:dyDescent="0.3">
      <c r="J6101" s="33"/>
    </row>
    <row r="6102" spans="10:10" ht="15" customHeight="1" x14ac:dyDescent="0.3">
      <c r="J6102" s="33"/>
    </row>
    <row r="6103" spans="10:10" ht="15" customHeight="1" x14ac:dyDescent="0.3">
      <c r="J6103" s="33"/>
    </row>
    <row r="6104" spans="10:10" ht="15" customHeight="1" x14ac:dyDescent="0.3">
      <c r="J6104" s="33"/>
    </row>
    <row r="6105" spans="10:10" ht="15" customHeight="1" x14ac:dyDescent="0.3">
      <c r="J6105" s="33"/>
    </row>
    <row r="6106" spans="10:10" ht="15" customHeight="1" x14ac:dyDescent="0.3">
      <c r="J6106" s="33"/>
    </row>
    <row r="6107" spans="10:10" ht="15" customHeight="1" x14ac:dyDescent="0.3">
      <c r="J6107" s="33"/>
    </row>
    <row r="6108" spans="10:10" ht="15" customHeight="1" x14ac:dyDescent="0.3">
      <c r="J6108" s="33"/>
    </row>
    <row r="6109" spans="10:10" ht="15" customHeight="1" x14ac:dyDescent="0.3">
      <c r="J6109" s="33"/>
    </row>
    <row r="6110" spans="10:10" ht="15" customHeight="1" x14ac:dyDescent="0.3">
      <c r="J6110" s="33"/>
    </row>
    <row r="6111" spans="10:10" ht="15" customHeight="1" x14ac:dyDescent="0.3">
      <c r="J6111" s="33"/>
    </row>
    <row r="6112" spans="10:10" ht="15" customHeight="1" x14ac:dyDescent="0.3">
      <c r="J6112" s="33"/>
    </row>
    <row r="6113" spans="10:10" ht="15" customHeight="1" x14ac:dyDescent="0.3">
      <c r="J6113" s="33"/>
    </row>
    <row r="6114" spans="10:10" ht="15" customHeight="1" x14ac:dyDescent="0.3">
      <c r="J6114" s="33"/>
    </row>
    <row r="6115" spans="10:10" ht="15" customHeight="1" x14ac:dyDescent="0.3">
      <c r="J6115" s="33"/>
    </row>
    <row r="6116" spans="10:10" ht="15" customHeight="1" x14ac:dyDescent="0.3">
      <c r="J6116" s="33"/>
    </row>
    <row r="6117" spans="10:10" ht="15" customHeight="1" x14ac:dyDescent="0.3">
      <c r="J6117" s="33"/>
    </row>
    <row r="6118" spans="10:10" ht="15" customHeight="1" x14ac:dyDescent="0.3">
      <c r="J6118" s="33"/>
    </row>
    <row r="6119" spans="10:10" ht="15" customHeight="1" x14ac:dyDescent="0.3">
      <c r="J6119" s="33"/>
    </row>
    <row r="6120" spans="10:10" ht="15" customHeight="1" x14ac:dyDescent="0.3">
      <c r="J6120" s="33"/>
    </row>
    <row r="6121" spans="10:10" ht="15" customHeight="1" x14ac:dyDescent="0.3">
      <c r="J6121" s="33"/>
    </row>
    <row r="6122" spans="10:10" ht="15" customHeight="1" x14ac:dyDescent="0.3">
      <c r="J6122" s="33"/>
    </row>
    <row r="6123" spans="10:10" ht="15" customHeight="1" x14ac:dyDescent="0.3">
      <c r="J6123" s="33"/>
    </row>
    <row r="6124" spans="10:10" ht="15" customHeight="1" x14ac:dyDescent="0.3">
      <c r="J6124" s="33"/>
    </row>
    <row r="6125" spans="10:10" ht="15" customHeight="1" x14ac:dyDescent="0.3">
      <c r="J6125" s="33"/>
    </row>
    <row r="6126" spans="10:10" ht="15" customHeight="1" x14ac:dyDescent="0.3">
      <c r="J6126" s="33"/>
    </row>
    <row r="6127" spans="10:10" ht="15" customHeight="1" x14ac:dyDescent="0.3">
      <c r="J6127" s="33"/>
    </row>
    <row r="6128" spans="10:10" ht="15" customHeight="1" x14ac:dyDescent="0.3">
      <c r="J6128" s="33"/>
    </row>
    <row r="6129" spans="10:10" ht="15" customHeight="1" x14ac:dyDescent="0.3">
      <c r="J6129" s="33"/>
    </row>
    <row r="6130" spans="10:10" ht="15" customHeight="1" x14ac:dyDescent="0.3">
      <c r="J6130" s="33"/>
    </row>
    <row r="6131" spans="10:10" ht="15" customHeight="1" x14ac:dyDescent="0.3">
      <c r="J6131" s="33"/>
    </row>
    <row r="6132" spans="10:10" ht="15" customHeight="1" x14ac:dyDescent="0.3">
      <c r="J6132" s="33"/>
    </row>
    <row r="6133" spans="10:10" ht="15" customHeight="1" x14ac:dyDescent="0.3">
      <c r="J6133" s="33"/>
    </row>
    <row r="6134" spans="10:10" ht="15" customHeight="1" x14ac:dyDescent="0.3">
      <c r="J6134" s="33"/>
    </row>
    <row r="6135" spans="10:10" ht="15" customHeight="1" x14ac:dyDescent="0.3">
      <c r="J6135" s="33"/>
    </row>
    <row r="6136" spans="10:10" ht="15" customHeight="1" x14ac:dyDescent="0.3">
      <c r="J6136" s="33"/>
    </row>
    <row r="6137" spans="10:10" ht="15" customHeight="1" x14ac:dyDescent="0.3">
      <c r="J6137" s="33"/>
    </row>
    <row r="6138" spans="10:10" ht="15" customHeight="1" x14ac:dyDescent="0.3">
      <c r="J6138" s="33"/>
    </row>
    <row r="6139" spans="10:10" ht="15" customHeight="1" x14ac:dyDescent="0.3">
      <c r="J6139" s="33"/>
    </row>
    <row r="6140" spans="10:10" ht="15" customHeight="1" x14ac:dyDescent="0.3">
      <c r="J6140" s="33"/>
    </row>
    <row r="6141" spans="10:10" ht="15" customHeight="1" x14ac:dyDescent="0.3">
      <c r="J6141" s="33"/>
    </row>
    <row r="6142" spans="10:10" ht="15" customHeight="1" x14ac:dyDescent="0.3">
      <c r="J6142" s="33"/>
    </row>
    <row r="6143" spans="10:10" ht="15" customHeight="1" x14ac:dyDescent="0.3">
      <c r="J6143" s="33"/>
    </row>
    <row r="6144" spans="10:10" ht="15" customHeight="1" x14ac:dyDescent="0.3">
      <c r="J6144" s="33"/>
    </row>
    <row r="6145" spans="10:10" ht="15" customHeight="1" x14ac:dyDescent="0.3">
      <c r="J6145" s="33"/>
    </row>
    <row r="6146" spans="10:10" ht="15" customHeight="1" x14ac:dyDescent="0.3">
      <c r="J6146" s="33"/>
    </row>
    <row r="6147" spans="10:10" ht="15" customHeight="1" x14ac:dyDescent="0.3">
      <c r="J6147" s="33"/>
    </row>
    <row r="6148" spans="10:10" ht="15" customHeight="1" x14ac:dyDescent="0.3">
      <c r="J6148" s="33"/>
    </row>
    <row r="6149" spans="10:10" ht="15" customHeight="1" x14ac:dyDescent="0.3">
      <c r="J6149" s="33"/>
    </row>
    <row r="6150" spans="10:10" ht="15" customHeight="1" x14ac:dyDescent="0.3">
      <c r="J6150" s="33"/>
    </row>
    <row r="6151" spans="10:10" ht="15" customHeight="1" x14ac:dyDescent="0.3">
      <c r="J6151" s="33"/>
    </row>
    <row r="6152" spans="10:10" ht="15" customHeight="1" x14ac:dyDescent="0.3">
      <c r="J6152" s="33"/>
    </row>
    <row r="6153" spans="10:10" ht="15" customHeight="1" x14ac:dyDescent="0.3">
      <c r="J6153" s="33"/>
    </row>
    <row r="6154" spans="10:10" ht="15" customHeight="1" x14ac:dyDescent="0.3">
      <c r="J6154" s="33"/>
    </row>
    <row r="6155" spans="10:10" ht="15" customHeight="1" x14ac:dyDescent="0.3">
      <c r="J6155" s="33"/>
    </row>
    <row r="6156" spans="10:10" ht="15" customHeight="1" x14ac:dyDescent="0.3">
      <c r="J6156" s="33"/>
    </row>
    <row r="6157" spans="10:10" ht="15" customHeight="1" x14ac:dyDescent="0.3">
      <c r="J6157" s="33"/>
    </row>
    <row r="6158" spans="10:10" ht="15" customHeight="1" x14ac:dyDescent="0.3">
      <c r="J6158" s="33"/>
    </row>
    <row r="6159" spans="10:10" ht="15" customHeight="1" x14ac:dyDescent="0.3">
      <c r="J6159" s="33"/>
    </row>
    <row r="6160" spans="10:10" ht="15" customHeight="1" x14ac:dyDescent="0.3">
      <c r="J6160" s="33"/>
    </row>
    <row r="6161" spans="10:10" ht="15" customHeight="1" x14ac:dyDescent="0.3">
      <c r="J6161" s="33"/>
    </row>
    <row r="6162" spans="10:10" ht="15" customHeight="1" x14ac:dyDescent="0.3">
      <c r="J6162" s="33"/>
    </row>
    <row r="6163" spans="10:10" ht="15" customHeight="1" x14ac:dyDescent="0.3">
      <c r="J6163" s="33"/>
    </row>
    <row r="6164" spans="10:10" ht="15" customHeight="1" x14ac:dyDescent="0.3">
      <c r="J6164" s="33"/>
    </row>
    <row r="6165" spans="10:10" ht="15" customHeight="1" x14ac:dyDescent="0.3">
      <c r="J6165" s="33"/>
    </row>
    <row r="6166" spans="10:10" ht="15" customHeight="1" x14ac:dyDescent="0.3">
      <c r="J6166" s="33"/>
    </row>
    <row r="6167" spans="10:10" ht="15" customHeight="1" x14ac:dyDescent="0.3">
      <c r="J6167" s="33"/>
    </row>
    <row r="6168" spans="10:10" ht="15" customHeight="1" x14ac:dyDescent="0.3">
      <c r="J6168" s="33"/>
    </row>
    <row r="6169" spans="10:10" ht="15" customHeight="1" x14ac:dyDescent="0.3">
      <c r="J6169" s="33"/>
    </row>
    <row r="6170" spans="10:10" ht="15" customHeight="1" x14ac:dyDescent="0.3">
      <c r="J6170" s="33"/>
    </row>
    <row r="6171" spans="10:10" ht="15" customHeight="1" x14ac:dyDescent="0.3">
      <c r="J6171" s="33"/>
    </row>
    <row r="6172" spans="10:10" ht="15" customHeight="1" x14ac:dyDescent="0.3">
      <c r="J6172" s="33"/>
    </row>
    <row r="6173" spans="10:10" ht="15" customHeight="1" x14ac:dyDescent="0.3">
      <c r="J6173" s="33"/>
    </row>
    <row r="6174" spans="10:10" ht="15" customHeight="1" x14ac:dyDescent="0.3">
      <c r="J6174" s="33"/>
    </row>
    <row r="6175" spans="10:10" ht="15" customHeight="1" x14ac:dyDescent="0.3">
      <c r="J6175" s="33"/>
    </row>
    <row r="6176" spans="10:10" ht="15" customHeight="1" x14ac:dyDescent="0.3">
      <c r="J6176" s="33"/>
    </row>
    <row r="6177" spans="10:10" ht="15" customHeight="1" x14ac:dyDescent="0.3">
      <c r="J6177" s="33"/>
    </row>
    <row r="6178" spans="10:10" ht="15" customHeight="1" x14ac:dyDescent="0.3">
      <c r="J6178" s="33"/>
    </row>
    <row r="6179" spans="10:10" ht="15" customHeight="1" x14ac:dyDescent="0.3">
      <c r="J6179" s="33"/>
    </row>
    <row r="6180" spans="10:10" ht="15" customHeight="1" x14ac:dyDescent="0.3">
      <c r="J6180" s="33"/>
    </row>
    <row r="6181" spans="10:10" ht="15" customHeight="1" x14ac:dyDescent="0.3">
      <c r="J6181" s="33"/>
    </row>
    <row r="6182" spans="10:10" ht="15" customHeight="1" x14ac:dyDescent="0.3">
      <c r="J6182" s="33"/>
    </row>
    <row r="6183" spans="10:10" ht="15" customHeight="1" x14ac:dyDescent="0.3">
      <c r="J6183" s="33"/>
    </row>
    <row r="6184" spans="10:10" ht="15" customHeight="1" x14ac:dyDescent="0.3">
      <c r="J6184" s="33"/>
    </row>
    <row r="6185" spans="10:10" ht="15" customHeight="1" x14ac:dyDescent="0.3">
      <c r="J6185" s="33"/>
    </row>
    <row r="6186" spans="10:10" ht="15" customHeight="1" x14ac:dyDescent="0.3">
      <c r="J6186" s="33"/>
    </row>
    <row r="6187" spans="10:10" ht="15" customHeight="1" x14ac:dyDescent="0.3">
      <c r="J6187" s="33"/>
    </row>
    <row r="6188" spans="10:10" ht="15" customHeight="1" x14ac:dyDescent="0.3">
      <c r="J6188" s="33"/>
    </row>
    <row r="6189" spans="10:10" ht="15" customHeight="1" x14ac:dyDescent="0.3">
      <c r="J6189" s="33"/>
    </row>
    <row r="6190" spans="10:10" ht="15" customHeight="1" x14ac:dyDescent="0.3">
      <c r="J6190" s="33"/>
    </row>
    <row r="6191" spans="10:10" ht="15" customHeight="1" x14ac:dyDescent="0.3">
      <c r="J6191" s="33"/>
    </row>
    <row r="6192" spans="10:10" ht="15" customHeight="1" x14ac:dyDescent="0.3">
      <c r="J6192" s="33"/>
    </row>
    <row r="6193" spans="10:10" ht="15" customHeight="1" x14ac:dyDescent="0.3">
      <c r="J6193" s="33"/>
    </row>
    <row r="6194" spans="10:10" ht="15" customHeight="1" x14ac:dyDescent="0.3">
      <c r="J6194" s="33"/>
    </row>
    <row r="6195" spans="10:10" ht="15" customHeight="1" x14ac:dyDescent="0.3">
      <c r="J6195" s="33"/>
    </row>
    <row r="6196" spans="10:10" ht="15" customHeight="1" x14ac:dyDescent="0.3">
      <c r="J6196" s="33"/>
    </row>
    <row r="6197" spans="10:10" ht="15" customHeight="1" x14ac:dyDescent="0.3">
      <c r="J6197" s="33"/>
    </row>
    <row r="6198" spans="10:10" ht="15" customHeight="1" x14ac:dyDescent="0.3">
      <c r="J6198" s="33"/>
    </row>
    <row r="6199" spans="10:10" ht="15" customHeight="1" x14ac:dyDescent="0.3">
      <c r="J6199" s="33"/>
    </row>
    <row r="6200" spans="10:10" ht="15" customHeight="1" x14ac:dyDescent="0.3">
      <c r="J6200" s="33"/>
    </row>
    <row r="6201" spans="10:10" ht="15" customHeight="1" x14ac:dyDescent="0.3">
      <c r="J6201" s="33"/>
    </row>
    <row r="6202" spans="10:10" ht="15" customHeight="1" x14ac:dyDescent="0.3">
      <c r="J6202" s="33"/>
    </row>
    <row r="6203" spans="10:10" ht="15" customHeight="1" x14ac:dyDescent="0.3">
      <c r="J6203" s="33"/>
    </row>
    <row r="6204" spans="10:10" ht="15" customHeight="1" x14ac:dyDescent="0.3">
      <c r="J6204" s="33"/>
    </row>
    <row r="6205" spans="10:10" ht="15" customHeight="1" x14ac:dyDescent="0.3">
      <c r="J6205" s="33"/>
    </row>
    <row r="6206" spans="10:10" ht="15" customHeight="1" x14ac:dyDescent="0.3">
      <c r="J6206" s="33"/>
    </row>
    <row r="6207" spans="10:10" ht="15" customHeight="1" x14ac:dyDescent="0.3">
      <c r="J6207" s="33"/>
    </row>
    <row r="6208" spans="10:10" ht="15" customHeight="1" x14ac:dyDescent="0.3">
      <c r="J6208" s="33"/>
    </row>
    <row r="6209" spans="10:10" ht="15" customHeight="1" x14ac:dyDescent="0.3">
      <c r="J6209" s="33"/>
    </row>
    <row r="6210" spans="10:10" ht="15" customHeight="1" x14ac:dyDescent="0.3">
      <c r="J6210" s="33"/>
    </row>
    <row r="6211" spans="10:10" ht="15" customHeight="1" x14ac:dyDescent="0.3">
      <c r="J6211" s="33"/>
    </row>
    <row r="6212" spans="10:10" ht="15" customHeight="1" x14ac:dyDescent="0.3">
      <c r="J6212" s="33"/>
    </row>
    <row r="6213" spans="10:10" ht="15" customHeight="1" x14ac:dyDescent="0.3">
      <c r="J6213" s="33"/>
    </row>
    <row r="6214" spans="10:10" ht="15" customHeight="1" x14ac:dyDescent="0.3">
      <c r="J6214" s="33"/>
    </row>
    <row r="6215" spans="10:10" ht="15" customHeight="1" x14ac:dyDescent="0.3">
      <c r="J6215" s="33"/>
    </row>
    <row r="6216" spans="10:10" ht="15" customHeight="1" x14ac:dyDescent="0.3">
      <c r="J6216" s="33"/>
    </row>
    <row r="6217" spans="10:10" ht="15" customHeight="1" x14ac:dyDescent="0.3">
      <c r="J6217" s="33"/>
    </row>
    <row r="6218" spans="10:10" ht="15" customHeight="1" x14ac:dyDescent="0.3">
      <c r="J6218" s="33"/>
    </row>
    <row r="6219" spans="10:10" ht="15" customHeight="1" x14ac:dyDescent="0.3">
      <c r="J6219" s="33"/>
    </row>
    <row r="6220" spans="10:10" ht="15" customHeight="1" x14ac:dyDescent="0.3">
      <c r="J6220" s="33"/>
    </row>
    <row r="6221" spans="10:10" ht="15" customHeight="1" x14ac:dyDescent="0.3">
      <c r="J6221" s="33"/>
    </row>
    <row r="6222" spans="10:10" ht="15" customHeight="1" x14ac:dyDescent="0.3">
      <c r="J6222" s="33"/>
    </row>
    <row r="6223" spans="10:10" ht="15" customHeight="1" x14ac:dyDescent="0.3">
      <c r="J6223" s="33"/>
    </row>
    <row r="6224" spans="10:10" ht="15" customHeight="1" x14ac:dyDescent="0.3">
      <c r="J6224" s="33"/>
    </row>
    <row r="6225" spans="10:10" ht="15" customHeight="1" x14ac:dyDescent="0.3">
      <c r="J6225" s="33"/>
    </row>
    <row r="6226" spans="10:10" ht="15" customHeight="1" x14ac:dyDescent="0.3">
      <c r="J6226" s="33"/>
    </row>
    <row r="6227" spans="10:10" ht="15" customHeight="1" x14ac:dyDescent="0.3">
      <c r="J6227" s="33"/>
    </row>
    <row r="6228" spans="10:10" ht="15" customHeight="1" x14ac:dyDescent="0.3">
      <c r="J6228" s="33"/>
    </row>
    <row r="6229" spans="10:10" ht="15" customHeight="1" x14ac:dyDescent="0.3">
      <c r="J6229" s="33"/>
    </row>
    <row r="6230" spans="10:10" ht="15" customHeight="1" x14ac:dyDescent="0.3">
      <c r="J6230" s="33"/>
    </row>
    <row r="6231" spans="10:10" ht="15" customHeight="1" x14ac:dyDescent="0.3">
      <c r="J6231" s="33"/>
    </row>
    <row r="6232" spans="10:10" ht="15" customHeight="1" x14ac:dyDescent="0.3">
      <c r="J6232" s="33"/>
    </row>
    <row r="6233" spans="10:10" ht="15" customHeight="1" x14ac:dyDescent="0.3">
      <c r="J6233" s="33"/>
    </row>
    <row r="6234" spans="10:10" ht="15" customHeight="1" x14ac:dyDescent="0.3">
      <c r="J6234" s="33"/>
    </row>
    <row r="6235" spans="10:10" ht="15" customHeight="1" x14ac:dyDescent="0.3">
      <c r="J6235" s="33"/>
    </row>
    <row r="6236" spans="10:10" ht="15" customHeight="1" x14ac:dyDescent="0.3">
      <c r="J6236" s="33"/>
    </row>
    <row r="6237" spans="10:10" ht="15" customHeight="1" x14ac:dyDescent="0.3">
      <c r="J6237" s="33"/>
    </row>
    <row r="6238" spans="10:10" ht="15" customHeight="1" x14ac:dyDescent="0.3">
      <c r="J6238" s="33"/>
    </row>
    <row r="6239" spans="10:10" ht="15" customHeight="1" x14ac:dyDescent="0.3">
      <c r="J6239" s="33"/>
    </row>
    <row r="6240" spans="10:10" ht="15" customHeight="1" x14ac:dyDescent="0.3">
      <c r="J6240" s="33"/>
    </row>
    <row r="6241" spans="10:10" ht="15" customHeight="1" x14ac:dyDescent="0.3">
      <c r="J6241" s="33"/>
    </row>
    <row r="6242" spans="10:10" ht="15" customHeight="1" x14ac:dyDescent="0.3">
      <c r="J6242" s="33"/>
    </row>
    <row r="6243" spans="10:10" ht="15" customHeight="1" x14ac:dyDescent="0.3">
      <c r="J6243" s="33"/>
    </row>
    <row r="6244" spans="10:10" ht="15" customHeight="1" x14ac:dyDescent="0.3">
      <c r="J6244" s="33"/>
    </row>
    <row r="6245" spans="10:10" ht="15" customHeight="1" x14ac:dyDescent="0.3">
      <c r="J6245" s="33"/>
    </row>
    <row r="6246" spans="10:10" ht="15" customHeight="1" x14ac:dyDescent="0.3">
      <c r="J6246" s="33"/>
    </row>
    <row r="6247" spans="10:10" ht="15" customHeight="1" x14ac:dyDescent="0.3">
      <c r="J6247" s="33"/>
    </row>
    <row r="6248" spans="10:10" ht="15" customHeight="1" x14ac:dyDescent="0.3">
      <c r="J6248" s="33"/>
    </row>
    <row r="6249" spans="10:10" ht="15" customHeight="1" x14ac:dyDescent="0.3">
      <c r="J6249" s="33"/>
    </row>
    <row r="6250" spans="10:10" ht="15" customHeight="1" x14ac:dyDescent="0.3">
      <c r="J6250" s="33"/>
    </row>
    <row r="6251" spans="10:10" ht="15" customHeight="1" x14ac:dyDescent="0.3">
      <c r="J6251" s="33"/>
    </row>
    <row r="6252" spans="10:10" ht="15" customHeight="1" x14ac:dyDescent="0.3">
      <c r="J6252" s="33"/>
    </row>
    <row r="6253" spans="10:10" ht="15" customHeight="1" x14ac:dyDescent="0.3">
      <c r="J6253" s="33"/>
    </row>
    <row r="6254" spans="10:10" ht="15" customHeight="1" x14ac:dyDescent="0.3">
      <c r="J6254" s="33"/>
    </row>
    <row r="6255" spans="10:10" ht="15" customHeight="1" x14ac:dyDescent="0.3">
      <c r="J6255" s="33"/>
    </row>
    <row r="6256" spans="10:10" ht="15" customHeight="1" x14ac:dyDescent="0.3">
      <c r="J6256" s="33"/>
    </row>
    <row r="6257" spans="10:10" ht="15" customHeight="1" x14ac:dyDescent="0.3">
      <c r="J6257" s="33"/>
    </row>
    <row r="6258" spans="10:10" ht="15" customHeight="1" x14ac:dyDescent="0.3">
      <c r="J6258" s="33"/>
    </row>
    <row r="6259" spans="10:10" ht="15" customHeight="1" x14ac:dyDescent="0.3">
      <c r="J6259" s="33"/>
    </row>
    <row r="6260" spans="10:10" ht="15" customHeight="1" x14ac:dyDescent="0.3">
      <c r="J6260" s="33"/>
    </row>
    <row r="6261" spans="10:10" ht="15" customHeight="1" x14ac:dyDescent="0.3">
      <c r="J6261" s="33"/>
    </row>
    <row r="6262" spans="10:10" ht="15" customHeight="1" x14ac:dyDescent="0.3">
      <c r="J6262" s="33"/>
    </row>
    <row r="6263" spans="10:10" ht="15" customHeight="1" x14ac:dyDescent="0.3">
      <c r="J6263" s="33"/>
    </row>
    <row r="6264" spans="10:10" ht="15" customHeight="1" x14ac:dyDescent="0.3">
      <c r="J6264" s="33"/>
    </row>
    <row r="6265" spans="10:10" ht="15" customHeight="1" x14ac:dyDescent="0.3">
      <c r="J6265" s="33"/>
    </row>
    <row r="6266" spans="10:10" ht="15" customHeight="1" x14ac:dyDescent="0.3">
      <c r="J6266" s="33"/>
    </row>
    <row r="6267" spans="10:10" ht="15" customHeight="1" x14ac:dyDescent="0.3">
      <c r="J6267" s="33"/>
    </row>
    <row r="6268" spans="10:10" ht="15" customHeight="1" x14ac:dyDescent="0.3">
      <c r="J6268" s="33"/>
    </row>
    <row r="6269" spans="10:10" ht="15" customHeight="1" x14ac:dyDescent="0.3">
      <c r="J6269" s="33"/>
    </row>
    <row r="6270" spans="10:10" ht="15" customHeight="1" x14ac:dyDescent="0.3">
      <c r="J6270" s="33"/>
    </row>
    <row r="6271" spans="10:10" ht="15" customHeight="1" x14ac:dyDescent="0.3">
      <c r="J6271" s="33"/>
    </row>
    <row r="6272" spans="10:10" ht="15" customHeight="1" x14ac:dyDescent="0.3">
      <c r="J6272" s="33"/>
    </row>
    <row r="6273" spans="10:10" ht="15" customHeight="1" x14ac:dyDescent="0.3">
      <c r="J6273" s="33"/>
    </row>
    <row r="6274" spans="10:10" ht="15" customHeight="1" x14ac:dyDescent="0.3">
      <c r="J6274" s="33"/>
    </row>
    <row r="6275" spans="10:10" ht="15" customHeight="1" x14ac:dyDescent="0.3">
      <c r="J6275" s="33"/>
    </row>
    <row r="6276" spans="10:10" ht="15" customHeight="1" x14ac:dyDescent="0.3">
      <c r="J6276" s="33"/>
    </row>
    <row r="6277" spans="10:10" ht="15" customHeight="1" x14ac:dyDescent="0.3">
      <c r="J6277" s="33"/>
    </row>
    <row r="6278" spans="10:10" ht="15" customHeight="1" x14ac:dyDescent="0.3">
      <c r="J6278" s="33"/>
    </row>
    <row r="6279" spans="10:10" ht="15" customHeight="1" x14ac:dyDescent="0.3">
      <c r="J6279" s="33"/>
    </row>
    <row r="6280" spans="10:10" ht="15" customHeight="1" x14ac:dyDescent="0.3">
      <c r="J6280" s="33"/>
    </row>
    <row r="6281" spans="10:10" ht="15" customHeight="1" x14ac:dyDescent="0.3">
      <c r="J6281" s="33"/>
    </row>
    <row r="6282" spans="10:10" ht="15" customHeight="1" x14ac:dyDescent="0.3">
      <c r="J6282" s="33"/>
    </row>
    <row r="6283" spans="10:10" ht="15" customHeight="1" x14ac:dyDescent="0.3">
      <c r="J6283" s="33"/>
    </row>
    <row r="6284" spans="10:10" ht="15" customHeight="1" x14ac:dyDescent="0.3">
      <c r="J6284" s="33"/>
    </row>
    <row r="6285" spans="10:10" ht="15" customHeight="1" x14ac:dyDescent="0.3">
      <c r="J6285" s="33"/>
    </row>
    <row r="6286" spans="10:10" ht="15" customHeight="1" x14ac:dyDescent="0.3">
      <c r="J6286" s="33"/>
    </row>
    <row r="6287" spans="10:10" ht="15" customHeight="1" x14ac:dyDescent="0.3">
      <c r="J6287" s="33"/>
    </row>
    <row r="6288" spans="10:10" ht="15" customHeight="1" x14ac:dyDescent="0.3">
      <c r="J6288" s="33"/>
    </row>
    <row r="6289" spans="10:10" ht="15" customHeight="1" x14ac:dyDescent="0.3">
      <c r="J6289" s="33"/>
    </row>
    <row r="6290" spans="10:10" ht="15" customHeight="1" x14ac:dyDescent="0.3">
      <c r="J6290" s="33"/>
    </row>
    <row r="6291" spans="10:10" ht="15" customHeight="1" x14ac:dyDescent="0.3">
      <c r="J6291" s="33"/>
    </row>
    <row r="6292" spans="10:10" ht="15" customHeight="1" x14ac:dyDescent="0.3">
      <c r="J6292" s="33"/>
    </row>
    <row r="6293" spans="10:10" ht="15" customHeight="1" x14ac:dyDescent="0.3">
      <c r="J6293" s="33"/>
    </row>
    <row r="6294" spans="10:10" ht="15" customHeight="1" x14ac:dyDescent="0.3">
      <c r="J6294" s="33"/>
    </row>
    <row r="6295" spans="10:10" ht="15" customHeight="1" x14ac:dyDescent="0.3">
      <c r="J6295" s="33"/>
    </row>
    <row r="6296" spans="10:10" ht="15" customHeight="1" x14ac:dyDescent="0.3">
      <c r="J6296" s="33"/>
    </row>
    <row r="6297" spans="10:10" ht="15" customHeight="1" x14ac:dyDescent="0.3">
      <c r="J6297" s="33"/>
    </row>
    <row r="6298" spans="10:10" ht="15" customHeight="1" x14ac:dyDescent="0.3">
      <c r="J6298" s="33"/>
    </row>
    <row r="6299" spans="10:10" ht="15" customHeight="1" x14ac:dyDescent="0.3">
      <c r="J6299" s="33"/>
    </row>
    <row r="6300" spans="10:10" ht="15" customHeight="1" x14ac:dyDescent="0.3">
      <c r="J6300" s="33"/>
    </row>
    <row r="6301" spans="10:10" ht="15" customHeight="1" x14ac:dyDescent="0.3">
      <c r="J6301" s="33"/>
    </row>
    <row r="6302" spans="10:10" ht="15" customHeight="1" x14ac:dyDescent="0.3">
      <c r="J6302" s="33"/>
    </row>
    <row r="6303" spans="10:10" ht="15" customHeight="1" x14ac:dyDescent="0.3">
      <c r="J6303" s="33"/>
    </row>
    <row r="6304" spans="10:10" ht="15" customHeight="1" x14ac:dyDescent="0.3">
      <c r="J6304" s="33"/>
    </row>
    <row r="6305" spans="10:10" ht="15" customHeight="1" x14ac:dyDescent="0.3">
      <c r="J6305" s="33"/>
    </row>
    <row r="6306" spans="10:10" ht="15" customHeight="1" x14ac:dyDescent="0.3">
      <c r="J6306" s="33"/>
    </row>
    <row r="6307" spans="10:10" ht="15" customHeight="1" x14ac:dyDescent="0.3">
      <c r="J6307" s="33"/>
    </row>
    <row r="6308" spans="10:10" ht="15" customHeight="1" x14ac:dyDescent="0.3">
      <c r="J6308" s="33"/>
    </row>
    <row r="6309" spans="10:10" ht="15" customHeight="1" x14ac:dyDescent="0.3">
      <c r="J6309" s="33"/>
    </row>
    <row r="6310" spans="10:10" ht="15" customHeight="1" x14ac:dyDescent="0.3">
      <c r="J6310" s="33"/>
    </row>
    <row r="6311" spans="10:10" ht="15" customHeight="1" x14ac:dyDescent="0.3">
      <c r="J6311" s="33"/>
    </row>
    <row r="6312" spans="10:10" ht="15" customHeight="1" x14ac:dyDescent="0.3">
      <c r="J6312" s="33"/>
    </row>
    <row r="6313" spans="10:10" ht="15" customHeight="1" x14ac:dyDescent="0.3">
      <c r="J6313" s="33"/>
    </row>
    <row r="6314" spans="10:10" ht="15" customHeight="1" x14ac:dyDescent="0.3">
      <c r="J6314" s="33"/>
    </row>
    <row r="6315" spans="10:10" ht="15" customHeight="1" x14ac:dyDescent="0.3">
      <c r="J6315" s="33"/>
    </row>
    <row r="6316" spans="10:10" ht="15" customHeight="1" x14ac:dyDescent="0.3">
      <c r="J6316" s="33"/>
    </row>
    <row r="6317" spans="10:10" ht="15" customHeight="1" x14ac:dyDescent="0.3">
      <c r="J6317" s="33"/>
    </row>
    <row r="6318" spans="10:10" ht="15" customHeight="1" x14ac:dyDescent="0.3">
      <c r="J6318" s="33"/>
    </row>
    <row r="6319" spans="10:10" ht="15" customHeight="1" x14ac:dyDescent="0.3">
      <c r="J6319" s="33"/>
    </row>
    <row r="6320" spans="10:10" ht="15" customHeight="1" x14ac:dyDescent="0.3">
      <c r="J6320" s="33"/>
    </row>
    <row r="6321" spans="10:10" ht="15" customHeight="1" x14ac:dyDescent="0.3">
      <c r="J6321" s="33"/>
    </row>
    <row r="6322" spans="10:10" ht="15" customHeight="1" x14ac:dyDescent="0.3">
      <c r="J6322" s="33"/>
    </row>
    <row r="6323" spans="10:10" ht="15" customHeight="1" x14ac:dyDescent="0.3">
      <c r="J6323" s="33"/>
    </row>
    <row r="6324" spans="10:10" ht="15" customHeight="1" x14ac:dyDescent="0.3">
      <c r="J6324" s="33"/>
    </row>
    <row r="6325" spans="10:10" ht="15" customHeight="1" x14ac:dyDescent="0.3">
      <c r="J6325" s="33"/>
    </row>
    <row r="6326" spans="10:10" ht="15" customHeight="1" x14ac:dyDescent="0.3">
      <c r="J6326" s="33"/>
    </row>
    <row r="6327" spans="10:10" ht="15" customHeight="1" x14ac:dyDescent="0.3">
      <c r="J6327" s="33"/>
    </row>
    <row r="6328" spans="10:10" ht="15" customHeight="1" x14ac:dyDescent="0.3">
      <c r="J6328" s="33"/>
    </row>
    <row r="6329" spans="10:10" ht="15" customHeight="1" x14ac:dyDescent="0.3">
      <c r="J6329" s="33"/>
    </row>
    <row r="6330" spans="10:10" ht="15" customHeight="1" x14ac:dyDescent="0.3">
      <c r="J6330" s="33"/>
    </row>
    <row r="6331" spans="10:10" ht="15" customHeight="1" x14ac:dyDescent="0.3">
      <c r="J6331" s="33"/>
    </row>
    <row r="6332" spans="10:10" ht="15" customHeight="1" x14ac:dyDescent="0.3">
      <c r="J6332" s="33"/>
    </row>
    <row r="6333" spans="10:10" ht="15" customHeight="1" x14ac:dyDescent="0.3">
      <c r="J6333" s="33"/>
    </row>
    <row r="6334" spans="10:10" ht="15" customHeight="1" x14ac:dyDescent="0.3">
      <c r="J6334" s="33"/>
    </row>
    <row r="6335" spans="10:10" ht="15" customHeight="1" x14ac:dyDescent="0.3">
      <c r="J6335" s="33"/>
    </row>
    <row r="6336" spans="10:10" ht="15" customHeight="1" x14ac:dyDescent="0.3">
      <c r="J6336" s="33"/>
    </row>
    <row r="6337" spans="10:10" ht="15" customHeight="1" x14ac:dyDescent="0.3">
      <c r="J6337" s="33"/>
    </row>
    <row r="6338" spans="10:10" ht="15" customHeight="1" x14ac:dyDescent="0.3">
      <c r="J6338" s="33"/>
    </row>
    <row r="6339" spans="10:10" ht="15" customHeight="1" x14ac:dyDescent="0.3">
      <c r="J6339" s="33"/>
    </row>
    <row r="6340" spans="10:10" ht="15" customHeight="1" x14ac:dyDescent="0.3">
      <c r="J6340" s="33"/>
    </row>
    <row r="6341" spans="10:10" ht="15" customHeight="1" x14ac:dyDescent="0.3">
      <c r="J6341" s="33"/>
    </row>
    <row r="6342" spans="10:10" ht="15" customHeight="1" x14ac:dyDescent="0.3">
      <c r="J6342" s="33"/>
    </row>
    <row r="6343" spans="10:10" ht="15" customHeight="1" x14ac:dyDescent="0.3">
      <c r="J6343" s="33"/>
    </row>
    <row r="6344" spans="10:10" ht="15" customHeight="1" x14ac:dyDescent="0.3">
      <c r="J6344" s="33"/>
    </row>
    <row r="6345" spans="10:10" ht="15" customHeight="1" x14ac:dyDescent="0.3">
      <c r="J6345" s="33"/>
    </row>
    <row r="6346" spans="10:10" ht="15" customHeight="1" x14ac:dyDescent="0.3">
      <c r="J6346" s="33"/>
    </row>
    <row r="6347" spans="10:10" ht="15" customHeight="1" x14ac:dyDescent="0.3">
      <c r="J6347" s="33"/>
    </row>
    <row r="6348" spans="10:10" ht="15" customHeight="1" x14ac:dyDescent="0.3">
      <c r="J6348" s="33"/>
    </row>
    <row r="6349" spans="10:10" ht="15" customHeight="1" x14ac:dyDescent="0.3">
      <c r="J6349" s="33"/>
    </row>
    <row r="6350" spans="10:10" ht="15" customHeight="1" x14ac:dyDescent="0.3">
      <c r="J6350" s="33"/>
    </row>
    <row r="6351" spans="10:10" ht="15" customHeight="1" x14ac:dyDescent="0.3">
      <c r="J6351" s="33"/>
    </row>
    <row r="6352" spans="10:10" ht="15" customHeight="1" x14ac:dyDescent="0.3">
      <c r="J6352" s="33"/>
    </row>
    <row r="6353" spans="10:10" ht="15" customHeight="1" x14ac:dyDescent="0.3">
      <c r="J6353" s="33"/>
    </row>
    <row r="6354" spans="10:10" ht="15" customHeight="1" x14ac:dyDescent="0.3">
      <c r="J6354" s="33"/>
    </row>
    <row r="6355" spans="10:10" ht="15" customHeight="1" x14ac:dyDescent="0.3">
      <c r="J6355" s="33"/>
    </row>
    <row r="6356" spans="10:10" ht="15" customHeight="1" x14ac:dyDescent="0.3">
      <c r="J6356" s="33"/>
    </row>
    <row r="6357" spans="10:10" ht="15" customHeight="1" x14ac:dyDescent="0.3">
      <c r="J6357" s="33"/>
    </row>
    <row r="6358" spans="10:10" ht="15" customHeight="1" x14ac:dyDescent="0.3">
      <c r="J6358" s="33"/>
    </row>
    <row r="6359" spans="10:10" ht="15" customHeight="1" x14ac:dyDescent="0.3">
      <c r="J6359" s="33"/>
    </row>
    <row r="6360" spans="10:10" ht="15" customHeight="1" x14ac:dyDescent="0.3">
      <c r="J6360" s="33"/>
    </row>
    <row r="6361" spans="10:10" ht="15" customHeight="1" x14ac:dyDescent="0.3">
      <c r="J6361" s="33"/>
    </row>
    <row r="6362" spans="10:10" ht="15" customHeight="1" x14ac:dyDescent="0.3">
      <c r="J6362" s="33"/>
    </row>
    <row r="6363" spans="10:10" ht="15" customHeight="1" x14ac:dyDescent="0.3">
      <c r="J6363" s="33"/>
    </row>
    <row r="6364" spans="10:10" ht="15" customHeight="1" x14ac:dyDescent="0.3">
      <c r="J6364" s="33"/>
    </row>
    <row r="6365" spans="10:10" ht="15" customHeight="1" x14ac:dyDescent="0.3">
      <c r="J6365" s="33"/>
    </row>
    <row r="6366" spans="10:10" ht="15" customHeight="1" x14ac:dyDescent="0.3">
      <c r="J6366" s="33"/>
    </row>
    <row r="6367" spans="10:10" ht="15" customHeight="1" x14ac:dyDescent="0.3">
      <c r="J6367" s="33"/>
    </row>
    <row r="6368" spans="10:10" ht="15" customHeight="1" x14ac:dyDescent="0.3">
      <c r="J6368" s="33"/>
    </row>
    <row r="6369" spans="10:10" ht="15" customHeight="1" x14ac:dyDescent="0.3">
      <c r="J6369" s="33"/>
    </row>
    <row r="6370" spans="10:10" ht="15" customHeight="1" x14ac:dyDescent="0.3">
      <c r="J6370" s="33"/>
    </row>
    <row r="6371" spans="10:10" ht="15" customHeight="1" x14ac:dyDescent="0.3">
      <c r="J6371" s="33"/>
    </row>
    <row r="6372" spans="10:10" ht="15" customHeight="1" x14ac:dyDescent="0.3">
      <c r="J6372" s="33"/>
    </row>
    <row r="6373" spans="10:10" ht="15" customHeight="1" x14ac:dyDescent="0.3">
      <c r="J6373" s="33"/>
    </row>
    <row r="6374" spans="10:10" ht="15" customHeight="1" x14ac:dyDescent="0.3">
      <c r="J6374" s="33"/>
    </row>
    <row r="6375" spans="10:10" ht="15" customHeight="1" x14ac:dyDescent="0.3">
      <c r="J6375" s="33"/>
    </row>
    <row r="6376" spans="10:10" ht="15" customHeight="1" x14ac:dyDescent="0.3">
      <c r="J6376" s="33"/>
    </row>
    <row r="6377" spans="10:10" ht="15" customHeight="1" x14ac:dyDescent="0.3">
      <c r="J6377" s="33"/>
    </row>
    <row r="6378" spans="10:10" ht="15" customHeight="1" x14ac:dyDescent="0.3">
      <c r="J6378" s="33"/>
    </row>
    <row r="6379" spans="10:10" ht="15" customHeight="1" x14ac:dyDescent="0.3">
      <c r="J6379" s="33"/>
    </row>
    <row r="6380" spans="10:10" ht="15" customHeight="1" x14ac:dyDescent="0.3">
      <c r="J6380" s="33"/>
    </row>
    <row r="6381" spans="10:10" ht="15" customHeight="1" x14ac:dyDescent="0.3">
      <c r="J6381" s="33"/>
    </row>
    <row r="6382" spans="10:10" ht="15" customHeight="1" x14ac:dyDescent="0.3">
      <c r="J6382" s="33"/>
    </row>
    <row r="6383" spans="10:10" ht="15" customHeight="1" x14ac:dyDescent="0.3">
      <c r="J6383" s="33"/>
    </row>
    <row r="6384" spans="10:10" ht="15" customHeight="1" x14ac:dyDescent="0.3">
      <c r="J6384" s="33"/>
    </row>
    <row r="6385" spans="10:10" ht="15" customHeight="1" x14ac:dyDescent="0.3">
      <c r="J6385" s="33"/>
    </row>
    <row r="6386" spans="10:10" ht="15" customHeight="1" x14ac:dyDescent="0.3">
      <c r="J6386" s="33"/>
    </row>
    <row r="6387" spans="10:10" ht="15" customHeight="1" x14ac:dyDescent="0.3">
      <c r="J6387" s="33"/>
    </row>
    <row r="6388" spans="10:10" ht="15" customHeight="1" x14ac:dyDescent="0.3">
      <c r="J6388" s="33"/>
    </row>
    <row r="6389" spans="10:10" ht="15" customHeight="1" x14ac:dyDescent="0.3">
      <c r="J6389" s="33"/>
    </row>
    <row r="6390" spans="10:10" ht="15" customHeight="1" x14ac:dyDescent="0.3">
      <c r="J6390" s="33"/>
    </row>
    <row r="6391" spans="10:10" ht="15" customHeight="1" x14ac:dyDescent="0.3">
      <c r="J6391" s="33"/>
    </row>
    <row r="6392" spans="10:10" ht="15" customHeight="1" x14ac:dyDescent="0.3">
      <c r="J6392" s="33"/>
    </row>
    <row r="6393" spans="10:10" ht="15" customHeight="1" x14ac:dyDescent="0.3">
      <c r="J6393" s="33"/>
    </row>
    <row r="6394" spans="10:10" ht="15" customHeight="1" x14ac:dyDescent="0.3">
      <c r="J6394" s="33"/>
    </row>
    <row r="6395" spans="10:10" ht="15" customHeight="1" x14ac:dyDescent="0.3">
      <c r="J6395" s="33"/>
    </row>
    <row r="6396" spans="10:10" ht="15" customHeight="1" x14ac:dyDescent="0.3">
      <c r="J6396" s="33"/>
    </row>
    <row r="6397" spans="10:10" ht="15" customHeight="1" x14ac:dyDescent="0.3">
      <c r="J6397" s="33"/>
    </row>
    <row r="6398" spans="10:10" ht="15" customHeight="1" x14ac:dyDescent="0.3">
      <c r="J6398" s="33"/>
    </row>
    <row r="6399" spans="10:10" ht="15" customHeight="1" x14ac:dyDescent="0.3">
      <c r="J6399" s="33"/>
    </row>
    <row r="6400" spans="10:10" ht="15" customHeight="1" x14ac:dyDescent="0.3">
      <c r="J6400" s="33"/>
    </row>
    <row r="6401" spans="10:10" ht="15" customHeight="1" x14ac:dyDescent="0.3">
      <c r="J6401" s="33"/>
    </row>
    <row r="6402" spans="10:10" ht="15" customHeight="1" x14ac:dyDescent="0.3">
      <c r="J6402" s="33"/>
    </row>
    <row r="6403" spans="10:10" ht="15" customHeight="1" x14ac:dyDescent="0.3">
      <c r="J6403" s="33"/>
    </row>
    <row r="6404" spans="10:10" ht="15" customHeight="1" x14ac:dyDescent="0.3">
      <c r="J6404" s="33"/>
    </row>
    <row r="6405" spans="10:10" ht="15" customHeight="1" x14ac:dyDescent="0.3">
      <c r="J6405" s="33"/>
    </row>
    <row r="6406" spans="10:10" ht="15" customHeight="1" x14ac:dyDescent="0.3">
      <c r="J6406" s="33"/>
    </row>
    <row r="6407" spans="10:10" ht="15" customHeight="1" x14ac:dyDescent="0.3">
      <c r="J6407" s="33"/>
    </row>
    <row r="6408" spans="10:10" ht="15" customHeight="1" x14ac:dyDescent="0.3">
      <c r="J6408" s="33"/>
    </row>
    <row r="6409" spans="10:10" ht="15" customHeight="1" x14ac:dyDescent="0.3">
      <c r="J6409" s="33"/>
    </row>
    <row r="6410" spans="10:10" ht="15" customHeight="1" x14ac:dyDescent="0.3">
      <c r="J6410" s="33"/>
    </row>
    <row r="6411" spans="10:10" ht="15" customHeight="1" x14ac:dyDescent="0.3">
      <c r="J6411" s="33"/>
    </row>
    <row r="6412" spans="10:10" ht="15" customHeight="1" x14ac:dyDescent="0.3">
      <c r="J6412" s="33"/>
    </row>
    <row r="6413" spans="10:10" ht="15" customHeight="1" x14ac:dyDescent="0.3">
      <c r="J6413" s="33"/>
    </row>
    <row r="6414" spans="10:10" ht="15" customHeight="1" x14ac:dyDescent="0.3">
      <c r="J6414" s="33"/>
    </row>
    <row r="6415" spans="10:10" ht="15" customHeight="1" x14ac:dyDescent="0.3">
      <c r="J6415" s="33"/>
    </row>
    <row r="6416" spans="10:10" ht="15" customHeight="1" x14ac:dyDescent="0.3">
      <c r="J6416" s="33"/>
    </row>
    <row r="6417" spans="10:10" ht="15" customHeight="1" x14ac:dyDescent="0.3">
      <c r="J6417" s="33"/>
    </row>
    <row r="6418" spans="10:10" ht="15" customHeight="1" x14ac:dyDescent="0.3">
      <c r="J6418" s="33"/>
    </row>
    <row r="6419" spans="10:10" ht="15" customHeight="1" x14ac:dyDescent="0.3">
      <c r="J6419" s="33"/>
    </row>
    <row r="6420" spans="10:10" ht="15" customHeight="1" x14ac:dyDescent="0.3">
      <c r="J6420" s="33"/>
    </row>
    <row r="6421" spans="10:10" ht="15" customHeight="1" x14ac:dyDescent="0.3">
      <c r="J6421" s="33"/>
    </row>
    <row r="6422" spans="10:10" ht="15" customHeight="1" x14ac:dyDescent="0.3">
      <c r="J6422" s="33"/>
    </row>
    <row r="6423" spans="10:10" ht="15" customHeight="1" x14ac:dyDescent="0.3">
      <c r="J6423" s="33"/>
    </row>
    <row r="6424" spans="10:10" ht="15" customHeight="1" x14ac:dyDescent="0.3">
      <c r="J6424" s="33"/>
    </row>
    <row r="6425" spans="10:10" ht="15" customHeight="1" x14ac:dyDescent="0.3">
      <c r="J6425" s="33"/>
    </row>
    <row r="6426" spans="10:10" ht="15" customHeight="1" x14ac:dyDescent="0.3">
      <c r="J6426" s="33"/>
    </row>
    <row r="6427" spans="10:10" ht="15" customHeight="1" x14ac:dyDescent="0.3">
      <c r="J6427" s="33"/>
    </row>
    <row r="6428" spans="10:10" ht="15" customHeight="1" x14ac:dyDescent="0.3">
      <c r="J6428" s="33"/>
    </row>
    <row r="6429" spans="10:10" ht="15" customHeight="1" x14ac:dyDescent="0.3">
      <c r="J6429" s="33"/>
    </row>
    <row r="6430" spans="10:10" ht="15" customHeight="1" x14ac:dyDescent="0.3">
      <c r="J6430" s="33"/>
    </row>
    <row r="6431" spans="10:10" ht="15" customHeight="1" x14ac:dyDescent="0.3">
      <c r="J6431" s="33"/>
    </row>
    <row r="6432" spans="10:10" ht="15" customHeight="1" x14ac:dyDescent="0.3">
      <c r="J6432" s="33"/>
    </row>
    <row r="6433" spans="10:10" ht="15" customHeight="1" x14ac:dyDescent="0.3">
      <c r="J6433" s="33"/>
    </row>
    <row r="6434" spans="10:10" ht="15" customHeight="1" x14ac:dyDescent="0.3">
      <c r="J6434" s="33"/>
    </row>
    <row r="6435" spans="10:10" ht="15" customHeight="1" x14ac:dyDescent="0.3">
      <c r="J6435" s="33"/>
    </row>
    <row r="6436" spans="10:10" ht="15" customHeight="1" x14ac:dyDescent="0.3">
      <c r="J6436" s="33"/>
    </row>
    <row r="6437" spans="10:10" ht="15" customHeight="1" x14ac:dyDescent="0.3">
      <c r="J6437" s="33"/>
    </row>
    <row r="6438" spans="10:10" ht="15" customHeight="1" x14ac:dyDescent="0.3">
      <c r="J6438" s="33"/>
    </row>
    <row r="6439" spans="10:10" ht="15" customHeight="1" x14ac:dyDescent="0.3">
      <c r="J6439" s="33"/>
    </row>
    <row r="6440" spans="10:10" ht="15" customHeight="1" x14ac:dyDescent="0.3">
      <c r="J6440" s="33"/>
    </row>
    <row r="6441" spans="10:10" ht="15" customHeight="1" x14ac:dyDescent="0.3">
      <c r="J6441" s="33"/>
    </row>
    <row r="6442" spans="10:10" ht="15" customHeight="1" x14ac:dyDescent="0.3">
      <c r="J6442" s="33"/>
    </row>
    <row r="6443" spans="10:10" ht="15" customHeight="1" x14ac:dyDescent="0.3">
      <c r="J6443" s="33"/>
    </row>
    <row r="6444" spans="10:10" ht="15" customHeight="1" x14ac:dyDescent="0.3">
      <c r="J6444" s="33"/>
    </row>
    <row r="6445" spans="10:10" ht="15" customHeight="1" x14ac:dyDescent="0.3">
      <c r="J6445" s="33"/>
    </row>
    <row r="6446" spans="10:10" ht="15" customHeight="1" x14ac:dyDescent="0.3">
      <c r="J6446" s="33"/>
    </row>
    <row r="6447" spans="10:10" ht="15" customHeight="1" x14ac:dyDescent="0.3">
      <c r="J6447" s="33"/>
    </row>
    <row r="6448" spans="10:10" ht="15" customHeight="1" x14ac:dyDescent="0.3">
      <c r="J6448" s="33"/>
    </row>
    <row r="6449" spans="10:10" ht="15" customHeight="1" x14ac:dyDescent="0.3">
      <c r="J6449" s="33"/>
    </row>
    <row r="6450" spans="10:10" ht="15" customHeight="1" x14ac:dyDescent="0.3">
      <c r="J6450" s="33"/>
    </row>
    <row r="6451" spans="10:10" ht="15" customHeight="1" x14ac:dyDescent="0.3">
      <c r="J6451" s="33"/>
    </row>
    <row r="6452" spans="10:10" ht="15" customHeight="1" x14ac:dyDescent="0.3">
      <c r="J6452" s="33"/>
    </row>
    <row r="6453" spans="10:10" ht="15" customHeight="1" x14ac:dyDescent="0.3">
      <c r="J6453" s="33"/>
    </row>
    <row r="6454" spans="10:10" ht="15" customHeight="1" x14ac:dyDescent="0.3">
      <c r="J6454" s="33"/>
    </row>
    <row r="6455" spans="10:10" ht="15" customHeight="1" x14ac:dyDescent="0.3">
      <c r="J6455" s="33"/>
    </row>
    <row r="6456" spans="10:10" ht="15" customHeight="1" x14ac:dyDescent="0.3">
      <c r="J6456" s="33"/>
    </row>
    <row r="6457" spans="10:10" ht="15" customHeight="1" x14ac:dyDescent="0.3">
      <c r="J6457" s="33"/>
    </row>
    <row r="6458" spans="10:10" ht="15" customHeight="1" x14ac:dyDescent="0.3">
      <c r="J6458" s="33"/>
    </row>
    <row r="6459" spans="10:10" ht="15" customHeight="1" x14ac:dyDescent="0.3">
      <c r="J6459" s="33"/>
    </row>
    <row r="6460" spans="10:10" ht="15" customHeight="1" x14ac:dyDescent="0.3">
      <c r="J6460" s="33"/>
    </row>
    <row r="6461" spans="10:10" ht="15" customHeight="1" x14ac:dyDescent="0.3">
      <c r="J6461" s="33"/>
    </row>
    <row r="6462" spans="10:10" ht="15" customHeight="1" x14ac:dyDescent="0.3">
      <c r="J6462" s="33"/>
    </row>
    <row r="6463" spans="10:10" ht="15" customHeight="1" x14ac:dyDescent="0.3">
      <c r="J6463" s="33"/>
    </row>
    <row r="6464" spans="10:10" ht="15" customHeight="1" x14ac:dyDescent="0.3">
      <c r="J6464" s="33"/>
    </row>
    <row r="6465" spans="10:10" ht="15" customHeight="1" x14ac:dyDescent="0.3">
      <c r="J6465" s="33"/>
    </row>
    <row r="6466" spans="10:10" ht="15" customHeight="1" x14ac:dyDescent="0.3">
      <c r="J6466" s="33"/>
    </row>
    <row r="6467" spans="10:10" ht="15" customHeight="1" x14ac:dyDescent="0.3">
      <c r="J6467" s="33"/>
    </row>
    <row r="6468" spans="10:10" ht="15" customHeight="1" x14ac:dyDescent="0.3">
      <c r="J6468" s="33"/>
    </row>
    <row r="6469" spans="10:10" ht="15" customHeight="1" x14ac:dyDescent="0.3">
      <c r="J6469" s="33"/>
    </row>
    <row r="6470" spans="10:10" ht="15" customHeight="1" x14ac:dyDescent="0.3">
      <c r="J6470" s="33"/>
    </row>
    <row r="6471" spans="10:10" ht="15" customHeight="1" x14ac:dyDescent="0.3">
      <c r="J6471" s="33"/>
    </row>
    <row r="6472" spans="10:10" ht="15" customHeight="1" x14ac:dyDescent="0.3">
      <c r="J6472" s="33"/>
    </row>
    <row r="6473" spans="10:10" ht="15" customHeight="1" x14ac:dyDescent="0.3">
      <c r="J6473" s="33"/>
    </row>
    <row r="6474" spans="10:10" ht="15" customHeight="1" x14ac:dyDescent="0.3">
      <c r="J6474" s="33"/>
    </row>
    <row r="6475" spans="10:10" ht="15" customHeight="1" x14ac:dyDescent="0.3">
      <c r="J6475" s="33"/>
    </row>
    <row r="6476" spans="10:10" ht="15" customHeight="1" x14ac:dyDescent="0.3">
      <c r="J6476" s="33"/>
    </row>
    <row r="6477" spans="10:10" ht="15" customHeight="1" x14ac:dyDescent="0.3">
      <c r="J6477" s="33"/>
    </row>
    <row r="6478" spans="10:10" ht="15" customHeight="1" x14ac:dyDescent="0.3">
      <c r="J6478" s="33"/>
    </row>
    <row r="6479" spans="10:10" ht="15" customHeight="1" x14ac:dyDescent="0.3">
      <c r="J6479" s="33"/>
    </row>
    <row r="6480" spans="10:10" ht="15" customHeight="1" x14ac:dyDescent="0.3">
      <c r="J6480" s="33"/>
    </row>
    <row r="6481" spans="10:10" ht="15" customHeight="1" x14ac:dyDescent="0.3">
      <c r="J6481" s="33"/>
    </row>
    <row r="6482" spans="10:10" ht="15" customHeight="1" x14ac:dyDescent="0.3">
      <c r="J6482" s="33"/>
    </row>
    <row r="6483" spans="10:10" ht="15" customHeight="1" x14ac:dyDescent="0.3">
      <c r="J6483" s="33"/>
    </row>
    <row r="6484" spans="10:10" ht="15" customHeight="1" x14ac:dyDescent="0.3">
      <c r="J6484" s="33"/>
    </row>
    <row r="6485" spans="10:10" ht="15" customHeight="1" x14ac:dyDescent="0.3">
      <c r="J6485" s="33"/>
    </row>
    <row r="6486" spans="10:10" ht="15" customHeight="1" x14ac:dyDescent="0.3">
      <c r="J6486" s="33"/>
    </row>
    <row r="6487" spans="10:10" ht="15" customHeight="1" x14ac:dyDescent="0.3">
      <c r="J6487" s="33"/>
    </row>
    <row r="6488" spans="10:10" ht="15" customHeight="1" x14ac:dyDescent="0.3">
      <c r="J6488" s="33"/>
    </row>
    <row r="6489" spans="10:10" ht="15" customHeight="1" x14ac:dyDescent="0.3">
      <c r="J6489" s="33"/>
    </row>
    <row r="6490" spans="10:10" ht="15" customHeight="1" x14ac:dyDescent="0.3">
      <c r="J6490" s="33"/>
    </row>
    <row r="6491" spans="10:10" ht="15" customHeight="1" x14ac:dyDescent="0.3">
      <c r="J6491" s="33"/>
    </row>
    <row r="6492" spans="10:10" ht="15" customHeight="1" x14ac:dyDescent="0.3">
      <c r="J6492" s="33"/>
    </row>
    <row r="6493" spans="10:10" ht="15" customHeight="1" x14ac:dyDescent="0.3">
      <c r="J6493" s="33"/>
    </row>
    <row r="6494" spans="10:10" ht="15" customHeight="1" x14ac:dyDescent="0.3">
      <c r="J6494" s="33"/>
    </row>
    <row r="6495" spans="10:10" ht="15" customHeight="1" x14ac:dyDescent="0.3">
      <c r="J6495" s="33"/>
    </row>
    <row r="6496" spans="10:10" ht="15" customHeight="1" x14ac:dyDescent="0.3">
      <c r="J6496" s="33"/>
    </row>
    <row r="6497" spans="10:10" ht="15" customHeight="1" x14ac:dyDescent="0.3">
      <c r="J6497" s="33"/>
    </row>
    <row r="6498" spans="10:10" ht="15" customHeight="1" x14ac:dyDescent="0.3">
      <c r="J6498" s="33"/>
    </row>
    <row r="6499" spans="10:10" ht="15" customHeight="1" x14ac:dyDescent="0.3">
      <c r="J6499" s="33"/>
    </row>
    <row r="6500" spans="10:10" ht="15" customHeight="1" x14ac:dyDescent="0.3">
      <c r="J6500" s="33"/>
    </row>
    <row r="6501" spans="10:10" ht="15" customHeight="1" x14ac:dyDescent="0.3">
      <c r="J6501" s="33"/>
    </row>
    <row r="6502" spans="10:10" ht="15" customHeight="1" x14ac:dyDescent="0.3">
      <c r="J6502" s="33"/>
    </row>
    <row r="6503" spans="10:10" ht="15" customHeight="1" x14ac:dyDescent="0.3">
      <c r="J6503" s="33"/>
    </row>
    <row r="6504" spans="10:10" ht="15" customHeight="1" x14ac:dyDescent="0.3">
      <c r="J6504" s="33"/>
    </row>
    <row r="6505" spans="10:10" ht="15" customHeight="1" x14ac:dyDescent="0.3">
      <c r="J6505" s="33"/>
    </row>
    <row r="6506" spans="10:10" ht="15" customHeight="1" x14ac:dyDescent="0.3">
      <c r="J6506" s="33"/>
    </row>
    <row r="6507" spans="10:10" ht="15" customHeight="1" x14ac:dyDescent="0.3">
      <c r="J6507" s="33"/>
    </row>
    <row r="6508" spans="10:10" ht="15" customHeight="1" x14ac:dyDescent="0.3">
      <c r="J6508" s="33"/>
    </row>
    <row r="6509" spans="10:10" ht="15" customHeight="1" x14ac:dyDescent="0.3">
      <c r="J6509" s="33"/>
    </row>
    <row r="6510" spans="10:10" ht="15" customHeight="1" x14ac:dyDescent="0.3">
      <c r="J6510" s="33"/>
    </row>
    <row r="6511" spans="10:10" ht="15" customHeight="1" x14ac:dyDescent="0.3">
      <c r="J6511" s="33"/>
    </row>
    <row r="6512" spans="10:10" ht="15" customHeight="1" x14ac:dyDescent="0.3">
      <c r="J6512" s="33"/>
    </row>
    <row r="6513" spans="10:10" ht="15" customHeight="1" x14ac:dyDescent="0.3">
      <c r="J6513" s="33"/>
    </row>
    <row r="6514" spans="10:10" ht="15" customHeight="1" x14ac:dyDescent="0.3">
      <c r="J6514" s="33"/>
    </row>
    <row r="6515" spans="10:10" ht="15" customHeight="1" x14ac:dyDescent="0.3">
      <c r="J6515" s="33"/>
    </row>
    <row r="6516" spans="10:10" ht="15" customHeight="1" x14ac:dyDescent="0.3">
      <c r="J6516" s="33"/>
    </row>
    <row r="6517" spans="10:10" ht="15" customHeight="1" x14ac:dyDescent="0.3">
      <c r="J6517" s="33"/>
    </row>
    <row r="6518" spans="10:10" ht="15" customHeight="1" x14ac:dyDescent="0.3">
      <c r="J6518" s="33"/>
    </row>
    <row r="6519" spans="10:10" ht="15" customHeight="1" x14ac:dyDescent="0.3">
      <c r="J6519" s="33"/>
    </row>
    <row r="6520" spans="10:10" ht="15" customHeight="1" x14ac:dyDescent="0.3">
      <c r="J6520" s="33"/>
    </row>
    <row r="6521" spans="10:10" ht="15" customHeight="1" x14ac:dyDescent="0.3">
      <c r="J6521" s="33"/>
    </row>
    <row r="6522" spans="10:10" ht="15" customHeight="1" x14ac:dyDescent="0.3">
      <c r="J6522" s="33"/>
    </row>
    <row r="6523" spans="10:10" ht="15" customHeight="1" x14ac:dyDescent="0.3">
      <c r="J6523" s="33"/>
    </row>
    <row r="6524" spans="10:10" ht="15" customHeight="1" x14ac:dyDescent="0.3">
      <c r="J6524" s="33"/>
    </row>
    <row r="6525" spans="10:10" ht="15" customHeight="1" x14ac:dyDescent="0.3">
      <c r="J6525" s="33"/>
    </row>
    <row r="6526" spans="10:10" ht="15" customHeight="1" x14ac:dyDescent="0.3">
      <c r="J6526" s="33"/>
    </row>
    <row r="6527" spans="10:10" ht="15" customHeight="1" x14ac:dyDescent="0.3">
      <c r="J6527" s="33"/>
    </row>
    <row r="6528" spans="10:10" ht="15" customHeight="1" x14ac:dyDescent="0.3">
      <c r="J6528" s="33"/>
    </row>
    <row r="6529" spans="10:10" ht="15" customHeight="1" x14ac:dyDescent="0.3">
      <c r="J6529" s="33"/>
    </row>
    <row r="6530" spans="10:10" ht="15" customHeight="1" x14ac:dyDescent="0.3">
      <c r="J6530" s="33"/>
    </row>
    <row r="6531" spans="10:10" ht="15" customHeight="1" x14ac:dyDescent="0.3">
      <c r="J6531" s="33"/>
    </row>
    <row r="6532" spans="10:10" ht="15" customHeight="1" x14ac:dyDescent="0.3">
      <c r="J6532" s="33"/>
    </row>
    <row r="6533" spans="10:10" ht="15" customHeight="1" x14ac:dyDescent="0.3">
      <c r="J6533" s="33"/>
    </row>
    <row r="6534" spans="10:10" ht="15" customHeight="1" x14ac:dyDescent="0.3">
      <c r="J6534" s="33"/>
    </row>
    <row r="6535" spans="10:10" ht="15" customHeight="1" x14ac:dyDescent="0.3">
      <c r="J6535" s="33"/>
    </row>
    <row r="6536" spans="10:10" ht="15" customHeight="1" x14ac:dyDescent="0.3">
      <c r="J6536" s="33"/>
    </row>
    <row r="6537" spans="10:10" ht="15" customHeight="1" x14ac:dyDescent="0.3">
      <c r="J6537" s="33"/>
    </row>
    <row r="6538" spans="10:10" ht="15" customHeight="1" x14ac:dyDescent="0.3">
      <c r="J6538" s="33"/>
    </row>
    <row r="6539" spans="10:10" ht="15" customHeight="1" x14ac:dyDescent="0.3">
      <c r="J6539" s="33"/>
    </row>
    <row r="6540" spans="10:10" ht="15" customHeight="1" x14ac:dyDescent="0.3">
      <c r="J6540" s="33"/>
    </row>
    <row r="6541" spans="10:10" ht="15" customHeight="1" x14ac:dyDescent="0.3">
      <c r="J6541" s="33"/>
    </row>
    <row r="6542" spans="10:10" ht="15" customHeight="1" x14ac:dyDescent="0.3">
      <c r="J6542" s="33"/>
    </row>
    <row r="6543" spans="10:10" ht="15" customHeight="1" x14ac:dyDescent="0.3">
      <c r="J6543" s="33"/>
    </row>
    <row r="6544" spans="10:10" ht="15" customHeight="1" x14ac:dyDescent="0.3">
      <c r="J6544" s="33"/>
    </row>
    <row r="6545" spans="10:10" ht="15" customHeight="1" x14ac:dyDescent="0.3">
      <c r="J6545" s="33"/>
    </row>
    <row r="6546" spans="10:10" ht="15" customHeight="1" x14ac:dyDescent="0.3">
      <c r="J6546" s="33"/>
    </row>
    <row r="6547" spans="10:10" ht="15" customHeight="1" x14ac:dyDescent="0.3">
      <c r="J6547" s="33"/>
    </row>
    <row r="6548" spans="10:10" ht="15" customHeight="1" x14ac:dyDescent="0.3">
      <c r="J6548" s="33"/>
    </row>
    <row r="6549" spans="10:10" ht="15" customHeight="1" x14ac:dyDescent="0.3">
      <c r="J6549" s="33"/>
    </row>
    <row r="6550" spans="10:10" ht="15" customHeight="1" x14ac:dyDescent="0.3">
      <c r="J6550" s="33"/>
    </row>
    <row r="6551" spans="10:10" ht="15" customHeight="1" x14ac:dyDescent="0.3">
      <c r="J6551" s="33"/>
    </row>
    <row r="6552" spans="10:10" ht="15" customHeight="1" x14ac:dyDescent="0.3">
      <c r="J6552" s="33"/>
    </row>
    <row r="6553" spans="10:10" ht="15" customHeight="1" x14ac:dyDescent="0.3">
      <c r="J6553" s="33"/>
    </row>
    <row r="6554" spans="10:10" ht="15" customHeight="1" x14ac:dyDescent="0.3">
      <c r="J6554" s="33"/>
    </row>
    <row r="6555" spans="10:10" ht="15" customHeight="1" x14ac:dyDescent="0.3">
      <c r="J6555" s="33"/>
    </row>
    <row r="6556" spans="10:10" ht="15" customHeight="1" x14ac:dyDescent="0.3">
      <c r="J6556" s="33"/>
    </row>
    <row r="6557" spans="10:10" ht="15" customHeight="1" x14ac:dyDescent="0.3">
      <c r="J6557" s="33"/>
    </row>
    <row r="6558" spans="10:10" ht="15" customHeight="1" x14ac:dyDescent="0.3">
      <c r="J6558" s="33"/>
    </row>
    <row r="6559" spans="10:10" ht="15" customHeight="1" x14ac:dyDescent="0.3">
      <c r="J6559" s="33"/>
    </row>
    <row r="6560" spans="10:10" ht="15" customHeight="1" x14ac:dyDescent="0.3">
      <c r="J6560" s="33"/>
    </row>
    <row r="6561" spans="10:10" ht="15" customHeight="1" x14ac:dyDescent="0.3">
      <c r="J6561" s="33"/>
    </row>
    <row r="6562" spans="10:10" ht="15" customHeight="1" x14ac:dyDescent="0.3">
      <c r="J6562" s="33"/>
    </row>
    <row r="6563" spans="10:10" ht="15" customHeight="1" x14ac:dyDescent="0.3">
      <c r="J6563" s="33"/>
    </row>
    <row r="6564" spans="10:10" ht="15" customHeight="1" x14ac:dyDescent="0.3">
      <c r="J6564" s="33"/>
    </row>
    <row r="6565" spans="10:10" ht="15" customHeight="1" x14ac:dyDescent="0.3">
      <c r="J6565" s="33"/>
    </row>
    <row r="6566" spans="10:10" ht="15" customHeight="1" x14ac:dyDescent="0.3">
      <c r="J6566" s="33"/>
    </row>
    <row r="6567" spans="10:10" ht="15" customHeight="1" x14ac:dyDescent="0.3">
      <c r="J6567" s="33"/>
    </row>
    <row r="6568" spans="10:10" ht="15" customHeight="1" x14ac:dyDescent="0.3">
      <c r="J6568" s="33"/>
    </row>
    <row r="6569" spans="10:10" ht="15" customHeight="1" x14ac:dyDescent="0.3">
      <c r="J6569" s="33"/>
    </row>
    <row r="6570" spans="10:10" ht="15" customHeight="1" x14ac:dyDescent="0.3">
      <c r="J6570" s="33"/>
    </row>
    <row r="6571" spans="10:10" ht="15" customHeight="1" x14ac:dyDescent="0.3">
      <c r="J6571" s="33"/>
    </row>
    <row r="6572" spans="10:10" ht="15" customHeight="1" x14ac:dyDescent="0.3">
      <c r="J6572" s="33"/>
    </row>
    <row r="6573" spans="10:10" ht="15" customHeight="1" x14ac:dyDescent="0.3">
      <c r="J6573" s="33"/>
    </row>
    <row r="6574" spans="10:10" ht="15" customHeight="1" x14ac:dyDescent="0.3">
      <c r="J6574" s="33"/>
    </row>
    <row r="6575" spans="10:10" ht="15" customHeight="1" x14ac:dyDescent="0.3">
      <c r="J6575" s="33"/>
    </row>
    <row r="6576" spans="10:10" ht="15" customHeight="1" x14ac:dyDescent="0.3">
      <c r="J6576" s="33"/>
    </row>
    <row r="6577" spans="10:10" ht="15" customHeight="1" x14ac:dyDescent="0.3">
      <c r="J6577" s="33"/>
    </row>
    <row r="6578" spans="10:10" ht="15" customHeight="1" x14ac:dyDescent="0.3">
      <c r="J6578" s="33"/>
    </row>
    <row r="6579" spans="10:10" ht="15" customHeight="1" x14ac:dyDescent="0.3">
      <c r="J6579" s="33"/>
    </row>
    <row r="6580" spans="10:10" ht="15" customHeight="1" x14ac:dyDescent="0.3">
      <c r="J6580" s="33"/>
    </row>
    <row r="6581" spans="10:10" ht="15" customHeight="1" x14ac:dyDescent="0.3">
      <c r="J6581" s="33"/>
    </row>
    <row r="6582" spans="10:10" ht="15" customHeight="1" x14ac:dyDescent="0.3">
      <c r="J6582" s="33"/>
    </row>
    <row r="6583" spans="10:10" ht="15" customHeight="1" x14ac:dyDescent="0.3">
      <c r="J6583" s="33"/>
    </row>
    <row r="6584" spans="10:10" ht="15" customHeight="1" x14ac:dyDescent="0.3">
      <c r="J6584" s="33"/>
    </row>
    <row r="6585" spans="10:10" ht="15" customHeight="1" x14ac:dyDescent="0.3">
      <c r="J6585" s="33"/>
    </row>
    <row r="6586" spans="10:10" ht="15" customHeight="1" x14ac:dyDescent="0.3">
      <c r="J6586" s="33"/>
    </row>
    <row r="6587" spans="10:10" ht="15" customHeight="1" x14ac:dyDescent="0.3">
      <c r="J6587" s="33"/>
    </row>
    <row r="6588" spans="10:10" ht="15" customHeight="1" x14ac:dyDescent="0.3">
      <c r="J6588" s="33"/>
    </row>
    <row r="6589" spans="10:10" ht="15" customHeight="1" x14ac:dyDescent="0.3">
      <c r="J6589" s="33"/>
    </row>
    <row r="6590" spans="10:10" ht="15" customHeight="1" x14ac:dyDescent="0.3">
      <c r="J6590" s="33"/>
    </row>
    <row r="6591" spans="10:10" ht="15" customHeight="1" x14ac:dyDescent="0.3">
      <c r="J6591" s="33"/>
    </row>
    <row r="6592" spans="10:10" ht="15" customHeight="1" x14ac:dyDescent="0.3">
      <c r="J6592" s="33"/>
    </row>
    <row r="6593" spans="10:10" ht="15" customHeight="1" x14ac:dyDescent="0.3">
      <c r="J6593" s="33"/>
    </row>
    <row r="6594" spans="10:10" ht="15" customHeight="1" x14ac:dyDescent="0.3">
      <c r="J6594" s="33"/>
    </row>
    <row r="6595" spans="10:10" ht="15" customHeight="1" x14ac:dyDescent="0.3">
      <c r="J6595" s="33"/>
    </row>
    <row r="6596" spans="10:10" ht="15" customHeight="1" x14ac:dyDescent="0.3">
      <c r="J6596" s="33"/>
    </row>
    <row r="6597" spans="10:10" ht="15" customHeight="1" x14ac:dyDescent="0.3">
      <c r="J6597" s="33"/>
    </row>
    <row r="6598" spans="10:10" ht="15" customHeight="1" x14ac:dyDescent="0.3">
      <c r="J6598" s="33"/>
    </row>
    <row r="6599" spans="10:10" ht="15" customHeight="1" x14ac:dyDescent="0.3">
      <c r="J6599" s="33"/>
    </row>
    <row r="6600" spans="10:10" ht="15" customHeight="1" x14ac:dyDescent="0.3">
      <c r="J6600" s="33"/>
    </row>
    <row r="6601" spans="10:10" ht="15" customHeight="1" x14ac:dyDescent="0.3">
      <c r="J6601" s="33"/>
    </row>
    <row r="6602" spans="10:10" ht="15" customHeight="1" x14ac:dyDescent="0.3">
      <c r="J6602" s="33"/>
    </row>
    <row r="6603" spans="10:10" ht="15" customHeight="1" x14ac:dyDescent="0.3">
      <c r="J6603" s="33"/>
    </row>
    <row r="6604" spans="10:10" ht="15" customHeight="1" x14ac:dyDescent="0.3">
      <c r="J6604" s="33"/>
    </row>
    <row r="6605" spans="10:10" ht="15" customHeight="1" x14ac:dyDescent="0.3">
      <c r="J6605" s="33"/>
    </row>
    <row r="6606" spans="10:10" ht="15" customHeight="1" x14ac:dyDescent="0.3">
      <c r="J6606" s="33"/>
    </row>
    <row r="6607" spans="10:10" ht="15" customHeight="1" x14ac:dyDescent="0.3">
      <c r="J6607" s="33"/>
    </row>
    <row r="6608" spans="10:10" ht="15" customHeight="1" x14ac:dyDescent="0.3">
      <c r="J6608" s="33"/>
    </row>
    <row r="6609" spans="10:10" ht="15" customHeight="1" x14ac:dyDescent="0.3">
      <c r="J6609" s="33"/>
    </row>
    <row r="6610" spans="10:10" ht="15" customHeight="1" x14ac:dyDescent="0.3">
      <c r="J6610" s="33"/>
    </row>
    <row r="6611" spans="10:10" ht="15" customHeight="1" x14ac:dyDescent="0.3">
      <c r="J6611" s="33"/>
    </row>
    <row r="6612" spans="10:10" ht="15" customHeight="1" x14ac:dyDescent="0.3">
      <c r="J6612" s="33"/>
    </row>
    <row r="6613" spans="10:10" ht="15" customHeight="1" x14ac:dyDescent="0.3">
      <c r="J6613" s="33"/>
    </row>
    <row r="6614" spans="10:10" ht="15" customHeight="1" x14ac:dyDescent="0.3">
      <c r="J6614" s="33"/>
    </row>
    <row r="6615" spans="10:10" ht="15" customHeight="1" x14ac:dyDescent="0.3">
      <c r="J6615" s="33"/>
    </row>
    <row r="6616" spans="10:10" ht="15" customHeight="1" x14ac:dyDescent="0.3">
      <c r="J6616" s="33"/>
    </row>
    <row r="6617" spans="10:10" ht="15" customHeight="1" x14ac:dyDescent="0.3">
      <c r="J6617" s="33"/>
    </row>
    <row r="6618" spans="10:10" ht="15" customHeight="1" x14ac:dyDescent="0.3">
      <c r="J6618" s="33"/>
    </row>
    <row r="6619" spans="10:10" ht="15" customHeight="1" x14ac:dyDescent="0.3">
      <c r="J6619" s="33"/>
    </row>
    <row r="6620" spans="10:10" ht="15" customHeight="1" x14ac:dyDescent="0.3">
      <c r="J6620" s="33"/>
    </row>
    <row r="6621" spans="10:10" ht="15" customHeight="1" x14ac:dyDescent="0.3">
      <c r="J6621" s="33"/>
    </row>
    <row r="6622" spans="10:10" ht="15" customHeight="1" x14ac:dyDescent="0.3">
      <c r="J6622" s="33"/>
    </row>
    <row r="6623" spans="10:10" ht="15" customHeight="1" x14ac:dyDescent="0.3">
      <c r="J6623" s="33"/>
    </row>
    <row r="6624" spans="10:10" ht="15" customHeight="1" x14ac:dyDescent="0.3">
      <c r="J6624" s="33"/>
    </row>
    <row r="6625" spans="10:10" ht="15" customHeight="1" x14ac:dyDescent="0.3">
      <c r="J6625" s="33"/>
    </row>
    <row r="6626" spans="10:10" ht="15" customHeight="1" x14ac:dyDescent="0.3">
      <c r="J6626" s="33"/>
    </row>
    <row r="6627" spans="10:10" ht="15" customHeight="1" x14ac:dyDescent="0.3">
      <c r="J6627" s="33"/>
    </row>
    <row r="6628" spans="10:10" ht="15" customHeight="1" x14ac:dyDescent="0.3">
      <c r="J6628" s="33"/>
    </row>
    <row r="6629" spans="10:10" ht="15" customHeight="1" x14ac:dyDescent="0.3">
      <c r="J6629" s="33"/>
    </row>
    <row r="6630" spans="10:10" ht="15" customHeight="1" x14ac:dyDescent="0.3">
      <c r="J6630" s="33"/>
    </row>
    <row r="6631" spans="10:10" ht="15" customHeight="1" x14ac:dyDescent="0.3">
      <c r="J6631" s="33"/>
    </row>
    <row r="6632" spans="10:10" ht="15" customHeight="1" x14ac:dyDescent="0.3">
      <c r="J6632" s="33"/>
    </row>
    <row r="6633" spans="10:10" ht="15" customHeight="1" x14ac:dyDescent="0.3">
      <c r="J6633" s="33"/>
    </row>
    <row r="6634" spans="10:10" ht="15" customHeight="1" x14ac:dyDescent="0.3">
      <c r="J6634" s="33"/>
    </row>
    <row r="6635" spans="10:10" ht="15" customHeight="1" x14ac:dyDescent="0.3">
      <c r="J6635" s="33"/>
    </row>
    <row r="6636" spans="10:10" ht="15" customHeight="1" x14ac:dyDescent="0.3">
      <c r="J6636" s="33"/>
    </row>
    <row r="6637" spans="10:10" ht="15" customHeight="1" x14ac:dyDescent="0.3">
      <c r="J6637" s="33"/>
    </row>
    <row r="6638" spans="10:10" ht="15" customHeight="1" x14ac:dyDescent="0.3">
      <c r="J6638" s="33"/>
    </row>
    <row r="6639" spans="10:10" ht="15" customHeight="1" x14ac:dyDescent="0.3">
      <c r="J6639" s="33"/>
    </row>
    <row r="6640" spans="10:10" ht="15" customHeight="1" x14ac:dyDescent="0.3">
      <c r="J6640" s="33"/>
    </row>
    <row r="6641" spans="10:10" ht="15" customHeight="1" x14ac:dyDescent="0.3">
      <c r="J6641" s="33"/>
    </row>
    <row r="6642" spans="10:10" ht="15" customHeight="1" x14ac:dyDescent="0.3">
      <c r="J6642" s="33"/>
    </row>
    <row r="6643" spans="10:10" ht="15" customHeight="1" x14ac:dyDescent="0.3">
      <c r="J6643" s="33"/>
    </row>
    <row r="6644" spans="10:10" ht="15" customHeight="1" x14ac:dyDescent="0.3">
      <c r="J6644" s="33"/>
    </row>
    <row r="6645" spans="10:10" ht="15" customHeight="1" x14ac:dyDescent="0.3">
      <c r="J6645" s="33"/>
    </row>
    <row r="6646" spans="10:10" ht="15" customHeight="1" x14ac:dyDescent="0.3">
      <c r="J6646" s="33"/>
    </row>
    <row r="6647" spans="10:10" ht="15" customHeight="1" x14ac:dyDescent="0.3">
      <c r="J6647" s="33"/>
    </row>
    <row r="6648" spans="10:10" ht="15" customHeight="1" x14ac:dyDescent="0.3">
      <c r="J6648" s="33"/>
    </row>
    <row r="6649" spans="10:10" ht="15" customHeight="1" x14ac:dyDescent="0.3">
      <c r="J6649" s="33"/>
    </row>
    <row r="6650" spans="10:10" ht="15" customHeight="1" x14ac:dyDescent="0.3">
      <c r="J6650" s="33"/>
    </row>
    <row r="6651" spans="10:10" ht="15" customHeight="1" x14ac:dyDescent="0.3">
      <c r="J6651" s="33"/>
    </row>
    <row r="6652" spans="10:10" ht="15" customHeight="1" x14ac:dyDescent="0.3">
      <c r="J6652" s="33"/>
    </row>
    <row r="6653" spans="10:10" ht="15" customHeight="1" x14ac:dyDescent="0.3">
      <c r="J6653" s="33"/>
    </row>
    <row r="6654" spans="10:10" ht="15" customHeight="1" x14ac:dyDescent="0.3">
      <c r="J6654" s="33"/>
    </row>
    <row r="6655" spans="10:10" ht="15" customHeight="1" x14ac:dyDescent="0.3">
      <c r="J6655" s="33"/>
    </row>
    <row r="6656" spans="10:10" ht="15" customHeight="1" x14ac:dyDescent="0.3">
      <c r="J6656" s="33"/>
    </row>
    <row r="6657" spans="10:10" ht="15" customHeight="1" x14ac:dyDescent="0.3">
      <c r="J6657" s="33"/>
    </row>
    <row r="6658" spans="10:10" ht="15" customHeight="1" x14ac:dyDescent="0.3">
      <c r="J6658" s="33"/>
    </row>
    <row r="6659" spans="10:10" ht="15" customHeight="1" x14ac:dyDescent="0.3">
      <c r="J6659" s="33"/>
    </row>
    <row r="6660" spans="10:10" ht="15" customHeight="1" x14ac:dyDescent="0.3">
      <c r="J6660" s="33"/>
    </row>
    <row r="6661" spans="10:10" ht="15" customHeight="1" x14ac:dyDescent="0.3">
      <c r="J6661" s="33"/>
    </row>
    <row r="6662" spans="10:10" ht="15" customHeight="1" x14ac:dyDescent="0.3">
      <c r="J6662" s="33"/>
    </row>
    <row r="6663" spans="10:10" ht="15" customHeight="1" x14ac:dyDescent="0.3">
      <c r="J6663" s="33"/>
    </row>
    <row r="6664" spans="10:10" ht="15" customHeight="1" x14ac:dyDescent="0.3">
      <c r="J6664" s="33"/>
    </row>
    <row r="6665" spans="10:10" ht="15" customHeight="1" x14ac:dyDescent="0.3">
      <c r="J6665" s="33"/>
    </row>
    <row r="6666" spans="10:10" ht="15" customHeight="1" x14ac:dyDescent="0.3">
      <c r="J6666" s="33"/>
    </row>
    <row r="6667" spans="10:10" ht="15" customHeight="1" x14ac:dyDescent="0.3">
      <c r="J6667" s="33"/>
    </row>
    <row r="6668" spans="10:10" ht="15" customHeight="1" x14ac:dyDescent="0.3">
      <c r="J6668" s="33"/>
    </row>
    <row r="6669" spans="10:10" ht="15" customHeight="1" x14ac:dyDescent="0.3">
      <c r="J6669" s="33"/>
    </row>
    <row r="6670" spans="10:10" ht="15" customHeight="1" x14ac:dyDescent="0.3">
      <c r="J6670" s="33"/>
    </row>
    <row r="6671" spans="10:10" ht="15" customHeight="1" x14ac:dyDescent="0.3">
      <c r="J6671" s="33"/>
    </row>
    <row r="6672" spans="10:10" ht="15" customHeight="1" x14ac:dyDescent="0.3">
      <c r="J6672" s="33"/>
    </row>
    <row r="6673" spans="10:10" ht="15" customHeight="1" x14ac:dyDescent="0.3">
      <c r="J6673" s="33"/>
    </row>
    <row r="6674" spans="10:10" ht="15" customHeight="1" x14ac:dyDescent="0.3">
      <c r="J6674" s="33"/>
    </row>
    <row r="6675" spans="10:10" ht="15" customHeight="1" x14ac:dyDescent="0.3">
      <c r="J6675" s="33"/>
    </row>
    <row r="6676" spans="10:10" ht="15" customHeight="1" x14ac:dyDescent="0.3">
      <c r="J6676" s="33"/>
    </row>
    <row r="6677" spans="10:10" ht="15" customHeight="1" x14ac:dyDescent="0.3">
      <c r="J6677" s="33"/>
    </row>
    <row r="6678" spans="10:10" ht="15" customHeight="1" x14ac:dyDescent="0.3">
      <c r="J6678" s="33"/>
    </row>
    <row r="6679" spans="10:10" ht="15" customHeight="1" x14ac:dyDescent="0.3">
      <c r="J6679" s="33"/>
    </row>
    <row r="6680" spans="10:10" ht="15" customHeight="1" x14ac:dyDescent="0.3">
      <c r="J6680" s="33"/>
    </row>
    <row r="6681" spans="10:10" ht="15" customHeight="1" x14ac:dyDescent="0.3">
      <c r="J6681" s="33"/>
    </row>
    <row r="6682" spans="10:10" ht="15" customHeight="1" x14ac:dyDescent="0.3">
      <c r="J6682" s="33"/>
    </row>
    <row r="6683" spans="10:10" ht="15" customHeight="1" x14ac:dyDescent="0.3">
      <c r="J6683" s="33"/>
    </row>
    <row r="6684" spans="10:10" ht="15" customHeight="1" x14ac:dyDescent="0.3">
      <c r="J6684" s="33"/>
    </row>
    <row r="6685" spans="10:10" ht="15" customHeight="1" x14ac:dyDescent="0.3">
      <c r="J6685" s="33"/>
    </row>
    <row r="6686" spans="10:10" ht="15" customHeight="1" x14ac:dyDescent="0.3">
      <c r="J6686" s="33"/>
    </row>
    <row r="6687" spans="10:10" ht="15" customHeight="1" x14ac:dyDescent="0.3">
      <c r="J6687" s="33"/>
    </row>
    <row r="6688" spans="10:10" ht="15" customHeight="1" x14ac:dyDescent="0.3">
      <c r="J6688" s="33"/>
    </row>
    <row r="6689" spans="10:10" ht="15" customHeight="1" x14ac:dyDescent="0.3">
      <c r="J6689" s="33"/>
    </row>
    <row r="6690" spans="10:10" ht="15" customHeight="1" x14ac:dyDescent="0.3">
      <c r="J6690" s="33"/>
    </row>
    <row r="6691" spans="10:10" ht="15" customHeight="1" x14ac:dyDescent="0.3">
      <c r="J6691" s="33"/>
    </row>
    <row r="6692" spans="10:10" ht="15" customHeight="1" x14ac:dyDescent="0.3">
      <c r="J6692" s="33"/>
    </row>
    <row r="6693" spans="10:10" ht="15" customHeight="1" x14ac:dyDescent="0.3">
      <c r="J6693" s="33"/>
    </row>
    <row r="6694" spans="10:10" ht="15" customHeight="1" x14ac:dyDescent="0.3">
      <c r="J6694" s="33"/>
    </row>
    <row r="6695" spans="10:10" ht="15" customHeight="1" x14ac:dyDescent="0.3">
      <c r="J6695" s="33"/>
    </row>
    <row r="6696" spans="10:10" ht="15" customHeight="1" x14ac:dyDescent="0.3">
      <c r="J6696" s="33"/>
    </row>
    <row r="6697" spans="10:10" ht="15" customHeight="1" x14ac:dyDescent="0.3">
      <c r="J6697" s="33"/>
    </row>
    <row r="6698" spans="10:10" ht="15" customHeight="1" x14ac:dyDescent="0.3">
      <c r="J6698" s="33"/>
    </row>
    <row r="6699" spans="10:10" ht="15" customHeight="1" x14ac:dyDescent="0.3">
      <c r="J6699" s="33"/>
    </row>
    <row r="6700" spans="10:10" ht="15" customHeight="1" x14ac:dyDescent="0.3">
      <c r="J6700" s="33"/>
    </row>
    <row r="6701" spans="10:10" ht="15" customHeight="1" x14ac:dyDescent="0.3">
      <c r="J6701" s="33"/>
    </row>
    <row r="6702" spans="10:10" ht="15" customHeight="1" x14ac:dyDescent="0.3">
      <c r="J6702" s="33"/>
    </row>
    <row r="6703" spans="10:10" ht="15" customHeight="1" x14ac:dyDescent="0.3">
      <c r="J6703" s="33"/>
    </row>
    <row r="6704" spans="10:10" ht="15" customHeight="1" x14ac:dyDescent="0.3">
      <c r="J6704" s="33"/>
    </row>
    <row r="6705" spans="10:10" ht="15" customHeight="1" x14ac:dyDescent="0.3">
      <c r="J6705" s="33"/>
    </row>
    <row r="6706" spans="10:10" ht="15" customHeight="1" x14ac:dyDescent="0.3">
      <c r="J6706" s="33"/>
    </row>
    <row r="6707" spans="10:10" ht="15" customHeight="1" x14ac:dyDescent="0.3">
      <c r="J6707" s="33"/>
    </row>
    <row r="6708" spans="10:10" ht="15" customHeight="1" x14ac:dyDescent="0.3">
      <c r="J6708" s="33"/>
    </row>
    <row r="6709" spans="10:10" ht="15" customHeight="1" x14ac:dyDescent="0.3">
      <c r="J6709" s="33"/>
    </row>
    <row r="6710" spans="10:10" ht="15" customHeight="1" x14ac:dyDescent="0.3">
      <c r="J6710" s="33"/>
    </row>
    <row r="6711" spans="10:10" ht="15" customHeight="1" x14ac:dyDescent="0.3">
      <c r="J6711" s="33"/>
    </row>
    <row r="6712" spans="10:10" ht="15" customHeight="1" x14ac:dyDescent="0.3">
      <c r="J6712" s="33"/>
    </row>
    <row r="6713" spans="10:10" ht="15" customHeight="1" x14ac:dyDescent="0.3">
      <c r="J6713" s="33"/>
    </row>
    <row r="6714" spans="10:10" ht="15" customHeight="1" x14ac:dyDescent="0.3">
      <c r="J6714" s="33"/>
    </row>
    <row r="6715" spans="10:10" ht="15" customHeight="1" x14ac:dyDescent="0.3">
      <c r="J6715" s="33"/>
    </row>
    <row r="6716" spans="10:10" ht="15" customHeight="1" x14ac:dyDescent="0.3">
      <c r="J6716" s="33"/>
    </row>
    <row r="6717" spans="10:10" ht="15" customHeight="1" x14ac:dyDescent="0.3">
      <c r="J6717" s="33"/>
    </row>
    <row r="6718" spans="10:10" ht="15" customHeight="1" x14ac:dyDescent="0.3">
      <c r="J6718" s="33"/>
    </row>
    <row r="6719" spans="10:10" ht="15" customHeight="1" x14ac:dyDescent="0.3">
      <c r="J6719" s="33"/>
    </row>
    <row r="6720" spans="10:10" ht="15" customHeight="1" x14ac:dyDescent="0.3">
      <c r="J6720" s="33"/>
    </row>
    <row r="6721" spans="10:10" ht="15" customHeight="1" x14ac:dyDescent="0.3">
      <c r="J6721" s="33"/>
    </row>
    <row r="6722" spans="10:10" ht="15" customHeight="1" x14ac:dyDescent="0.3">
      <c r="J6722" s="33"/>
    </row>
    <row r="6723" spans="10:10" ht="15" customHeight="1" x14ac:dyDescent="0.3">
      <c r="J6723" s="33"/>
    </row>
    <row r="6724" spans="10:10" ht="15" customHeight="1" x14ac:dyDescent="0.3">
      <c r="J6724" s="33"/>
    </row>
    <row r="6725" spans="10:10" ht="15" customHeight="1" x14ac:dyDescent="0.3">
      <c r="J6725" s="33"/>
    </row>
    <row r="6726" spans="10:10" ht="15" customHeight="1" x14ac:dyDescent="0.3">
      <c r="J6726" s="33"/>
    </row>
    <row r="6727" spans="10:10" ht="15" customHeight="1" x14ac:dyDescent="0.3">
      <c r="J6727" s="33"/>
    </row>
    <row r="6728" spans="10:10" ht="15" customHeight="1" x14ac:dyDescent="0.3">
      <c r="J6728" s="33"/>
    </row>
    <row r="6729" spans="10:10" ht="15" customHeight="1" x14ac:dyDescent="0.3">
      <c r="J6729" s="33"/>
    </row>
    <row r="6730" spans="10:10" ht="15" customHeight="1" x14ac:dyDescent="0.3">
      <c r="J6730" s="33"/>
    </row>
    <row r="6731" spans="10:10" ht="15" customHeight="1" x14ac:dyDescent="0.3">
      <c r="J6731" s="33"/>
    </row>
    <row r="6732" spans="10:10" ht="15" customHeight="1" x14ac:dyDescent="0.3">
      <c r="J6732" s="33"/>
    </row>
    <row r="6733" spans="10:10" ht="15" customHeight="1" x14ac:dyDescent="0.3">
      <c r="J6733" s="33"/>
    </row>
    <row r="6734" spans="10:10" ht="15" customHeight="1" x14ac:dyDescent="0.3">
      <c r="J6734" s="33"/>
    </row>
    <row r="6735" spans="10:10" ht="15" customHeight="1" x14ac:dyDescent="0.3">
      <c r="J6735" s="33"/>
    </row>
    <row r="6736" spans="10:10" ht="15" customHeight="1" x14ac:dyDescent="0.3">
      <c r="J6736" s="33"/>
    </row>
    <row r="6737" spans="10:10" ht="15" customHeight="1" x14ac:dyDescent="0.3">
      <c r="J6737" s="33"/>
    </row>
    <row r="6738" spans="10:10" ht="15" customHeight="1" x14ac:dyDescent="0.3">
      <c r="J6738" s="33"/>
    </row>
    <row r="6739" spans="10:10" ht="15" customHeight="1" x14ac:dyDescent="0.3">
      <c r="J6739" s="33"/>
    </row>
    <row r="6740" spans="10:10" ht="15" customHeight="1" x14ac:dyDescent="0.3">
      <c r="J6740" s="33"/>
    </row>
    <row r="6741" spans="10:10" ht="15" customHeight="1" x14ac:dyDescent="0.3">
      <c r="J6741" s="33"/>
    </row>
    <row r="6742" spans="10:10" ht="15" customHeight="1" x14ac:dyDescent="0.3">
      <c r="J6742" s="33"/>
    </row>
    <row r="6743" spans="10:10" ht="15" customHeight="1" x14ac:dyDescent="0.3">
      <c r="J6743" s="33"/>
    </row>
    <row r="6744" spans="10:10" ht="15" customHeight="1" x14ac:dyDescent="0.3">
      <c r="J6744" s="33"/>
    </row>
    <row r="6745" spans="10:10" ht="15" customHeight="1" x14ac:dyDescent="0.3">
      <c r="J6745" s="33"/>
    </row>
    <row r="6746" spans="10:10" ht="15" customHeight="1" x14ac:dyDescent="0.3">
      <c r="J6746" s="33"/>
    </row>
    <row r="6747" spans="10:10" ht="15" customHeight="1" x14ac:dyDescent="0.3">
      <c r="J6747" s="33"/>
    </row>
    <row r="6748" spans="10:10" ht="15" customHeight="1" x14ac:dyDescent="0.3">
      <c r="J6748" s="33"/>
    </row>
    <row r="6749" spans="10:10" ht="15" customHeight="1" x14ac:dyDescent="0.3">
      <c r="J6749" s="33"/>
    </row>
    <row r="6750" spans="10:10" ht="15" customHeight="1" x14ac:dyDescent="0.3">
      <c r="J6750" s="33"/>
    </row>
    <row r="6751" spans="10:10" ht="15" customHeight="1" x14ac:dyDescent="0.3">
      <c r="J6751" s="33"/>
    </row>
    <row r="6752" spans="10:10" ht="15" customHeight="1" x14ac:dyDescent="0.3">
      <c r="J6752" s="33"/>
    </row>
    <row r="6753" spans="10:10" ht="15" customHeight="1" x14ac:dyDescent="0.3">
      <c r="J6753" s="33"/>
    </row>
    <row r="6754" spans="10:10" ht="15" customHeight="1" x14ac:dyDescent="0.3">
      <c r="J6754" s="33"/>
    </row>
    <row r="6755" spans="10:10" ht="15" customHeight="1" x14ac:dyDescent="0.3">
      <c r="J6755" s="33"/>
    </row>
    <row r="6756" spans="10:10" ht="15" customHeight="1" x14ac:dyDescent="0.3">
      <c r="J6756" s="33"/>
    </row>
    <row r="6757" spans="10:10" ht="15" customHeight="1" x14ac:dyDescent="0.3">
      <c r="J6757" s="33"/>
    </row>
    <row r="6758" spans="10:10" ht="15" customHeight="1" x14ac:dyDescent="0.3">
      <c r="J6758" s="33"/>
    </row>
    <row r="6759" spans="10:10" ht="15" customHeight="1" x14ac:dyDescent="0.3">
      <c r="J6759" s="33"/>
    </row>
    <row r="6760" spans="10:10" ht="15" customHeight="1" x14ac:dyDescent="0.3">
      <c r="J6760" s="33"/>
    </row>
    <row r="6761" spans="10:10" ht="15" customHeight="1" x14ac:dyDescent="0.3">
      <c r="J6761" s="33"/>
    </row>
    <row r="6762" spans="10:10" ht="15" customHeight="1" x14ac:dyDescent="0.3">
      <c r="J6762" s="33"/>
    </row>
    <row r="6763" spans="10:10" ht="15" customHeight="1" x14ac:dyDescent="0.3">
      <c r="J6763" s="33"/>
    </row>
    <row r="6764" spans="10:10" ht="15" customHeight="1" x14ac:dyDescent="0.3">
      <c r="J6764" s="33"/>
    </row>
    <row r="6765" spans="10:10" ht="15" customHeight="1" x14ac:dyDescent="0.3">
      <c r="J6765" s="33"/>
    </row>
    <row r="6766" spans="10:10" ht="15" customHeight="1" x14ac:dyDescent="0.3">
      <c r="J6766" s="33"/>
    </row>
    <row r="6767" spans="10:10" ht="15" customHeight="1" x14ac:dyDescent="0.3">
      <c r="J6767" s="33"/>
    </row>
    <row r="6768" spans="10:10" ht="15" customHeight="1" x14ac:dyDescent="0.3">
      <c r="J6768" s="33"/>
    </row>
    <row r="6769" spans="10:10" ht="15" customHeight="1" x14ac:dyDescent="0.3">
      <c r="J6769" s="33"/>
    </row>
    <row r="6770" spans="10:10" ht="15" customHeight="1" x14ac:dyDescent="0.3">
      <c r="J6770" s="33"/>
    </row>
    <row r="6771" spans="10:10" ht="15" customHeight="1" x14ac:dyDescent="0.3">
      <c r="J6771" s="33"/>
    </row>
    <row r="6772" spans="10:10" ht="15" customHeight="1" x14ac:dyDescent="0.3">
      <c r="J6772" s="33"/>
    </row>
    <row r="6773" spans="10:10" ht="15" customHeight="1" x14ac:dyDescent="0.3">
      <c r="J6773" s="33"/>
    </row>
    <row r="6774" spans="10:10" ht="15" customHeight="1" x14ac:dyDescent="0.3">
      <c r="J6774" s="33"/>
    </row>
    <row r="6775" spans="10:10" ht="15" customHeight="1" x14ac:dyDescent="0.3">
      <c r="J6775" s="33"/>
    </row>
    <row r="6776" spans="10:10" ht="15" customHeight="1" x14ac:dyDescent="0.3">
      <c r="J6776" s="33"/>
    </row>
    <row r="6777" spans="10:10" ht="15" customHeight="1" x14ac:dyDescent="0.3">
      <c r="J6777" s="33"/>
    </row>
    <row r="6778" spans="10:10" ht="15" customHeight="1" x14ac:dyDescent="0.3">
      <c r="J6778" s="33"/>
    </row>
    <row r="6779" spans="10:10" ht="15" customHeight="1" x14ac:dyDescent="0.3">
      <c r="J6779" s="33"/>
    </row>
    <row r="6780" spans="10:10" ht="15" customHeight="1" x14ac:dyDescent="0.3">
      <c r="J6780" s="33"/>
    </row>
    <row r="6781" spans="10:10" ht="15" customHeight="1" x14ac:dyDescent="0.3">
      <c r="J6781" s="33"/>
    </row>
    <row r="6782" spans="10:10" ht="15" customHeight="1" x14ac:dyDescent="0.3">
      <c r="J6782" s="33"/>
    </row>
    <row r="6783" spans="10:10" ht="15" customHeight="1" x14ac:dyDescent="0.3">
      <c r="J6783" s="33"/>
    </row>
    <row r="6784" spans="10:10" ht="15" customHeight="1" x14ac:dyDescent="0.3">
      <c r="J6784" s="33"/>
    </row>
    <row r="6785" spans="10:10" ht="15" customHeight="1" x14ac:dyDescent="0.3">
      <c r="J6785" s="33"/>
    </row>
    <row r="6786" spans="10:10" ht="15" customHeight="1" x14ac:dyDescent="0.3">
      <c r="J6786" s="33"/>
    </row>
    <row r="6787" spans="10:10" ht="15" customHeight="1" x14ac:dyDescent="0.3">
      <c r="J6787" s="33"/>
    </row>
    <row r="6788" spans="10:10" ht="15" customHeight="1" x14ac:dyDescent="0.3">
      <c r="J6788" s="33"/>
    </row>
    <row r="6789" spans="10:10" ht="15" customHeight="1" x14ac:dyDescent="0.3">
      <c r="J6789" s="33"/>
    </row>
    <row r="6790" spans="10:10" ht="15" customHeight="1" x14ac:dyDescent="0.3">
      <c r="J6790" s="33"/>
    </row>
    <row r="6791" spans="10:10" ht="15" customHeight="1" x14ac:dyDescent="0.3">
      <c r="J6791" s="33"/>
    </row>
    <row r="6792" spans="10:10" ht="15" customHeight="1" x14ac:dyDescent="0.3">
      <c r="J6792" s="33"/>
    </row>
    <row r="6793" spans="10:10" ht="15" customHeight="1" x14ac:dyDescent="0.3">
      <c r="J6793" s="33"/>
    </row>
    <row r="6794" spans="10:10" ht="15" customHeight="1" x14ac:dyDescent="0.3">
      <c r="J6794" s="33"/>
    </row>
    <row r="6795" spans="10:10" ht="15" customHeight="1" x14ac:dyDescent="0.3">
      <c r="J6795" s="33"/>
    </row>
    <row r="6796" spans="10:10" ht="15" customHeight="1" x14ac:dyDescent="0.3">
      <c r="J6796" s="33"/>
    </row>
    <row r="6797" spans="10:10" ht="15" customHeight="1" x14ac:dyDescent="0.3">
      <c r="J6797" s="33"/>
    </row>
    <row r="6798" spans="10:10" ht="15" customHeight="1" x14ac:dyDescent="0.3">
      <c r="J6798" s="33"/>
    </row>
    <row r="6799" spans="10:10" ht="15" customHeight="1" x14ac:dyDescent="0.3">
      <c r="J6799" s="33"/>
    </row>
    <row r="6800" spans="10:10" ht="15" customHeight="1" x14ac:dyDescent="0.3">
      <c r="J6800" s="33"/>
    </row>
    <row r="6801" spans="10:10" ht="15" customHeight="1" x14ac:dyDescent="0.3">
      <c r="J6801" s="33"/>
    </row>
    <row r="6802" spans="10:10" ht="15" customHeight="1" x14ac:dyDescent="0.3">
      <c r="J6802" s="33"/>
    </row>
    <row r="6803" spans="10:10" ht="15" customHeight="1" x14ac:dyDescent="0.3">
      <c r="J6803" s="33"/>
    </row>
    <row r="6804" spans="10:10" ht="15" customHeight="1" x14ac:dyDescent="0.3">
      <c r="J6804" s="33"/>
    </row>
    <row r="6805" spans="10:10" ht="15" customHeight="1" x14ac:dyDescent="0.3">
      <c r="J6805" s="33"/>
    </row>
    <row r="6806" spans="10:10" ht="15" customHeight="1" x14ac:dyDescent="0.3">
      <c r="J6806" s="33"/>
    </row>
    <row r="6807" spans="10:10" ht="15" customHeight="1" x14ac:dyDescent="0.3">
      <c r="J6807" s="33"/>
    </row>
    <row r="6808" spans="10:10" ht="15" customHeight="1" x14ac:dyDescent="0.3">
      <c r="J6808" s="33"/>
    </row>
    <row r="6809" spans="10:10" ht="15" customHeight="1" x14ac:dyDescent="0.3">
      <c r="J6809" s="33"/>
    </row>
    <row r="6810" spans="10:10" ht="15" customHeight="1" x14ac:dyDescent="0.3">
      <c r="J6810" s="33"/>
    </row>
    <row r="6811" spans="10:10" ht="15" customHeight="1" x14ac:dyDescent="0.3">
      <c r="J6811" s="33"/>
    </row>
    <row r="6812" spans="10:10" ht="15" customHeight="1" x14ac:dyDescent="0.3">
      <c r="J6812" s="33"/>
    </row>
    <row r="6813" spans="10:10" ht="15" customHeight="1" x14ac:dyDescent="0.3">
      <c r="J6813" s="33"/>
    </row>
    <row r="6814" spans="10:10" ht="15" customHeight="1" x14ac:dyDescent="0.3">
      <c r="J6814" s="33"/>
    </row>
    <row r="6815" spans="10:10" ht="15" customHeight="1" x14ac:dyDescent="0.3">
      <c r="J6815" s="33"/>
    </row>
    <row r="6816" spans="10:10" ht="15" customHeight="1" x14ac:dyDescent="0.3">
      <c r="J6816" s="33"/>
    </row>
    <row r="6817" spans="10:10" ht="15" customHeight="1" x14ac:dyDescent="0.3">
      <c r="J6817" s="33"/>
    </row>
    <row r="6818" spans="10:10" ht="15" customHeight="1" x14ac:dyDescent="0.3">
      <c r="J6818" s="33"/>
    </row>
    <row r="6819" spans="10:10" ht="15" customHeight="1" x14ac:dyDescent="0.3">
      <c r="J6819" s="33"/>
    </row>
    <row r="6820" spans="10:10" ht="15" customHeight="1" x14ac:dyDescent="0.3">
      <c r="J6820" s="33"/>
    </row>
    <row r="6821" spans="10:10" ht="15" customHeight="1" x14ac:dyDescent="0.3">
      <c r="J6821" s="33"/>
    </row>
    <row r="6822" spans="10:10" ht="15" customHeight="1" x14ac:dyDescent="0.3">
      <c r="J6822" s="33"/>
    </row>
    <row r="6823" spans="10:10" ht="15" customHeight="1" x14ac:dyDescent="0.3">
      <c r="J6823" s="33"/>
    </row>
    <row r="6824" spans="10:10" ht="15" customHeight="1" x14ac:dyDescent="0.3">
      <c r="J6824" s="33"/>
    </row>
    <row r="6825" spans="10:10" ht="15" customHeight="1" x14ac:dyDescent="0.3">
      <c r="J6825" s="33"/>
    </row>
    <row r="6826" spans="10:10" ht="15" customHeight="1" x14ac:dyDescent="0.3">
      <c r="J6826" s="33"/>
    </row>
    <row r="6827" spans="10:10" ht="15" customHeight="1" x14ac:dyDescent="0.3">
      <c r="J6827" s="33"/>
    </row>
    <row r="6828" spans="10:10" ht="15" customHeight="1" x14ac:dyDescent="0.3">
      <c r="J6828" s="33"/>
    </row>
    <row r="6829" spans="10:10" ht="15" customHeight="1" x14ac:dyDescent="0.3">
      <c r="J6829" s="33"/>
    </row>
    <row r="6830" spans="10:10" ht="15" customHeight="1" x14ac:dyDescent="0.3">
      <c r="J6830" s="33"/>
    </row>
    <row r="6831" spans="10:10" ht="15" customHeight="1" x14ac:dyDescent="0.3">
      <c r="J6831" s="33"/>
    </row>
    <row r="6832" spans="10:10" ht="15" customHeight="1" x14ac:dyDescent="0.3">
      <c r="J6832" s="33"/>
    </row>
    <row r="6833" spans="10:10" ht="15" customHeight="1" x14ac:dyDescent="0.3">
      <c r="J6833" s="33"/>
    </row>
    <row r="6834" spans="10:10" ht="15" customHeight="1" x14ac:dyDescent="0.3">
      <c r="J6834" s="33"/>
    </row>
    <row r="6835" spans="10:10" ht="15" customHeight="1" x14ac:dyDescent="0.3">
      <c r="J6835" s="33"/>
    </row>
    <row r="6836" spans="10:10" ht="15" customHeight="1" x14ac:dyDescent="0.3">
      <c r="J6836" s="33"/>
    </row>
    <row r="6837" spans="10:10" ht="15" customHeight="1" x14ac:dyDescent="0.3">
      <c r="J6837" s="33"/>
    </row>
    <row r="6838" spans="10:10" ht="15" customHeight="1" x14ac:dyDescent="0.3">
      <c r="J6838" s="33"/>
    </row>
    <row r="6839" spans="10:10" ht="15" customHeight="1" x14ac:dyDescent="0.3">
      <c r="J6839" s="33"/>
    </row>
    <row r="6840" spans="10:10" ht="15" customHeight="1" x14ac:dyDescent="0.3">
      <c r="J6840" s="33"/>
    </row>
    <row r="6841" spans="10:10" ht="15" customHeight="1" x14ac:dyDescent="0.3">
      <c r="J6841" s="33"/>
    </row>
    <row r="6842" spans="10:10" ht="15" customHeight="1" x14ac:dyDescent="0.3">
      <c r="J6842" s="33"/>
    </row>
    <row r="6843" spans="10:10" ht="15" customHeight="1" x14ac:dyDescent="0.3">
      <c r="J6843" s="33"/>
    </row>
    <row r="6844" spans="10:10" ht="15" customHeight="1" x14ac:dyDescent="0.3">
      <c r="J6844" s="33"/>
    </row>
    <row r="6845" spans="10:10" ht="15" customHeight="1" x14ac:dyDescent="0.3">
      <c r="J6845" s="33"/>
    </row>
    <row r="6846" spans="10:10" ht="15" customHeight="1" x14ac:dyDescent="0.3">
      <c r="J6846" s="33"/>
    </row>
    <row r="6847" spans="10:10" ht="15" customHeight="1" x14ac:dyDescent="0.3">
      <c r="J6847" s="33"/>
    </row>
    <row r="6848" spans="10:10" ht="15" customHeight="1" x14ac:dyDescent="0.3">
      <c r="J6848" s="33"/>
    </row>
    <row r="6849" spans="10:10" ht="15" customHeight="1" x14ac:dyDescent="0.3">
      <c r="J6849" s="33"/>
    </row>
    <row r="6850" spans="10:10" ht="15" customHeight="1" x14ac:dyDescent="0.3">
      <c r="J6850" s="33"/>
    </row>
    <row r="6851" spans="10:10" ht="15" customHeight="1" x14ac:dyDescent="0.3">
      <c r="J6851" s="33"/>
    </row>
    <row r="6852" spans="10:10" ht="15" customHeight="1" x14ac:dyDescent="0.3">
      <c r="J6852" s="33"/>
    </row>
    <row r="6853" spans="10:10" ht="15" customHeight="1" x14ac:dyDescent="0.3">
      <c r="J6853" s="33"/>
    </row>
    <row r="6854" spans="10:10" ht="15" customHeight="1" x14ac:dyDescent="0.3">
      <c r="J6854" s="33"/>
    </row>
    <row r="6855" spans="10:10" ht="15" customHeight="1" x14ac:dyDescent="0.3">
      <c r="J6855" s="33"/>
    </row>
    <row r="6856" spans="10:10" ht="15" customHeight="1" x14ac:dyDescent="0.3">
      <c r="J6856" s="33"/>
    </row>
    <row r="6857" spans="10:10" ht="15" customHeight="1" x14ac:dyDescent="0.3">
      <c r="J6857" s="33"/>
    </row>
    <row r="6858" spans="10:10" ht="15" customHeight="1" x14ac:dyDescent="0.3">
      <c r="J6858" s="33"/>
    </row>
    <row r="6859" spans="10:10" ht="15" customHeight="1" x14ac:dyDescent="0.3">
      <c r="J6859" s="33"/>
    </row>
    <row r="6860" spans="10:10" ht="15" customHeight="1" x14ac:dyDescent="0.3">
      <c r="J6860" s="33"/>
    </row>
    <row r="6861" spans="10:10" ht="15" customHeight="1" x14ac:dyDescent="0.3">
      <c r="J6861" s="33"/>
    </row>
    <row r="6862" spans="10:10" ht="15" customHeight="1" x14ac:dyDescent="0.3">
      <c r="J6862" s="33"/>
    </row>
    <row r="6863" spans="10:10" ht="15" customHeight="1" x14ac:dyDescent="0.3">
      <c r="J6863" s="33"/>
    </row>
    <row r="6864" spans="10:10" ht="15" customHeight="1" x14ac:dyDescent="0.3">
      <c r="J6864" s="33"/>
    </row>
    <row r="6865" spans="10:10" ht="15" customHeight="1" x14ac:dyDescent="0.3">
      <c r="J6865" s="33"/>
    </row>
    <row r="6866" spans="10:10" ht="15" customHeight="1" x14ac:dyDescent="0.3">
      <c r="J6866" s="33"/>
    </row>
    <row r="6867" spans="10:10" ht="15" customHeight="1" x14ac:dyDescent="0.3">
      <c r="J6867" s="33"/>
    </row>
    <row r="6868" spans="10:10" ht="15" customHeight="1" x14ac:dyDescent="0.3">
      <c r="J6868" s="33"/>
    </row>
    <row r="6869" spans="10:10" ht="15" customHeight="1" x14ac:dyDescent="0.3">
      <c r="J6869" s="33"/>
    </row>
    <row r="6870" spans="10:10" ht="15" customHeight="1" x14ac:dyDescent="0.3">
      <c r="J6870" s="33"/>
    </row>
    <row r="6871" spans="10:10" ht="15" customHeight="1" x14ac:dyDescent="0.3">
      <c r="J6871" s="33"/>
    </row>
    <row r="6872" spans="10:10" ht="15" customHeight="1" x14ac:dyDescent="0.3">
      <c r="J6872" s="33"/>
    </row>
    <row r="6873" spans="10:10" ht="15" customHeight="1" x14ac:dyDescent="0.3">
      <c r="J6873" s="33"/>
    </row>
    <row r="6874" spans="10:10" ht="15" customHeight="1" x14ac:dyDescent="0.3">
      <c r="J6874" s="33"/>
    </row>
    <row r="6875" spans="10:10" ht="15" customHeight="1" x14ac:dyDescent="0.3">
      <c r="J6875" s="33"/>
    </row>
    <row r="6876" spans="10:10" ht="15" customHeight="1" x14ac:dyDescent="0.3">
      <c r="J6876" s="33"/>
    </row>
    <row r="6877" spans="10:10" ht="15" customHeight="1" x14ac:dyDescent="0.3">
      <c r="J6877" s="33"/>
    </row>
    <row r="6878" spans="10:10" ht="15" customHeight="1" x14ac:dyDescent="0.3">
      <c r="J6878" s="33"/>
    </row>
    <row r="6879" spans="10:10" ht="15" customHeight="1" x14ac:dyDescent="0.3">
      <c r="J6879" s="33"/>
    </row>
    <row r="6880" spans="10:10" ht="15" customHeight="1" x14ac:dyDescent="0.3">
      <c r="J6880" s="33"/>
    </row>
    <row r="6881" spans="10:10" ht="15" customHeight="1" x14ac:dyDescent="0.3">
      <c r="J6881" s="33"/>
    </row>
    <row r="6882" spans="10:10" ht="15" customHeight="1" x14ac:dyDescent="0.3">
      <c r="J6882" s="33"/>
    </row>
    <row r="6883" spans="10:10" ht="15" customHeight="1" x14ac:dyDescent="0.3">
      <c r="J6883" s="33"/>
    </row>
    <row r="6884" spans="10:10" ht="15" customHeight="1" x14ac:dyDescent="0.3">
      <c r="J6884" s="33"/>
    </row>
    <row r="6885" spans="10:10" ht="15" customHeight="1" x14ac:dyDescent="0.3">
      <c r="J6885" s="33"/>
    </row>
    <row r="6886" spans="10:10" ht="15" customHeight="1" x14ac:dyDescent="0.3">
      <c r="J6886" s="33"/>
    </row>
    <row r="6887" spans="10:10" ht="15" customHeight="1" x14ac:dyDescent="0.3">
      <c r="J6887" s="33"/>
    </row>
    <row r="6888" spans="10:10" ht="15" customHeight="1" x14ac:dyDescent="0.3">
      <c r="J6888" s="33"/>
    </row>
    <row r="6889" spans="10:10" ht="15" customHeight="1" x14ac:dyDescent="0.3">
      <c r="J6889" s="33"/>
    </row>
    <row r="6890" spans="10:10" ht="15" customHeight="1" x14ac:dyDescent="0.3">
      <c r="J6890" s="33"/>
    </row>
    <row r="6891" spans="10:10" ht="15" customHeight="1" x14ac:dyDescent="0.3">
      <c r="J6891" s="33"/>
    </row>
    <row r="6892" spans="10:10" ht="15" customHeight="1" x14ac:dyDescent="0.3">
      <c r="J6892" s="33"/>
    </row>
    <row r="6893" spans="10:10" ht="15" customHeight="1" x14ac:dyDescent="0.3">
      <c r="J6893" s="33"/>
    </row>
    <row r="6894" spans="10:10" ht="15" customHeight="1" x14ac:dyDescent="0.3">
      <c r="J6894" s="33"/>
    </row>
    <row r="6895" spans="10:10" ht="15" customHeight="1" x14ac:dyDescent="0.3">
      <c r="J6895" s="33"/>
    </row>
    <row r="6896" spans="10:10" ht="15" customHeight="1" x14ac:dyDescent="0.3">
      <c r="J6896" s="33"/>
    </row>
    <row r="6897" spans="10:10" ht="15" customHeight="1" x14ac:dyDescent="0.3">
      <c r="J6897" s="33"/>
    </row>
    <row r="6898" spans="10:10" ht="15" customHeight="1" x14ac:dyDescent="0.3">
      <c r="J6898" s="33"/>
    </row>
    <row r="6899" spans="10:10" ht="15" customHeight="1" x14ac:dyDescent="0.3">
      <c r="J6899" s="33"/>
    </row>
    <row r="6900" spans="10:10" ht="15" customHeight="1" x14ac:dyDescent="0.3">
      <c r="J6900" s="33"/>
    </row>
    <row r="6901" spans="10:10" ht="15" customHeight="1" x14ac:dyDescent="0.3">
      <c r="J6901" s="33"/>
    </row>
    <row r="6902" spans="10:10" ht="15" customHeight="1" x14ac:dyDescent="0.3">
      <c r="J6902" s="33"/>
    </row>
    <row r="6903" spans="10:10" ht="15" customHeight="1" x14ac:dyDescent="0.3">
      <c r="J6903" s="33"/>
    </row>
    <row r="6904" spans="10:10" ht="15" customHeight="1" x14ac:dyDescent="0.3">
      <c r="J6904" s="33"/>
    </row>
    <row r="6905" spans="10:10" ht="15" customHeight="1" x14ac:dyDescent="0.3">
      <c r="J6905" s="33"/>
    </row>
    <row r="6906" spans="10:10" ht="15" customHeight="1" x14ac:dyDescent="0.3">
      <c r="J6906" s="33"/>
    </row>
    <row r="6907" spans="10:10" ht="15" customHeight="1" x14ac:dyDescent="0.3">
      <c r="J6907" s="33"/>
    </row>
    <row r="6908" spans="10:10" ht="15" customHeight="1" x14ac:dyDescent="0.3">
      <c r="J6908" s="33"/>
    </row>
    <row r="6909" spans="10:10" ht="15" customHeight="1" x14ac:dyDescent="0.3">
      <c r="J6909" s="33"/>
    </row>
    <row r="6910" spans="10:10" ht="15" customHeight="1" x14ac:dyDescent="0.3">
      <c r="J6910" s="33"/>
    </row>
    <row r="6911" spans="10:10" ht="15" customHeight="1" x14ac:dyDescent="0.3">
      <c r="J6911" s="33"/>
    </row>
    <row r="6912" spans="10:10" ht="15" customHeight="1" x14ac:dyDescent="0.3">
      <c r="J6912" s="33"/>
    </row>
    <row r="6913" spans="10:10" ht="15" customHeight="1" x14ac:dyDescent="0.3">
      <c r="J6913" s="33"/>
    </row>
    <row r="6914" spans="10:10" ht="15" customHeight="1" x14ac:dyDescent="0.3">
      <c r="J6914" s="33"/>
    </row>
    <row r="6915" spans="10:10" ht="15" customHeight="1" x14ac:dyDescent="0.3">
      <c r="J6915" s="33"/>
    </row>
    <row r="6916" spans="10:10" ht="15" customHeight="1" x14ac:dyDescent="0.3">
      <c r="J6916" s="33"/>
    </row>
    <row r="6917" spans="10:10" ht="15" customHeight="1" x14ac:dyDescent="0.3">
      <c r="J6917" s="33"/>
    </row>
    <row r="6918" spans="10:10" ht="15" customHeight="1" x14ac:dyDescent="0.3">
      <c r="J6918" s="33"/>
    </row>
    <row r="6919" spans="10:10" ht="15" customHeight="1" x14ac:dyDescent="0.3">
      <c r="J6919" s="33"/>
    </row>
    <row r="6920" spans="10:10" ht="15" customHeight="1" x14ac:dyDescent="0.3">
      <c r="J6920" s="33"/>
    </row>
    <row r="6921" spans="10:10" ht="15" customHeight="1" x14ac:dyDescent="0.3">
      <c r="J6921" s="33"/>
    </row>
    <row r="6922" spans="10:10" ht="15" customHeight="1" x14ac:dyDescent="0.3">
      <c r="J6922" s="33"/>
    </row>
    <row r="6923" spans="10:10" ht="15" customHeight="1" x14ac:dyDescent="0.3">
      <c r="J6923" s="33"/>
    </row>
    <row r="6924" spans="10:10" ht="15" customHeight="1" x14ac:dyDescent="0.3">
      <c r="J6924" s="33"/>
    </row>
    <row r="6925" spans="10:10" ht="15" customHeight="1" x14ac:dyDescent="0.3">
      <c r="J6925" s="33"/>
    </row>
    <row r="6926" spans="10:10" ht="15" customHeight="1" x14ac:dyDescent="0.3">
      <c r="J6926" s="33"/>
    </row>
    <row r="6927" spans="10:10" ht="15" customHeight="1" x14ac:dyDescent="0.3">
      <c r="J6927" s="33"/>
    </row>
    <row r="6928" spans="10:10" ht="15" customHeight="1" x14ac:dyDescent="0.3">
      <c r="J6928" s="33"/>
    </row>
    <row r="6929" spans="10:10" ht="15" customHeight="1" x14ac:dyDescent="0.3">
      <c r="J6929" s="33"/>
    </row>
    <row r="6930" spans="10:10" ht="15" customHeight="1" x14ac:dyDescent="0.3">
      <c r="J6930" s="33"/>
    </row>
    <row r="6931" spans="10:10" ht="15" customHeight="1" x14ac:dyDescent="0.3">
      <c r="J6931" s="33"/>
    </row>
    <row r="6932" spans="10:10" ht="15" customHeight="1" x14ac:dyDescent="0.3">
      <c r="J6932" s="33"/>
    </row>
    <row r="6933" spans="10:10" ht="15" customHeight="1" x14ac:dyDescent="0.3">
      <c r="J6933" s="33"/>
    </row>
    <row r="6934" spans="10:10" ht="15" customHeight="1" x14ac:dyDescent="0.3">
      <c r="J6934" s="33"/>
    </row>
    <row r="6935" spans="10:10" ht="15" customHeight="1" x14ac:dyDescent="0.3">
      <c r="J6935" s="33"/>
    </row>
    <row r="6936" spans="10:10" ht="15" customHeight="1" x14ac:dyDescent="0.3">
      <c r="J6936" s="33"/>
    </row>
    <row r="6937" spans="10:10" ht="15" customHeight="1" x14ac:dyDescent="0.3">
      <c r="J6937" s="33"/>
    </row>
    <row r="6938" spans="10:10" ht="15" customHeight="1" x14ac:dyDescent="0.3">
      <c r="J6938" s="33"/>
    </row>
    <row r="6939" spans="10:10" ht="15" customHeight="1" x14ac:dyDescent="0.3">
      <c r="J6939" s="33"/>
    </row>
    <row r="6940" spans="10:10" ht="15" customHeight="1" x14ac:dyDescent="0.3">
      <c r="J6940" s="33"/>
    </row>
    <row r="6941" spans="10:10" ht="15" customHeight="1" x14ac:dyDescent="0.3">
      <c r="J6941" s="33"/>
    </row>
    <row r="6942" spans="10:10" ht="15" customHeight="1" x14ac:dyDescent="0.3">
      <c r="J6942" s="33"/>
    </row>
    <row r="6943" spans="10:10" ht="15" customHeight="1" x14ac:dyDescent="0.3">
      <c r="J6943" s="33"/>
    </row>
    <row r="6944" spans="10:10" ht="15" customHeight="1" x14ac:dyDescent="0.3">
      <c r="J6944" s="33"/>
    </row>
    <row r="6945" spans="10:10" ht="15" customHeight="1" x14ac:dyDescent="0.3">
      <c r="J6945" s="33"/>
    </row>
    <row r="6946" spans="10:10" ht="15" customHeight="1" x14ac:dyDescent="0.3">
      <c r="J6946" s="33"/>
    </row>
    <row r="6947" spans="10:10" ht="15" customHeight="1" x14ac:dyDescent="0.3">
      <c r="J6947" s="33"/>
    </row>
    <row r="6948" spans="10:10" ht="15" customHeight="1" x14ac:dyDescent="0.3">
      <c r="J6948" s="33"/>
    </row>
    <row r="6949" spans="10:10" ht="15" customHeight="1" x14ac:dyDescent="0.3">
      <c r="J6949" s="33"/>
    </row>
    <row r="6950" spans="10:10" ht="15" customHeight="1" x14ac:dyDescent="0.3">
      <c r="J6950" s="33"/>
    </row>
    <row r="6951" spans="10:10" ht="15" customHeight="1" x14ac:dyDescent="0.3">
      <c r="J6951" s="33"/>
    </row>
    <row r="6952" spans="10:10" ht="15" customHeight="1" x14ac:dyDescent="0.3">
      <c r="J6952" s="33"/>
    </row>
    <row r="6953" spans="10:10" ht="15" customHeight="1" x14ac:dyDescent="0.3">
      <c r="J6953" s="33"/>
    </row>
    <row r="6954" spans="10:10" ht="15" customHeight="1" x14ac:dyDescent="0.3">
      <c r="J6954" s="33"/>
    </row>
    <row r="6955" spans="10:10" ht="15" customHeight="1" x14ac:dyDescent="0.3">
      <c r="J6955" s="33"/>
    </row>
    <row r="6956" spans="10:10" ht="15" customHeight="1" x14ac:dyDescent="0.3">
      <c r="J6956" s="33"/>
    </row>
    <row r="6957" spans="10:10" ht="15" customHeight="1" x14ac:dyDescent="0.3">
      <c r="J6957" s="33"/>
    </row>
    <row r="6958" spans="10:10" ht="15" customHeight="1" x14ac:dyDescent="0.3">
      <c r="J6958" s="33"/>
    </row>
    <row r="6959" spans="10:10" ht="15" customHeight="1" x14ac:dyDescent="0.3">
      <c r="J6959" s="33"/>
    </row>
    <row r="6960" spans="10:10" ht="15" customHeight="1" x14ac:dyDescent="0.3">
      <c r="J6960" s="33"/>
    </row>
    <row r="6961" spans="10:10" ht="15" customHeight="1" x14ac:dyDescent="0.3">
      <c r="J6961" s="33"/>
    </row>
    <row r="6962" spans="10:10" ht="15" customHeight="1" x14ac:dyDescent="0.3">
      <c r="J6962" s="33"/>
    </row>
    <row r="6963" spans="10:10" ht="15" customHeight="1" x14ac:dyDescent="0.3">
      <c r="J6963" s="33"/>
    </row>
    <row r="6964" spans="10:10" ht="15" customHeight="1" x14ac:dyDescent="0.3">
      <c r="J6964" s="33"/>
    </row>
    <row r="6965" spans="10:10" ht="15" customHeight="1" x14ac:dyDescent="0.3">
      <c r="J6965" s="33"/>
    </row>
    <row r="6966" spans="10:10" ht="15" customHeight="1" x14ac:dyDescent="0.3">
      <c r="J6966" s="33"/>
    </row>
    <row r="6967" spans="10:10" ht="15" customHeight="1" x14ac:dyDescent="0.3">
      <c r="J6967" s="33"/>
    </row>
    <row r="6968" spans="10:10" ht="15" customHeight="1" x14ac:dyDescent="0.3">
      <c r="J6968" s="33"/>
    </row>
    <row r="6969" spans="10:10" ht="15" customHeight="1" x14ac:dyDescent="0.3">
      <c r="J6969" s="33"/>
    </row>
    <row r="6970" spans="10:10" ht="15" customHeight="1" x14ac:dyDescent="0.3">
      <c r="J6970" s="33"/>
    </row>
    <row r="6971" spans="10:10" ht="15" customHeight="1" x14ac:dyDescent="0.3">
      <c r="J6971" s="33"/>
    </row>
    <row r="6972" spans="10:10" ht="15" customHeight="1" x14ac:dyDescent="0.3">
      <c r="J6972" s="33"/>
    </row>
    <row r="6973" spans="10:10" ht="15" customHeight="1" x14ac:dyDescent="0.3">
      <c r="J6973" s="33"/>
    </row>
    <row r="6974" spans="10:10" ht="15" customHeight="1" x14ac:dyDescent="0.3">
      <c r="J6974" s="33"/>
    </row>
    <row r="6975" spans="10:10" ht="15" customHeight="1" x14ac:dyDescent="0.3">
      <c r="J6975" s="33"/>
    </row>
    <row r="6976" spans="10:10" ht="15" customHeight="1" x14ac:dyDescent="0.3">
      <c r="J6976" s="33"/>
    </row>
    <row r="6977" spans="10:10" ht="15" customHeight="1" x14ac:dyDescent="0.3">
      <c r="J6977" s="33"/>
    </row>
    <row r="6978" spans="10:10" ht="15" customHeight="1" x14ac:dyDescent="0.3">
      <c r="J6978" s="33"/>
    </row>
    <row r="6979" spans="10:10" ht="15" customHeight="1" x14ac:dyDescent="0.3">
      <c r="J6979" s="33"/>
    </row>
    <row r="6980" spans="10:10" ht="15" customHeight="1" x14ac:dyDescent="0.3">
      <c r="J6980" s="33"/>
    </row>
    <row r="6981" spans="10:10" ht="15" customHeight="1" x14ac:dyDescent="0.3">
      <c r="J6981" s="33"/>
    </row>
    <row r="6982" spans="10:10" ht="15" customHeight="1" x14ac:dyDescent="0.3">
      <c r="J6982" s="33"/>
    </row>
    <row r="6983" spans="10:10" ht="15" customHeight="1" x14ac:dyDescent="0.3">
      <c r="J6983" s="33"/>
    </row>
    <row r="6984" spans="10:10" ht="15" customHeight="1" x14ac:dyDescent="0.3">
      <c r="J6984" s="33"/>
    </row>
    <row r="6985" spans="10:10" ht="15" customHeight="1" x14ac:dyDescent="0.3">
      <c r="J6985" s="33"/>
    </row>
    <row r="6986" spans="10:10" ht="15" customHeight="1" x14ac:dyDescent="0.3">
      <c r="J6986" s="33"/>
    </row>
    <row r="6987" spans="10:10" ht="15" customHeight="1" x14ac:dyDescent="0.3">
      <c r="J6987" s="33"/>
    </row>
    <row r="6988" spans="10:10" ht="15" customHeight="1" x14ac:dyDescent="0.3">
      <c r="J6988" s="33"/>
    </row>
    <row r="6989" spans="10:10" ht="15" customHeight="1" x14ac:dyDescent="0.3">
      <c r="J6989" s="33"/>
    </row>
    <row r="6990" spans="10:10" ht="15" customHeight="1" x14ac:dyDescent="0.3">
      <c r="J6990" s="33"/>
    </row>
    <row r="6991" spans="10:10" ht="15" customHeight="1" x14ac:dyDescent="0.3">
      <c r="J6991" s="33"/>
    </row>
    <row r="6992" spans="10:10" ht="15" customHeight="1" x14ac:dyDescent="0.3">
      <c r="J6992" s="33"/>
    </row>
    <row r="6993" spans="10:10" ht="15" customHeight="1" x14ac:dyDescent="0.3">
      <c r="J6993" s="33"/>
    </row>
    <row r="6994" spans="10:10" ht="15" customHeight="1" x14ac:dyDescent="0.3">
      <c r="J6994" s="33"/>
    </row>
    <row r="6995" spans="10:10" ht="15" customHeight="1" x14ac:dyDescent="0.3">
      <c r="J6995" s="33"/>
    </row>
    <row r="6996" spans="10:10" ht="15" customHeight="1" x14ac:dyDescent="0.3">
      <c r="J6996" s="33"/>
    </row>
    <row r="6997" spans="10:10" ht="15" customHeight="1" x14ac:dyDescent="0.3">
      <c r="J6997" s="33"/>
    </row>
    <row r="6998" spans="10:10" ht="15" customHeight="1" x14ac:dyDescent="0.3">
      <c r="J6998" s="33"/>
    </row>
    <row r="6999" spans="10:10" ht="15" customHeight="1" x14ac:dyDescent="0.3">
      <c r="J6999" s="33"/>
    </row>
    <row r="7000" spans="10:10" ht="15" customHeight="1" x14ac:dyDescent="0.3">
      <c r="J7000" s="33"/>
    </row>
    <row r="7001" spans="10:10" ht="15" customHeight="1" x14ac:dyDescent="0.3">
      <c r="J7001" s="33"/>
    </row>
    <row r="7002" spans="10:10" ht="15" customHeight="1" x14ac:dyDescent="0.3">
      <c r="J7002" s="33"/>
    </row>
    <row r="7003" spans="10:10" ht="15" customHeight="1" x14ac:dyDescent="0.3">
      <c r="J7003" s="33"/>
    </row>
    <row r="7004" spans="10:10" ht="15" customHeight="1" x14ac:dyDescent="0.3">
      <c r="J7004" s="33"/>
    </row>
    <row r="7005" spans="10:10" ht="15" customHeight="1" x14ac:dyDescent="0.3">
      <c r="J7005" s="33"/>
    </row>
    <row r="7006" spans="10:10" ht="15" customHeight="1" x14ac:dyDescent="0.3">
      <c r="J7006" s="33"/>
    </row>
    <row r="7007" spans="10:10" ht="15" customHeight="1" x14ac:dyDescent="0.3">
      <c r="J7007" s="33"/>
    </row>
    <row r="7008" spans="10:10" ht="15" customHeight="1" x14ac:dyDescent="0.3">
      <c r="J7008" s="33"/>
    </row>
    <row r="7009" spans="10:10" ht="15" customHeight="1" x14ac:dyDescent="0.3">
      <c r="J7009" s="33"/>
    </row>
    <row r="7010" spans="10:10" ht="15" customHeight="1" x14ac:dyDescent="0.3">
      <c r="J7010" s="33"/>
    </row>
    <row r="7011" spans="10:10" ht="15" customHeight="1" x14ac:dyDescent="0.3">
      <c r="J7011" s="33"/>
    </row>
    <row r="7012" spans="10:10" ht="15" customHeight="1" x14ac:dyDescent="0.3">
      <c r="J7012" s="33"/>
    </row>
    <row r="7013" spans="10:10" ht="15" customHeight="1" x14ac:dyDescent="0.3">
      <c r="J7013" s="33"/>
    </row>
    <row r="7014" spans="10:10" ht="15" customHeight="1" x14ac:dyDescent="0.3">
      <c r="J7014" s="33"/>
    </row>
    <row r="7015" spans="10:10" ht="15" customHeight="1" x14ac:dyDescent="0.3">
      <c r="J7015" s="33"/>
    </row>
    <row r="7016" spans="10:10" ht="15" customHeight="1" x14ac:dyDescent="0.3">
      <c r="J7016" s="33"/>
    </row>
    <row r="7017" spans="10:10" ht="15" customHeight="1" x14ac:dyDescent="0.3">
      <c r="J7017" s="33"/>
    </row>
    <row r="7018" spans="10:10" ht="15" customHeight="1" x14ac:dyDescent="0.3">
      <c r="J7018" s="33"/>
    </row>
    <row r="7019" spans="10:10" ht="15" customHeight="1" x14ac:dyDescent="0.3">
      <c r="J7019" s="33"/>
    </row>
    <row r="7020" spans="10:10" ht="15" customHeight="1" x14ac:dyDescent="0.3">
      <c r="J7020" s="33"/>
    </row>
    <row r="7021" spans="10:10" ht="15" customHeight="1" x14ac:dyDescent="0.3">
      <c r="J7021" s="33"/>
    </row>
    <row r="7022" spans="10:10" ht="15" customHeight="1" x14ac:dyDescent="0.3">
      <c r="J7022" s="33"/>
    </row>
    <row r="7023" spans="10:10" ht="15" customHeight="1" x14ac:dyDescent="0.3">
      <c r="J7023" s="33"/>
    </row>
    <row r="7024" spans="10:10" ht="15" customHeight="1" x14ac:dyDescent="0.3">
      <c r="J7024" s="33"/>
    </row>
    <row r="7025" spans="10:10" ht="15" customHeight="1" x14ac:dyDescent="0.3">
      <c r="J7025" s="33"/>
    </row>
    <row r="7026" spans="10:10" ht="15" customHeight="1" x14ac:dyDescent="0.3">
      <c r="J7026" s="33"/>
    </row>
    <row r="7027" spans="10:10" ht="15" customHeight="1" x14ac:dyDescent="0.3">
      <c r="J7027" s="33"/>
    </row>
    <row r="7028" spans="10:10" ht="15" customHeight="1" x14ac:dyDescent="0.3">
      <c r="J7028" s="33"/>
    </row>
    <row r="7029" spans="10:10" ht="15" customHeight="1" x14ac:dyDescent="0.3">
      <c r="J7029" s="33"/>
    </row>
    <row r="7030" spans="10:10" ht="15" customHeight="1" x14ac:dyDescent="0.3">
      <c r="J7030" s="33"/>
    </row>
    <row r="7031" spans="10:10" ht="15" customHeight="1" x14ac:dyDescent="0.3">
      <c r="J7031" s="33"/>
    </row>
    <row r="7032" spans="10:10" ht="15" customHeight="1" x14ac:dyDescent="0.3">
      <c r="J7032" s="33"/>
    </row>
    <row r="7033" spans="10:10" ht="15" customHeight="1" x14ac:dyDescent="0.3">
      <c r="J7033" s="33"/>
    </row>
    <row r="7034" spans="10:10" ht="15" customHeight="1" x14ac:dyDescent="0.3">
      <c r="J7034" s="33"/>
    </row>
    <row r="7035" spans="10:10" ht="15" customHeight="1" x14ac:dyDescent="0.3">
      <c r="J7035" s="33"/>
    </row>
    <row r="7036" spans="10:10" ht="15" customHeight="1" x14ac:dyDescent="0.3">
      <c r="J7036" s="33"/>
    </row>
    <row r="7037" spans="10:10" ht="15" customHeight="1" x14ac:dyDescent="0.3">
      <c r="J7037" s="33"/>
    </row>
    <row r="7038" spans="10:10" ht="15" customHeight="1" x14ac:dyDescent="0.3">
      <c r="J7038" s="33"/>
    </row>
    <row r="7039" spans="10:10" ht="15" customHeight="1" x14ac:dyDescent="0.3">
      <c r="J7039" s="33"/>
    </row>
    <row r="7040" spans="10:10" ht="15" customHeight="1" x14ac:dyDescent="0.3">
      <c r="J7040" s="33"/>
    </row>
    <row r="7041" spans="10:10" ht="15" customHeight="1" x14ac:dyDescent="0.3">
      <c r="J7041" s="33"/>
    </row>
    <row r="7042" spans="10:10" ht="15" customHeight="1" x14ac:dyDescent="0.3">
      <c r="J7042" s="33"/>
    </row>
    <row r="7043" spans="10:10" ht="15" customHeight="1" x14ac:dyDescent="0.3">
      <c r="J7043" s="33"/>
    </row>
    <row r="7044" spans="10:10" ht="15" customHeight="1" x14ac:dyDescent="0.3">
      <c r="J7044" s="33"/>
    </row>
    <row r="7045" spans="10:10" ht="15" customHeight="1" x14ac:dyDescent="0.3">
      <c r="J7045" s="33"/>
    </row>
    <row r="7046" spans="10:10" ht="15" customHeight="1" x14ac:dyDescent="0.3">
      <c r="J7046" s="33"/>
    </row>
    <row r="7047" spans="10:10" ht="15" customHeight="1" x14ac:dyDescent="0.3">
      <c r="J7047" s="33"/>
    </row>
    <row r="7048" spans="10:10" ht="15" customHeight="1" x14ac:dyDescent="0.3">
      <c r="J7048" s="33"/>
    </row>
    <row r="7049" spans="10:10" ht="15" customHeight="1" x14ac:dyDescent="0.3">
      <c r="J7049" s="33"/>
    </row>
    <row r="7050" spans="10:10" ht="15" customHeight="1" x14ac:dyDescent="0.3">
      <c r="J7050" s="33"/>
    </row>
    <row r="7051" spans="10:10" ht="15" customHeight="1" x14ac:dyDescent="0.3">
      <c r="J7051" s="33"/>
    </row>
    <row r="7052" spans="10:10" ht="15" customHeight="1" x14ac:dyDescent="0.3">
      <c r="J7052" s="33"/>
    </row>
    <row r="7053" spans="10:10" ht="15" customHeight="1" x14ac:dyDescent="0.3">
      <c r="J7053" s="33"/>
    </row>
    <row r="7054" spans="10:10" ht="15" customHeight="1" x14ac:dyDescent="0.3">
      <c r="J7054" s="33"/>
    </row>
    <row r="7055" spans="10:10" ht="15" customHeight="1" x14ac:dyDescent="0.3">
      <c r="J7055" s="33"/>
    </row>
    <row r="7056" spans="10:10" ht="15" customHeight="1" x14ac:dyDescent="0.3">
      <c r="J7056" s="33"/>
    </row>
    <row r="7057" spans="10:10" ht="15" customHeight="1" x14ac:dyDescent="0.3">
      <c r="J7057" s="33"/>
    </row>
    <row r="7058" spans="10:10" ht="15" customHeight="1" x14ac:dyDescent="0.3">
      <c r="J7058" s="33"/>
    </row>
    <row r="7059" spans="10:10" ht="15" customHeight="1" x14ac:dyDescent="0.3">
      <c r="J7059" s="33"/>
    </row>
    <row r="7060" spans="10:10" ht="15" customHeight="1" x14ac:dyDescent="0.3">
      <c r="J7060" s="33"/>
    </row>
    <row r="7061" spans="10:10" ht="15" customHeight="1" x14ac:dyDescent="0.3">
      <c r="J7061" s="33"/>
    </row>
    <row r="7062" spans="10:10" ht="15" customHeight="1" x14ac:dyDescent="0.3">
      <c r="J7062" s="33"/>
    </row>
    <row r="7063" spans="10:10" ht="15" customHeight="1" x14ac:dyDescent="0.3">
      <c r="J7063" s="33"/>
    </row>
    <row r="7064" spans="10:10" ht="15" customHeight="1" x14ac:dyDescent="0.3">
      <c r="J7064" s="33"/>
    </row>
    <row r="7065" spans="10:10" ht="15" customHeight="1" x14ac:dyDescent="0.3">
      <c r="J7065" s="33"/>
    </row>
    <row r="7066" spans="10:10" ht="15" customHeight="1" x14ac:dyDescent="0.3">
      <c r="J7066" s="33"/>
    </row>
    <row r="7067" spans="10:10" ht="15" customHeight="1" x14ac:dyDescent="0.3">
      <c r="J7067" s="33"/>
    </row>
    <row r="7068" spans="10:10" ht="15" customHeight="1" x14ac:dyDescent="0.3">
      <c r="J7068" s="33"/>
    </row>
    <row r="7069" spans="10:10" ht="15" customHeight="1" x14ac:dyDescent="0.3">
      <c r="J7069" s="33"/>
    </row>
    <row r="7070" spans="10:10" ht="15" customHeight="1" x14ac:dyDescent="0.3">
      <c r="J7070" s="33"/>
    </row>
    <row r="7071" spans="10:10" ht="15" customHeight="1" x14ac:dyDescent="0.3">
      <c r="J7071" s="33"/>
    </row>
    <row r="7072" spans="10:10" ht="15" customHeight="1" x14ac:dyDescent="0.3">
      <c r="J7072" s="33"/>
    </row>
    <row r="7073" spans="10:10" ht="15" customHeight="1" x14ac:dyDescent="0.3">
      <c r="J7073" s="33"/>
    </row>
    <row r="7074" spans="10:10" ht="15" customHeight="1" x14ac:dyDescent="0.3">
      <c r="J7074" s="33"/>
    </row>
    <row r="7075" spans="10:10" ht="15" customHeight="1" x14ac:dyDescent="0.3">
      <c r="J7075" s="33"/>
    </row>
    <row r="7076" spans="10:10" ht="15" customHeight="1" x14ac:dyDescent="0.3">
      <c r="J7076" s="33"/>
    </row>
    <row r="7077" spans="10:10" ht="15" customHeight="1" x14ac:dyDescent="0.3">
      <c r="J7077" s="33"/>
    </row>
    <row r="7078" spans="10:10" ht="15" customHeight="1" x14ac:dyDescent="0.3">
      <c r="J7078" s="33"/>
    </row>
    <row r="7079" spans="10:10" ht="15" customHeight="1" x14ac:dyDescent="0.3">
      <c r="J7079" s="33"/>
    </row>
    <row r="7080" spans="10:10" ht="15" customHeight="1" x14ac:dyDescent="0.3">
      <c r="J7080" s="33"/>
    </row>
    <row r="7081" spans="10:10" ht="15" customHeight="1" x14ac:dyDescent="0.3">
      <c r="J7081" s="33"/>
    </row>
    <row r="7082" spans="10:10" ht="15" customHeight="1" x14ac:dyDescent="0.3">
      <c r="J7082" s="33"/>
    </row>
    <row r="7083" spans="10:10" ht="15" customHeight="1" x14ac:dyDescent="0.3">
      <c r="J7083" s="33"/>
    </row>
    <row r="7084" spans="10:10" ht="15" customHeight="1" x14ac:dyDescent="0.3">
      <c r="J7084" s="33"/>
    </row>
    <row r="7085" spans="10:10" ht="15" customHeight="1" x14ac:dyDescent="0.3">
      <c r="J7085" s="33"/>
    </row>
    <row r="7086" spans="10:10" ht="15" customHeight="1" x14ac:dyDescent="0.3">
      <c r="J7086" s="33"/>
    </row>
    <row r="7087" spans="10:10" ht="15" customHeight="1" x14ac:dyDescent="0.3">
      <c r="J7087" s="33"/>
    </row>
    <row r="7088" spans="10:10" ht="15" customHeight="1" x14ac:dyDescent="0.3">
      <c r="J7088" s="33"/>
    </row>
    <row r="7089" spans="10:10" ht="15" customHeight="1" x14ac:dyDescent="0.3">
      <c r="J7089" s="33"/>
    </row>
    <row r="7090" spans="10:10" ht="15" customHeight="1" x14ac:dyDescent="0.3">
      <c r="J7090" s="33"/>
    </row>
    <row r="7091" spans="10:10" ht="15" customHeight="1" x14ac:dyDescent="0.3">
      <c r="J7091" s="33"/>
    </row>
    <row r="7092" spans="10:10" ht="15" customHeight="1" x14ac:dyDescent="0.3">
      <c r="J7092" s="33"/>
    </row>
    <row r="7093" spans="10:10" ht="15" customHeight="1" x14ac:dyDescent="0.3">
      <c r="J7093" s="33"/>
    </row>
    <row r="7094" spans="10:10" ht="15" customHeight="1" x14ac:dyDescent="0.3">
      <c r="J7094" s="33"/>
    </row>
    <row r="7095" spans="10:10" ht="15" customHeight="1" x14ac:dyDescent="0.3">
      <c r="J7095" s="33"/>
    </row>
    <row r="7096" spans="10:10" ht="15" customHeight="1" x14ac:dyDescent="0.3">
      <c r="J7096" s="33"/>
    </row>
    <row r="7097" spans="10:10" ht="15" customHeight="1" x14ac:dyDescent="0.3">
      <c r="J7097" s="33"/>
    </row>
    <row r="7098" spans="10:10" ht="15" customHeight="1" x14ac:dyDescent="0.3">
      <c r="J7098" s="33"/>
    </row>
    <row r="7099" spans="10:10" ht="15" customHeight="1" x14ac:dyDescent="0.3">
      <c r="J7099" s="33"/>
    </row>
    <row r="7100" spans="10:10" ht="15" customHeight="1" x14ac:dyDescent="0.3">
      <c r="J7100" s="33"/>
    </row>
    <row r="7101" spans="10:10" ht="15" customHeight="1" x14ac:dyDescent="0.3">
      <c r="J7101" s="33"/>
    </row>
    <row r="7102" spans="10:10" ht="15" customHeight="1" x14ac:dyDescent="0.3">
      <c r="J7102" s="33"/>
    </row>
    <row r="7103" spans="10:10" ht="15" customHeight="1" x14ac:dyDescent="0.3">
      <c r="J7103" s="33"/>
    </row>
    <row r="7104" spans="10:10" ht="15" customHeight="1" x14ac:dyDescent="0.3">
      <c r="J7104" s="33"/>
    </row>
    <row r="7105" spans="10:10" ht="15" customHeight="1" x14ac:dyDescent="0.3">
      <c r="J7105" s="33"/>
    </row>
    <row r="7106" spans="10:10" ht="15" customHeight="1" x14ac:dyDescent="0.3">
      <c r="J7106" s="33"/>
    </row>
    <row r="7107" spans="10:10" ht="15" customHeight="1" x14ac:dyDescent="0.3">
      <c r="J7107" s="33"/>
    </row>
    <row r="7108" spans="10:10" ht="15" customHeight="1" x14ac:dyDescent="0.3">
      <c r="J7108" s="33"/>
    </row>
    <row r="7109" spans="10:10" ht="15" customHeight="1" x14ac:dyDescent="0.3">
      <c r="J7109" s="33"/>
    </row>
    <row r="7110" spans="10:10" ht="15" customHeight="1" x14ac:dyDescent="0.3">
      <c r="J7110" s="33"/>
    </row>
    <row r="7111" spans="10:10" ht="15" customHeight="1" x14ac:dyDescent="0.3">
      <c r="J7111" s="33"/>
    </row>
    <row r="7112" spans="10:10" ht="15" customHeight="1" x14ac:dyDescent="0.3">
      <c r="J7112" s="33"/>
    </row>
    <row r="7113" spans="10:10" ht="15" customHeight="1" x14ac:dyDescent="0.3">
      <c r="J7113" s="33"/>
    </row>
    <row r="7114" spans="10:10" ht="15" customHeight="1" x14ac:dyDescent="0.3">
      <c r="J7114" s="33"/>
    </row>
    <row r="7115" spans="10:10" ht="15" customHeight="1" x14ac:dyDescent="0.3">
      <c r="J7115" s="33"/>
    </row>
    <row r="7116" spans="10:10" ht="15" customHeight="1" x14ac:dyDescent="0.3">
      <c r="J7116" s="33"/>
    </row>
    <row r="7117" spans="10:10" ht="15" customHeight="1" x14ac:dyDescent="0.3">
      <c r="J7117" s="33"/>
    </row>
    <row r="7118" spans="10:10" ht="15" customHeight="1" x14ac:dyDescent="0.3">
      <c r="J7118" s="33"/>
    </row>
    <row r="7119" spans="10:10" ht="15" customHeight="1" x14ac:dyDescent="0.3">
      <c r="J7119" s="33"/>
    </row>
    <row r="7120" spans="10:10" ht="15" customHeight="1" x14ac:dyDescent="0.3">
      <c r="J7120" s="33"/>
    </row>
    <row r="7121" spans="10:10" ht="15" customHeight="1" x14ac:dyDescent="0.3">
      <c r="J7121" s="33"/>
    </row>
    <row r="7122" spans="10:10" ht="15" customHeight="1" x14ac:dyDescent="0.3">
      <c r="J7122" s="33"/>
    </row>
    <row r="7123" spans="10:10" ht="15" customHeight="1" x14ac:dyDescent="0.3">
      <c r="J7123" s="33"/>
    </row>
    <row r="7124" spans="10:10" ht="15" customHeight="1" x14ac:dyDescent="0.3">
      <c r="J7124" s="33"/>
    </row>
    <row r="7125" spans="10:10" ht="15" customHeight="1" x14ac:dyDescent="0.3">
      <c r="J7125" s="33"/>
    </row>
    <row r="7126" spans="10:10" ht="15" customHeight="1" x14ac:dyDescent="0.3">
      <c r="J7126" s="33"/>
    </row>
    <row r="7127" spans="10:10" ht="15" customHeight="1" x14ac:dyDescent="0.3">
      <c r="J7127" s="33"/>
    </row>
    <row r="7128" spans="10:10" ht="15" customHeight="1" x14ac:dyDescent="0.3">
      <c r="J7128" s="33"/>
    </row>
    <row r="7129" spans="10:10" ht="15" customHeight="1" x14ac:dyDescent="0.3">
      <c r="J7129" s="33"/>
    </row>
    <row r="7130" spans="10:10" ht="15" customHeight="1" x14ac:dyDescent="0.3">
      <c r="J7130" s="33"/>
    </row>
    <row r="7131" spans="10:10" ht="15" customHeight="1" x14ac:dyDescent="0.3">
      <c r="J7131" s="33"/>
    </row>
    <row r="7132" spans="10:10" ht="15" customHeight="1" x14ac:dyDescent="0.3">
      <c r="J7132" s="33"/>
    </row>
    <row r="7133" spans="10:10" ht="15" customHeight="1" x14ac:dyDescent="0.3">
      <c r="J7133" s="33"/>
    </row>
    <row r="7134" spans="10:10" ht="15" customHeight="1" x14ac:dyDescent="0.3">
      <c r="J7134" s="33"/>
    </row>
    <row r="7135" spans="10:10" ht="15" customHeight="1" x14ac:dyDescent="0.3">
      <c r="J7135" s="33"/>
    </row>
    <row r="7136" spans="10:10" ht="15" customHeight="1" x14ac:dyDescent="0.3">
      <c r="J7136" s="33"/>
    </row>
    <row r="7137" spans="10:10" ht="15" customHeight="1" x14ac:dyDescent="0.3">
      <c r="J7137" s="33"/>
    </row>
    <row r="7138" spans="10:10" ht="15" customHeight="1" x14ac:dyDescent="0.3">
      <c r="J7138" s="33"/>
    </row>
    <row r="7139" spans="10:10" ht="15" customHeight="1" x14ac:dyDescent="0.3">
      <c r="J7139" s="33"/>
    </row>
    <row r="7140" spans="10:10" ht="15" customHeight="1" x14ac:dyDescent="0.3">
      <c r="J7140" s="33"/>
    </row>
    <row r="7141" spans="10:10" ht="15" customHeight="1" x14ac:dyDescent="0.3">
      <c r="J7141" s="33"/>
    </row>
    <row r="7142" spans="10:10" ht="15" customHeight="1" x14ac:dyDescent="0.3">
      <c r="J7142" s="33"/>
    </row>
    <row r="7143" spans="10:10" ht="15" customHeight="1" x14ac:dyDescent="0.3">
      <c r="J7143" s="33"/>
    </row>
    <row r="7144" spans="10:10" ht="15" customHeight="1" x14ac:dyDescent="0.3">
      <c r="J7144" s="33"/>
    </row>
    <row r="7145" spans="10:10" ht="15" customHeight="1" x14ac:dyDescent="0.3">
      <c r="J7145" s="33"/>
    </row>
    <row r="7146" spans="10:10" ht="15" customHeight="1" x14ac:dyDescent="0.3">
      <c r="J7146" s="33"/>
    </row>
    <row r="7147" spans="10:10" ht="15" customHeight="1" x14ac:dyDescent="0.3">
      <c r="J7147" s="33"/>
    </row>
    <row r="7148" spans="10:10" ht="15" customHeight="1" x14ac:dyDescent="0.3">
      <c r="J7148" s="33"/>
    </row>
    <row r="7149" spans="10:10" ht="15" customHeight="1" x14ac:dyDescent="0.3">
      <c r="J7149" s="33"/>
    </row>
    <row r="7150" spans="10:10" ht="15" customHeight="1" x14ac:dyDescent="0.3">
      <c r="J7150" s="33"/>
    </row>
    <row r="7151" spans="10:10" ht="15" customHeight="1" x14ac:dyDescent="0.3">
      <c r="J7151" s="33"/>
    </row>
    <row r="7152" spans="10:10" ht="15" customHeight="1" x14ac:dyDescent="0.3">
      <c r="J7152" s="33"/>
    </row>
    <row r="7153" spans="10:10" ht="15" customHeight="1" x14ac:dyDescent="0.3">
      <c r="J7153" s="33"/>
    </row>
    <row r="7154" spans="10:10" ht="15" customHeight="1" x14ac:dyDescent="0.3">
      <c r="J7154" s="33"/>
    </row>
    <row r="7155" spans="10:10" ht="15" customHeight="1" x14ac:dyDescent="0.3">
      <c r="J7155" s="33"/>
    </row>
    <row r="7156" spans="10:10" ht="15" customHeight="1" x14ac:dyDescent="0.3">
      <c r="J7156" s="33"/>
    </row>
    <row r="7157" spans="10:10" ht="15" customHeight="1" x14ac:dyDescent="0.3">
      <c r="J7157" s="33"/>
    </row>
    <row r="7158" spans="10:10" ht="15" customHeight="1" x14ac:dyDescent="0.3">
      <c r="J7158" s="33"/>
    </row>
    <row r="7159" spans="10:10" ht="15" customHeight="1" x14ac:dyDescent="0.3">
      <c r="J7159" s="33"/>
    </row>
    <row r="7160" spans="10:10" ht="15" customHeight="1" x14ac:dyDescent="0.3">
      <c r="J7160" s="33"/>
    </row>
    <row r="7161" spans="10:10" ht="15" customHeight="1" x14ac:dyDescent="0.3">
      <c r="J7161" s="33"/>
    </row>
    <row r="7162" spans="10:10" ht="15" customHeight="1" x14ac:dyDescent="0.3">
      <c r="J7162" s="33"/>
    </row>
    <row r="7163" spans="10:10" ht="15" customHeight="1" x14ac:dyDescent="0.3">
      <c r="J7163" s="33"/>
    </row>
    <row r="7164" spans="10:10" ht="15" customHeight="1" x14ac:dyDescent="0.3">
      <c r="J7164" s="33"/>
    </row>
    <row r="7165" spans="10:10" ht="15" customHeight="1" x14ac:dyDescent="0.3">
      <c r="J7165" s="33"/>
    </row>
    <row r="7166" spans="10:10" ht="15" customHeight="1" x14ac:dyDescent="0.3">
      <c r="J7166" s="33"/>
    </row>
    <row r="7167" spans="10:10" ht="15" customHeight="1" x14ac:dyDescent="0.3">
      <c r="J7167" s="33"/>
    </row>
    <row r="7168" spans="10:10" ht="15" customHeight="1" x14ac:dyDescent="0.3">
      <c r="J7168" s="33"/>
    </row>
    <row r="7169" spans="10:10" ht="15" customHeight="1" x14ac:dyDescent="0.3">
      <c r="J7169" s="33"/>
    </row>
    <row r="7170" spans="10:10" ht="15" customHeight="1" x14ac:dyDescent="0.3">
      <c r="J7170" s="33"/>
    </row>
    <row r="7171" spans="10:10" ht="15" customHeight="1" x14ac:dyDescent="0.3">
      <c r="J7171" s="33"/>
    </row>
    <row r="7172" spans="10:10" ht="15" customHeight="1" x14ac:dyDescent="0.3">
      <c r="J7172" s="33"/>
    </row>
    <row r="7173" spans="10:10" ht="15" customHeight="1" x14ac:dyDescent="0.3">
      <c r="J7173" s="33"/>
    </row>
    <row r="7174" spans="10:10" ht="15" customHeight="1" x14ac:dyDescent="0.3">
      <c r="J7174" s="33"/>
    </row>
    <row r="7175" spans="10:10" ht="15" customHeight="1" x14ac:dyDescent="0.3">
      <c r="J7175" s="33"/>
    </row>
    <row r="7176" spans="10:10" ht="15" customHeight="1" x14ac:dyDescent="0.3">
      <c r="J7176" s="33"/>
    </row>
    <row r="7177" spans="10:10" ht="15" customHeight="1" x14ac:dyDescent="0.3">
      <c r="J7177" s="33"/>
    </row>
    <row r="7178" spans="10:10" ht="15" customHeight="1" x14ac:dyDescent="0.3">
      <c r="J7178" s="33"/>
    </row>
    <row r="7179" spans="10:10" ht="15" customHeight="1" x14ac:dyDescent="0.3">
      <c r="J7179" s="33"/>
    </row>
    <row r="7180" spans="10:10" ht="15" customHeight="1" x14ac:dyDescent="0.3">
      <c r="J7180" s="33"/>
    </row>
    <row r="7181" spans="10:10" ht="15" customHeight="1" x14ac:dyDescent="0.3">
      <c r="J7181" s="33"/>
    </row>
    <row r="7182" spans="10:10" ht="15" customHeight="1" x14ac:dyDescent="0.3">
      <c r="J7182" s="33"/>
    </row>
    <row r="7183" spans="10:10" ht="15" customHeight="1" x14ac:dyDescent="0.3">
      <c r="J7183" s="33"/>
    </row>
    <row r="7184" spans="10:10" ht="15" customHeight="1" x14ac:dyDescent="0.3">
      <c r="J7184" s="33"/>
    </row>
    <row r="7185" spans="10:10" ht="15" customHeight="1" x14ac:dyDescent="0.3">
      <c r="J7185" s="33"/>
    </row>
    <row r="7186" spans="10:10" ht="15" customHeight="1" x14ac:dyDescent="0.3">
      <c r="J7186" s="33"/>
    </row>
    <row r="7187" spans="10:10" ht="15" customHeight="1" x14ac:dyDescent="0.3">
      <c r="J7187" s="33"/>
    </row>
    <row r="7188" spans="10:10" ht="15" customHeight="1" x14ac:dyDescent="0.3">
      <c r="J7188" s="33"/>
    </row>
    <row r="7189" spans="10:10" ht="15" customHeight="1" x14ac:dyDescent="0.3">
      <c r="J7189" s="33"/>
    </row>
    <row r="7190" spans="10:10" ht="15" customHeight="1" x14ac:dyDescent="0.3">
      <c r="J7190" s="33"/>
    </row>
    <row r="7191" spans="10:10" ht="15" customHeight="1" x14ac:dyDescent="0.3">
      <c r="J7191" s="33"/>
    </row>
    <row r="7192" spans="10:10" ht="15" customHeight="1" x14ac:dyDescent="0.3">
      <c r="J7192" s="33"/>
    </row>
    <row r="7193" spans="10:10" ht="15" customHeight="1" x14ac:dyDescent="0.3">
      <c r="J7193" s="33"/>
    </row>
    <row r="7194" spans="10:10" ht="15" customHeight="1" x14ac:dyDescent="0.3">
      <c r="J7194" s="33"/>
    </row>
    <row r="7195" spans="10:10" ht="15" customHeight="1" x14ac:dyDescent="0.3">
      <c r="J7195" s="33"/>
    </row>
    <row r="7196" spans="10:10" ht="15" customHeight="1" x14ac:dyDescent="0.3">
      <c r="J7196" s="33"/>
    </row>
    <row r="7197" spans="10:10" ht="15" customHeight="1" x14ac:dyDescent="0.3">
      <c r="J7197" s="33"/>
    </row>
    <row r="7198" spans="10:10" ht="15" customHeight="1" x14ac:dyDescent="0.3">
      <c r="J7198" s="33"/>
    </row>
    <row r="7199" spans="10:10" ht="15" customHeight="1" x14ac:dyDescent="0.3">
      <c r="J7199" s="33"/>
    </row>
    <row r="7200" spans="10:10" ht="15" customHeight="1" x14ac:dyDescent="0.3">
      <c r="J7200" s="33"/>
    </row>
    <row r="7201" spans="10:10" ht="15" customHeight="1" x14ac:dyDescent="0.3">
      <c r="J7201" s="33"/>
    </row>
    <row r="7202" spans="10:10" ht="15" customHeight="1" x14ac:dyDescent="0.3">
      <c r="J7202" s="33"/>
    </row>
    <row r="7203" spans="10:10" ht="15" customHeight="1" x14ac:dyDescent="0.3">
      <c r="J7203" s="33"/>
    </row>
    <row r="7204" spans="10:10" ht="15" customHeight="1" x14ac:dyDescent="0.3">
      <c r="J7204" s="33"/>
    </row>
    <row r="7205" spans="10:10" ht="15" customHeight="1" x14ac:dyDescent="0.3">
      <c r="J7205" s="33"/>
    </row>
    <row r="7206" spans="10:10" ht="15" customHeight="1" x14ac:dyDescent="0.3">
      <c r="J7206" s="33"/>
    </row>
    <row r="7207" spans="10:10" ht="15" customHeight="1" x14ac:dyDescent="0.3">
      <c r="J7207" s="33"/>
    </row>
    <row r="7208" spans="10:10" ht="15" customHeight="1" x14ac:dyDescent="0.3">
      <c r="J7208" s="33"/>
    </row>
    <row r="7209" spans="10:10" ht="15" customHeight="1" x14ac:dyDescent="0.3">
      <c r="J7209" s="33"/>
    </row>
    <row r="7210" spans="10:10" ht="15" customHeight="1" x14ac:dyDescent="0.3">
      <c r="J7210" s="33"/>
    </row>
    <row r="7211" spans="10:10" ht="15" customHeight="1" x14ac:dyDescent="0.3">
      <c r="J7211" s="33"/>
    </row>
    <row r="7212" spans="10:10" ht="15" customHeight="1" x14ac:dyDescent="0.3">
      <c r="J7212" s="33"/>
    </row>
    <row r="7213" spans="10:10" ht="15" customHeight="1" x14ac:dyDescent="0.3">
      <c r="J7213" s="33"/>
    </row>
    <row r="7214" spans="10:10" ht="15" customHeight="1" x14ac:dyDescent="0.3">
      <c r="J7214" s="33"/>
    </row>
    <row r="7215" spans="10:10" ht="15" customHeight="1" x14ac:dyDescent="0.3">
      <c r="J7215" s="33"/>
    </row>
    <row r="7216" spans="10:10" ht="15" customHeight="1" x14ac:dyDescent="0.3">
      <c r="J7216" s="33"/>
    </row>
    <row r="7217" spans="10:10" ht="15" customHeight="1" x14ac:dyDescent="0.3">
      <c r="J7217" s="33"/>
    </row>
    <row r="7218" spans="10:10" ht="15" customHeight="1" x14ac:dyDescent="0.3">
      <c r="J7218" s="33"/>
    </row>
    <row r="7219" spans="10:10" ht="15" customHeight="1" x14ac:dyDescent="0.3">
      <c r="J7219" s="33"/>
    </row>
    <row r="7220" spans="10:10" ht="15" customHeight="1" x14ac:dyDescent="0.3">
      <c r="J7220" s="33"/>
    </row>
    <row r="7221" spans="10:10" ht="15" customHeight="1" x14ac:dyDescent="0.3">
      <c r="J7221" s="33"/>
    </row>
    <row r="7222" spans="10:10" ht="15" customHeight="1" x14ac:dyDescent="0.3">
      <c r="J7222" s="33"/>
    </row>
    <row r="7223" spans="10:10" ht="15" customHeight="1" x14ac:dyDescent="0.3">
      <c r="J7223" s="33"/>
    </row>
    <row r="7224" spans="10:10" ht="15" customHeight="1" x14ac:dyDescent="0.3">
      <c r="J7224" s="33"/>
    </row>
    <row r="7225" spans="10:10" ht="15" customHeight="1" x14ac:dyDescent="0.3">
      <c r="J7225" s="33"/>
    </row>
    <row r="7226" spans="10:10" ht="15" customHeight="1" x14ac:dyDescent="0.3">
      <c r="J7226" s="33"/>
    </row>
    <row r="7227" spans="10:10" ht="15" customHeight="1" x14ac:dyDescent="0.3">
      <c r="J7227" s="33"/>
    </row>
    <row r="7228" spans="10:10" ht="15" customHeight="1" x14ac:dyDescent="0.3">
      <c r="J7228" s="33"/>
    </row>
    <row r="7229" spans="10:10" ht="15" customHeight="1" x14ac:dyDescent="0.3">
      <c r="J7229" s="33"/>
    </row>
    <row r="7230" spans="10:10" ht="15" customHeight="1" x14ac:dyDescent="0.3">
      <c r="J7230" s="33"/>
    </row>
    <row r="7231" spans="10:10" ht="15" customHeight="1" x14ac:dyDescent="0.3">
      <c r="J7231" s="33"/>
    </row>
    <row r="7232" spans="10:10" ht="15" customHeight="1" x14ac:dyDescent="0.3">
      <c r="J7232" s="33"/>
    </row>
    <row r="7233" spans="10:10" ht="15" customHeight="1" x14ac:dyDescent="0.3">
      <c r="J7233" s="33"/>
    </row>
    <row r="7234" spans="10:10" ht="15" customHeight="1" x14ac:dyDescent="0.3">
      <c r="J7234" s="33"/>
    </row>
    <row r="7235" spans="10:10" ht="15" customHeight="1" x14ac:dyDescent="0.3">
      <c r="J7235" s="33"/>
    </row>
    <row r="7236" spans="10:10" ht="15" customHeight="1" x14ac:dyDescent="0.3">
      <c r="J7236" s="33"/>
    </row>
    <row r="7237" spans="10:10" ht="15" customHeight="1" x14ac:dyDescent="0.3">
      <c r="J7237" s="33"/>
    </row>
    <row r="7238" spans="10:10" ht="15" customHeight="1" x14ac:dyDescent="0.3">
      <c r="J7238" s="33"/>
    </row>
    <row r="7239" spans="10:10" ht="15" customHeight="1" x14ac:dyDescent="0.3">
      <c r="J7239" s="33"/>
    </row>
    <row r="7240" spans="10:10" ht="15" customHeight="1" x14ac:dyDescent="0.3">
      <c r="J7240" s="33"/>
    </row>
    <row r="7241" spans="10:10" ht="15" customHeight="1" x14ac:dyDescent="0.3">
      <c r="J7241" s="33"/>
    </row>
    <row r="7242" spans="10:10" ht="15" customHeight="1" x14ac:dyDescent="0.3">
      <c r="J7242" s="33"/>
    </row>
    <row r="7243" spans="10:10" ht="15" customHeight="1" x14ac:dyDescent="0.3">
      <c r="J7243" s="33"/>
    </row>
    <row r="7244" spans="10:10" ht="15" customHeight="1" x14ac:dyDescent="0.3">
      <c r="J7244" s="33"/>
    </row>
    <row r="7245" spans="10:10" ht="15" customHeight="1" x14ac:dyDescent="0.3">
      <c r="J7245" s="33"/>
    </row>
    <row r="7246" spans="10:10" ht="15" customHeight="1" x14ac:dyDescent="0.3">
      <c r="J7246" s="33"/>
    </row>
    <row r="7247" spans="10:10" ht="15" customHeight="1" x14ac:dyDescent="0.3">
      <c r="J7247" s="33"/>
    </row>
    <row r="7248" spans="10:10" ht="15" customHeight="1" x14ac:dyDescent="0.3">
      <c r="J7248" s="33"/>
    </row>
    <row r="7249" spans="10:10" ht="15" customHeight="1" x14ac:dyDescent="0.3">
      <c r="J7249" s="33"/>
    </row>
    <row r="7250" spans="10:10" ht="15" customHeight="1" x14ac:dyDescent="0.3">
      <c r="J7250" s="33"/>
    </row>
    <row r="7251" spans="10:10" ht="15" customHeight="1" x14ac:dyDescent="0.3">
      <c r="J7251" s="33"/>
    </row>
    <row r="7252" spans="10:10" ht="15" customHeight="1" x14ac:dyDescent="0.3">
      <c r="J7252" s="33"/>
    </row>
    <row r="7253" spans="10:10" ht="15" customHeight="1" x14ac:dyDescent="0.3">
      <c r="J7253" s="33"/>
    </row>
    <row r="7254" spans="10:10" ht="15" customHeight="1" x14ac:dyDescent="0.3">
      <c r="J7254" s="33"/>
    </row>
    <row r="7255" spans="10:10" ht="15" customHeight="1" x14ac:dyDescent="0.3">
      <c r="J7255" s="33"/>
    </row>
    <row r="7256" spans="10:10" ht="15" customHeight="1" x14ac:dyDescent="0.3">
      <c r="J7256" s="33"/>
    </row>
    <row r="7257" spans="10:10" ht="15" customHeight="1" x14ac:dyDescent="0.3">
      <c r="J7257" s="33"/>
    </row>
    <row r="7258" spans="10:10" ht="15" customHeight="1" x14ac:dyDescent="0.3">
      <c r="J7258" s="33"/>
    </row>
    <row r="7259" spans="10:10" ht="15" customHeight="1" x14ac:dyDescent="0.3">
      <c r="J7259" s="33"/>
    </row>
    <row r="7260" spans="10:10" ht="15" customHeight="1" x14ac:dyDescent="0.3">
      <c r="J7260" s="33"/>
    </row>
    <row r="7261" spans="10:10" ht="15" customHeight="1" x14ac:dyDescent="0.3">
      <c r="J7261" s="33"/>
    </row>
    <row r="7262" spans="10:10" ht="15" customHeight="1" x14ac:dyDescent="0.3">
      <c r="J7262" s="33"/>
    </row>
    <row r="7263" spans="10:10" ht="15" customHeight="1" x14ac:dyDescent="0.3">
      <c r="J7263" s="33"/>
    </row>
    <row r="7264" spans="10:10" ht="15" customHeight="1" x14ac:dyDescent="0.3">
      <c r="J7264" s="33"/>
    </row>
    <row r="7265" spans="10:10" ht="15" customHeight="1" x14ac:dyDescent="0.3">
      <c r="J7265" s="33"/>
    </row>
    <row r="7266" spans="10:10" ht="15" customHeight="1" x14ac:dyDescent="0.3">
      <c r="J7266" s="33"/>
    </row>
    <row r="7267" spans="10:10" ht="15" customHeight="1" x14ac:dyDescent="0.3">
      <c r="J7267" s="33"/>
    </row>
    <row r="7268" spans="10:10" ht="15" customHeight="1" x14ac:dyDescent="0.3">
      <c r="J7268" s="33"/>
    </row>
    <row r="7269" spans="10:10" ht="15" customHeight="1" x14ac:dyDescent="0.3">
      <c r="J7269" s="33"/>
    </row>
    <row r="7270" spans="10:10" ht="15" customHeight="1" x14ac:dyDescent="0.3">
      <c r="J7270" s="33"/>
    </row>
    <row r="7271" spans="10:10" ht="15" customHeight="1" x14ac:dyDescent="0.3">
      <c r="J7271" s="33"/>
    </row>
    <row r="7272" spans="10:10" ht="15" customHeight="1" x14ac:dyDescent="0.3">
      <c r="J7272" s="33"/>
    </row>
    <row r="7273" spans="10:10" ht="15" customHeight="1" x14ac:dyDescent="0.3">
      <c r="J7273" s="33"/>
    </row>
    <row r="7274" spans="10:10" ht="15" customHeight="1" x14ac:dyDescent="0.3">
      <c r="J7274" s="33"/>
    </row>
    <row r="7275" spans="10:10" ht="15" customHeight="1" x14ac:dyDescent="0.3">
      <c r="J7275" s="33"/>
    </row>
    <row r="7276" spans="10:10" ht="15" customHeight="1" x14ac:dyDescent="0.3">
      <c r="J7276" s="33"/>
    </row>
    <row r="7277" spans="10:10" ht="15" customHeight="1" x14ac:dyDescent="0.3">
      <c r="J7277" s="33"/>
    </row>
    <row r="7278" spans="10:10" ht="15" customHeight="1" x14ac:dyDescent="0.3">
      <c r="J7278" s="33"/>
    </row>
    <row r="7279" spans="10:10" ht="15" customHeight="1" x14ac:dyDescent="0.3">
      <c r="J7279" s="33"/>
    </row>
    <row r="7280" spans="10:10" ht="15" customHeight="1" x14ac:dyDescent="0.3">
      <c r="J7280" s="33"/>
    </row>
    <row r="7281" spans="10:10" ht="15" customHeight="1" x14ac:dyDescent="0.3">
      <c r="J7281" s="33"/>
    </row>
    <row r="7282" spans="10:10" ht="15" customHeight="1" x14ac:dyDescent="0.3">
      <c r="J7282" s="33"/>
    </row>
    <row r="7283" spans="10:10" ht="15" customHeight="1" x14ac:dyDescent="0.3">
      <c r="J7283" s="33"/>
    </row>
    <row r="7284" spans="10:10" ht="15" customHeight="1" x14ac:dyDescent="0.3">
      <c r="J7284" s="33"/>
    </row>
    <row r="7285" spans="10:10" ht="15" customHeight="1" x14ac:dyDescent="0.3">
      <c r="J7285" s="33"/>
    </row>
    <row r="7286" spans="10:10" ht="15" customHeight="1" x14ac:dyDescent="0.3">
      <c r="J7286" s="33"/>
    </row>
    <row r="7287" spans="10:10" ht="15" customHeight="1" x14ac:dyDescent="0.3">
      <c r="J7287" s="33"/>
    </row>
    <row r="7288" spans="10:10" ht="15" customHeight="1" x14ac:dyDescent="0.3">
      <c r="J7288" s="33"/>
    </row>
    <row r="7289" spans="10:10" ht="15" customHeight="1" x14ac:dyDescent="0.3">
      <c r="J7289" s="33"/>
    </row>
    <row r="7290" spans="10:10" ht="15" customHeight="1" x14ac:dyDescent="0.3">
      <c r="J7290" s="33"/>
    </row>
    <row r="7291" spans="10:10" ht="15" customHeight="1" x14ac:dyDescent="0.3">
      <c r="J7291" s="33"/>
    </row>
    <row r="7292" spans="10:10" ht="15" customHeight="1" x14ac:dyDescent="0.3">
      <c r="J7292" s="33"/>
    </row>
    <row r="7293" spans="10:10" ht="15" customHeight="1" x14ac:dyDescent="0.3">
      <c r="J7293" s="33"/>
    </row>
    <row r="7294" spans="10:10" ht="15" customHeight="1" x14ac:dyDescent="0.3">
      <c r="J7294" s="33"/>
    </row>
    <row r="7295" spans="10:10" ht="15" customHeight="1" x14ac:dyDescent="0.3">
      <c r="J7295" s="33"/>
    </row>
    <row r="7296" spans="10:10" ht="15" customHeight="1" x14ac:dyDescent="0.3">
      <c r="J7296" s="33"/>
    </row>
    <row r="7297" spans="10:10" ht="15" customHeight="1" x14ac:dyDescent="0.3">
      <c r="J7297" s="33"/>
    </row>
    <row r="7298" spans="10:10" ht="15" customHeight="1" x14ac:dyDescent="0.3">
      <c r="J7298" s="33"/>
    </row>
    <row r="7299" spans="10:10" ht="15" customHeight="1" x14ac:dyDescent="0.3">
      <c r="J7299" s="33"/>
    </row>
    <row r="7300" spans="10:10" ht="15" customHeight="1" x14ac:dyDescent="0.3">
      <c r="J7300" s="33"/>
    </row>
    <row r="7301" spans="10:10" ht="15" customHeight="1" x14ac:dyDescent="0.3">
      <c r="J7301" s="33"/>
    </row>
    <row r="7302" spans="10:10" ht="15" customHeight="1" x14ac:dyDescent="0.3">
      <c r="J7302" s="33"/>
    </row>
    <row r="7303" spans="10:10" ht="15" customHeight="1" x14ac:dyDescent="0.3">
      <c r="J7303" s="33"/>
    </row>
    <row r="7304" spans="10:10" ht="15" customHeight="1" x14ac:dyDescent="0.3">
      <c r="J7304" s="33"/>
    </row>
    <row r="7305" spans="10:10" ht="15" customHeight="1" x14ac:dyDescent="0.3">
      <c r="J7305" s="33"/>
    </row>
    <row r="7306" spans="10:10" ht="15" customHeight="1" x14ac:dyDescent="0.3">
      <c r="J7306" s="33"/>
    </row>
    <row r="7307" spans="10:10" ht="15" customHeight="1" x14ac:dyDescent="0.3">
      <c r="J7307" s="33"/>
    </row>
    <row r="7308" spans="10:10" ht="15" customHeight="1" x14ac:dyDescent="0.3">
      <c r="J7308" s="33"/>
    </row>
    <row r="7309" spans="10:10" ht="15" customHeight="1" x14ac:dyDescent="0.3">
      <c r="J7309" s="33"/>
    </row>
    <row r="7310" spans="10:10" ht="15" customHeight="1" x14ac:dyDescent="0.3">
      <c r="J7310" s="33"/>
    </row>
    <row r="7311" spans="10:10" ht="15" customHeight="1" x14ac:dyDescent="0.3">
      <c r="J7311" s="33"/>
    </row>
    <row r="7312" spans="10:10" ht="15" customHeight="1" x14ac:dyDescent="0.3">
      <c r="J7312" s="33"/>
    </row>
    <row r="7313" spans="10:10" ht="15" customHeight="1" x14ac:dyDescent="0.3">
      <c r="J7313" s="33"/>
    </row>
    <row r="7314" spans="10:10" ht="15" customHeight="1" x14ac:dyDescent="0.3">
      <c r="J7314" s="33"/>
    </row>
    <row r="7315" spans="10:10" ht="15" customHeight="1" x14ac:dyDescent="0.3">
      <c r="J7315" s="33"/>
    </row>
    <row r="7316" spans="10:10" ht="15" customHeight="1" x14ac:dyDescent="0.3">
      <c r="J7316" s="33"/>
    </row>
    <row r="7317" spans="10:10" ht="15" customHeight="1" x14ac:dyDescent="0.3">
      <c r="J7317" s="33"/>
    </row>
    <row r="7318" spans="10:10" ht="15" customHeight="1" x14ac:dyDescent="0.3">
      <c r="J7318" s="33"/>
    </row>
    <row r="7319" spans="10:10" ht="15" customHeight="1" x14ac:dyDescent="0.3">
      <c r="J7319" s="33"/>
    </row>
    <row r="7320" spans="10:10" ht="15" customHeight="1" x14ac:dyDescent="0.3">
      <c r="J7320" s="33"/>
    </row>
    <row r="7321" spans="10:10" ht="15" customHeight="1" x14ac:dyDescent="0.3">
      <c r="J7321" s="33"/>
    </row>
    <row r="7322" spans="10:10" ht="15" customHeight="1" x14ac:dyDescent="0.3">
      <c r="J7322" s="33"/>
    </row>
    <row r="7323" spans="10:10" ht="15" customHeight="1" x14ac:dyDescent="0.3">
      <c r="J7323" s="33"/>
    </row>
    <row r="7324" spans="10:10" ht="15" customHeight="1" x14ac:dyDescent="0.3">
      <c r="J7324" s="33"/>
    </row>
    <row r="7325" spans="10:10" ht="15" customHeight="1" x14ac:dyDescent="0.3">
      <c r="J7325" s="33"/>
    </row>
    <row r="7326" spans="10:10" ht="15" customHeight="1" x14ac:dyDescent="0.3">
      <c r="J7326" s="33"/>
    </row>
    <row r="7327" spans="10:10" ht="15" customHeight="1" x14ac:dyDescent="0.3">
      <c r="J7327" s="33"/>
    </row>
    <row r="7328" spans="10:10" ht="15" customHeight="1" x14ac:dyDescent="0.3">
      <c r="J7328" s="33"/>
    </row>
    <row r="7329" spans="10:10" ht="15" customHeight="1" x14ac:dyDescent="0.3">
      <c r="J7329" s="33"/>
    </row>
    <row r="7330" spans="10:10" ht="15" customHeight="1" x14ac:dyDescent="0.3">
      <c r="J7330" s="33"/>
    </row>
    <row r="7331" spans="10:10" ht="15" customHeight="1" x14ac:dyDescent="0.3">
      <c r="J7331" s="33"/>
    </row>
    <row r="7332" spans="10:10" ht="15" customHeight="1" x14ac:dyDescent="0.3">
      <c r="J7332" s="33"/>
    </row>
    <row r="7333" spans="10:10" ht="15" customHeight="1" x14ac:dyDescent="0.3">
      <c r="J7333" s="33"/>
    </row>
    <row r="7334" spans="10:10" ht="15" customHeight="1" x14ac:dyDescent="0.3">
      <c r="J7334" s="33"/>
    </row>
    <row r="7335" spans="10:10" ht="15" customHeight="1" x14ac:dyDescent="0.3">
      <c r="J7335" s="33"/>
    </row>
    <row r="7336" spans="10:10" ht="15" customHeight="1" x14ac:dyDescent="0.3">
      <c r="J7336" s="33"/>
    </row>
    <row r="7337" spans="10:10" ht="15" customHeight="1" x14ac:dyDescent="0.3">
      <c r="J7337" s="33"/>
    </row>
    <row r="7338" spans="10:10" ht="15" customHeight="1" x14ac:dyDescent="0.3">
      <c r="J7338" s="33"/>
    </row>
    <row r="7339" spans="10:10" ht="15" customHeight="1" x14ac:dyDescent="0.3">
      <c r="J7339" s="33"/>
    </row>
    <row r="7340" spans="10:10" ht="15" customHeight="1" x14ac:dyDescent="0.3">
      <c r="J7340" s="33"/>
    </row>
    <row r="7341" spans="10:10" ht="15" customHeight="1" x14ac:dyDescent="0.3">
      <c r="J7341" s="33"/>
    </row>
    <row r="7342" spans="10:10" ht="15" customHeight="1" x14ac:dyDescent="0.3">
      <c r="J7342" s="33"/>
    </row>
    <row r="7343" spans="10:10" ht="15" customHeight="1" x14ac:dyDescent="0.3">
      <c r="J7343" s="33"/>
    </row>
    <row r="7344" spans="10:10" ht="15" customHeight="1" x14ac:dyDescent="0.3">
      <c r="J7344" s="33"/>
    </row>
    <row r="7345" spans="10:10" ht="15" customHeight="1" x14ac:dyDescent="0.3">
      <c r="J7345" s="33"/>
    </row>
    <row r="7346" spans="10:10" ht="15" customHeight="1" x14ac:dyDescent="0.3">
      <c r="J7346" s="33"/>
    </row>
    <row r="7347" spans="10:10" ht="15" customHeight="1" x14ac:dyDescent="0.3">
      <c r="J7347" s="33"/>
    </row>
    <row r="7348" spans="10:10" ht="15" customHeight="1" x14ac:dyDescent="0.3">
      <c r="J7348" s="33"/>
    </row>
    <row r="7349" spans="10:10" ht="15" customHeight="1" x14ac:dyDescent="0.3">
      <c r="J7349" s="33"/>
    </row>
    <row r="7350" spans="10:10" ht="15" customHeight="1" x14ac:dyDescent="0.3">
      <c r="J7350" s="33"/>
    </row>
    <row r="7351" spans="10:10" ht="15" customHeight="1" x14ac:dyDescent="0.3">
      <c r="J7351" s="33"/>
    </row>
    <row r="7352" spans="10:10" ht="15" customHeight="1" x14ac:dyDescent="0.3">
      <c r="J7352" s="33"/>
    </row>
    <row r="7353" spans="10:10" ht="15" customHeight="1" x14ac:dyDescent="0.3">
      <c r="J7353" s="33"/>
    </row>
    <row r="7354" spans="10:10" ht="15" customHeight="1" x14ac:dyDescent="0.3">
      <c r="J7354" s="33"/>
    </row>
    <row r="7355" spans="10:10" ht="15" customHeight="1" x14ac:dyDescent="0.3">
      <c r="J7355" s="33"/>
    </row>
    <row r="7356" spans="10:10" ht="15" customHeight="1" x14ac:dyDescent="0.3">
      <c r="J7356" s="33"/>
    </row>
    <row r="7357" spans="10:10" ht="15" customHeight="1" x14ac:dyDescent="0.3">
      <c r="J7357" s="33"/>
    </row>
    <row r="7358" spans="10:10" ht="15" customHeight="1" x14ac:dyDescent="0.3">
      <c r="J7358" s="33"/>
    </row>
    <row r="7359" spans="10:10" ht="15" customHeight="1" x14ac:dyDescent="0.3">
      <c r="J7359" s="33"/>
    </row>
    <row r="7360" spans="10:10" ht="15" customHeight="1" x14ac:dyDescent="0.3">
      <c r="J7360" s="33"/>
    </row>
    <row r="7361" spans="10:10" ht="15" customHeight="1" x14ac:dyDescent="0.3">
      <c r="J7361" s="33"/>
    </row>
    <row r="7362" spans="10:10" ht="15" customHeight="1" x14ac:dyDescent="0.3">
      <c r="J7362" s="33"/>
    </row>
    <row r="7363" spans="10:10" ht="15" customHeight="1" x14ac:dyDescent="0.3">
      <c r="J7363" s="33"/>
    </row>
    <row r="7364" spans="10:10" ht="15" customHeight="1" x14ac:dyDescent="0.3">
      <c r="J7364" s="33"/>
    </row>
    <row r="7365" spans="10:10" ht="15" customHeight="1" x14ac:dyDescent="0.3">
      <c r="J7365" s="33"/>
    </row>
    <row r="7366" spans="10:10" ht="15" customHeight="1" x14ac:dyDescent="0.3">
      <c r="J7366" s="33"/>
    </row>
    <row r="7367" spans="10:10" ht="15" customHeight="1" x14ac:dyDescent="0.3">
      <c r="J7367" s="33"/>
    </row>
    <row r="7368" spans="10:10" ht="15" customHeight="1" x14ac:dyDescent="0.3">
      <c r="J7368" s="33"/>
    </row>
    <row r="7369" spans="10:10" ht="15" customHeight="1" x14ac:dyDescent="0.3">
      <c r="J7369" s="33"/>
    </row>
    <row r="7370" spans="10:10" ht="15" customHeight="1" x14ac:dyDescent="0.3">
      <c r="J7370" s="33"/>
    </row>
    <row r="7371" spans="10:10" ht="15" customHeight="1" x14ac:dyDescent="0.3">
      <c r="J7371" s="33"/>
    </row>
    <row r="7372" spans="10:10" ht="15" customHeight="1" x14ac:dyDescent="0.3">
      <c r="J7372" s="33"/>
    </row>
    <row r="7373" spans="10:10" ht="15" customHeight="1" x14ac:dyDescent="0.3">
      <c r="J7373" s="33"/>
    </row>
    <row r="7374" spans="10:10" ht="15" customHeight="1" x14ac:dyDescent="0.3">
      <c r="J7374" s="33"/>
    </row>
    <row r="7375" spans="10:10" ht="15" customHeight="1" x14ac:dyDescent="0.3">
      <c r="J7375" s="33"/>
    </row>
    <row r="7376" spans="10:10" ht="15" customHeight="1" x14ac:dyDescent="0.3">
      <c r="J7376" s="33"/>
    </row>
    <row r="7377" spans="10:10" ht="15" customHeight="1" x14ac:dyDescent="0.3">
      <c r="J7377" s="33"/>
    </row>
    <row r="7378" spans="10:10" ht="15" customHeight="1" x14ac:dyDescent="0.3">
      <c r="J7378" s="33"/>
    </row>
    <row r="7379" spans="10:10" ht="15" customHeight="1" x14ac:dyDescent="0.3">
      <c r="J7379" s="33"/>
    </row>
    <row r="7380" spans="10:10" ht="15" customHeight="1" x14ac:dyDescent="0.3">
      <c r="J7380" s="33"/>
    </row>
    <row r="7381" spans="10:10" ht="15" customHeight="1" x14ac:dyDescent="0.3">
      <c r="J7381" s="33"/>
    </row>
    <row r="7382" spans="10:10" ht="15" customHeight="1" x14ac:dyDescent="0.3">
      <c r="J7382" s="33"/>
    </row>
    <row r="7383" spans="10:10" ht="15" customHeight="1" x14ac:dyDescent="0.3">
      <c r="J7383" s="33"/>
    </row>
    <row r="7384" spans="10:10" ht="15" customHeight="1" x14ac:dyDescent="0.3">
      <c r="J7384" s="33"/>
    </row>
    <row r="7385" spans="10:10" ht="15" customHeight="1" x14ac:dyDescent="0.3">
      <c r="J7385" s="33"/>
    </row>
    <row r="7386" spans="10:10" ht="15" customHeight="1" x14ac:dyDescent="0.3">
      <c r="J7386" s="33"/>
    </row>
    <row r="7387" spans="10:10" ht="15" customHeight="1" x14ac:dyDescent="0.3">
      <c r="J7387" s="33"/>
    </row>
    <row r="7388" spans="10:10" ht="15" customHeight="1" x14ac:dyDescent="0.3">
      <c r="J7388" s="33"/>
    </row>
    <row r="7389" spans="10:10" ht="15" customHeight="1" x14ac:dyDescent="0.3">
      <c r="J7389" s="33"/>
    </row>
    <row r="7390" spans="10:10" ht="15" customHeight="1" x14ac:dyDescent="0.3">
      <c r="J7390" s="33"/>
    </row>
    <row r="7391" spans="10:10" ht="15" customHeight="1" x14ac:dyDescent="0.3">
      <c r="J7391" s="33"/>
    </row>
    <row r="7392" spans="10:10" ht="15" customHeight="1" x14ac:dyDescent="0.3">
      <c r="J7392" s="33"/>
    </row>
    <row r="7393" spans="10:10" ht="15" customHeight="1" x14ac:dyDescent="0.3">
      <c r="J7393" s="33"/>
    </row>
    <row r="7394" spans="10:10" ht="15" customHeight="1" x14ac:dyDescent="0.3">
      <c r="J7394" s="33"/>
    </row>
    <row r="7395" spans="10:10" ht="15" customHeight="1" x14ac:dyDescent="0.3">
      <c r="J7395" s="33"/>
    </row>
    <row r="7396" spans="10:10" ht="15" customHeight="1" x14ac:dyDescent="0.3">
      <c r="J7396" s="33"/>
    </row>
    <row r="7397" spans="10:10" ht="15" customHeight="1" x14ac:dyDescent="0.3">
      <c r="J7397" s="33"/>
    </row>
    <row r="7398" spans="10:10" ht="15" customHeight="1" x14ac:dyDescent="0.3">
      <c r="J7398" s="33"/>
    </row>
    <row r="7399" spans="10:10" ht="15" customHeight="1" x14ac:dyDescent="0.3">
      <c r="J7399" s="33"/>
    </row>
    <row r="7400" spans="10:10" ht="15" customHeight="1" x14ac:dyDescent="0.3">
      <c r="J7400" s="33"/>
    </row>
    <row r="7401" spans="10:10" ht="15" customHeight="1" x14ac:dyDescent="0.3">
      <c r="J7401" s="33"/>
    </row>
    <row r="7402" spans="10:10" ht="15" customHeight="1" x14ac:dyDescent="0.3">
      <c r="J7402" s="33"/>
    </row>
    <row r="7403" spans="10:10" ht="15" customHeight="1" x14ac:dyDescent="0.3">
      <c r="J7403" s="33"/>
    </row>
    <row r="7404" spans="10:10" ht="15" customHeight="1" x14ac:dyDescent="0.3">
      <c r="J7404" s="33"/>
    </row>
    <row r="7405" spans="10:10" ht="15" customHeight="1" x14ac:dyDescent="0.3">
      <c r="J7405" s="33"/>
    </row>
    <row r="7406" spans="10:10" ht="15" customHeight="1" x14ac:dyDescent="0.3">
      <c r="J7406" s="33"/>
    </row>
    <row r="7407" spans="10:10" ht="15" customHeight="1" x14ac:dyDescent="0.3">
      <c r="J7407" s="33"/>
    </row>
    <row r="7408" spans="10:10" ht="15" customHeight="1" x14ac:dyDescent="0.3">
      <c r="J7408" s="33"/>
    </row>
    <row r="7409" spans="10:10" ht="15" customHeight="1" x14ac:dyDescent="0.3">
      <c r="J7409" s="33"/>
    </row>
    <row r="7410" spans="10:10" ht="15" customHeight="1" x14ac:dyDescent="0.3">
      <c r="J7410" s="33"/>
    </row>
    <row r="7411" spans="10:10" ht="15" customHeight="1" x14ac:dyDescent="0.3">
      <c r="J7411" s="33"/>
    </row>
    <row r="7412" spans="10:10" ht="15" customHeight="1" x14ac:dyDescent="0.3">
      <c r="J7412" s="33"/>
    </row>
    <row r="7413" spans="10:10" ht="15" customHeight="1" x14ac:dyDescent="0.3">
      <c r="J7413" s="33"/>
    </row>
    <row r="7414" spans="10:10" ht="15" customHeight="1" x14ac:dyDescent="0.3">
      <c r="J7414" s="33"/>
    </row>
    <row r="7415" spans="10:10" ht="15" customHeight="1" x14ac:dyDescent="0.3">
      <c r="J7415" s="33"/>
    </row>
    <row r="7416" spans="10:10" ht="15" customHeight="1" x14ac:dyDescent="0.3">
      <c r="J7416" s="33"/>
    </row>
    <row r="7417" spans="10:10" ht="15" customHeight="1" x14ac:dyDescent="0.3">
      <c r="J7417" s="33"/>
    </row>
    <row r="7418" spans="10:10" ht="15" customHeight="1" x14ac:dyDescent="0.3">
      <c r="J7418" s="33"/>
    </row>
    <row r="7419" spans="10:10" ht="15" customHeight="1" x14ac:dyDescent="0.3">
      <c r="J7419" s="33"/>
    </row>
    <row r="7420" spans="10:10" ht="15" customHeight="1" x14ac:dyDescent="0.3">
      <c r="J7420" s="33"/>
    </row>
    <row r="7421" spans="10:10" ht="15" customHeight="1" x14ac:dyDescent="0.3">
      <c r="J7421" s="33"/>
    </row>
    <row r="7422" spans="10:10" ht="15" customHeight="1" x14ac:dyDescent="0.3">
      <c r="J7422" s="33"/>
    </row>
    <row r="7423" spans="10:10" ht="15" customHeight="1" x14ac:dyDescent="0.3">
      <c r="J7423" s="33"/>
    </row>
    <row r="7424" spans="10:10" ht="15" customHeight="1" x14ac:dyDescent="0.3">
      <c r="J7424" s="33"/>
    </row>
    <row r="7425" spans="10:10" ht="15" customHeight="1" x14ac:dyDescent="0.3">
      <c r="J7425" s="33"/>
    </row>
    <row r="7426" spans="10:10" ht="15" customHeight="1" x14ac:dyDescent="0.3">
      <c r="J7426" s="33"/>
    </row>
    <row r="7427" spans="10:10" ht="15" customHeight="1" x14ac:dyDescent="0.3">
      <c r="J7427" s="33"/>
    </row>
    <row r="7428" spans="10:10" ht="15" customHeight="1" x14ac:dyDescent="0.3">
      <c r="J7428" s="33"/>
    </row>
    <row r="7429" spans="10:10" ht="15" customHeight="1" x14ac:dyDescent="0.3">
      <c r="J7429" s="33"/>
    </row>
    <row r="7430" spans="10:10" ht="15" customHeight="1" x14ac:dyDescent="0.3">
      <c r="J7430" s="33"/>
    </row>
    <row r="7431" spans="10:10" ht="15" customHeight="1" x14ac:dyDescent="0.3">
      <c r="J7431" s="33"/>
    </row>
    <row r="7432" spans="10:10" ht="15" customHeight="1" x14ac:dyDescent="0.3">
      <c r="J7432" s="33"/>
    </row>
    <row r="7433" spans="10:10" ht="15" customHeight="1" x14ac:dyDescent="0.3">
      <c r="J7433" s="33"/>
    </row>
    <row r="7434" spans="10:10" ht="15" customHeight="1" x14ac:dyDescent="0.3">
      <c r="J7434" s="33"/>
    </row>
    <row r="7435" spans="10:10" ht="15" customHeight="1" x14ac:dyDescent="0.3">
      <c r="J7435" s="33"/>
    </row>
    <row r="7436" spans="10:10" ht="15" customHeight="1" x14ac:dyDescent="0.3">
      <c r="J7436" s="33"/>
    </row>
    <row r="7437" spans="10:10" ht="15" customHeight="1" x14ac:dyDescent="0.3">
      <c r="J7437" s="33"/>
    </row>
    <row r="7438" spans="10:10" ht="15" customHeight="1" x14ac:dyDescent="0.3">
      <c r="J7438" s="33"/>
    </row>
    <row r="7439" spans="10:10" ht="15" customHeight="1" x14ac:dyDescent="0.3">
      <c r="J7439" s="33"/>
    </row>
    <row r="7440" spans="10:10" ht="15" customHeight="1" x14ac:dyDescent="0.3">
      <c r="J7440" s="33"/>
    </row>
    <row r="7441" spans="10:10" ht="15" customHeight="1" x14ac:dyDescent="0.3">
      <c r="J7441" s="33"/>
    </row>
    <row r="7442" spans="10:10" ht="15" customHeight="1" x14ac:dyDescent="0.3">
      <c r="J7442" s="33"/>
    </row>
    <row r="7443" spans="10:10" ht="15" customHeight="1" x14ac:dyDescent="0.3">
      <c r="J7443" s="33"/>
    </row>
    <row r="7444" spans="10:10" ht="15" customHeight="1" x14ac:dyDescent="0.3">
      <c r="J7444" s="33"/>
    </row>
    <row r="7445" spans="10:10" ht="15" customHeight="1" x14ac:dyDescent="0.3">
      <c r="J7445" s="33"/>
    </row>
    <row r="7446" spans="10:10" ht="15" customHeight="1" x14ac:dyDescent="0.3">
      <c r="J7446" s="33"/>
    </row>
    <row r="7447" spans="10:10" ht="15" customHeight="1" x14ac:dyDescent="0.3">
      <c r="J7447" s="33"/>
    </row>
    <row r="7448" spans="10:10" ht="15" customHeight="1" x14ac:dyDescent="0.3">
      <c r="J7448" s="33"/>
    </row>
    <row r="7449" spans="10:10" ht="15" customHeight="1" x14ac:dyDescent="0.3">
      <c r="J7449" s="33"/>
    </row>
    <row r="7450" spans="10:10" ht="15" customHeight="1" x14ac:dyDescent="0.3">
      <c r="J7450" s="33"/>
    </row>
    <row r="7451" spans="10:10" ht="15" customHeight="1" x14ac:dyDescent="0.3">
      <c r="J7451" s="33"/>
    </row>
    <row r="7452" spans="10:10" ht="15" customHeight="1" x14ac:dyDescent="0.3">
      <c r="J7452" s="33"/>
    </row>
    <row r="7453" spans="10:10" ht="15" customHeight="1" x14ac:dyDescent="0.3">
      <c r="J7453" s="33"/>
    </row>
    <row r="7454" spans="10:10" ht="15" customHeight="1" x14ac:dyDescent="0.3">
      <c r="J7454" s="33"/>
    </row>
    <row r="7455" spans="10:10" ht="15" customHeight="1" x14ac:dyDescent="0.3">
      <c r="J7455" s="33"/>
    </row>
    <row r="7456" spans="10:10" ht="15" customHeight="1" x14ac:dyDescent="0.3">
      <c r="J7456" s="33"/>
    </row>
    <row r="7457" spans="10:10" ht="15" customHeight="1" x14ac:dyDescent="0.3">
      <c r="J7457" s="33"/>
    </row>
    <row r="7458" spans="10:10" ht="15" customHeight="1" x14ac:dyDescent="0.3">
      <c r="J7458" s="33"/>
    </row>
    <row r="7459" spans="10:10" ht="15" customHeight="1" x14ac:dyDescent="0.3">
      <c r="J7459" s="33"/>
    </row>
    <row r="7460" spans="10:10" ht="15" customHeight="1" x14ac:dyDescent="0.3">
      <c r="J7460" s="33"/>
    </row>
    <row r="7461" spans="10:10" ht="15" customHeight="1" x14ac:dyDescent="0.3">
      <c r="J7461" s="33"/>
    </row>
    <row r="7462" spans="10:10" ht="15" customHeight="1" x14ac:dyDescent="0.3">
      <c r="J7462" s="33"/>
    </row>
    <row r="7463" spans="10:10" ht="15" customHeight="1" x14ac:dyDescent="0.3">
      <c r="J7463" s="33"/>
    </row>
    <row r="7464" spans="10:10" ht="15" customHeight="1" x14ac:dyDescent="0.3">
      <c r="J7464" s="33"/>
    </row>
    <row r="7465" spans="10:10" ht="15" customHeight="1" x14ac:dyDescent="0.3">
      <c r="J7465" s="33"/>
    </row>
    <row r="7466" spans="10:10" ht="15" customHeight="1" x14ac:dyDescent="0.3">
      <c r="J7466" s="33"/>
    </row>
    <row r="7467" spans="10:10" ht="15" customHeight="1" x14ac:dyDescent="0.3">
      <c r="J7467" s="33"/>
    </row>
    <row r="7468" spans="10:10" ht="15" customHeight="1" x14ac:dyDescent="0.3">
      <c r="J7468" s="33"/>
    </row>
    <row r="7469" spans="10:10" ht="15" customHeight="1" x14ac:dyDescent="0.3">
      <c r="J7469" s="33"/>
    </row>
    <row r="7470" spans="10:10" ht="15" customHeight="1" x14ac:dyDescent="0.3">
      <c r="J7470" s="33"/>
    </row>
    <row r="7471" spans="10:10" ht="15" customHeight="1" x14ac:dyDescent="0.3">
      <c r="J7471" s="33"/>
    </row>
    <row r="7472" spans="10:10" ht="15" customHeight="1" x14ac:dyDescent="0.3">
      <c r="J7472" s="33"/>
    </row>
    <row r="7473" spans="10:10" ht="15" customHeight="1" x14ac:dyDescent="0.3">
      <c r="J7473" s="33"/>
    </row>
    <row r="7474" spans="10:10" ht="15" customHeight="1" x14ac:dyDescent="0.3">
      <c r="J7474" s="33"/>
    </row>
    <row r="7475" spans="10:10" ht="15" customHeight="1" x14ac:dyDescent="0.3">
      <c r="J7475" s="33"/>
    </row>
    <row r="7476" spans="10:10" ht="15" customHeight="1" x14ac:dyDescent="0.3">
      <c r="J7476" s="33"/>
    </row>
    <row r="7477" spans="10:10" ht="15" customHeight="1" x14ac:dyDescent="0.3">
      <c r="J7477" s="33"/>
    </row>
    <row r="7478" spans="10:10" ht="15" customHeight="1" x14ac:dyDescent="0.3">
      <c r="J7478" s="33"/>
    </row>
    <row r="7479" spans="10:10" ht="15" customHeight="1" x14ac:dyDescent="0.3">
      <c r="J7479" s="33"/>
    </row>
    <row r="7480" spans="10:10" ht="15" customHeight="1" x14ac:dyDescent="0.3">
      <c r="J7480" s="33"/>
    </row>
    <row r="7481" spans="10:10" ht="15" customHeight="1" x14ac:dyDescent="0.3">
      <c r="J7481" s="33"/>
    </row>
    <row r="7482" spans="10:10" ht="15" customHeight="1" x14ac:dyDescent="0.3">
      <c r="J7482" s="33"/>
    </row>
    <row r="7483" spans="10:10" ht="15" customHeight="1" x14ac:dyDescent="0.3">
      <c r="J7483" s="33"/>
    </row>
    <row r="7484" spans="10:10" ht="15" customHeight="1" x14ac:dyDescent="0.3">
      <c r="J7484" s="33"/>
    </row>
    <row r="7485" spans="10:10" ht="15" customHeight="1" x14ac:dyDescent="0.3">
      <c r="J7485" s="33"/>
    </row>
    <row r="7486" spans="10:10" ht="15" customHeight="1" x14ac:dyDescent="0.3">
      <c r="J7486" s="33"/>
    </row>
    <row r="7487" spans="10:10" ht="15" customHeight="1" x14ac:dyDescent="0.3">
      <c r="J7487" s="33"/>
    </row>
    <row r="7488" spans="10:10" ht="15" customHeight="1" x14ac:dyDescent="0.3">
      <c r="J7488" s="33"/>
    </row>
    <row r="7489" spans="10:10" ht="15" customHeight="1" x14ac:dyDescent="0.3">
      <c r="J7489" s="33"/>
    </row>
    <row r="7490" spans="10:10" ht="15" customHeight="1" x14ac:dyDescent="0.3">
      <c r="J7490" s="33"/>
    </row>
    <row r="7491" spans="10:10" ht="15" customHeight="1" x14ac:dyDescent="0.3">
      <c r="J7491" s="33"/>
    </row>
    <row r="7492" spans="10:10" ht="15" customHeight="1" x14ac:dyDescent="0.3">
      <c r="J7492" s="33"/>
    </row>
    <row r="7493" spans="10:10" ht="15" customHeight="1" x14ac:dyDescent="0.3">
      <c r="J7493" s="33"/>
    </row>
    <row r="7494" spans="10:10" ht="15" customHeight="1" x14ac:dyDescent="0.3">
      <c r="J7494" s="33"/>
    </row>
    <row r="7495" spans="10:10" ht="15" customHeight="1" x14ac:dyDescent="0.3">
      <c r="J7495" s="33"/>
    </row>
    <row r="7496" spans="10:10" ht="15" customHeight="1" x14ac:dyDescent="0.3">
      <c r="J7496" s="33"/>
    </row>
    <row r="7497" spans="10:10" ht="15" customHeight="1" x14ac:dyDescent="0.3">
      <c r="J7497" s="33"/>
    </row>
    <row r="7498" spans="10:10" ht="15" customHeight="1" x14ac:dyDescent="0.3">
      <c r="J7498" s="33"/>
    </row>
    <row r="7499" spans="10:10" ht="15" customHeight="1" x14ac:dyDescent="0.3">
      <c r="J7499" s="33"/>
    </row>
    <row r="7500" spans="10:10" ht="15" customHeight="1" x14ac:dyDescent="0.3">
      <c r="J7500" s="33"/>
    </row>
    <row r="7501" spans="10:10" ht="15" customHeight="1" x14ac:dyDescent="0.3">
      <c r="J7501" s="33"/>
    </row>
    <row r="7502" spans="10:10" ht="15" customHeight="1" x14ac:dyDescent="0.3">
      <c r="J7502" s="33"/>
    </row>
    <row r="7503" spans="10:10" ht="15" customHeight="1" x14ac:dyDescent="0.3">
      <c r="J7503" s="33"/>
    </row>
    <row r="7504" spans="10:10" ht="15" customHeight="1" x14ac:dyDescent="0.3">
      <c r="J7504" s="33"/>
    </row>
    <row r="7505" spans="10:10" ht="15" customHeight="1" x14ac:dyDescent="0.3">
      <c r="J7505" s="33"/>
    </row>
    <row r="7506" spans="10:10" ht="15" customHeight="1" x14ac:dyDescent="0.3">
      <c r="J7506" s="33"/>
    </row>
    <row r="7507" spans="10:10" ht="15" customHeight="1" x14ac:dyDescent="0.3">
      <c r="J7507" s="33"/>
    </row>
    <row r="7508" spans="10:10" ht="15" customHeight="1" x14ac:dyDescent="0.3">
      <c r="J7508" s="33"/>
    </row>
    <row r="7509" spans="10:10" ht="15" customHeight="1" x14ac:dyDescent="0.3">
      <c r="J7509" s="33"/>
    </row>
    <row r="7510" spans="10:10" ht="15" customHeight="1" x14ac:dyDescent="0.3">
      <c r="J7510" s="33"/>
    </row>
    <row r="7511" spans="10:10" ht="15" customHeight="1" x14ac:dyDescent="0.3">
      <c r="J7511" s="33"/>
    </row>
    <row r="7512" spans="10:10" ht="15" customHeight="1" x14ac:dyDescent="0.3">
      <c r="J7512" s="33"/>
    </row>
    <row r="7513" spans="10:10" ht="15" customHeight="1" x14ac:dyDescent="0.3">
      <c r="J7513" s="33"/>
    </row>
    <row r="7514" spans="10:10" ht="15" customHeight="1" x14ac:dyDescent="0.3">
      <c r="J7514" s="33"/>
    </row>
    <row r="7515" spans="10:10" ht="15" customHeight="1" x14ac:dyDescent="0.3">
      <c r="J7515" s="33"/>
    </row>
    <row r="7516" spans="10:10" ht="15" customHeight="1" x14ac:dyDescent="0.3">
      <c r="J7516" s="33"/>
    </row>
    <row r="7517" spans="10:10" ht="15" customHeight="1" x14ac:dyDescent="0.3">
      <c r="J7517" s="33"/>
    </row>
    <row r="7518" spans="10:10" ht="15" customHeight="1" x14ac:dyDescent="0.3">
      <c r="J7518" s="33"/>
    </row>
    <row r="7519" spans="10:10" ht="15" customHeight="1" x14ac:dyDescent="0.3">
      <c r="J7519" s="33"/>
    </row>
    <row r="7520" spans="10:10" ht="15" customHeight="1" x14ac:dyDescent="0.3">
      <c r="J7520" s="33"/>
    </row>
    <row r="7521" spans="10:10" ht="15" customHeight="1" x14ac:dyDescent="0.3">
      <c r="J7521" s="33"/>
    </row>
    <row r="7522" spans="10:10" ht="15" customHeight="1" x14ac:dyDescent="0.3">
      <c r="J7522" s="33"/>
    </row>
    <row r="7523" spans="10:10" ht="15" customHeight="1" x14ac:dyDescent="0.3">
      <c r="J7523" s="33"/>
    </row>
    <row r="7524" spans="10:10" ht="15" customHeight="1" x14ac:dyDescent="0.3">
      <c r="J7524" s="33"/>
    </row>
    <row r="7525" spans="10:10" ht="15" customHeight="1" x14ac:dyDescent="0.3">
      <c r="J7525" s="33"/>
    </row>
    <row r="7526" spans="10:10" ht="15" customHeight="1" x14ac:dyDescent="0.3">
      <c r="J7526" s="33"/>
    </row>
    <row r="7527" spans="10:10" ht="15" customHeight="1" x14ac:dyDescent="0.3">
      <c r="J7527" s="33"/>
    </row>
    <row r="7528" spans="10:10" ht="15" customHeight="1" x14ac:dyDescent="0.3">
      <c r="J7528" s="33"/>
    </row>
    <row r="7529" spans="10:10" ht="15" customHeight="1" x14ac:dyDescent="0.3">
      <c r="J7529" s="33"/>
    </row>
    <row r="7530" spans="10:10" ht="15" customHeight="1" x14ac:dyDescent="0.3">
      <c r="J7530" s="33"/>
    </row>
    <row r="7531" spans="10:10" ht="15" customHeight="1" x14ac:dyDescent="0.3">
      <c r="J7531" s="33"/>
    </row>
    <row r="7532" spans="10:10" ht="15" customHeight="1" x14ac:dyDescent="0.3">
      <c r="J7532" s="33"/>
    </row>
    <row r="7533" spans="10:10" ht="15" customHeight="1" x14ac:dyDescent="0.3">
      <c r="J7533" s="33"/>
    </row>
    <row r="7534" spans="10:10" ht="15" customHeight="1" x14ac:dyDescent="0.3">
      <c r="J7534" s="33"/>
    </row>
    <row r="7535" spans="10:10" ht="15" customHeight="1" x14ac:dyDescent="0.3">
      <c r="J7535" s="33"/>
    </row>
    <row r="7536" spans="10:10" ht="15" customHeight="1" x14ac:dyDescent="0.3">
      <c r="J7536" s="33"/>
    </row>
    <row r="7537" spans="10:10" ht="15" customHeight="1" x14ac:dyDescent="0.3">
      <c r="J7537" s="33"/>
    </row>
    <row r="7538" spans="10:10" ht="15" customHeight="1" x14ac:dyDescent="0.3">
      <c r="J7538" s="33"/>
    </row>
    <row r="7539" spans="10:10" ht="15" customHeight="1" x14ac:dyDescent="0.3">
      <c r="J7539" s="33"/>
    </row>
    <row r="7540" spans="10:10" ht="15" customHeight="1" x14ac:dyDescent="0.3">
      <c r="J7540" s="33"/>
    </row>
    <row r="7541" spans="10:10" ht="15" customHeight="1" x14ac:dyDescent="0.3">
      <c r="J7541" s="33"/>
    </row>
    <row r="7542" spans="10:10" ht="15" customHeight="1" x14ac:dyDescent="0.3">
      <c r="J7542" s="33"/>
    </row>
    <row r="7543" spans="10:10" ht="15" customHeight="1" x14ac:dyDescent="0.3">
      <c r="J7543" s="33"/>
    </row>
    <row r="7544" spans="10:10" ht="15" customHeight="1" x14ac:dyDescent="0.3">
      <c r="J7544" s="33"/>
    </row>
    <row r="7545" spans="10:10" ht="15" customHeight="1" x14ac:dyDescent="0.3">
      <c r="J7545" s="33"/>
    </row>
    <row r="7546" spans="10:10" ht="15" customHeight="1" x14ac:dyDescent="0.3">
      <c r="J7546" s="33"/>
    </row>
    <row r="7547" spans="10:10" ht="15" customHeight="1" x14ac:dyDescent="0.3">
      <c r="J7547" s="33"/>
    </row>
    <row r="7548" spans="10:10" ht="15" customHeight="1" x14ac:dyDescent="0.3">
      <c r="J7548" s="33"/>
    </row>
    <row r="7549" spans="10:10" ht="15" customHeight="1" x14ac:dyDescent="0.3">
      <c r="J7549" s="33"/>
    </row>
    <row r="7550" spans="10:10" ht="15" customHeight="1" x14ac:dyDescent="0.3">
      <c r="J7550" s="33"/>
    </row>
    <row r="7551" spans="10:10" ht="15" customHeight="1" x14ac:dyDescent="0.3">
      <c r="J7551" s="33"/>
    </row>
    <row r="7552" spans="10:10" ht="15" customHeight="1" x14ac:dyDescent="0.3">
      <c r="J7552" s="33"/>
    </row>
    <row r="7553" spans="10:10" ht="15" customHeight="1" x14ac:dyDescent="0.3">
      <c r="J7553" s="33"/>
    </row>
    <row r="7554" spans="10:10" ht="15" customHeight="1" x14ac:dyDescent="0.3">
      <c r="J7554" s="33"/>
    </row>
    <row r="7555" spans="10:10" ht="15" customHeight="1" x14ac:dyDescent="0.3">
      <c r="J7555" s="33"/>
    </row>
    <row r="7556" spans="10:10" ht="15" customHeight="1" x14ac:dyDescent="0.3">
      <c r="J7556" s="33"/>
    </row>
    <row r="7557" spans="10:10" ht="15" customHeight="1" x14ac:dyDescent="0.3">
      <c r="J7557" s="33"/>
    </row>
    <row r="7558" spans="10:10" ht="15" customHeight="1" x14ac:dyDescent="0.3">
      <c r="J7558" s="33"/>
    </row>
    <row r="7559" spans="10:10" ht="15" customHeight="1" x14ac:dyDescent="0.3">
      <c r="J7559" s="33"/>
    </row>
    <row r="7560" spans="10:10" ht="15" customHeight="1" x14ac:dyDescent="0.3">
      <c r="J7560" s="33"/>
    </row>
    <row r="7561" spans="10:10" ht="15" customHeight="1" x14ac:dyDescent="0.3">
      <c r="J7561" s="33"/>
    </row>
    <row r="7562" spans="10:10" ht="15" customHeight="1" x14ac:dyDescent="0.3">
      <c r="J7562" s="33"/>
    </row>
    <row r="7563" spans="10:10" ht="15" customHeight="1" x14ac:dyDescent="0.3">
      <c r="J7563" s="33"/>
    </row>
    <row r="7564" spans="10:10" ht="15" customHeight="1" x14ac:dyDescent="0.3">
      <c r="J7564" s="33"/>
    </row>
    <row r="7565" spans="10:10" ht="15" customHeight="1" x14ac:dyDescent="0.3">
      <c r="J7565" s="33"/>
    </row>
    <row r="7566" spans="10:10" ht="15" customHeight="1" x14ac:dyDescent="0.3">
      <c r="J7566" s="33"/>
    </row>
    <row r="7567" spans="10:10" ht="15" customHeight="1" x14ac:dyDescent="0.3">
      <c r="J7567" s="33"/>
    </row>
    <row r="7568" spans="10:10" ht="15" customHeight="1" x14ac:dyDescent="0.3">
      <c r="J7568" s="33"/>
    </row>
    <row r="7569" spans="10:10" ht="15" customHeight="1" x14ac:dyDescent="0.3">
      <c r="J7569" s="33"/>
    </row>
    <row r="7570" spans="10:10" ht="15" customHeight="1" x14ac:dyDescent="0.3">
      <c r="J7570" s="33"/>
    </row>
    <row r="7571" spans="10:10" ht="15" customHeight="1" x14ac:dyDescent="0.3">
      <c r="J7571" s="33"/>
    </row>
    <row r="7572" spans="10:10" ht="15" customHeight="1" x14ac:dyDescent="0.3">
      <c r="J7572" s="33"/>
    </row>
    <row r="7573" spans="10:10" ht="15" customHeight="1" x14ac:dyDescent="0.3">
      <c r="J7573" s="33"/>
    </row>
    <row r="7574" spans="10:10" ht="15" customHeight="1" x14ac:dyDescent="0.3">
      <c r="J7574" s="33"/>
    </row>
    <row r="7575" spans="10:10" ht="15" customHeight="1" x14ac:dyDescent="0.3">
      <c r="J7575" s="33"/>
    </row>
    <row r="7576" spans="10:10" ht="15" customHeight="1" x14ac:dyDescent="0.3">
      <c r="J7576" s="33"/>
    </row>
    <row r="7577" spans="10:10" ht="15" customHeight="1" x14ac:dyDescent="0.3">
      <c r="J7577" s="33"/>
    </row>
    <row r="7578" spans="10:10" ht="15" customHeight="1" x14ac:dyDescent="0.3">
      <c r="J7578" s="33"/>
    </row>
    <row r="7579" spans="10:10" ht="15" customHeight="1" x14ac:dyDescent="0.3">
      <c r="J7579" s="33"/>
    </row>
    <row r="7580" spans="10:10" ht="15" customHeight="1" x14ac:dyDescent="0.3">
      <c r="J7580" s="33"/>
    </row>
    <row r="7581" spans="10:10" ht="15" customHeight="1" x14ac:dyDescent="0.3">
      <c r="J7581" s="33"/>
    </row>
    <row r="7582" spans="10:10" ht="15" customHeight="1" x14ac:dyDescent="0.3">
      <c r="J7582" s="33"/>
    </row>
    <row r="7583" spans="10:10" ht="15" customHeight="1" x14ac:dyDescent="0.3">
      <c r="J7583" s="33"/>
    </row>
    <row r="7584" spans="10:10" ht="15" customHeight="1" x14ac:dyDescent="0.3">
      <c r="J7584" s="33"/>
    </row>
    <row r="7585" spans="10:10" ht="15" customHeight="1" x14ac:dyDescent="0.3">
      <c r="J7585" s="33"/>
    </row>
    <row r="7586" spans="10:10" ht="15" customHeight="1" x14ac:dyDescent="0.3">
      <c r="J7586" s="33"/>
    </row>
    <row r="7587" spans="10:10" ht="15" customHeight="1" x14ac:dyDescent="0.3">
      <c r="J7587" s="33"/>
    </row>
    <row r="7588" spans="10:10" ht="15" customHeight="1" x14ac:dyDescent="0.3">
      <c r="J7588" s="33"/>
    </row>
    <row r="7589" spans="10:10" ht="15" customHeight="1" x14ac:dyDescent="0.3">
      <c r="J7589" s="33"/>
    </row>
    <row r="7590" spans="10:10" ht="15" customHeight="1" x14ac:dyDescent="0.3">
      <c r="J7590" s="33"/>
    </row>
    <row r="7591" spans="10:10" ht="15" customHeight="1" x14ac:dyDescent="0.3">
      <c r="J7591" s="33"/>
    </row>
    <row r="7592" spans="10:10" ht="15" customHeight="1" x14ac:dyDescent="0.3">
      <c r="J7592" s="33"/>
    </row>
    <row r="7593" spans="10:10" ht="15" customHeight="1" x14ac:dyDescent="0.3">
      <c r="J7593" s="33"/>
    </row>
    <row r="7594" spans="10:10" ht="15" customHeight="1" x14ac:dyDescent="0.3">
      <c r="J7594" s="33"/>
    </row>
    <row r="7595" spans="10:10" ht="15" customHeight="1" x14ac:dyDescent="0.3">
      <c r="J7595" s="33"/>
    </row>
    <row r="7596" spans="10:10" ht="15" customHeight="1" x14ac:dyDescent="0.3">
      <c r="J7596" s="33"/>
    </row>
    <row r="7597" spans="10:10" ht="15" customHeight="1" x14ac:dyDescent="0.3">
      <c r="J7597" s="33"/>
    </row>
    <row r="7598" spans="10:10" ht="15" customHeight="1" x14ac:dyDescent="0.3">
      <c r="J7598" s="33"/>
    </row>
    <row r="7599" spans="10:10" ht="15" customHeight="1" x14ac:dyDescent="0.3">
      <c r="J7599" s="33"/>
    </row>
    <row r="7600" spans="10:10" ht="15" customHeight="1" x14ac:dyDescent="0.3">
      <c r="J7600" s="33"/>
    </row>
    <row r="7601" spans="10:10" ht="15" customHeight="1" x14ac:dyDescent="0.3">
      <c r="J7601" s="33"/>
    </row>
    <row r="7602" spans="10:10" ht="15" customHeight="1" x14ac:dyDescent="0.3">
      <c r="J7602" s="33"/>
    </row>
    <row r="7603" spans="10:10" ht="15" customHeight="1" x14ac:dyDescent="0.3">
      <c r="J7603" s="33"/>
    </row>
    <row r="7604" spans="10:10" ht="15" customHeight="1" x14ac:dyDescent="0.3">
      <c r="J7604" s="33"/>
    </row>
    <row r="7605" spans="10:10" ht="15" customHeight="1" x14ac:dyDescent="0.3">
      <c r="J7605" s="33"/>
    </row>
    <row r="7606" spans="10:10" ht="15" customHeight="1" x14ac:dyDescent="0.3">
      <c r="J7606" s="33"/>
    </row>
    <row r="7607" spans="10:10" ht="15" customHeight="1" x14ac:dyDescent="0.3">
      <c r="J7607" s="33"/>
    </row>
    <row r="7608" spans="10:10" ht="15" customHeight="1" x14ac:dyDescent="0.3">
      <c r="J7608" s="33"/>
    </row>
    <row r="7609" spans="10:10" ht="15" customHeight="1" x14ac:dyDescent="0.3">
      <c r="J7609" s="33"/>
    </row>
    <row r="7610" spans="10:10" ht="15" customHeight="1" x14ac:dyDescent="0.3">
      <c r="J7610" s="33"/>
    </row>
    <row r="7611" spans="10:10" ht="15" customHeight="1" x14ac:dyDescent="0.3">
      <c r="J7611" s="33"/>
    </row>
    <row r="7612" spans="10:10" ht="15" customHeight="1" x14ac:dyDescent="0.3">
      <c r="J7612" s="33"/>
    </row>
    <row r="7613" spans="10:10" ht="15" customHeight="1" x14ac:dyDescent="0.3">
      <c r="J7613" s="33"/>
    </row>
    <row r="7614" spans="10:10" ht="15" customHeight="1" x14ac:dyDescent="0.3">
      <c r="J7614" s="33"/>
    </row>
    <row r="7615" spans="10:10" ht="15" customHeight="1" x14ac:dyDescent="0.3">
      <c r="J7615" s="33"/>
    </row>
    <row r="7616" spans="10:10" ht="15" customHeight="1" x14ac:dyDescent="0.3">
      <c r="J7616" s="33"/>
    </row>
    <row r="7617" spans="10:10" ht="15" customHeight="1" x14ac:dyDescent="0.3">
      <c r="J7617" s="33"/>
    </row>
    <row r="7618" spans="10:10" ht="15" customHeight="1" x14ac:dyDescent="0.3">
      <c r="J7618" s="33"/>
    </row>
    <row r="7619" spans="10:10" ht="15" customHeight="1" x14ac:dyDescent="0.3">
      <c r="J7619" s="33"/>
    </row>
    <row r="7620" spans="10:10" ht="15" customHeight="1" x14ac:dyDescent="0.3">
      <c r="J7620" s="33"/>
    </row>
    <row r="7621" spans="10:10" ht="15" customHeight="1" x14ac:dyDescent="0.3">
      <c r="J7621" s="33"/>
    </row>
    <row r="7622" spans="10:10" ht="15" customHeight="1" x14ac:dyDescent="0.3">
      <c r="J7622" s="33"/>
    </row>
    <row r="7623" spans="10:10" ht="15" customHeight="1" x14ac:dyDescent="0.3">
      <c r="J7623" s="33"/>
    </row>
    <row r="7624" spans="10:10" ht="15" customHeight="1" x14ac:dyDescent="0.3">
      <c r="J7624" s="33"/>
    </row>
    <row r="7625" spans="10:10" ht="15" customHeight="1" x14ac:dyDescent="0.3">
      <c r="J7625" s="33"/>
    </row>
    <row r="7626" spans="10:10" ht="15" customHeight="1" x14ac:dyDescent="0.3">
      <c r="J7626" s="33"/>
    </row>
    <row r="7627" spans="10:10" ht="15" customHeight="1" x14ac:dyDescent="0.3">
      <c r="J7627" s="33"/>
    </row>
    <row r="7628" spans="10:10" ht="15" customHeight="1" x14ac:dyDescent="0.3">
      <c r="J7628" s="33"/>
    </row>
    <row r="7629" spans="10:10" ht="15" customHeight="1" x14ac:dyDescent="0.3">
      <c r="J7629" s="33"/>
    </row>
    <row r="7630" spans="10:10" ht="15" customHeight="1" x14ac:dyDescent="0.3">
      <c r="J7630" s="33"/>
    </row>
    <row r="7631" spans="10:10" ht="15" customHeight="1" x14ac:dyDescent="0.3">
      <c r="J7631" s="33"/>
    </row>
    <row r="7632" spans="10:10" ht="15" customHeight="1" x14ac:dyDescent="0.3">
      <c r="J7632" s="33"/>
    </row>
    <row r="7633" spans="10:10" ht="15" customHeight="1" x14ac:dyDescent="0.3">
      <c r="J7633" s="33"/>
    </row>
    <row r="7634" spans="10:10" ht="15" customHeight="1" x14ac:dyDescent="0.3">
      <c r="J7634" s="33"/>
    </row>
    <row r="7635" spans="10:10" ht="15" customHeight="1" x14ac:dyDescent="0.3">
      <c r="J7635" s="33"/>
    </row>
    <row r="7636" spans="10:10" ht="15" customHeight="1" x14ac:dyDescent="0.3">
      <c r="J7636" s="33"/>
    </row>
    <row r="7637" spans="10:10" ht="15" customHeight="1" x14ac:dyDescent="0.3">
      <c r="J7637" s="33"/>
    </row>
    <row r="7638" spans="10:10" ht="15" customHeight="1" x14ac:dyDescent="0.3">
      <c r="J7638" s="33"/>
    </row>
    <row r="7639" spans="10:10" ht="15" customHeight="1" x14ac:dyDescent="0.3">
      <c r="J7639" s="33"/>
    </row>
    <row r="7640" spans="10:10" ht="15" customHeight="1" x14ac:dyDescent="0.3">
      <c r="J7640" s="33"/>
    </row>
    <row r="7641" spans="10:10" ht="15" customHeight="1" x14ac:dyDescent="0.3">
      <c r="J7641" s="33"/>
    </row>
    <row r="7642" spans="10:10" ht="15" customHeight="1" x14ac:dyDescent="0.3">
      <c r="J7642" s="33"/>
    </row>
    <row r="7643" spans="10:10" ht="15" customHeight="1" x14ac:dyDescent="0.3">
      <c r="J7643" s="33"/>
    </row>
    <row r="7644" spans="10:10" ht="15" customHeight="1" x14ac:dyDescent="0.3">
      <c r="J7644" s="33"/>
    </row>
    <row r="7645" spans="10:10" ht="15" customHeight="1" x14ac:dyDescent="0.3">
      <c r="J7645" s="33"/>
    </row>
    <row r="7646" spans="10:10" ht="15" customHeight="1" x14ac:dyDescent="0.3">
      <c r="J7646" s="33"/>
    </row>
    <row r="7647" spans="10:10" ht="15" customHeight="1" x14ac:dyDescent="0.3">
      <c r="J7647" s="33"/>
    </row>
    <row r="7648" spans="10:10" ht="15" customHeight="1" x14ac:dyDescent="0.3">
      <c r="J7648" s="33"/>
    </row>
    <row r="7649" spans="10:10" ht="15" customHeight="1" x14ac:dyDescent="0.3">
      <c r="J7649" s="33"/>
    </row>
    <row r="7650" spans="10:10" ht="15" customHeight="1" x14ac:dyDescent="0.3">
      <c r="J7650" s="33"/>
    </row>
    <row r="7651" spans="10:10" ht="15" customHeight="1" x14ac:dyDescent="0.3">
      <c r="J7651" s="33"/>
    </row>
    <row r="7652" spans="10:10" ht="15" customHeight="1" x14ac:dyDescent="0.3">
      <c r="J7652" s="33"/>
    </row>
    <row r="7653" spans="10:10" ht="15" customHeight="1" x14ac:dyDescent="0.3">
      <c r="J7653" s="33"/>
    </row>
    <row r="7654" spans="10:10" ht="15" customHeight="1" x14ac:dyDescent="0.3">
      <c r="J7654" s="33"/>
    </row>
    <row r="7655" spans="10:10" ht="15" customHeight="1" x14ac:dyDescent="0.3">
      <c r="J7655" s="33"/>
    </row>
    <row r="7656" spans="10:10" ht="15" customHeight="1" x14ac:dyDescent="0.3">
      <c r="J7656" s="33"/>
    </row>
    <row r="7657" spans="10:10" ht="15" customHeight="1" x14ac:dyDescent="0.3">
      <c r="J7657" s="33"/>
    </row>
    <row r="7658" spans="10:10" ht="15" customHeight="1" x14ac:dyDescent="0.3">
      <c r="J7658" s="33"/>
    </row>
    <row r="7659" spans="10:10" ht="15" customHeight="1" x14ac:dyDescent="0.3">
      <c r="J7659" s="33"/>
    </row>
    <row r="7660" spans="10:10" ht="15" customHeight="1" x14ac:dyDescent="0.3">
      <c r="J7660" s="33"/>
    </row>
    <row r="7661" spans="10:10" ht="15" customHeight="1" x14ac:dyDescent="0.3">
      <c r="J7661" s="33"/>
    </row>
    <row r="7662" spans="10:10" ht="15" customHeight="1" x14ac:dyDescent="0.3">
      <c r="J7662" s="33"/>
    </row>
    <row r="7663" spans="10:10" ht="15" customHeight="1" x14ac:dyDescent="0.3">
      <c r="J7663" s="33"/>
    </row>
    <row r="7664" spans="10:10" ht="15" customHeight="1" x14ac:dyDescent="0.3">
      <c r="J7664" s="33"/>
    </row>
    <row r="7665" spans="10:10" ht="15" customHeight="1" x14ac:dyDescent="0.3">
      <c r="J7665" s="33"/>
    </row>
    <row r="7666" spans="10:10" ht="15" customHeight="1" x14ac:dyDescent="0.3">
      <c r="J7666" s="33"/>
    </row>
    <row r="7667" spans="10:10" ht="15" customHeight="1" x14ac:dyDescent="0.3">
      <c r="J7667" s="33"/>
    </row>
    <row r="7668" spans="10:10" ht="15" customHeight="1" x14ac:dyDescent="0.3">
      <c r="J7668" s="33"/>
    </row>
    <row r="7669" spans="10:10" ht="15" customHeight="1" x14ac:dyDescent="0.3">
      <c r="J7669" s="33"/>
    </row>
    <row r="7670" spans="10:10" ht="15" customHeight="1" x14ac:dyDescent="0.3">
      <c r="J7670" s="33"/>
    </row>
    <row r="7671" spans="10:10" ht="15" customHeight="1" x14ac:dyDescent="0.3">
      <c r="J7671" s="33"/>
    </row>
    <row r="7672" spans="10:10" ht="15" customHeight="1" x14ac:dyDescent="0.3">
      <c r="J7672" s="33"/>
    </row>
    <row r="7673" spans="10:10" ht="15" customHeight="1" x14ac:dyDescent="0.3">
      <c r="J7673" s="33"/>
    </row>
    <row r="7674" spans="10:10" ht="15" customHeight="1" x14ac:dyDescent="0.3">
      <c r="J7674" s="33"/>
    </row>
    <row r="7675" spans="10:10" ht="15" customHeight="1" x14ac:dyDescent="0.3">
      <c r="J7675" s="33"/>
    </row>
    <row r="7676" spans="10:10" ht="15" customHeight="1" x14ac:dyDescent="0.3">
      <c r="J7676" s="33"/>
    </row>
    <row r="7677" spans="10:10" ht="15" customHeight="1" x14ac:dyDescent="0.3">
      <c r="J7677" s="33"/>
    </row>
    <row r="7678" spans="10:10" ht="15" customHeight="1" x14ac:dyDescent="0.3">
      <c r="J7678" s="33"/>
    </row>
    <row r="7679" spans="10:10" ht="15" customHeight="1" x14ac:dyDescent="0.3">
      <c r="J7679" s="33"/>
    </row>
    <row r="7680" spans="10:10" ht="15" customHeight="1" x14ac:dyDescent="0.3">
      <c r="J7680" s="33"/>
    </row>
    <row r="7681" spans="10:10" ht="15" customHeight="1" x14ac:dyDescent="0.3">
      <c r="J7681" s="33"/>
    </row>
    <row r="7682" spans="10:10" ht="15" customHeight="1" x14ac:dyDescent="0.3">
      <c r="J7682" s="33"/>
    </row>
    <row r="7683" spans="10:10" ht="15" customHeight="1" x14ac:dyDescent="0.3">
      <c r="J7683" s="33"/>
    </row>
    <row r="7684" spans="10:10" ht="15" customHeight="1" x14ac:dyDescent="0.3">
      <c r="J7684" s="33"/>
    </row>
    <row r="7685" spans="10:10" ht="15" customHeight="1" x14ac:dyDescent="0.3">
      <c r="J7685" s="33"/>
    </row>
    <row r="7686" spans="10:10" ht="15" customHeight="1" x14ac:dyDescent="0.3">
      <c r="J7686" s="33"/>
    </row>
    <row r="7687" spans="10:10" ht="15" customHeight="1" x14ac:dyDescent="0.3">
      <c r="J7687" s="33"/>
    </row>
    <row r="7688" spans="10:10" ht="15" customHeight="1" x14ac:dyDescent="0.3">
      <c r="J7688" s="33"/>
    </row>
    <row r="7689" spans="10:10" ht="15" customHeight="1" x14ac:dyDescent="0.3">
      <c r="J7689" s="33"/>
    </row>
    <row r="7690" spans="10:10" ht="15" customHeight="1" x14ac:dyDescent="0.3">
      <c r="J7690" s="33"/>
    </row>
    <row r="7691" spans="10:10" ht="15" customHeight="1" x14ac:dyDescent="0.3">
      <c r="J7691" s="33"/>
    </row>
    <row r="7692" spans="10:10" ht="15" customHeight="1" x14ac:dyDescent="0.3">
      <c r="J7692" s="33"/>
    </row>
    <row r="7693" spans="10:10" ht="15" customHeight="1" x14ac:dyDescent="0.3">
      <c r="J7693" s="33"/>
    </row>
    <row r="7694" spans="10:10" ht="15" customHeight="1" x14ac:dyDescent="0.3">
      <c r="J7694" s="33"/>
    </row>
    <row r="7695" spans="10:10" ht="15" customHeight="1" x14ac:dyDescent="0.3">
      <c r="J7695" s="33"/>
    </row>
    <row r="7696" spans="10:10" ht="15" customHeight="1" x14ac:dyDescent="0.3">
      <c r="J7696" s="33"/>
    </row>
    <row r="7697" spans="10:10" ht="15" customHeight="1" x14ac:dyDescent="0.3">
      <c r="J7697" s="33"/>
    </row>
    <row r="7698" spans="10:10" ht="15" customHeight="1" x14ac:dyDescent="0.3">
      <c r="J7698" s="33"/>
    </row>
    <row r="7699" spans="10:10" ht="15" customHeight="1" x14ac:dyDescent="0.3">
      <c r="J7699" s="33"/>
    </row>
    <row r="7700" spans="10:10" ht="15" customHeight="1" x14ac:dyDescent="0.3">
      <c r="J7700" s="33"/>
    </row>
    <row r="7701" spans="10:10" ht="15" customHeight="1" x14ac:dyDescent="0.3">
      <c r="J7701" s="33"/>
    </row>
    <row r="7702" spans="10:10" ht="15" customHeight="1" x14ac:dyDescent="0.3">
      <c r="J7702" s="33"/>
    </row>
    <row r="7703" spans="10:10" ht="15" customHeight="1" x14ac:dyDescent="0.3">
      <c r="J7703" s="33"/>
    </row>
    <row r="7704" spans="10:10" ht="15" customHeight="1" x14ac:dyDescent="0.3">
      <c r="J7704" s="33"/>
    </row>
    <row r="7705" spans="10:10" ht="15" customHeight="1" x14ac:dyDescent="0.3">
      <c r="J7705" s="33"/>
    </row>
    <row r="7706" spans="10:10" ht="15" customHeight="1" x14ac:dyDescent="0.3">
      <c r="J7706" s="33"/>
    </row>
    <row r="7707" spans="10:10" ht="15" customHeight="1" x14ac:dyDescent="0.3">
      <c r="J7707" s="33"/>
    </row>
    <row r="7708" spans="10:10" ht="15" customHeight="1" x14ac:dyDescent="0.3">
      <c r="J7708" s="33"/>
    </row>
    <row r="7709" spans="10:10" ht="15" customHeight="1" x14ac:dyDescent="0.3">
      <c r="J7709" s="33"/>
    </row>
    <row r="7710" spans="10:10" ht="15" customHeight="1" x14ac:dyDescent="0.3">
      <c r="J7710" s="33"/>
    </row>
    <row r="7711" spans="10:10" ht="15" customHeight="1" x14ac:dyDescent="0.3">
      <c r="J7711" s="33"/>
    </row>
    <row r="7712" spans="10:10" ht="15" customHeight="1" x14ac:dyDescent="0.3">
      <c r="J7712" s="33"/>
    </row>
    <row r="7713" spans="10:10" ht="15" customHeight="1" x14ac:dyDescent="0.3">
      <c r="J7713" s="33"/>
    </row>
    <row r="7714" spans="10:10" ht="15" customHeight="1" x14ac:dyDescent="0.3">
      <c r="J7714" s="33"/>
    </row>
    <row r="7715" spans="10:10" ht="15" customHeight="1" x14ac:dyDescent="0.3">
      <c r="J7715" s="33"/>
    </row>
    <row r="7716" spans="10:10" ht="15" customHeight="1" x14ac:dyDescent="0.3">
      <c r="J7716" s="33"/>
    </row>
    <row r="7717" spans="10:10" ht="15" customHeight="1" x14ac:dyDescent="0.3">
      <c r="J7717" s="33"/>
    </row>
    <row r="7718" spans="10:10" ht="15" customHeight="1" x14ac:dyDescent="0.3">
      <c r="J7718" s="33"/>
    </row>
    <row r="7719" spans="10:10" ht="15" customHeight="1" x14ac:dyDescent="0.3">
      <c r="J7719" s="33"/>
    </row>
    <row r="7720" spans="10:10" ht="15" customHeight="1" x14ac:dyDescent="0.3">
      <c r="J7720" s="33"/>
    </row>
    <row r="7721" spans="10:10" ht="15" customHeight="1" x14ac:dyDescent="0.3">
      <c r="J7721" s="33"/>
    </row>
    <row r="7722" spans="10:10" ht="15" customHeight="1" x14ac:dyDescent="0.3">
      <c r="J7722" s="33"/>
    </row>
    <row r="7723" spans="10:10" ht="15" customHeight="1" x14ac:dyDescent="0.3">
      <c r="J7723" s="33"/>
    </row>
    <row r="7724" spans="10:10" ht="15" customHeight="1" x14ac:dyDescent="0.3">
      <c r="J7724" s="33"/>
    </row>
    <row r="7725" spans="10:10" ht="15" customHeight="1" x14ac:dyDescent="0.3">
      <c r="J7725" s="33"/>
    </row>
    <row r="7726" spans="10:10" ht="15" customHeight="1" x14ac:dyDescent="0.3">
      <c r="J7726" s="33"/>
    </row>
    <row r="7727" spans="10:10" ht="15" customHeight="1" x14ac:dyDescent="0.3">
      <c r="J7727" s="33"/>
    </row>
    <row r="7728" spans="10:10" ht="15" customHeight="1" x14ac:dyDescent="0.3">
      <c r="J7728" s="33"/>
    </row>
    <row r="7729" spans="10:10" ht="15" customHeight="1" x14ac:dyDescent="0.3">
      <c r="J7729" s="33"/>
    </row>
    <row r="7730" spans="10:10" ht="15" customHeight="1" x14ac:dyDescent="0.3">
      <c r="J7730" s="33"/>
    </row>
    <row r="7731" spans="10:10" ht="15" customHeight="1" x14ac:dyDescent="0.3">
      <c r="J7731" s="33"/>
    </row>
    <row r="7732" spans="10:10" ht="15" customHeight="1" x14ac:dyDescent="0.3">
      <c r="J7732" s="33"/>
    </row>
    <row r="7733" spans="10:10" ht="15" customHeight="1" x14ac:dyDescent="0.3">
      <c r="J7733" s="33"/>
    </row>
    <row r="7734" spans="10:10" ht="15" customHeight="1" x14ac:dyDescent="0.3">
      <c r="J7734" s="33"/>
    </row>
    <row r="7735" spans="10:10" ht="15" customHeight="1" x14ac:dyDescent="0.3">
      <c r="J7735" s="33"/>
    </row>
    <row r="7736" spans="10:10" ht="15" customHeight="1" x14ac:dyDescent="0.3">
      <c r="J7736" s="33"/>
    </row>
    <row r="7737" spans="10:10" ht="15" customHeight="1" x14ac:dyDescent="0.3">
      <c r="J7737" s="33"/>
    </row>
    <row r="7738" spans="10:10" ht="15" customHeight="1" x14ac:dyDescent="0.3">
      <c r="J7738" s="33"/>
    </row>
    <row r="7739" spans="10:10" ht="15" customHeight="1" x14ac:dyDescent="0.3">
      <c r="J7739" s="33"/>
    </row>
    <row r="7740" spans="10:10" ht="15" customHeight="1" x14ac:dyDescent="0.3">
      <c r="J7740" s="33"/>
    </row>
    <row r="7741" spans="10:10" ht="15" customHeight="1" x14ac:dyDescent="0.3">
      <c r="J7741" s="33"/>
    </row>
    <row r="7742" spans="10:10" ht="15" customHeight="1" x14ac:dyDescent="0.3">
      <c r="J7742" s="33"/>
    </row>
    <row r="7743" spans="10:10" ht="15" customHeight="1" x14ac:dyDescent="0.3">
      <c r="J7743" s="33"/>
    </row>
    <row r="7744" spans="10:10" ht="15" customHeight="1" x14ac:dyDescent="0.3">
      <c r="J7744" s="33"/>
    </row>
    <row r="7745" spans="10:10" ht="15" customHeight="1" x14ac:dyDescent="0.3">
      <c r="J7745" s="33"/>
    </row>
    <row r="7746" spans="10:10" ht="15" customHeight="1" x14ac:dyDescent="0.3">
      <c r="J7746" s="33"/>
    </row>
    <row r="7747" spans="10:10" ht="15" customHeight="1" x14ac:dyDescent="0.3">
      <c r="J7747" s="33"/>
    </row>
    <row r="7748" spans="10:10" ht="15" customHeight="1" x14ac:dyDescent="0.3">
      <c r="J7748" s="33"/>
    </row>
    <row r="7749" spans="10:10" ht="15" customHeight="1" x14ac:dyDescent="0.3">
      <c r="J7749" s="33"/>
    </row>
    <row r="7750" spans="10:10" ht="15" customHeight="1" x14ac:dyDescent="0.3">
      <c r="J7750" s="33"/>
    </row>
    <row r="7751" spans="10:10" ht="15" customHeight="1" x14ac:dyDescent="0.3">
      <c r="J7751" s="33"/>
    </row>
    <row r="7752" spans="10:10" ht="15" customHeight="1" x14ac:dyDescent="0.3">
      <c r="J7752" s="33"/>
    </row>
    <row r="7753" spans="10:10" ht="15" customHeight="1" x14ac:dyDescent="0.3">
      <c r="J7753" s="33"/>
    </row>
    <row r="7754" spans="10:10" ht="15" customHeight="1" x14ac:dyDescent="0.3">
      <c r="J7754" s="33"/>
    </row>
    <row r="7755" spans="10:10" ht="15" customHeight="1" x14ac:dyDescent="0.3">
      <c r="J7755" s="33"/>
    </row>
    <row r="7756" spans="10:10" ht="15" customHeight="1" x14ac:dyDescent="0.3">
      <c r="J7756" s="33"/>
    </row>
    <row r="7757" spans="10:10" ht="15" customHeight="1" x14ac:dyDescent="0.3">
      <c r="J7757" s="33"/>
    </row>
    <row r="7758" spans="10:10" ht="15" customHeight="1" x14ac:dyDescent="0.3">
      <c r="J7758" s="33"/>
    </row>
    <row r="7759" spans="10:10" ht="15" customHeight="1" x14ac:dyDescent="0.3">
      <c r="J7759" s="33"/>
    </row>
    <row r="7760" spans="10:10" ht="15" customHeight="1" x14ac:dyDescent="0.3">
      <c r="J7760" s="33"/>
    </row>
    <row r="7761" spans="10:10" ht="15" customHeight="1" x14ac:dyDescent="0.3">
      <c r="J7761" s="33"/>
    </row>
    <row r="7762" spans="10:10" ht="15" customHeight="1" x14ac:dyDescent="0.3">
      <c r="J7762" s="33"/>
    </row>
    <row r="7763" spans="10:10" ht="15" customHeight="1" x14ac:dyDescent="0.3">
      <c r="J7763" s="33"/>
    </row>
    <row r="7764" spans="10:10" ht="15" customHeight="1" x14ac:dyDescent="0.3">
      <c r="J7764" s="33"/>
    </row>
    <row r="7765" spans="10:10" ht="15" customHeight="1" x14ac:dyDescent="0.3">
      <c r="J7765" s="33"/>
    </row>
    <row r="7766" spans="10:10" ht="15" customHeight="1" x14ac:dyDescent="0.3">
      <c r="J7766" s="33"/>
    </row>
    <row r="7767" spans="10:10" ht="15" customHeight="1" x14ac:dyDescent="0.3">
      <c r="J7767" s="33"/>
    </row>
    <row r="7768" spans="10:10" ht="15" customHeight="1" x14ac:dyDescent="0.3">
      <c r="J7768" s="33"/>
    </row>
    <row r="7769" spans="10:10" ht="15" customHeight="1" x14ac:dyDescent="0.3">
      <c r="J7769" s="33"/>
    </row>
    <row r="7770" spans="10:10" ht="15" customHeight="1" x14ac:dyDescent="0.3">
      <c r="J7770" s="33"/>
    </row>
    <row r="7771" spans="10:10" ht="15" customHeight="1" x14ac:dyDescent="0.3">
      <c r="J7771" s="33"/>
    </row>
    <row r="7772" spans="10:10" ht="15" customHeight="1" x14ac:dyDescent="0.3">
      <c r="J7772" s="33"/>
    </row>
    <row r="7773" spans="10:10" ht="15" customHeight="1" x14ac:dyDescent="0.3">
      <c r="J7773" s="33"/>
    </row>
    <row r="7774" spans="10:10" ht="15" customHeight="1" x14ac:dyDescent="0.3">
      <c r="J7774" s="33"/>
    </row>
    <row r="7775" spans="10:10" ht="15" customHeight="1" x14ac:dyDescent="0.3">
      <c r="J7775" s="33"/>
    </row>
    <row r="7776" spans="10:10" ht="15" customHeight="1" x14ac:dyDescent="0.3">
      <c r="J7776" s="33"/>
    </row>
    <row r="7777" spans="10:10" ht="15" customHeight="1" x14ac:dyDescent="0.3">
      <c r="J7777" s="33"/>
    </row>
    <row r="7778" spans="10:10" ht="15" customHeight="1" x14ac:dyDescent="0.3">
      <c r="J7778" s="33"/>
    </row>
    <row r="7779" spans="10:10" ht="15" customHeight="1" x14ac:dyDescent="0.3">
      <c r="J7779" s="33"/>
    </row>
    <row r="7780" spans="10:10" ht="15" customHeight="1" x14ac:dyDescent="0.3">
      <c r="J7780" s="33"/>
    </row>
    <row r="7781" spans="10:10" ht="15" customHeight="1" x14ac:dyDescent="0.3">
      <c r="J7781" s="33"/>
    </row>
    <row r="7782" spans="10:10" ht="15" customHeight="1" x14ac:dyDescent="0.3">
      <c r="J7782" s="33"/>
    </row>
    <row r="7783" spans="10:10" ht="15" customHeight="1" x14ac:dyDescent="0.3">
      <c r="J7783" s="33"/>
    </row>
    <row r="7784" spans="10:10" ht="15" customHeight="1" x14ac:dyDescent="0.3">
      <c r="J7784" s="33"/>
    </row>
    <row r="7785" spans="10:10" ht="15" customHeight="1" x14ac:dyDescent="0.3">
      <c r="J7785" s="33"/>
    </row>
    <row r="7786" spans="10:10" ht="15" customHeight="1" x14ac:dyDescent="0.3">
      <c r="J7786" s="33"/>
    </row>
    <row r="7787" spans="10:10" ht="15" customHeight="1" x14ac:dyDescent="0.3">
      <c r="J7787" s="33"/>
    </row>
    <row r="7788" spans="10:10" ht="15" customHeight="1" x14ac:dyDescent="0.3">
      <c r="J7788" s="33"/>
    </row>
    <row r="7789" spans="10:10" ht="15" customHeight="1" x14ac:dyDescent="0.3">
      <c r="J7789" s="33"/>
    </row>
    <row r="7790" spans="10:10" ht="15" customHeight="1" x14ac:dyDescent="0.3">
      <c r="J7790" s="33"/>
    </row>
    <row r="7791" spans="10:10" ht="15" customHeight="1" x14ac:dyDescent="0.3">
      <c r="J7791" s="33"/>
    </row>
    <row r="7792" spans="10:10" ht="15" customHeight="1" x14ac:dyDescent="0.3">
      <c r="J7792" s="33"/>
    </row>
    <row r="7793" spans="10:10" ht="15" customHeight="1" x14ac:dyDescent="0.3">
      <c r="J7793" s="33"/>
    </row>
    <row r="7794" spans="10:10" ht="15" customHeight="1" x14ac:dyDescent="0.3">
      <c r="J7794" s="33"/>
    </row>
    <row r="7795" spans="10:10" ht="15" customHeight="1" x14ac:dyDescent="0.3">
      <c r="J7795" s="33"/>
    </row>
    <row r="7796" spans="10:10" ht="15" customHeight="1" x14ac:dyDescent="0.3">
      <c r="J7796" s="33"/>
    </row>
    <row r="7797" spans="10:10" ht="15" customHeight="1" x14ac:dyDescent="0.3">
      <c r="J7797" s="33"/>
    </row>
    <row r="7798" spans="10:10" ht="15" customHeight="1" x14ac:dyDescent="0.3">
      <c r="J7798" s="33"/>
    </row>
    <row r="7799" spans="10:10" ht="15" customHeight="1" x14ac:dyDescent="0.3">
      <c r="J7799" s="33"/>
    </row>
    <row r="7800" spans="10:10" ht="15" customHeight="1" x14ac:dyDescent="0.3">
      <c r="J7800" s="33"/>
    </row>
    <row r="7801" spans="10:10" ht="15" customHeight="1" x14ac:dyDescent="0.3">
      <c r="J7801" s="33"/>
    </row>
    <row r="7802" spans="10:10" ht="15" customHeight="1" x14ac:dyDescent="0.3">
      <c r="J7802" s="33"/>
    </row>
    <row r="7803" spans="10:10" ht="15" customHeight="1" x14ac:dyDescent="0.3">
      <c r="J7803" s="33"/>
    </row>
    <row r="7804" spans="10:10" ht="15" customHeight="1" x14ac:dyDescent="0.3">
      <c r="J7804" s="33"/>
    </row>
    <row r="7805" spans="10:10" ht="15" customHeight="1" x14ac:dyDescent="0.3">
      <c r="J7805" s="33"/>
    </row>
    <row r="7806" spans="10:10" ht="15" customHeight="1" x14ac:dyDescent="0.3">
      <c r="J7806" s="33"/>
    </row>
    <row r="7807" spans="10:10" ht="15" customHeight="1" x14ac:dyDescent="0.3">
      <c r="J7807" s="33"/>
    </row>
    <row r="7808" spans="10:10" ht="15" customHeight="1" x14ac:dyDescent="0.3">
      <c r="J7808" s="33"/>
    </row>
    <row r="7809" spans="10:10" ht="15" customHeight="1" x14ac:dyDescent="0.3">
      <c r="J7809" s="33"/>
    </row>
    <row r="7810" spans="10:10" ht="15" customHeight="1" x14ac:dyDescent="0.3">
      <c r="J7810" s="33"/>
    </row>
    <row r="7811" spans="10:10" ht="15" customHeight="1" x14ac:dyDescent="0.3">
      <c r="J7811" s="33"/>
    </row>
    <row r="7812" spans="10:10" ht="15" customHeight="1" x14ac:dyDescent="0.3">
      <c r="J7812" s="33"/>
    </row>
    <row r="7813" spans="10:10" ht="15" customHeight="1" x14ac:dyDescent="0.3">
      <c r="J7813" s="33"/>
    </row>
    <row r="7814" spans="10:10" ht="15" customHeight="1" x14ac:dyDescent="0.3">
      <c r="J7814" s="33"/>
    </row>
    <row r="7815" spans="10:10" ht="15" customHeight="1" x14ac:dyDescent="0.3">
      <c r="J7815" s="33"/>
    </row>
    <row r="7816" spans="10:10" ht="15" customHeight="1" x14ac:dyDescent="0.3">
      <c r="J7816" s="33"/>
    </row>
    <row r="7817" spans="10:10" ht="15" customHeight="1" x14ac:dyDescent="0.3">
      <c r="J7817" s="33"/>
    </row>
    <row r="7818" spans="10:10" ht="15" customHeight="1" x14ac:dyDescent="0.3">
      <c r="J7818" s="33"/>
    </row>
    <row r="7819" spans="10:10" ht="15" customHeight="1" x14ac:dyDescent="0.3">
      <c r="J7819" s="33"/>
    </row>
    <row r="7820" spans="10:10" ht="15" customHeight="1" x14ac:dyDescent="0.3">
      <c r="J7820" s="33"/>
    </row>
    <row r="7821" spans="10:10" ht="15" customHeight="1" x14ac:dyDescent="0.3">
      <c r="J7821" s="33"/>
    </row>
    <row r="7822" spans="10:10" ht="15" customHeight="1" x14ac:dyDescent="0.3">
      <c r="J7822" s="33"/>
    </row>
    <row r="7823" spans="10:10" ht="15" customHeight="1" x14ac:dyDescent="0.3">
      <c r="J7823" s="33"/>
    </row>
    <row r="7824" spans="10:10" ht="15" customHeight="1" x14ac:dyDescent="0.3">
      <c r="J7824" s="33"/>
    </row>
    <row r="7825" spans="10:10" ht="15" customHeight="1" x14ac:dyDescent="0.3">
      <c r="J7825" s="33"/>
    </row>
    <row r="7826" spans="10:10" ht="15" customHeight="1" x14ac:dyDescent="0.3">
      <c r="J7826" s="33"/>
    </row>
    <row r="7827" spans="10:10" ht="15" customHeight="1" x14ac:dyDescent="0.3">
      <c r="J7827" s="33"/>
    </row>
    <row r="7828" spans="10:10" ht="15" customHeight="1" x14ac:dyDescent="0.3">
      <c r="J7828" s="33"/>
    </row>
    <row r="7829" spans="10:10" ht="15" customHeight="1" x14ac:dyDescent="0.3">
      <c r="J7829" s="33"/>
    </row>
    <row r="7830" spans="10:10" ht="15" customHeight="1" x14ac:dyDescent="0.3">
      <c r="J7830" s="33"/>
    </row>
    <row r="7831" spans="10:10" ht="15" customHeight="1" x14ac:dyDescent="0.3">
      <c r="J7831" s="33"/>
    </row>
    <row r="7832" spans="10:10" ht="15" customHeight="1" x14ac:dyDescent="0.3">
      <c r="J7832" s="33"/>
    </row>
    <row r="7833" spans="10:10" ht="15" customHeight="1" x14ac:dyDescent="0.3">
      <c r="J7833" s="33"/>
    </row>
    <row r="7834" spans="10:10" ht="15" customHeight="1" x14ac:dyDescent="0.3">
      <c r="J7834" s="33"/>
    </row>
    <row r="7835" spans="10:10" ht="15" customHeight="1" x14ac:dyDescent="0.3">
      <c r="J7835" s="33"/>
    </row>
    <row r="7836" spans="10:10" ht="15" customHeight="1" x14ac:dyDescent="0.3">
      <c r="J7836" s="33"/>
    </row>
    <row r="7837" spans="10:10" ht="15" customHeight="1" x14ac:dyDescent="0.3">
      <c r="J7837" s="33"/>
    </row>
    <row r="7838" spans="10:10" ht="15" customHeight="1" x14ac:dyDescent="0.3">
      <c r="J7838" s="33"/>
    </row>
    <row r="7839" spans="10:10" ht="15" customHeight="1" x14ac:dyDescent="0.3">
      <c r="J7839" s="33"/>
    </row>
    <row r="7840" spans="10:10" ht="15" customHeight="1" x14ac:dyDescent="0.3">
      <c r="J7840" s="33"/>
    </row>
    <row r="7841" spans="10:10" ht="15" customHeight="1" x14ac:dyDescent="0.3">
      <c r="J7841" s="33"/>
    </row>
    <row r="7842" spans="10:10" ht="15" customHeight="1" x14ac:dyDescent="0.3">
      <c r="J7842" s="33"/>
    </row>
    <row r="7843" spans="10:10" ht="15" customHeight="1" x14ac:dyDescent="0.3">
      <c r="J7843" s="33"/>
    </row>
    <row r="7844" spans="10:10" ht="15" customHeight="1" x14ac:dyDescent="0.3">
      <c r="J7844" s="33"/>
    </row>
    <row r="7845" spans="10:10" ht="15" customHeight="1" x14ac:dyDescent="0.3">
      <c r="J7845" s="33"/>
    </row>
    <row r="7846" spans="10:10" ht="15" customHeight="1" x14ac:dyDescent="0.3">
      <c r="J7846" s="33"/>
    </row>
    <row r="7847" spans="10:10" ht="15" customHeight="1" x14ac:dyDescent="0.3">
      <c r="J7847" s="33"/>
    </row>
    <row r="7848" spans="10:10" ht="15" customHeight="1" x14ac:dyDescent="0.3">
      <c r="J7848" s="33"/>
    </row>
    <row r="7849" spans="10:10" ht="15" customHeight="1" x14ac:dyDescent="0.3">
      <c r="J7849" s="33"/>
    </row>
    <row r="7850" spans="10:10" ht="15" customHeight="1" x14ac:dyDescent="0.3">
      <c r="J7850" s="33"/>
    </row>
    <row r="7851" spans="10:10" ht="15" customHeight="1" x14ac:dyDescent="0.3">
      <c r="J7851" s="33"/>
    </row>
    <row r="7852" spans="10:10" ht="15" customHeight="1" x14ac:dyDescent="0.3">
      <c r="J7852" s="33"/>
    </row>
    <row r="7853" spans="10:10" ht="15" customHeight="1" x14ac:dyDescent="0.3">
      <c r="J7853" s="33"/>
    </row>
    <row r="7854" spans="10:10" ht="15" customHeight="1" x14ac:dyDescent="0.3">
      <c r="J7854" s="33"/>
    </row>
    <row r="7855" spans="10:10" ht="15" customHeight="1" x14ac:dyDescent="0.3">
      <c r="J7855" s="33"/>
    </row>
    <row r="7856" spans="10:10" ht="15" customHeight="1" x14ac:dyDescent="0.3">
      <c r="J7856" s="33"/>
    </row>
    <row r="7857" spans="10:10" ht="15" customHeight="1" x14ac:dyDescent="0.3">
      <c r="J7857" s="33"/>
    </row>
    <row r="7858" spans="10:10" ht="15" customHeight="1" x14ac:dyDescent="0.3">
      <c r="J7858" s="33"/>
    </row>
    <row r="7859" spans="10:10" ht="15" customHeight="1" x14ac:dyDescent="0.3">
      <c r="J7859" s="33"/>
    </row>
    <row r="7860" spans="10:10" ht="15" customHeight="1" x14ac:dyDescent="0.3">
      <c r="J7860" s="33"/>
    </row>
    <row r="7861" spans="10:10" ht="15" customHeight="1" x14ac:dyDescent="0.3">
      <c r="J7861" s="33"/>
    </row>
    <row r="7862" spans="10:10" ht="15" customHeight="1" x14ac:dyDescent="0.3">
      <c r="J7862" s="33"/>
    </row>
    <row r="7863" spans="10:10" ht="15" customHeight="1" x14ac:dyDescent="0.3">
      <c r="J7863" s="33"/>
    </row>
    <row r="7864" spans="10:10" ht="15" customHeight="1" x14ac:dyDescent="0.3">
      <c r="J7864" s="33"/>
    </row>
    <row r="7865" spans="10:10" ht="15" customHeight="1" x14ac:dyDescent="0.3">
      <c r="J7865" s="33"/>
    </row>
    <row r="7866" spans="10:10" ht="15" customHeight="1" x14ac:dyDescent="0.3">
      <c r="J7866" s="33"/>
    </row>
    <row r="7867" spans="10:10" ht="15" customHeight="1" x14ac:dyDescent="0.3">
      <c r="J7867" s="33"/>
    </row>
    <row r="7868" spans="10:10" ht="15" customHeight="1" x14ac:dyDescent="0.3">
      <c r="J7868" s="33"/>
    </row>
    <row r="7869" spans="10:10" ht="15" customHeight="1" x14ac:dyDescent="0.3">
      <c r="J7869" s="33"/>
    </row>
    <row r="7870" spans="10:10" ht="15" customHeight="1" x14ac:dyDescent="0.3">
      <c r="J7870" s="33"/>
    </row>
    <row r="7871" spans="10:10" ht="15" customHeight="1" x14ac:dyDescent="0.3">
      <c r="J7871" s="33"/>
    </row>
    <row r="7872" spans="10:10" ht="15" customHeight="1" x14ac:dyDescent="0.3">
      <c r="J7872" s="33"/>
    </row>
    <row r="7873" spans="10:10" ht="15" customHeight="1" x14ac:dyDescent="0.3">
      <c r="J7873" s="33"/>
    </row>
    <row r="7874" spans="10:10" ht="15" customHeight="1" x14ac:dyDescent="0.3">
      <c r="J7874" s="33"/>
    </row>
    <row r="7875" spans="10:10" ht="15" customHeight="1" x14ac:dyDescent="0.3">
      <c r="J7875" s="33"/>
    </row>
    <row r="7876" spans="10:10" ht="15" customHeight="1" x14ac:dyDescent="0.3">
      <c r="J7876" s="33"/>
    </row>
    <row r="7877" spans="10:10" ht="15" customHeight="1" x14ac:dyDescent="0.3">
      <c r="J7877" s="33"/>
    </row>
    <row r="7878" spans="10:10" ht="15" customHeight="1" x14ac:dyDescent="0.3">
      <c r="J7878" s="33"/>
    </row>
    <row r="7879" spans="10:10" ht="15" customHeight="1" x14ac:dyDescent="0.3">
      <c r="J7879" s="33"/>
    </row>
    <row r="7880" spans="10:10" ht="15" customHeight="1" x14ac:dyDescent="0.3">
      <c r="J7880" s="33"/>
    </row>
    <row r="7881" spans="10:10" ht="15" customHeight="1" x14ac:dyDescent="0.3">
      <c r="J7881" s="33"/>
    </row>
    <row r="7882" spans="10:10" ht="15" customHeight="1" x14ac:dyDescent="0.3">
      <c r="J7882" s="33"/>
    </row>
    <row r="7883" spans="10:10" ht="15" customHeight="1" x14ac:dyDescent="0.3">
      <c r="J7883" s="33"/>
    </row>
    <row r="7884" spans="10:10" ht="15" customHeight="1" x14ac:dyDescent="0.3">
      <c r="J7884" s="33"/>
    </row>
    <row r="7885" spans="10:10" ht="15" customHeight="1" x14ac:dyDescent="0.3">
      <c r="J7885" s="33"/>
    </row>
    <row r="7886" spans="10:10" ht="15" customHeight="1" x14ac:dyDescent="0.3">
      <c r="J7886" s="33"/>
    </row>
    <row r="7887" spans="10:10" ht="15" customHeight="1" x14ac:dyDescent="0.3">
      <c r="J7887" s="33"/>
    </row>
    <row r="7888" spans="10:10" ht="15" customHeight="1" x14ac:dyDescent="0.3">
      <c r="J7888" s="33"/>
    </row>
    <row r="7889" spans="10:10" ht="15" customHeight="1" x14ac:dyDescent="0.3">
      <c r="J7889" s="33"/>
    </row>
    <row r="7890" spans="10:10" ht="15" customHeight="1" x14ac:dyDescent="0.3">
      <c r="J7890" s="33"/>
    </row>
    <row r="7891" spans="10:10" ht="15" customHeight="1" x14ac:dyDescent="0.3">
      <c r="J7891" s="33"/>
    </row>
    <row r="7892" spans="10:10" ht="15" customHeight="1" x14ac:dyDescent="0.3">
      <c r="J7892" s="33"/>
    </row>
    <row r="7893" spans="10:10" ht="15" customHeight="1" x14ac:dyDescent="0.3">
      <c r="J7893" s="33"/>
    </row>
    <row r="7894" spans="10:10" ht="15" customHeight="1" x14ac:dyDescent="0.3">
      <c r="J7894" s="33"/>
    </row>
    <row r="7895" spans="10:10" ht="15" customHeight="1" x14ac:dyDescent="0.3">
      <c r="J7895" s="33"/>
    </row>
    <row r="7896" spans="10:10" ht="15" customHeight="1" x14ac:dyDescent="0.3">
      <c r="J7896" s="33"/>
    </row>
    <row r="7897" spans="10:10" ht="15" customHeight="1" x14ac:dyDescent="0.3">
      <c r="J7897" s="33"/>
    </row>
    <row r="7898" spans="10:10" ht="15" customHeight="1" x14ac:dyDescent="0.3">
      <c r="J7898" s="33"/>
    </row>
    <row r="7899" spans="10:10" ht="15" customHeight="1" x14ac:dyDescent="0.3">
      <c r="J7899" s="33"/>
    </row>
    <row r="7900" spans="10:10" ht="15" customHeight="1" x14ac:dyDescent="0.3">
      <c r="J7900" s="33"/>
    </row>
    <row r="7901" spans="10:10" ht="15" customHeight="1" x14ac:dyDescent="0.3">
      <c r="J7901" s="33"/>
    </row>
    <row r="7902" spans="10:10" ht="15" customHeight="1" x14ac:dyDescent="0.3">
      <c r="J7902" s="33"/>
    </row>
    <row r="7903" spans="10:10" ht="15" customHeight="1" x14ac:dyDescent="0.3">
      <c r="J7903" s="33"/>
    </row>
    <row r="7904" spans="10:10" ht="15" customHeight="1" x14ac:dyDescent="0.3">
      <c r="J7904" s="33"/>
    </row>
    <row r="7905" spans="10:10" ht="15" customHeight="1" x14ac:dyDescent="0.3">
      <c r="J7905" s="33"/>
    </row>
    <row r="7906" spans="10:10" ht="15" customHeight="1" x14ac:dyDescent="0.3">
      <c r="J7906" s="33"/>
    </row>
    <row r="7907" spans="10:10" ht="15" customHeight="1" x14ac:dyDescent="0.3">
      <c r="J7907" s="33"/>
    </row>
    <row r="7908" spans="10:10" ht="15" customHeight="1" x14ac:dyDescent="0.3">
      <c r="J7908" s="33"/>
    </row>
    <row r="7909" spans="10:10" ht="15" customHeight="1" x14ac:dyDescent="0.3">
      <c r="J7909" s="33"/>
    </row>
    <row r="7910" spans="10:10" ht="15" customHeight="1" x14ac:dyDescent="0.3">
      <c r="J7910" s="33"/>
    </row>
    <row r="7911" spans="10:10" ht="15" customHeight="1" x14ac:dyDescent="0.3">
      <c r="J7911" s="33"/>
    </row>
    <row r="7912" spans="10:10" ht="15" customHeight="1" x14ac:dyDescent="0.3">
      <c r="J7912" s="33"/>
    </row>
    <row r="7913" spans="10:10" ht="15" customHeight="1" x14ac:dyDescent="0.3">
      <c r="J7913" s="33"/>
    </row>
    <row r="7914" spans="10:10" ht="15" customHeight="1" x14ac:dyDescent="0.3">
      <c r="J7914" s="33"/>
    </row>
    <row r="7915" spans="10:10" ht="15" customHeight="1" x14ac:dyDescent="0.3">
      <c r="J7915" s="33"/>
    </row>
    <row r="7916" spans="10:10" ht="15" customHeight="1" x14ac:dyDescent="0.3">
      <c r="J7916" s="33"/>
    </row>
    <row r="7917" spans="10:10" ht="15" customHeight="1" x14ac:dyDescent="0.3">
      <c r="J7917" s="33"/>
    </row>
    <row r="7918" spans="10:10" ht="15" customHeight="1" x14ac:dyDescent="0.3">
      <c r="J7918" s="33"/>
    </row>
    <row r="7919" spans="10:10" ht="15" customHeight="1" x14ac:dyDescent="0.3">
      <c r="J7919" s="33"/>
    </row>
    <row r="7920" spans="10:10" ht="15" customHeight="1" x14ac:dyDescent="0.3">
      <c r="J7920" s="33"/>
    </row>
    <row r="7921" spans="10:10" ht="15" customHeight="1" x14ac:dyDescent="0.3">
      <c r="J7921" s="33"/>
    </row>
    <row r="7922" spans="10:10" ht="15" customHeight="1" x14ac:dyDescent="0.3">
      <c r="J7922" s="33"/>
    </row>
    <row r="7923" spans="10:10" ht="15" customHeight="1" x14ac:dyDescent="0.3">
      <c r="J7923" s="33"/>
    </row>
    <row r="7924" spans="10:10" ht="15" customHeight="1" x14ac:dyDescent="0.3">
      <c r="J7924" s="33"/>
    </row>
    <row r="7925" spans="10:10" ht="15" customHeight="1" x14ac:dyDescent="0.3">
      <c r="J7925" s="33"/>
    </row>
    <row r="7926" spans="10:10" ht="15" customHeight="1" x14ac:dyDescent="0.3">
      <c r="J7926" s="33"/>
    </row>
    <row r="7927" spans="10:10" ht="15" customHeight="1" x14ac:dyDescent="0.3">
      <c r="J7927" s="33"/>
    </row>
    <row r="7928" spans="10:10" ht="15" customHeight="1" x14ac:dyDescent="0.3">
      <c r="J7928" s="33"/>
    </row>
    <row r="7929" spans="10:10" ht="15" customHeight="1" x14ac:dyDescent="0.3">
      <c r="J7929" s="33"/>
    </row>
    <row r="7930" spans="10:10" ht="15" customHeight="1" x14ac:dyDescent="0.3">
      <c r="J7930" s="33"/>
    </row>
    <row r="7931" spans="10:10" ht="15" customHeight="1" x14ac:dyDescent="0.3">
      <c r="J7931" s="33"/>
    </row>
    <row r="7932" spans="10:10" ht="15" customHeight="1" x14ac:dyDescent="0.3">
      <c r="J7932" s="33"/>
    </row>
    <row r="7933" spans="10:10" ht="15" customHeight="1" x14ac:dyDescent="0.3">
      <c r="J7933" s="33"/>
    </row>
    <row r="7934" spans="10:10" ht="15" customHeight="1" x14ac:dyDescent="0.3">
      <c r="J7934" s="33"/>
    </row>
    <row r="7935" spans="10:10" ht="15" customHeight="1" x14ac:dyDescent="0.3">
      <c r="J7935" s="33"/>
    </row>
    <row r="7936" spans="10:10" ht="15" customHeight="1" x14ac:dyDescent="0.3">
      <c r="J7936" s="33"/>
    </row>
    <row r="7937" spans="10:10" ht="15" customHeight="1" x14ac:dyDescent="0.3">
      <c r="J7937" s="33"/>
    </row>
    <row r="7938" spans="10:10" ht="15" customHeight="1" x14ac:dyDescent="0.3">
      <c r="J7938" s="33"/>
    </row>
    <row r="7939" spans="10:10" ht="15" customHeight="1" x14ac:dyDescent="0.3">
      <c r="J7939" s="33"/>
    </row>
    <row r="7940" spans="10:10" ht="15" customHeight="1" x14ac:dyDescent="0.3">
      <c r="J7940" s="33"/>
    </row>
    <row r="7941" spans="10:10" ht="15" customHeight="1" x14ac:dyDescent="0.3">
      <c r="J7941" s="33"/>
    </row>
    <row r="7942" spans="10:10" ht="15" customHeight="1" x14ac:dyDescent="0.3">
      <c r="J7942" s="33"/>
    </row>
    <row r="7943" spans="10:10" ht="15" customHeight="1" x14ac:dyDescent="0.3">
      <c r="J7943" s="33"/>
    </row>
    <row r="7944" spans="10:10" ht="15" customHeight="1" x14ac:dyDescent="0.3">
      <c r="J7944" s="33"/>
    </row>
    <row r="7945" spans="10:10" ht="15" customHeight="1" x14ac:dyDescent="0.3">
      <c r="J7945" s="33"/>
    </row>
    <row r="7946" spans="10:10" ht="15" customHeight="1" x14ac:dyDescent="0.3">
      <c r="J7946" s="33"/>
    </row>
    <row r="7947" spans="10:10" ht="15" customHeight="1" x14ac:dyDescent="0.3">
      <c r="J7947" s="33"/>
    </row>
    <row r="7948" spans="10:10" ht="15" customHeight="1" x14ac:dyDescent="0.3">
      <c r="J7948" s="33"/>
    </row>
    <row r="7949" spans="10:10" ht="15" customHeight="1" x14ac:dyDescent="0.3">
      <c r="J7949" s="33"/>
    </row>
    <row r="7950" spans="10:10" ht="15" customHeight="1" x14ac:dyDescent="0.3">
      <c r="J7950" s="33"/>
    </row>
    <row r="7951" spans="10:10" ht="15" customHeight="1" x14ac:dyDescent="0.3">
      <c r="J7951" s="33"/>
    </row>
    <row r="7952" spans="10:10" ht="15" customHeight="1" x14ac:dyDescent="0.3">
      <c r="J7952" s="33"/>
    </row>
    <row r="7953" spans="10:10" ht="15" customHeight="1" x14ac:dyDescent="0.3">
      <c r="J7953" s="33"/>
    </row>
    <row r="7954" spans="10:10" ht="15" customHeight="1" x14ac:dyDescent="0.3">
      <c r="J7954" s="33"/>
    </row>
    <row r="7955" spans="10:10" ht="15" customHeight="1" x14ac:dyDescent="0.3">
      <c r="J7955" s="33"/>
    </row>
    <row r="7956" spans="10:10" ht="15" customHeight="1" x14ac:dyDescent="0.3">
      <c r="J7956" s="33"/>
    </row>
    <row r="7957" spans="10:10" ht="15" customHeight="1" x14ac:dyDescent="0.3">
      <c r="J7957" s="33"/>
    </row>
    <row r="7958" spans="10:10" ht="15" customHeight="1" x14ac:dyDescent="0.3">
      <c r="J7958" s="33"/>
    </row>
    <row r="7959" spans="10:10" ht="15" customHeight="1" x14ac:dyDescent="0.3">
      <c r="J7959" s="33"/>
    </row>
    <row r="7960" spans="10:10" ht="15" customHeight="1" x14ac:dyDescent="0.3">
      <c r="J7960" s="33"/>
    </row>
    <row r="7961" spans="10:10" ht="15" customHeight="1" x14ac:dyDescent="0.3">
      <c r="J7961" s="33"/>
    </row>
    <row r="7962" spans="10:10" ht="15" customHeight="1" x14ac:dyDescent="0.3">
      <c r="J7962" s="33"/>
    </row>
    <row r="7963" spans="10:10" ht="15" customHeight="1" x14ac:dyDescent="0.3">
      <c r="J7963" s="33"/>
    </row>
    <row r="7964" spans="10:10" ht="15" customHeight="1" x14ac:dyDescent="0.3">
      <c r="J7964" s="33"/>
    </row>
    <row r="7965" spans="10:10" ht="15" customHeight="1" x14ac:dyDescent="0.3">
      <c r="J7965" s="33"/>
    </row>
    <row r="7966" spans="10:10" ht="15" customHeight="1" x14ac:dyDescent="0.3">
      <c r="J7966" s="33"/>
    </row>
    <row r="7967" spans="10:10" ht="15" customHeight="1" x14ac:dyDescent="0.3">
      <c r="J7967" s="33"/>
    </row>
    <row r="7968" spans="10:10" ht="15" customHeight="1" x14ac:dyDescent="0.3">
      <c r="J7968" s="33"/>
    </row>
    <row r="7969" spans="10:10" ht="15" customHeight="1" x14ac:dyDescent="0.3">
      <c r="J7969" s="33"/>
    </row>
    <row r="7970" spans="10:10" ht="15" customHeight="1" x14ac:dyDescent="0.3">
      <c r="J7970" s="33"/>
    </row>
    <row r="7971" spans="10:10" ht="15" customHeight="1" x14ac:dyDescent="0.3">
      <c r="J7971" s="33"/>
    </row>
    <row r="7972" spans="10:10" ht="15" customHeight="1" x14ac:dyDescent="0.3">
      <c r="J7972" s="33"/>
    </row>
    <row r="7973" spans="10:10" ht="15" customHeight="1" x14ac:dyDescent="0.3">
      <c r="J7973" s="33"/>
    </row>
    <row r="7974" spans="10:10" ht="15" customHeight="1" x14ac:dyDescent="0.3">
      <c r="J7974" s="33"/>
    </row>
    <row r="7975" spans="10:10" ht="15" customHeight="1" x14ac:dyDescent="0.3">
      <c r="J7975" s="33"/>
    </row>
    <row r="7976" spans="10:10" ht="15" customHeight="1" x14ac:dyDescent="0.3">
      <c r="J7976" s="33"/>
    </row>
    <row r="7977" spans="10:10" ht="15" customHeight="1" x14ac:dyDescent="0.3">
      <c r="J7977" s="33"/>
    </row>
    <row r="7978" spans="10:10" ht="15" customHeight="1" x14ac:dyDescent="0.3">
      <c r="J7978" s="33"/>
    </row>
    <row r="7979" spans="10:10" ht="15" customHeight="1" x14ac:dyDescent="0.3">
      <c r="J7979" s="33"/>
    </row>
    <row r="7980" spans="10:10" ht="15" customHeight="1" x14ac:dyDescent="0.3">
      <c r="J7980" s="33"/>
    </row>
    <row r="7981" spans="10:10" ht="15" customHeight="1" x14ac:dyDescent="0.3">
      <c r="J7981" s="33"/>
    </row>
    <row r="7982" spans="10:10" ht="15" customHeight="1" x14ac:dyDescent="0.3">
      <c r="J7982" s="33"/>
    </row>
    <row r="7983" spans="10:10" ht="15" customHeight="1" x14ac:dyDescent="0.3">
      <c r="J7983" s="33"/>
    </row>
    <row r="7984" spans="10:10" ht="15" customHeight="1" x14ac:dyDescent="0.3">
      <c r="J7984" s="33"/>
    </row>
    <row r="7985" spans="10:10" ht="15" customHeight="1" x14ac:dyDescent="0.3">
      <c r="J7985" s="33"/>
    </row>
    <row r="7986" spans="10:10" ht="15" customHeight="1" x14ac:dyDescent="0.3">
      <c r="J7986" s="33"/>
    </row>
    <row r="7987" spans="10:10" ht="15" customHeight="1" x14ac:dyDescent="0.3">
      <c r="J7987" s="33"/>
    </row>
    <row r="7988" spans="10:10" ht="15" customHeight="1" x14ac:dyDescent="0.3">
      <c r="J7988" s="33"/>
    </row>
    <row r="7989" spans="10:10" ht="15" customHeight="1" x14ac:dyDescent="0.3">
      <c r="J7989" s="33"/>
    </row>
    <row r="7990" spans="10:10" ht="15" customHeight="1" x14ac:dyDescent="0.3">
      <c r="J7990" s="33"/>
    </row>
    <row r="7991" spans="10:10" ht="15" customHeight="1" x14ac:dyDescent="0.3">
      <c r="J7991" s="33"/>
    </row>
    <row r="7992" spans="10:10" ht="15" customHeight="1" x14ac:dyDescent="0.3">
      <c r="J7992" s="33"/>
    </row>
    <row r="7993" spans="10:10" ht="15" customHeight="1" x14ac:dyDescent="0.3">
      <c r="J7993" s="33"/>
    </row>
    <row r="7994" spans="10:10" ht="15" customHeight="1" x14ac:dyDescent="0.3">
      <c r="J7994" s="33"/>
    </row>
    <row r="7995" spans="10:10" ht="15" customHeight="1" x14ac:dyDescent="0.3">
      <c r="J7995" s="33"/>
    </row>
    <row r="7996" spans="10:10" ht="15" customHeight="1" x14ac:dyDescent="0.3">
      <c r="J7996" s="33"/>
    </row>
    <row r="7997" spans="10:10" ht="15" customHeight="1" x14ac:dyDescent="0.3">
      <c r="J7997" s="33"/>
    </row>
    <row r="7998" spans="10:10" ht="15" customHeight="1" x14ac:dyDescent="0.3">
      <c r="J7998" s="33"/>
    </row>
    <row r="7999" spans="10:10" ht="15" customHeight="1" x14ac:dyDescent="0.3">
      <c r="J7999" s="33"/>
    </row>
    <row r="8000" spans="10:10" ht="15" customHeight="1" x14ac:dyDescent="0.3">
      <c r="J8000" s="33"/>
    </row>
    <row r="8001" spans="10:10" ht="15" customHeight="1" x14ac:dyDescent="0.3">
      <c r="J8001" s="33"/>
    </row>
    <row r="8002" spans="10:10" ht="15" customHeight="1" x14ac:dyDescent="0.3">
      <c r="J8002" s="33"/>
    </row>
    <row r="8003" spans="10:10" ht="15" customHeight="1" x14ac:dyDescent="0.3">
      <c r="J8003" s="33"/>
    </row>
    <row r="8004" spans="10:10" ht="15" customHeight="1" x14ac:dyDescent="0.3">
      <c r="J8004" s="33"/>
    </row>
    <row r="8005" spans="10:10" ht="15" customHeight="1" x14ac:dyDescent="0.3">
      <c r="J8005" s="33"/>
    </row>
    <row r="8006" spans="10:10" ht="15" customHeight="1" x14ac:dyDescent="0.3">
      <c r="J8006" s="33"/>
    </row>
    <row r="8007" spans="10:10" ht="15" customHeight="1" x14ac:dyDescent="0.3">
      <c r="J8007" s="33"/>
    </row>
    <row r="8008" spans="10:10" ht="15" customHeight="1" x14ac:dyDescent="0.3">
      <c r="J8008" s="33"/>
    </row>
    <row r="8009" spans="10:10" ht="15" customHeight="1" x14ac:dyDescent="0.3">
      <c r="J8009" s="33"/>
    </row>
    <row r="8010" spans="10:10" ht="15" customHeight="1" x14ac:dyDescent="0.3">
      <c r="J8010" s="33"/>
    </row>
    <row r="8011" spans="10:10" ht="15" customHeight="1" x14ac:dyDescent="0.3">
      <c r="J8011" s="33"/>
    </row>
    <row r="8012" spans="10:10" ht="15" customHeight="1" x14ac:dyDescent="0.3">
      <c r="J8012" s="33"/>
    </row>
    <row r="8013" spans="10:10" ht="15" customHeight="1" x14ac:dyDescent="0.3">
      <c r="J8013" s="33"/>
    </row>
    <row r="8014" spans="10:10" ht="15" customHeight="1" x14ac:dyDescent="0.3">
      <c r="J8014" s="33"/>
    </row>
    <row r="8015" spans="10:10" ht="15" customHeight="1" x14ac:dyDescent="0.3">
      <c r="J8015" s="33"/>
    </row>
    <row r="8016" spans="10:10" ht="15" customHeight="1" x14ac:dyDescent="0.3">
      <c r="J8016" s="33"/>
    </row>
    <row r="8017" spans="10:10" ht="15" customHeight="1" x14ac:dyDescent="0.3">
      <c r="J8017" s="33"/>
    </row>
    <row r="8018" spans="10:10" ht="15" customHeight="1" x14ac:dyDescent="0.3">
      <c r="J8018" s="33"/>
    </row>
    <row r="8019" spans="10:10" ht="15" customHeight="1" x14ac:dyDescent="0.3">
      <c r="J8019" s="33"/>
    </row>
    <row r="8020" spans="10:10" ht="15" customHeight="1" x14ac:dyDescent="0.3">
      <c r="J8020" s="33"/>
    </row>
    <row r="8021" spans="10:10" ht="15" customHeight="1" x14ac:dyDescent="0.3">
      <c r="J8021" s="33"/>
    </row>
    <row r="8022" spans="10:10" ht="15" customHeight="1" x14ac:dyDescent="0.3">
      <c r="J8022" s="33"/>
    </row>
    <row r="8023" spans="10:10" ht="15" customHeight="1" x14ac:dyDescent="0.3">
      <c r="J8023" s="33"/>
    </row>
    <row r="8024" spans="10:10" ht="15" customHeight="1" x14ac:dyDescent="0.3">
      <c r="J8024" s="33"/>
    </row>
    <row r="8025" spans="10:10" ht="15" customHeight="1" x14ac:dyDescent="0.3">
      <c r="J8025" s="33"/>
    </row>
    <row r="8026" spans="10:10" ht="15" customHeight="1" x14ac:dyDescent="0.3">
      <c r="J8026" s="33"/>
    </row>
    <row r="8027" spans="10:10" ht="15" customHeight="1" x14ac:dyDescent="0.3">
      <c r="J8027" s="33"/>
    </row>
    <row r="8028" spans="10:10" ht="15" customHeight="1" x14ac:dyDescent="0.3">
      <c r="J8028" s="33"/>
    </row>
    <row r="8029" spans="10:10" ht="15" customHeight="1" x14ac:dyDescent="0.3">
      <c r="J8029" s="33"/>
    </row>
    <row r="8030" spans="10:10" ht="15" customHeight="1" x14ac:dyDescent="0.3">
      <c r="J8030" s="33"/>
    </row>
    <row r="8031" spans="10:10" ht="15" customHeight="1" x14ac:dyDescent="0.3">
      <c r="J8031" s="33"/>
    </row>
    <row r="8032" spans="10:10" ht="15" customHeight="1" x14ac:dyDescent="0.3">
      <c r="J8032" s="33"/>
    </row>
    <row r="8033" spans="10:10" ht="15" customHeight="1" x14ac:dyDescent="0.3">
      <c r="J8033" s="33"/>
    </row>
    <row r="8034" spans="10:10" ht="15" customHeight="1" x14ac:dyDescent="0.3">
      <c r="J8034" s="33"/>
    </row>
    <row r="8035" spans="10:10" ht="15" customHeight="1" x14ac:dyDescent="0.3">
      <c r="J8035" s="33"/>
    </row>
    <row r="8036" spans="10:10" ht="15" customHeight="1" x14ac:dyDescent="0.3">
      <c r="J8036" s="33"/>
    </row>
    <row r="8037" spans="10:10" ht="15" customHeight="1" x14ac:dyDescent="0.3">
      <c r="J8037" s="33"/>
    </row>
    <row r="8038" spans="10:10" ht="15" customHeight="1" x14ac:dyDescent="0.3">
      <c r="J8038" s="33"/>
    </row>
    <row r="8039" spans="10:10" ht="15" customHeight="1" x14ac:dyDescent="0.3">
      <c r="J8039" s="33"/>
    </row>
    <row r="8040" spans="10:10" ht="15" customHeight="1" x14ac:dyDescent="0.3">
      <c r="J8040" s="33"/>
    </row>
    <row r="8041" spans="10:10" ht="15" customHeight="1" x14ac:dyDescent="0.3">
      <c r="J8041" s="33"/>
    </row>
    <row r="8042" spans="10:10" ht="15" customHeight="1" x14ac:dyDescent="0.3">
      <c r="J8042" s="33"/>
    </row>
    <row r="8043" spans="10:10" ht="15" customHeight="1" x14ac:dyDescent="0.3">
      <c r="J8043" s="33"/>
    </row>
    <row r="8044" spans="10:10" ht="15" customHeight="1" x14ac:dyDescent="0.3">
      <c r="J8044" s="33"/>
    </row>
    <row r="8045" spans="10:10" ht="15" customHeight="1" x14ac:dyDescent="0.3">
      <c r="J8045" s="33"/>
    </row>
    <row r="8046" spans="10:10" ht="15" customHeight="1" x14ac:dyDescent="0.3">
      <c r="J8046" s="33"/>
    </row>
    <row r="8047" spans="10:10" ht="15" customHeight="1" x14ac:dyDescent="0.3">
      <c r="J8047" s="33"/>
    </row>
    <row r="8048" spans="10:10" ht="15" customHeight="1" x14ac:dyDescent="0.3">
      <c r="J8048" s="33"/>
    </row>
    <row r="8049" spans="10:10" ht="15" customHeight="1" x14ac:dyDescent="0.3">
      <c r="J8049" s="33"/>
    </row>
    <row r="8050" spans="10:10" ht="15" customHeight="1" x14ac:dyDescent="0.3">
      <c r="J8050" s="33"/>
    </row>
    <row r="8051" spans="10:10" ht="15" customHeight="1" x14ac:dyDescent="0.3">
      <c r="J8051" s="33"/>
    </row>
    <row r="8052" spans="10:10" ht="15" customHeight="1" x14ac:dyDescent="0.3">
      <c r="J8052" s="33"/>
    </row>
    <row r="8053" spans="10:10" ht="15" customHeight="1" x14ac:dyDescent="0.3">
      <c r="J8053" s="33"/>
    </row>
    <row r="8054" spans="10:10" ht="15" customHeight="1" x14ac:dyDescent="0.3">
      <c r="J8054" s="33"/>
    </row>
    <row r="8055" spans="10:10" ht="15" customHeight="1" x14ac:dyDescent="0.3">
      <c r="J8055" s="33"/>
    </row>
    <row r="8056" spans="10:10" ht="15" customHeight="1" x14ac:dyDescent="0.3">
      <c r="J8056" s="33"/>
    </row>
    <row r="8057" spans="10:10" ht="15" customHeight="1" x14ac:dyDescent="0.3">
      <c r="J8057" s="33"/>
    </row>
    <row r="8058" spans="10:10" ht="15" customHeight="1" x14ac:dyDescent="0.3">
      <c r="J8058" s="33"/>
    </row>
    <row r="8059" spans="10:10" ht="15" customHeight="1" x14ac:dyDescent="0.3">
      <c r="J8059" s="33"/>
    </row>
    <row r="8060" spans="10:10" ht="15" customHeight="1" x14ac:dyDescent="0.3">
      <c r="J8060" s="33"/>
    </row>
    <row r="8061" spans="10:10" ht="15" customHeight="1" x14ac:dyDescent="0.3">
      <c r="J8061" s="33"/>
    </row>
    <row r="8062" spans="10:10" ht="15" customHeight="1" x14ac:dyDescent="0.3">
      <c r="J8062" s="33"/>
    </row>
    <row r="8063" spans="10:10" ht="15" customHeight="1" x14ac:dyDescent="0.3">
      <c r="J8063" s="33"/>
    </row>
    <row r="8064" spans="10:10" ht="15" customHeight="1" x14ac:dyDescent="0.3">
      <c r="J8064" s="33"/>
    </row>
    <row r="8065" spans="10:10" ht="15" customHeight="1" x14ac:dyDescent="0.3">
      <c r="J8065" s="33"/>
    </row>
    <row r="8066" spans="10:10" ht="15" customHeight="1" x14ac:dyDescent="0.3">
      <c r="J8066" s="33"/>
    </row>
    <row r="8067" spans="10:10" ht="15" customHeight="1" x14ac:dyDescent="0.3">
      <c r="J8067" s="33"/>
    </row>
    <row r="8068" spans="10:10" ht="15" customHeight="1" x14ac:dyDescent="0.3">
      <c r="J8068" s="33"/>
    </row>
    <row r="8069" spans="10:10" ht="15" customHeight="1" x14ac:dyDescent="0.3">
      <c r="J8069" s="33"/>
    </row>
    <row r="8070" spans="10:10" ht="15" customHeight="1" x14ac:dyDescent="0.3">
      <c r="J8070" s="33"/>
    </row>
    <row r="8071" spans="10:10" ht="15" customHeight="1" x14ac:dyDescent="0.3">
      <c r="J8071" s="33"/>
    </row>
    <row r="8072" spans="10:10" ht="15" customHeight="1" x14ac:dyDescent="0.3">
      <c r="J8072" s="33"/>
    </row>
    <row r="8073" spans="10:10" ht="15" customHeight="1" x14ac:dyDescent="0.3">
      <c r="J8073" s="33"/>
    </row>
    <row r="8074" spans="10:10" ht="15" customHeight="1" x14ac:dyDescent="0.3">
      <c r="J8074" s="33"/>
    </row>
    <row r="8075" spans="10:10" ht="15" customHeight="1" x14ac:dyDescent="0.3">
      <c r="J8075" s="33"/>
    </row>
    <row r="8076" spans="10:10" ht="15" customHeight="1" x14ac:dyDescent="0.3">
      <c r="J8076" s="33"/>
    </row>
    <row r="8077" spans="10:10" ht="15" customHeight="1" x14ac:dyDescent="0.3">
      <c r="J8077" s="33"/>
    </row>
    <row r="8078" spans="10:10" ht="15" customHeight="1" x14ac:dyDescent="0.3">
      <c r="J8078" s="33"/>
    </row>
    <row r="8079" spans="10:10" ht="15" customHeight="1" x14ac:dyDescent="0.3">
      <c r="J8079" s="33"/>
    </row>
    <row r="8080" spans="10:10" ht="15" customHeight="1" x14ac:dyDescent="0.3">
      <c r="J8080" s="33"/>
    </row>
    <row r="8081" spans="10:10" ht="15" customHeight="1" x14ac:dyDescent="0.3">
      <c r="J8081" s="33"/>
    </row>
    <row r="8082" spans="10:10" ht="15" customHeight="1" x14ac:dyDescent="0.3">
      <c r="J8082" s="33"/>
    </row>
    <row r="8083" spans="10:10" ht="15" customHeight="1" x14ac:dyDescent="0.3">
      <c r="J8083" s="33"/>
    </row>
    <row r="8084" spans="10:10" ht="15" customHeight="1" x14ac:dyDescent="0.3">
      <c r="J8084" s="33"/>
    </row>
    <row r="8085" spans="10:10" ht="15" customHeight="1" x14ac:dyDescent="0.3">
      <c r="J8085" s="33"/>
    </row>
    <row r="8086" spans="10:10" ht="15" customHeight="1" x14ac:dyDescent="0.3">
      <c r="J8086" s="33"/>
    </row>
    <row r="8087" spans="10:10" ht="15" customHeight="1" x14ac:dyDescent="0.3">
      <c r="J8087" s="33"/>
    </row>
    <row r="8088" spans="10:10" ht="15" customHeight="1" x14ac:dyDescent="0.3">
      <c r="J8088" s="33"/>
    </row>
    <row r="8089" spans="10:10" ht="15" customHeight="1" x14ac:dyDescent="0.3">
      <c r="J8089" s="33"/>
    </row>
    <row r="8090" spans="10:10" ht="15" customHeight="1" x14ac:dyDescent="0.3">
      <c r="J8090" s="33"/>
    </row>
    <row r="8091" spans="10:10" ht="15" customHeight="1" x14ac:dyDescent="0.3">
      <c r="J8091" s="33"/>
    </row>
    <row r="8092" spans="10:10" ht="15" customHeight="1" x14ac:dyDescent="0.3">
      <c r="J8092" s="33"/>
    </row>
    <row r="8093" spans="10:10" ht="15" customHeight="1" x14ac:dyDescent="0.3">
      <c r="J8093" s="33"/>
    </row>
    <row r="8094" spans="10:10" ht="15" customHeight="1" x14ac:dyDescent="0.3">
      <c r="J8094" s="33"/>
    </row>
    <row r="8095" spans="10:10" ht="15" customHeight="1" x14ac:dyDescent="0.3">
      <c r="J8095" s="33"/>
    </row>
    <row r="8096" spans="10:10" ht="15" customHeight="1" x14ac:dyDescent="0.3">
      <c r="J8096" s="33"/>
    </row>
    <row r="8097" spans="10:10" ht="15" customHeight="1" x14ac:dyDescent="0.3">
      <c r="J8097" s="33"/>
    </row>
    <row r="8098" spans="10:10" ht="15" customHeight="1" x14ac:dyDescent="0.3">
      <c r="J8098" s="33"/>
    </row>
    <row r="8099" spans="10:10" ht="15" customHeight="1" x14ac:dyDescent="0.3">
      <c r="J8099" s="33"/>
    </row>
    <row r="8100" spans="10:10" ht="15" customHeight="1" x14ac:dyDescent="0.3">
      <c r="J8100" s="33"/>
    </row>
    <row r="8101" spans="10:10" ht="15" customHeight="1" x14ac:dyDescent="0.3">
      <c r="J8101" s="33"/>
    </row>
    <row r="8102" spans="10:10" ht="15" customHeight="1" x14ac:dyDescent="0.3">
      <c r="J8102" s="33"/>
    </row>
    <row r="8103" spans="10:10" ht="15" customHeight="1" x14ac:dyDescent="0.3">
      <c r="J8103" s="33"/>
    </row>
    <row r="8104" spans="10:10" ht="15" customHeight="1" x14ac:dyDescent="0.3">
      <c r="J8104" s="33"/>
    </row>
    <row r="8105" spans="10:10" ht="15" customHeight="1" x14ac:dyDescent="0.3">
      <c r="J8105" s="33"/>
    </row>
    <row r="8106" spans="10:10" ht="15" customHeight="1" x14ac:dyDescent="0.3">
      <c r="J8106" s="33"/>
    </row>
    <row r="8107" spans="10:10" ht="15" customHeight="1" x14ac:dyDescent="0.3">
      <c r="J8107" s="33"/>
    </row>
    <row r="8108" spans="10:10" ht="15" customHeight="1" x14ac:dyDescent="0.3">
      <c r="J8108" s="33"/>
    </row>
    <row r="8109" spans="10:10" ht="15" customHeight="1" x14ac:dyDescent="0.3">
      <c r="J8109" s="33"/>
    </row>
    <row r="8110" spans="10:10" ht="15" customHeight="1" x14ac:dyDescent="0.3">
      <c r="J8110" s="33"/>
    </row>
    <row r="8111" spans="10:10" ht="15" customHeight="1" x14ac:dyDescent="0.3">
      <c r="J8111" s="33"/>
    </row>
    <row r="8112" spans="10:10" ht="15" customHeight="1" x14ac:dyDescent="0.3">
      <c r="J8112" s="33"/>
    </row>
    <row r="8113" spans="10:10" ht="15" customHeight="1" x14ac:dyDescent="0.3">
      <c r="J8113" s="33"/>
    </row>
    <row r="8114" spans="10:10" ht="15" customHeight="1" x14ac:dyDescent="0.3">
      <c r="J8114" s="33"/>
    </row>
    <row r="8115" spans="10:10" ht="15" customHeight="1" x14ac:dyDescent="0.3">
      <c r="J8115" s="33"/>
    </row>
    <row r="8116" spans="10:10" ht="15" customHeight="1" x14ac:dyDescent="0.3">
      <c r="J8116" s="33"/>
    </row>
    <row r="8117" spans="10:10" ht="15" customHeight="1" x14ac:dyDescent="0.3">
      <c r="J8117" s="33"/>
    </row>
    <row r="8118" spans="10:10" ht="15" customHeight="1" x14ac:dyDescent="0.3">
      <c r="J8118" s="33"/>
    </row>
    <row r="8119" spans="10:10" ht="15" customHeight="1" x14ac:dyDescent="0.3">
      <c r="J8119" s="33"/>
    </row>
    <row r="8120" spans="10:10" ht="15" customHeight="1" x14ac:dyDescent="0.3">
      <c r="J8120" s="33"/>
    </row>
    <row r="8121" spans="10:10" ht="15" customHeight="1" x14ac:dyDescent="0.3">
      <c r="J8121" s="33"/>
    </row>
    <row r="8122" spans="10:10" ht="15" customHeight="1" x14ac:dyDescent="0.3">
      <c r="J8122" s="33"/>
    </row>
    <row r="8123" spans="10:10" ht="15" customHeight="1" x14ac:dyDescent="0.3">
      <c r="J8123" s="33"/>
    </row>
    <row r="8124" spans="10:10" ht="15" customHeight="1" x14ac:dyDescent="0.3">
      <c r="J8124" s="33"/>
    </row>
    <row r="8125" spans="10:10" ht="15" customHeight="1" x14ac:dyDescent="0.3">
      <c r="J8125" s="33"/>
    </row>
    <row r="8126" spans="10:10" ht="15" customHeight="1" x14ac:dyDescent="0.3">
      <c r="J8126" s="33"/>
    </row>
    <row r="8127" spans="10:10" ht="15" customHeight="1" x14ac:dyDescent="0.3">
      <c r="J8127" s="33"/>
    </row>
    <row r="8128" spans="10:10" ht="15" customHeight="1" x14ac:dyDescent="0.3">
      <c r="J8128" s="33"/>
    </row>
    <row r="8129" spans="10:10" ht="15" customHeight="1" x14ac:dyDescent="0.3">
      <c r="J8129" s="33"/>
    </row>
    <row r="8130" spans="10:10" ht="15" customHeight="1" x14ac:dyDescent="0.3">
      <c r="J8130" s="33"/>
    </row>
    <row r="8131" spans="10:10" ht="15" customHeight="1" x14ac:dyDescent="0.3">
      <c r="J8131" s="33"/>
    </row>
    <row r="8132" spans="10:10" ht="15" customHeight="1" x14ac:dyDescent="0.3">
      <c r="J8132" s="33"/>
    </row>
    <row r="8133" spans="10:10" ht="15" customHeight="1" x14ac:dyDescent="0.3">
      <c r="J8133" s="33"/>
    </row>
    <row r="8134" spans="10:10" ht="15" customHeight="1" x14ac:dyDescent="0.3">
      <c r="J8134" s="33"/>
    </row>
    <row r="8135" spans="10:10" ht="15" customHeight="1" x14ac:dyDescent="0.3">
      <c r="J8135" s="33"/>
    </row>
    <row r="8136" spans="10:10" ht="15" customHeight="1" x14ac:dyDescent="0.3">
      <c r="J8136" s="33"/>
    </row>
    <row r="8137" spans="10:10" ht="15" customHeight="1" x14ac:dyDescent="0.3">
      <c r="J8137" s="33"/>
    </row>
    <row r="8138" spans="10:10" ht="15" customHeight="1" x14ac:dyDescent="0.3">
      <c r="J8138" s="33"/>
    </row>
    <row r="8139" spans="10:10" ht="15" customHeight="1" x14ac:dyDescent="0.3">
      <c r="J8139" s="33"/>
    </row>
    <row r="8140" spans="10:10" ht="15" customHeight="1" x14ac:dyDescent="0.3">
      <c r="J8140" s="33"/>
    </row>
    <row r="8141" spans="10:10" ht="15" customHeight="1" x14ac:dyDescent="0.3">
      <c r="J8141" s="33"/>
    </row>
    <row r="8142" spans="10:10" ht="15" customHeight="1" x14ac:dyDescent="0.3">
      <c r="J8142" s="33"/>
    </row>
    <row r="8143" spans="10:10" ht="15" customHeight="1" x14ac:dyDescent="0.3">
      <c r="J8143" s="33"/>
    </row>
    <row r="8144" spans="10:10" ht="15" customHeight="1" x14ac:dyDescent="0.3">
      <c r="J8144" s="33"/>
    </row>
    <row r="8145" spans="10:10" ht="15" customHeight="1" x14ac:dyDescent="0.3">
      <c r="J8145" s="33"/>
    </row>
    <row r="8146" spans="10:10" ht="15" customHeight="1" x14ac:dyDescent="0.3">
      <c r="J8146" s="33"/>
    </row>
    <row r="8147" spans="10:10" ht="15" customHeight="1" x14ac:dyDescent="0.3">
      <c r="J8147" s="33"/>
    </row>
    <row r="8148" spans="10:10" ht="15" customHeight="1" x14ac:dyDescent="0.3">
      <c r="J8148" s="33"/>
    </row>
    <row r="8149" spans="10:10" ht="15" customHeight="1" x14ac:dyDescent="0.3">
      <c r="J8149" s="33"/>
    </row>
    <row r="8150" spans="10:10" ht="15" customHeight="1" x14ac:dyDescent="0.3">
      <c r="J8150" s="33"/>
    </row>
    <row r="8151" spans="10:10" ht="15" customHeight="1" x14ac:dyDescent="0.3">
      <c r="J8151" s="33"/>
    </row>
    <row r="8152" spans="10:10" ht="15" customHeight="1" x14ac:dyDescent="0.3">
      <c r="J8152" s="33"/>
    </row>
    <row r="8153" spans="10:10" ht="15" customHeight="1" x14ac:dyDescent="0.3">
      <c r="J8153" s="33"/>
    </row>
    <row r="8154" spans="10:10" ht="15" customHeight="1" x14ac:dyDescent="0.3">
      <c r="J8154" s="33"/>
    </row>
    <row r="8155" spans="10:10" ht="15" customHeight="1" x14ac:dyDescent="0.3">
      <c r="J8155" s="33"/>
    </row>
    <row r="8156" spans="10:10" ht="15" customHeight="1" x14ac:dyDescent="0.3">
      <c r="J8156" s="33"/>
    </row>
    <row r="8157" spans="10:10" ht="15" customHeight="1" x14ac:dyDescent="0.3">
      <c r="J8157" s="33"/>
    </row>
    <row r="8158" spans="10:10" ht="15" customHeight="1" x14ac:dyDescent="0.3">
      <c r="J8158" s="33"/>
    </row>
    <row r="8159" spans="10:10" ht="15" customHeight="1" x14ac:dyDescent="0.3">
      <c r="J8159" s="33"/>
    </row>
    <row r="8160" spans="10:10" ht="15" customHeight="1" x14ac:dyDescent="0.3">
      <c r="J8160" s="33"/>
    </row>
    <row r="8161" spans="10:10" ht="15" customHeight="1" x14ac:dyDescent="0.3">
      <c r="J8161" s="33"/>
    </row>
    <row r="8162" spans="10:10" ht="15" customHeight="1" x14ac:dyDescent="0.3">
      <c r="J8162" s="33"/>
    </row>
    <row r="8163" spans="10:10" ht="15" customHeight="1" x14ac:dyDescent="0.3">
      <c r="J8163" s="33"/>
    </row>
    <row r="8164" spans="10:10" ht="15" customHeight="1" x14ac:dyDescent="0.3">
      <c r="J8164" s="33"/>
    </row>
    <row r="8165" spans="10:10" ht="15" customHeight="1" x14ac:dyDescent="0.3">
      <c r="J8165" s="33"/>
    </row>
    <row r="8166" spans="10:10" ht="15" customHeight="1" x14ac:dyDescent="0.3">
      <c r="J8166" s="33"/>
    </row>
    <row r="8167" spans="10:10" ht="15" customHeight="1" x14ac:dyDescent="0.3">
      <c r="J8167" s="33"/>
    </row>
    <row r="8168" spans="10:10" ht="15" customHeight="1" x14ac:dyDescent="0.3">
      <c r="J8168" s="33"/>
    </row>
    <row r="8169" spans="10:10" ht="15" customHeight="1" x14ac:dyDescent="0.3">
      <c r="J8169" s="33"/>
    </row>
    <row r="8170" spans="10:10" ht="15" customHeight="1" x14ac:dyDescent="0.3">
      <c r="J8170" s="33"/>
    </row>
    <row r="8171" spans="10:10" ht="15" customHeight="1" x14ac:dyDescent="0.3">
      <c r="J8171" s="33"/>
    </row>
    <row r="8172" spans="10:10" ht="15" customHeight="1" x14ac:dyDescent="0.3">
      <c r="J8172" s="33"/>
    </row>
    <row r="8173" spans="10:10" ht="15" customHeight="1" x14ac:dyDescent="0.3">
      <c r="J8173" s="33"/>
    </row>
    <row r="8174" spans="10:10" ht="15" customHeight="1" x14ac:dyDescent="0.3">
      <c r="J8174" s="33"/>
    </row>
    <row r="8175" spans="10:10" ht="15" customHeight="1" x14ac:dyDescent="0.3">
      <c r="J8175" s="33"/>
    </row>
    <row r="8176" spans="10:10" ht="15" customHeight="1" x14ac:dyDescent="0.3">
      <c r="J8176" s="33"/>
    </row>
    <row r="8177" spans="10:10" ht="15" customHeight="1" x14ac:dyDescent="0.3">
      <c r="J8177" s="33"/>
    </row>
    <row r="8178" spans="10:10" ht="15" customHeight="1" x14ac:dyDescent="0.3">
      <c r="J8178" s="33"/>
    </row>
    <row r="8179" spans="10:10" ht="15" customHeight="1" x14ac:dyDescent="0.3">
      <c r="J8179" s="33"/>
    </row>
    <row r="8180" spans="10:10" ht="15" customHeight="1" x14ac:dyDescent="0.3">
      <c r="J8180" s="33"/>
    </row>
    <row r="8181" spans="10:10" ht="15" customHeight="1" x14ac:dyDescent="0.3">
      <c r="J8181" s="33"/>
    </row>
    <row r="8182" spans="10:10" ht="15" customHeight="1" x14ac:dyDescent="0.3">
      <c r="J8182" s="33"/>
    </row>
    <row r="8183" spans="10:10" ht="15" customHeight="1" x14ac:dyDescent="0.3">
      <c r="J8183" s="33"/>
    </row>
    <row r="8184" spans="10:10" ht="15" customHeight="1" x14ac:dyDescent="0.3">
      <c r="J8184" s="33"/>
    </row>
    <row r="8185" spans="10:10" ht="15" customHeight="1" x14ac:dyDescent="0.3">
      <c r="J8185" s="33"/>
    </row>
    <row r="8186" spans="10:10" ht="15" customHeight="1" x14ac:dyDescent="0.3">
      <c r="J8186" s="33"/>
    </row>
    <row r="8187" spans="10:10" ht="15" customHeight="1" x14ac:dyDescent="0.3">
      <c r="J8187" s="33"/>
    </row>
    <row r="8188" spans="10:10" ht="15" customHeight="1" x14ac:dyDescent="0.3">
      <c r="J8188" s="33"/>
    </row>
    <row r="8189" spans="10:10" ht="15" customHeight="1" x14ac:dyDescent="0.3">
      <c r="J8189" s="33"/>
    </row>
    <row r="8190" spans="10:10" ht="15" customHeight="1" x14ac:dyDescent="0.3">
      <c r="J8190" s="33"/>
    </row>
    <row r="8191" spans="10:10" ht="15" customHeight="1" x14ac:dyDescent="0.3">
      <c r="J8191" s="33"/>
    </row>
    <row r="8192" spans="10:10" ht="15" customHeight="1" x14ac:dyDescent="0.3">
      <c r="J8192" s="33"/>
    </row>
    <row r="8193" spans="10:10" ht="15" customHeight="1" x14ac:dyDescent="0.3">
      <c r="J8193" s="33"/>
    </row>
    <row r="8194" spans="10:10" ht="15" customHeight="1" x14ac:dyDescent="0.3">
      <c r="J8194" s="33"/>
    </row>
    <row r="8195" spans="10:10" ht="15" customHeight="1" x14ac:dyDescent="0.3">
      <c r="J8195" s="33"/>
    </row>
    <row r="8196" spans="10:10" ht="15" customHeight="1" x14ac:dyDescent="0.3">
      <c r="J8196" s="33"/>
    </row>
    <row r="8197" spans="10:10" ht="15" customHeight="1" x14ac:dyDescent="0.3">
      <c r="J8197" s="33"/>
    </row>
    <row r="8198" spans="10:10" ht="15" customHeight="1" x14ac:dyDescent="0.3">
      <c r="J8198" s="33"/>
    </row>
    <row r="8199" spans="10:10" ht="15" customHeight="1" x14ac:dyDescent="0.3">
      <c r="J8199" s="33"/>
    </row>
    <row r="8200" spans="10:10" ht="15" customHeight="1" x14ac:dyDescent="0.3">
      <c r="J8200" s="33"/>
    </row>
    <row r="8201" spans="10:10" ht="15" customHeight="1" x14ac:dyDescent="0.3">
      <c r="J8201" s="33"/>
    </row>
    <row r="8202" spans="10:10" ht="15" customHeight="1" x14ac:dyDescent="0.3">
      <c r="J8202" s="33"/>
    </row>
    <row r="8203" spans="10:10" ht="15" customHeight="1" x14ac:dyDescent="0.3">
      <c r="J8203" s="33"/>
    </row>
    <row r="8204" spans="10:10" ht="15" customHeight="1" x14ac:dyDescent="0.3">
      <c r="J8204" s="33"/>
    </row>
    <row r="8205" spans="10:10" ht="15" customHeight="1" x14ac:dyDescent="0.3">
      <c r="J8205" s="33"/>
    </row>
    <row r="8206" spans="10:10" ht="15" customHeight="1" x14ac:dyDescent="0.3">
      <c r="J8206" s="33"/>
    </row>
    <row r="8207" spans="10:10" ht="15" customHeight="1" x14ac:dyDescent="0.3">
      <c r="J8207" s="33"/>
    </row>
    <row r="8208" spans="10:10" ht="15" customHeight="1" x14ac:dyDescent="0.3">
      <c r="J8208" s="33"/>
    </row>
    <row r="8209" spans="10:10" ht="15" customHeight="1" x14ac:dyDescent="0.3">
      <c r="J8209" s="33"/>
    </row>
    <row r="8210" spans="10:10" ht="15" customHeight="1" x14ac:dyDescent="0.3">
      <c r="J8210" s="33"/>
    </row>
    <row r="8211" spans="10:10" ht="15" customHeight="1" x14ac:dyDescent="0.3">
      <c r="J8211" s="33"/>
    </row>
    <row r="8212" spans="10:10" ht="15" customHeight="1" x14ac:dyDescent="0.3">
      <c r="J8212" s="33"/>
    </row>
    <row r="8213" spans="10:10" ht="15" customHeight="1" x14ac:dyDescent="0.3">
      <c r="J8213" s="33"/>
    </row>
    <row r="8214" spans="10:10" ht="15" customHeight="1" x14ac:dyDescent="0.3">
      <c r="J8214" s="33"/>
    </row>
    <row r="8215" spans="10:10" ht="15" customHeight="1" x14ac:dyDescent="0.3">
      <c r="J8215" s="33"/>
    </row>
    <row r="8216" spans="10:10" ht="15" customHeight="1" x14ac:dyDescent="0.3">
      <c r="J8216" s="33"/>
    </row>
    <row r="8217" spans="10:10" ht="15" customHeight="1" x14ac:dyDescent="0.3">
      <c r="J8217" s="33"/>
    </row>
    <row r="8218" spans="10:10" ht="15" customHeight="1" x14ac:dyDescent="0.3">
      <c r="J8218" s="33"/>
    </row>
    <row r="8219" spans="10:10" ht="15" customHeight="1" x14ac:dyDescent="0.3">
      <c r="J8219" s="33"/>
    </row>
    <row r="8220" spans="10:10" ht="15" customHeight="1" x14ac:dyDescent="0.3">
      <c r="J8220" s="33"/>
    </row>
    <row r="8221" spans="10:10" ht="15" customHeight="1" x14ac:dyDescent="0.3">
      <c r="J8221" s="33"/>
    </row>
    <row r="8222" spans="10:10" ht="15" customHeight="1" x14ac:dyDescent="0.3">
      <c r="J8222" s="33"/>
    </row>
    <row r="8223" spans="10:10" ht="15" customHeight="1" x14ac:dyDescent="0.3">
      <c r="J8223" s="33"/>
    </row>
    <row r="8224" spans="10:10" ht="15" customHeight="1" x14ac:dyDescent="0.3">
      <c r="J8224" s="33"/>
    </row>
    <row r="8225" spans="10:10" ht="15" customHeight="1" x14ac:dyDescent="0.3">
      <c r="J8225" s="33"/>
    </row>
    <row r="8226" spans="10:10" ht="15" customHeight="1" x14ac:dyDescent="0.3">
      <c r="J8226" s="33"/>
    </row>
    <row r="8227" spans="10:10" ht="15" customHeight="1" x14ac:dyDescent="0.3">
      <c r="J8227" s="33"/>
    </row>
    <row r="8228" spans="10:10" ht="15" customHeight="1" x14ac:dyDescent="0.3">
      <c r="J8228" s="33"/>
    </row>
    <row r="8229" spans="10:10" ht="15" customHeight="1" x14ac:dyDescent="0.3">
      <c r="J8229" s="33"/>
    </row>
    <row r="8230" spans="10:10" ht="15" customHeight="1" x14ac:dyDescent="0.3">
      <c r="J8230" s="33"/>
    </row>
    <row r="8231" spans="10:10" ht="15" customHeight="1" x14ac:dyDescent="0.3">
      <c r="J8231" s="33"/>
    </row>
    <row r="8232" spans="10:10" ht="15" customHeight="1" x14ac:dyDescent="0.3">
      <c r="J8232" s="33"/>
    </row>
    <row r="8233" spans="10:10" ht="15" customHeight="1" x14ac:dyDescent="0.3">
      <c r="J8233" s="33"/>
    </row>
    <row r="8234" spans="10:10" ht="15" customHeight="1" x14ac:dyDescent="0.3">
      <c r="J8234" s="33"/>
    </row>
    <row r="8235" spans="10:10" ht="15" customHeight="1" x14ac:dyDescent="0.3">
      <c r="J8235" s="33"/>
    </row>
    <row r="8236" spans="10:10" ht="15" customHeight="1" x14ac:dyDescent="0.3">
      <c r="J8236" s="33"/>
    </row>
    <row r="8237" spans="10:10" ht="15" customHeight="1" x14ac:dyDescent="0.3">
      <c r="J8237" s="33"/>
    </row>
    <row r="8238" spans="10:10" ht="15" customHeight="1" x14ac:dyDescent="0.3">
      <c r="J8238" s="33"/>
    </row>
    <row r="8239" spans="10:10" ht="15" customHeight="1" x14ac:dyDescent="0.3">
      <c r="J8239" s="33"/>
    </row>
    <row r="8240" spans="10:10" ht="15" customHeight="1" x14ac:dyDescent="0.3">
      <c r="J8240" s="33"/>
    </row>
    <row r="8241" spans="10:10" ht="15" customHeight="1" x14ac:dyDescent="0.3">
      <c r="J8241" s="33"/>
    </row>
    <row r="8242" spans="10:10" ht="15" customHeight="1" x14ac:dyDescent="0.3">
      <c r="J8242" s="33"/>
    </row>
    <row r="8243" spans="10:10" ht="15" customHeight="1" x14ac:dyDescent="0.3">
      <c r="J8243" s="33"/>
    </row>
    <row r="8244" spans="10:10" ht="15" customHeight="1" x14ac:dyDescent="0.3">
      <c r="J8244" s="33"/>
    </row>
    <row r="8245" spans="10:10" ht="15" customHeight="1" x14ac:dyDescent="0.3">
      <c r="J8245" s="33"/>
    </row>
    <row r="8246" spans="10:10" ht="15" customHeight="1" x14ac:dyDescent="0.3">
      <c r="J8246" s="33"/>
    </row>
    <row r="8247" spans="10:10" ht="15" customHeight="1" x14ac:dyDescent="0.3">
      <c r="J8247" s="33"/>
    </row>
    <row r="8248" spans="10:10" ht="15" customHeight="1" x14ac:dyDescent="0.3">
      <c r="J8248" s="33"/>
    </row>
    <row r="8249" spans="10:10" ht="15" customHeight="1" x14ac:dyDescent="0.3">
      <c r="J8249" s="33"/>
    </row>
    <row r="8250" spans="10:10" ht="15" customHeight="1" x14ac:dyDescent="0.3">
      <c r="J8250" s="33"/>
    </row>
    <row r="8251" spans="10:10" ht="15" customHeight="1" x14ac:dyDescent="0.3">
      <c r="J8251" s="33"/>
    </row>
    <row r="8252" spans="10:10" ht="15" customHeight="1" x14ac:dyDescent="0.3">
      <c r="J8252" s="33"/>
    </row>
    <row r="8253" spans="10:10" ht="15" customHeight="1" x14ac:dyDescent="0.3">
      <c r="J8253" s="33"/>
    </row>
    <row r="8254" spans="10:10" ht="15" customHeight="1" x14ac:dyDescent="0.3">
      <c r="J8254" s="33"/>
    </row>
    <row r="8255" spans="10:10" ht="15" customHeight="1" x14ac:dyDescent="0.3">
      <c r="J8255" s="33"/>
    </row>
    <row r="8256" spans="10:10" ht="15" customHeight="1" x14ac:dyDescent="0.3">
      <c r="J8256" s="33"/>
    </row>
    <row r="8257" spans="10:10" ht="15" customHeight="1" x14ac:dyDescent="0.3">
      <c r="J8257" s="33"/>
    </row>
    <row r="8258" spans="10:10" ht="15" customHeight="1" x14ac:dyDescent="0.3">
      <c r="J8258" s="33"/>
    </row>
    <row r="8259" spans="10:10" ht="15" customHeight="1" x14ac:dyDescent="0.3">
      <c r="J8259" s="33"/>
    </row>
    <row r="8260" spans="10:10" ht="15" customHeight="1" x14ac:dyDescent="0.3">
      <c r="J8260" s="33"/>
    </row>
    <row r="8261" spans="10:10" ht="15" customHeight="1" x14ac:dyDescent="0.3">
      <c r="J8261" s="33"/>
    </row>
    <row r="8262" spans="10:10" ht="15" customHeight="1" x14ac:dyDescent="0.3">
      <c r="J8262" s="33"/>
    </row>
    <row r="8263" spans="10:10" ht="15" customHeight="1" x14ac:dyDescent="0.3">
      <c r="J8263" s="33"/>
    </row>
    <row r="8264" spans="10:10" ht="15" customHeight="1" x14ac:dyDescent="0.3">
      <c r="J8264" s="33"/>
    </row>
    <row r="8265" spans="10:10" ht="15" customHeight="1" x14ac:dyDescent="0.3">
      <c r="J8265" s="33"/>
    </row>
    <row r="8266" spans="10:10" ht="15" customHeight="1" x14ac:dyDescent="0.3">
      <c r="J8266" s="33"/>
    </row>
    <row r="8267" spans="10:10" ht="15" customHeight="1" x14ac:dyDescent="0.3">
      <c r="J8267" s="33"/>
    </row>
    <row r="8268" spans="10:10" ht="15" customHeight="1" x14ac:dyDescent="0.3">
      <c r="J8268" s="33"/>
    </row>
    <row r="8269" spans="10:10" ht="15" customHeight="1" x14ac:dyDescent="0.3">
      <c r="J8269" s="33"/>
    </row>
    <row r="8270" spans="10:10" ht="15" customHeight="1" x14ac:dyDescent="0.3">
      <c r="J8270" s="33"/>
    </row>
    <row r="8271" spans="10:10" ht="15" customHeight="1" x14ac:dyDescent="0.3">
      <c r="J8271" s="33"/>
    </row>
    <row r="8272" spans="10:10" ht="15" customHeight="1" x14ac:dyDescent="0.3">
      <c r="J8272" s="33"/>
    </row>
    <row r="8273" spans="10:10" ht="15" customHeight="1" x14ac:dyDescent="0.3">
      <c r="J8273" s="33"/>
    </row>
    <row r="8274" spans="10:10" ht="15" customHeight="1" x14ac:dyDescent="0.3">
      <c r="J8274" s="33"/>
    </row>
    <row r="8275" spans="10:10" ht="15" customHeight="1" x14ac:dyDescent="0.3">
      <c r="J8275" s="33"/>
    </row>
    <row r="8276" spans="10:10" ht="15" customHeight="1" x14ac:dyDescent="0.3">
      <c r="J8276" s="33"/>
    </row>
    <row r="8277" spans="10:10" ht="15" customHeight="1" x14ac:dyDescent="0.3">
      <c r="J8277" s="33"/>
    </row>
    <row r="8278" spans="10:10" ht="15" customHeight="1" x14ac:dyDescent="0.3">
      <c r="J8278" s="33"/>
    </row>
    <row r="8279" spans="10:10" ht="15" customHeight="1" x14ac:dyDescent="0.3">
      <c r="J8279" s="33"/>
    </row>
    <row r="8280" spans="10:10" ht="15" customHeight="1" x14ac:dyDescent="0.3">
      <c r="J8280" s="33"/>
    </row>
    <row r="8281" spans="10:10" ht="15" customHeight="1" x14ac:dyDescent="0.3">
      <c r="J8281" s="33"/>
    </row>
    <row r="8282" spans="10:10" ht="15" customHeight="1" x14ac:dyDescent="0.3">
      <c r="J8282" s="33"/>
    </row>
    <row r="8283" spans="10:10" ht="15" customHeight="1" x14ac:dyDescent="0.3">
      <c r="J8283" s="33"/>
    </row>
    <row r="8284" spans="10:10" ht="15" customHeight="1" x14ac:dyDescent="0.3">
      <c r="J8284" s="33"/>
    </row>
    <row r="8285" spans="10:10" ht="15" customHeight="1" x14ac:dyDescent="0.3">
      <c r="J8285" s="33"/>
    </row>
    <row r="8286" spans="10:10" ht="15" customHeight="1" x14ac:dyDescent="0.3">
      <c r="J8286" s="33"/>
    </row>
    <row r="8287" spans="10:10" ht="15" customHeight="1" x14ac:dyDescent="0.3">
      <c r="J8287" s="33"/>
    </row>
    <row r="8288" spans="10:10" ht="15" customHeight="1" x14ac:dyDescent="0.3">
      <c r="J8288" s="33"/>
    </row>
    <row r="8289" spans="10:10" ht="15" customHeight="1" x14ac:dyDescent="0.3">
      <c r="J8289" s="33"/>
    </row>
    <row r="8290" spans="10:10" ht="15" customHeight="1" x14ac:dyDescent="0.3">
      <c r="J8290" s="33"/>
    </row>
    <row r="8291" spans="10:10" ht="15" customHeight="1" x14ac:dyDescent="0.3">
      <c r="J8291" s="33"/>
    </row>
    <row r="8292" spans="10:10" ht="15" customHeight="1" x14ac:dyDescent="0.3">
      <c r="J8292" s="33"/>
    </row>
    <row r="8293" spans="10:10" ht="15" customHeight="1" x14ac:dyDescent="0.3">
      <c r="J8293" s="33"/>
    </row>
    <row r="8294" spans="10:10" ht="15" customHeight="1" x14ac:dyDescent="0.3">
      <c r="J8294" s="33"/>
    </row>
    <row r="8295" spans="10:10" ht="15" customHeight="1" x14ac:dyDescent="0.3">
      <c r="J8295" s="33"/>
    </row>
    <row r="8296" spans="10:10" ht="15" customHeight="1" x14ac:dyDescent="0.3">
      <c r="J8296" s="33"/>
    </row>
    <row r="8297" spans="10:10" ht="15" customHeight="1" x14ac:dyDescent="0.3">
      <c r="J8297" s="33"/>
    </row>
    <row r="8298" spans="10:10" ht="15" customHeight="1" x14ac:dyDescent="0.3">
      <c r="J8298" s="33"/>
    </row>
    <row r="8299" spans="10:10" ht="15" customHeight="1" x14ac:dyDescent="0.3">
      <c r="J8299" s="33"/>
    </row>
    <row r="8300" spans="10:10" ht="15" customHeight="1" x14ac:dyDescent="0.3">
      <c r="J8300" s="33"/>
    </row>
    <row r="8301" spans="10:10" ht="15" customHeight="1" x14ac:dyDescent="0.3">
      <c r="J8301" s="33"/>
    </row>
    <row r="8302" spans="10:10" ht="15" customHeight="1" x14ac:dyDescent="0.3">
      <c r="J8302" s="33"/>
    </row>
    <row r="8303" spans="10:10" ht="15" customHeight="1" x14ac:dyDescent="0.3">
      <c r="J8303" s="33"/>
    </row>
    <row r="8304" spans="10:10" ht="15" customHeight="1" x14ac:dyDescent="0.3">
      <c r="J8304" s="33"/>
    </row>
    <row r="8305" spans="10:10" ht="15" customHeight="1" x14ac:dyDescent="0.3">
      <c r="J8305" s="33"/>
    </row>
    <row r="8306" spans="10:10" ht="15" customHeight="1" x14ac:dyDescent="0.3">
      <c r="J8306" s="33"/>
    </row>
    <row r="8307" spans="10:10" ht="15" customHeight="1" x14ac:dyDescent="0.3">
      <c r="J8307" s="33"/>
    </row>
    <row r="8308" spans="10:10" ht="15" customHeight="1" x14ac:dyDescent="0.3">
      <c r="J8308" s="33"/>
    </row>
    <row r="8309" spans="10:10" ht="15" customHeight="1" x14ac:dyDescent="0.3">
      <c r="J8309" s="33"/>
    </row>
    <row r="8310" spans="10:10" ht="15" customHeight="1" x14ac:dyDescent="0.3">
      <c r="J8310" s="33"/>
    </row>
    <row r="8311" spans="10:10" ht="15" customHeight="1" x14ac:dyDescent="0.3">
      <c r="J8311" s="33"/>
    </row>
    <row r="8312" spans="10:10" ht="15" customHeight="1" x14ac:dyDescent="0.3">
      <c r="J8312" s="33"/>
    </row>
    <row r="8313" spans="10:10" ht="15" customHeight="1" x14ac:dyDescent="0.3">
      <c r="J8313" s="33"/>
    </row>
    <row r="8314" spans="10:10" ht="15" customHeight="1" x14ac:dyDescent="0.3">
      <c r="J8314" s="33"/>
    </row>
    <row r="8315" spans="10:10" ht="15" customHeight="1" x14ac:dyDescent="0.3">
      <c r="J8315" s="33"/>
    </row>
    <row r="8316" spans="10:10" ht="15" customHeight="1" x14ac:dyDescent="0.3">
      <c r="J8316" s="33"/>
    </row>
    <row r="8317" spans="10:10" ht="15" customHeight="1" x14ac:dyDescent="0.3">
      <c r="J8317" s="33"/>
    </row>
    <row r="8318" spans="10:10" ht="15" customHeight="1" x14ac:dyDescent="0.3">
      <c r="J8318" s="33"/>
    </row>
    <row r="8319" spans="10:10" ht="15" customHeight="1" x14ac:dyDescent="0.3">
      <c r="J8319" s="33"/>
    </row>
    <row r="8320" spans="10:10" ht="15" customHeight="1" x14ac:dyDescent="0.3">
      <c r="J8320" s="33"/>
    </row>
    <row r="8321" spans="10:10" ht="15" customHeight="1" x14ac:dyDescent="0.3">
      <c r="J8321" s="33"/>
    </row>
    <row r="8322" spans="10:10" ht="15" customHeight="1" x14ac:dyDescent="0.3">
      <c r="J8322" s="33"/>
    </row>
    <row r="8323" spans="10:10" ht="15" customHeight="1" x14ac:dyDescent="0.3">
      <c r="J8323" s="33"/>
    </row>
    <row r="8324" spans="10:10" ht="15" customHeight="1" x14ac:dyDescent="0.3">
      <c r="J8324" s="33"/>
    </row>
    <row r="8325" spans="10:10" ht="15" customHeight="1" x14ac:dyDescent="0.3">
      <c r="J8325" s="33"/>
    </row>
    <row r="8326" spans="10:10" ht="15" customHeight="1" x14ac:dyDescent="0.3">
      <c r="J8326" s="33"/>
    </row>
    <row r="8327" spans="10:10" ht="15" customHeight="1" x14ac:dyDescent="0.3">
      <c r="J8327" s="33"/>
    </row>
    <row r="8328" spans="10:10" ht="15" customHeight="1" x14ac:dyDescent="0.3">
      <c r="J8328" s="33"/>
    </row>
    <row r="8329" spans="10:10" ht="15" customHeight="1" x14ac:dyDescent="0.3">
      <c r="J8329" s="33"/>
    </row>
    <row r="8330" spans="10:10" ht="15" customHeight="1" x14ac:dyDescent="0.3">
      <c r="J8330" s="33"/>
    </row>
    <row r="8331" spans="10:10" ht="15" customHeight="1" x14ac:dyDescent="0.3">
      <c r="J8331" s="33"/>
    </row>
    <row r="8332" spans="10:10" ht="15" customHeight="1" x14ac:dyDescent="0.3">
      <c r="J8332" s="33"/>
    </row>
    <row r="8333" spans="10:10" ht="15" customHeight="1" x14ac:dyDescent="0.3">
      <c r="J8333" s="33"/>
    </row>
    <row r="8334" spans="10:10" ht="15" customHeight="1" x14ac:dyDescent="0.3">
      <c r="J8334" s="33"/>
    </row>
    <row r="8335" spans="10:10" ht="15" customHeight="1" x14ac:dyDescent="0.3">
      <c r="J8335" s="33"/>
    </row>
    <row r="8336" spans="10:10" ht="15" customHeight="1" x14ac:dyDescent="0.3">
      <c r="J8336" s="33"/>
    </row>
    <row r="8337" spans="10:10" ht="15" customHeight="1" x14ac:dyDescent="0.3">
      <c r="J8337" s="33"/>
    </row>
    <row r="8338" spans="10:10" ht="15" customHeight="1" x14ac:dyDescent="0.3">
      <c r="J8338" s="33"/>
    </row>
    <row r="8339" spans="10:10" ht="15" customHeight="1" x14ac:dyDescent="0.3">
      <c r="J8339" s="33"/>
    </row>
    <row r="8340" spans="10:10" ht="15" customHeight="1" x14ac:dyDescent="0.3">
      <c r="J8340" s="33"/>
    </row>
    <row r="8341" spans="10:10" ht="15" customHeight="1" x14ac:dyDescent="0.3">
      <c r="J8341" s="33"/>
    </row>
    <row r="8342" spans="10:10" ht="15" customHeight="1" x14ac:dyDescent="0.3">
      <c r="J8342" s="33"/>
    </row>
    <row r="8343" spans="10:10" ht="15" customHeight="1" x14ac:dyDescent="0.3">
      <c r="J8343" s="33"/>
    </row>
    <row r="8344" spans="10:10" ht="15" customHeight="1" x14ac:dyDescent="0.3">
      <c r="J8344" s="33"/>
    </row>
    <row r="8345" spans="10:10" ht="15" customHeight="1" x14ac:dyDescent="0.3">
      <c r="J8345" s="33"/>
    </row>
    <row r="8346" spans="10:10" ht="15" customHeight="1" x14ac:dyDescent="0.3">
      <c r="J8346" s="33"/>
    </row>
    <row r="8347" spans="10:10" ht="15" customHeight="1" x14ac:dyDescent="0.3">
      <c r="J8347" s="33"/>
    </row>
    <row r="8348" spans="10:10" ht="15" customHeight="1" x14ac:dyDescent="0.3">
      <c r="J8348" s="33"/>
    </row>
    <row r="8349" spans="10:10" ht="15" customHeight="1" x14ac:dyDescent="0.3">
      <c r="J8349" s="33"/>
    </row>
    <row r="8350" spans="10:10" ht="15" customHeight="1" x14ac:dyDescent="0.3">
      <c r="J8350" s="33"/>
    </row>
    <row r="8351" spans="10:10" ht="15" customHeight="1" x14ac:dyDescent="0.3">
      <c r="J8351" s="33"/>
    </row>
    <row r="8352" spans="10:10" ht="15" customHeight="1" x14ac:dyDescent="0.3">
      <c r="J8352" s="33"/>
    </row>
    <row r="8353" spans="10:10" ht="15" customHeight="1" x14ac:dyDescent="0.3">
      <c r="J8353" s="33"/>
    </row>
    <row r="8354" spans="10:10" ht="15" customHeight="1" x14ac:dyDescent="0.3">
      <c r="J8354" s="33"/>
    </row>
    <row r="8355" spans="10:10" ht="15" customHeight="1" x14ac:dyDescent="0.3">
      <c r="J8355" s="33"/>
    </row>
    <row r="8356" spans="10:10" ht="15" customHeight="1" x14ac:dyDescent="0.3">
      <c r="J8356" s="33"/>
    </row>
    <row r="8357" spans="10:10" ht="15" customHeight="1" x14ac:dyDescent="0.3">
      <c r="J8357" s="33"/>
    </row>
    <row r="8358" spans="10:10" ht="15" customHeight="1" x14ac:dyDescent="0.3">
      <c r="J8358" s="33"/>
    </row>
    <row r="8359" spans="10:10" ht="15" customHeight="1" x14ac:dyDescent="0.3">
      <c r="J8359" s="33"/>
    </row>
    <row r="8360" spans="10:10" ht="15" customHeight="1" x14ac:dyDescent="0.3">
      <c r="J8360" s="33"/>
    </row>
    <row r="8361" spans="10:10" ht="15" customHeight="1" x14ac:dyDescent="0.3">
      <c r="J8361" s="33"/>
    </row>
    <row r="8362" spans="10:10" ht="15" customHeight="1" x14ac:dyDescent="0.3">
      <c r="J8362" s="33"/>
    </row>
    <row r="8363" spans="10:10" ht="15" customHeight="1" x14ac:dyDescent="0.3">
      <c r="J8363" s="33"/>
    </row>
    <row r="8364" spans="10:10" ht="15" customHeight="1" x14ac:dyDescent="0.3">
      <c r="J8364" s="33"/>
    </row>
    <row r="8365" spans="10:10" ht="15" customHeight="1" x14ac:dyDescent="0.3">
      <c r="J8365" s="33"/>
    </row>
    <row r="8366" spans="10:10" ht="15" customHeight="1" x14ac:dyDescent="0.3">
      <c r="J8366" s="33"/>
    </row>
    <row r="8367" spans="10:10" ht="15" customHeight="1" x14ac:dyDescent="0.3">
      <c r="J8367" s="33"/>
    </row>
    <row r="8368" spans="10:10" ht="15" customHeight="1" x14ac:dyDescent="0.3">
      <c r="J8368" s="33"/>
    </row>
    <row r="8369" spans="10:10" ht="15" customHeight="1" x14ac:dyDescent="0.3">
      <c r="J8369" s="33"/>
    </row>
    <row r="8370" spans="10:10" ht="15" customHeight="1" x14ac:dyDescent="0.3">
      <c r="J8370" s="33"/>
    </row>
    <row r="8371" spans="10:10" ht="15" customHeight="1" x14ac:dyDescent="0.3">
      <c r="J8371" s="33"/>
    </row>
    <row r="8372" spans="10:10" ht="15" customHeight="1" x14ac:dyDescent="0.3">
      <c r="J8372" s="33"/>
    </row>
    <row r="8373" spans="10:10" ht="15" customHeight="1" x14ac:dyDescent="0.3">
      <c r="J8373" s="33"/>
    </row>
    <row r="8374" spans="10:10" ht="15" customHeight="1" x14ac:dyDescent="0.3">
      <c r="J8374" s="33"/>
    </row>
    <row r="8375" spans="10:10" ht="15" customHeight="1" x14ac:dyDescent="0.3">
      <c r="J8375" s="33"/>
    </row>
    <row r="8376" spans="10:10" ht="15" customHeight="1" x14ac:dyDescent="0.3">
      <c r="J8376" s="33"/>
    </row>
    <row r="8377" spans="10:10" ht="15" customHeight="1" x14ac:dyDescent="0.3">
      <c r="J8377" s="33"/>
    </row>
    <row r="8378" spans="10:10" ht="15" customHeight="1" x14ac:dyDescent="0.3">
      <c r="J8378" s="33"/>
    </row>
    <row r="8379" spans="10:10" ht="15" customHeight="1" x14ac:dyDescent="0.3">
      <c r="J8379" s="33"/>
    </row>
    <row r="8380" spans="10:10" ht="15" customHeight="1" x14ac:dyDescent="0.3">
      <c r="J8380" s="33"/>
    </row>
    <row r="8381" spans="10:10" ht="15" customHeight="1" x14ac:dyDescent="0.3">
      <c r="J8381" s="33"/>
    </row>
    <row r="8382" spans="10:10" ht="15" customHeight="1" x14ac:dyDescent="0.3">
      <c r="J8382" s="33"/>
    </row>
    <row r="8383" spans="10:10" ht="15" customHeight="1" x14ac:dyDescent="0.3">
      <c r="J8383" s="33"/>
    </row>
    <row r="8384" spans="10:10" ht="15" customHeight="1" x14ac:dyDescent="0.3">
      <c r="J8384" s="33"/>
    </row>
    <row r="8385" spans="10:10" ht="15" customHeight="1" x14ac:dyDescent="0.3">
      <c r="J8385" s="33"/>
    </row>
    <row r="8386" spans="10:10" ht="15" customHeight="1" x14ac:dyDescent="0.3">
      <c r="J8386" s="33"/>
    </row>
    <row r="8387" spans="10:10" ht="15" customHeight="1" x14ac:dyDescent="0.3">
      <c r="J8387" s="33"/>
    </row>
    <row r="8388" spans="10:10" ht="15" customHeight="1" x14ac:dyDescent="0.3">
      <c r="J8388" s="33"/>
    </row>
    <row r="8389" spans="10:10" ht="15" customHeight="1" x14ac:dyDescent="0.3">
      <c r="J8389" s="33"/>
    </row>
    <row r="8390" spans="10:10" ht="15" customHeight="1" x14ac:dyDescent="0.3">
      <c r="J8390" s="33"/>
    </row>
    <row r="8391" spans="10:10" ht="15" customHeight="1" x14ac:dyDescent="0.3">
      <c r="J8391" s="33"/>
    </row>
    <row r="8392" spans="10:10" ht="15" customHeight="1" x14ac:dyDescent="0.3">
      <c r="J8392" s="33"/>
    </row>
    <row r="8393" spans="10:10" ht="15" customHeight="1" x14ac:dyDescent="0.3">
      <c r="J8393" s="33"/>
    </row>
    <row r="8394" spans="10:10" ht="15" customHeight="1" x14ac:dyDescent="0.3">
      <c r="J8394" s="33"/>
    </row>
    <row r="8395" spans="10:10" ht="15" customHeight="1" x14ac:dyDescent="0.3">
      <c r="J8395" s="33"/>
    </row>
    <row r="8396" spans="10:10" ht="15" customHeight="1" x14ac:dyDescent="0.3">
      <c r="J8396" s="33"/>
    </row>
    <row r="8397" spans="10:10" ht="15" customHeight="1" x14ac:dyDescent="0.3">
      <c r="J8397" s="33"/>
    </row>
    <row r="8398" spans="10:10" ht="15" customHeight="1" x14ac:dyDescent="0.3">
      <c r="J8398" s="33"/>
    </row>
    <row r="8399" spans="10:10" ht="15" customHeight="1" x14ac:dyDescent="0.3">
      <c r="J8399" s="33"/>
    </row>
    <row r="8400" spans="10:10" ht="15" customHeight="1" x14ac:dyDescent="0.3">
      <c r="J8400" s="33"/>
    </row>
    <row r="8401" spans="10:10" ht="15" customHeight="1" x14ac:dyDescent="0.3">
      <c r="J8401" s="33"/>
    </row>
    <row r="8402" spans="10:10" ht="15" customHeight="1" x14ac:dyDescent="0.3">
      <c r="J8402" s="33"/>
    </row>
    <row r="8403" spans="10:10" ht="15" customHeight="1" x14ac:dyDescent="0.3">
      <c r="J8403" s="33"/>
    </row>
    <row r="8404" spans="10:10" ht="15" customHeight="1" x14ac:dyDescent="0.3">
      <c r="J8404" s="33"/>
    </row>
    <row r="8405" spans="10:10" ht="15" customHeight="1" x14ac:dyDescent="0.3">
      <c r="J8405" s="33"/>
    </row>
    <row r="8406" spans="10:10" ht="15" customHeight="1" x14ac:dyDescent="0.3">
      <c r="J8406" s="33"/>
    </row>
    <row r="8407" spans="10:10" ht="15" customHeight="1" x14ac:dyDescent="0.3">
      <c r="J8407" s="33"/>
    </row>
    <row r="8408" spans="10:10" ht="15" customHeight="1" x14ac:dyDescent="0.3">
      <c r="J8408" s="33"/>
    </row>
    <row r="8409" spans="10:10" ht="15" customHeight="1" x14ac:dyDescent="0.3">
      <c r="J8409" s="33"/>
    </row>
    <row r="8410" spans="10:10" ht="15" customHeight="1" x14ac:dyDescent="0.3">
      <c r="J8410" s="33"/>
    </row>
    <row r="8411" spans="10:10" ht="15" customHeight="1" x14ac:dyDescent="0.3">
      <c r="J8411" s="33"/>
    </row>
    <row r="8412" spans="10:10" ht="15" customHeight="1" x14ac:dyDescent="0.3">
      <c r="J8412" s="33"/>
    </row>
    <row r="8413" spans="10:10" ht="15" customHeight="1" x14ac:dyDescent="0.3">
      <c r="J8413" s="33"/>
    </row>
    <row r="8414" spans="10:10" ht="15" customHeight="1" x14ac:dyDescent="0.3">
      <c r="J8414" s="33"/>
    </row>
    <row r="8415" spans="10:10" ht="15" customHeight="1" x14ac:dyDescent="0.3">
      <c r="J8415" s="33"/>
    </row>
    <row r="8416" spans="10:10" ht="15" customHeight="1" x14ac:dyDescent="0.3">
      <c r="J8416" s="33"/>
    </row>
    <row r="8417" spans="10:10" ht="15" customHeight="1" x14ac:dyDescent="0.3">
      <c r="J8417" s="33"/>
    </row>
    <row r="8418" spans="10:10" ht="15" customHeight="1" x14ac:dyDescent="0.3">
      <c r="J8418" s="33"/>
    </row>
    <row r="8419" spans="10:10" ht="15" customHeight="1" x14ac:dyDescent="0.3">
      <c r="J8419" s="33"/>
    </row>
    <row r="8420" spans="10:10" ht="15" customHeight="1" x14ac:dyDescent="0.3">
      <c r="J8420" s="33"/>
    </row>
    <row r="8421" spans="10:10" ht="15" customHeight="1" x14ac:dyDescent="0.3">
      <c r="J8421" s="33"/>
    </row>
    <row r="8422" spans="10:10" ht="15" customHeight="1" x14ac:dyDescent="0.3">
      <c r="J8422" s="33"/>
    </row>
    <row r="8423" spans="10:10" ht="15" customHeight="1" x14ac:dyDescent="0.3">
      <c r="J8423" s="33"/>
    </row>
    <row r="8424" spans="10:10" ht="15" customHeight="1" x14ac:dyDescent="0.3">
      <c r="J8424" s="33"/>
    </row>
    <row r="8425" spans="10:10" ht="15" customHeight="1" x14ac:dyDescent="0.3">
      <c r="J8425" s="33"/>
    </row>
    <row r="8426" spans="10:10" ht="15" customHeight="1" x14ac:dyDescent="0.3">
      <c r="J8426" s="33"/>
    </row>
    <row r="8427" spans="10:10" ht="15" customHeight="1" x14ac:dyDescent="0.3">
      <c r="J8427" s="33"/>
    </row>
    <row r="8428" spans="10:10" ht="15" customHeight="1" x14ac:dyDescent="0.3">
      <c r="J8428" s="33"/>
    </row>
    <row r="8429" spans="10:10" ht="15" customHeight="1" x14ac:dyDescent="0.3">
      <c r="J8429" s="33"/>
    </row>
    <row r="8430" spans="10:10" ht="15" customHeight="1" x14ac:dyDescent="0.3">
      <c r="J8430" s="33"/>
    </row>
    <row r="8431" spans="10:10" ht="15" customHeight="1" x14ac:dyDescent="0.3">
      <c r="J8431" s="33"/>
    </row>
    <row r="8432" spans="10:10" ht="15" customHeight="1" x14ac:dyDescent="0.3">
      <c r="J8432" s="33"/>
    </row>
    <row r="8433" spans="10:10" ht="15" customHeight="1" x14ac:dyDescent="0.3">
      <c r="J8433" s="33"/>
    </row>
    <row r="8434" spans="10:10" ht="15" customHeight="1" x14ac:dyDescent="0.3">
      <c r="J8434" s="33"/>
    </row>
    <row r="8435" spans="10:10" ht="15" customHeight="1" x14ac:dyDescent="0.3">
      <c r="J8435" s="33"/>
    </row>
    <row r="8436" spans="10:10" ht="15" customHeight="1" x14ac:dyDescent="0.3">
      <c r="J8436" s="33"/>
    </row>
    <row r="8437" spans="10:10" ht="15" customHeight="1" x14ac:dyDescent="0.3">
      <c r="J8437" s="33"/>
    </row>
    <row r="8438" spans="10:10" ht="15" customHeight="1" x14ac:dyDescent="0.3">
      <c r="J8438" s="33"/>
    </row>
    <row r="8439" spans="10:10" ht="15" customHeight="1" x14ac:dyDescent="0.3">
      <c r="J8439" s="33"/>
    </row>
    <row r="8440" spans="10:10" ht="15" customHeight="1" x14ac:dyDescent="0.3">
      <c r="J8440" s="33"/>
    </row>
    <row r="8441" spans="10:10" ht="15" customHeight="1" x14ac:dyDescent="0.3">
      <c r="J8441" s="33"/>
    </row>
    <row r="8442" spans="10:10" ht="15" customHeight="1" x14ac:dyDescent="0.3">
      <c r="J8442" s="33"/>
    </row>
    <row r="8443" spans="10:10" ht="15" customHeight="1" x14ac:dyDescent="0.3">
      <c r="J8443" s="33"/>
    </row>
    <row r="8444" spans="10:10" ht="15" customHeight="1" x14ac:dyDescent="0.3">
      <c r="J8444" s="33"/>
    </row>
    <row r="8445" spans="10:10" ht="15" customHeight="1" x14ac:dyDescent="0.3">
      <c r="J8445" s="33"/>
    </row>
    <row r="8446" spans="10:10" ht="15" customHeight="1" x14ac:dyDescent="0.3">
      <c r="J8446" s="33"/>
    </row>
    <row r="8447" spans="10:10" ht="15" customHeight="1" x14ac:dyDescent="0.3">
      <c r="J8447" s="33"/>
    </row>
    <row r="8448" spans="10:10" ht="15" customHeight="1" x14ac:dyDescent="0.3">
      <c r="J8448" s="33"/>
    </row>
    <row r="8449" spans="10:10" ht="15" customHeight="1" x14ac:dyDescent="0.3">
      <c r="J8449" s="33"/>
    </row>
    <row r="8450" spans="10:10" ht="15" customHeight="1" x14ac:dyDescent="0.3">
      <c r="J8450" s="33"/>
    </row>
    <row r="8451" spans="10:10" ht="15" customHeight="1" x14ac:dyDescent="0.3">
      <c r="J8451" s="33"/>
    </row>
    <row r="8452" spans="10:10" ht="15" customHeight="1" x14ac:dyDescent="0.3">
      <c r="J8452" s="33"/>
    </row>
    <row r="8453" spans="10:10" ht="15" customHeight="1" x14ac:dyDescent="0.3">
      <c r="J8453" s="33"/>
    </row>
    <row r="8454" spans="10:10" ht="15" customHeight="1" x14ac:dyDescent="0.3">
      <c r="J8454" s="33"/>
    </row>
    <row r="8455" spans="10:10" ht="15" customHeight="1" x14ac:dyDescent="0.3">
      <c r="J8455" s="33"/>
    </row>
    <row r="8456" spans="10:10" ht="15" customHeight="1" x14ac:dyDescent="0.3">
      <c r="J8456" s="33"/>
    </row>
    <row r="8457" spans="10:10" ht="15" customHeight="1" x14ac:dyDescent="0.3">
      <c r="J8457" s="33"/>
    </row>
    <row r="8458" spans="10:10" ht="15" customHeight="1" x14ac:dyDescent="0.3">
      <c r="J8458" s="33"/>
    </row>
    <row r="8459" spans="10:10" ht="15" customHeight="1" x14ac:dyDescent="0.3">
      <c r="J8459" s="33"/>
    </row>
    <row r="8460" spans="10:10" ht="15" customHeight="1" x14ac:dyDescent="0.3">
      <c r="J8460" s="33"/>
    </row>
    <row r="8461" spans="10:10" ht="15" customHeight="1" x14ac:dyDescent="0.3">
      <c r="J8461" s="33"/>
    </row>
    <row r="8462" spans="10:10" ht="15" customHeight="1" x14ac:dyDescent="0.3">
      <c r="J8462" s="33"/>
    </row>
    <row r="8463" spans="10:10" ht="15" customHeight="1" x14ac:dyDescent="0.3">
      <c r="J8463" s="33"/>
    </row>
    <row r="8464" spans="10:10" ht="15" customHeight="1" x14ac:dyDescent="0.3">
      <c r="J8464" s="33"/>
    </row>
    <row r="8465" spans="10:10" ht="15" customHeight="1" x14ac:dyDescent="0.3">
      <c r="J8465" s="33"/>
    </row>
    <row r="8466" spans="10:10" ht="15" customHeight="1" x14ac:dyDescent="0.3">
      <c r="J8466" s="33"/>
    </row>
    <row r="8467" spans="10:10" ht="15" customHeight="1" x14ac:dyDescent="0.3">
      <c r="J8467" s="33"/>
    </row>
    <row r="8468" spans="10:10" ht="15" customHeight="1" x14ac:dyDescent="0.3">
      <c r="J8468" s="33"/>
    </row>
    <row r="8469" spans="10:10" ht="15" customHeight="1" x14ac:dyDescent="0.3">
      <c r="J8469" s="33"/>
    </row>
    <row r="8470" spans="10:10" ht="15" customHeight="1" x14ac:dyDescent="0.3">
      <c r="J8470" s="33"/>
    </row>
    <row r="8471" spans="10:10" ht="15" customHeight="1" x14ac:dyDescent="0.3">
      <c r="J8471" s="33"/>
    </row>
    <row r="8472" spans="10:10" ht="15" customHeight="1" x14ac:dyDescent="0.3">
      <c r="J8472" s="33"/>
    </row>
    <row r="8473" spans="10:10" ht="15" customHeight="1" x14ac:dyDescent="0.3">
      <c r="J8473" s="33"/>
    </row>
    <row r="8474" spans="10:10" ht="15" customHeight="1" x14ac:dyDescent="0.3">
      <c r="J8474" s="33"/>
    </row>
    <row r="8475" spans="10:10" ht="15" customHeight="1" x14ac:dyDescent="0.3">
      <c r="J8475" s="33"/>
    </row>
    <row r="8476" spans="10:10" ht="15" customHeight="1" x14ac:dyDescent="0.3">
      <c r="J8476" s="33"/>
    </row>
    <row r="8477" spans="10:10" ht="15" customHeight="1" x14ac:dyDescent="0.3">
      <c r="J8477" s="33"/>
    </row>
    <row r="8478" spans="10:10" ht="15" customHeight="1" x14ac:dyDescent="0.3">
      <c r="J8478" s="33"/>
    </row>
    <row r="8479" spans="10:10" ht="15" customHeight="1" x14ac:dyDescent="0.3">
      <c r="J8479" s="33"/>
    </row>
    <row r="8480" spans="10:10" ht="15" customHeight="1" x14ac:dyDescent="0.3">
      <c r="J8480" s="33"/>
    </row>
    <row r="8481" spans="10:10" ht="15" customHeight="1" x14ac:dyDescent="0.3">
      <c r="J8481" s="33"/>
    </row>
    <row r="8482" spans="10:10" ht="15" customHeight="1" x14ac:dyDescent="0.3">
      <c r="J8482" s="33"/>
    </row>
    <row r="8483" spans="10:10" ht="15" customHeight="1" x14ac:dyDescent="0.3">
      <c r="J8483" s="33"/>
    </row>
    <row r="8484" spans="10:10" ht="15" customHeight="1" x14ac:dyDescent="0.3">
      <c r="J8484" s="33"/>
    </row>
    <row r="8485" spans="10:10" ht="15" customHeight="1" x14ac:dyDescent="0.3">
      <c r="J8485" s="33"/>
    </row>
    <row r="8486" spans="10:10" ht="15" customHeight="1" x14ac:dyDescent="0.3">
      <c r="J8486" s="33"/>
    </row>
    <row r="8487" spans="10:10" ht="15" customHeight="1" x14ac:dyDescent="0.3">
      <c r="J8487" s="33"/>
    </row>
    <row r="8488" spans="10:10" ht="15" customHeight="1" x14ac:dyDescent="0.3">
      <c r="J8488" s="33"/>
    </row>
    <row r="8489" spans="10:10" ht="15" customHeight="1" x14ac:dyDescent="0.3">
      <c r="J8489" s="33"/>
    </row>
    <row r="8490" spans="10:10" ht="15" customHeight="1" x14ac:dyDescent="0.3">
      <c r="J8490" s="33"/>
    </row>
    <row r="8491" spans="10:10" ht="15" customHeight="1" x14ac:dyDescent="0.3">
      <c r="J8491" s="33"/>
    </row>
    <row r="8492" spans="10:10" ht="15" customHeight="1" x14ac:dyDescent="0.3">
      <c r="J8492" s="33"/>
    </row>
    <row r="8493" spans="10:10" ht="15" customHeight="1" x14ac:dyDescent="0.3">
      <c r="J8493" s="33"/>
    </row>
    <row r="8494" spans="10:10" ht="15" customHeight="1" x14ac:dyDescent="0.3">
      <c r="J8494" s="33"/>
    </row>
    <row r="8495" spans="10:10" ht="15" customHeight="1" x14ac:dyDescent="0.3">
      <c r="J8495" s="33"/>
    </row>
    <row r="8496" spans="10:10" ht="15" customHeight="1" x14ac:dyDescent="0.3">
      <c r="J8496" s="33"/>
    </row>
    <row r="8497" spans="10:10" ht="15" customHeight="1" x14ac:dyDescent="0.3">
      <c r="J8497" s="33"/>
    </row>
    <row r="8498" spans="10:10" ht="15" customHeight="1" x14ac:dyDescent="0.3">
      <c r="J8498" s="33"/>
    </row>
    <row r="8499" spans="10:10" ht="15" customHeight="1" x14ac:dyDescent="0.3">
      <c r="J8499" s="33"/>
    </row>
    <row r="8500" spans="10:10" ht="15" customHeight="1" x14ac:dyDescent="0.3">
      <c r="J8500" s="33"/>
    </row>
    <row r="8501" spans="10:10" ht="15" customHeight="1" x14ac:dyDescent="0.3">
      <c r="J8501" s="33"/>
    </row>
    <row r="8502" spans="10:10" ht="15" customHeight="1" x14ac:dyDescent="0.3">
      <c r="J8502" s="33"/>
    </row>
    <row r="8503" spans="10:10" ht="15" customHeight="1" x14ac:dyDescent="0.3">
      <c r="J8503" s="33"/>
    </row>
    <row r="8504" spans="10:10" ht="15" customHeight="1" x14ac:dyDescent="0.3">
      <c r="J8504" s="33"/>
    </row>
    <row r="8505" spans="10:10" ht="15" customHeight="1" x14ac:dyDescent="0.3">
      <c r="J8505" s="33"/>
    </row>
    <row r="8506" spans="10:10" ht="15" customHeight="1" x14ac:dyDescent="0.3">
      <c r="J8506" s="33"/>
    </row>
    <row r="8507" spans="10:10" ht="15" customHeight="1" x14ac:dyDescent="0.3">
      <c r="J8507" s="33"/>
    </row>
    <row r="8508" spans="10:10" ht="15" customHeight="1" x14ac:dyDescent="0.3">
      <c r="J8508" s="33"/>
    </row>
    <row r="8509" spans="10:10" ht="15" customHeight="1" x14ac:dyDescent="0.3">
      <c r="J8509" s="33"/>
    </row>
    <row r="8510" spans="10:10" ht="15" customHeight="1" x14ac:dyDescent="0.3">
      <c r="J8510" s="33"/>
    </row>
    <row r="8511" spans="10:10" ht="15" customHeight="1" x14ac:dyDescent="0.3">
      <c r="J8511" s="33"/>
    </row>
    <row r="8512" spans="10:10" ht="15" customHeight="1" x14ac:dyDescent="0.3">
      <c r="J8512" s="33"/>
    </row>
    <row r="8513" spans="10:10" ht="15" customHeight="1" x14ac:dyDescent="0.3">
      <c r="J8513" s="33"/>
    </row>
    <row r="8514" spans="10:10" ht="15" customHeight="1" x14ac:dyDescent="0.3">
      <c r="J8514" s="33"/>
    </row>
    <row r="8515" spans="10:10" ht="15" customHeight="1" x14ac:dyDescent="0.3">
      <c r="J8515" s="33"/>
    </row>
    <row r="8516" spans="10:10" ht="15" customHeight="1" x14ac:dyDescent="0.3">
      <c r="J8516" s="33"/>
    </row>
    <row r="8517" spans="10:10" ht="15" customHeight="1" x14ac:dyDescent="0.3">
      <c r="J8517" s="33"/>
    </row>
    <row r="8518" spans="10:10" ht="15" customHeight="1" x14ac:dyDescent="0.3">
      <c r="J8518" s="33"/>
    </row>
    <row r="8519" spans="10:10" ht="15" customHeight="1" x14ac:dyDescent="0.3">
      <c r="J8519" s="33"/>
    </row>
    <row r="8520" spans="10:10" ht="15" customHeight="1" x14ac:dyDescent="0.3">
      <c r="J8520" s="33"/>
    </row>
    <row r="8521" spans="10:10" ht="15" customHeight="1" x14ac:dyDescent="0.3">
      <c r="J8521" s="33"/>
    </row>
    <row r="8522" spans="10:10" ht="15" customHeight="1" x14ac:dyDescent="0.3">
      <c r="J8522" s="33"/>
    </row>
    <row r="8523" spans="10:10" ht="15" customHeight="1" x14ac:dyDescent="0.3">
      <c r="J8523" s="33"/>
    </row>
    <row r="8524" spans="10:10" ht="15" customHeight="1" x14ac:dyDescent="0.3">
      <c r="J8524" s="33"/>
    </row>
    <row r="8525" spans="10:10" ht="15" customHeight="1" x14ac:dyDescent="0.3">
      <c r="J8525" s="33"/>
    </row>
    <row r="8526" spans="10:10" ht="15" customHeight="1" x14ac:dyDescent="0.3">
      <c r="J8526" s="33"/>
    </row>
    <row r="8527" spans="10:10" ht="15" customHeight="1" x14ac:dyDescent="0.3">
      <c r="J8527" s="33"/>
    </row>
    <row r="8528" spans="10:10" ht="15" customHeight="1" x14ac:dyDescent="0.3">
      <c r="J8528" s="33"/>
    </row>
    <row r="8529" spans="10:10" ht="15" customHeight="1" x14ac:dyDescent="0.3">
      <c r="J8529" s="33"/>
    </row>
    <row r="8530" spans="10:10" ht="15" customHeight="1" x14ac:dyDescent="0.3">
      <c r="J8530" s="33"/>
    </row>
    <row r="8531" spans="10:10" ht="15" customHeight="1" x14ac:dyDescent="0.3">
      <c r="J8531" s="33"/>
    </row>
    <row r="8532" spans="10:10" ht="15" customHeight="1" x14ac:dyDescent="0.3">
      <c r="J8532" s="33"/>
    </row>
    <row r="8533" spans="10:10" ht="15" customHeight="1" x14ac:dyDescent="0.3">
      <c r="J8533" s="33"/>
    </row>
    <row r="8534" spans="10:10" ht="15" customHeight="1" x14ac:dyDescent="0.3">
      <c r="J8534" s="33"/>
    </row>
    <row r="8535" spans="10:10" ht="15" customHeight="1" x14ac:dyDescent="0.3">
      <c r="J8535" s="33"/>
    </row>
    <row r="8536" spans="10:10" ht="15" customHeight="1" x14ac:dyDescent="0.3">
      <c r="J8536" s="33"/>
    </row>
    <row r="8537" spans="10:10" ht="15" customHeight="1" x14ac:dyDescent="0.3">
      <c r="J8537" s="33"/>
    </row>
    <row r="8538" spans="10:10" ht="15" customHeight="1" x14ac:dyDescent="0.3">
      <c r="J8538" s="33"/>
    </row>
    <row r="8539" spans="10:10" ht="15" customHeight="1" x14ac:dyDescent="0.3">
      <c r="J8539" s="33"/>
    </row>
    <row r="8540" spans="10:10" ht="15" customHeight="1" x14ac:dyDescent="0.3">
      <c r="J8540" s="33"/>
    </row>
    <row r="8541" spans="10:10" ht="15" customHeight="1" x14ac:dyDescent="0.3">
      <c r="J8541" s="33"/>
    </row>
    <row r="8542" spans="10:10" ht="15" customHeight="1" x14ac:dyDescent="0.3">
      <c r="J8542" s="33"/>
    </row>
    <row r="8543" spans="10:10" ht="15" customHeight="1" x14ac:dyDescent="0.3">
      <c r="J8543" s="33"/>
    </row>
    <row r="8544" spans="10:10" ht="15" customHeight="1" x14ac:dyDescent="0.3">
      <c r="J8544" s="33"/>
    </row>
    <row r="8545" spans="10:10" ht="15" customHeight="1" x14ac:dyDescent="0.3">
      <c r="J8545" s="33"/>
    </row>
    <row r="8546" spans="10:10" ht="15" customHeight="1" x14ac:dyDescent="0.3">
      <c r="J8546" s="33"/>
    </row>
    <row r="8547" spans="10:10" ht="15" customHeight="1" x14ac:dyDescent="0.3">
      <c r="J8547" s="33"/>
    </row>
    <row r="8548" spans="10:10" ht="15" customHeight="1" x14ac:dyDescent="0.3">
      <c r="J8548" s="33"/>
    </row>
    <row r="8549" spans="10:10" ht="15" customHeight="1" x14ac:dyDescent="0.3">
      <c r="J8549" s="33"/>
    </row>
    <row r="8550" spans="10:10" ht="15" customHeight="1" x14ac:dyDescent="0.3">
      <c r="J8550" s="33"/>
    </row>
    <row r="8551" spans="10:10" ht="15" customHeight="1" x14ac:dyDescent="0.3">
      <c r="J8551" s="33"/>
    </row>
    <row r="8552" spans="10:10" ht="15" customHeight="1" x14ac:dyDescent="0.3">
      <c r="J8552" s="33"/>
    </row>
    <row r="8553" spans="10:10" ht="15" customHeight="1" x14ac:dyDescent="0.3">
      <c r="J8553" s="33"/>
    </row>
    <row r="8554" spans="10:10" ht="15" customHeight="1" x14ac:dyDescent="0.3">
      <c r="J8554" s="33"/>
    </row>
    <row r="8555" spans="10:10" ht="15" customHeight="1" x14ac:dyDescent="0.3">
      <c r="J8555" s="33"/>
    </row>
    <row r="8556" spans="10:10" ht="15" customHeight="1" x14ac:dyDescent="0.3">
      <c r="J8556" s="33"/>
    </row>
    <row r="8557" spans="10:10" ht="15" customHeight="1" x14ac:dyDescent="0.3">
      <c r="J8557" s="33"/>
    </row>
    <row r="8558" spans="10:10" ht="15" customHeight="1" x14ac:dyDescent="0.3">
      <c r="J8558" s="33"/>
    </row>
    <row r="8559" spans="10:10" ht="15" customHeight="1" x14ac:dyDescent="0.3">
      <c r="J8559" s="33"/>
    </row>
    <row r="8560" spans="10:10" ht="15" customHeight="1" x14ac:dyDescent="0.3">
      <c r="J8560" s="33"/>
    </row>
    <row r="8561" spans="10:10" ht="15" customHeight="1" x14ac:dyDescent="0.3">
      <c r="J8561" s="33"/>
    </row>
    <row r="8562" spans="10:10" ht="15" customHeight="1" x14ac:dyDescent="0.3">
      <c r="J8562" s="33"/>
    </row>
    <row r="8563" spans="10:10" ht="15" customHeight="1" x14ac:dyDescent="0.3">
      <c r="J8563" s="33"/>
    </row>
    <row r="8564" spans="10:10" ht="15" customHeight="1" x14ac:dyDescent="0.3">
      <c r="J8564" s="33"/>
    </row>
    <row r="8565" spans="10:10" ht="15" customHeight="1" x14ac:dyDescent="0.3">
      <c r="J8565" s="33"/>
    </row>
    <row r="8566" spans="10:10" ht="15" customHeight="1" x14ac:dyDescent="0.3">
      <c r="J8566" s="33"/>
    </row>
    <row r="8567" spans="10:10" ht="15" customHeight="1" x14ac:dyDescent="0.3">
      <c r="J8567" s="33"/>
    </row>
    <row r="8568" spans="10:10" ht="15" customHeight="1" x14ac:dyDescent="0.3">
      <c r="J8568" s="33"/>
    </row>
    <row r="8569" spans="10:10" ht="15" customHeight="1" x14ac:dyDescent="0.3">
      <c r="J8569" s="33"/>
    </row>
    <row r="8570" spans="10:10" ht="15" customHeight="1" x14ac:dyDescent="0.3">
      <c r="J8570" s="33"/>
    </row>
    <row r="8571" spans="10:10" ht="15" customHeight="1" x14ac:dyDescent="0.3">
      <c r="J8571" s="33"/>
    </row>
    <row r="8572" spans="10:10" ht="15" customHeight="1" x14ac:dyDescent="0.3">
      <c r="J8572" s="33"/>
    </row>
    <row r="8573" spans="10:10" ht="15" customHeight="1" x14ac:dyDescent="0.3">
      <c r="J8573" s="33"/>
    </row>
    <row r="8574" spans="10:10" ht="15" customHeight="1" x14ac:dyDescent="0.3">
      <c r="J8574" s="33"/>
    </row>
    <row r="8575" spans="10:10" ht="15" customHeight="1" x14ac:dyDescent="0.3">
      <c r="J8575" s="33"/>
    </row>
    <row r="8576" spans="10:10" ht="15" customHeight="1" x14ac:dyDescent="0.3">
      <c r="J8576" s="33"/>
    </row>
    <row r="8577" spans="10:10" ht="15" customHeight="1" x14ac:dyDescent="0.3">
      <c r="J8577" s="33"/>
    </row>
    <row r="8578" spans="10:10" ht="15" customHeight="1" x14ac:dyDescent="0.3">
      <c r="J8578" s="33"/>
    </row>
    <row r="8579" spans="10:10" ht="15" customHeight="1" x14ac:dyDescent="0.3">
      <c r="J8579" s="33"/>
    </row>
    <row r="8580" spans="10:10" ht="15" customHeight="1" x14ac:dyDescent="0.3">
      <c r="J8580" s="33"/>
    </row>
    <row r="8581" spans="10:10" ht="15" customHeight="1" x14ac:dyDescent="0.3">
      <c r="J8581" s="33"/>
    </row>
    <row r="8582" spans="10:10" ht="15" customHeight="1" x14ac:dyDescent="0.3">
      <c r="J8582" s="33"/>
    </row>
    <row r="8583" spans="10:10" ht="15" customHeight="1" x14ac:dyDescent="0.3">
      <c r="J8583" s="33"/>
    </row>
    <row r="8584" spans="10:10" ht="15" customHeight="1" x14ac:dyDescent="0.3">
      <c r="J8584" s="33"/>
    </row>
    <row r="8585" spans="10:10" ht="15" customHeight="1" x14ac:dyDescent="0.3">
      <c r="J8585" s="33"/>
    </row>
    <row r="8586" spans="10:10" ht="15" customHeight="1" x14ac:dyDescent="0.3">
      <c r="J8586" s="33"/>
    </row>
    <row r="8587" spans="10:10" ht="15" customHeight="1" x14ac:dyDescent="0.3">
      <c r="J8587" s="33"/>
    </row>
    <row r="8588" spans="10:10" ht="15" customHeight="1" x14ac:dyDescent="0.3">
      <c r="J8588" s="33"/>
    </row>
    <row r="8589" spans="10:10" ht="15" customHeight="1" x14ac:dyDescent="0.3">
      <c r="J8589" s="33"/>
    </row>
    <row r="8590" spans="10:10" ht="15" customHeight="1" x14ac:dyDescent="0.3">
      <c r="J8590" s="33"/>
    </row>
    <row r="8591" spans="10:10" ht="15" customHeight="1" x14ac:dyDescent="0.3">
      <c r="J8591" s="33"/>
    </row>
    <row r="8592" spans="10:10" ht="15" customHeight="1" x14ac:dyDescent="0.3">
      <c r="J8592" s="33"/>
    </row>
    <row r="8593" spans="10:10" ht="15" customHeight="1" x14ac:dyDescent="0.3">
      <c r="J8593" s="33"/>
    </row>
    <row r="8594" spans="10:10" ht="15" customHeight="1" x14ac:dyDescent="0.3">
      <c r="J8594" s="33"/>
    </row>
    <row r="8595" spans="10:10" ht="15" customHeight="1" x14ac:dyDescent="0.3">
      <c r="J8595" s="33"/>
    </row>
    <row r="8596" spans="10:10" ht="15" customHeight="1" x14ac:dyDescent="0.3">
      <c r="J8596" s="33"/>
    </row>
    <row r="8597" spans="10:10" ht="15" customHeight="1" x14ac:dyDescent="0.3">
      <c r="J8597" s="33"/>
    </row>
    <row r="8598" spans="10:10" ht="15" customHeight="1" x14ac:dyDescent="0.3">
      <c r="J8598" s="33"/>
    </row>
    <row r="8599" spans="10:10" ht="15" customHeight="1" x14ac:dyDescent="0.3">
      <c r="J8599" s="33"/>
    </row>
    <row r="8600" spans="10:10" ht="15" customHeight="1" x14ac:dyDescent="0.3">
      <c r="J8600" s="33"/>
    </row>
    <row r="8601" spans="10:10" ht="15" customHeight="1" x14ac:dyDescent="0.3">
      <c r="J8601" s="33"/>
    </row>
    <row r="8602" spans="10:10" ht="15" customHeight="1" x14ac:dyDescent="0.3">
      <c r="J8602" s="33"/>
    </row>
    <row r="8603" spans="10:10" ht="15" customHeight="1" x14ac:dyDescent="0.3">
      <c r="J8603" s="33"/>
    </row>
    <row r="8604" spans="10:10" ht="15" customHeight="1" x14ac:dyDescent="0.3">
      <c r="J8604" s="33"/>
    </row>
    <row r="8605" spans="10:10" ht="15" customHeight="1" x14ac:dyDescent="0.3">
      <c r="J8605" s="33"/>
    </row>
    <row r="8606" spans="10:10" ht="15" customHeight="1" x14ac:dyDescent="0.3">
      <c r="J8606" s="33"/>
    </row>
    <row r="8607" spans="10:10" ht="15" customHeight="1" x14ac:dyDescent="0.3">
      <c r="J8607" s="33"/>
    </row>
    <row r="8608" spans="10:10" ht="15" customHeight="1" x14ac:dyDescent="0.3">
      <c r="J8608" s="33"/>
    </row>
    <row r="8609" spans="10:10" ht="15" customHeight="1" x14ac:dyDescent="0.3">
      <c r="J8609" s="33"/>
    </row>
    <row r="8610" spans="10:10" ht="15" customHeight="1" x14ac:dyDescent="0.3">
      <c r="J8610" s="33"/>
    </row>
    <row r="8611" spans="10:10" ht="15" customHeight="1" x14ac:dyDescent="0.3">
      <c r="J8611" s="33"/>
    </row>
    <row r="8612" spans="10:10" ht="15" customHeight="1" x14ac:dyDescent="0.3">
      <c r="J8612" s="33"/>
    </row>
    <row r="8613" spans="10:10" ht="15" customHeight="1" x14ac:dyDescent="0.3">
      <c r="J8613" s="33"/>
    </row>
    <row r="8614" spans="10:10" ht="15" customHeight="1" x14ac:dyDescent="0.3">
      <c r="J8614" s="33"/>
    </row>
    <row r="8615" spans="10:10" ht="15" customHeight="1" x14ac:dyDescent="0.3">
      <c r="J8615" s="33"/>
    </row>
    <row r="8616" spans="10:10" ht="15" customHeight="1" x14ac:dyDescent="0.3">
      <c r="J8616" s="33"/>
    </row>
    <row r="8617" spans="10:10" ht="15" customHeight="1" x14ac:dyDescent="0.3">
      <c r="J8617" s="33"/>
    </row>
    <row r="8618" spans="10:10" ht="15" customHeight="1" x14ac:dyDescent="0.3">
      <c r="J8618" s="33"/>
    </row>
    <row r="8619" spans="10:10" ht="15" customHeight="1" x14ac:dyDescent="0.3">
      <c r="J8619" s="33"/>
    </row>
    <row r="8620" spans="10:10" ht="15" customHeight="1" x14ac:dyDescent="0.3">
      <c r="J8620" s="33"/>
    </row>
    <row r="8621" spans="10:10" ht="15" customHeight="1" x14ac:dyDescent="0.3">
      <c r="J8621" s="33"/>
    </row>
    <row r="8622" spans="10:10" ht="15" customHeight="1" x14ac:dyDescent="0.3">
      <c r="J8622" s="33"/>
    </row>
    <row r="8623" spans="10:10" ht="15" customHeight="1" x14ac:dyDescent="0.3">
      <c r="J8623" s="33"/>
    </row>
    <row r="8624" spans="10:10" ht="15" customHeight="1" x14ac:dyDescent="0.3">
      <c r="J8624" s="33"/>
    </row>
    <row r="8625" spans="10:10" ht="15" customHeight="1" x14ac:dyDescent="0.3">
      <c r="J8625" s="33"/>
    </row>
    <row r="8626" spans="10:10" ht="15" customHeight="1" x14ac:dyDescent="0.3">
      <c r="J8626" s="33"/>
    </row>
    <row r="8627" spans="10:10" ht="15" customHeight="1" x14ac:dyDescent="0.3">
      <c r="J8627" s="33"/>
    </row>
    <row r="8628" spans="10:10" ht="15" customHeight="1" x14ac:dyDescent="0.3">
      <c r="J8628" s="33"/>
    </row>
    <row r="8629" spans="10:10" ht="15" customHeight="1" x14ac:dyDescent="0.3">
      <c r="J8629" s="33"/>
    </row>
    <row r="8630" spans="10:10" ht="15" customHeight="1" x14ac:dyDescent="0.3">
      <c r="J8630" s="33"/>
    </row>
    <row r="8631" spans="10:10" ht="15" customHeight="1" x14ac:dyDescent="0.3">
      <c r="J8631" s="33"/>
    </row>
    <row r="8632" spans="10:10" ht="15" customHeight="1" x14ac:dyDescent="0.3">
      <c r="J8632" s="33"/>
    </row>
    <row r="8633" spans="10:10" ht="15" customHeight="1" x14ac:dyDescent="0.3">
      <c r="J8633" s="33"/>
    </row>
    <row r="8634" spans="10:10" ht="15" customHeight="1" x14ac:dyDescent="0.3">
      <c r="J8634" s="33"/>
    </row>
    <row r="8635" spans="10:10" ht="15" customHeight="1" x14ac:dyDescent="0.3">
      <c r="J8635" s="33"/>
    </row>
    <row r="8636" spans="10:10" ht="15" customHeight="1" x14ac:dyDescent="0.3">
      <c r="J8636" s="33"/>
    </row>
    <row r="8637" spans="10:10" ht="15" customHeight="1" x14ac:dyDescent="0.3">
      <c r="J8637" s="33"/>
    </row>
    <row r="8638" spans="10:10" ht="15" customHeight="1" x14ac:dyDescent="0.3">
      <c r="J8638" s="33"/>
    </row>
    <row r="8639" spans="10:10" ht="15" customHeight="1" x14ac:dyDescent="0.3">
      <c r="J8639" s="33"/>
    </row>
    <row r="8640" spans="10:10" ht="15" customHeight="1" x14ac:dyDescent="0.3">
      <c r="J8640" s="33"/>
    </row>
    <row r="8641" spans="10:10" ht="15" customHeight="1" x14ac:dyDescent="0.3">
      <c r="J8641" s="33"/>
    </row>
    <row r="8642" spans="10:10" ht="15" customHeight="1" x14ac:dyDescent="0.3">
      <c r="J8642" s="33"/>
    </row>
    <row r="8643" spans="10:10" ht="15" customHeight="1" x14ac:dyDescent="0.3">
      <c r="J8643" s="33"/>
    </row>
    <row r="8644" spans="10:10" ht="15" customHeight="1" x14ac:dyDescent="0.3">
      <c r="J8644" s="33"/>
    </row>
    <row r="8645" spans="10:10" ht="15" customHeight="1" x14ac:dyDescent="0.3">
      <c r="J8645" s="33"/>
    </row>
    <row r="8646" spans="10:10" ht="15" customHeight="1" x14ac:dyDescent="0.3">
      <c r="J8646" s="33"/>
    </row>
    <row r="8647" spans="10:10" ht="15" customHeight="1" x14ac:dyDescent="0.3">
      <c r="J8647" s="33"/>
    </row>
    <row r="8648" spans="10:10" ht="15" customHeight="1" x14ac:dyDescent="0.3">
      <c r="J8648" s="33"/>
    </row>
    <row r="8649" spans="10:10" ht="15" customHeight="1" x14ac:dyDescent="0.3">
      <c r="J8649" s="33"/>
    </row>
    <row r="8650" spans="10:10" ht="15" customHeight="1" x14ac:dyDescent="0.3">
      <c r="J8650" s="33"/>
    </row>
    <row r="8651" spans="10:10" ht="15" customHeight="1" x14ac:dyDescent="0.3">
      <c r="J8651" s="33"/>
    </row>
    <row r="8652" spans="10:10" ht="15" customHeight="1" x14ac:dyDescent="0.3">
      <c r="J8652" s="33"/>
    </row>
    <row r="8653" spans="10:10" ht="15" customHeight="1" x14ac:dyDescent="0.3">
      <c r="J8653" s="33"/>
    </row>
    <row r="8654" spans="10:10" ht="15" customHeight="1" x14ac:dyDescent="0.3">
      <c r="J8654" s="33"/>
    </row>
    <row r="8655" spans="10:10" ht="15" customHeight="1" x14ac:dyDescent="0.3">
      <c r="J8655" s="33"/>
    </row>
    <row r="8656" spans="10:10" ht="15" customHeight="1" x14ac:dyDescent="0.3">
      <c r="J8656" s="33"/>
    </row>
    <row r="8657" spans="10:10" ht="15" customHeight="1" x14ac:dyDescent="0.3">
      <c r="J8657" s="33"/>
    </row>
    <row r="8658" spans="10:10" ht="15" customHeight="1" x14ac:dyDescent="0.3">
      <c r="J8658" s="33"/>
    </row>
    <row r="8659" spans="10:10" ht="15" customHeight="1" x14ac:dyDescent="0.3">
      <c r="J8659" s="33"/>
    </row>
    <row r="8660" spans="10:10" ht="15" customHeight="1" x14ac:dyDescent="0.3">
      <c r="J8660" s="33"/>
    </row>
    <row r="8661" spans="10:10" ht="15" customHeight="1" x14ac:dyDescent="0.3">
      <c r="J8661" s="33"/>
    </row>
    <row r="8662" spans="10:10" ht="15" customHeight="1" x14ac:dyDescent="0.3">
      <c r="J8662" s="33"/>
    </row>
    <row r="8663" spans="10:10" ht="15" customHeight="1" x14ac:dyDescent="0.3">
      <c r="J8663" s="33"/>
    </row>
    <row r="8664" spans="10:10" ht="15" customHeight="1" x14ac:dyDescent="0.3">
      <c r="J8664" s="33"/>
    </row>
    <row r="8665" spans="10:10" ht="15" customHeight="1" x14ac:dyDescent="0.3">
      <c r="J8665" s="33"/>
    </row>
    <row r="8666" spans="10:10" ht="15" customHeight="1" x14ac:dyDescent="0.3">
      <c r="J8666" s="33"/>
    </row>
    <row r="8667" spans="10:10" ht="15" customHeight="1" x14ac:dyDescent="0.3">
      <c r="J8667" s="33"/>
    </row>
    <row r="8668" spans="10:10" ht="15" customHeight="1" x14ac:dyDescent="0.3">
      <c r="J8668" s="33"/>
    </row>
    <row r="8669" spans="10:10" ht="15" customHeight="1" x14ac:dyDescent="0.3">
      <c r="J8669" s="33"/>
    </row>
    <row r="8670" spans="10:10" ht="15" customHeight="1" x14ac:dyDescent="0.3">
      <c r="J8670" s="33"/>
    </row>
    <row r="8671" spans="10:10" ht="15" customHeight="1" x14ac:dyDescent="0.3">
      <c r="J8671" s="33"/>
    </row>
    <row r="8672" spans="10:10" ht="15" customHeight="1" x14ac:dyDescent="0.3">
      <c r="J8672" s="33"/>
    </row>
    <row r="8673" spans="10:10" ht="15" customHeight="1" x14ac:dyDescent="0.3">
      <c r="J8673" s="33"/>
    </row>
    <row r="8674" spans="10:10" ht="15" customHeight="1" x14ac:dyDescent="0.3">
      <c r="J8674" s="33"/>
    </row>
    <row r="8675" spans="10:10" ht="15" customHeight="1" x14ac:dyDescent="0.3">
      <c r="J8675" s="33"/>
    </row>
    <row r="8676" spans="10:10" ht="15" customHeight="1" x14ac:dyDescent="0.3">
      <c r="J8676" s="33"/>
    </row>
    <row r="8677" spans="10:10" ht="15" customHeight="1" x14ac:dyDescent="0.3">
      <c r="J8677" s="33"/>
    </row>
    <row r="8678" spans="10:10" ht="15" customHeight="1" x14ac:dyDescent="0.3">
      <c r="J8678" s="33"/>
    </row>
    <row r="8679" spans="10:10" ht="15" customHeight="1" x14ac:dyDescent="0.3">
      <c r="J8679" s="33"/>
    </row>
    <row r="8680" spans="10:10" ht="15" customHeight="1" x14ac:dyDescent="0.3">
      <c r="J8680" s="33"/>
    </row>
    <row r="8681" spans="10:10" ht="15" customHeight="1" x14ac:dyDescent="0.3">
      <c r="J8681" s="33"/>
    </row>
    <row r="8682" spans="10:10" ht="15" customHeight="1" x14ac:dyDescent="0.3">
      <c r="J8682" s="33"/>
    </row>
    <row r="8683" spans="10:10" ht="15" customHeight="1" x14ac:dyDescent="0.3">
      <c r="J8683" s="33"/>
    </row>
    <row r="8684" spans="10:10" ht="15" customHeight="1" x14ac:dyDescent="0.3">
      <c r="J8684" s="33"/>
    </row>
    <row r="8685" spans="10:10" ht="15" customHeight="1" x14ac:dyDescent="0.3">
      <c r="J8685" s="33"/>
    </row>
    <row r="8686" spans="10:10" ht="15" customHeight="1" x14ac:dyDescent="0.3">
      <c r="J8686" s="33"/>
    </row>
    <row r="8687" spans="10:10" ht="15" customHeight="1" x14ac:dyDescent="0.3">
      <c r="J8687" s="33"/>
    </row>
    <row r="8688" spans="10:10" ht="15" customHeight="1" x14ac:dyDescent="0.3">
      <c r="J8688" s="33"/>
    </row>
    <row r="8689" spans="10:10" ht="15" customHeight="1" x14ac:dyDescent="0.3">
      <c r="J8689" s="33"/>
    </row>
    <row r="8690" spans="10:10" ht="15" customHeight="1" x14ac:dyDescent="0.3">
      <c r="J8690" s="33"/>
    </row>
    <row r="8691" spans="10:10" ht="15" customHeight="1" x14ac:dyDescent="0.3">
      <c r="J8691" s="33"/>
    </row>
    <row r="8692" spans="10:10" ht="15" customHeight="1" x14ac:dyDescent="0.3">
      <c r="J8692" s="33"/>
    </row>
    <row r="8693" spans="10:10" ht="15" customHeight="1" x14ac:dyDescent="0.3">
      <c r="J8693" s="33"/>
    </row>
    <row r="8694" spans="10:10" ht="15" customHeight="1" x14ac:dyDescent="0.3">
      <c r="J8694" s="33"/>
    </row>
    <row r="8695" spans="10:10" ht="15" customHeight="1" x14ac:dyDescent="0.3">
      <c r="J8695" s="33"/>
    </row>
    <row r="8696" spans="10:10" ht="15" customHeight="1" x14ac:dyDescent="0.3">
      <c r="J8696" s="33"/>
    </row>
    <row r="8697" spans="10:10" ht="15" customHeight="1" x14ac:dyDescent="0.3">
      <c r="J8697" s="33"/>
    </row>
    <row r="8698" spans="10:10" ht="15" customHeight="1" x14ac:dyDescent="0.3">
      <c r="J8698" s="33"/>
    </row>
    <row r="8699" spans="10:10" ht="15" customHeight="1" x14ac:dyDescent="0.3">
      <c r="J8699" s="33"/>
    </row>
    <row r="8700" spans="10:10" ht="15" customHeight="1" x14ac:dyDescent="0.3">
      <c r="J8700" s="33"/>
    </row>
    <row r="8701" spans="10:10" ht="15" customHeight="1" x14ac:dyDescent="0.3">
      <c r="J8701" s="33"/>
    </row>
    <row r="8702" spans="10:10" ht="15" customHeight="1" x14ac:dyDescent="0.3">
      <c r="J8702" s="33"/>
    </row>
    <row r="8703" spans="10:10" ht="15" customHeight="1" x14ac:dyDescent="0.3">
      <c r="J8703" s="33"/>
    </row>
    <row r="8704" spans="10:10" ht="15" customHeight="1" x14ac:dyDescent="0.3">
      <c r="J8704" s="33"/>
    </row>
    <row r="8705" spans="10:10" ht="15" customHeight="1" x14ac:dyDescent="0.3">
      <c r="J8705" s="33"/>
    </row>
    <row r="8706" spans="10:10" ht="15" customHeight="1" x14ac:dyDescent="0.3">
      <c r="J8706" s="33"/>
    </row>
    <row r="8707" spans="10:10" ht="15" customHeight="1" x14ac:dyDescent="0.3">
      <c r="J8707" s="33"/>
    </row>
    <row r="8708" spans="10:10" ht="15" customHeight="1" x14ac:dyDescent="0.3">
      <c r="J8708" s="33"/>
    </row>
    <row r="8709" spans="10:10" ht="15" customHeight="1" x14ac:dyDescent="0.3">
      <c r="J8709" s="33"/>
    </row>
    <row r="8710" spans="10:10" ht="15" customHeight="1" x14ac:dyDescent="0.3">
      <c r="J8710" s="33"/>
    </row>
    <row r="8711" spans="10:10" ht="15" customHeight="1" x14ac:dyDescent="0.3">
      <c r="J8711" s="33"/>
    </row>
    <row r="8712" spans="10:10" ht="15" customHeight="1" x14ac:dyDescent="0.3">
      <c r="J8712" s="33"/>
    </row>
    <row r="8713" spans="10:10" ht="15" customHeight="1" x14ac:dyDescent="0.3">
      <c r="J8713" s="33"/>
    </row>
    <row r="8714" spans="10:10" ht="15" customHeight="1" x14ac:dyDescent="0.3">
      <c r="J8714" s="33"/>
    </row>
    <row r="8715" spans="10:10" ht="15" customHeight="1" x14ac:dyDescent="0.3">
      <c r="J8715" s="33"/>
    </row>
    <row r="8716" spans="10:10" ht="15" customHeight="1" x14ac:dyDescent="0.3">
      <c r="J8716" s="33"/>
    </row>
    <row r="8717" spans="10:10" ht="15" customHeight="1" x14ac:dyDescent="0.3">
      <c r="J8717" s="33"/>
    </row>
    <row r="8718" spans="10:10" ht="15" customHeight="1" x14ac:dyDescent="0.3">
      <c r="J8718" s="33"/>
    </row>
    <row r="8719" spans="10:10" ht="15" customHeight="1" x14ac:dyDescent="0.3">
      <c r="J8719" s="33"/>
    </row>
    <row r="8720" spans="10:10" ht="15" customHeight="1" x14ac:dyDescent="0.3">
      <c r="J8720" s="33"/>
    </row>
    <row r="8721" spans="10:10" ht="15" customHeight="1" x14ac:dyDescent="0.3">
      <c r="J8721" s="33"/>
    </row>
    <row r="8722" spans="10:10" ht="15" customHeight="1" x14ac:dyDescent="0.3">
      <c r="J8722" s="33"/>
    </row>
    <row r="8723" spans="10:10" ht="15" customHeight="1" x14ac:dyDescent="0.3">
      <c r="J8723" s="33"/>
    </row>
    <row r="8724" spans="10:10" ht="15" customHeight="1" x14ac:dyDescent="0.3">
      <c r="J8724" s="33"/>
    </row>
    <row r="8725" spans="10:10" ht="15" customHeight="1" x14ac:dyDescent="0.3">
      <c r="J8725" s="33"/>
    </row>
    <row r="8726" spans="10:10" ht="15" customHeight="1" x14ac:dyDescent="0.3">
      <c r="J8726" s="33"/>
    </row>
    <row r="8727" spans="10:10" ht="15" customHeight="1" x14ac:dyDescent="0.3">
      <c r="J8727" s="33"/>
    </row>
    <row r="8728" spans="10:10" ht="15" customHeight="1" x14ac:dyDescent="0.3">
      <c r="J8728" s="33"/>
    </row>
    <row r="8729" spans="10:10" ht="15" customHeight="1" x14ac:dyDescent="0.3">
      <c r="J8729" s="33"/>
    </row>
    <row r="8730" spans="10:10" ht="15" customHeight="1" x14ac:dyDescent="0.3">
      <c r="J8730" s="33"/>
    </row>
    <row r="8731" spans="10:10" ht="15" customHeight="1" x14ac:dyDescent="0.3">
      <c r="J8731" s="33"/>
    </row>
    <row r="8732" spans="10:10" ht="15" customHeight="1" x14ac:dyDescent="0.3">
      <c r="J8732" s="33"/>
    </row>
    <row r="8733" spans="10:10" ht="15" customHeight="1" x14ac:dyDescent="0.3">
      <c r="J8733" s="33"/>
    </row>
    <row r="8734" spans="10:10" ht="15" customHeight="1" x14ac:dyDescent="0.3">
      <c r="J8734" s="33"/>
    </row>
    <row r="8735" spans="10:10" ht="15" customHeight="1" x14ac:dyDescent="0.3">
      <c r="J8735" s="33"/>
    </row>
    <row r="8736" spans="10:10" ht="15" customHeight="1" x14ac:dyDescent="0.3">
      <c r="J8736" s="33"/>
    </row>
    <row r="8737" spans="10:10" ht="15" customHeight="1" x14ac:dyDescent="0.3">
      <c r="J8737" s="33"/>
    </row>
    <row r="8738" spans="10:10" ht="15" customHeight="1" x14ac:dyDescent="0.3">
      <c r="J8738" s="33"/>
    </row>
    <row r="8739" spans="10:10" ht="15" customHeight="1" x14ac:dyDescent="0.3">
      <c r="J8739" s="33"/>
    </row>
    <row r="8740" spans="10:10" ht="15" customHeight="1" x14ac:dyDescent="0.3">
      <c r="J8740" s="33"/>
    </row>
    <row r="8741" spans="10:10" ht="15" customHeight="1" x14ac:dyDescent="0.3">
      <c r="J8741" s="33"/>
    </row>
    <row r="8742" spans="10:10" ht="15" customHeight="1" x14ac:dyDescent="0.3">
      <c r="J8742" s="33"/>
    </row>
    <row r="8743" spans="10:10" ht="15" customHeight="1" x14ac:dyDescent="0.3">
      <c r="J8743" s="33"/>
    </row>
    <row r="8744" spans="10:10" ht="15" customHeight="1" x14ac:dyDescent="0.3">
      <c r="J8744" s="33"/>
    </row>
    <row r="8745" spans="10:10" ht="15" customHeight="1" x14ac:dyDescent="0.3">
      <c r="J8745" s="33"/>
    </row>
    <row r="8746" spans="10:10" ht="15" customHeight="1" x14ac:dyDescent="0.3">
      <c r="J8746" s="33"/>
    </row>
    <row r="8747" spans="10:10" ht="15" customHeight="1" x14ac:dyDescent="0.3">
      <c r="J8747" s="33"/>
    </row>
    <row r="8748" spans="10:10" ht="15" customHeight="1" x14ac:dyDescent="0.3">
      <c r="J8748" s="33"/>
    </row>
    <row r="8749" spans="10:10" ht="15" customHeight="1" x14ac:dyDescent="0.3">
      <c r="J8749" s="33"/>
    </row>
    <row r="8750" spans="10:10" ht="15" customHeight="1" x14ac:dyDescent="0.3">
      <c r="J8750" s="33"/>
    </row>
    <row r="8751" spans="10:10" ht="15" customHeight="1" x14ac:dyDescent="0.3">
      <c r="J8751" s="33"/>
    </row>
    <row r="8752" spans="10:10" ht="15" customHeight="1" x14ac:dyDescent="0.3">
      <c r="J8752" s="33"/>
    </row>
    <row r="8753" spans="10:10" ht="15" customHeight="1" x14ac:dyDescent="0.3">
      <c r="J8753" s="33"/>
    </row>
    <row r="8754" spans="10:10" ht="15" customHeight="1" x14ac:dyDescent="0.3">
      <c r="J8754" s="33"/>
    </row>
    <row r="8755" spans="10:10" ht="15" customHeight="1" x14ac:dyDescent="0.3">
      <c r="J8755" s="33"/>
    </row>
    <row r="8756" spans="10:10" ht="15" customHeight="1" x14ac:dyDescent="0.3">
      <c r="J8756" s="33"/>
    </row>
    <row r="8757" spans="10:10" ht="15" customHeight="1" x14ac:dyDescent="0.3">
      <c r="J8757" s="33"/>
    </row>
    <row r="8758" spans="10:10" ht="15" customHeight="1" x14ac:dyDescent="0.3">
      <c r="J8758" s="33"/>
    </row>
    <row r="8759" spans="10:10" ht="15" customHeight="1" x14ac:dyDescent="0.3">
      <c r="J8759" s="33"/>
    </row>
    <row r="8760" spans="10:10" ht="15" customHeight="1" x14ac:dyDescent="0.3">
      <c r="J8760" s="33"/>
    </row>
    <row r="8761" spans="10:10" ht="15" customHeight="1" x14ac:dyDescent="0.3">
      <c r="J8761" s="33"/>
    </row>
    <row r="8762" spans="10:10" ht="15" customHeight="1" x14ac:dyDescent="0.3">
      <c r="J8762" s="33"/>
    </row>
    <row r="8763" spans="10:10" ht="15" customHeight="1" x14ac:dyDescent="0.3">
      <c r="J8763" s="33"/>
    </row>
    <row r="8764" spans="10:10" ht="15" customHeight="1" x14ac:dyDescent="0.3">
      <c r="J8764" s="33"/>
    </row>
    <row r="8765" spans="10:10" ht="15" customHeight="1" x14ac:dyDescent="0.3">
      <c r="J8765" s="33"/>
    </row>
    <row r="8766" spans="10:10" ht="15" customHeight="1" x14ac:dyDescent="0.3">
      <c r="J8766" s="33"/>
    </row>
    <row r="8767" spans="10:10" ht="15" customHeight="1" x14ac:dyDescent="0.3">
      <c r="J8767" s="33"/>
    </row>
    <row r="8768" spans="10:10" ht="15" customHeight="1" x14ac:dyDescent="0.3">
      <c r="J8768" s="33"/>
    </row>
    <row r="8769" spans="10:10" ht="15" customHeight="1" x14ac:dyDescent="0.3">
      <c r="J8769" s="33"/>
    </row>
    <row r="8770" spans="10:10" ht="15" customHeight="1" x14ac:dyDescent="0.3">
      <c r="J8770" s="33"/>
    </row>
    <row r="8771" spans="10:10" ht="15" customHeight="1" x14ac:dyDescent="0.3">
      <c r="J8771" s="33"/>
    </row>
    <row r="8772" spans="10:10" ht="15" customHeight="1" x14ac:dyDescent="0.3">
      <c r="J8772" s="33"/>
    </row>
    <row r="8773" spans="10:10" ht="15" customHeight="1" x14ac:dyDescent="0.3">
      <c r="J8773" s="33"/>
    </row>
    <row r="8774" spans="10:10" ht="15" customHeight="1" x14ac:dyDescent="0.3">
      <c r="J8774" s="33"/>
    </row>
    <row r="8775" spans="10:10" ht="15" customHeight="1" x14ac:dyDescent="0.3">
      <c r="J8775" s="33"/>
    </row>
    <row r="8776" spans="10:10" ht="15" customHeight="1" x14ac:dyDescent="0.3">
      <c r="J8776" s="33"/>
    </row>
    <row r="8777" spans="10:10" ht="15" customHeight="1" x14ac:dyDescent="0.3">
      <c r="J8777" s="33"/>
    </row>
    <row r="8778" spans="10:10" ht="15" customHeight="1" x14ac:dyDescent="0.3">
      <c r="J8778" s="33"/>
    </row>
    <row r="8779" spans="10:10" ht="15" customHeight="1" x14ac:dyDescent="0.3">
      <c r="J8779" s="33"/>
    </row>
    <row r="8780" spans="10:10" ht="15" customHeight="1" x14ac:dyDescent="0.3">
      <c r="J8780" s="33"/>
    </row>
    <row r="8781" spans="10:10" ht="15" customHeight="1" x14ac:dyDescent="0.3">
      <c r="J8781" s="33"/>
    </row>
    <row r="8782" spans="10:10" ht="15" customHeight="1" x14ac:dyDescent="0.3">
      <c r="J8782" s="33"/>
    </row>
    <row r="8783" spans="10:10" ht="15" customHeight="1" x14ac:dyDescent="0.3">
      <c r="J8783" s="33"/>
    </row>
    <row r="8784" spans="10:10" ht="15" customHeight="1" x14ac:dyDescent="0.3">
      <c r="J8784" s="33"/>
    </row>
    <row r="8785" spans="10:10" ht="15" customHeight="1" x14ac:dyDescent="0.3">
      <c r="J8785" s="33"/>
    </row>
    <row r="8786" spans="10:10" ht="15" customHeight="1" x14ac:dyDescent="0.3">
      <c r="J8786" s="33"/>
    </row>
    <row r="8787" spans="10:10" ht="15" customHeight="1" x14ac:dyDescent="0.3">
      <c r="J8787" s="33"/>
    </row>
    <row r="8788" spans="10:10" ht="15" customHeight="1" x14ac:dyDescent="0.3">
      <c r="J8788" s="33"/>
    </row>
    <row r="8789" spans="10:10" ht="15" customHeight="1" x14ac:dyDescent="0.3">
      <c r="J8789" s="33"/>
    </row>
    <row r="8790" spans="10:10" ht="15" customHeight="1" x14ac:dyDescent="0.3">
      <c r="J8790" s="33"/>
    </row>
    <row r="8791" spans="10:10" ht="15" customHeight="1" x14ac:dyDescent="0.3">
      <c r="J8791" s="33"/>
    </row>
    <row r="8792" spans="10:10" ht="15" customHeight="1" x14ac:dyDescent="0.3">
      <c r="J8792" s="33"/>
    </row>
    <row r="8793" spans="10:10" ht="15" customHeight="1" x14ac:dyDescent="0.3">
      <c r="J8793" s="33"/>
    </row>
    <row r="8794" spans="10:10" ht="15" customHeight="1" x14ac:dyDescent="0.3">
      <c r="J8794" s="33"/>
    </row>
    <row r="8795" spans="10:10" ht="15" customHeight="1" x14ac:dyDescent="0.3">
      <c r="J8795" s="33"/>
    </row>
    <row r="8796" spans="10:10" ht="15" customHeight="1" x14ac:dyDescent="0.3">
      <c r="J8796" s="33"/>
    </row>
    <row r="8797" spans="10:10" ht="15" customHeight="1" x14ac:dyDescent="0.3">
      <c r="J8797" s="33"/>
    </row>
    <row r="8798" spans="10:10" ht="15" customHeight="1" x14ac:dyDescent="0.3">
      <c r="J8798" s="33"/>
    </row>
    <row r="8799" spans="10:10" ht="15" customHeight="1" x14ac:dyDescent="0.3">
      <c r="J8799" s="33"/>
    </row>
    <row r="8800" spans="10:10" ht="15" customHeight="1" x14ac:dyDescent="0.3">
      <c r="J8800" s="33"/>
    </row>
    <row r="8801" spans="10:10" ht="15" customHeight="1" x14ac:dyDescent="0.3">
      <c r="J8801" s="33"/>
    </row>
    <row r="8802" spans="10:10" ht="15" customHeight="1" x14ac:dyDescent="0.3">
      <c r="J8802" s="33"/>
    </row>
    <row r="8803" spans="10:10" ht="15" customHeight="1" x14ac:dyDescent="0.3">
      <c r="J8803" s="33"/>
    </row>
    <row r="8804" spans="10:10" ht="15" customHeight="1" x14ac:dyDescent="0.3">
      <c r="J8804" s="33"/>
    </row>
    <row r="8805" spans="10:10" ht="15" customHeight="1" x14ac:dyDescent="0.3">
      <c r="J8805" s="33"/>
    </row>
    <row r="8806" spans="10:10" ht="15" customHeight="1" x14ac:dyDescent="0.3">
      <c r="J8806" s="33"/>
    </row>
    <row r="8807" spans="10:10" ht="15" customHeight="1" x14ac:dyDescent="0.3">
      <c r="J8807" s="33"/>
    </row>
    <row r="8808" spans="10:10" ht="15" customHeight="1" x14ac:dyDescent="0.3">
      <c r="J8808" s="33"/>
    </row>
    <row r="8809" spans="10:10" ht="15" customHeight="1" x14ac:dyDescent="0.3">
      <c r="J8809" s="33"/>
    </row>
    <row r="8810" spans="10:10" ht="15" customHeight="1" x14ac:dyDescent="0.3">
      <c r="J8810" s="33"/>
    </row>
    <row r="8811" spans="10:10" ht="15" customHeight="1" x14ac:dyDescent="0.3">
      <c r="J8811" s="33"/>
    </row>
    <row r="8812" spans="10:10" ht="15" customHeight="1" x14ac:dyDescent="0.3">
      <c r="J8812" s="33"/>
    </row>
    <row r="8813" spans="10:10" ht="15" customHeight="1" x14ac:dyDescent="0.3">
      <c r="J8813" s="33"/>
    </row>
    <row r="8814" spans="10:10" ht="15" customHeight="1" x14ac:dyDescent="0.3">
      <c r="J8814" s="33"/>
    </row>
    <row r="8815" spans="10:10" ht="15" customHeight="1" x14ac:dyDescent="0.3">
      <c r="J8815" s="33"/>
    </row>
    <row r="8816" spans="10:10" ht="15" customHeight="1" x14ac:dyDescent="0.3">
      <c r="J8816" s="33"/>
    </row>
    <row r="8817" spans="10:10" ht="15" customHeight="1" x14ac:dyDescent="0.3">
      <c r="J8817" s="33"/>
    </row>
    <row r="8818" spans="10:10" ht="15" customHeight="1" x14ac:dyDescent="0.3">
      <c r="J8818" s="33"/>
    </row>
    <row r="8819" spans="10:10" ht="15" customHeight="1" x14ac:dyDescent="0.3">
      <c r="J8819" s="33"/>
    </row>
    <row r="8820" spans="10:10" ht="15" customHeight="1" x14ac:dyDescent="0.3">
      <c r="J8820" s="33"/>
    </row>
    <row r="8821" spans="10:10" ht="15" customHeight="1" x14ac:dyDescent="0.3">
      <c r="J8821" s="33"/>
    </row>
    <row r="8822" spans="10:10" ht="15" customHeight="1" x14ac:dyDescent="0.3">
      <c r="J8822" s="33"/>
    </row>
    <row r="8823" spans="10:10" ht="15" customHeight="1" x14ac:dyDescent="0.3">
      <c r="J8823" s="33"/>
    </row>
    <row r="8824" spans="10:10" ht="15" customHeight="1" x14ac:dyDescent="0.3">
      <c r="J8824" s="33"/>
    </row>
    <row r="8825" spans="10:10" ht="15" customHeight="1" x14ac:dyDescent="0.3">
      <c r="J8825" s="33"/>
    </row>
    <row r="8826" spans="10:10" ht="15" customHeight="1" x14ac:dyDescent="0.3">
      <c r="J8826" s="33"/>
    </row>
    <row r="8827" spans="10:10" ht="15" customHeight="1" x14ac:dyDescent="0.3">
      <c r="J8827" s="33"/>
    </row>
    <row r="8828" spans="10:10" ht="15" customHeight="1" x14ac:dyDescent="0.3">
      <c r="J8828" s="33"/>
    </row>
    <row r="8829" spans="10:10" ht="15" customHeight="1" x14ac:dyDescent="0.3">
      <c r="J8829" s="33"/>
    </row>
    <row r="8830" spans="10:10" ht="15" customHeight="1" x14ac:dyDescent="0.3">
      <c r="J8830" s="33"/>
    </row>
    <row r="8831" spans="10:10" ht="15" customHeight="1" x14ac:dyDescent="0.3">
      <c r="J8831" s="33"/>
    </row>
    <row r="8832" spans="10:10" ht="15" customHeight="1" x14ac:dyDescent="0.3">
      <c r="J8832" s="33"/>
    </row>
    <row r="8833" spans="10:10" ht="15" customHeight="1" x14ac:dyDescent="0.3">
      <c r="J8833" s="33"/>
    </row>
    <row r="8834" spans="10:10" ht="15" customHeight="1" x14ac:dyDescent="0.3">
      <c r="J8834" s="33"/>
    </row>
    <row r="8835" spans="10:10" ht="15" customHeight="1" x14ac:dyDescent="0.3">
      <c r="J8835" s="33"/>
    </row>
    <row r="8836" spans="10:10" ht="15" customHeight="1" x14ac:dyDescent="0.3">
      <c r="J8836" s="33"/>
    </row>
    <row r="8837" spans="10:10" ht="15" customHeight="1" x14ac:dyDescent="0.3">
      <c r="J8837" s="33"/>
    </row>
    <row r="8838" spans="10:10" ht="15" customHeight="1" x14ac:dyDescent="0.3">
      <c r="J8838" s="33"/>
    </row>
    <row r="8839" spans="10:10" ht="15" customHeight="1" x14ac:dyDescent="0.3">
      <c r="J8839" s="33"/>
    </row>
    <row r="8840" spans="10:10" ht="15" customHeight="1" x14ac:dyDescent="0.3">
      <c r="J8840" s="33"/>
    </row>
    <row r="8841" spans="10:10" ht="15" customHeight="1" x14ac:dyDescent="0.3">
      <c r="J8841" s="33"/>
    </row>
    <row r="8842" spans="10:10" ht="15" customHeight="1" x14ac:dyDescent="0.3">
      <c r="J8842" s="33"/>
    </row>
    <row r="8843" spans="10:10" ht="15" customHeight="1" x14ac:dyDescent="0.3">
      <c r="J8843" s="33"/>
    </row>
    <row r="8844" spans="10:10" ht="15" customHeight="1" x14ac:dyDescent="0.3">
      <c r="J8844" s="33"/>
    </row>
    <row r="8845" spans="10:10" ht="15" customHeight="1" x14ac:dyDescent="0.3">
      <c r="J8845" s="33"/>
    </row>
    <row r="8846" spans="10:10" ht="15" customHeight="1" x14ac:dyDescent="0.3">
      <c r="J8846" s="33"/>
    </row>
    <row r="8847" spans="10:10" ht="15" customHeight="1" x14ac:dyDescent="0.3">
      <c r="J8847" s="33"/>
    </row>
    <row r="8848" spans="10:10" ht="15" customHeight="1" x14ac:dyDescent="0.3">
      <c r="J8848" s="33"/>
    </row>
    <row r="8849" spans="10:10" ht="15" customHeight="1" x14ac:dyDescent="0.3">
      <c r="J8849" s="33"/>
    </row>
    <row r="8850" spans="10:10" ht="15" customHeight="1" x14ac:dyDescent="0.3">
      <c r="J8850" s="33"/>
    </row>
    <row r="8851" spans="10:10" ht="15" customHeight="1" x14ac:dyDescent="0.3">
      <c r="J8851" s="33"/>
    </row>
    <row r="8852" spans="10:10" ht="15" customHeight="1" x14ac:dyDescent="0.3">
      <c r="J8852" s="33"/>
    </row>
    <row r="8853" spans="10:10" ht="15" customHeight="1" x14ac:dyDescent="0.3">
      <c r="J8853" s="33"/>
    </row>
    <row r="8854" spans="10:10" ht="15" customHeight="1" x14ac:dyDescent="0.3">
      <c r="J8854" s="33"/>
    </row>
    <row r="8855" spans="10:10" ht="15" customHeight="1" x14ac:dyDescent="0.3">
      <c r="J8855" s="33"/>
    </row>
    <row r="8856" spans="10:10" ht="15" customHeight="1" x14ac:dyDescent="0.3">
      <c r="J8856" s="33"/>
    </row>
    <row r="8857" spans="10:10" ht="15" customHeight="1" x14ac:dyDescent="0.3">
      <c r="J8857" s="33"/>
    </row>
    <row r="8858" spans="10:10" ht="15" customHeight="1" x14ac:dyDescent="0.3">
      <c r="J8858" s="33"/>
    </row>
    <row r="8859" spans="10:10" ht="15" customHeight="1" x14ac:dyDescent="0.3">
      <c r="J8859" s="33"/>
    </row>
    <row r="8860" spans="10:10" ht="15" customHeight="1" x14ac:dyDescent="0.3">
      <c r="J8860" s="33"/>
    </row>
    <row r="8861" spans="10:10" ht="15" customHeight="1" x14ac:dyDescent="0.3">
      <c r="J8861" s="33"/>
    </row>
    <row r="8862" spans="10:10" ht="15" customHeight="1" x14ac:dyDescent="0.3">
      <c r="J8862" s="33"/>
    </row>
    <row r="8863" spans="10:10" ht="15" customHeight="1" x14ac:dyDescent="0.3">
      <c r="J8863" s="33"/>
    </row>
    <row r="8864" spans="10:10" ht="15" customHeight="1" x14ac:dyDescent="0.3">
      <c r="J8864" s="33"/>
    </row>
    <row r="8865" spans="10:10" ht="15" customHeight="1" x14ac:dyDescent="0.3">
      <c r="J8865" s="33"/>
    </row>
    <row r="8866" spans="10:10" ht="15" customHeight="1" x14ac:dyDescent="0.3">
      <c r="J8866" s="33"/>
    </row>
    <row r="8867" spans="10:10" ht="15" customHeight="1" x14ac:dyDescent="0.3">
      <c r="J8867" s="33"/>
    </row>
    <row r="8868" spans="10:10" ht="15" customHeight="1" x14ac:dyDescent="0.3">
      <c r="J8868" s="33"/>
    </row>
    <row r="8869" spans="10:10" ht="15" customHeight="1" x14ac:dyDescent="0.3">
      <c r="J8869" s="33"/>
    </row>
    <row r="8870" spans="10:10" ht="15" customHeight="1" x14ac:dyDescent="0.3">
      <c r="J8870" s="33"/>
    </row>
    <row r="8871" spans="10:10" ht="15" customHeight="1" x14ac:dyDescent="0.3">
      <c r="J8871" s="33"/>
    </row>
    <row r="8872" spans="10:10" ht="15" customHeight="1" x14ac:dyDescent="0.3">
      <c r="J8872" s="33"/>
    </row>
    <row r="8873" spans="10:10" ht="15" customHeight="1" x14ac:dyDescent="0.3">
      <c r="J8873" s="33"/>
    </row>
    <row r="8874" spans="10:10" ht="15" customHeight="1" x14ac:dyDescent="0.3">
      <c r="J8874" s="33"/>
    </row>
    <row r="8875" spans="10:10" ht="15" customHeight="1" x14ac:dyDescent="0.3">
      <c r="J8875" s="33"/>
    </row>
    <row r="8876" spans="10:10" ht="15" customHeight="1" x14ac:dyDescent="0.3">
      <c r="J8876" s="33"/>
    </row>
    <row r="8877" spans="10:10" ht="15" customHeight="1" x14ac:dyDescent="0.3">
      <c r="J8877" s="33"/>
    </row>
    <row r="8878" spans="10:10" ht="15" customHeight="1" x14ac:dyDescent="0.3">
      <c r="J8878" s="33"/>
    </row>
    <row r="8879" spans="10:10" ht="15" customHeight="1" x14ac:dyDescent="0.3">
      <c r="J8879" s="33"/>
    </row>
    <row r="8880" spans="10:10" ht="15" customHeight="1" x14ac:dyDescent="0.3">
      <c r="J8880" s="33"/>
    </row>
    <row r="8881" spans="10:10" ht="15" customHeight="1" x14ac:dyDescent="0.3">
      <c r="J8881" s="33"/>
    </row>
    <row r="8882" spans="10:10" ht="15" customHeight="1" x14ac:dyDescent="0.3">
      <c r="J8882" s="33"/>
    </row>
    <row r="8883" spans="10:10" ht="15" customHeight="1" x14ac:dyDescent="0.3">
      <c r="J8883" s="33"/>
    </row>
    <row r="8884" spans="10:10" ht="15" customHeight="1" x14ac:dyDescent="0.3">
      <c r="J8884" s="33"/>
    </row>
    <row r="8885" spans="10:10" ht="15" customHeight="1" x14ac:dyDescent="0.3">
      <c r="J8885" s="33"/>
    </row>
    <row r="8886" spans="10:10" ht="15" customHeight="1" x14ac:dyDescent="0.3">
      <c r="J8886" s="33"/>
    </row>
    <row r="8887" spans="10:10" ht="15" customHeight="1" x14ac:dyDescent="0.3">
      <c r="J8887" s="33"/>
    </row>
    <row r="8888" spans="10:10" ht="15" customHeight="1" x14ac:dyDescent="0.3">
      <c r="J8888" s="33"/>
    </row>
    <row r="8889" spans="10:10" ht="15" customHeight="1" x14ac:dyDescent="0.3">
      <c r="J8889" s="33"/>
    </row>
    <row r="8890" spans="10:10" ht="15" customHeight="1" x14ac:dyDescent="0.3">
      <c r="J8890" s="33"/>
    </row>
    <row r="8891" spans="10:10" ht="15" customHeight="1" x14ac:dyDescent="0.3">
      <c r="J8891" s="33"/>
    </row>
    <row r="8892" spans="10:10" ht="15" customHeight="1" x14ac:dyDescent="0.3">
      <c r="J8892" s="33"/>
    </row>
    <row r="8893" spans="10:10" ht="15" customHeight="1" x14ac:dyDescent="0.3">
      <c r="J8893" s="33"/>
    </row>
    <row r="8894" spans="10:10" ht="15" customHeight="1" x14ac:dyDescent="0.3">
      <c r="J8894" s="33"/>
    </row>
    <row r="8895" spans="10:10" ht="15" customHeight="1" x14ac:dyDescent="0.3">
      <c r="J8895" s="33"/>
    </row>
    <row r="8896" spans="10:10" ht="15" customHeight="1" x14ac:dyDescent="0.3">
      <c r="J8896" s="33"/>
    </row>
    <row r="8897" spans="10:10" ht="15" customHeight="1" x14ac:dyDescent="0.3">
      <c r="J8897" s="33"/>
    </row>
    <row r="8898" spans="10:10" ht="15" customHeight="1" x14ac:dyDescent="0.3">
      <c r="J8898" s="33"/>
    </row>
    <row r="8899" spans="10:10" ht="15" customHeight="1" x14ac:dyDescent="0.3">
      <c r="J8899" s="33"/>
    </row>
    <row r="8900" spans="10:10" ht="15" customHeight="1" x14ac:dyDescent="0.3">
      <c r="J8900" s="33"/>
    </row>
    <row r="8901" spans="10:10" ht="15" customHeight="1" x14ac:dyDescent="0.3">
      <c r="J8901" s="33"/>
    </row>
    <row r="8902" spans="10:10" ht="15" customHeight="1" x14ac:dyDescent="0.3">
      <c r="J8902" s="33"/>
    </row>
    <row r="8903" spans="10:10" ht="15" customHeight="1" x14ac:dyDescent="0.3">
      <c r="J8903" s="33"/>
    </row>
    <row r="8904" spans="10:10" ht="15" customHeight="1" x14ac:dyDescent="0.3">
      <c r="J8904" s="33"/>
    </row>
    <row r="8905" spans="10:10" ht="15" customHeight="1" x14ac:dyDescent="0.3">
      <c r="J8905" s="33"/>
    </row>
    <row r="8906" spans="10:10" ht="15" customHeight="1" x14ac:dyDescent="0.3">
      <c r="J8906" s="33"/>
    </row>
    <row r="8907" spans="10:10" ht="15" customHeight="1" x14ac:dyDescent="0.3">
      <c r="J8907" s="33"/>
    </row>
    <row r="8908" spans="10:10" ht="15" customHeight="1" x14ac:dyDescent="0.3">
      <c r="J8908" s="33"/>
    </row>
    <row r="8909" spans="10:10" ht="15" customHeight="1" x14ac:dyDescent="0.3">
      <c r="J8909" s="33"/>
    </row>
    <row r="8910" spans="10:10" ht="15" customHeight="1" x14ac:dyDescent="0.3">
      <c r="J8910" s="33"/>
    </row>
    <row r="8911" spans="10:10" ht="15" customHeight="1" x14ac:dyDescent="0.3">
      <c r="J8911" s="33"/>
    </row>
    <row r="8912" spans="10:10" ht="15" customHeight="1" x14ac:dyDescent="0.3">
      <c r="J8912" s="33"/>
    </row>
    <row r="8913" spans="10:10" ht="15" customHeight="1" x14ac:dyDescent="0.3">
      <c r="J8913" s="33"/>
    </row>
    <row r="8914" spans="10:10" ht="15" customHeight="1" x14ac:dyDescent="0.3">
      <c r="J8914" s="33"/>
    </row>
    <row r="8915" spans="10:10" ht="15" customHeight="1" x14ac:dyDescent="0.3">
      <c r="J8915" s="33"/>
    </row>
    <row r="8916" spans="10:10" ht="15" customHeight="1" x14ac:dyDescent="0.3">
      <c r="J8916" s="33"/>
    </row>
    <row r="8917" spans="10:10" ht="15" customHeight="1" x14ac:dyDescent="0.3">
      <c r="J8917" s="33"/>
    </row>
    <row r="8918" spans="10:10" ht="15" customHeight="1" x14ac:dyDescent="0.3">
      <c r="J8918" s="33"/>
    </row>
    <row r="8919" spans="10:10" ht="15" customHeight="1" x14ac:dyDescent="0.3">
      <c r="J8919" s="33"/>
    </row>
    <row r="8920" spans="10:10" ht="15" customHeight="1" x14ac:dyDescent="0.3">
      <c r="J8920" s="33"/>
    </row>
    <row r="8921" spans="10:10" ht="15" customHeight="1" x14ac:dyDescent="0.3">
      <c r="J8921" s="33"/>
    </row>
    <row r="8922" spans="10:10" ht="15" customHeight="1" x14ac:dyDescent="0.3">
      <c r="J8922" s="33"/>
    </row>
    <row r="8923" spans="10:10" ht="15" customHeight="1" x14ac:dyDescent="0.3">
      <c r="J8923" s="33"/>
    </row>
    <row r="8924" spans="10:10" ht="15" customHeight="1" x14ac:dyDescent="0.3">
      <c r="J8924" s="33"/>
    </row>
    <row r="8925" spans="10:10" ht="15" customHeight="1" x14ac:dyDescent="0.3">
      <c r="J8925" s="33"/>
    </row>
    <row r="8926" spans="10:10" ht="15" customHeight="1" x14ac:dyDescent="0.3">
      <c r="J8926" s="33"/>
    </row>
    <row r="8927" spans="10:10" ht="15" customHeight="1" x14ac:dyDescent="0.3">
      <c r="J8927" s="33"/>
    </row>
    <row r="8928" spans="10:10" ht="15" customHeight="1" x14ac:dyDescent="0.3">
      <c r="J8928" s="33"/>
    </row>
    <row r="8929" spans="10:10" ht="15" customHeight="1" x14ac:dyDescent="0.3">
      <c r="J8929" s="33"/>
    </row>
    <row r="8930" spans="10:10" ht="15" customHeight="1" x14ac:dyDescent="0.3">
      <c r="J8930" s="33"/>
    </row>
    <row r="8931" spans="10:10" ht="15" customHeight="1" x14ac:dyDescent="0.3">
      <c r="J8931" s="33"/>
    </row>
    <row r="8932" spans="10:10" ht="15" customHeight="1" x14ac:dyDescent="0.3">
      <c r="J8932" s="33"/>
    </row>
    <row r="8933" spans="10:10" ht="15" customHeight="1" x14ac:dyDescent="0.3">
      <c r="J8933" s="33"/>
    </row>
    <row r="8934" spans="10:10" ht="15" customHeight="1" x14ac:dyDescent="0.3">
      <c r="J8934" s="33"/>
    </row>
    <row r="8935" spans="10:10" ht="15" customHeight="1" x14ac:dyDescent="0.3">
      <c r="J8935" s="33"/>
    </row>
    <row r="8936" spans="10:10" ht="15" customHeight="1" x14ac:dyDescent="0.3">
      <c r="J8936" s="33"/>
    </row>
    <row r="8937" spans="10:10" ht="15" customHeight="1" x14ac:dyDescent="0.3">
      <c r="J8937" s="33"/>
    </row>
    <row r="8938" spans="10:10" ht="15" customHeight="1" x14ac:dyDescent="0.3">
      <c r="J8938" s="33"/>
    </row>
    <row r="8939" spans="10:10" ht="15" customHeight="1" x14ac:dyDescent="0.3">
      <c r="J8939" s="33"/>
    </row>
    <row r="8940" spans="10:10" ht="15" customHeight="1" x14ac:dyDescent="0.3">
      <c r="J8940" s="33"/>
    </row>
    <row r="8941" spans="10:10" ht="15" customHeight="1" x14ac:dyDescent="0.3">
      <c r="J8941" s="33"/>
    </row>
    <row r="8942" spans="10:10" ht="15" customHeight="1" x14ac:dyDescent="0.3">
      <c r="J8942" s="33"/>
    </row>
    <row r="8943" spans="10:10" ht="15" customHeight="1" x14ac:dyDescent="0.3">
      <c r="J8943" s="33"/>
    </row>
    <row r="8944" spans="10:10" ht="15" customHeight="1" x14ac:dyDescent="0.3">
      <c r="J8944" s="33"/>
    </row>
    <row r="8945" spans="10:10" ht="15" customHeight="1" x14ac:dyDescent="0.3">
      <c r="J8945" s="33"/>
    </row>
    <row r="8946" spans="10:10" ht="15" customHeight="1" x14ac:dyDescent="0.3">
      <c r="J8946" s="33"/>
    </row>
    <row r="8947" spans="10:10" ht="15" customHeight="1" x14ac:dyDescent="0.3">
      <c r="J8947" s="33"/>
    </row>
    <row r="8948" spans="10:10" ht="15" customHeight="1" x14ac:dyDescent="0.3">
      <c r="J8948" s="33"/>
    </row>
    <row r="8949" spans="10:10" ht="15" customHeight="1" x14ac:dyDescent="0.3">
      <c r="J8949" s="33"/>
    </row>
    <row r="8950" spans="10:10" ht="15" customHeight="1" x14ac:dyDescent="0.3">
      <c r="J8950" s="33"/>
    </row>
    <row r="8951" spans="10:10" ht="15" customHeight="1" x14ac:dyDescent="0.3">
      <c r="J8951" s="33"/>
    </row>
    <row r="8952" spans="10:10" ht="15" customHeight="1" x14ac:dyDescent="0.3">
      <c r="J8952" s="33"/>
    </row>
    <row r="8953" spans="10:10" ht="15" customHeight="1" x14ac:dyDescent="0.3">
      <c r="J8953" s="33"/>
    </row>
    <row r="8954" spans="10:10" ht="15" customHeight="1" x14ac:dyDescent="0.3">
      <c r="J8954" s="33"/>
    </row>
    <row r="8955" spans="10:10" ht="15" customHeight="1" x14ac:dyDescent="0.3">
      <c r="J8955" s="33"/>
    </row>
    <row r="8956" spans="10:10" ht="15" customHeight="1" x14ac:dyDescent="0.3">
      <c r="J8956" s="33"/>
    </row>
    <row r="8957" spans="10:10" ht="15" customHeight="1" x14ac:dyDescent="0.3">
      <c r="J8957" s="33"/>
    </row>
    <row r="8958" spans="10:10" ht="15" customHeight="1" x14ac:dyDescent="0.3">
      <c r="J8958" s="33"/>
    </row>
    <row r="8959" spans="10:10" ht="15" customHeight="1" x14ac:dyDescent="0.3">
      <c r="J8959" s="33"/>
    </row>
    <row r="8960" spans="10:10" ht="15" customHeight="1" x14ac:dyDescent="0.3">
      <c r="J8960" s="33"/>
    </row>
    <row r="8961" spans="10:10" ht="15" customHeight="1" x14ac:dyDescent="0.3">
      <c r="J8961" s="33"/>
    </row>
    <row r="8962" spans="10:10" ht="15" customHeight="1" x14ac:dyDescent="0.3">
      <c r="J8962" s="33"/>
    </row>
    <row r="8963" spans="10:10" ht="15" customHeight="1" x14ac:dyDescent="0.3">
      <c r="J8963" s="33"/>
    </row>
    <row r="8964" spans="10:10" ht="15" customHeight="1" x14ac:dyDescent="0.3">
      <c r="J8964" s="33"/>
    </row>
    <row r="8965" spans="10:10" ht="15" customHeight="1" x14ac:dyDescent="0.3">
      <c r="J8965" s="33"/>
    </row>
    <row r="8966" spans="10:10" ht="15" customHeight="1" x14ac:dyDescent="0.3">
      <c r="J8966" s="33"/>
    </row>
    <row r="8967" spans="10:10" ht="15" customHeight="1" x14ac:dyDescent="0.3">
      <c r="J8967" s="33"/>
    </row>
    <row r="8968" spans="10:10" ht="15" customHeight="1" x14ac:dyDescent="0.3">
      <c r="J8968" s="33"/>
    </row>
    <row r="8969" spans="10:10" ht="15" customHeight="1" x14ac:dyDescent="0.3">
      <c r="J8969" s="33"/>
    </row>
    <row r="8970" spans="10:10" ht="15" customHeight="1" x14ac:dyDescent="0.3">
      <c r="J8970" s="33"/>
    </row>
    <row r="8971" spans="10:10" ht="15" customHeight="1" x14ac:dyDescent="0.3">
      <c r="J8971" s="33"/>
    </row>
    <row r="8972" spans="10:10" ht="15" customHeight="1" x14ac:dyDescent="0.3">
      <c r="J8972" s="33"/>
    </row>
    <row r="8973" spans="10:10" ht="15" customHeight="1" x14ac:dyDescent="0.3">
      <c r="J8973" s="33"/>
    </row>
    <row r="8974" spans="10:10" ht="15" customHeight="1" x14ac:dyDescent="0.3">
      <c r="J8974" s="33"/>
    </row>
    <row r="8975" spans="10:10" ht="15" customHeight="1" x14ac:dyDescent="0.3">
      <c r="J8975" s="33"/>
    </row>
    <row r="8976" spans="10:10" ht="15" customHeight="1" x14ac:dyDescent="0.3">
      <c r="J8976" s="33"/>
    </row>
    <row r="8977" spans="10:10" ht="15" customHeight="1" x14ac:dyDescent="0.3">
      <c r="J8977" s="33"/>
    </row>
    <row r="8978" spans="10:10" ht="15" customHeight="1" x14ac:dyDescent="0.3">
      <c r="J8978" s="33"/>
    </row>
    <row r="8979" spans="10:10" ht="15" customHeight="1" x14ac:dyDescent="0.3">
      <c r="J8979" s="33"/>
    </row>
    <row r="8980" spans="10:10" ht="15" customHeight="1" x14ac:dyDescent="0.3">
      <c r="J8980" s="33"/>
    </row>
    <row r="8981" spans="10:10" ht="15" customHeight="1" x14ac:dyDescent="0.3">
      <c r="J8981" s="33"/>
    </row>
    <row r="8982" spans="10:10" ht="15" customHeight="1" x14ac:dyDescent="0.3">
      <c r="J8982" s="33"/>
    </row>
    <row r="8983" spans="10:10" ht="15" customHeight="1" x14ac:dyDescent="0.3">
      <c r="J8983" s="33"/>
    </row>
    <row r="8984" spans="10:10" ht="15" customHeight="1" x14ac:dyDescent="0.3">
      <c r="J8984" s="33"/>
    </row>
    <row r="8985" spans="10:10" ht="15" customHeight="1" x14ac:dyDescent="0.3">
      <c r="J8985" s="33"/>
    </row>
    <row r="8986" spans="10:10" ht="15" customHeight="1" x14ac:dyDescent="0.3">
      <c r="J8986" s="33"/>
    </row>
    <row r="8987" spans="10:10" ht="15" customHeight="1" x14ac:dyDescent="0.3">
      <c r="J8987" s="33"/>
    </row>
    <row r="8988" spans="10:10" ht="15" customHeight="1" x14ac:dyDescent="0.3">
      <c r="J8988" s="33"/>
    </row>
    <row r="8989" spans="10:10" ht="15" customHeight="1" x14ac:dyDescent="0.3">
      <c r="J8989" s="33"/>
    </row>
    <row r="8990" spans="10:10" ht="15" customHeight="1" x14ac:dyDescent="0.3">
      <c r="J8990" s="33"/>
    </row>
    <row r="8991" spans="10:10" ht="15" customHeight="1" x14ac:dyDescent="0.3">
      <c r="J8991" s="33"/>
    </row>
    <row r="8992" spans="10:10" ht="15" customHeight="1" x14ac:dyDescent="0.3">
      <c r="J8992" s="33"/>
    </row>
    <row r="8993" spans="10:10" ht="15" customHeight="1" x14ac:dyDescent="0.3">
      <c r="J8993" s="33"/>
    </row>
    <row r="8994" spans="10:10" ht="15" customHeight="1" x14ac:dyDescent="0.3">
      <c r="J8994" s="33"/>
    </row>
    <row r="8995" spans="10:10" ht="15" customHeight="1" x14ac:dyDescent="0.3">
      <c r="J8995" s="33"/>
    </row>
    <row r="8996" spans="10:10" ht="15" customHeight="1" x14ac:dyDescent="0.3">
      <c r="J8996" s="33"/>
    </row>
    <row r="8997" spans="10:10" ht="15" customHeight="1" x14ac:dyDescent="0.3">
      <c r="J8997" s="33"/>
    </row>
    <row r="8998" spans="10:10" ht="15" customHeight="1" x14ac:dyDescent="0.3">
      <c r="J8998" s="33"/>
    </row>
    <row r="8999" spans="10:10" ht="15" customHeight="1" x14ac:dyDescent="0.3">
      <c r="J8999" s="33"/>
    </row>
    <row r="9000" spans="10:10" ht="15" customHeight="1" x14ac:dyDescent="0.3">
      <c r="J9000" s="33"/>
    </row>
    <row r="9001" spans="10:10" ht="15" customHeight="1" x14ac:dyDescent="0.3">
      <c r="J9001" s="33"/>
    </row>
    <row r="9002" spans="10:10" ht="15" customHeight="1" x14ac:dyDescent="0.3">
      <c r="J9002" s="33"/>
    </row>
    <row r="9003" spans="10:10" ht="15" customHeight="1" x14ac:dyDescent="0.3">
      <c r="J9003" s="33"/>
    </row>
    <row r="9004" spans="10:10" ht="15" customHeight="1" x14ac:dyDescent="0.3">
      <c r="J9004" s="33"/>
    </row>
    <row r="9005" spans="10:10" ht="15" customHeight="1" x14ac:dyDescent="0.3">
      <c r="J9005" s="33"/>
    </row>
    <row r="9006" spans="10:10" ht="15" customHeight="1" x14ac:dyDescent="0.3">
      <c r="J9006" s="33"/>
    </row>
    <row r="9007" spans="10:10" ht="15" customHeight="1" x14ac:dyDescent="0.3">
      <c r="J9007" s="33"/>
    </row>
    <row r="9008" spans="10:10" ht="15" customHeight="1" x14ac:dyDescent="0.3">
      <c r="J9008" s="33"/>
    </row>
    <row r="9009" spans="10:10" ht="15" customHeight="1" x14ac:dyDescent="0.3">
      <c r="J9009" s="33"/>
    </row>
    <row r="9010" spans="10:10" ht="15" customHeight="1" x14ac:dyDescent="0.3">
      <c r="J9010" s="33"/>
    </row>
    <row r="9011" spans="10:10" ht="15" customHeight="1" x14ac:dyDescent="0.3">
      <c r="J9011" s="33"/>
    </row>
    <row r="9012" spans="10:10" ht="15" customHeight="1" x14ac:dyDescent="0.3">
      <c r="J9012" s="33"/>
    </row>
    <row r="9013" spans="10:10" ht="15" customHeight="1" x14ac:dyDescent="0.3">
      <c r="J9013" s="33"/>
    </row>
    <row r="9014" spans="10:10" ht="15" customHeight="1" x14ac:dyDescent="0.3">
      <c r="J9014" s="33"/>
    </row>
    <row r="9015" spans="10:10" ht="15" customHeight="1" x14ac:dyDescent="0.3">
      <c r="J9015" s="33"/>
    </row>
    <row r="9016" spans="10:10" ht="15" customHeight="1" x14ac:dyDescent="0.3">
      <c r="J9016" s="33"/>
    </row>
    <row r="9017" spans="10:10" ht="15" customHeight="1" x14ac:dyDescent="0.3">
      <c r="J9017" s="33"/>
    </row>
    <row r="9018" spans="10:10" ht="15" customHeight="1" x14ac:dyDescent="0.3">
      <c r="J9018" s="33"/>
    </row>
    <row r="9019" spans="10:10" ht="15" customHeight="1" x14ac:dyDescent="0.3">
      <c r="J9019" s="33"/>
    </row>
    <row r="9020" spans="10:10" ht="15" customHeight="1" x14ac:dyDescent="0.3">
      <c r="J9020" s="33"/>
    </row>
    <row r="9021" spans="10:10" ht="15" customHeight="1" x14ac:dyDescent="0.3">
      <c r="J9021" s="33"/>
    </row>
    <row r="9022" spans="10:10" ht="15" customHeight="1" x14ac:dyDescent="0.3">
      <c r="J9022" s="33"/>
    </row>
    <row r="9023" spans="10:10" ht="15" customHeight="1" x14ac:dyDescent="0.3">
      <c r="J9023" s="33"/>
    </row>
    <row r="9024" spans="10:10" ht="15" customHeight="1" x14ac:dyDescent="0.3">
      <c r="J9024" s="33"/>
    </row>
    <row r="9025" spans="10:10" ht="15" customHeight="1" x14ac:dyDescent="0.3">
      <c r="J9025" s="33"/>
    </row>
    <row r="9026" spans="10:10" ht="15" customHeight="1" x14ac:dyDescent="0.3">
      <c r="J9026" s="33"/>
    </row>
    <row r="9027" spans="10:10" ht="15" customHeight="1" x14ac:dyDescent="0.3">
      <c r="J9027" s="33"/>
    </row>
    <row r="9028" spans="10:10" ht="15" customHeight="1" x14ac:dyDescent="0.3">
      <c r="J9028" s="33"/>
    </row>
    <row r="9029" spans="10:10" ht="15" customHeight="1" x14ac:dyDescent="0.3">
      <c r="J9029" s="33"/>
    </row>
    <row r="9030" spans="10:10" ht="15" customHeight="1" x14ac:dyDescent="0.3">
      <c r="J9030" s="33"/>
    </row>
    <row r="9031" spans="10:10" ht="15" customHeight="1" x14ac:dyDescent="0.3">
      <c r="J9031" s="33"/>
    </row>
    <row r="9032" spans="10:10" ht="15" customHeight="1" x14ac:dyDescent="0.3">
      <c r="J9032" s="33"/>
    </row>
    <row r="9033" spans="10:10" ht="15" customHeight="1" x14ac:dyDescent="0.3">
      <c r="J9033" s="33"/>
    </row>
    <row r="9034" spans="10:10" ht="15" customHeight="1" x14ac:dyDescent="0.3">
      <c r="J9034" s="33"/>
    </row>
    <row r="9035" spans="10:10" ht="15" customHeight="1" x14ac:dyDescent="0.3">
      <c r="J9035" s="33"/>
    </row>
    <row r="9036" spans="10:10" ht="15" customHeight="1" x14ac:dyDescent="0.3">
      <c r="J9036" s="33"/>
    </row>
    <row r="9037" spans="10:10" ht="15" customHeight="1" x14ac:dyDescent="0.3">
      <c r="J9037" s="33"/>
    </row>
    <row r="9038" spans="10:10" ht="15" customHeight="1" x14ac:dyDescent="0.3">
      <c r="J9038" s="33"/>
    </row>
    <row r="9039" spans="10:10" ht="15" customHeight="1" x14ac:dyDescent="0.3">
      <c r="J9039" s="33"/>
    </row>
    <row r="9040" spans="10:10" ht="15" customHeight="1" x14ac:dyDescent="0.3">
      <c r="J9040" s="33"/>
    </row>
    <row r="9041" spans="10:10" ht="15" customHeight="1" x14ac:dyDescent="0.3">
      <c r="J9041" s="33"/>
    </row>
    <row r="9042" spans="10:10" ht="15" customHeight="1" x14ac:dyDescent="0.3">
      <c r="J9042" s="33"/>
    </row>
    <row r="9043" spans="10:10" ht="15" customHeight="1" x14ac:dyDescent="0.3">
      <c r="J9043" s="33"/>
    </row>
    <row r="9044" spans="10:10" ht="15" customHeight="1" x14ac:dyDescent="0.3">
      <c r="J9044" s="33"/>
    </row>
    <row r="9045" spans="10:10" ht="15" customHeight="1" x14ac:dyDescent="0.3">
      <c r="J9045" s="33"/>
    </row>
    <row r="9046" spans="10:10" ht="15" customHeight="1" x14ac:dyDescent="0.3">
      <c r="J9046" s="33"/>
    </row>
    <row r="9047" spans="10:10" ht="15" customHeight="1" x14ac:dyDescent="0.3">
      <c r="J9047" s="33"/>
    </row>
    <row r="9048" spans="10:10" ht="15" customHeight="1" x14ac:dyDescent="0.3">
      <c r="J9048" s="33"/>
    </row>
    <row r="9049" spans="10:10" ht="15" customHeight="1" x14ac:dyDescent="0.3">
      <c r="J9049" s="33"/>
    </row>
    <row r="9050" spans="10:10" ht="15" customHeight="1" x14ac:dyDescent="0.3">
      <c r="J9050" s="33"/>
    </row>
    <row r="9051" spans="10:10" ht="15" customHeight="1" x14ac:dyDescent="0.3">
      <c r="J9051" s="33"/>
    </row>
    <row r="9052" spans="10:10" ht="15" customHeight="1" x14ac:dyDescent="0.3">
      <c r="J9052" s="33"/>
    </row>
    <row r="9053" spans="10:10" ht="15" customHeight="1" x14ac:dyDescent="0.3">
      <c r="J9053" s="33"/>
    </row>
    <row r="9054" spans="10:10" ht="15" customHeight="1" x14ac:dyDescent="0.3">
      <c r="J9054" s="33"/>
    </row>
    <row r="9055" spans="10:10" ht="15" customHeight="1" x14ac:dyDescent="0.3">
      <c r="J9055" s="33"/>
    </row>
    <row r="9056" spans="10:10" ht="15" customHeight="1" x14ac:dyDescent="0.3">
      <c r="J9056" s="33"/>
    </row>
    <row r="9057" spans="10:10" ht="15" customHeight="1" x14ac:dyDescent="0.3">
      <c r="J9057" s="33"/>
    </row>
    <row r="9058" spans="10:10" ht="15" customHeight="1" x14ac:dyDescent="0.3">
      <c r="J9058" s="33"/>
    </row>
    <row r="9059" spans="10:10" ht="15" customHeight="1" x14ac:dyDescent="0.3">
      <c r="J9059" s="33"/>
    </row>
    <row r="9060" spans="10:10" ht="15" customHeight="1" x14ac:dyDescent="0.3">
      <c r="J9060" s="33"/>
    </row>
    <row r="9061" spans="10:10" ht="15" customHeight="1" x14ac:dyDescent="0.3">
      <c r="J9061" s="33"/>
    </row>
    <row r="9062" spans="10:10" ht="15" customHeight="1" x14ac:dyDescent="0.3">
      <c r="J9062" s="33"/>
    </row>
    <row r="9063" spans="10:10" ht="15" customHeight="1" x14ac:dyDescent="0.3">
      <c r="J9063" s="33"/>
    </row>
    <row r="9064" spans="10:10" ht="15" customHeight="1" x14ac:dyDescent="0.3">
      <c r="J9064" s="33"/>
    </row>
    <row r="9065" spans="10:10" ht="15" customHeight="1" x14ac:dyDescent="0.3">
      <c r="J9065" s="33"/>
    </row>
    <row r="9066" spans="10:10" ht="15" customHeight="1" x14ac:dyDescent="0.3">
      <c r="J9066" s="33"/>
    </row>
    <row r="9067" spans="10:10" ht="15" customHeight="1" x14ac:dyDescent="0.3">
      <c r="J9067" s="33"/>
    </row>
    <row r="9068" spans="10:10" ht="15" customHeight="1" x14ac:dyDescent="0.3">
      <c r="J9068" s="33"/>
    </row>
    <row r="9069" spans="10:10" ht="15" customHeight="1" x14ac:dyDescent="0.3">
      <c r="J9069" s="33"/>
    </row>
    <row r="9070" spans="10:10" ht="15" customHeight="1" x14ac:dyDescent="0.3">
      <c r="J9070" s="33"/>
    </row>
    <row r="9071" spans="10:10" ht="15" customHeight="1" x14ac:dyDescent="0.3">
      <c r="J9071" s="33"/>
    </row>
    <row r="9072" spans="10:10" ht="15" customHeight="1" x14ac:dyDescent="0.3">
      <c r="J9072" s="33"/>
    </row>
    <row r="9073" spans="10:10" ht="15" customHeight="1" x14ac:dyDescent="0.3">
      <c r="J9073" s="33"/>
    </row>
    <row r="9074" spans="10:10" ht="15" customHeight="1" x14ac:dyDescent="0.3">
      <c r="J9074" s="33"/>
    </row>
    <row r="9075" spans="10:10" ht="15" customHeight="1" x14ac:dyDescent="0.3">
      <c r="J9075" s="33"/>
    </row>
    <row r="9076" spans="10:10" ht="15" customHeight="1" x14ac:dyDescent="0.3">
      <c r="J9076" s="33"/>
    </row>
    <row r="9077" spans="10:10" ht="15" customHeight="1" x14ac:dyDescent="0.3">
      <c r="J9077" s="33"/>
    </row>
    <row r="9078" spans="10:10" ht="15" customHeight="1" x14ac:dyDescent="0.3">
      <c r="J9078" s="33"/>
    </row>
    <row r="9079" spans="10:10" ht="15" customHeight="1" x14ac:dyDescent="0.3">
      <c r="J9079" s="33"/>
    </row>
    <row r="9080" spans="10:10" ht="15" customHeight="1" x14ac:dyDescent="0.3">
      <c r="J9080" s="33"/>
    </row>
    <row r="9081" spans="10:10" ht="15" customHeight="1" x14ac:dyDescent="0.3">
      <c r="J9081" s="33"/>
    </row>
    <row r="9082" spans="10:10" ht="15" customHeight="1" x14ac:dyDescent="0.3">
      <c r="J9082" s="33"/>
    </row>
    <row r="9083" spans="10:10" ht="15" customHeight="1" x14ac:dyDescent="0.3">
      <c r="J9083" s="33"/>
    </row>
    <row r="9084" spans="10:10" ht="15" customHeight="1" x14ac:dyDescent="0.3">
      <c r="J9084" s="33"/>
    </row>
    <row r="9085" spans="10:10" ht="15" customHeight="1" x14ac:dyDescent="0.3">
      <c r="J9085" s="33"/>
    </row>
    <row r="9086" spans="10:10" ht="15" customHeight="1" x14ac:dyDescent="0.3">
      <c r="J9086" s="33"/>
    </row>
    <row r="9087" spans="10:10" ht="15" customHeight="1" x14ac:dyDescent="0.3">
      <c r="J9087" s="33"/>
    </row>
    <row r="9088" spans="10:10" ht="15" customHeight="1" x14ac:dyDescent="0.3">
      <c r="J9088" s="33"/>
    </row>
    <row r="9089" spans="10:10" ht="15" customHeight="1" x14ac:dyDescent="0.3">
      <c r="J9089" s="33"/>
    </row>
    <row r="9090" spans="10:10" ht="15" customHeight="1" x14ac:dyDescent="0.3">
      <c r="J9090" s="33"/>
    </row>
    <row r="9091" spans="10:10" ht="15" customHeight="1" x14ac:dyDescent="0.3">
      <c r="J9091" s="33"/>
    </row>
    <row r="9092" spans="10:10" ht="15" customHeight="1" x14ac:dyDescent="0.3">
      <c r="J9092" s="33"/>
    </row>
    <row r="9093" spans="10:10" ht="15" customHeight="1" x14ac:dyDescent="0.3">
      <c r="J9093" s="33"/>
    </row>
    <row r="9094" spans="10:10" ht="15" customHeight="1" x14ac:dyDescent="0.3">
      <c r="J9094" s="33"/>
    </row>
    <row r="9095" spans="10:10" ht="15" customHeight="1" x14ac:dyDescent="0.3">
      <c r="J9095" s="33"/>
    </row>
    <row r="9096" spans="10:10" ht="15" customHeight="1" x14ac:dyDescent="0.3">
      <c r="J9096" s="33"/>
    </row>
    <row r="9097" spans="10:10" ht="15" customHeight="1" x14ac:dyDescent="0.3">
      <c r="J9097" s="33"/>
    </row>
    <row r="9098" spans="10:10" ht="15" customHeight="1" x14ac:dyDescent="0.3">
      <c r="J9098" s="33"/>
    </row>
    <row r="9099" spans="10:10" ht="15" customHeight="1" x14ac:dyDescent="0.3">
      <c r="J9099" s="33"/>
    </row>
    <row r="9100" spans="10:10" ht="15" customHeight="1" x14ac:dyDescent="0.3">
      <c r="J9100" s="33"/>
    </row>
    <row r="9101" spans="10:10" ht="15" customHeight="1" x14ac:dyDescent="0.3">
      <c r="J9101" s="33"/>
    </row>
    <row r="9102" spans="10:10" ht="15" customHeight="1" x14ac:dyDescent="0.3">
      <c r="J9102" s="33"/>
    </row>
    <row r="9103" spans="10:10" ht="15" customHeight="1" x14ac:dyDescent="0.3">
      <c r="J9103" s="33"/>
    </row>
    <row r="9104" spans="10:10" ht="15" customHeight="1" x14ac:dyDescent="0.3">
      <c r="J9104" s="33"/>
    </row>
    <row r="9105" spans="10:10" ht="15" customHeight="1" x14ac:dyDescent="0.3">
      <c r="J9105" s="33"/>
    </row>
    <row r="9106" spans="10:10" ht="15" customHeight="1" x14ac:dyDescent="0.3">
      <c r="J9106" s="33"/>
    </row>
    <row r="9107" spans="10:10" ht="15" customHeight="1" x14ac:dyDescent="0.3">
      <c r="J9107" s="33"/>
    </row>
    <row r="9108" spans="10:10" ht="15" customHeight="1" x14ac:dyDescent="0.3">
      <c r="J9108" s="33"/>
    </row>
    <row r="9109" spans="10:10" ht="15" customHeight="1" x14ac:dyDescent="0.3">
      <c r="J9109" s="33"/>
    </row>
    <row r="9110" spans="10:10" ht="15" customHeight="1" x14ac:dyDescent="0.3">
      <c r="J9110" s="33"/>
    </row>
    <row r="9111" spans="10:10" ht="15" customHeight="1" x14ac:dyDescent="0.3">
      <c r="J9111" s="33"/>
    </row>
    <row r="9112" spans="10:10" ht="15" customHeight="1" x14ac:dyDescent="0.3">
      <c r="J9112" s="33"/>
    </row>
    <row r="9113" spans="10:10" ht="15" customHeight="1" x14ac:dyDescent="0.3">
      <c r="J9113" s="33"/>
    </row>
    <row r="9114" spans="10:10" ht="15" customHeight="1" x14ac:dyDescent="0.3">
      <c r="J9114" s="33"/>
    </row>
    <row r="9115" spans="10:10" ht="15" customHeight="1" x14ac:dyDescent="0.3">
      <c r="J9115" s="33"/>
    </row>
    <row r="9116" spans="10:10" ht="15" customHeight="1" x14ac:dyDescent="0.3">
      <c r="J9116" s="33"/>
    </row>
    <row r="9117" spans="10:10" ht="15" customHeight="1" x14ac:dyDescent="0.3">
      <c r="J9117" s="33"/>
    </row>
    <row r="9118" spans="10:10" ht="15" customHeight="1" x14ac:dyDescent="0.3">
      <c r="J9118" s="33"/>
    </row>
    <row r="9119" spans="10:10" ht="15" customHeight="1" x14ac:dyDescent="0.3">
      <c r="J9119" s="33"/>
    </row>
    <row r="9120" spans="10:10" ht="15" customHeight="1" x14ac:dyDescent="0.3">
      <c r="J9120" s="33"/>
    </row>
    <row r="9121" spans="10:10" ht="15" customHeight="1" x14ac:dyDescent="0.3">
      <c r="J9121" s="33"/>
    </row>
    <row r="9122" spans="10:10" ht="15" customHeight="1" x14ac:dyDescent="0.3">
      <c r="J9122" s="33"/>
    </row>
    <row r="9123" spans="10:10" ht="15" customHeight="1" x14ac:dyDescent="0.3">
      <c r="J9123" s="33"/>
    </row>
    <row r="9124" spans="10:10" ht="15" customHeight="1" x14ac:dyDescent="0.3">
      <c r="J9124" s="33"/>
    </row>
    <row r="9125" spans="10:10" ht="15" customHeight="1" x14ac:dyDescent="0.3">
      <c r="J9125" s="33"/>
    </row>
    <row r="9126" spans="10:10" ht="15" customHeight="1" x14ac:dyDescent="0.3">
      <c r="J9126" s="33"/>
    </row>
    <row r="9127" spans="10:10" ht="15" customHeight="1" x14ac:dyDescent="0.3">
      <c r="J9127" s="33"/>
    </row>
    <row r="9128" spans="10:10" ht="15" customHeight="1" x14ac:dyDescent="0.3">
      <c r="J9128" s="33"/>
    </row>
    <row r="9129" spans="10:10" ht="15" customHeight="1" x14ac:dyDescent="0.3">
      <c r="J9129" s="33"/>
    </row>
    <row r="9130" spans="10:10" ht="15" customHeight="1" x14ac:dyDescent="0.3">
      <c r="J9130" s="33"/>
    </row>
    <row r="9131" spans="10:10" ht="15" customHeight="1" x14ac:dyDescent="0.3">
      <c r="J9131" s="33"/>
    </row>
    <row r="9132" spans="10:10" ht="15" customHeight="1" x14ac:dyDescent="0.3">
      <c r="J9132" s="33"/>
    </row>
    <row r="9133" spans="10:10" ht="15" customHeight="1" x14ac:dyDescent="0.3">
      <c r="J9133" s="33"/>
    </row>
    <row r="9134" spans="10:10" ht="15" customHeight="1" x14ac:dyDescent="0.3">
      <c r="J9134" s="33"/>
    </row>
    <row r="9135" spans="10:10" ht="15" customHeight="1" x14ac:dyDescent="0.3">
      <c r="J9135" s="33"/>
    </row>
    <row r="9136" spans="10:10" ht="15" customHeight="1" x14ac:dyDescent="0.3">
      <c r="J9136" s="33"/>
    </row>
    <row r="9137" spans="10:10" ht="15" customHeight="1" x14ac:dyDescent="0.3">
      <c r="J9137" s="33"/>
    </row>
    <row r="9138" spans="10:10" ht="15" customHeight="1" x14ac:dyDescent="0.3">
      <c r="J9138" s="33"/>
    </row>
    <row r="9139" spans="10:10" ht="15" customHeight="1" x14ac:dyDescent="0.3">
      <c r="J9139" s="33"/>
    </row>
    <row r="9140" spans="10:10" ht="15" customHeight="1" x14ac:dyDescent="0.3">
      <c r="J9140" s="33"/>
    </row>
    <row r="9141" spans="10:10" ht="15" customHeight="1" x14ac:dyDescent="0.3">
      <c r="J9141" s="33"/>
    </row>
    <row r="9142" spans="10:10" ht="15" customHeight="1" x14ac:dyDescent="0.3">
      <c r="J9142" s="33"/>
    </row>
    <row r="9143" spans="10:10" ht="15" customHeight="1" x14ac:dyDescent="0.3">
      <c r="J9143" s="33"/>
    </row>
    <row r="9144" spans="10:10" ht="15" customHeight="1" x14ac:dyDescent="0.3">
      <c r="J9144" s="33"/>
    </row>
    <row r="9145" spans="10:10" ht="15" customHeight="1" x14ac:dyDescent="0.3">
      <c r="J9145" s="33"/>
    </row>
    <row r="9146" spans="10:10" ht="15" customHeight="1" x14ac:dyDescent="0.3">
      <c r="J9146" s="33"/>
    </row>
    <row r="9147" spans="10:10" ht="15" customHeight="1" x14ac:dyDescent="0.3">
      <c r="J9147" s="33"/>
    </row>
    <row r="9148" spans="10:10" ht="15" customHeight="1" x14ac:dyDescent="0.3">
      <c r="J9148" s="33"/>
    </row>
    <row r="9149" spans="10:10" ht="15" customHeight="1" x14ac:dyDescent="0.3">
      <c r="J9149" s="33"/>
    </row>
    <row r="9150" spans="10:10" ht="15" customHeight="1" x14ac:dyDescent="0.3">
      <c r="J9150" s="33"/>
    </row>
    <row r="9151" spans="10:10" ht="15" customHeight="1" x14ac:dyDescent="0.3">
      <c r="J9151" s="33"/>
    </row>
    <row r="9152" spans="10:10" ht="15" customHeight="1" x14ac:dyDescent="0.3">
      <c r="J9152" s="33"/>
    </row>
    <row r="9153" spans="10:10" ht="15" customHeight="1" x14ac:dyDescent="0.3">
      <c r="J9153" s="33"/>
    </row>
    <row r="9154" spans="10:10" ht="15" customHeight="1" x14ac:dyDescent="0.3">
      <c r="J9154" s="33"/>
    </row>
    <row r="9155" spans="10:10" ht="15" customHeight="1" x14ac:dyDescent="0.3">
      <c r="J9155" s="33"/>
    </row>
    <row r="9156" spans="10:10" ht="15" customHeight="1" x14ac:dyDescent="0.3">
      <c r="J9156" s="33"/>
    </row>
    <row r="9157" spans="10:10" ht="15" customHeight="1" x14ac:dyDescent="0.3">
      <c r="J9157" s="33"/>
    </row>
    <row r="9158" spans="10:10" ht="15" customHeight="1" x14ac:dyDescent="0.3">
      <c r="J9158" s="33"/>
    </row>
    <row r="9159" spans="10:10" ht="15" customHeight="1" x14ac:dyDescent="0.3">
      <c r="J9159" s="33"/>
    </row>
    <row r="9160" spans="10:10" ht="15" customHeight="1" x14ac:dyDescent="0.3">
      <c r="J9160" s="33"/>
    </row>
    <row r="9161" spans="10:10" ht="15" customHeight="1" x14ac:dyDescent="0.3">
      <c r="J9161" s="33"/>
    </row>
    <row r="9162" spans="10:10" ht="15" customHeight="1" x14ac:dyDescent="0.3">
      <c r="J9162" s="33"/>
    </row>
    <row r="9163" spans="10:10" ht="15" customHeight="1" x14ac:dyDescent="0.3">
      <c r="J9163" s="33"/>
    </row>
    <row r="9164" spans="10:10" ht="15" customHeight="1" x14ac:dyDescent="0.3">
      <c r="J9164" s="33"/>
    </row>
    <row r="9165" spans="10:10" ht="15" customHeight="1" x14ac:dyDescent="0.3">
      <c r="J9165" s="33"/>
    </row>
    <row r="9166" spans="10:10" ht="15" customHeight="1" x14ac:dyDescent="0.3">
      <c r="J9166" s="33"/>
    </row>
    <row r="9167" spans="10:10" ht="15" customHeight="1" x14ac:dyDescent="0.3">
      <c r="J9167" s="33"/>
    </row>
    <row r="9168" spans="10:10" ht="15" customHeight="1" x14ac:dyDescent="0.3">
      <c r="J9168" s="33"/>
    </row>
    <row r="9169" spans="10:10" ht="15" customHeight="1" x14ac:dyDescent="0.3">
      <c r="J9169" s="33"/>
    </row>
    <row r="9170" spans="10:10" ht="15" customHeight="1" x14ac:dyDescent="0.3">
      <c r="J9170" s="33"/>
    </row>
    <row r="9171" spans="10:10" ht="15" customHeight="1" x14ac:dyDescent="0.3">
      <c r="J9171" s="33"/>
    </row>
    <row r="9172" spans="10:10" ht="15" customHeight="1" x14ac:dyDescent="0.3">
      <c r="J9172" s="33"/>
    </row>
    <row r="9173" spans="10:10" ht="15" customHeight="1" x14ac:dyDescent="0.3">
      <c r="J9173" s="33"/>
    </row>
    <row r="9174" spans="10:10" ht="15" customHeight="1" x14ac:dyDescent="0.3">
      <c r="J9174" s="33"/>
    </row>
    <row r="9175" spans="10:10" ht="15" customHeight="1" x14ac:dyDescent="0.3">
      <c r="J9175" s="33"/>
    </row>
    <row r="9176" spans="10:10" ht="15" customHeight="1" x14ac:dyDescent="0.3">
      <c r="J9176" s="33"/>
    </row>
    <row r="9177" spans="10:10" ht="15" customHeight="1" x14ac:dyDescent="0.3">
      <c r="J9177" s="33"/>
    </row>
    <row r="9178" spans="10:10" ht="15" customHeight="1" x14ac:dyDescent="0.3">
      <c r="J9178" s="33"/>
    </row>
    <row r="9179" spans="10:10" ht="15" customHeight="1" x14ac:dyDescent="0.3">
      <c r="J9179" s="33"/>
    </row>
    <row r="9180" spans="10:10" ht="15" customHeight="1" x14ac:dyDescent="0.3">
      <c r="J9180" s="33"/>
    </row>
    <row r="9181" spans="10:10" ht="15" customHeight="1" x14ac:dyDescent="0.3">
      <c r="J9181" s="33"/>
    </row>
    <row r="9182" spans="10:10" ht="15" customHeight="1" x14ac:dyDescent="0.3">
      <c r="J9182" s="33"/>
    </row>
    <row r="9183" spans="10:10" ht="15" customHeight="1" x14ac:dyDescent="0.3">
      <c r="J9183" s="33"/>
    </row>
    <row r="9184" spans="10:10" ht="15" customHeight="1" x14ac:dyDescent="0.3">
      <c r="J9184" s="33"/>
    </row>
    <row r="9185" spans="10:10" ht="15" customHeight="1" x14ac:dyDescent="0.3">
      <c r="J9185" s="33"/>
    </row>
    <row r="9186" spans="10:10" ht="15" customHeight="1" x14ac:dyDescent="0.3">
      <c r="J9186" s="33"/>
    </row>
    <row r="9187" spans="10:10" ht="15" customHeight="1" x14ac:dyDescent="0.3">
      <c r="J9187" s="33"/>
    </row>
    <row r="9188" spans="10:10" ht="15" customHeight="1" x14ac:dyDescent="0.3">
      <c r="J9188" s="33"/>
    </row>
    <row r="9189" spans="10:10" ht="15" customHeight="1" x14ac:dyDescent="0.3">
      <c r="J9189" s="33"/>
    </row>
    <row r="9190" spans="10:10" ht="15" customHeight="1" x14ac:dyDescent="0.3">
      <c r="J9190" s="33"/>
    </row>
    <row r="9191" spans="10:10" ht="15" customHeight="1" x14ac:dyDescent="0.3">
      <c r="J9191" s="33"/>
    </row>
    <row r="9192" spans="10:10" ht="15" customHeight="1" x14ac:dyDescent="0.3">
      <c r="J9192" s="33"/>
    </row>
    <row r="9193" spans="10:10" ht="15" customHeight="1" x14ac:dyDescent="0.3">
      <c r="J9193" s="33"/>
    </row>
    <row r="9194" spans="10:10" ht="15" customHeight="1" x14ac:dyDescent="0.3">
      <c r="J9194" s="33"/>
    </row>
    <row r="9195" spans="10:10" ht="15" customHeight="1" x14ac:dyDescent="0.3">
      <c r="J9195" s="33"/>
    </row>
    <row r="9196" spans="10:10" ht="15" customHeight="1" x14ac:dyDescent="0.3">
      <c r="J9196" s="33"/>
    </row>
    <row r="9197" spans="10:10" ht="15" customHeight="1" x14ac:dyDescent="0.3">
      <c r="J9197" s="33"/>
    </row>
    <row r="9198" spans="10:10" ht="15" customHeight="1" x14ac:dyDescent="0.3">
      <c r="J9198" s="33"/>
    </row>
    <row r="9199" spans="10:10" ht="15" customHeight="1" x14ac:dyDescent="0.3">
      <c r="J9199" s="33"/>
    </row>
    <row r="9200" spans="10:10" ht="15" customHeight="1" x14ac:dyDescent="0.3">
      <c r="J9200" s="33"/>
    </row>
    <row r="9201" spans="10:10" ht="15" customHeight="1" x14ac:dyDescent="0.3">
      <c r="J9201" s="33"/>
    </row>
    <row r="9202" spans="10:10" ht="15" customHeight="1" x14ac:dyDescent="0.3">
      <c r="J9202" s="33"/>
    </row>
    <row r="9203" spans="10:10" ht="15" customHeight="1" x14ac:dyDescent="0.3">
      <c r="J9203" s="33"/>
    </row>
    <row r="9204" spans="10:10" ht="15" customHeight="1" x14ac:dyDescent="0.3">
      <c r="J9204" s="33"/>
    </row>
    <row r="9205" spans="10:10" ht="15" customHeight="1" x14ac:dyDescent="0.3">
      <c r="J9205" s="33"/>
    </row>
    <row r="9206" spans="10:10" ht="15" customHeight="1" x14ac:dyDescent="0.3">
      <c r="J9206" s="33"/>
    </row>
    <row r="9207" spans="10:10" ht="15" customHeight="1" x14ac:dyDescent="0.3">
      <c r="J9207" s="33"/>
    </row>
    <row r="9208" spans="10:10" ht="15" customHeight="1" x14ac:dyDescent="0.3">
      <c r="J9208" s="33"/>
    </row>
    <row r="9209" spans="10:10" ht="15" customHeight="1" x14ac:dyDescent="0.3">
      <c r="J9209" s="33"/>
    </row>
    <row r="9210" spans="10:10" ht="15" customHeight="1" x14ac:dyDescent="0.3">
      <c r="J9210" s="33"/>
    </row>
    <row r="9211" spans="10:10" ht="15" customHeight="1" x14ac:dyDescent="0.3">
      <c r="J9211" s="33"/>
    </row>
    <row r="9212" spans="10:10" ht="15" customHeight="1" x14ac:dyDescent="0.3">
      <c r="J9212" s="33"/>
    </row>
    <row r="9213" spans="10:10" ht="15" customHeight="1" x14ac:dyDescent="0.3">
      <c r="J9213" s="33"/>
    </row>
    <row r="9214" spans="10:10" ht="15" customHeight="1" x14ac:dyDescent="0.3">
      <c r="J9214" s="33"/>
    </row>
    <row r="9215" spans="10:10" ht="15" customHeight="1" x14ac:dyDescent="0.3">
      <c r="J9215" s="33"/>
    </row>
    <row r="9216" spans="10:10" ht="15" customHeight="1" x14ac:dyDescent="0.3">
      <c r="J9216" s="33"/>
    </row>
    <row r="9217" spans="10:10" ht="15" customHeight="1" x14ac:dyDescent="0.3">
      <c r="J9217" s="33"/>
    </row>
    <row r="9218" spans="10:10" ht="15" customHeight="1" x14ac:dyDescent="0.3">
      <c r="J9218" s="33"/>
    </row>
    <row r="9219" spans="10:10" ht="15" customHeight="1" x14ac:dyDescent="0.3">
      <c r="J9219" s="33"/>
    </row>
    <row r="9220" spans="10:10" ht="15" customHeight="1" x14ac:dyDescent="0.3">
      <c r="J9220" s="33"/>
    </row>
    <row r="9221" spans="10:10" ht="15" customHeight="1" x14ac:dyDescent="0.3">
      <c r="J9221" s="33"/>
    </row>
    <row r="9222" spans="10:10" ht="15" customHeight="1" x14ac:dyDescent="0.3">
      <c r="J9222" s="33"/>
    </row>
    <row r="9223" spans="10:10" ht="15" customHeight="1" x14ac:dyDescent="0.3">
      <c r="J9223" s="33"/>
    </row>
    <row r="9224" spans="10:10" ht="15" customHeight="1" x14ac:dyDescent="0.3">
      <c r="J9224" s="33"/>
    </row>
    <row r="9225" spans="10:10" ht="15" customHeight="1" x14ac:dyDescent="0.3">
      <c r="J9225" s="33"/>
    </row>
    <row r="9226" spans="10:10" ht="15" customHeight="1" x14ac:dyDescent="0.3">
      <c r="J9226" s="33"/>
    </row>
    <row r="9227" spans="10:10" ht="15" customHeight="1" x14ac:dyDescent="0.3">
      <c r="J9227" s="33"/>
    </row>
    <row r="9228" spans="10:10" ht="15" customHeight="1" x14ac:dyDescent="0.3">
      <c r="J9228" s="33"/>
    </row>
    <row r="9229" spans="10:10" ht="15" customHeight="1" x14ac:dyDescent="0.3">
      <c r="J9229" s="33"/>
    </row>
    <row r="9230" spans="10:10" ht="15" customHeight="1" x14ac:dyDescent="0.3">
      <c r="J9230" s="33"/>
    </row>
    <row r="9231" spans="10:10" ht="15" customHeight="1" x14ac:dyDescent="0.3">
      <c r="J9231" s="33"/>
    </row>
    <row r="9232" spans="10:10" ht="15" customHeight="1" x14ac:dyDescent="0.3">
      <c r="J9232" s="33"/>
    </row>
    <row r="9233" spans="10:10" ht="15" customHeight="1" x14ac:dyDescent="0.3">
      <c r="J9233" s="33"/>
    </row>
    <row r="9234" spans="10:10" ht="15" customHeight="1" x14ac:dyDescent="0.3">
      <c r="J9234" s="33"/>
    </row>
    <row r="9235" spans="10:10" ht="15" customHeight="1" x14ac:dyDescent="0.3">
      <c r="J9235" s="33"/>
    </row>
    <row r="9236" spans="10:10" ht="15" customHeight="1" x14ac:dyDescent="0.3">
      <c r="J9236" s="33"/>
    </row>
    <row r="9237" spans="10:10" ht="15" customHeight="1" x14ac:dyDescent="0.3">
      <c r="J9237" s="33"/>
    </row>
    <row r="9238" spans="10:10" ht="15" customHeight="1" x14ac:dyDescent="0.3">
      <c r="J9238" s="33"/>
    </row>
    <row r="9239" spans="10:10" ht="15" customHeight="1" x14ac:dyDescent="0.3">
      <c r="J9239" s="33"/>
    </row>
    <row r="9240" spans="10:10" ht="15" customHeight="1" x14ac:dyDescent="0.3">
      <c r="J9240" s="33"/>
    </row>
    <row r="9241" spans="10:10" ht="15" customHeight="1" x14ac:dyDescent="0.3">
      <c r="J9241" s="33"/>
    </row>
    <row r="9242" spans="10:10" ht="15" customHeight="1" x14ac:dyDescent="0.3">
      <c r="J9242" s="33"/>
    </row>
    <row r="9243" spans="10:10" ht="15" customHeight="1" x14ac:dyDescent="0.3">
      <c r="J9243" s="33"/>
    </row>
    <row r="9244" spans="10:10" ht="15" customHeight="1" x14ac:dyDescent="0.3">
      <c r="J9244" s="33"/>
    </row>
    <row r="9245" spans="10:10" ht="15" customHeight="1" x14ac:dyDescent="0.3">
      <c r="J9245" s="33"/>
    </row>
    <row r="9246" spans="10:10" ht="15" customHeight="1" x14ac:dyDescent="0.3">
      <c r="J9246" s="33"/>
    </row>
    <row r="9247" spans="10:10" ht="15" customHeight="1" x14ac:dyDescent="0.3">
      <c r="J9247" s="33"/>
    </row>
    <row r="9248" spans="10:10" ht="15" customHeight="1" x14ac:dyDescent="0.3">
      <c r="J9248" s="33"/>
    </row>
    <row r="9249" spans="10:10" ht="15" customHeight="1" x14ac:dyDescent="0.3">
      <c r="J9249" s="33"/>
    </row>
    <row r="9250" spans="10:10" ht="15" customHeight="1" x14ac:dyDescent="0.3">
      <c r="J9250" s="33"/>
    </row>
    <row r="9251" spans="10:10" ht="15" customHeight="1" x14ac:dyDescent="0.3">
      <c r="J9251" s="33"/>
    </row>
    <row r="9252" spans="10:10" ht="15" customHeight="1" x14ac:dyDescent="0.3">
      <c r="J9252" s="33"/>
    </row>
    <row r="9253" spans="10:10" ht="15" customHeight="1" x14ac:dyDescent="0.3">
      <c r="J9253" s="33"/>
    </row>
    <row r="9254" spans="10:10" ht="15" customHeight="1" x14ac:dyDescent="0.3">
      <c r="J9254" s="33"/>
    </row>
    <row r="9255" spans="10:10" ht="15" customHeight="1" x14ac:dyDescent="0.3">
      <c r="J9255" s="33"/>
    </row>
    <row r="9256" spans="10:10" ht="15" customHeight="1" x14ac:dyDescent="0.3">
      <c r="J9256" s="33"/>
    </row>
    <row r="9257" spans="10:10" ht="15" customHeight="1" x14ac:dyDescent="0.3">
      <c r="J9257" s="33"/>
    </row>
    <row r="9258" spans="10:10" ht="15" customHeight="1" x14ac:dyDescent="0.3">
      <c r="J9258" s="33"/>
    </row>
    <row r="9259" spans="10:10" ht="15" customHeight="1" x14ac:dyDescent="0.3">
      <c r="J9259" s="33"/>
    </row>
    <row r="9260" spans="10:10" ht="15" customHeight="1" x14ac:dyDescent="0.3">
      <c r="J9260" s="33"/>
    </row>
    <row r="9261" spans="10:10" ht="15" customHeight="1" x14ac:dyDescent="0.3">
      <c r="J9261" s="33"/>
    </row>
    <row r="9262" spans="10:10" ht="15" customHeight="1" x14ac:dyDescent="0.3">
      <c r="J9262" s="33"/>
    </row>
    <row r="9263" spans="10:10" ht="15" customHeight="1" x14ac:dyDescent="0.3">
      <c r="J9263" s="33"/>
    </row>
    <row r="9264" spans="10:10" ht="15" customHeight="1" x14ac:dyDescent="0.3">
      <c r="J9264" s="33"/>
    </row>
    <row r="9265" spans="10:10" ht="15" customHeight="1" x14ac:dyDescent="0.3">
      <c r="J9265" s="33"/>
    </row>
    <row r="9266" spans="10:10" ht="15" customHeight="1" x14ac:dyDescent="0.3">
      <c r="J9266" s="33"/>
    </row>
    <row r="9267" spans="10:10" ht="15" customHeight="1" x14ac:dyDescent="0.3">
      <c r="J9267" s="33"/>
    </row>
    <row r="9268" spans="10:10" ht="15" customHeight="1" x14ac:dyDescent="0.3">
      <c r="J9268" s="33"/>
    </row>
    <row r="9269" spans="10:10" ht="15" customHeight="1" x14ac:dyDescent="0.3">
      <c r="J9269" s="33"/>
    </row>
    <row r="9270" spans="10:10" ht="15" customHeight="1" x14ac:dyDescent="0.3">
      <c r="J9270" s="33"/>
    </row>
    <row r="9271" spans="10:10" ht="15" customHeight="1" x14ac:dyDescent="0.3">
      <c r="J9271" s="33"/>
    </row>
    <row r="9272" spans="10:10" ht="15" customHeight="1" x14ac:dyDescent="0.3">
      <c r="J9272" s="33"/>
    </row>
    <row r="9273" spans="10:10" ht="15" customHeight="1" x14ac:dyDescent="0.3">
      <c r="J9273" s="33"/>
    </row>
    <row r="9274" spans="10:10" ht="15" customHeight="1" x14ac:dyDescent="0.3">
      <c r="J9274" s="33"/>
    </row>
    <row r="9275" spans="10:10" ht="15" customHeight="1" x14ac:dyDescent="0.3">
      <c r="J9275" s="33"/>
    </row>
    <row r="9276" spans="10:10" ht="15" customHeight="1" x14ac:dyDescent="0.3">
      <c r="J9276" s="33"/>
    </row>
    <row r="9277" spans="10:10" ht="15" customHeight="1" x14ac:dyDescent="0.3">
      <c r="J9277" s="33"/>
    </row>
    <row r="9278" spans="10:10" ht="15" customHeight="1" x14ac:dyDescent="0.3">
      <c r="J9278" s="33"/>
    </row>
    <row r="9279" spans="10:10" ht="15" customHeight="1" x14ac:dyDescent="0.3">
      <c r="J9279" s="33"/>
    </row>
    <row r="9280" spans="10:10" ht="15" customHeight="1" x14ac:dyDescent="0.3">
      <c r="J9280" s="33"/>
    </row>
    <row r="9281" spans="10:10" ht="15" customHeight="1" x14ac:dyDescent="0.3">
      <c r="J9281" s="33"/>
    </row>
    <row r="9282" spans="10:10" ht="15" customHeight="1" x14ac:dyDescent="0.3">
      <c r="J9282" s="33"/>
    </row>
    <row r="9283" spans="10:10" ht="15" customHeight="1" x14ac:dyDescent="0.3">
      <c r="J9283" s="33"/>
    </row>
    <row r="9284" spans="10:10" ht="15" customHeight="1" x14ac:dyDescent="0.3">
      <c r="J9284" s="33"/>
    </row>
    <row r="9285" spans="10:10" ht="15" customHeight="1" x14ac:dyDescent="0.3">
      <c r="J9285" s="33"/>
    </row>
    <row r="9286" spans="10:10" ht="15" customHeight="1" x14ac:dyDescent="0.3">
      <c r="J9286" s="33"/>
    </row>
    <row r="9287" spans="10:10" ht="15" customHeight="1" x14ac:dyDescent="0.3">
      <c r="J9287" s="33"/>
    </row>
    <row r="9288" spans="10:10" ht="15" customHeight="1" x14ac:dyDescent="0.3">
      <c r="J9288" s="33"/>
    </row>
    <row r="9289" spans="10:10" ht="15" customHeight="1" x14ac:dyDescent="0.3">
      <c r="J9289" s="33"/>
    </row>
    <row r="9290" spans="10:10" ht="15" customHeight="1" x14ac:dyDescent="0.3">
      <c r="J9290" s="33"/>
    </row>
    <row r="9291" spans="10:10" ht="15" customHeight="1" x14ac:dyDescent="0.3">
      <c r="J9291" s="33"/>
    </row>
    <row r="9292" spans="10:10" ht="15" customHeight="1" x14ac:dyDescent="0.3">
      <c r="J9292" s="33"/>
    </row>
    <row r="9293" spans="10:10" ht="15" customHeight="1" x14ac:dyDescent="0.3">
      <c r="J9293" s="33"/>
    </row>
    <row r="9294" spans="10:10" ht="15" customHeight="1" x14ac:dyDescent="0.3">
      <c r="J9294" s="33"/>
    </row>
    <row r="9295" spans="10:10" ht="15" customHeight="1" x14ac:dyDescent="0.3">
      <c r="J9295" s="33"/>
    </row>
    <row r="9296" spans="10:10" ht="15" customHeight="1" x14ac:dyDescent="0.3">
      <c r="J9296" s="33"/>
    </row>
    <row r="9297" spans="10:10" ht="15" customHeight="1" x14ac:dyDescent="0.3">
      <c r="J9297" s="33"/>
    </row>
    <row r="9298" spans="10:10" ht="15" customHeight="1" x14ac:dyDescent="0.3">
      <c r="J9298" s="33"/>
    </row>
    <row r="9299" spans="10:10" ht="15" customHeight="1" x14ac:dyDescent="0.3">
      <c r="J9299" s="33"/>
    </row>
    <row r="9300" spans="10:10" ht="15" customHeight="1" x14ac:dyDescent="0.3">
      <c r="J9300" s="33"/>
    </row>
    <row r="9301" spans="10:10" ht="15" customHeight="1" x14ac:dyDescent="0.3">
      <c r="J9301" s="33"/>
    </row>
    <row r="9302" spans="10:10" ht="15" customHeight="1" x14ac:dyDescent="0.3">
      <c r="J9302" s="33"/>
    </row>
    <row r="9303" spans="10:10" ht="15" customHeight="1" x14ac:dyDescent="0.3">
      <c r="J9303" s="33"/>
    </row>
    <row r="9304" spans="10:10" ht="15" customHeight="1" x14ac:dyDescent="0.3">
      <c r="J9304" s="33"/>
    </row>
    <row r="9305" spans="10:10" ht="15" customHeight="1" x14ac:dyDescent="0.3">
      <c r="J9305" s="33"/>
    </row>
    <row r="9306" spans="10:10" ht="15" customHeight="1" x14ac:dyDescent="0.3">
      <c r="J9306" s="33"/>
    </row>
    <row r="9307" spans="10:10" ht="15" customHeight="1" x14ac:dyDescent="0.3">
      <c r="J9307" s="33"/>
    </row>
    <row r="9308" spans="10:10" ht="15" customHeight="1" x14ac:dyDescent="0.3">
      <c r="J9308" s="33"/>
    </row>
    <row r="9309" spans="10:10" ht="15" customHeight="1" x14ac:dyDescent="0.3">
      <c r="J9309" s="33"/>
    </row>
    <row r="9310" spans="10:10" ht="15" customHeight="1" x14ac:dyDescent="0.3">
      <c r="J9310" s="33"/>
    </row>
    <row r="9311" spans="10:10" ht="15" customHeight="1" x14ac:dyDescent="0.3">
      <c r="J9311" s="33"/>
    </row>
    <row r="9312" spans="10:10" ht="15" customHeight="1" x14ac:dyDescent="0.3">
      <c r="J9312" s="33"/>
    </row>
    <row r="9313" spans="10:10" ht="15" customHeight="1" x14ac:dyDescent="0.3">
      <c r="J9313" s="33"/>
    </row>
    <row r="9314" spans="10:10" ht="15" customHeight="1" x14ac:dyDescent="0.3">
      <c r="J9314" s="33"/>
    </row>
    <row r="9315" spans="10:10" ht="15" customHeight="1" x14ac:dyDescent="0.3">
      <c r="J9315" s="33"/>
    </row>
    <row r="9316" spans="10:10" ht="15" customHeight="1" x14ac:dyDescent="0.3">
      <c r="J9316" s="33"/>
    </row>
    <row r="9317" spans="10:10" ht="15" customHeight="1" x14ac:dyDescent="0.3">
      <c r="J9317" s="33"/>
    </row>
    <row r="9318" spans="10:10" ht="15" customHeight="1" x14ac:dyDescent="0.3">
      <c r="J9318" s="33"/>
    </row>
    <row r="9319" spans="10:10" ht="15" customHeight="1" x14ac:dyDescent="0.3">
      <c r="J9319" s="33"/>
    </row>
    <row r="9320" spans="10:10" ht="15" customHeight="1" x14ac:dyDescent="0.3">
      <c r="J9320" s="33"/>
    </row>
    <row r="9321" spans="10:10" ht="15" customHeight="1" x14ac:dyDescent="0.3">
      <c r="J9321" s="33"/>
    </row>
    <row r="9322" spans="10:10" ht="15" customHeight="1" x14ac:dyDescent="0.3">
      <c r="J9322" s="33"/>
    </row>
    <row r="9323" spans="10:10" ht="15" customHeight="1" x14ac:dyDescent="0.3">
      <c r="J9323" s="33"/>
    </row>
    <row r="9324" spans="10:10" ht="15" customHeight="1" x14ac:dyDescent="0.3">
      <c r="J9324" s="33"/>
    </row>
    <row r="9325" spans="10:10" ht="15" customHeight="1" x14ac:dyDescent="0.3">
      <c r="J9325" s="33"/>
    </row>
    <row r="9326" spans="10:10" ht="15" customHeight="1" x14ac:dyDescent="0.3">
      <c r="J9326" s="33"/>
    </row>
    <row r="9327" spans="10:10" ht="15" customHeight="1" x14ac:dyDescent="0.3">
      <c r="J9327" s="33"/>
    </row>
    <row r="9328" spans="10:10" ht="15" customHeight="1" x14ac:dyDescent="0.3">
      <c r="J9328" s="33"/>
    </row>
    <row r="9329" spans="10:10" ht="15" customHeight="1" x14ac:dyDescent="0.3">
      <c r="J9329" s="33"/>
    </row>
    <row r="9330" spans="10:10" ht="15" customHeight="1" x14ac:dyDescent="0.3">
      <c r="J9330" s="33"/>
    </row>
    <row r="9331" spans="10:10" ht="15" customHeight="1" x14ac:dyDescent="0.3">
      <c r="J9331" s="33"/>
    </row>
    <row r="9332" spans="10:10" ht="15" customHeight="1" x14ac:dyDescent="0.3">
      <c r="J9332" s="33"/>
    </row>
    <row r="9333" spans="10:10" ht="15" customHeight="1" x14ac:dyDescent="0.3">
      <c r="J9333" s="33"/>
    </row>
    <row r="9334" spans="10:10" ht="15" customHeight="1" x14ac:dyDescent="0.3">
      <c r="J9334" s="33"/>
    </row>
    <row r="9335" spans="10:10" ht="15" customHeight="1" x14ac:dyDescent="0.3">
      <c r="J9335" s="33"/>
    </row>
    <row r="9336" spans="10:10" ht="15" customHeight="1" x14ac:dyDescent="0.3">
      <c r="J9336" s="33"/>
    </row>
    <row r="9337" spans="10:10" ht="15" customHeight="1" x14ac:dyDescent="0.3">
      <c r="J9337" s="33"/>
    </row>
    <row r="9338" spans="10:10" ht="15" customHeight="1" x14ac:dyDescent="0.3">
      <c r="J9338" s="33"/>
    </row>
    <row r="9339" spans="10:10" ht="15" customHeight="1" x14ac:dyDescent="0.3">
      <c r="J9339" s="33"/>
    </row>
    <row r="9340" spans="10:10" ht="15" customHeight="1" x14ac:dyDescent="0.3">
      <c r="J9340" s="33"/>
    </row>
    <row r="9341" spans="10:10" ht="15" customHeight="1" x14ac:dyDescent="0.3">
      <c r="J9341" s="33"/>
    </row>
    <row r="9342" spans="10:10" ht="15" customHeight="1" x14ac:dyDescent="0.3">
      <c r="J9342" s="33"/>
    </row>
    <row r="9343" spans="10:10" ht="15" customHeight="1" x14ac:dyDescent="0.3">
      <c r="J9343" s="33"/>
    </row>
    <row r="9344" spans="10:10" ht="15" customHeight="1" x14ac:dyDescent="0.3">
      <c r="J9344" s="33"/>
    </row>
    <row r="9345" spans="10:10" ht="15" customHeight="1" x14ac:dyDescent="0.3">
      <c r="J9345" s="33"/>
    </row>
    <row r="9346" spans="10:10" ht="15" customHeight="1" x14ac:dyDescent="0.3">
      <c r="J9346" s="33"/>
    </row>
    <row r="9347" spans="10:10" ht="15" customHeight="1" x14ac:dyDescent="0.3">
      <c r="J9347" s="33"/>
    </row>
    <row r="9348" spans="10:10" ht="15" customHeight="1" x14ac:dyDescent="0.3">
      <c r="J9348" s="33"/>
    </row>
    <row r="9349" spans="10:10" ht="15" customHeight="1" x14ac:dyDescent="0.3">
      <c r="J9349" s="33"/>
    </row>
    <row r="9350" spans="10:10" ht="15" customHeight="1" x14ac:dyDescent="0.3">
      <c r="J9350" s="33"/>
    </row>
    <row r="9351" spans="10:10" ht="15" customHeight="1" x14ac:dyDescent="0.3">
      <c r="J9351" s="33"/>
    </row>
    <row r="9352" spans="10:10" ht="15" customHeight="1" x14ac:dyDescent="0.3">
      <c r="J9352" s="33"/>
    </row>
    <row r="9353" spans="10:10" ht="15" customHeight="1" x14ac:dyDescent="0.3">
      <c r="J9353" s="33"/>
    </row>
    <row r="9354" spans="10:10" ht="15" customHeight="1" x14ac:dyDescent="0.3">
      <c r="J9354" s="33"/>
    </row>
    <row r="9355" spans="10:10" ht="15" customHeight="1" x14ac:dyDescent="0.3">
      <c r="J9355" s="33"/>
    </row>
    <row r="9356" spans="10:10" ht="15" customHeight="1" x14ac:dyDescent="0.3">
      <c r="J9356" s="33"/>
    </row>
    <row r="9357" spans="10:10" ht="15" customHeight="1" x14ac:dyDescent="0.3">
      <c r="J9357" s="33"/>
    </row>
    <row r="9358" spans="10:10" ht="15" customHeight="1" x14ac:dyDescent="0.3">
      <c r="J9358" s="33"/>
    </row>
    <row r="9359" spans="10:10" ht="15" customHeight="1" x14ac:dyDescent="0.3">
      <c r="J9359" s="33"/>
    </row>
    <row r="9360" spans="10:10" ht="15" customHeight="1" x14ac:dyDescent="0.3">
      <c r="J9360" s="33"/>
    </row>
    <row r="9361" spans="10:10" ht="15" customHeight="1" x14ac:dyDescent="0.3">
      <c r="J9361" s="33"/>
    </row>
    <row r="9362" spans="10:10" ht="15" customHeight="1" x14ac:dyDescent="0.3">
      <c r="J9362" s="33"/>
    </row>
    <row r="9363" spans="10:10" ht="15" customHeight="1" x14ac:dyDescent="0.3">
      <c r="J9363" s="33"/>
    </row>
    <row r="9364" spans="10:10" ht="15" customHeight="1" x14ac:dyDescent="0.3">
      <c r="J9364" s="33"/>
    </row>
    <row r="9365" spans="10:10" ht="15" customHeight="1" x14ac:dyDescent="0.3">
      <c r="J9365" s="33"/>
    </row>
    <row r="9366" spans="10:10" ht="15" customHeight="1" x14ac:dyDescent="0.3">
      <c r="J9366" s="33"/>
    </row>
    <row r="9367" spans="10:10" ht="15" customHeight="1" x14ac:dyDescent="0.3">
      <c r="J9367" s="33"/>
    </row>
    <row r="9368" spans="10:10" ht="15" customHeight="1" x14ac:dyDescent="0.3">
      <c r="J9368" s="33"/>
    </row>
    <row r="9369" spans="10:10" ht="15" customHeight="1" x14ac:dyDescent="0.3">
      <c r="J9369" s="33"/>
    </row>
    <row r="9370" spans="10:10" ht="15" customHeight="1" x14ac:dyDescent="0.3">
      <c r="J9370" s="33"/>
    </row>
    <row r="9371" spans="10:10" ht="15" customHeight="1" x14ac:dyDescent="0.3">
      <c r="J9371" s="33"/>
    </row>
    <row r="9372" spans="10:10" ht="15" customHeight="1" x14ac:dyDescent="0.3">
      <c r="J9372" s="33"/>
    </row>
    <row r="9373" spans="10:10" ht="15" customHeight="1" x14ac:dyDescent="0.3">
      <c r="J9373" s="33"/>
    </row>
    <row r="9374" spans="10:10" ht="15" customHeight="1" x14ac:dyDescent="0.3">
      <c r="J9374" s="33"/>
    </row>
    <row r="9375" spans="10:10" ht="15" customHeight="1" x14ac:dyDescent="0.3">
      <c r="J9375" s="33"/>
    </row>
    <row r="9376" spans="10:10" ht="15" customHeight="1" x14ac:dyDescent="0.3">
      <c r="J9376" s="33"/>
    </row>
    <row r="9377" spans="10:10" ht="15" customHeight="1" x14ac:dyDescent="0.3">
      <c r="J9377" s="33"/>
    </row>
    <row r="9378" spans="10:10" ht="15" customHeight="1" x14ac:dyDescent="0.3">
      <c r="J9378" s="33"/>
    </row>
    <row r="9379" spans="10:10" ht="15" customHeight="1" x14ac:dyDescent="0.3">
      <c r="J9379" s="33"/>
    </row>
    <row r="9380" spans="10:10" ht="15" customHeight="1" x14ac:dyDescent="0.3">
      <c r="J9380" s="33"/>
    </row>
    <row r="9381" spans="10:10" ht="15" customHeight="1" x14ac:dyDescent="0.3">
      <c r="J9381" s="33"/>
    </row>
    <row r="9382" spans="10:10" ht="15" customHeight="1" x14ac:dyDescent="0.3">
      <c r="J9382" s="33"/>
    </row>
    <row r="9383" spans="10:10" ht="15" customHeight="1" x14ac:dyDescent="0.3">
      <c r="J9383" s="33"/>
    </row>
    <row r="9384" spans="10:10" ht="15" customHeight="1" x14ac:dyDescent="0.3">
      <c r="J9384" s="33"/>
    </row>
    <row r="9385" spans="10:10" ht="15" customHeight="1" x14ac:dyDescent="0.3">
      <c r="J9385" s="33"/>
    </row>
    <row r="9386" spans="10:10" ht="15" customHeight="1" x14ac:dyDescent="0.3">
      <c r="J9386" s="33"/>
    </row>
    <row r="9387" spans="10:10" ht="15" customHeight="1" x14ac:dyDescent="0.3">
      <c r="J9387" s="33"/>
    </row>
    <row r="9388" spans="10:10" ht="15" customHeight="1" x14ac:dyDescent="0.3">
      <c r="J9388" s="33"/>
    </row>
    <row r="9389" spans="10:10" ht="15" customHeight="1" x14ac:dyDescent="0.3">
      <c r="J9389" s="33"/>
    </row>
    <row r="9390" spans="10:10" ht="15" customHeight="1" x14ac:dyDescent="0.3">
      <c r="J9390" s="33"/>
    </row>
    <row r="9391" spans="10:10" ht="15" customHeight="1" x14ac:dyDescent="0.3">
      <c r="J9391" s="33"/>
    </row>
    <row r="9392" spans="10:10" ht="15" customHeight="1" x14ac:dyDescent="0.3">
      <c r="J9392" s="33"/>
    </row>
    <row r="9393" spans="10:10" ht="15" customHeight="1" x14ac:dyDescent="0.3">
      <c r="J9393" s="33"/>
    </row>
    <row r="9394" spans="10:10" ht="15" customHeight="1" x14ac:dyDescent="0.3">
      <c r="J9394" s="33"/>
    </row>
    <row r="9395" spans="10:10" ht="15" customHeight="1" x14ac:dyDescent="0.3">
      <c r="J9395" s="33"/>
    </row>
    <row r="9396" spans="10:10" ht="15" customHeight="1" x14ac:dyDescent="0.3">
      <c r="J9396" s="33"/>
    </row>
    <row r="9397" spans="10:10" ht="15" customHeight="1" x14ac:dyDescent="0.3">
      <c r="J9397" s="33"/>
    </row>
    <row r="9398" spans="10:10" ht="15" customHeight="1" x14ac:dyDescent="0.3">
      <c r="J9398" s="33"/>
    </row>
    <row r="9399" spans="10:10" ht="15" customHeight="1" x14ac:dyDescent="0.3">
      <c r="J9399" s="33"/>
    </row>
    <row r="9400" spans="10:10" ht="15" customHeight="1" x14ac:dyDescent="0.3">
      <c r="J9400" s="33"/>
    </row>
    <row r="9401" spans="10:10" ht="15" customHeight="1" x14ac:dyDescent="0.3">
      <c r="J9401" s="33"/>
    </row>
    <row r="9402" spans="10:10" ht="15" customHeight="1" x14ac:dyDescent="0.3">
      <c r="J9402" s="33"/>
    </row>
    <row r="9403" spans="10:10" ht="15" customHeight="1" x14ac:dyDescent="0.3">
      <c r="J9403" s="33"/>
    </row>
    <row r="9404" spans="10:10" ht="15" customHeight="1" x14ac:dyDescent="0.3">
      <c r="J9404" s="33"/>
    </row>
    <row r="9405" spans="10:10" ht="15" customHeight="1" x14ac:dyDescent="0.3">
      <c r="J9405" s="33"/>
    </row>
    <row r="9406" spans="10:10" ht="15" customHeight="1" x14ac:dyDescent="0.3">
      <c r="J9406" s="33"/>
    </row>
    <row r="9407" spans="10:10" ht="15" customHeight="1" x14ac:dyDescent="0.3">
      <c r="J9407" s="33"/>
    </row>
    <row r="9408" spans="10:10" ht="15" customHeight="1" x14ac:dyDescent="0.3">
      <c r="J9408" s="33"/>
    </row>
    <row r="9409" spans="10:10" ht="15" customHeight="1" x14ac:dyDescent="0.3">
      <c r="J9409" s="33"/>
    </row>
    <row r="9410" spans="10:10" ht="15" customHeight="1" x14ac:dyDescent="0.3">
      <c r="J9410" s="33"/>
    </row>
    <row r="9411" spans="10:10" ht="15" customHeight="1" x14ac:dyDescent="0.3">
      <c r="J9411" s="33"/>
    </row>
    <row r="9412" spans="10:10" ht="15" customHeight="1" x14ac:dyDescent="0.3">
      <c r="J9412" s="33"/>
    </row>
    <row r="9413" spans="10:10" ht="15" customHeight="1" x14ac:dyDescent="0.3">
      <c r="J9413" s="33"/>
    </row>
    <row r="9414" spans="10:10" ht="15" customHeight="1" x14ac:dyDescent="0.3">
      <c r="J9414" s="33"/>
    </row>
    <row r="9415" spans="10:10" ht="15" customHeight="1" x14ac:dyDescent="0.3">
      <c r="J9415" s="33"/>
    </row>
    <row r="9416" spans="10:10" ht="15" customHeight="1" x14ac:dyDescent="0.3">
      <c r="J9416" s="33"/>
    </row>
    <row r="9417" spans="10:10" ht="15" customHeight="1" x14ac:dyDescent="0.3">
      <c r="J9417" s="33"/>
    </row>
    <row r="9418" spans="10:10" ht="15" customHeight="1" x14ac:dyDescent="0.3">
      <c r="J9418" s="33"/>
    </row>
    <row r="9419" spans="10:10" ht="15" customHeight="1" x14ac:dyDescent="0.3">
      <c r="J9419" s="33"/>
    </row>
    <row r="9420" spans="10:10" ht="15" customHeight="1" x14ac:dyDescent="0.3">
      <c r="J9420" s="33"/>
    </row>
    <row r="9421" spans="10:10" ht="15" customHeight="1" x14ac:dyDescent="0.3">
      <c r="J9421" s="33"/>
    </row>
    <row r="9422" spans="10:10" ht="15" customHeight="1" x14ac:dyDescent="0.3">
      <c r="J9422" s="33"/>
    </row>
    <row r="9423" spans="10:10" ht="15" customHeight="1" x14ac:dyDescent="0.3">
      <c r="J9423" s="33"/>
    </row>
    <row r="9424" spans="10:10" ht="15" customHeight="1" x14ac:dyDescent="0.3">
      <c r="J9424" s="33"/>
    </row>
    <row r="9425" spans="10:10" ht="15" customHeight="1" x14ac:dyDescent="0.3">
      <c r="J9425" s="33"/>
    </row>
    <row r="9426" spans="10:10" ht="15" customHeight="1" x14ac:dyDescent="0.3">
      <c r="J9426" s="33"/>
    </row>
    <row r="9427" spans="10:10" ht="15" customHeight="1" x14ac:dyDescent="0.3">
      <c r="J9427" s="33"/>
    </row>
    <row r="9428" spans="10:10" ht="15" customHeight="1" x14ac:dyDescent="0.3">
      <c r="J9428" s="33"/>
    </row>
    <row r="9429" spans="10:10" ht="15" customHeight="1" x14ac:dyDescent="0.3">
      <c r="J9429" s="33"/>
    </row>
    <row r="9430" spans="10:10" ht="15" customHeight="1" x14ac:dyDescent="0.3">
      <c r="J9430" s="33"/>
    </row>
    <row r="9431" spans="10:10" ht="15" customHeight="1" x14ac:dyDescent="0.3">
      <c r="J9431" s="33"/>
    </row>
    <row r="9432" spans="10:10" ht="15" customHeight="1" x14ac:dyDescent="0.3">
      <c r="J9432" s="33"/>
    </row>
    <row r="9433" spans="10:10" ht="15" customHeight="1" x14ac:dyDescent="0.3">
      <c r="J9433" s="33"/>
    </row>
    <row r="9434" spans="10:10" ht="15" customHeight="1" x14ac:dyDescent="0.3">
      <c r="J9434" s="33"/>
    </row>
    <row r="9435" spans="10:10" ht="15" customHeight="1" x14ac:dyDescent="0.3">
      <c r="J9435" s="33"/>
    </row>
    <row r="9436" spans="10:10" ht="15" customHeight="1" x14ac:dyDescent="0.3">
      <c r="J9436" s="33"/>
    </row>
    <row r="9437" spans="10:10" ht="15" customHeight="1" x14ac:dyDescent="0.3">
      <c r="J9437" s="33"/>
    </row>
    <row r="9438" spans="10:10" ht="15" customHeight="1" x14ac:dyDescent="0.3">
      <c r="J9438" s="33"/>
    </row>
    <row r="9439" spans="10:10" ht="15" customHeight="1" x14ac:dyDescent="0.3">
      <c r="J9439" s="33"/>
    </row>
    <row r="9440" spans="10:10" ht="15" customHeight="1" x14ac:dyDescent="0.3">
      <c r="J9440" s="33"/>
    </row>
    <row r="9441" spans="10:10" ht="15" customHeight="1" x14ac:dyDescent="0.3">
      <c r="J9441" s="33"/>
    </row>
    <row r="9442" spans="10:10" ht="15" customHeight="1" x14ac:dyDescent="0.3">
      <c r="J9442" s="33"/>
    </row>
    <row r="9443" spans="10:10" ht="15" customHeight="1" x14ac:dyDescent="0.3">
      <c r="J9443" s="33"/>
    </row>
    <row r="9444" spans="10:10" ht="15" customHeight="1" x14ac:dyDescent="0.3">
      <c r="J9444" s="33"/>
    </row>
    <row r="9445" spans="10:10" ht="15" customHeight="1" x14ac:dyDescent="0.3">
      <c r="J9445" s="33"/>
    </row>
    <row r="9446" spans="10:10" ht="15" customHeight="1" x14ac:dyDescent="0.3">
      <c r="J9446" s="33"/>
    </row>
    <row r="9447" spans="10:10" ht="15" customHeight="1" x14ac:dyDescent="0.3">
      <c r="J9447" s="33"/>
    </row>
    <row r="9448" spans="10:10" ht="15" customHeight="1" x14ac:dyDescent="0.3">
      <c r="J9448" s="33"/>
    </row>
    <row r="9449" spans="10:10" ht="15" customHeight="1" x14ac:dyDescent="0.3">
      <c r="J9449" s="33"/>
    </row>
    <row r="9450" spans="10:10" ht="15" customHeight="1" x14ac:dyDescent="0.3">
      <c r="J9450" s="33"/>
    </row>
    <row r="9451" spans="10:10" ht="15" customHeight="1" x14ac:dyDescent="0.3">
      <c r="J9451" s="33"/>
    </row>
    <row r="9452" spans="10:10" ht="15" customHeight="1" x14ac:dyDescent="0.3">
      <c r="J9452" s="33"/>
    </row>
    <row r="9453" spans="10:10" ht="15" customHeight="1" x14ac:dyDescent="0.3">
      <c r="J9453" s="33"/>
    </row>
    <row r="9454" spans="10:10" ht="15" customHeight="1" x14ac:dyDescent="0.3">
      <c r="J9454" s="33"/>
    </row>
    <row r="9455" spans="10:10" ht="15" customHeight="1" x14ac:dyDescent="0.3">
      <c r="J9455" s="33"/>
    </row>
    <row r="9456" spans="10:10" ht="15" customHeight="1" x14ac:dyDescent="0.3">
      <c r="J9456" s="33"/>
    </row>
    <row r="9457" spans="10:10" ht="15" customHeight="1" x14ac:dyDescent="0.3">
      <c r="J9457" s="33"/>
    </row>
    <row r="9458" spans="10:10" ht="15" customHeight="1" x14ac:dyDescent="0.3">
      <c r="J9458" s="33"/>
    </row>
    <row r="9459" spans="10:10" ht="15" customHeight="1" x14ac:dyDescent="0.3">
      <c r="J9459" s="33"/>
    </row>
    <row r="9460" spans="10:10" ht="15" customHeight="1" x14ac:dyDescent="0.3">
      <c r="J9460" s="33"/>
    </row>
    <row r="9461" spans="10:10" ht="15" customHeight="1" x14ac:dyDescent="0.3">
      <c r="J9461" s="33"/>
    </row>
    <row r="9462" spans="10:10" ht="15" customHeight="1" x14ac:dyDescent="0.3">
      <c r="J9462" s="33"/>
    </row>
    <row r="9463" spans="10:10" ht="15" customHeight="1" x14ac:dyDescent="0.3">
      <c r="J9463" s="33"/>
    </row>
    <row r="9464" spans="10:10" ht="15" customHeight="1" x14ac:dyDescent="0.3">
      <c r="J9464" s="33"/>
    </row>
    <row r="9465" spans="10:10" ht="15" customHeight="1" x14ac:dyDescent="0.3">
      <c r="J9465" s="33"/>
    </row>
    <row r="9466" spans="10:10" ht="15" customHeight="1" x14ac:dyDescent="0.3">
      <c r="J9466" s="33"/>
    </row>
    <row r="9467" spans="10:10" ht="15" customHeight="1" x14ac:dyDescent="0.3">
      <c r="J9467" s="33"/>
    </row>
    <row r="9468" spans="10:10" ht="15" customHeight="1" x14ac:dyDescent="0.3">
      <c r="J9468" s="33"/>
    </row>
    <row r="9469" spans="10:10" ht="15" customHeight="1" x14ac:dyDescent="0.3">
      <c r="J9469" s="33"/>
    </row>
    <row r="9470" spans="10:10" ht="15" customHeight="1" x14ac:dyDescent="0.3">
      <c r="J9470" s="33"/>
    </row>
    <row r="9471" spans="10:10" ht="15" customHeight="1" x14ac:dyDescent="0.3">
      <c r="J9471" s="33"/>
    </row>
    <row r="9472" spans="10:10" ht="15" customHeight="1" x14ac:dyDescent="0.3">
      <c r="J9472" s="33"/>
    </row>
    <row r="9473" spans="10:10" ht="15" customHeight="1" x14ac:dyDescent="0.3">
      <c r="J9473" s="33"/>
    </row>
    <row r="9474" spans="10:10" ht="15" customHeight="1" x14ac:dyDescent="0.3">
      <c r="J9474" s="33"/>
    </row>
    <row r="9475" spans="10:10" ht="15" customHeight="1" x14ac:dyDescent="0.3">
      <c r="J9475" s="33"/>
    </row>
    <row r="9476" spans="10:10" ht="15" customHeight="1" x14ac:dyDescent="0.3">
      <c r="J9476" s="33"/>
    </row>
    <row r="9477" spans="10:10" ht="15" customHeight="1" x14ac:dyDescent="0.3">
      <c r="J9477" s="33"/>
    </row>
    <row r="9478" spans="10:10" ht="15" customHeight="1" x14ac:dyDescent="0.3">
      <c r="J9478" s="33"/>
    </row>
    <row r="9479" spans="10:10" ht="15" customHeight="1" x14ac:dyDescent="0.3">
      <c r="J9479" s="33"/>
    </row>
    <row r="9480" spans="10:10" ht="15" customHeight="1" x14ac:dyDescent="0.3">
      <c r="J9480" s="33"/>
    </row>
    <row r="9481" spans="10:10" ht="15" customHeight="1" x14ac:dyDescent="0.3">
      <c r="J9481" s="33"/>
    </row>
    <row r="9482" spans="10:10" ht="15" customHeight="1" x14ac:dyDescent="0.3">
      <c r="J9482" s="33"/>
    </row>
    <row r="9483" spans="10:10" ht="15" customHeight="1" x14ac:dyDescent="0.3">
      <c r="J9483" s="33"/>
    </row>
    <row r="9484" spans="10:10" ht="15" customHeight="1" x14ac:dyDescent="0.3">
      <c r="J9484" s="33"/>
    </row>
    <row r="9485" spans="10:10" ht="15" customHeight="1" x14ac:dyDescent="0.3">
      <c r="J9485" s="33"/>
    </row>
    <row r="9486" spans="10:10" ht="15" customHeight="1" x14ac:dyDescent="0.3">
      <c r="J9486" s="33"/>
    </row>
    <row r="9487" spans="10:10" ht="15" customHeight="1" x14ac:dyDescent="0.3">
      <c r="J9487" s="33"/>
    </row>
    <row r="9488" spans="10:10" ht="15" customHeight="1" x14ac:dyDescent="0.3">
      <c r="J9488" s="33"/>
    </row>
    <row r="9489" spans="10:10" ht="15" customHeight="1" x14ac:dyDescent="0.3">
      <c r="J9489" s="33"/>
    </row>
    <row r="9490" spans="10:10" ht="15" customHeight="1" x14ac:dyDescent="0.3">
      <c r="J9490" s="33"/>
    </row>
    <row r="9491" spans="10:10" ht="15" customHeight="1" x14ac:dyDescent="0.3">
      <c r="J9491" s="33"/>
    </row>
    <row r="9492" spans="10:10" ht="15" customHeight="1" x14ac:dyDescent="0.3">
      <c r="J9492" s="33"/>
    </row>
    <row r="9493" spans="10:10" ht="15" customHeight="1" x14ac:dyDescent="0.3">
      <c r="J9493" s="33"/>
    </row>
    <row r="9494" spans="10:10" ht="15" customHeight="1" x14ac:dyDescent="0.3">
      <c r="J9494" s="33"/>
    </row>
    <row r="9495" spans="10:10" ht="15" customHeight="1" x14ac:dyDescent="0.3">
      <c r="J9495" s="33"/>
    </row>
    <row r="9496" spans="10:10" ht="15" customHeight="1" x14ac:dyDescent="0.3">
      <c r="J9496" s="33"/>
    </row>
    <row r="9497" spans="10:10" ht="15" customHeight="1" x14ac:dyDescent="0.3">
      <c r="J9497" s="33"/>
    </row>
    <row r="9498" spans="10:10" ht="15" customHeight="1" x14ac:dyDescent="0.3">
      <c r="J9498" s="33"/>
    </row>
    <row r="9499" spans="10:10" ht="15" customHeight="1" x14ac:dyDescent="0.3">
      <c r="J9499" s="33"/>
    </row>
    <row r="9500" spans="10:10" ht="15" customHeight="1" x14ac:dyDescent="0.3">
      <c r="J9500" s="33"/>
    </row>
    <row r="9501" spans="10:10" ht="15" customHeight="1" x14ac:dyDescent="0.3">
      <c r="J9501" s="33"/>
    </row>
    <row r="9502" spans="10:10" ht="15" customHeight="1" x14ac:dyDescent="0.3">
      <c r="J9502" s="33"/>
    </row>
    <row r="9503" spans="10:10" ht="15" customHeight="1" x14ac:dyDescent="0.3">
      <c r="J9503" s="33"/>
    </row>
    <row r="9504" spans="10:10" ht="15" customHeight="1" x14ac:dyDescent="0.3">
      <c r="J9504" s="33"/>
    </row>
    <row r="9505" spans="10:10" ht="15" customHeight="1" x14ac:dyDescent="0.3">
      <c r="J9505" s="33"/>
    </row>
    <row r="9506" spans="10:10" ht="15" customHeight="1" x14ac:dyDescent="0.3">
      <c r="J9506" s="33"/>
    </row>
    <row r="9507" spans="10:10" ht="15" customHeight="1" x14ac:dyDescent="0.3">
      <c r="J9507" s="33"/>
    </row>
    <row r="9508" spans="10:10" ht="15" customHeight="1" x14ac:dyDescent="0.3">
      <c r="J9508" s="33"/>
    </row>
    <row r="9509" spans="10:10" ht="15" customHeight="1" x14ac:dyDescent="0.3">
      <c r="J9509" s="33"/>
    </row>
    <row r="9510" spans="10:10" ht="15" customHeight="1" x14ac:dyDescent="0.3">
      <c r="J9510" s="33"/>
    </row>
    <row r="9511" spans="10:10" ht="15" customHeight="1" x14ac:dyDescent="0.3">
      <c r="J9511" s="33"/>
    </row>
    <row r="9512" spans="10:10" ht="15" customHeight="1" x14ac:dyDescent="0.3">
      <c r="J9512" s="33"/>
    </row>
    <row r="9513" spans="10:10" ht="15" customHeight="1" x14ac:dyDescent="0.3">
      <c r="J9513" s="33"/>
    </row>
    <row r="9514" spans="10:10" ht="15" customHeight="1" x14ac:dyDescent="0.3">
      <c r="J9514" s="33"/>
    </row>
    <row r="9515" spans="10:10" ht="15" customHeight="1" x14ac:dyDescent="0.3">
      <c r="J9515" s="33"/>
    </row>
    <row r="9516" spans="10:10" ht="15" customHeight="1" x14ac:dyDescent="0.3">
      <c r="J9516" s="33"/>
    </row>
    <row r="9517" spans="10:10" ht="15" customHeight="1" x14ac:dyDescent="0.3">
      <c r="J9517" s="33"/>
    </row>
    <row r="9518" spans="10:10" ht="15" customHeight="1" x14ac:dyDescent="0.3">
      <c r="J9518" s="33"/>
    </row>
    <row r="9519" spans="10:10" ht="15" customHeight="1" x14ac:dyDescent="0.3">
      <c r="J9519" s="33"/>
    </row>
    <row r="9520" spans="10:10" ht="15" customHeight="1" x14ac:dyDescent="0.3">
      <c r="J9520" s="33"/>
    </row>
    <row r="9521" spans="10:10" ht="15" customHeight="1" x14ac:dyDescent="0.3">
      <c r="J9521" s="33"/>
    </row>
    <row r="9522" spans="10:10" ht="15" customHeight="1" x14ac:dyDescent="0.3">
      <c r="J9522" s="33"/>
    </row>
    <row r="9523" spans="10:10" ht="15" customHeight="1" x14ac:dyDescent="0.3">
      <c r="J9523" s="33"/>
    </row>
    <row r="9524" spans="10:10" ht="15" customHeight="1" x14ac:dyDescent="0.3">
      <c r="J9524" s="33"/>
    </row>
    <row r="9525" spans="10:10" ht="15" customHeight="1" x14ac:dyDescent="0.3">
      <c r="J9525" s="33"/>
    </row>
    <row r="9526" spans="10:10" ht="15" customHeight="1" x14ac:dyDescent="0.3">
      <c r="J9526" s="33"/>
    </row>
    <row r="9527" spans="10:10" ht="15" customHeight="1" x14ac:dyDescent="0.3">
      <c r="J9527" s="33"/>
    </row>
    <row r="9528" spans="10:10" ht="15" customHeight="1" x14ac:dyDescent="0.3">
      <c r="J9528" s="33"/>
    </row>
    <row r="9529" spans="10:10" ht="15" customHeight="1" x14ac:dyDescent="0.3">
      <c r="J9529" s="33"/>
    </row>
    <row r="9530" spans="10:10" ht="15" customHeight="1" x14ac:dyDescent="0.3">
      <c r="J9530" s="33"/>
    </row>
    <row r="9531" spans="10:10" ht="15" customHeight="1" x14ac:dyDescent="0.3">
      <c r="J9531" s="33"/>
    </row>
    <row r="9532" spans="10:10" ht="15" customHeight="1" x14ac:dyDescent="0.3">
      <c r="J9532" s="33"/>
    </row>
    <row r="9533" spans="10:10" ht="15" customHeight="1" x14ac:dyDescent="0.3">
      <c r="J9533" s="33"/>
    </row>
    <row r="9534" spans="10:10" ht="15" customHeight="1" x14ac:dyDescent="0.3">
      <c r="J9534" s="33"/>
    </row>
    <row r="9535" spans="10:10" ht="15" customHeight="1" x14ac:dyDescent="0.3">
      <c r="J9535" s="33"/>
    </row>
    <row r="9536" spans="10:10" ht="15" customHeight="1" x14ac:dyDescent="0.3">
      <c r="J9536" s="33"/>
    </row>
    <row r="9537" spans="10:10" ht="15" customHeight="1" x14ac:dyDescent="0.3">
      <c r="J9537" s="33"/>
    </row>
    <row r="9538" spans="10:10" ht="15" customHeight="1" x14ac:dyDescent="0.3">
      <c r="J9538" s="33"/>
    </row>
    <row r="9539" spans="10:10" ht="15" customHeight="1" x14ac:dyDescent="0.3">
      <c r="J9539" s="33"/>
    </row>
    <row r="9540" spans="10:10" ht="15" customHeight="1" x14ac:dyDescent="0.3">
      <c r="J9540" s="33"/>
    </row>
    <row r="9541" spans="10:10" ht="15" customHeight="1" x14ac:dyDescent="0.3">
      <c r="J9541" s="33"/>
    </row>
    <row r="9542" spans="10:10" ht="15" customHeight="1" x14ac:dyDescent="0.3">
      <c r="J9542" s="33"/>
    </row>
    <row r="9543" spans="10:10" ht="15" customHeight="1" x14ac:dyDescent="0.3">
      <c r="J9543" s="33"/>
    </row>
    <row r="9544" spans="10:10" ht="15" customHeight="1" x14ac:dyDescent="0.3">
      <c r="J9544" s="33"/>
    </row>
    <row r="9545" spans="10:10" ht="15" customHeight="1" x14ac:dyDescent="0.3">
      <c r="J9545" s="33"/>
    </row>
    <row r="9546" spans="10:10" ht="15" customHeight="1" x14ac:dyDescent="0.3">
      <c r="J9546" s="33"/>
    </row>
    <row r="9547" spans="10:10" ht="15" customHeight="1" x14ac:dyDescent="0.3">
      <c r="J9547" s="33"/>
    </row>
    <row r="9548" spans="10:10" ht="15" customHeight="1" x14ac:dyDescent="0.3">
      <c r="J9548" s="33"/>
    </row>
    <row r="9549" spans="10:10" ht="15" customHeight="1" x14ac:dyDescent="0.3">
      <c r="J9549" s="33"/>
    </row>
    <row r="9550" spans="10:10" ht="15" customHeight="1" x14ac:dyDescent="0.3">
      <c r="J9550" s="33"/>
    </row>
    <row r="9551" spans="10:10" ht="15" customHeight="1" x14ac:dyDescent="0.3">
      <c r="J9551" s="33"/>
    </row>
    <row r="9552" spans="10:10" ht="15" customHeight="1" x14ac:dyDescent="0.3">
      <c r="J9552" s="33"/>
    </row>
    <row r="9553" spans="10:10" ht="15" customHeight="1" x14ac:dyDescent="0.3">
      <c r="J9553" s="33"/>
    </row>
    <row r="9554" spans="10:10" ht="15" customHeight="1" x14ac:dyDescent="0.3">
      <c r="J9554" s="33"/>
    </row>
    <row r="9555" spans="10:10" ht="15" customHeight="1" x14ac:dyDescent="0.3">
      <c r="J9555" s="33"/>
    </row>
    <row r="9556" spans="10:10" ht="15" customHeight="1" x14ac:dyDescent="0.3">
      <c r="J9556" s="33"/>
    </row>
    <row r="9557" spans="10:10" ht="15" customHeight="1" x14ac:dyDescent="0.3">
      <c r="J9557" s="33"/>
    </row>
    <row r="9558" spans="10:10" ht="15" customHeight="1" x14ac:dyDescent="0.3">
      <c r="J9558" s="33"/>
    </row>
    <row r="9559" spans="10:10" ht="15" customHeight="1" x14ac:dyDescent="0.3">
      <c r="J9559" s="33"/>
    </row>
    <row r="9560" spans="10:10" ht="15" customHeight="1" x14ac:dyDescent="0.3">
      <c r="J9560" s="33"/>
    </row>
    <row r="9561" spans="10:10" ht="15" customHeight="1" x14ac:dyDescent="0.3">
      <c r="J9561" s="33"/>
    </row>
    <row r="9562" spans="10:10" ht="15" customHeight="1" x14ac:dyDescent="0.3">
      <c r="J9562" s="33"/>
    </row>
    <row r="9563" spans="10:10" ht="15" customHeight="1" x14ac:dyDescent="0.3">
      <c r="J9563" s="33"/>
    </row>
    <row r="9564" spans="10:10" ht="15" customHeight="1" x14ac:dyDescent="0.3">
      <c r="J9564" s="33"/>
    </row>
    <row r="9565" spans="10:10" ht="15" customHeight="1" x14ac:dyDescent="0.3">
      <c r="J9565" s="33"/>
    </row>
    <row r="9566" spans="10:10" ht="15" customHeight="1" x14ac:dyDescent="0.3">
      <c r="J9566" s="33"/>
    </row>
    <row r="9567" spans="10:10" ht="15" customHeight="1" x14ac:dyDescent="0.3">
      <c r="J9567" s="33"/>
    </row>
    <row r="9568" spans="10:10" ht="15" customHeight="1" x14ac:dyDescent="0.3">
      <c r="J9568" s="33"/>
    </row>
    <row r="9569" spans="10:10" ht="15" customHeight="1" x14ac:dyDescent="0.3">
      <c r="J9569" s="33"/>
    </row>
    <row r="9570" spans="10:10" ht="15" customHeight="1" x14ac:dyDescent="0.3">
      <c r="J9570" s="33"/>
    </row>
    <row r="9571" spans="10:10" ht="15" customHeight="1" x14ac:dyDescent="0.3">
      <c r="J9571" s="33"/>
    </row>
    <row r="9572" spans="10:10" ht="15" customHeight="1" x14ac:dyDescent="0.3">
      <c r="J9572" s="33"/>
    </row>
    <row r="9573" spans="10:10" ht="15" customHeight="1" x14ac:dyDescent="0.3">
      <c r="J9573" s="33"/>
    </row>
    <row r="9574" spans="10:10" ht="15" customHeight="1" x14ac:dyDescent="0.3">
      <c r="J9574" s="33"/>
    </row>
    <row r="9575" spans="10:10" ht="15" customHeight="1" x14ac:dyDescent="0.3">
      <c r="J9575" s="33"/>
    </row>
    <row r="9576" spans="10:10" ht="15" customHeight="1" x14ac:dyDescent="0.3">
      <c r="J9576" s="33"/>
    </row>
    <row r="9577" spans="10:10" ht="15" customHeight="1" x14ac:dyDescent="0.3">
      <c r="J9577" s="33"/>
    </row>
    <row r="9578" spans="10:10" ht="15" customHeight="1" x14ac:dyDescent="0.3">
      <c r="J9578" s="33"/>
    </row>
    <row r="9579" spans="10:10" ht="15" customHeight="1" x14ac:dyDescent="0.3">
      <c r="J9579" s="33"/>
    </row>
    <row r="9580" spans="10:10" ht="15" customHeight="1" x14ac:dyDescent="0.3">
      <c r="J9580" s="33"/>
    </row>
    <row r="9581" spans="10:10" ht="15" customHeight="1" x14ac:dyDescent="0.3">
      <c r="J9581" s="33"/>
    </row>
    <row r="9582" spans="10:10" ht="15" customHeight="1" x14ac:dyDescent="0.3">
      <c r="J9582" s="33"/>
    </row>
    <row r="9583" spans="10:10" ht="15" customHeight="1" x14ac:dyDescent="0.3">
      <c r="J9583" s="33"/>
    </row>
    <row r="9584" spans="10:10" ht="15" customHeight="1" x14ac:dyDescent="0.3">
      <c r="J9584" s="33"/>
    </row>
    <row r="9585" spans="10:10" ht="15" customHeight="1" x14ac:dyDescent="0.3">
      <c r="J9585" s="33"/>
    </row>
    <row r="9586" spans="10:10" ht="15" customHeight="1" x14ac:dyDescent="0.3">
      <c r="J9586" s="33"/>
    </row>
    <row r="9587" spans="10:10" ht="15" customHeight="1" x14ac:dyDescent="0.3">
      <c r="J9587" s="33"/>
    </row>
    <row r="9588" spans="10:10" ht="15" customHeight="1" x14ac:dyDescent="0.3">
      <c r="J9588" s="33"/>
    </row>
    <row r="9589" spans="10:10" ht="15" customHeight="1" x14ac:dyDescent="0.3">
      <c r="J9589" s="33"/>
    </row>
    <row r="9590" spans="10:10" ht="15" customHeight="1" x14ac:dyDescent="0.3">
      <c r="J9590" s="33"/>
    </row>
    <row r="9591" spans="10:10" ht="15" customHeight="1" x14ac:dyDescent="0.3">
      <c r="J9591" s="33"/>
    </row>
    <row r="9592" spans="10:10" ht="15" customHeight="1" x14ac:dyDescent="0.3">
      <c r="J9592" s="33"/>
    </row>
    <row r="9593" spans="10:10" ht="15" customHeight="1" x14ac:dyDescent="0.3">
      <c r="J9593" s="33"/>
    </row>
    <row r="9594" spans="10:10" ht="15" customHeight="1" x14ac:dyDescent="0.3">
      <c r="J9594" s="33"/>
    </row>
    <row r="9595" spans="10:10" ht="15" customHeight="1" x14ac:dyDescent="0.3">
      <c r="J9595" s="33"/>
    </row>
    <row r="9596" spans="10:10" ht="15" customHeight="1" x14ac:dyDescent="0.3">
      <c r="J9596" s="33"/>
    </row>
    <row r="9597" spans="10:10" ht="15" customHeight="1" x14ac:dyDescent="0.3">
      <c r="J9597" s="33"/>
    </row>
    <row r="9598" spans="10:10" ht="15" customHeight="1" x14ac:dyDescent="0.3">
      <c r="J9598" s="33"/>
    </row>
    <row r="9599" spans="10:10" ht="15" customHeight="1" x14ac:dyDescent="0.3">
      <c r="J9599" s="33"/>
    </row>
    <row r="9600" spans="10:10" ht="15" customHeight="1" x14ac:dyDescent="0.3">
      <c r="J9600" s="33"/>
    </row>
    <row r="9601" spans="10:10" ht="15" customHeight="1" x14ac:dyDescent="0.3">
      <c r="J9601" s="33"/>
    </row>
    <row r="9602" spans="10:10" ht="15" customHeight="1" x14ac:dyDescent="0.3">
      <c r="J9602" s="33"/>
    </row>
    <row r="9603" spans="10:10" ht="15" customHeight="1" x14ac:dyDescent="0.3">
      <c r="J9603" s="33"/>
    </row>
    <row r="9604" spans="10:10" ht="15" customHeight="1" x14ac:dyDescent="0.3">
      <c r="J9604" s="33"/>
    </row>
    <row r="9605" spans="10:10" ht="15" customHeight="1" x14ac:dyDescent="0.3">
      <c r="J9605" s="33"/>
    </row>
    <row r="9606" spans="10:10" ht="15" customHeight="1" x14ac:dyDescent="0.3">
      <c r="J9606" s="33"/>
    </row>
    <row r="9607" spans="10:10" ht="15" customHeight="1" x14ac:dyDescent="0.3">
      <c r="J9607" s="33"/>
    </row>
    <row r="9608" spans="10:10" ht="15" customHeight="1" x14ac:dyDescent="0.3">
      <c r="J9608" s="33"/>
    </row>
    <row r="9609" spans="10:10" ht="15" customHeight="1" x14ac:dyDescent="0.3">
      <c r="J9609" s="33"/>
    </row>
    <row r="9610" spans="10:10" ht="15" customHeight="1" x14ac:dyDescent="0.3">
      <c r="J9610" s="33"/>
    </row>
    <row r="9611" spans="10:10" ht="15" customHeight="1" x14ac:dyDescent="0.3">
      <c r="J9611" s="33"/>
    </row>
    <row r="9612" spans="10:10" ht="15" customHeight="1" x14ac:dyDescent="0.3">
      <c r="J9612" s="33"/>
    </row>
    <row r="9613" spans="10:10" ht="15" customHeight="1" x14ac:dyDescent="0.3">
      <c r="J9613" s="33"/>
    </row>
    <row r="9614" spans="10:10" ht="15" customHeight="1" x14ac:dyDescent="0.3">
      <c r="J9614" s="33"/>
    </row>
    <row r="9615" spans="10:10" ht="15" customHeight="1" x14ac:dyDescent="0.3">
      <c r="J9615" s="33"/>
    </row>
    <row r="9616" spans="10:10" ht="15" customHeight="1" x14ac:dyDescent="0.3">
      <c r="J9616" s="33"/>
    </row>
    <row r="9617" spans="10:10" ht="15" customHeight="1" x14ac:dyDescent="0.3">
      <c r="J9617" s="33"/>
    </row>
    <row r="9618" spans="10:10" ht="15" customHeight="1" x14ac:dyDescent="0.3">
      <c r="J9618" s="33"/>
    </row>
    <row r="9619" spans="10:10" ht="15" customHeight="1" x14ac:dyDescent="0.3">
      <c r="J9619" s="33"/>
    </row>
    <row r="9620" spans="10:10" ht="15" customHeight="1" x14ac:dyDescent="0.3">
      <c r="J9620" s="33"/>
    </row>
    <row r="9621" spans="10:10" ht="15" customHeight="1" x14ac:dyDescent="0.3">
      <c r="J9621" s="33"/>
    </row>
    <row r="9622" spans="10:10" ht="15" customHeight="1" x14ac:dyDescent="0.3">
      <c r="J9622" s="33"/>
    </row>
    <row r="9623" spans="10:10" ht="15" customHeight="1" x14ac:dyDescent="0.3">
      <c r="J9623" s="33"/>
    </row>
    <row r="9624" spans="10:10" ht="15" customHeight="1" x14ac:dyDescent="0.3">
      <c r="J9624" s="33"/>
    </row>
    <row r="9625" spans="10:10" ht="15" customHeight="1" x14ac:dyDescent="0.3">
      <c r="J9625" s="33"/>
    </row>
    <row r="9626" spans="10:10" ht="15" customHeight="1" x14ac:dyDescent="0.3">
      <c r="J9626" s="33"/>
    </row>
    <row r="9627" spans="10:10" ht="15" customHeight="1" x14ac:dyDescent="0.3">
      <c r="J9627" s="33"/>
    </row>
    <row r="9628" spans="10:10" ht="15" customHeight="1" x14ac:dyDescent="0.3">
      <c r="J9628" s="33"/>
    </row>
    <row r="9629" spans="10:10" ht="15" customHeight="1" x14ac:dyDescent="0.3">
      <c r="J9629" s="33"/>
    </row>
    <row r="9630" spans="10:10" ht="15" customHeight="1" x14ac:dyDescent="0.3">
      <c r="J9630" s="33"/>
    </row>
    <row r="9631" spans="10:10" ht="15" customHeight="1" x14ac:dyDescent="0.3">
      <c r="J9631" s="33"/>
    </row>
    <row r="9632" spans="10:10" ht="15" customHeight="1" x14ac:dyDescent="0.3">
      <c r="J9632" s="33"/>
    </row>
    <row r="9633" spans="10:10" ht="15" customHeight="1" x14ac:dyDescent="0.3">
      <c r="J9633" s="33"/>
    </row>
    <row r="9634" spans="10:10" ht="15" customHeight="1" x14ac:dyDescent="0.3">
      <c r="J9634" s="33"/>
    </row>
    <row r="9635" spans="10:10" ht="15" customHeight="1" x14ac:dyDescent="0.3">
      <c r="J9635" s="33"/>
    </row>
    <row r="9636" spans="10:10" ht="15" customHeight="1" x14ac:dyDescent="0.3">
      <c r="J9636" s="33"/>
    </row>
    <row r="9637" spans="10:10" ht="15" customHeight="1" x14ac:dyDescent="0.3">
      <c r="J9637" s="33"/>
    </row>
    <row r="9638" spans="10:10" ht="15" customHeight="1" x14ac:dyDescent="0.3">
      <c r="J9638" s="33"/>
    </row>
    <row r="9639" spans="10:10" ht="15" customHeight="1" x14ac:dyDescent="0.3">
      <c r="J9639" s="33"/>
    </row>
    <row r="9640" spans="10:10" ht="15" customHeight="1" x14ac:dyDescent="0.3">
      <c r="J9640" s="33"/>
    </row>
    <row r="9641" spans="10:10" ht="15" customHeight="1" x14ac:dyDescent="0.3">
      <c r="J9641" s="33"/>
    </row>
    <row r="9642" spans="10:10" ht="15" customHeight="1" x14ac:dyDescent="0.3">
      <c r="J9642" s="33"/>
    </row>
    <row r="9643" spans="10:10" ht="15" customHeight="1" x14ac:dyDescent="0.3">
      <c r="J9643" s="33"/>
    </row>
    <row r="9644" spans="10:10" ht="15" customHeight="1" x14ac:dyDescent="0.3">
      <c r="J9644" s="33"/>
    </row>
    <row r="9645" spans="10:10" ht="15" customHeight="1" x14ac:dyDescent="0.3">
      <c r="J9645" s="33"/>
    </row>
    <row r="9646" spans="10:10" ht="15" customHeight="1" x14ac:dyDescent="0.3">
      <c r="J9646" s="33"/>
    </row>
    <row r="9647" spans="10:10" ht="15" customHeight="1" x14ac:dyDescent="0.3">
      <c r="J9647" s="33"/>
    </row>
    <row r="9648" spans="10:10" ht="15" customHeight="1" x14ac:dyDescent="0.3">
      <c r="J9648" s="33"/>
    </row>
    <row r="9649" spans="10:10" ht="15" customHeight="1" x14ac:dyDescent="0.3">
      <c r="J9649" s="33"/>
    </row>
    <row r="9650" spans="10:10" ht="15" customHeight="1" x14ac:dyDescent="0.3">
      <c r="J9650" s="33"/>
    </row>
    <row r="9651" spans="10:10" ht="15" customHeight="1" x14ac:dyDescent="0.3">
      <c r="J9651" s="33"/>
    </row>
    <row r="9652" spans="10:10" ht="15" customHeight="1" x14ac:dyDescent="0.3">
      <c r="J9652" s="33"/>
    </row>
    <row r="9653" spans="10:10" ht="15" customHeight="1" x14ac:dyDescent="0.3">
      <c r="J9653" s="33"/>
    </row>
    <row r="9654" spans="10:10" ht="15" customHeight="1" x14ac:dyDescent="0.3">
      <c r="J9654" s="33"/>
    </row>
    <row r="9655" spans="10:10" ht="15" customHeight="1" x14ac:dyDescent="0.3">
      <c r="J9655" s="33"/>
    </row>
    <row r="9656" spans="10:10" ht="15" customHeight="1" x14ac:dyDescent="0.3">
      <c r="J9656" s="33"/>
    </row>
    <row r="9657" spans="10:10" ht="15" customHeight="1" x14ac:dyDescent="0.3">
      <c r="J9657" s="33"/>
    </row>
    <row r="9658" spans="10:10" ht="15" customHeight="1" x14ac:dyDescent="0.3">
      <c r="J9658" s="33"/>
    </row>
    <row r="9659" spans="10:10" ht="15" customHeight="1" x14ac:dyDescent="0.3">
      <c r="J9659" s="33"/>
    </row>
    <row r="9660" spans="10:10" ht="15" customHeight="1" x14ac:dyDescent="0.3">
      <c r="J9660" s="33"/>
    </row>
    <row r="9661" spans="10:10" ht="15" customHeight="1" x14ac:dyDescent="0.3">
      <c r="J9661" s="33"/>
    </row>
    <row r="9662" spans="10:10" ht="15" customHeight="1" x14ac:dyDescent="0.3">
      <c r="J9662" s="33"/>
    </row>
    <row r="9663" spans="10:10" ht="15" customHeight="1" x14ac:dyDescent="0.3">
      <c r="J9663" s="33"/>
    </row>
    <row r="9664" spans="10:10" ht="15" customHeight="1" x14ac:dyDescent="0.3">
      <c r="J9664" s="33"/>
    </row>
    <row r="9665" spans="10:10" ht="15" customHeight="1" x14ac:dyDescent="0.3">
      <c r="J9665" s="33"/>
    </row>
    <row r="9666" spans="10:10" ht="15" customHeight="1" x14ac:dyDescent="0.3">
      <c r="J9666" s="33"/>
    </row>
    <row r="9667" spans="10:10" ht="15" customHeight="1" x14ac:dyDescent="0.3">
      <c r="J9667" s="33"/>
    </row>
    <row r="9668" spans="10:10" ht="15" customHeight="1" x14ac:dyDescent="0.3">
      <c r="J9668" s="33"/>
    </row>
    <row r="9669" spans="10:10" ht="15" customHeight="1" x14ac:dyDescent="0.3">
      <c r="J9669" s="33"/>
    </row>
    <row r="9670" spans="10:10" ht="15" customHeight="1" x14ac:dyDescent="0.3">
      <c r="J9670" s="33"/>
    </row>
    <row r="9671" spans="10:10" ht="15" customHeight="1" x14ac:dyDescent="0.3">
      <c r="J9671" s="33"/>
    </row>
    <row r="9672" spans="10:10" ht="15" customHeight="1" x14ac:dyDescent="0.3">
      <c r="J9672" s="33"/>
    </row>
    <row r="9673" spans="10:10" ht="15" customHeight="1" x14ac:dyDescent="0.3">
      <c r="J9673" s="33"/>
    </row>
    <row r="9674" spans="10:10" ht="15" customHeight="1" x14ac:dyDescent="0.3">
      <c r="J9674" s="33"/>
    </row>
    <row r="9675" spans="10:10" ht="15" customHeight="1" x14ac:dyDescent="0.3">
      <c r="J9675" s="33"/>
    </row>
    <row r="9676" spans="10:10" ht="15" customHeight="1" x14ac:dyDescent="0.3">
      <c r="J9676" s="33"/>
    </row>
    <row r="9677" spans="10:10" ht="15" customHeight="1" x14ac:dyDescent="0.3">
      <c r="J9677" s="33"/>
    </row>
    <row r="9678" spans="10:10" ht="15" customHeight="1" x14ac:dyDescent="0.3">
      <c r="J9678" s="33"/>
    </row>
    <row r="9679" spans="10:10" ht="15" customHeight="1" x14ac:dyDescent="0.3">
      <c r="J9679" s="33"/>
    </row>
    <row r="9680" spans="10:10" ht="15" customHeight="1" x14ac:dyDescent="0.3">
      <c r="J9680" s="33"/>
    </row>
    <row r="9681" spans="10:10" ht="15" customHeight="1" x14ac:dyDescent="0.3">
      <c r="J9681" s="33"/>
    </row>
    <row r="9682" spans="10:10" ht="15" customHeight="1" x14ac:dyDescent="0.3">
      <c r="J9682" s="33"/>
    </row>
    <row r="9683" spans="10:10" ht="15" customHeight="1" x14ac:dyDescent="0.3">
      <c r="J9683" s="33"/>
    </row>
    <row r="9684" spans="10:10" ht="15" customHeight="1" x14ac:dyDescent="0.3">
      <c r="J9684" s="33"/>
    </row>
    <row r="9685" spans="10:10" ht="15" customHeight="1" x14ac:dyDescent="0.3">
      <c r="J9685" s="33"/>
    </row>
    <row r="9686" spans="10:10" ht="15" customHeight="1" x14ac:dyDescent="0.3">
      <c r="J9686" s="33"/>
    </row>
    <row r="9687" spans="10:10" ht="15" customHeight="1" x14ac:dyDescent="0.3">
      <c r="J9687" s="33"/>
    </row>
    <row r="9688" spans="10:10" ht="15" customHeight="1" x14ac:dyDescent="0.3">
      <c r="J9688" s="33"/>
    </row>
    <row r="9689" spans="10:10" ht="15" customHeight="1" x14ac:dyDescent="0.3">
      <c r="J9689" s="33"/>
    </row>
    <row r="9690" spans="10:10" ht="15" customHeight="1" x14ac:dyDescent="0.3">
      <c r="J9690" s="33"/>
    </row>
    <row r="9691" spans="10:10" ht="15" customHeight="1" x14ac:dyDescent="0.3">
      <c r="J9691" s="33"/>
    </row>
    <row r="9692" spans="10:10" ht="15" customHeight="1" x14ac:dyDescent="0.3">
      <c r="J9692" s="33"/>
    </row>
    <row r="9693" spans="10:10" ht="15" customHeight="1" x14ac:dyDescent="0.3">
      <c r="J9693" s="33"/>
    </row>
    <row r="9694" spans="10:10" ht="15" customHeight="1" x14ac:dyDescent="0.3">
      <c r="J9694" s="33"/>
    </row>
    <row r="9695" spans="10:10" ht="15" customHeight="1" x14ac:dyDescent="0.3">
      <c r="J9695" s="33"/>
    </row>
    <row r="9696" spans="10:10" ht="15" customHeight="1" x14ac:dyDescent="0.3">
      <c r="J9696" s="33"/>
    </row>
    <row r="9697" spans="10:10" ht="15" customHeight="1" x14ac:dyDescent="0.3">
      <c r="J9697" s="33"/>
    </row>
    <row r="9698" spans="10:10" ht="15" customHeight="1" x14ac:dyDescent="0.3">
      <c r="J9698" s="33"/>
    </row>
    <row r="9699" spans="10:10" ht="15" customHeight="1" x14ac:dyDescent="0.3">
      <c r="J9699" s="33"/>
    </row>
    <row r="9700" spans="10:10" ht="15" customHeight="1" x14ac:dyDescent="0.3">
      <c r="J9700" s="33"/>
    </row>
    <row r="9701" spans="10:10" ht="15" customHeight="1" x14ac:dyDescent="0.3">
      <c r="J9701" s="33"/>
    </row>
    <row r="9702" spans="10:10" ht="15" customHeight="1" x14ac:dyDescent="0.3">
      <c r="J9702" s="33"/>
    </row>
    <row r="9703" spans="10:10" ht="15" customHeight="1" x14ac:dyDescent="0.3">
      <c r="J9703" s="33"/>
    </row>
    <row r="9704" spans="10:10" ht="15" customHeight="1" x14ac:dyDescent="0.3">
      <c r="J9704" s="33"/>
    </row>
    <row r="9705" spans="10:10" ht="15" customHeight="1" x14ac:dyDescent="0.3">
      <c r="J9705" s="33"/>
    </row>
    <row r="9706" spans="10:10" ht="15" customHeight="1" x14ac:dyDescent="0.3">
      <c r="J9706" s="33"/>
    </row>
    <row r="9707" spans="10:10" ht="15" customHeight="1" x14ac:dyDescent="0.3">
      <c r="J9707" s="33"/>
    </row>
    <row r="9708" spans="10:10" ht="15" customHeight="1" x14ac:dyDescent="0.3">
      <c r="J9708" s="33"/>
    </row>
    <row r="9709" spans="10:10" ht="15" customHeight="1" x14ac:dyDescent="0.3">
      <c r="J9709" s="33"/>
    </row>
    <row r="9710" spans="10:10" ht="15" customHeight="1" x14ac:dyDescent="0.3">
      <c r="J9710" s="33"/>
    </row>
    <row r="9711" spans="10:10" ht="15" customHeight="1" x14ac:dyDescent="0.3">
      <c r="J9711" s="33"/>
    </row>
    <row r="9712" spans="10:10" ht="15" customHeight="1" x14ac:dyDescent="0.3">
      <c r="J9712" s="33"/>
    </row>
    <row r="9713" spans="10:10" ht="15" customHeight="1" x14ac:dyDescent="0.3">
      <c r="J9713" s="33"/>
    </row>
    <row r="9714" spans="10:10" ht="15" customHeight="1" x14ac:dyDescent="0.3">
      <c r="J9714" s="33"/>
    </row>
    <row r="9715" spans="10:10" ht="15" customHeight="1" x14ac:dyDescent="0.3">
      <c r="J9715" s="33"/>
    </row>
    <row r="9716" spans="10:10" ht="15" customHeight="1" x14ac:dyDescent="0.3">
      <c r="J9716" s="33"/>
    </row>
    <row r="9717" spans="10:10" ht="15" customHeight="1" x14ac:dyDescent="0.3">
      <c r="J9717" s="33"/>
    </row>
    <row r="9718" spans="10:10" ht="15" customHeight="1" x14ac:dyDescent="0.3">
      <c r="J9718" s="33"/>
    </row>
    <row r="9719" spans="10:10" ht="15" customHeight="1" x14ac:dyDescent="0.3">
      <c r="J9719" s="33"/>
    </row>
    <row r="9720" spans="10:10" ht="15" customHeight="1" x14ac:dyDescent="0.3">
      <c r="J9720" s="33"/>
    </row>
    <row r="9721" spans="10:10" ht="15" customHeight="1" x14ac:dyDescent="0.3">
      <c r="J9721" s="33"/>
    </row>
    <row r="9722" spans="10:10" ht="15" customHeight="1" x14ac:dyDescent="0.3">
      <c r="J9722" s="33"/>
    </row>
    <row r="9723" spans="10:10" ht="15" customHeight="1" x14ac:dyDescent="0.3">
      <c r="J9723" s="33"/>
    </row>
    <row r="9724" spans="10:10" ht="15" customHeight="1" x14ac:dyDescent="0.3">
      <c r="J9724" s="33"/>
    </row>
    <row r="9725" spans="10:10" ht="15" customHeight="1" x14ac:dyDescent="0.3">
      <c r="J9725" s="33"/>
    </row>
    <row r="9726" spans="10:10" ht="15" customHeight="1" x14ac:dyDescent="0.3">
      <c r="J9726" s="33"/>
    </row>
    <row r="9727" spans="10:10" ht="15" customHeight="1" x14ac:dyDescent="0.3">
      <c r="J9727" s="33"/>
    </row>
    <row r="9728" spans="10:10" ht="15" customHeight="1" x14ac:dyDescent="0.3">
      <c r="J9728" s="33"/>
    </row>
    <row r="9729" spans="10:10" ht="15" customHeight="1" x14ac:dyDescent="0.3">
      <c r="J9729" s="33"/>
    </row>
    <row r="9730" spans="10:10" ht="15" customHeight="1" x14ac:dyDescent="0.3">
      <c r="J9730" s="33"/>
    </row>
    <row r="9731" spans="10:10" ht="15" customHeight="1" x14ac:dyDescent="0.3">
      <c r="J9731" s="33"/>
    </row>
    <row r="9732" spans="10:10" ht="15" customHeight="1" x14ac:dyDescent="0.3">
      <c r="J9732" s="33"/>
    </row>
    <row r="9733" spans="10:10" ht="15" customHeight="1" x14ac:dyDescent="0.3">
      <c r="J9733" s="33"/>
    </row>
    <row r="9734" spans="10:10" ht="15" customHeight="1" x14ac:dyDescent="0.3">
      <c r="J9734" s="33"/>
    </row>
    <row r="9735" spans="10:10" ht="15" customHeight="1" x14ac:dyDescent="0.3">
      <c r="J9735" s="33"/>
    </row>
    <row r="9736" spans="10:10" ht="15" customHeight="1" x14ac:dyDescent="0.3">
      <c r="J9736" s="33"/>
    </row>
    <row r="9737" spans="10:10" ht="15" customHeight="1" x14ac:dyDescent="0.3">
      <c r="J9737" s="33"/>
    </row>
    <row r="9738" spans="10:10" ht="15" customHeight="1" x14ac:dyDescent="0.3">
      <c r="J9738" s="33"/>
    </row>
    <row r="9739" spans="10:10" ht="15" customHeight="1" x14ac:dyDescent="0.3">
      <c r="J9739" s="33"/>
    </row>
    <row r="9740" spans="10:10" ht="15" customHeight="1" x14ac:dyDescent="0.3">
      <c r="J9740" s="33"/>
    </row>
    <row r="9741" spans="10:10" ht="15" customHeight="1" x14ac:dyDescent="0.3">
      <c r="J9741" s="33"/>
    </row>
    <row r="9742" spans="10:10" ht="15" customHeight="1" x14ac:dyDescent="0.3">
      <c r="J9742" s="33"/>
    </row>
    <row r="9743" spans="10:10" ht="15" customHeight="1" x14ac:dyDescent="0.3">
      <c r="J9743" s="33"/>
    </row>
    <row r="9744" spans="10:10" ht="15" customHeight="1" x14ac:dyDescent="0.3">
      <c r="J9744" s="33"/>
    </row>
    <row r="9745" spans="10:10" ht="15" customHeight="1" x14ac:dyDescent="0.3">
      <c r="J9745" s="33"/>
    </row>
    <row r="9746" spans="10:10" ht="15" customHeight="1" x14ac:dyDescent="0.3">
      <c r="J9746" s="33"/>
    </row>
    <row r="9747" spans="10:10" ht="15" customHeight="1" x14ac:dyDescent="0.3">
      <c r="J9747" s="33"/>
    </row>
    <row r="9748" spans="10:10" ht="15" customHeight="1" x14ac:dyDescent="0.3">
      <c r="J9748" s="33"/>
    </row>
    <row r="9749" spans="10:10" ht="15" customHeight="1" x14ac:dyDescent="0.3">
      <c r="J9749" s="33"/>
    </row>
    <row r="9750" spans="10:10" ht="15" customHeight="1" x14ac:dyDescent="0.3">
      <c r="J9750" s="33"/>
    </row>
    <row r="9751" spans="10:10" ht="15" customHeight="1" x14ac:dyDescent="0.3">
      <c r="J9751" s="33"/>
    </row>
    <row r="9752" spans="10:10" ht="15" customHeight="1" x14ac:dyDescent="0.3">
      <c r="J9752" s="33"/>
    </row>
    <row r="9753" spans="10:10" ht="15" customHeight="1" x14ac:dyDescent="0.3">
      <c r="J9753" s="33"/>
    </row>
    <row r="9754" spans="10:10" ht="15" customHeight="1" x14ac:dyDescent="0.3">
      <c r="J9754" s="33"/>
    </row>
    <row r="9755" spans="10:10" ht="15" customHeight="1" x14ac:dyDescent="0.3">
      <c r="J9755" s="33"/>
    </row>
    <row r="9756" spans="10:10" ht="15" customHeight="1" x14ac:dyDescent="0.3">
      <c r="J9756" s="33"/>
    </row>
    <row r="9757" spans="10:10" ht="15" customHeight="1" x14ac:dyDescent="0.3">
      <c r="J9757" s="33"/>
    </row>
    <row r="9758" spans="10:10" ht="15" customHeight="1" x14ac:dyDescent="0.3">
      <c r="J9758" s="33"/>
    </row>
    <row r="9759" spans="10:10" ht="15" customHeight="1" x14ac:dyDescent="0.3">
      <c r="J9759" s="33"/>
    </row>
    <row r="9760" spans="10:10" ht="15" customHeight="1" x14ac:dyDescent="0.3">
      <c r="J9760" s="33"/>
    </row>
    <row r="9761" spans="10:10" ht="15" customHeight="1" x14ac:dyDescent="0.3">
      <c r="J9761" s="33"/>
    </row>
    <row r="9762" spans="10:10" ht="15" customHeight="1" x14ac:dyDescent="0.3">
      <c r="J9762" s="33"/>
    </row>
    <row r="9763" spans="10:10" ht="15" customHeight="1" x14ac:dyDescent="0.3">
      <c r="J9763" s="33"/>
    </row>
    <row r="9764" spans="10:10" ht="15" customHeight="1" x14ac:dyDescent="0.3">
      <c r="J9764" s="33"/>
    </row>
    <row r="9765" spans="10:10" ht="15" customHeight="1" x14ac:dyDescent="0.3">
      <c r="J9765" s="33"/>
    </row>
    <row r="9766" spans="10:10" ht="15" customHeight="1" x14ac:dyDescent="0.3">
      <c r="J9766" s="33"/>
    </row>
    <row r="9767" spans="10:10" ht="15" customHeight="1" x14ac:dyDescent="0.3">
      <c r="J9767" s="33"/>
    </row>
    <row r="9768" spans="10:10" ht="15" customHeight="1" x14ac:dyDescent="0.3">
      <c r="J9768" s="33"/>
    </row>
    <row r="9769" spans="10:10" ht="15" customHeight="1" x14ac:dyDescent="0.3">
      <c r="J9769" s="33"/>
    </row>
    <row r="9770" spans="10:10" ht="15" customHeight="1" x14ac:dyDescent="0.3">
      <c r="J9770" s="33"/>
    </row>
    <row r="9771" spans="10:10" ht="15" customHeight="1" x14ac:dyDescent="0.3">
      <c r="J9771" s="33"/>
    </row>
    <row r="9772" spans="10:10" ht="15" customHeight="1" x14ac:dyDescent="0.3">
      <c r="J9772" s="33"/>
    </row>
    <row r="9773" spans="10:10" ht="15" customHeight="1" x14ac:dyDescent="0.3">
      <c r="J9773" s="33"/>
    </row>
    <row r="9774" spans="10:10" ht="15" customHeight="1" x14ac:dyDescent="0.3">
      <c r="J9774" s="33"/>
    </row>
    <row r="9775" spans="10:10" ht="15" customHeight="1" x14ac:dyDescent="0.3">
      <c r="J9775" s="33"/>
    </row>
    <row r="9776" spans="10:10" ht="15" customHeight="1" x14ac:dyDescent="0.3">
      <c r="J9776" s="33"/>
    </row>
    <row r="9777" spans="10:10" ht="15" customHeight="1" x14ac:dyDescent="0.3">
      <c r="J9777" s="33"/>
    </row>
    <row r="9778" spans="10:10" ht="15" customHeight="1" x14ac:dyDescent="0.3">
      <c r="J9778" s="33"/>
    </row>
    <row r="9779" spans="10:10" ht="15" customHeight="1" x14ac:dyDescent="0.3">
      <c r="J9779" s="33"/>
    </row>
    <row r="9780" spans="10:10" ht="15" customHeight="1" x14ac:dyDescent="0.3">
      <c r="J9780" s="33"/>
    </row>
    <row r="9781" spans="10:10" ht="15" customHeight="1" x14ac:dyDescent="0.3">
      <c r="J9781" s="33"/>
    </row>
    <row r="9782" spans="10:10" ht="15" customHeight="1" x14ac:dyDescent="0.3">
      <c r="J9782" s="33"/>
    </row>
    <row r="9783" spans="10:10" ht="15" customHeight="1" x14ac:dyDescent="0.3">
      <c r="J9783" s="33"/>
    </row>
    <row r="9784" spans="10:10" ht="15" customHeight="1" x14ac:dyDescent="0.3">
      <c r="J9784" s="33"/>
    </row>
    <row r="9785" spans="10:10" ht="15" customHeight="1" x14ac:dyDescent="0.3">
      <c r="J9785" s="33"/>
    </row>
    <row r="9786" spans="10:10" ht="15" customHeight="1" x14ac:dyDescent="0.3">
      <c r="J9786" s="33"/>
    </row>
    <row r="9787" spans="10:10" ht="15" customHeight="1" x14ac:dyDescent="0.3">
      <c r="J9787" s="33"/>
    </row>
    <row r="9788" spans="10:10" ht="15" customHeight="1" x14ac:dyDescent="0.3">
      <c r="J9788" s="33"/>
    </row>
    <row r="9789" spans="10:10" ht="15" customHeight="1" x14ac:dyDescent="0.3">
      <c r="J9789" s="33"/>
    </row>
    <row r="9790" spans="10:10" ht="15" customHeight="1" x14ac:dyDescent="0.3">
      <c r="J9790" s="33"/>
    </row>
    <row r="9791" spans="10:10" ht="15" customHeight="1" x14ac:dyDescent="0.3">
      <c r="J9791" s="33"/>
    </row>
    <row r="9792" spans="10:10" ht="15" customHeight="1" x14ac:dyDescent="0.3">
      <c r="J9792" s="33"/>
    </row>
    <row r="9793" spans="10:10" ht="15" customHeight="1" x14ac:dyDescent="0.3">
      <c r="J9793" s="33"/>
    </row>
    <row r="9794" spans="10:10" ht="15" customHeight="1" x14ac:dyDescent="0.3">
      <c r="J9794" s="33"/>
    </row>
    <row r="9795" spans="10:10" ht="15" customHeight="1" x14ac:dyDescent="0.3">
      <c r="J9795" s="33"/>
    </row>
    <row r="9796" spans="10:10" ht="15" customHeight="1" x14ac:dyDescent="0.3">
      <c r="J9796" s="33"/>
    </row>
    <row r="9797" spans="10:10" ht="15" customHeight="1" x14ac:dyDescent="0.3">
      <c r="J9797" s="33"/>
    </row>
    <row r="9798" spans="10:10" ht="15" customHeight="1" x14ac:dyDescent="0.3">
      <c r="J9798" s="33"/>
    </row>
    <row r="9799" spans="10:10" ht="15" customHeight="1" x14ac:dyDescent="0.3">
      <c r="J9799" s="33"/>
    </row>
    <row r="9800" spans="10:10" ht="15" customHeight="1" x14ac:dyDescent="0.3">
      <c r="J9800" s="33"/>
    </row>
    <row r="9801" spans="10:10" ht="15" customHeight="1" x14ac:dyDescent="0.3">
      <c r="J9801" s="33"/>
    </row>
    <row r="9802" spans="10:10" ht="15" customHeight="1" x14ac:dyDescent="0.3">
      <c r="J9802" s="33"/>
    </row>
    <row r="9803" spans="10:10" ht="15" customHeight="1" x14ac:dyDescent="0.3">
      <c r="J9803" s="33"/>
    </row>
    <row r="9804" spans="10:10" ht="15" customHeight="1" x14ac:dyDescent="0.3">
      <c r="J9804" s="33"/>
    </row>
    <row r="9805" spans="10:10" ht="15" customHeight="1" x14ac:dyDescent="0.3">
      <c r="J9805" s="33"/>
    </row>
    <row r="9806" spans="10:10" ht="15" customHeight="1" x14ac:dyDescent="0.3">
      <c r="J9806" s="33"/>
    </row>
    <row r="9807" spans="10:10" ht="15" customHeight="1" x14ac:dyDescent="0.3">
      <c r="J9807" s="33"/>
    </row>
    <row r="9808" spans="10:10" ht="15" customHeight="1" x14ac:dyDescent="0.3">
      <c r="J9808" s="33"/>
    </row>
    <row r="9809" spans="10:10" ht="15" customHeight="1" x14ac:dyDescent="0.3">
      <c r="J9809" s="33"/>
    </row>
    <row r="9810" spans="10:10" ht="15" customHeight="1" x14ac:dyDescent="0.3">
      <c r="J9810" s="33"/>
    </row>
    <row r="9811" spans="10:10" ht="15" customHeight="1" x14ac:dyDescent="0.3">
      <c r="J9811" s="33"/>
    </row>
    <row r="9812" spans="10:10" ht="15" customHeight="1" x14ac:dyDescent="0.3">
      <c r="J9812" s="33"/>
    </row>
    <row r="9813" spans="10:10" ht="15" customHeight="1" x14ac:dyDescent="0.3">
      <c r="J9813" s="33"/>
    </row>
    <row r="9814" spans="10:10" ht="15" customHeight="1" x14ac:dyDescent="0.3">
      <c r="J9814" s="33"/>
    </row>
    <row r="9815" spans="10:10" ht="15" customHeight="1" x14ac:dyDescent="0.3">
      <c r="J9815" s="33"/>
    </row>
    <row r="9816" spans="10:10" ht="15" customHeight="1" x14ac:dyDescent="0.3">
      <c r="J9816" s="33"/>
    </row>
    <row r="9817" spans="10:10" ht="15" customHeight="1" x14ac:dyDescent="0.3">
      <c r="J9817" s="33"/>
    </row>
    <row r="9818" spans="10:10" ht="15" customHeight="1" x14ac:dyDescent="0.3">
      <c r="J9818" s="33"/>
    </row>
    <row r="9819" spans="10:10" ht="15" customHeight="1" x14ac:dyDescent="0.3">
      <c r="J9819" s="33"/>
    </row>
    <row r="9820" spans="10:10" ht="15" customHeight="1" x14ac:dyDescent="0.3">
      <c r="J9820" s="33"/>
    </row>
    <row r="9821" spans="10:10" ht="15" customHeight="1" x14ac:dyDescent="0.3">
      <c r="J9821" s="33"/>
    </row>
    <row r="9822" spans="10:10" ht="15" customHeight="1" x14ac:dyDescent="0.3">
      <c r="J9822" s="33"/>
    </row>
    <row r="9823" spans="10:10" ht="15" customHeight="1" x14ac:dyDescent="0.3">
      <c r="J9823" s="33"/>
    </row>
    <row r="9824" spans="10:10" ht="15" customHeight="1" x14ac:dyDescent="0.3">
      <c r="J9824" s="33"/>
    </row>
    <row r="9825" spans="10:10" ht="15" customHeight="1" x14ac:dyDescent="0.3">
      <c r="J9825" s="33"/>
    </row>
    <row r="9826" spans="10:10" ht="15" customHeight="1" x14ac:dyDescent="0.3">
      <c r="J9826" s="33"/>
    </row>
    <row r="9827" spans="10:10" ht="15" customHeight="1" x14ac:dyDescent="0.3">
      <c r="J9827" s="33"/>
    </row>
    <row r="9828" spans="10:10" ht="15" customHeight="1" x14ac:dyDescent="0.3">
      <c r="J9828" s="33"/>
    </row>
    <row r="9829" spans="10:10" ht="15" customHeight="1" x14ac:dyDescent="0.3">
      <c r="J9829" s="33"/>
    </row>
    <row r="9830" spans="10:10" ht="15" customHeight="1" x14ac:dyDescent="0.3">
      <c r="J9830" s="33"/>
    </row>
    <row r="9831" spans="10:10" ht="15" customHeight="1" x14ac:dyDescent="0.3">
      <c r="J9831" s="33"/>
    </row>
    <row r="9832" spans="10:10" ht="15" customHeight="1" x14ac:dyDescent="0.3">
      <c r="J9832" s="33"/>
    </row>
    <row r="9833" spans="10:10" ht="15" customHeight="1" x14ac:dyDescent="0.3">
      <c r="J9833" s="33"/>
    </row>
    <row r="9834" spans="10:10" ht="15" customHeight="1" x14ac:dyDescent="0.3">
      <c r="J9834" s="33"/>
    </row>
    <row r="9835" spans="10:10" ht="15" customHeight="1" x14ac:dyDescent="0.3">
      <c r="J9835" s="33"/>
    </row>
    <row r="9836" spans="10:10" ht="15" customHeight="1" x14ac:dyDescent="0.3">
      <c r="J9836" s="33"/>
    </row>
    <row r="9837" spans="10:10" ht="15" customHeight="1" x14ac:dyDescent="0.3">
      <c r="J9837" s="33"/>
    </row>
    <row r="9838" spans="10:10" ht="15" customHeight="1" x14ac:dyDescent="0.3">
      <c r="J9838" s="33"/>
    </row>
    <row r="9839" spans="10:10" ht="15" customHeight="1" x14ac:dyDescent="0.3">
      <c r="J9839" s="33"/>
    </row>
    <row r="9840" spans="10:10" ht="15" customHeight="1" x14ac:dyDescent="0.3">
      <c r="J9840" s="33"/>
    </row>
    <row r="9841" spans="10:10" ht="15" customHeight="1" x14ac:dyDescent="0.3">
      <c r="J9841" s="33"/>
    </row>
    <row r="9842" spans="10:10" ht="15" customHeight="1" x14ac:dyDescent="0.3">
      <c r="J9842" s="33"/>
    </row>
    <row r="9843" spans="10:10" ht="15" customHeight="1" x14ac:dyDescent="0.3">
      <c r="J9843" s="33"/>
    </row>
    <row r="9844" spans="10:10" ht="15" customHeight="1" x14ac:dyDescent="0.3">
      <c r="J9844" s="33"/>
    </row>
    <row r="9845" spans="10:10" ht="15" customHeight="1" x14ac:dyDescent="0.3">
      <c r="J9845" s="33"/>
    </row>
    <row r="9846" spans="10:10" ht="15" customHeight="1" x14ac:dyDescent="0.3">
      <c r="J9846" s="33"/>
    </row>
    <row r="9847" spans="10:10" ht="15" customHeight="1" x14ac:dyDescent="0.3">
      <c r="J9847" s="33"/>
    </row>
    <row r="9848" spans="10:10" ht="15" customHeight="1" x14ac:dyDescent="0.3">
      <c r="J9848" s="33"/>
    </row>
    <row r="9849" spans="10:10" ht="15" customHeight="1" x14ac:dyDescent="0.3">
      <c r="J9849" s="33"/>
    </row>
    <row r="9850" spans="10:10" ht="15" customHeight="1" x14ac:dyDescent="0.3">
      <c r="J9850" s="33"/>
    </row>
    <row r="9851" spans="10:10" ht="15" customHeight="1" x14ac:dyDescent="0.3">
      <c r="J9851" s="33"/>
    </row>
    <row r="9852" spans="10:10" ht="15" customHeight="1" x14ac:dyDescent="0.3">
      <c r="J9852" s="33"/>
    </row>
    <row r="9853" spans="10:10" ht="15" customHeight="1" x14ac:dyDescent="0.3">
      <c r="J9853" s="33"/>
    </row>
    <row r="9854" spans="10:10" ht="15" customHeight="1" x14ac:dyDescent="0.3">
      <c r="J9854" s="33"/>
    </row>
    <row r="9855" spans="10:10" ht="15" customHeight="1" x14ac:dyDescent="0.3">
      <c r="J9855" s="33"/>
    </row>
    <row r="9856" spans="10:10" ht="15" customHeight="1" x14ac:dyDescent="0.3">
      <c r="J9856" s="33"/>
    </row>
    <row r="9857" spans="10:10" ht="15" customHeight="1" x14ac:dyDescent="0.3">
      <c r="J9857" s="33"/>
    </row>
    <row r="9858" spans="10:10" ht="15" customHeight="1" x14ac:dyDescent="0.3">
      <c r="J9858" s="33"/>
    </row>
    <row r="9859" spans="10:10" ht="15" customHeight="1" x14ac:dyDescent="0.3">
      <c r="J9859" s="33"/>
    </row>
    <row r="9860" spans="10:10" ht="15" customHeight="1" x14ac:dyDescent="0.3">
      <c r="J9860" s="33"/>
    </row>
    <row r="9861" spans="10:10" ht="15" customHeight="1" x14ac:dyDescent="0.3">
      <c r="J9861" s="33"/>
    </row>
    <row r="9862" spans="10:10" ht="15" customHeight="1" x14ac:dyDescent="0.3">
      <c r="J9862" s="33"/>
    </row>
    <row r="9863" spans="10:10" ht="15" customHeight="1" x14ac:dyDescent="0.3">
      <c r="J9863" s="33"/>
    </row>
    <row r="9864" spans="10:10" ht="15" customHeight="1" x14ac:dyDescent="0.3">
      <c r="J9864" s="33"/>
    </row>
    <row r="9865" spans="10:10" ht="15" customHeight="1" x14ac:dyDescent="0.3">
      <c r="J9865" s="33"/>
    </row>
    <row r="9866" spans="10:10" ht="15" customHeight="1" x14ac:dyDescent="0.3">
      <c r="J9866" s="33"/>
    </row>
    <row r="9867" spans="10:10" ht="15" customHeight="1" x14ac:dyDescent="0.3">
      <c r="J9867" s="33"/>
    </row>
    <row r="9868" spans="10:10" ht="15" customHeight="1" x14ac:dyDescent="0.3">
      <c r="J9868" s="33"/>
    </row>
    <row r="9869" spans="10:10" ht="15" customHeight="1" x14ac:dyDescent="0.3">
      <c r="J9869" s="33"/>
    </row>
    <row r="9870" spans="10:10" ht="15" customHeight="1" x14ac:dyDescent="0.3">
      <c r="J9870" s="33"/>
    </row>
    <row r="9871" spans="10:10" ht="15" customHeight="1" x14ac:dyDescent="0.3">
      <c r="J9871" s="33"/>
    </row>
    <row r="9872" spans="10:10" ht="15" customHeight="1" x14ac:dyDescent="0.3">
      <c r="J9872" s="33"/>
    </row>
    <row r="9873" spans="10:10" ht="15" customHeight="1" x14ac:dyDescent="0.3">
      <c r="J9873" s="33"/>
    </row>
    <row r="9874" spans="10:10" ht="15" customHeight="1" x14ac:dyDescent="0.3">
      <c r="J9874" s="33"/>
    </row>
    <row r="9875" spans="10:10" ht="15" customHeight="1" x14ac:dyDescent="0.3">
      <c r="J9875" s="33"/>
    </row>
    <row r="9876" spans="10:10" ht="15" customHeight="1" x14ac:dyDescent="0.3">
      <c r="J9876" s="33"/>
    </row>
    <row r="9877" spans="10:10" ht="15" customHeight="1" x14ac:dyDescent="0.3">
      <c r="J9877" s="33"/>
    </row>
    <row r="9878" spans="10:10" ht="15" customHeight="1" x14ac:dyDescent="0.3">
      <c r="J9878" s="33"/>
    </row>
    <row r="9879" spans="10:10" ht="15" customHeight="1" x14ac:dyDescent="0.3">
      <c r="J9879" s="33"/>
    </row>
    <row r="9880" spans="10:10" ht="15" customHeight="1" x14ac:dyDescent="0.3">
      <c r="J9880" s="33"/>
    </row>
    <row r="9881" spans="10:10" ht="15" customHeight="1" x14ac:dyDescent="0.3">
      <c r="J9881" s="33"/>
    </row>
    <row r="9882" spans="10:10" ht="15" customHeight="1" x14ac:dyDescent="0.3">
      <c r="J9882" s="33"/>
    </row>
    <row r="9883" spans="10:10" ht="15" customHeight="1" x14ac:dyDescent="0.3">
      <c r="J9883" s="33"/>
    </row>
    <row r="9884" spans="10:10" ht="15" customHeight="1" x14ac:dyDescent="0.3">
      <c r="J9884" s="33"/>
    </row>
    <row r="9885" spans="10:10" ht="15" customHeight="1" x14ac:dyDescent="0.3">
      <c r="J9885" s="33"/>
    </row>
    <row r="9886" spans="10:10" ht="15" customHeight="1" x14ac:dyDescent="0.3">
      <c r="J9886" s="33"/>
    </row>
    <row r="9887" spans="10:10" ht="15" customHeight="1" x14ac:dyDescent="0.3">
      <c r="J9887" s="33"/>
    </row>
    <row r="9888" spans="10:10" ht="15" customHeight="1" x14ac:dyDescent="0.3">
      <c r="J9888" s="33"/>
    </row>
    <row r="9889" spans="10:10" ht="15" customHeight="1" x14ac:dyDescent="0.3">
      <c r="J9889" s="33"/>
    </row>
    <row r="9890" spans="10:10" ht="15" customHeight="1" x14ac:dyDescent="0.3">
      <c r="J9890" s="33"/>
    </row>
    <row r="9891" spans="10:10" ht="15" customHeight="1" x14ac:dyDescent="0.3">
      <c r="J9891" s="33"/>
    </row>
    <row r="9892" spans="10:10" ht="15" customHeight="1" x14ac:dyDescent="0.3">
      <c r="J9892" s="33"/>
    </row>
    <row r="9893" spans="10:10" ht="15" customHeight="1" x14ac:dyDescent="0.3">
      <c r="J9893" s="33"/>
    </row>
    <row r="9894" spans="10:10" ht="15" customHeight="1" x14ac:dyDescent="0.3">
      <c r="J9894" s="33"/>
    </row>
    <row r="9895" spans="10:10" ht="15" customHeight="1" x14ac:dyDescent="0.3">
      <c r="J9895" s="33"/>
    </row>
    <row r="9896" spans="10:10" ht="15" customHeight="1" x14ac:dyDescent="0.3">
      <c r="J9896" s="33"/>
    </row>
    <row r="9897" spans="10:10" ht="15" customHeight="1" x14ac:dyDescent="0.3">
      <c r="J9897" s="33"/>
    </row>
    <row r="9898" spans="10:10" ht="15" customHeight="1" x14ac:dyDescent="0.3">
      <c r="J9898" s="33"/>
    </row>
    <row r="9899" spans="10:10" ht="15" customHeight="1" x14ac:dyDescent="0.3">
      <c r="J9899" s="33"/>
    </row>
    <row r="9900" spans="10:10" ht="15" customHeight="1" x14ac:dyDescent="0.3">
      <c r="J9900" s="33"/>
    </row>
    <row r="9901" spans="10:10" ht="15" customHeight="1" x14ac:dyDescent="0.3">
      <c r="J9901" s="33"/>
    </row>
    <row r="9902" spans="10:10" ht="15" customHeight="1" x14ac:dyDescent="0.3">
      <c r="J9902" s="33"/>
    </row>
    <row r="9903" spans="10:10" ht="15" customHeight="1" x14ac:dyDescent="0.3">
      <c r="J9903" s="33"/>
    </row>
    <row r="9904" spans="10:10" ht="15" customHeight="1" x14ac:dyDescent="0.3">
      <c r="J9904" s="33"/>
    </row>
    <row r="9905" spans="10:10" ht="15" customHeight="1" x14ac:dyDescent="0.3">
      <c r="J9905" s="33"/>
    </row>
    <row r="9906" spans="10:10" ht="15" customHeight="1" x14ac:dyDescent="0.3">
      <c r="J9906" s="33"/>
    </row>
    <row r="9907" spans="10:10" ht="15" customHeight="1" x14ac:dyDescent="0.3">
      <c r="J9907" s="33"/>
    </row>
    <row r="9908" spans="10:10" ht="15" customHeight="1" x14ac:dyDescent="0.3">
      <c r="J9908" s="33"/>
    </row>
    <row r="9909" spans="10:10" ht="15" customHeight="1" x14ac:dyDescent="0.3">
      <c r="J9909" s="33"/>
    </row>
    <row r="9910" spans="10:10" ht="15" customHeight="1" x14ac:dyDescent="0.3">
      <c r="J9910" s="33"/>
    </row>
    <row r="9911" spans="10:10" ht="15" customHeight="1" x14ac:dyDescent="0.3">
      <c r="J9911" s="33"/>
    </row>
    <row r="9912" spans="10:10" ht="15" customHeight="1" x14ac:dyDescent="0.3">
      <c r="J9912" s="33"/>
    </row>
    <row r="9913" spans="10:10" ht="15" customHeight="1" x14ac:dyDescent="0.3">
      <c r="J9913" s="33"/>
    </row>
    <row r="9914" spans="10:10" ht="15" customHeight="1" x14ac:dyDescent="0.3">
      <c r="J9914" s="33"/>
    </row>
    <row r="9915" spans="10:10" ht="15" customHeight="1" x14ac:dyDescent="0.3">
      <c r="J9915" s="33"/>
    </row>
    <row r="9916" spans="10:10" ht="15" customHeight="1" x14ac:dyDescent="0.3">
      <c r="J9916" s="33"/>
    </row>
    <row r="9917" spans="10:10" ht="15" customHeight="1" x14ac:dyDescent="0.3">
      <c r="J9917" s="33"/>
    </row>
    <row r="9918" spans="10:10" ht="15" customHeight="1" x14ac:dyDescent="0.3">
      <c r="J9918" s="33"/>
    </row>
    <row r="9919" spans="10:10" ht="15" customHeight="1" x14ac:dyDescent="0.3">
      <c r="J9919" s="33"/>
    </row>
    <row r="9920" spans="10:10" ht="15" customHeight="1" x14ac:dyDescent="0.3">
      <c r="J9920" s="33"/>
    </row>
    <row r="9921" spans="10:10" ht="15" customHeight="1" x14ac:dyDescent="0.3">
      <c r="J9921" s="33"/>
    </row>
    <row r="9922" spans="10:10" ht="15" customHeight="1" x14ac:dyDescent="0.3">
      <c r="J9922" s="33"/>
    </row>
    <row r="9923" spans="10:10" ht="15" customHeight="1" x14ac:dyDescent="0.3">
      <c r="J9923" s="33"/>
    </row>
    <row r="9924" spans="10:10" ht="15" customHeight="1" x14ac:dyDescent="0.3">
      <c r="J9924" s="33"/>
    </row>
    <row r="9925" spans="10:10" ht="15" customHeight="1" x14ac:dyDescent="0.3">
      <c r="J9925" s="33"/>
    </row>
    <row r="9926" spans="10:10" ht="15" customHeight="1" x14ac:dyDescent="0.3">
      <c r="J9926" s="33"/>
    </row>
    <row r="9927" spans="10:10" ht="15" customHeight="1" x14ac:dyDescent="0.3">
      <c r="J9927" s="33"/>
    </row>
    <row r="9928" spans="10:10" ht="15" customHeight="1" x14ac:dyDescent="0.3">
      <c r="J9928" s="33"/>
    </row>
    <row r="9929" spans="10:10" ht="15" customHeight="1" x14ac:dyDescent="0.3">
      <c r="J9929" s="33"/>
    </row>
    <row r="9930" spans="10:10" ht="15" customHeight="1" x14ac:dyDescent="0.3">
      <c r="J9930" s="33"/>
    </row>
    <row r="9931" spans="10:10" ht="15" customHeight="1" x14ac:dyDescent="0.3">
      <c r="J9931" s="33"/>
    </row>
    <row r="9932" spans="10:10" ht="15" customHeight="1" x14ac:dyDescent="0.3">
      <c r="J9932" s="33"/>
    </row>
    <row r="9933" spans="10:10" ht="15" customHeight="1" x14ac:dyDescent="0.3">
      <c r="J9933" s="33"/>
    </row>
    <row r="9934" spans="10:10" ht="15" customHeight="1" x14ac:dyDescent="0.3">
      <c r="J9934" s="33"/>
    </row>
    <row r="9935" spans="10:10" ht="15" customHeight="1" x14ac:dyDescent="0.3">
      <c r="J9935" s="33"/>
    </row>
    <row r="9936" spans="10:10" ht="15" customHeight="1" x14ac:dyDescent="0.3">
      <c r="J9936" s="33"/>
    </row>
    <row r="9937" spans="10:10" ht="15" customHeight="1" x14ac:dyDescent="0.3">
      <c r="J9937" s="33"/>
    </row>
    <row r="9938" spans="10:10" ht="15" customHeight="1" x14ac:dyDescent="0.3">
      <c r="J9938" s="33"/>
    </row>
    <row r="9939" spans="10:10" ht="15" customHeight="1" x14ac:dyDescent="0.3">
      <c r="J9939" s="33"/>
    </row>
    <row r="9940" spans="10:10" ht="15" customHeight="1" x14ac:dyDescent="0.3">
      <c r="J9940" s="33"/>
    </row>
    <row r="9941" spans="10:10" ht="15" customHeight="1" x14ac:dyDescent="0.3">
      <c r="J9941" s="33"/>
    </row>
    <row r="9942" spans="10:10" ht="15" customHeight="1" x14ac:dyDescent="0.3">
      <c r="J9942" s="33"/>
    </row>
    <row r="9943" spans="10:10" ht="15" customHeight="1" x14ac:dyDescent="0.3">
      <c r="J9943" s="33"/>
    </row>
    <row r="9944" spans="10:10" ht="15" customHeight="1" x14ac:dyDescent="0.3">
      <c r="J9944" s="33"/>
    </row>
    <row r="9945" spans="10:10" ht="15" customHeight="1" x14ac:dyDescent="0.3">
      <c r="J9945" s="33"/>
    </row>
    <row r="9946" spans="10:10" ht="15" customHeight="1" x14ac:dyDescent="0.3">
      <c r="J9946" s="33"/>
    </row>
    <row r="9947" spans="10:10" ht="15" customHeight="1" x14ac:dyDescent="0.3">
      <c r="J9947" s="33"/>
    </row>
    <row r="9948" spans="10:10" ht="15" customHeight="1" x14ac:dyDescent="0.3">
      <c r="J9948" s="33"/>
    </row>
    <row r="9949" spans="10:10" ht="15" customHeight="1" x14ac:dyDescent="0.3">
      <c r="J9949" s="33"/>
    </row>
    <row r="9950" spans="10:10" ht="15" customHeight="1" x14ac:dyDescent="0.3">
      <c r="J9950" s="33"/>
    </row>
    <row r="9951" spans="10:10" ht="15" customHeight="1" x14ac:dyDescent="0.3">
      <c r="J9951" s="33"/>
    </row>
    <row r="9952" spans="10:10" ht="15" customHeight="1" x14ac:dyDescent="0.3">
      <c r="J9952" s="33"/>
    </row>
    <row r="9953" spans="10:10" ht="15" customHeight="1" x14ac:dyDescent="0.3">
      <c r="J9953" s="33"/>
    </row>
    <row r="9954" spans="10:10" ht="15" customHeight="1" x14ac:dyDescent="0.3">
      <c r="J9954" s="33"/>
    </row>
    <row r="9955" spans="10:10" ht="15" customHeight="1" x14ac:dyDescent="0.3">
      <c r="J9955" s="33"/>
    </row>
    <row r="9956" spans="10:10" ht="15" customHeight="1" x14ac:dyDescent="0.3">
      <c r="J9956" s="33"/>
    </row>
    <row r="9957" spans="10:10" ht="15" customHeight="1" x14ac:dyDescent="0.3">
      <c r="J9957" s="33"/>
    </row>
    <row r="9958" spans="10:10" ht="15" customHeight="1" x14ac:dyDescent="0.3">
      <c r="J9958" s="33"/>
    </row>
    <row r="9959" spans="10:10" ht="15" customHeight="1" x14ac:dyDescent="0.3">
      <c r="J9959" s="33"/>
    </row>
    <row r="9960" spans="10:10" ht="15" customHeight="1" x14ac:dyDescent="0.3">
      <c r="J9960" s="33"/>
    </row>
    <row r="9961" spans="10:10" ht="15" customHeight="1" x14ac:dyDescent="0.3">
      <c r="J9961" s="33"/>
    </row>
    <row r="9962" spans="10:10" ht="15" customHeight="1" x14ac:dyDescent="0.3">
      <c r="J9962" s="33"/>
    </row>
    <row r="9963" spans="10:10" ht="15" customHeight="1" x14ac:dyDescent="0.3">
      <c r="J9963" s="33"/>
    </row>
    <row r="9964" spans="10:10" ht="15" customHeight="1" x14ac:dyDescent="0.3">
      <c r="J9964" s="33"/>
    </row>
    <row r="9965" spans="10:10" ht="15" customHeight="1" x14ac:dyDescent="0.3">
      <c r="J9965" s="33"/>
    </row>
    <row r="9966" spans="10:10" ht="15" customHeight="1" x14ac:dyDescent="0.3">
      <c r="J9966" s="33"/>
    </row>
    <row r="9967" spans="10:10" ht="15" customHeight="1" x14ac:dyDescent="0.3">
      <c r="J9967" s="33"/>
    </row>
    <row r="9968" spans="10:10" ht="15" customHeight="1" x14ac:dyDescent="0.3">
      <c r="J9968" s="33"/>
    </row>
    <row r="9969" spans="10:10" ht="15" customHeight="1" x14ac:dyDescent="0.3">
      <c r="J9969" s="33"/>
    </row>
    <row r="9970" spans="10:10" ht="15" customHeight="1" x14ac:dyDescent="0.3">
      <c r="J9970" s="33"/>
    </row>
    <row r="9971" spans="10:10" ht="15" customHeight="1" x14ac:dyDescent="0.3">
      <c r="J9971" s="33"/>
    </row>
    <row r="9972" spans="10:10" ht="15" customHeight="1" x14ac:dyDescent="0.3">
      <c r="J9972" s="33"/>
    </row>
    <row r="9973" spans="10:10" ht="15" customHeight="1" x14ac:dyDescent="0.3">
      <c r="J9973" s="33"/>
    </row>
    <row r="9974" spans="10:10" ht="15" customHeight="1" x14ac:dyDescent="0.3">
      <c r="J9974" s="33"/>
    </row>
    <row r="9975" spans="10:10" ht="15" customHeight="1" x14ac:dyDescent="0.3">
      <c r="J9975" s="33"/>
    </row>
    <row r="9976" spans="10:10" ht="15" customHeight="1" x14ac:dyDescent="0.3">
      <c r="J9976" s="33"/>
    </row>
    <row r="9977" spans="10:10" ht="15" customHeight="1" x14ac:dyDescent="0.3">
      <c r="J9977" s="33"/>
    </row>
    <row r="9978" spans="10:10" ht="15" customHeight="1" x14ac:dyDescent="0.3">
      <c r="J9978" s="33"/>
    </row>
    <row r="9979" spans="10:10" ht="15" customHeight="1" x14ac:dyDescent="0.3">
      <c r="J9979" s="33"/>
    </row>
    <row r="9980" spans="10:10" ht="15" customHeight="1" x14ac:dyDescent="0.3">
      <c r="J9980" s="33"/>
    </row>
    <row r="9981" spans="10:10" ht="15" customHeight="1" x14ac:dyDescent="0.3">
      <c r="J9981" s="33"/>
    </row>
    <row r="9982" spans="10:10" ht="15" customHeight="1" x14ac:dyDescent="0.3">
      <c r="J9982" s="33"/>
    </row>
    <row r="9983" spans="10:10" ht="15" customHeight="1" x14ac:dyDescent="0.3">
      <c r="J9983" s="33"/>
    </row>
    <row r="9984" spans="10:10" ht="15" customHeight="1" x14ac:dyDescent="0.3">
      <c r="J9984" s="33"/>
    </row>
    <row r="9985" spans="10:10" ht="15" customHeight="1" x14ac:dyDescent="0.3">
      <c r="J9985" s="33"/>
    </row>
    <row r="9986" spans="10:10" ht="15" customHeight="1" x14ac:dyDescent="0.3">
      <c r="J9986" s="33"/>
    </row>
    <row r="9987" spans="10:10" ht="15" customHeight="1" x14ac:dyDescent="0.3">
      <c r="J9987" s="33"/>
    </row>
    <row r="9988" spans="10:10" ht="15" customHeight="1" x14ac:dyDescent="0.3">
      <c r="J9988" s="33"/>
    </row>
    <row r="9989" spans="10:10" ht="15" customHeight="1" x14ac:dyDescent="0.3">
      <c r="J9989" s="33"/>
    </row>
    <row r="9990" spans="10:10" ht="15" customHeight="1" x14ac:dyDescent="0.3">
      <c r="J9990" s="33"/>
    </row>
    <row r="9991" spans="10:10" ht="15" customHeight="1" x14ac:dyDescent="0.3">
      <c r="J9991" s="33"/>
    </row>
    <row r="9992" spans="10:10" ht="15" customHeight="1" x14ac:dyDescent="0.3">
      <c r="J9992" s="33"/>
    </row>
    <row r="9993" spans="10:10" ht="15" customHeight="1" x14ac:dyDescent="0.3">
      <c r="J9993" s="33"/>
    </row>
    <row r="9994" spans="10:10" ht="15" customHeight="1" x14ac:dyDescent="0.3">
      <c r="J9994" s="33"/>
    </row>
    <row r="9995" spans="10:10" ht="15" customHeight="1" x14ac:dyDescent="0.3">
      <c r="J9995" s="33"/>
    </row>
    <row r="9996" spans="10:10" ht="15" customHeight="1" x14ac:dyDescent="0.3">
      <c r="J9996" s="33"/>
    </row>
    <row r="9997" spans="10:10" ht="15" customHeight="1" x14ac:dyDescent="0.3">
      <c r="J9997" s="33"/>
    </row>
    <row r="9998" spans="10:10" ht="15" customHeight="1" x14ac:dyDescent="0.3">
      <c r="J9998" s="33"/>
    </row>
    <row r="9999" spans="10:10" ht="15" customHeight="1" x14ac:dyDescent="0.3">
      <c r="J9999" s="33"/>
    </row>
    <row r="10000" spans="10:10" ht="15" customHeight="1" x14ac:dyDescent="0.3">
      <c r="J10000" s="33"/>
    </row>
    <row r="10001" spans="10:10" ht="15" customHeight="1" x14ac:dyDescent="0.3">
      <c r="J10001" s="33"/>
    </row>
    <row r="10002" spans="10:10" ht="15" customHeight="1" x14ac:dyDescent="0.3">
      <c r="J10002" s="33"/>
    </row>
    <row r="10003" spans="10:10" ht="15" customHeight="1" x14ac:dyDescent="0.3">
      <c r="J10003" s="33"/>
    </row>
    <row r="10004" spans="10:10" ht="15" customHeight="1" x14ac:dyDescent="0.3">
      <c r="J10004" s="33"/>
    </row>
    <row r="10005" spans="10:10" ht="15" customHeight="1" x14ac:dyDescent="0.3">
      <c r="J10005" s="33"/>
    </row>
    <row r="10006" spans="10:10" ht="15" customHeight="1" x14ac:dyDescent="0.3">
      <c r="J10006" s="33"/>
    </row>
    <row r="10007" spans="10:10" ht="15" customHeight="1" x14ac:dyDescent="0.3">
      <c r="J10007" s="33"/>
    </row>
    <row r="10008" spans="10:10" ht="15" customHeight="1" x14ac:dyDescent="0.3">
      <c r="J10008" s="33"/>
    </row>
    <row r="10009" spans="10:10" ht="15" customHeight="1" x14ac:dyDescent="0.3">
      <c r="J10009" s="33"/>
    </row>
    <row r="10010" spans="10:10" ht="15" customHeight="1" x14ac:dyDescent="0.3">
      <c r="J10010" s="33"/>
    </row>
    <row r="10011" spans="10:10" ht="15" customHeight="1" x14ac:dyDescent="0.3">
      <c r="J10011" s="33"/>
    </row>
    <row r="10012" spans="10:10" ht="15" customHeight="1" x14ac:dyDescent="0.3">
      <c r="J10012" s="33"/>
    </row>
    <row r="10013" spans="10:10" ht="15" customHeight="1" x14ac:dyDescent="0.3">
      <c r="J10013" s="33"/>
    </row>
    <row r="10014" spans="10:10" ht="15" customHeight="1" x14ac:dyDescent="0.3">
      <c r="J10014" s="33"/>
    </row>
    <row r="10015" spans="10:10" ht="15" customHeight="1" x14ac:dyDescent="0.3">
      <c r="J10015" s="33"/>
    </row>
    <row r="10016" spans="10:10" ht="15" customHeight="1" x14ac:dyDescent="0.3">
      <c r="J10016" s="33"/>
    </row>
    <row r="10017" spans="10:10" ht="15" customHeight="1" x14ac:dyDescent="0.3">
      <c r="J10017" s="33"/>
    </row>
    <row r="10018" spans="10:10" ht="15" customHeight="1" x14ac:dyDescent="0.3">
      <c r="J10018" s="33"/>
    </row>
    <row r="10019" spans="10:10" ht="15" customHeight="1" x14ac:dyDescent="0.3">
      <c r="J10019" s="33"/>
    </row>
    <row r="10020" spans="10:10" ht="15" customHeight="1" x14ac:dyDescent="0.3">
      <c r="J10020" s="33"/>
    </row>
    <row r="10021" spans="10:10" ht="15" customHeight="1" x14ac:dyDescent="0.3">
      <c r="J10021" s="33"/>
    </row>
    <row r="10022" spans="10:10" ht="15" customHeight="1" x14ac:dyDescent="0.3">
      <c r="J10022" s="33"/>
    </row>
    <row r="10023" spans="10:10" ht="15" customHeight="1" x14ac:dyDescent="0.3">
      <c r="J10023" s="33"/>
    </row>
    <row r="10024" spans="10:10" ht="15" customHeight="1" x14ac:dyDescent="0.3">
      <c r="J10024" s="33"/>
    </row>
    <row r="10025" spans="10:10" ht="15" customHeight="1" x14ac:dyDescent="0.3">
      <c r="J10025" s="33"/>
    </row>
    <row r="10026" spans="10:10" ht="15" customHeight="1" x14ac:dyDescent="0.3">
      <c r="J10026" s="33"/>
    </row>
    <row r="10027" spans="10:10" ht="15" customHeight="1" x14ac:dyDescent="0.3">
      <c r="J10027" s="33"/>
    </row>
    <row r="10028" spans="10:10" ht="15" customHeight="1" x14ac:dyDescent="0.3">
      <c r="J10028" s="33"/>
    </row>
    <row r="10029" spans="10:10" ht="15" customHeight="1" x14ac:dyDescent="0.3">
      <c r="J10029" s="33"/>
    </row>
    <row r="10030" spans="10:10" ht="15" customHeight="1" x14ac:dyDescent="0.3">
      <c r="J10030" s="33"/>
    </row>
    <row r="10031" spans="10:10" ht="15" customHeight="1" x14ac:dyDescent="0.3">
      <c r="J10031" s="33"/>
    </row>
    <row r="10032" spans="10:10" ht="15" customHeight="1" x14ac:dyDescent="0.3">
      <c r="J10032" s="33"/>
    </row>
    <row r="10033" spans="10:10" ht="15" customHeight="1" x14ac:dyDescent="0.3">
      <c r="J10033" s="33"/>
    </row>
    <row r="10034" spans="10:10" ht="15" customHeight="1" x14ac:dyDescent="0.3">
      <c r="J10034" s="33"/>
    </row>
    <row r="10035" spans="10:10" ht="15" customHeight="1" x14ac:dyDescent="0.3">
      <c r="J10035" s="33"/>
    </row>
    <row r="10036" spans="10:10" ht="15" customHeight="1" x14ac:dyDescent="0.3">
      <c r="J10036" s="33"/>
    </row>
    <row r="10037" spans="10:10" ht="15" customHeight="1" x14ac:dyDescent="0.3">
      <c r="J10037" s="33"/>
    </row>
    <row r="10038" spans="10:10" ht="15" customHeight="1" x14ac:dyDescent="0.3">
      <c r="J10038" s="33"/>
    </row>
    <row r="10039" spans="10:10" ht="15" customHeight="1" x14ac:dyDescent="0.3">
      <c r="J10039" s="33"/>
    </row>
    <row r="10040" spans="10:10" ht="15" customHeight="1" x14ac:dyDescent="0.3">
      <c r="J10040" s="33"/>
    </row>
    <row r="10041" spans="10:10" ht="15" customHeight="1" x14ac:dyDescent="0.3">
      <c r="J10041" s="33"/>
    </row>
    <row r="10042" spans="10:10" ht="15" customHeight="1" x14ac:dyDescent="0.3">
      <c r="J10042" s="33"/>
    </row>
    <row r="10043" spans="10:10" ht="15" customHeight="1" x14ac:dyDescent="0.3">
      <c r="J10043" s="33"/>
    </row>
    <row r="10044" spans="10:10" ht="15" customHeight="1" x14ac:dyDescent="0.3">
      <c r="J10044" s="33"/>
    </row>
    <row r="10045" spans="10:10" ht="15" customHeight="1" x14ac:dyDescent="0.3">
      <c r="J10045" s="33"/>
    </row>
    <row r="10046" spans="10:10" ht="15" customHeight="1" x14ac:dyDescent="0.3">
      <c r="J10046" s="33"/>
    </row>
    <row r="10047" spans="10:10" ht="15" customHeight="1" x14ac:dyDescent="0.3">
      <c r="J10047" s="33"/>
    </row>
    <row r="10048" spans="10:10" ht="15" customHeight="1" x14ac:dyDescent="0.3">
      <c r="J10048" s="33"/>
    </row>
    <row r="10049" spans="10:10" ht="15" customHeight="1" x14ac:dyDescent="0.3">
      <c r="J10049" s="33"/>
    </row>
    <row r="10050" spans="10:10" ht="15" customHeight="1" x14ac:dyDescent="0.3">
      <c r="J10050" s="33"/>
    </row>
    <row r="10051" spans="10:10" ht="15" customHeight="1" x14ac:dyDescent="0.3">
      <c r="J10051" s="33"/>
    </row>
    <row r="10052" spans="10:10" ht="15" customHeight="1" x14ac:dyDescent="0.3">
      <c r="J10052" s="33"/>
    </row>
    <row r="10053" spans="10:10" ht="15" customHeight="1" x14ac:dyDescent="0.3">
      <c r="J10053" s="33"/>
    </row>
    <row r="10054" spans="10:10" ht="15" customHeight="1" x14ac:dyDescent="0.3">
      <c r="J10054" s="33"/>
    </row>
    <row r="10055" spans="10:10" ht="15" customHeight="1" x14ac:dyDescent="0.3">
      <c r="J10055" s="33"/>
    </row>
    <row r="10056" spans="10:10" ht="15" customHeight="1" x14ac:dyDescent="0.3">
      <c r="J10056" s="33"/>
    </row>
    <row r="10057" spans="10:10" ht="15" customHeight="1" x14ac:dyDescent="0.3">
      <c r="J10057" s="33"/>
    </row>
    <row r="10058" spans="10:10" ht="15" customHeight="1" x14ac:dyDescent="0.3">
      <c r="J10058" s="33"/>
    </row>
    <row r="10059" spans="10:10" ht="15" customHeight="1" x14ac:dyDescent="0.3">
      <c r="J10059" s="33"/>
    </row>
    <row r="10060" spans="10:10" ht="15" customHeight="1" x14ac:dyDescent="0.3">
      <c r="J10060" s="33"/>
    </row>
    <row r="10061" spans="10:10" ht="15" customHeight="1" x14ac:dyDescent="0.3">
      <c r="J10061" s="33"/>
    </row>
    <row r="10062" spans="10:10" ht="15" customHeight="1" x14ac:dyDescent="0.3">
      <c r="J10062" s="33"/>
    </row>
    <row r="10063" spans="10:10" ht="15" customHeight="1" x14ac:dyDescent="0.3">
      <c r="J10063" s="33"/>
    </row>
    <row r="10064" spans="10:10" ht="15" customHeight="1" x14ac:dyDescent="0.3">
      <c r="J10064" s="33"/>
    </row>
    <row r="10065" spans="10:10" ht="15" customHeight="1" x14ac:dyDescent="0.3">
      <c r="J10065" s="33"/>
    </row>
    <row r="10066" spans="10:10" ht="15" customHeight="1" x14ac:dyDescent="0.3">
      <c r="J10066" s="33"/>
    </row>
    <row r="10067" spans="10:10" ht="15" customHeight="1" x14ac:dyDescent="0.3">
      <c r="J10067" s="33"/>
    </row>
    <row r="10068" spans="10:10" ht="15" customHeight="1" x14ac:dyDescent="0.3">
      <c r="J10068" s="33"/>
    </row>
    <row r="10069" spans="10:10" ht="15" customHeight="1" x14ac:dyDescent="0.3">
      <c r="J10069" s="33"/>
    </row>
    <row r="10070" spans="10:10" ht="15" customHeight="1" x14ac:dyDescent="0.3">
      <c r="J10070" s="33"/>
    </row>
    <row r="10071" spans="10:10" ht="15" customHeight="1" x14ac:dyDescent="0.3">
      <c r="J10071" s="33"/>
    </row>
    <row r="10072" spans="10:10" ht="15" customHeight="1" x14ac:dyDescent="0.3">
      <c r="J10072" s="33"/>
    </row>
    <row r="10073" spans="10:10" ht="15" customHeight="1" x14ac:dyDescent="0.3">
      <c r="J10073" s="33"/>
    </row>
    <row r="10074" spans="10:10" ht="15" customHeight="1" x14ac:dyDescent="0.3">
      <c r="J10074" s="33"/>
    </row>
    <row r="10075" spans="10:10" ht="15" customHeight="1" x14ac:dyDescent="0.3">
      <c r="J10075" s="33"/>
    </row>
    <row r="10076" spans="10:10" ht="15" customHeight="1" x14ac:dyDescent="0.3">
      <c r="J10076" s="33"/>
    </row>
    <row r="10077" spans="10:10" ht="15" customHeight="1" x14ac:dyDescent="0.3">
      <c r="J10077" s="33"/>
    </row>
    <row r="10078" spans="10:10" ht="15" customHeight="1" x14ac:dyDescent="0.3">
      <c r="J10078" s="33"/>
    </row>
    <row r="10079" spans="10:10" ht="15" customHeight="1" x14ac:dyDescent="0.3">
      <c r="J10079" s="33"/>
    </row>
    <row r="10080" spans="10:10" ht="15" customHeight="1" x14ac:dyDescent="0.3">
      <c r="J10080" s="33"/>
    </row>
    <row r="10081" spans="10:10" ht="15" customHeight="1" x14ac:dyDescent="0.3">
      <c r="J10081" s="33"/>
    </row>
    <row r="10082" spans="10:10" ht="15" customHeight="1" x14ac:dyDescent="0.3">
      <c r="J10082" s="33"/>
    </row>
    <row r="10083" spans="10:10" ht="15" customHeight="1" x14ac:dyDescent="0.3">
      <c r="J10083" s="33"/>
    </row>
    <row r="10084" spans="10:10" ht="15" customHeight="1" x14ac:dyDescent="0.3">
      <c r="J10084" s="33"/>
    </row>
    <row r="10085" spans="10:10" ht="15" customHeight="1" x14ac:dyDescent="0.3">
      <c r="J10085" s="33"/>
    </row>
    <row r="10086" spans="10:10" ht="15" customHeight="1" x14ac:dyDescent="0.3">
      <c r="J10086" s="33"/>
    </row>
    <row r="10087" spans="10:10" ht="15" customHeight="1" x14ac:dyDescent="0.3">
      <c r="J10087" s="33"/>
    </row>
    <row r="10088" spans="10:10" ht="15" customHeight="1" x14ac:dyDescent="0.3">
      <c r="J10088" s="33"/>
    </row>
    <row r="10089" spans="10:10" ht="15" customHeight="1" x14ac:dyDescent="0.3">
      <c r="J10089" s="33"/>
    </row>
    <row r="10090" spans="10:10" ht="15" customHeight="1" x14ac:dyDescent="0.3">
      <c r="J10090" s="33"/>
    </row>
    <row r="10091" spans="10:10" ht="15" customHeight="1" x14ac:dyDescent="0.3">
      <c r="J10091" s="33"/>
    </row>
    <row r="10092" spans="10:10" ht="15" customHeight="1" x14ac:dyDescent="0.3">
      <c r="J10092" s="33"/>
    </row>
    <row r="10093" spans="10:10" ht="15" customHeight="1" x14ac:dyDescent="0.3">
      <c r="J10093" s="33"/>
    </row>
    <row r="10094" spans="10:10" ht="15" customHeight="1" x14ac:dyDescent="0.3">
      <c r="J10094" s="33"/>
    </row>
    <row r="10095" spans="10:10" ht="15" customHeight="1" x14ac:dyDescent="0.3">
      <c r="J10095" s="33"/>
    </row>
    <row r="10096" spans="10:10" ht="15" customHeight="1" x14ac:dyDescent="0.3">
      <c r="J10096" s="33"/>
    </row>
    <row r="10097" spans="10:10" ht="15" customHeight="1" x14ac:dyDescent="0.3">
      <c r="J10097" s="33"/>
    </row>
    <row r="10098" spans="10:10" ht="15" customHeight="1" x14ac:dyDescent="0.3">
      <c r="J10098" s="33"/>
    </row>
    <row r="10099" spans="10:10" ht="15" customHeight="1" x14ac:dyDescent="0.3">
      <c r="J10099" s="33"/>
    </row>
    <row r="10100" spans="10:10" ht="15" customHeight="1" x14ac:dyDescent="0.3">
      <c r="J10100" s="33"/>
    </row>
    <row r="10101" spans="10:10" ht="15" customHeight="1" x14ac:dyDescent="0.3">
      <c r="J10101" s="33"/>
    </row>
    <row r="10102" spans="10:10" ht="15" customHeight="1" x14ac:dyDescent="0.3">
      <c r="J10102" s="33"/>
    </row>
    <row r="10103" spans="10:10" ht="15" customHeight="1" x14ac:dyDescent="0.3">
      <c r="J10103" s="33"/>
    </row>
    <row r="10104" spans="10:10" ht="15" customHeight="1" x14ac:dyDescent="0.3">
      <c r="J10104" s="33"/>
    </row>
    <row r="10105" spans="10:10" ht="15" customHeight="1" x14ac:dyDescent="0.3">
      <c r="J10105" s="33"/>
    </row>
    <row r="10106" spans="10:10" ht="15" customHeight="1" x14ac:dyDescent="0.3">
      <c r="J10106" s="33"/>
    </row>
    <row r="10107" spans="10:10" ht="15" customHeight="1" x14ac:dyDescent="0.3">
      <c r="J10107" s="33"/>
    </row>
    <row r="10108" spans="10:10" ht="15" customHeight="1" x14ac:dyDescent="0.3">
      <c r="J10108" s="33"/>
    </row>
    <row r="10109" spans="10:10" ht="15" customHeight="1" x14ac:dyDescent="0.3">
      <c r="J10109" s="33"/>
    </row>
    <row r="10110" spans="10:10" ht="15" customHeight="1" x14ac:dyDescent="0.3">
      <c r="J10110" s="33"/>
    </row>
    <row r="10111" spans="10:10" ht="15" customHeight="1" x14ac:dyDescent="0.3">
      <c r="J10111" s="33"/>
    </row>
    <row r="10112" spans="10:10" ht="15" customHeight="1" x14ac:dyDescent="0.3">
      <c r="J10112" s="33"/>
    </row>
    <row r="10113" spans="10:10" ht="15" customHeight="1" x14ac:dyDescent="0.3">
      <c r="J10113" s="33"/>
    </row>
    <row r="10114" spans="10:10" ht="15" customHeight="1" x14ac:dyDescent="0.3">
      <c r="J10114" s="33"/>
    </row>
    <row r="10115" spans="10:10" ht="15" customHeight="1" x14ac:dyDescent="0.3">
      <c r="J10115" s="33"/>
    </row>
    <row r="10116" spans="10:10" ht="15" customHeight="1" x14ac:dyDescent="0.3">
      <c r="J10116" s="33"/>
    </row>
    <row r="10117" spans="10:10" ht="15" customHeight="1" x14ac:dyDescent="0.3">
      <c r="J10117" s="33"/>
    </row>
    <row r="10118" spans="10:10" ht="15" customHeight="1" x14ac:dyDescent="0.3">
      <c r="J10118" s="33"/>
    </row>
    <row r="10119" spans="10:10" ht="15" customHeight="1" x14ac:dyDescent="0.3">
      <c r="J10119" s="33"/>
    </row>
    <row r="10120" spans="10:10" ht="15" customHeight="1" x14ac:dyDescent="0.3">
      <c r="J10120" s="33"/>
    </row>
    <row r="10121" spans="10:10" ht="15" customHeight="1" x14ac:dyDescent="0.3">
      <c r="J10121" s="33"/>
    </row>
    <row r="10122" spans="10:10" ht="15" customHeight="1" x14ac:dyDescent="0.3">
      <c r="J10122" s="33"/>
    </row>
    <row r="10123" spans="10:10" ht="15" customHeight="1" x14ac:dyDescent="0.3">
      <c r="J10123" s="33"/>
    </row>
    <row r="10124" spans="10:10" ht="15" customHeight="1" x14ac:dyDescent="0.3">
      <c r="J10124" s="33"/>
    </row>
    <row r="10125" spans="10:10" ht="15" customHeight="1" x14ac:dyDescent="0.3">
      <c r="J10125" s="33"/>
    </row>
    <row r="10126" spans="10:10" ht="15" customHeight="1" x14ac:dyDescent="0.3">
      <c r="J10126" s="33"/>
    </row>
    <row r="10127" spans="10:10" ht="15" customHeight="1" x14ac:dyDescent="0.3">
      <c r="J10127" s="33"/>
    </row>
    <row r="10128" spans="10:10" ht="15" customHeight="1" x14ac:dyDescent="0.3">
      <c r="J10128" s="33"/>
    </row>
    <row r="10129" spans="10:10" ht="15" customHeight="1" x14ac:dyDescent="0.3">
      <c r="J10129" s="33"/>
    </row>
    <row r="10130" spans="10:10" ht="15" customHeight="1" x14ac:dyDescent="0.3">
      <c r="J10130" s="33"/>
    </row>
    <row r="10131" spans="10:10" ht="15" customHeight="1" x14ac:dyDescent="0.3">
      <c r="J10131" s="33"/>
    </row>
    <row r="10132" spans="10:10" ht="15" customHeight="1" x14ac:dyDescent="0.3">
      <c r="J10132" s="33"/>
    </row>
    <row r="10133" spans="10:10" ht="15" customHeight="1" x14ac:dyDescent="0.3">
      <c r="J10133" s="33"/>
    </row>
    <row r="10134" spans="10:10" ht="15" customHeight="1" x14ac:dyDescent="0.3">
      <c r="J10134" s="33"/>
    </row>
    <row r="10135" spans="10:10" ht="15" customHeight="1" x14ac:dyDescent="0.3">
      <c r="J10135" s="33"/>
    </row>
    <row r="10136" spans="10:10" ht="15" customHeight="1" x14ac:dyDescent="0.3">
      <c r="J10136" s="33"/>
    </row>
    <row r="10137" spans="10:10" ht="15" customHeight="1" x14ac:dyDescent="0.3">
      <c r="J10137" s="33"/>
    </row>
    <row r="10138" spans="10:10" ht="15" customHeight="1" x14ac:dyDescent="0.3">
      <c r="J10138" s="33"/>
    </row>
    <row r="10139" spans="10:10" ht="15" customHeight="1" x14ac:dyDescent="0.3">
      <c r="J10139" s="33"/>
    </row>
    <row r="10140" spans="10:10" ht="15" customHeight="1" x14ac:dyDescent="0.3">
      <c r="J10140" s="33"/>
    </row>
    <row r="10141" spans="10:10" ht="15" customHeight="1" x14ac:dyDescent="0.3">
      <c r="J10141" s="33"/>
    </row>
    <row r="10142" spans="10:10" ht="15" customHeight="1" x14ac:dyDescent="0.3">
      <c r="J10142" s="33"/>
    </row>
    <row r="10143" spans="10:10" ht="15" customHeight="1" x14ac:dyDescent="0.3">
      <c r="J10143" s="33"/>
    </row>
    <row r="10144" spans="10:10" ht="15" customHeight="1" x14ac:dyDescent="0.3">
      <c r="J10144" s="33"/>
    </row>
    <row r="10145" spans="10:10" ht="15" customHeight="1" x14ac:dyDescent="0.3">
      <c r="J10145" s="33"/>
    </row>
    <row r="10146" spans="10:10" ht="15" customHeight="1" x14ac:dyDescent="0.3">
      <c r="J10146" s="33"/>
    </row>
    <row r="10147" spans="10:10" ht="15" customHeight="1" x14ac:dyDescent="0.3">
      <c r="J10147" s="33"/>
    </row>
    <row r="10148" spans="10:10" ht="15" customHeight="1" x14ac:dyDescent="0.3">
      <c r="J10148" s="33"/>
    </row>
    <row r="10149" spans="10:10" ht="15" customHeight="1" x14ac:dyDescent="0.3">
      <c r="J10149" s="33"/>
    </row>
    <row r="10150" spans="10:10" ht="15" customHeight="1" x14ac:dyDescent="0.3">
      <c r="J10150" s="33"/>
    </row>
    <row r="10151" spans="10:10" ht="15" customHeight="1" x14ac:dyDescent="0.3">
      <c r="J10151" s="33"/>
    </row>
    <row r="10152" spans="10:10" ht="15" customHeight="1" x14ac:dyDescent="0.3">
      <c r="J10152" s="33"/>
    </row>
    <row r="10153" spans="10:10" ht="15" customHeight="1" x14ac:dyDescent="0.3">
      <c r="J10153" s="33"/>
    </row>
    <row r="10154" spans="10:10" ht="15" customHeight="1" x14ac:dyDescent="0.3">
      <c r="J10154" s="33"/>
    </row>
    <row r="10155" spans="10:10" ht="15" customHeight="1" x14ac:dyDescent="0.3">
      <c r="J10155" s="33"/>
    </row>
    <row r="10156" spans="10:10" ht="15" customHeight="1" x14ac:dyDescent="0.3">
      <c r="J10156" s="33"/>
    </row>
    <row r="10157" spans="10:10" ht="15" customHeight="1" x14ac:dyDescent="0.3">
      <c r="J10157" s="33"/>
    </row>
    <row r="10158" spans="10:10" ht="15" customHeight="1" x14ac:dyDescent="0.3">
      <c r="J10158" s="33"/>
    </row>
    <row r="10159" spans="10:10" ht="15" customHeight="1" x14ac:dyDescent="0.3">
      <c r="J10159" s="33"/>
    </row>
    <row r="10160" spans="10:10" ht="15" customHeight="1" x14ac:dyDescent="0.3">
      <c r="J10160" s="33"/>
    </row>
    <row r="10161" spans="10:10" ht="15" customHeight="1" x14ac:dyDescent="0.3">
      <c r="J10161" s="33"/>
    </row>
    <row r="10162" spans="10:10" ht="15" customHeight="1" x14ac:dyDescent="0.3">
      <c r="J10162" s="33"/>
    </row>
    <row r="10163" spans="10:10" ht="15" customHeight="1" x14ac:dyDescent="0.3">
      <c r="J10163" s="33"/>
    </row>
    <row r="10164" spans="10:10" ht="15" customHeight="1" x14ac:dyDescent="0.3">
      <c r="J10164" s="33"/>
    </row>
    <row r="10165" spans="10:10" ht="15" customHeight="1" x14ac:dyDescent="0.3">
      <c r="J10165" s="33"/>
    </row>
    <row r="10166" spans="10:10" ht="15" customHeight="1" x14ac:dyDescent="0.3">
      <c r="J10166" s="33"/>
    </row>
    <row r="10167" spans="10:10" ht="15" customHeight="1" x14ac:dyDescent="0.3">
      <c r="J10167" s="33"/>
    </row>
    <row r="10168" spans="10:10" ht="15" customHeight="1" x14ac:dyDescent="0.3">
      <c r="J10168" s="33"/>
    </row>
    <row r="10169" spans="10:10" ht="15" customHeight="1" x14ac:dyDescent="0.3">
      <c r="J10169" s="33"/>
    </row>
    <row r="10170" spans="10:10" ht="15" customHeight="1" x14ac:dyDescent="0.3">
      <c r="J10170" s="33"/>
    </row>
    <row r="10171" spans="10:10" ht="15" customHeight="1" x14ac:dyDescent="0.3">
      <c r="J10171" s="33"/>
    </row>
    <row r="10172" spans="10:10" ht="15" customHeight="1" x14ac:dyDescent="0.3">
      <c r="J10172" s="33"/>
    </row>
    <row r="10173" spans="10:10" ht="15" customHeight="1" x14ac:dyDescent="0.3">
      <c r="J10173" s="33"/>
    </row>
    <row r="10174" spans="10:10" ht="15" customHeight="1" x14ac:dyDescent="0.3">
      <c r="J10174" s="33"/>
    </row>
    <row r="10175" spans="10:10" ht="15" customHeight="1" x14ac:dyDescent="0.3">
      <c r="J10175" s="33"/>
    </row>
    <row r="10176" spans="10:10" ht="15" customHeight="1" x14ac:dyDescent="0.3">
      <c r="J10176" s="33"/>
    </row>
    <row r="10177" spans="10:10" ht="15" customHeight="1" x14ac:dyDescent="0.3">
      <c r="J10177" s="33"/>
    </row>
    <row r="10178" spans="10:10" ht="15" customHeight="1" x14ac:dyDescent="0.3">
      <c r="J10178" s="33"/>
    </row>
    <row r="10179" spans="10:10" ht="15" customHeight="1" x14ac:dyDescent="0.3">
      <c r="J10179" s="33"/>
    </row>
    <row r="10180" spans="10:10" ht="15" customHeight="1" x14ac:dyDescent="0.3">
      <c r="J10180" s="33"/>
    </row>
    <row r="10181" spans="10:10" ht="15" customHeight="1" x14ac:dyDescent="0.3">
      <c r="J10181" s="33"/>
    </row>
    <row r="10182" spans="10:10" ht="15" customHeight="1" x14ac:dyDescent="0.3">
      <c r="J10182" s="33"/>
    </row>
    <row r="10183" spans="10:10" ht="15" customHeight="1" x14ac:dyDescent="0.3">
      <c r="J10183" s="33"/>
    </row>
    <row r="10184" spans="10:10" ht="15" customHeight="1" x14ac:dyDescent="0.3">
      <c r="J10184" s="33"/>
    </row>
    <row r="10185" spans="10:10" ht="15" customHeight="1" x14ac:dyDescent="0.3">
      <c r="J10185" s="33"/>
    </row>
    <row r="10186" spans="10:10" ht="15" customHeight="1" x14ac:dyDescent="0.3">
      <c r="J10186" s="33"/>
    </row>
    <row r="10187" spans="10:10" ht="15" customHeight="1" x14ac:dyDescent="0.3">
      <c r="J10187" s="33"/>
    </row>
    <row r="10188" spans="10:10" ht="15" customHeight="1" x14ac:dyDescent="0.3">
      <c r="J10188" s="33"/>
    </row>
    <row r="10189" spans="10:10" ht="15" customHeight="1" x14ac:dyDescent="0.3">
      <c r="J10189" s="33"/>
    </row>
    <row r="10190" spans="10:10" ht="15" customHeight="1" x14ac:dyDescent="0.3">
      <c r="J10190" s="33"/>
    </row>
    <row r="10191" spans="10:10" ht="15" customHeight="1" x14ac:dyDescent="0.3">
      <c r="J10191" s="33"/>
    </row>
    <row r="10192" spans="10:10" ht="15" customHeight="1" x14ac:dyDescent="0.3">
      <c r="J10192" s="33"/>
    </row>
    <row r="10193" spans="10:10" ht="15" customHeight="1" x14ac:dyDescent="0.3">
      <c r="J10193" s="33"/>
    </row>
    <row r="10194" spans="10:10" ht="15" customHeight="1" x14ac:dyDescent="0.3">
      <c r="J10194" s="33"/>
    </row>
    <row r="10195" spans="10:10" ht="15" customHeight="1" x14ac:dyDescent="0.3">
      <c r="J10195" s="33"/>
    </row>
    <row r="10196" spans="10:10" ht="15" customHeight="1" x14ac:dyDescent="0.3">
      <c r="J10196" s="33"/>
    </row>
    <row r="10197" spans="10:10" ht="15" customHeight="1" x14ac:dyDescent="0.3">
      <c r="J10197" s="33"/>
    </row>
    <row r="10198" spans="10:10" ht="15" customHeight="1" x14ac:dyDescent="0.3">
      <c r="J10198" s="33"/>
    </row>
    <row r="10199" spans="10:10" ht="15" customHeight="1" x14ac:dyDescent="0.3">
      <c r="J10199" s="33"/>
    </row>
    <row r="10200" spans="10:10" ht="15" customHeight="1" x14ac:dyDescent="0.3">
      <c r="J10200" s="33"/>
    </row>
    <row r="10201" spans="10:10" ht="15" customHeight="1" x14ac:dyDescent="0.3">
      <c r="J10201" s="33"/>
    </row>
    <row r="10202" spans="10:10" ht="15" customHeight="1" x14ac:dyDescent="0.3">
      <c r="J10202" s="33"/>
    </row>
    <row r="10203" spans="10:10" ht="15" customHeight="1" x14ac:dyDescent="0.3">
      <c r="J10203" s="33"/>
    </row>
    <row r="10204" spans="10:10" ht="15" customHeight="1" x14ac:dyDescent="0.3">
      <c r="J10204" s="33"/>
    </row>
    <row r="10205" spans="10:10" ht="15" customHeight="1" x14ac:dyDescent="0.3">
      <c r="J10205" s="33"/>
    </row>
    <row r="10206" spans="10:10" ht="15" customHeight="1" x14ac:dyDescent="0.3">
      <c r="J10206" s="33"/>
    </row>
    <row r="10207" spans="10:10" ht="15" customHeight="1" x14ac:dyDescent="0.3">
      <c r="J10207" s="33"/>
    </row>
    <row r="10208" spans="10:10" ht="15" customHeight="1" x14ac:dyDescent="0.3">
      <c r="J10208" s="33"/>
    </row>
    <row r="10209" spans="10:10" ht="15" customHeight="1" x14ac:dyDescent="0.3">
      <c r="J10209" s="33"/>
    </row>
    <row r="10210" spans="10:10" ht="15" customHeight="1" x14ac:dyDescent="0.3">
      <c r="J10210" s="33"/>
    </row>
    <row r="10211" spans="10:10" ht="15" customHeight="1" x14ac:dyDescent="0.3">
      <c r="J10211" s="33"/>
    </row>
    <row r="10212" spans="10:10" ht="15" customHeight="1" x14ac:dyDescent="0.3">
      <c r="J10212" s="33"/>
    </row>
    <row r="10213" spans="10:10" ht="15" customHeight="1" x14ac:dyDescent="0.3">
      <c r="J10213" s="33"/>
    </row>
    <row r="10214" spans="10:10" ht="15" customHeight="1" x14ac:dyDescent="0.3">
      <c r="J10214" s="33"/>
    </row>
    <row r="10215" spans="10:10" ht="15" customHeight="1" x14ac:dyDescent="0.3">
      <c r="J10215" s="33"/>
    </row>
    <row r="10216" spans="10:10" ht="15" customHeight="1" x14ac:dyDescent="0.3">
      <c r="J10216" s="33"/>
    </row>
    <row r="10217" spans="10:10" ht="15" customHeight="1" x14ac:dyDescent="0.3">
      <c r="J10217" s="33"/>
    </row>
    <row r="10218" spans="10:10" ht="15" customHeight="1" x14ac:dyDescent="0.3">
      <c r="J10218" s="33"/>
    </row>
    <row r="10219" spans="10:10" ht="15" customHeight="1" x14ac:dyDescent="0.3">
      <c r="J10219" s="33"/>
    </row>
    <row r="10220" spans="10:10" ht="15" customHeight="1" x14ac:dyDescent="0.3">
      <c r="J10220" s="33"/>
    </row>
    <row r="10221" spans="10:10" ht="15" customHeight="1" x14ac:dyDescent="0.3">
      <c r="J10221" s="33"/>
    </row>
    <row r="10222" spans="10:10" ht="15" customHeight="1" x14ac:dyDescent="0.3">
      <c r="J10222" s="33"/>
    </row>
    <row r="10223" spans="10:10" ht="15" customHeight="1" x14ac:dyDescent="0.3">
      <c r="J10223" s="33"/>
    </row>
    <row r="10224" spans="10:10" ht="15" customHeight="1" x14ac:dyDescent="0.3">
      <c r="J10224" s="33"/>
    </row>
    <row r="10225" spans="10:10" ht="15" customHeight="1" x14ac:dyDescent="0.3">
      <c r="J10225" s="33"/>
    </row>
    <row r="10226" spans="10:10" ht="15" customHeight="1" x14ac:dyDescent="0.3">
      <c r="J10226" s="33"/>
    </row>
    <row r="10227" spans="10:10" ht="15" customHeight="1" x14ac:dyDescent="0.3">
      <c r="J10227" s="33"/>
    </row>
    <row r="10228" spans="10:10" ht="15" customHeight="1" x14ac:dyDescent="0.3">
      <c r="J10228" s="33"/>
    </row>
    <row r="10229" spans="10:10" ht="15" customHeight="1" x14ac:dyDescent="0.3">
      <c r="J10229" s="33"/>
    </row>
    <row r="10230" spans="10:10" ht="15" customHeight="1" x14ac:dyDescent="0.3">
      <c r="J10230" s="33"/>
    </row>
    <row r="10231" spans="10:10" ht="15" customHeight="1" x14ac:dyDescent="0.3">
      <c r="J10231" s="33"/>
    </row>
    <row r="10232" spans="10:10" ht="15" customHeight="1" x14ac:dyDescent="0.3">
      <c r="J10232" s="33"/>
    </row>
    <row r="10233" spans="10:10" ht="15" customHeight="1" x14ac:dyDescent="0.3">
      <c r="J10233" s="33"/>
    </row>
    <row r="10234" spans="10:10" ht="15" customHeight="1" x14ac:dyDescent="0.3">
      <c r="J10234" s="33"/>
    </row>
    <row r="10235" spans="10:10" ht="15" customHeight="1" x14ac:dyDescent="0.3">
      <c r="J10235" s="33"/>
    </row>
    <row r="10236" spans="10:10" ht="15" customHeight="1" x14ac:dyDescent="0.3">
      <c r="J10236" s="33"/>
    </row>
    <row r="10237" spans="10:10" ht="15" customHeight="1" x14ac:dyDescent="0.3">
      <c r="J10237" s="33"/>
    </row>
    <row r="10238" spans="10:10" ht="15" customHeight="1" x14ac:dyDescent="0.3">
      <c r="J10238" s="33"/>
    </row>
    <row r="10239" spans="10:10" ht="15" customHeight="1" x14ac:dyDescent="0.3">
      <c r="J10239" s="33"/>
    </row>
    <row r="10240" spans="10:10" ht="15" customHeight="1" x14ac:dyDescent="0.3">
      <c r="J10240" s="33"/>
    </row>
    <row r="10241" spans="10:10" ht="15" customHeight="1" x14ac:dyDescent="0.3">
      <c r="J10241" s="33"/>
    </row>
    <row r="10242" spans="10:10" ht="15" customHeight="1" x14ac:dyDescent="0.3">
      <c r="J10242" s="33"/>
    </row>
    <row r="10243" spans="10:10" ht="15" customHeight="1" x14ac:dyDescent="0.3">
      <c r="J10243" s="33"/>
    </row>
    <row r="10244" spans="10:10" ht="15" customHeight="1" x14ac:dyDescent="0.3">
      <c r="J10244" s="33"/>
    </row>
    <row r="10245" spans="10:10" ht="15" customHeight="1" x14ac:dyDescent="0.3">
      <c r="J10245" s="33"/>
    </row>
    <row r="10246" spans="10:10" ht="15" customHeight="1" x14ac:dyDescent="0.3">
      <c r="J10246" s="33"/>
    </row>
    <row r="10247" spans="10:10" ht="15" customHeight="1" x14ac:dyDescent="0.3">
      <c r="J10247" s="33"/>
    </row>
    <row r="10248" spans="10:10" ht="15" customHeight="1" x14ac:dyDescent="0.3">
      <c r="J10248" s="33"/>
    </row>
    <row r="10249" spans="10:10" ht="15" customHeight="1" x14ac:dyDescent="0.3">
      <c r="J10249" s="33"/>
    </row>
    <row r="10250" spans="10:10" ht="15" customHeight="1" x14ac:dyDescent="0.3">
      <c r="J10250" s="33"/>
    </row>
    <row r="10251" spans="10:10" ht="15" customHeight="1" x14ac:dyDescent="0.3">
      <c r="J10251" s="33"/>
    </row>
    <row r="10252" spans="10:10" ht="15" customHeight="1" x14ac:dyDescent="0.3">
      <c r="J10252" s="33"/>
    </row>
    <row r="10253" spans="10:10" ht="15" customHeight="1" x14ac:dyDescent="0.3">
      <c r="J10253" s="33"/>
    </row>
    <row r="10254" spans="10:10" ht="15" customHeight="1" x14ac:dyDescent="0.3">
      <c r="J10254" s="33"/>
    </row>
    <row r="10255" spans="10:10" ht="15" customHeight="1" x14ac:dyDescent="0.3">
      <c r="J10255" s="33"/>
    </row>
    <row r="10256" spans="10:10" ht="15" customHeight="1" x14ac:dyDescent="0.3">
      <c r="J10256" s="33"/>
    </row>
    <row r="10257" spans="10:10" ht="15" customHeight="1" x14ac:dyDescent="0.3">
      <c r="J10257" s="33"/>
    </row>
    <row r="10258" spans="10:10" ht="15" customHeight="1" x14ac:dyDescent="0.3">
      <c r="J10258" s="33"/>
    </row>
    <row r="10259" spans="10:10" ht="15" customHeight="1" x14ac:dyDescent="0.3">
      <c r="J10259" s="33"/>
    </row>
    <row r="10260" spans="10:10" ht="15" customHeight="1" x14ac:dyDescent="0.3">
      <c r="J10260" s="33"/>
    </row>
    <row r="10261" spans="10:10" ht="15" customHeight="1" x14ac:dyDescent="0.3">
      <c r="J10261" s="33"/>
    </row>
    <row r="10262" spans="10:10" ht="15" customHeight="1" x14ac:dyDescent="0.3">
      <c r="J10262" s="33"/>
    </row>
    <row r="10263" spans="10:10" ht="15" customHeight="1" x14ac:dyDescent="0.3">
      <c r="J10263" s="33"/>
    </row>
    <row r="10264" spans="10:10" ht="15" customHeight="1" x14ac:dyDescent="0.3">
      <c r="J10264" s="33"/>
    </row>
    <row r="10265" spans="10:10" ht="15" customHeight="1" x14ac:dyDescent="0.3">
      <c r="J10265" s="33"/>
    </row>
    <row r="10266" spans="10:10" ht="15" customHeight="1" x14ac:dyDescent="0.3">
      <c r="J10266" s="33"/>
    </row>
    <row r="10267" spans="10:10" ht="15" customHeight="1" x14ac:dyDescent="0.3">
      <c r="J10267" s="33"/>
    </row>
    <row r="10268" spans="10:10" ht="15" customHeight="1" x14ac:dyDescent="0.3">
      <c r="J10268" s="33"/>
    </row>
    <row r="10269" spans="10:10" ht="15" customHeight="1" x14ac:dyDescent="0.3">
      <c r="J10269" s="33"/>
    </row>
    <row r="10270" spans="10:10" ht="15" customHeight="1" x14ac:dyDescent="0.3">
      <c r="J10270" s="33"/>
    </row>
    <row r="10271" spans="10:10" ht="15" customHeight="1" x14ac:dyDescent="0.3">
      <c r="J10271" s="33"/>
    </row>
    <row r="10272" spans="10:10" ht="15" customHeight="1" x14ac:dyDescent="0.3">
      <c r="J10272" s="33"/>
    </row>
    <row r="10273" spans="10:10" ht="15" customHeight="1" x14ac:dyDescent="0.3">
      <c r="J10273" s="33"/>
    </row>
    <row r="10274" spans="10:10" ht="15" customHeight="1" x14ac:dyDescent="0.3">
      <c r="J10274" s="33"/>
    </row>
    <row r="10275" spans="10:10" ht="15" customHeight="1" x14ac:dyDescent="0.3">
      <c r="J10275" s="33"/>
    </row>
    <row r="10276" spans="10:10" ht="15" customHeight="1" x14ac:dyDescent="0.3">
      <c r="J10276" s="33"/>
    </row>
    <row r="10277" spans="10:10" ht="15" customHeight="1" x14ac:dyDescent="0.3">
      <c r="J10277" s="33"/>
    </row>
    <row r="10278" spans="10:10" ht="15" customHeight="1" x14ac:dyDescent="0.3">
      <c r="J10278" s="33"/>
    </row>
    <row r="10279" spans="10:10" ht="15" customHeight="1" x14ac:dyDescent="0.3">
      <c r="J10279" s="33"/>
    </row>
    <row r="10280" spans="10:10" ht="15" customHeight="1" x14ac:dyDescent="0.3">
      <c r="J10280" s="33"/>
    </row>
    <row r="10281" spans="10:10" ht="15" customHeight="1" x14ac:dyDescent="0.3">
      <c r="J10281" s="33"/>
    </row>
    <row r="10282" spans="10:10" ht="15" customHeight="1" x14ac:dyDescent="0.3">
      <c r="J10282" s="33"/>
    </row>
    <row r="10283" spans="10:10" ht="15" customHeight="1" x14ac:dyDescent="0.3">
      <c r="J10283" s="33"/>
    </row>
    <row r="10284" spans="10:10" ht="15" customHeight="1" x14ac:dyDescent="0.3">
      <c r="J10284" s="33"/>
    </row>
    <row r="10285" spans="10:10" ht="15" customHeight="1" x14ac:dyDescent="0.3">
      <c r="J10285" s="33"/>
    </row>
    <row r="10286" spans="10:10" ht="15" customHeight="1" x14ac:dyDescent="0.3">
      <c r="J10286" s="33"/>
    </row>
    <row r="10287" spans="10:10" ht="15" customHeight="1" x14ac:dyDescent="0.3">
      <c r="J10287" s="33"/>
    </row>
    <row r="10288" spans="10:10" ht="15" customHeight="1" x14ac:dyDescent="0.3">
      <c r="J10288" s="33"/>
    </row>
    <row r="10289" spans="10:10" ht="15" customHeight="1" x14ac:dyDescent="0.3">
      <c r="J10289" s="33"/>
    </row>
    <row r="10290" spans="10:10" ht="15" customHeight="1" x14ac:dyDescent="0.3">
      <c r="J10290" s="33"/>
    </row>
    <row r="10291" spans="10:10" ht="15" customHeight="1" x14ac:dyDescent="0.3">
      <c r="J10291" s="33"/>
    </row>
    <row r="10292" spans="10:10" ht="15" customHeight="1" x14ac:dyDescent="0.3">
      <c r="J10292" s="33"/>
    </row>
    <row r="10293" spans="10:10" ht="15" customHeight="1" x14ac:dyDescent="0.3">
      <c r="J10293" s="33"/>
    </row>
    <row r="10294" spans="10:10" ht="15" customHeight="1" x14ac:dyDescent="0.3">
      <c r="J10294" s="33"/>
    </row>
    <row r="10295" spans="10:10" ht="15" customHeight="1" x14ac:dyDescent="0.3">
      <c r="J10295" s="33"/>
    </row>
    <row r="10296" spans="10:10" ht="15" customHeight="1" x14ac:dyDescent="0.3">
      <c r="J10296" s="33"/>
    </row>
    <row r="10297" spans="10:10" ht="15" customHeight="1" x14ac:dyDescent="0.3">
      <c r="J10297" s="33"/>
    </row>
    <row r="10298" spans="10:10" ht="15" customHeight="1" x14ac:dyDescent="0.3">
      <c r="J10298" s="33"/>
    </row>
    <row r="10299" spans="10:10" ht="15" customHeight="1" x14ac:dyDescent="0.3">
      <c r="J10299" s="33"/>
    </row>
    <row r="10300" spans="10:10" ht="15" customHeight="1" x14ac:dyDescent="0.3">
      <c r="J10300" s="33"/>
    </row>
    <row r="10301" spans="10:10" ht="15" customHeight="1" x14ac:dyDescent="0.3">
      <c r="J10301" s="33"/>
    </row>
    <row r="10302" spans="10:10" ht="15" customHeight="1" x14ac:dyDescent="0.3">
      <c r="J10302" s="33"/>
    </row>
    <row r="10303" spans="10:10" ht="15" customHeight="1" x14ac:dyDescent="0.3">
      <c r="J10303" s="33"/>
    </row>
    <row r="10304" spans="10:10" ht="15" customHeight="1" x14ac:dyDescent="0.3">
      <c r="J10304" s="33"/>
    </row>
    <row r="10305" spans="10:10" ht="15" customHeight="1" x14ac:dyDescent="0.3">
      <c r="J10305" s="33"/>
    </row>
    <row r="10306" spans="10:10" ht="15" customHeight="1" x14ac:dyDescent="0.3">
      <c r="J10306" s="33"/>
    </row>
    <row r="10307" spans="10:10" ht="15" customHeight="1" x14ac:dyDescent="0.3">
      <c r="J10307" s="33"/>
    </row>
    <row r="10308" spans="10:10" ht="15" customHeight="1" x14ac:dyDescent="0.3">
      <c r="J10308" s="33"/>
    </row>
    <row r="10309" spans="10:10" ht="15" customHeight="1" x14ac:dyDescent="0.3">
      <c r="J10309" s="33"/>
    </row>
    <row r="10310" spans="10:10" ht="15" customHeight="1" x14ac:dyDescent="0.3">
      <c r="J10310" s="33"/>
    </row>
    <row r="10311" spans="10:10" ht="15" customHeight="1" x14ac:dyDescent="0.3">
      <c r="J10311" s="33"/>
    </row>
    <row r="10312" spans="10:10" ht="15" customHeight="1" x14ac:dyDescent="0.3">
      <c r="J10312" s="33"/>
    </row>
    <row r="10313" spans="10:10" ht="15" customHeight="1" x14ac:dyDescent="0.3">
      <c r="J10313" s="33"/>
    </row>
    <row r="10314" spans="10:10" ht="15" customHeight="1" x14ac:dyDescent="0.3">
      <c r="J10314" s="33"/>
    </row>
    <row r="10315" spans="10:10" ht="15" customHeight="1" x14ac:dyDescent="0.3">
      <c r="J10315" s="33"/>
    </row>
    <row r="10316" spans="10:10" ht="15" customHeight="1" x14ac:dyDescent="0.3">
      <c r="J10316" s="33"/>
    </row>
    <row r="10317" spans="10:10" ht="15" customHeight="1" x14ac:dyDescent="0.3">
      <c r="J10317" s="33"/>
    </row>
    <row r="10318" spans="10:10" ht="15" customHeight="1" x14ac:dyDescent="0.3">
      <c r="J10318" s="33"/>
    </row>
    <row r="10319" spans="10:10" ht="15" customHeight="1" x14ac:dyDescent="0.3">
      <c r="J10319" s="33"/>
    </row>
    <row r="10320" spans="10:10" ht="15" customHeight="1" x14ac:dyDescent="0.3">
      <c r="J10320" s="33"/>
    </row>
    <row r="10321" spans="10:10" ht="15" customHeight="1" x14ac:dyDescent="0.3">
      <c r="J10321" s="33"/>
    </row>
    <row r="10322" spans="10:10" ht="15" customHeight="1" x14ac:dyDescent="0.3">
      <c r="J10322" s="33"/>
    </row>
    <row r="10323" spans="10:10" ht="15" customHeight="1" x14ac:dyDescent="0.3">
      <c r="J10323" s="33"/>
    </row>
    <row r="10324" spans="10:10" ht="15" customHeight="1" x14ac:dyDescent="0.3">
      <c r="J10324" s="33"/>
    </row>
    <row r="10325" spans="10:10" ht="15" customHeight="1" x14ac:dyDescent="0.3">
      <c r="J10325" s="33"/>
    </row>
    <row r="10326" spans="10:10" ht="15" customHeight="1" x14ac:dyDescent="0.3">
      <c r="J10326" s="33"/>
    </row>
    <row r="10327" spans="10:10" ht="15" customHeight="1" x14ac:dyDescent="0.3">
      <c r="J10327" s="33"/>
    </row>
    <row r="10328" spans="10:10" ht="15" customHeight="1" x14ac:dyDescent="0.3">
      <c r="J10328" s="33"/>
    </row>
    <row r="10329" spans="10:10" ht="15" customHeight="1" x14ac:dyDescent="0.3">
      <c r="J10329" s="33"/>
    </row>
    <row r="10330" spans="10:10" ht="15" customHeight="1" x14ac:dyDescent="0.3">
      <c r="J10330" s="33"/>
    </row>
    <row r="10331" spans="10:10" ht="15" customHeight="1" x14ac:dyDescent="0.3">
      <c r="J10331" s="33"/>
    </row>
    <row r="10332" spans="10:10" ht="15" customHeight="1" x14ac:dyDescent="0.3">
      <c r="J10332" s="33"/>
    </row>
    <row r="10333" spans="10:10" ht="15" customHeight="1" x14ac:dyDescent="0.3">
      <c r="J10333" s="33"/>
    </row>
    <row r="10334" spans="10:10" ht="15" customHeight="1" x14ac:dyDescent="0.3">
      <c r="J10334" s="33"/>
    </row>
    <row r="10335" spans="10:10" ht="15" customHeight="1" x14ac:dyDescent="0.3">
      <c r="J10335" s="33"/>
    </row>
    <row r="10336" spans="10:10" ht="15" customHeight="1" x14ac:dyDescent="0.3">
      <c r="J10336" s="33"/>
    </row>
    <row r="10337" spans="10:10" ht="15" customHeight="1" x14ac:dyDescent="0.3">
      <c r="J10337" s="33"/>
    </row>
    <row r="10338" spans="10:10" ht="15" customHeight="1" x14ac:dyDescent="0.3">
      <c r="J10338" s="33"/>
    </row>
    <row r="10339" spans="10:10" ht="15" customHeight="1" x14ac:dyDescent="0.3">
      <c r="J10339" s="33"/>
    </row>
    <row r="10340" spans="10:10" ht="15" customHeight="1" x14ac:dyDescent="0.3">
      <c r="J10340" s="33"/>
    </row>
    <row r="10341" spans="10:10" ht="15" customHeight="1" x14ac:dyDescent="0.3">
      <c r="J10341" s="33"/>
    </row>
    <row r="10342" spans="10:10" ht="15" customHeight="1" x14ac:dyDescent="0.3">
      <c r="J10342" s="33"/>
    </row>
    <row r="10343" spans="10:10" ht="15" customHeight="1" x14ac:dyDescent="0.3">
      <c r="J10343" s="33"/>
    </row>
    <row r="10344" spans="10:10" ht="15" customHeight="1" x14ac:dyDescent="0.3">
      <c r="J10344" s="33"/>
    </row>
    <row r="10345" spans="10:10" ht="15" customHeight="1" x14ac:dyDescent="0.3">
      <c r="J10345" s="33"/>
    </row>
    <row r="10346" spans="10:10" ht="15" customHeight="1" x14ac:dyDescent="0.3">
      <c r="J10346" s="33"/>
    </row>
    <row r="10347" spans="10:10" ht="15" customHeight="1" x14ac:dyDescent="0.3">
      <c r="J10347" s="33"/>
    </row>
    <row r="10348" spans="10:10" ht="15" customHeight="1" x14ac:dyDescent="0.3">
      <c r="J10348" s="33"/>
    </row>
    <row r="10349" spans="10:10" ht="15" customHeight="1" x14ac:dyDescent="0.3">
      <c r="J10349" s="33"/>
    </row>
    <row r="10350" spans="10:10" ht="15" customHeight="1" x14ac:dyDescent="0.3">
      <c r="J10350" s="33"/>
    </row>
    <row r="10351" spans="10:10" ht="15" customHeight="1" x14ac:dyDescent="0.3">
      <c r="J10351" s="33"/>
    </row>
    <row r="10352" spans="10:10" ht="15" customHeight="1" x14ac:dyDescent="0.3">
      <c r="J10352" s="33"/>
    </row>
    <row r="10353" spans="10:10" ht="15" customHeight="1" x14ac:dyDescent="0.3">
      <c r="J10353" s="33"/>
    </row>
    <row r="10354" spans="10:10" ht="15" customHeight="1" x14ac:dyDescent="0.3">
      <c r="J10354" s="33"/>
    </row>
    <row r="10355" spans="10:10" ht="15" customHeight="1" x14ac:dyDescent="0.3">
      <c r="J10355" s="33"/>
    </row>
    <row r="10356" spans="10:10" ht="15" customHeight="1" x14ac:dyDescent="0.3">
      <c r="J10356" s="33"/>
    </row>
    <row r="10357" spans="10:10" ht="15" customHeight="1" x14ac:dyDescent="0.3">
      <c r="J10357" s="33"/>
    </row>
    <row r="10358" spans="10:10" ht="15" customHeight="1" x14ac:dyDescent="0.3">
      <c r="J10358" s="33"/>
    </row>
    <row r="10359" spans="10:10" ht="15" customHeight="1" x14ac:dyDescent="0.3">
      <c r="J10359" s="33"/>
    </row>
    <row r="10360" spans="10:10" ht="15" customHeight="1" x14ac:dyDescent="0.3">
      <c r="J10360" s="33"/>
    </row>
    <row r="10361" spans="10:10" ht="15" customHeight="1" x14ac:dyDescent="0.3">
      <c r="J10361" s="33"/>
    </row>
    <row r="10362" spans="10:10" ht="15" customHeight="1" x14ac:dyDescent="0.3">
      <c r="J10362" s="33"/>
    </row>
    <row r="10363" spans="10:10" ht="15" customHeight="1" x14ac:dyDescent="0.3">
      <c r="J10363" s="33"/>
    </row>
    <row r="10364" spans="10:10" ht="15" customHeight="1" x14ac:dyDescent="0.3">
      <c r="J10364" s="33"/>
    </row>
    <row r="10365" spans="10:10" ht="15" customHeight="1" x14ac:dyDescent="0.3">
      <c r="J10365" s="33"/>
    </row>
    <row r="10366" spans="10:10" ht="15" customHeight="1" x14ac:dyDescent="0.3">
      <c r="J10366" s="33"/>
    </row>
    <row r="10367" spans="10:10" ht="15" customHeight="1" x14ac:dyDescent="0.3">
      <c r="J10367" s="33"/>
    </row>
    <row r="10368" spans="10:10" ht="15" customHeight="1" x14ac:dyDescent="0.3">
      <c r="J10368" s="33"/>
    </row>
    <row r="10369" spans="10:10" ht="15" customHeight="1" x14ac:dyDescent="0.3">
      <c r="J10369" s="33"/>
    </row>
    <row r="10370" spans="10:10" ht="15" customHeight="1" x14ac:dyDescent="0.3">
      <c r="J10370" s="33"/>
    </row>
    <row r="10371" spans="10:10" ht="15" customHeight="1" x14ac:dyDescent="0.3">
      <c r="J10371" s="33"/>
    </row>
    <row r="10372" spans="10:10" ht="15" customHeight="1" x14ac:dyDescent="0.3">
      <c r="J10372" s="33"/>
    </row>
    <row r="10373" spans="10:10" ht="15" customHeight="1" x14ac:dyDescent="0.3">
      <c r="J10373" s="33"/>
    </row>
    <row r="10374" spans="10:10" ht="15" customHeight="1" x14ac:dyDescent="0.3">
      <c r="J10374" s="33"/>
    </row>
    <row r="10375" spans="10:10" ht="15" customHeight="1" x14ac:dyDescent="0.3">
      <c r="J10375" s="33"/>
    </row>
    <row r="10376" spans="10:10" ht="15" customHeight="1" x14ac:dyDescent="0.3">
      <c r="J10376" s="33"/>
    </row>
    <row r="10377" spans="10:10" ht="15" customHeight="1" x14ac:dyDescent="0.3">
      <c r="J10377" s="33"/>
    </row>
    <row r="10378" spans="10:10" ht="15" customHeight="1" x14ac:dyDescent="0.3">
      <c r="J10378" s="33"/>
    </row>
    <row r="10379" spans="10:10" ht="15" customHeight="1" x14ac:dyDescent="0.3">
      <c r="J10379" s="33"/>
    </row>
    <row r="10380" spans="10:10" ht="15" customHeight="1" x14ac:dyDescent="0.3">
      <c r="J10380" s="33"/>
    </row>
    <row r="10381" spans="10:10" ht="15" customHeight="1" x14ac:dyDescent="0.3">
      <c r="J10381" s="33"/>
    </row>
    <row r="10382" spans="10:10" ht="15" customHeight="1" x14ac:dyDescent="0.3">
      <c r="J10382" s="33"/>
    </row>
    <row r="10383" spans="10:10" ht="15" customHeight="1" x14ac:dyDescent="0.3">
      <c r="J10383" s="33"/>
    </row>
    <row r="10384" spans="10:10" ht="15" customHeight="1" x14ac:dyDescent="0.3">
      <c r="J10384" s="33"/>
    </row>
    <row r="10385" spans="10:10" ht="15" customHeight="1" x14ac:dyDescent="0.3">
      <c r="J10385" s="33"/>
    </row>
    <row r="10386" spans="10:10" ht="15" customHeight="1" x14ac:dyDescent="0.3">
      <c r="J10386" s="33"/>
    </row>
    <row r="10387" spans="10:10" ht="15" customHeight="1" x14ac:dyDescent="0.3">
      <c r="J10387" s="33"/>
    </row>
    <row r="10388" spans="10:10" ht="15" customHeight="1" x14ac:dyDescent="0.3">
      <c r="J10388" s="33"/>
    </row>
    <row r="10389" spans="10:10" ht="15" customHeight="1" x14ac:dyDescent="0.3">
      <c r="J10389" s="33"/>
    </row>
    <row r="10390" spans="10:10" ht="15" customHeight="1" x14ac:dyDescent="0.3">
      <c r="J10390" s="33"/>
    </row>
    <row r="10391" spans="10:10" ht="15" customHeight="1" x14ac:dyDescent="0.3">
      <c r="J10391" s="33"/>
    </row>
    <row r="10392" spans="10:10" ht="15" customHeight="1" x14ac:dyDescent="0.3">
      <c r="J10392" s="33"/>
    </row>
    <row r="10393" spans="10:10" ht="15" customHeight="1" x14ac:dyDescent="0.3">
      <c r="J10393" s="33"/>
    </row>
    <row r="10394" spans="10:10" ht="15" customHeight="1" x14ac:dyDescent="0.3">
      <c r="J10394" s="33"/>
    </row>
    <row r="10395" spans="10:10" ht="15" customHeight="1" x14ac:dyDescent="0.3">
      <c r="J10395" s="33"/>
    </row>
    <row r="10396" spans="10:10" ht="15" customHeight="1" x14ac:dyDescent="0.3">
      <c r="J10396" s="33"/>
    </row>
    <row r="10397" spans="10:10" ht="15" customHeight="1" x14ac:dyDescent="0.3">
      <c r="J10397" s="33"/>
    </row>
    <row r="10398" spans="10:10" ht="15" customHeight="1" x14ac:dyDescent="0.3">
      <c r="J10398" s="33"/>
    </row>
    <row r="10399" spans="10:10" ht="15" customHeight="1" x14ac:dyDescent="0.3">
      <c r="J10399" s="33"/>
    </row>
    <row r="10400" spans="10:10" ht="15" customHeight="1" x14ac:dyDescent="0.3">
      <c r="J10400" s="33"/>
    </row>
    <row r="10401" spans="10:10" ht="15" customHeight="1" x14ac:dyDescent="0.3">
      <c r="J10401" s="33"/>
    </row>
    <row r="10402" spans="10:10" ht="15" customHeight="1" x14ac:dyDescent="0.3">
      <c r="J10402" s="33"/>
    </row>
    <row r="10403" spans="10:10" ht="15" customHeight="1" x14ac:dyDescent="0.3">
      <c r="J10403" s="33"/>
    </row>
    <row r="10404" spans="10:10" ht="15" customHeight="1" x14ac:dyDescent="0.3">
      <c r="J10404" s="33"/>
    </row>
    <row r="10405" spans="10:10" ht="15" customHeight="1" x14ac:dyDescent="0.3">
      <c r="J10405" s="33"/>
    </row>
    <row r="10406" spans="10:10" ht="15" customHeight="1" x14ac:dyDescent="0.3">
      <c r="J10406" s="33"/>
    </row>
    <row r="10407" spans="10:10" ht="15" customHeight="1" x14ac:dyDescent="0.3">
      <c r="J10407" s="33"/>
    </row>
    <row r="10408" spans="10:10" ht="15" customHeight="1" x14ac:dyDescent="0.3">
      <c r="J10408" s="33"/>
    </row>
    <row r="10409" spans="10:10" ht="15" customHeight="1" x14ac:dyDescent="0.3">
      <c r="J10409" s="33"/>
    </row>
    <row r="10410" spans="10:10" ht="15" customHeight="1" x14ac:dyDescent="0.3">
      <c r="J10410" s="33"/>
    </row>
    <row r="10411" spans="10:10" ht="15" customHeight="1" x14ac:dyDescent="0.3">
      <c r="J10411" s="33"/>
    </row>
    <row r="10412" spans="10:10" ht="15" customHeight="1" x14ac:dyDescent="0.3">
      <c r="J10412" s="33"/>
    </row>
    <row r="10413" spans="10:10" ht="15" customHeight="1" x14ac:dyDescent="0.3">
      <c r="J10413" s="33"/>
    </row>
    <row r="10414" spans="10:10" ht="15" customHeight="1" x14ac:dyDescent="0.3">
      <c r="J10414" s="33"/>
    </row>
    <row r="10415" spans="10:10" ht="15" customHeight="1" x14ac:dyDescent="0.3">
      <c r="J10415" s="33"/>
    </row>
    <row r="10416" spans="10:10" ht="15" customHeight="1" x14ac:dyDescent="0.3">
      <c r="J10416" s="33"/>
    </row>
    <row r="10417" spans="10:10" ht="15" customHeight="1" x14ac:dyDescent="0.3">
      <c r="J10417" s="33"/>
    </row>
    <row r="10418" spans="10:10" ht="15" customHeight="1" x14ac:dyDescent="0.3">
      <c r="J10418" s="33"/>
    </row>
    <row r="10419" spans="10:10" ht="15" customHeight="1" x14ac:dyDescent="0.3">
      <c r="J10419" s="33"/>
    </row>
    <row r="10420" spans="10:10" ht="15" customHeight="1" x14ac:dyDescent="0.3">
      <c r="J10420" s="33"/>
    </row>
    <row r="10421" spans="10:10" ht="15" customHeight="1" x14ac:dyDescent="0.3">
      <c r="J10421" s="33"/>
    </row>
    <row r="10422" spans="10:10" ht="15" customHeight="1" x14ac:dyDescent="0.3">
      <c r="J10422" s="33"/>
    </row>
    <row r="10423" spans="10:10" ht="15" customHeight="1" x14ac:dyDescent="0.3">
      <c r="J10423" s="33"/>
    </row>
    <row r="10424" spans="10:10" ht="15" customHeight="1" x14ac:dyDescent="0.3">
      <c r="J10424" s="33"/>
    </row>
    <row r="10425" spans="10:10" ht="15" customHeight="1" x14ac:dyDescent="0.3">
      <c r="J10425" s="33"/>
    </row>
    <row r="10426" spans="10:10" ht="15" customHeight="1" x14ac:dyDescent="0.3">
      <c r="J10426" s="33"/>
    </row>
    <row r="10427" spans="10:10" ht="15" customHeight="1" x14ac:dyDescent="0.3">
      <c r="J10427" s="33"/>
    </row>
    <row r="10428" spans="10:10" ht="15" customHeight="1" x14ac:dyDescent="0.3">
      <c r="J10428" s="33"/>
    </row>
    <row r="10429" spans="10:10" ht="15" customHeight="1" x14ac:dyDescent="0.3">
      <c r="J10429" s="33"/>
    </row>
    <row r="10430" spans="10:10" ht="15" customHeight="1" x14ac:dyDescent="0.3">
      <c r="J10430" s="33"/>
    </row>
    <row r="10431" spans="10:10" ht="15" customHeight="1" x14ac:dyDescent="0.3">
      <c r="J10431" s="33"/>
    </row>
    <row r="10432" spans="10:10" ht="15" customHeight="1" x14ac:dyDescent="0.3">
      <c r="J10432" s="33"/>
    </row>
    <row r="10433" spans="10:10" ht="15" customHeight="1" x14ac:dyDescent="0.3">
      <c r="J10433" s="33"/>
    </row>
    <row r="10434" spans="10:10" ht="15" customHeight="1" x14ac:dyDescent="0.3">
      <c r="J10434" s="33"/>
    </row>
    <row r="10435" spans="10:10" ht="15" customHeight="1" x14ac:dyDescent="0.3">
      <c r="J10435" s="33"/>
    </row>
    <row r="10436" spans="10:10" ht="15" customHeight="1" x14ac:dyDescent="0.3">
      <c r="J10436" s="33"/>
    </row>
    <row r="10437" spans="10:10" ht="15" customHeight="1" x14ac:dyDescent="0.3">
      <c r="J10437" s="33"/>
    </row>
    <row r="10438" spans="10:10" ht="15" customHeight="1" x14ac:dyDescent="0.3">
      <c r="J10438" s="33"/>
    </row>
    <row r="10439" spans="10:10" ht="15" customHeight="1" x14ac:dyDescent="0.3">
      <c r="J10439" s="33"/>
    </row>
    <row r="10440" spans="10:10" ht="15" customHeight="1" x14ac:dyDescent="0.3">
      <c r="J10440" s="33"/>
    </row>
    <row r="10441" spans="10:10" ht="15" customHeight="1" x14ac:dyDescent="0.3">
      <c r="J10441" s="33"/>
    </row>
    <row r="10442" spans="10:10" ht="15" customHeight="1" x14ac:dyDescent="0.3">
      <c r="J10442" s="33"/>
    </row>
    <row r="10443" spans="10:10" ht="15" customHeight="1" x14ac:dyDescent="0.3">
      <c r="J10443" s="33"/>
    </row>
    <row r="10444" spans="10:10" ht="15" customHeight="1" x14ac:dyDescent="0.3">
      <c r="J10444" s="33"/>
    </row>
    <row r="10445" spans="10:10" ht="15" customHeight="1" x14ac:dyDescent="0.3">
      <c r="J10445" s="33"/>
    </row>
    <row r="10446" spans="10:10" ht="15" customHeight="1" x14ac:dyDescent="0.3">
      <c r="J10446" s="33"/>
    </row>
    <row r="10447" spans="10:10" ht="15" customHeight="1" x14ac:dyDescent="0.3">
      <c r="J10447" s="33"/>
    </row>
    <row r="10448" spans="10:10" ht="15" customHeight="1" x14ac:dyDescent="0.3">
      <c r="J10448" s="33"/>
    </row>
    <row r="10449" spans="10:10" ht="15" customHeight="1" x14ac:dyDescent="0.3">
      <c r="J10449" s="33"/>
    </row>
    <row r="10450" spans="10:10" ht="15" customHeight="1" x14ac:dyDescent="0.3">
      <c r="J10450" s="33"/>
    </row>
    <row r="10451" spans="10:10" ht="15" customHeight="1" x14ac:dyDescent="0.3">
      <c r="J10451" s="33"/>
    </row>
    <row r="10452" spans="10:10" ht="15" customHeight="1" x14ac:dyDescent="0.3">
      <c r="J10452" s="33"/>
    </row>
    <row r="10453" spans="10:10" ht="15" customHeight="1" x14ac:dyDescent="0.3">
      <c r="J10453" s="33"/>
    </row>
    <row r="10454" spans="10:10" ht="15" customHeight="1" x14ac:dyDescent="0.3">
      <c r="J10454" s="33"/>
    </row>
    <row r="10455" spans="10:10" ht="15" customHeight="1" x14ac:dyDescent="0.3">
      <c r="J10455" s="33"/>
    </row>
    <row r="10456" spans="10:10" ht="15" customHeight="1" x14ac:dyDescent="0.3">
      <c r="J10456" s="33"/>
    </row>
    <row r="10457" spans="10:10" ht="15" customHeight="1" x14ac:dyDescent="0.3">
      <c r="J10457" s="33"/>
    </row>
    <row r="10458" spans="10:10" ht="15" customHeight="1" x14ac:dyDescent="0.3">
      <c r="J10458" s="33"/>
    </row>
    <row r="10459" spans="10:10" ht="15" customHeight="1" x14ac:dyDescent="0.3">
      <c r="J10459" s="33"/>
    </row>
    <row r="10460" spans="10:10" ht="15" customHeight="1" x14ac:dyDescent="0.3">
      <c r="J10460" s="33"/>
    </row>
    <row r="10461" spans="10:10" ht="15" customHeight="1" x14ac:dyDescent="0.3">
      <c r="J10461" s="33"/>
    </row>
    <row r="10462" spans="10:10" ht="15" customHeight="1" x14ac:dyDescent="0.3">
      <c r="J10462" s="33"/>
    </row>
    <row r="10463" spans="10:10" ht="15" customHeight="1" x14ac:dyDescent="0.3">
      <c r="J10463" s="33"/>
    </row>
    <row r="10464" spans="10:10" ht="15" customHeight="1" x14ac:dyDescent="0.3">
      <c r="J10464" s="33"/>
    </row>
    <row r="10465" spans="10:10" ht="15" customHeight="1" x14ac:dyDescent="0.3">
      <c r="J10465" s="33"/>
    </row>
    <row r="10466" spans="10:10" ht="15" customHeight="1" x14ac:dyDescent="0.3">
      <c r="J10466" s="33"/>
    </row>
    <row r="10467" spans="10:10" ht="15" customHeight="1" x14ac:dyDescent="0.3">
      <c r="J10467" s="33"/>
    </row>
    <row r="10468" spans="10:10" ht="15" customHeight="1" x14ac:dyDescent="0.3">
      <c r="J10468" s="33"/>
    </row>
    <row r="10469" spans="10:10" ht="15" customHeight="1" x14ac:dyDescent="0.3">
      <c r="J10469" s="33"/>
    </row>
    <row r="10470" spans="10:10" ht="15" customHeight="1" x14ac:dyDescent="0.3">
      <c r="J10470" s="33"/>
    </row>
    <row r="10471" spans="10:10" ht="15" customHeight="1" x14ac:dyDescent="0.3">
      <c r="J10471" s="33"/>
    </row>
    <row r="10472" spans="10:10" ht="15" customHeight="1" x14ac:dyDescent="0.3">
      <c r="J10472" s="33"/>
    </row>
    <row r="10473" spans="10:10" ht="15" customHeight="1" x14ac:dyDescent="0.3">
      <c r="J10473" s="33"/>
    </row>
    <row r="10474" spans="10:10" ht="15" customHeight="1" x14ac:dyDescent="0.3">
      <c r="J10474" s="33"/>
    </row>
    <row r="10475" spans="10:10" ht="15" customHeight="1" x14ac:dyDescent="0.3">
      <c r="J10475" s="33"/>
    </row>
    <row r="10476" spans="10:10" ht="15" customHeight="1" x14ac:dyDescent="0.3">
      <c r="J10476" s="33"/>
    </row>
    <row r="10477" spans="10:10" ht="15" customHeight="1" x14ac:dyDescent="0.3">
      <c r="J10477" s="33"/>
    </row>
    <row r="10478" spans="10:10" ht="15" customHeight="1" x14ac:dyDescent="0.3">
      <c r="J10478" s="33"/>
    </row>
    <row r="10479" spans="10:10" ht="15" customHeight="1" x14ac:dyDescent="0.3">
      <c r="J10479" s="33"/>
    </row>
    <row r="10480" spans="10:10" ht="15" customHeight="1" x14ac:dyDescent="0.3">
      <c r="J10480" s="33"/>
    </row>
    <row r="10481" spans="10:10" ht="15" customHeight="1" x14ac:dyDescent="0.3">
      <c r="J10481" s="33"/>
    </row>
    <row r="10482" spans="10:10" ht="15" customHeight="1" x14ac:dyDescent="0.3">
      <c r="J10482" s="33"/>
    </row>
    <row r="10483" spans="10:10" ht="15" customHeight="1" x14ac:dyDescent="0.3">
      <c r="J10483" s="33"/>
    </row>
    <row r="10484" spans="10:10" ht="15" customHeight="1" x14ac:dyDescent="0.3">
      <c r="J10484" s="33"/>
    </row>
    <row r="10485" spans="10:10" ht="15" customHeight="1" x14ac:dyDescent="0.3">
      <c r="J10485" s="33"/>
    </row>
    <row r="10486" spans="10:10" ht="15" customHeight="1" x14ac:dyDescent="0.3">
      <c r="J10486" s="33"/>
    </row>
    <row r="10487" spans="10:10" ht="15" customHeight="1" x14ac:dyDescent="0.3">
      <c r="J10487" s="33"/>
    </row>
    <row r="10488" spans="10:10" ht="15" customHeight="1" x14ac:dyDescent="0.3">
      <c r="J10488" s="33"/>
    </row>
    <row r="10489" spans="10:10" ht="15" customHeight="1" x14ac:dyDescent="0.3">
      <c r="J10489" s="33"/>
    </row>
    <row r="10490" spans="10:10" ht="15" customHeight="1" x14ac:dyDescent="0.3">
      <c r="J10490" s="33"/>
    </row>
    <row r="10491" spans="10:10" ht="15" customHeight="1" x14ac:dyDescent="0.3">
      <c r="J10491" s="33"/>
    </row>
    <row r="10492" spans="10:10" ht="15" customHeight="1" x14ac:dyDescent="0.3">
      <c r="J10492" s="33"/>
    </row>
    <row r="10493" spans="10:10" ht="15" customHeight="1" x14ac:dyDescent="0.3">
      <c r="J10493" s="33"/>
    </row>
    <row r="10494" spans="10:10" ht="15" customHeight="1" x14ac:dyDescent="0.3">
      <c r="J10494" s="33"/>
    </row>
    <row r="10495" spans="10:10" ht="15" customHeight="1" x14ac:dyDescent="0.3">
      <c r="J10495" s="33"/>
    </row>
    <row r="10496" spans="10:10" ht="15" customHeight="1" x14ac:dyDescent="0.3">
      <c r="J10496" s="33"/>
    </row>
    <row r="10497" spans="10:10" ht="15" customHeight="1" x14ac:dyDescent="0.3">
      <c r="J10497" s="33"/>
    </row>
    <row r="10498" spans="10:10" ht="15" customHeight="1" x14ac:dyDescent="0.3">
      <c r="J10498" s="33"/>
    </row>
    <row r="10499" spans="10:10" ht="15" customHeight="1" x14ac:dyDescent="0.3">
      <c r="J10499" s="33"/>
    </row>
    <row r="10500" spans="10:10" ht="15" customHeight="1" x14ac:dyDescent="0.3">
      <c r="J10500" s="33"/>
    </row>
    <row r="10501" spans="10:10" ht="15" customHeight="1" x14ac:dyDescent="0.3">
      <c r="J10501" s="33"/>
    </row>
    <row r="10502" spans="10:10" ht="15" customHeight="1" x14ac:dyDescent="0.3">
      <c r="J10502" s="33"/>
    </row>
    <row r="10503" spans="10:10" ht="15" customHeight="1" x14ac:dyDescent="0.3">
      <c r="J10503" s="33"/>
    </row>
    <row r="10504" spans="10:10" ht="15" customHeight="1" x14ac:dyDescent="0.3">
      <c r="J10504" s="33"/>
    </row>
    <row r="10505" spans="10:10" ht="15" customHeight="1" x14ac:dyDescent="0.3">
      <c r="J10505" s="33"/>
    </row>
    <row r="10506" spans="10:10" ht="15" customHeight="1" x14ac:dyDescent="0.3">
      <c r="J10506" s="33"/>
    </row>
    <row r="10507" spans="10:10" ht="15" customHeight="1" x14ac:dyDescent="0.3">
      <c r="J10507" s="33"/>
    </row>
    <row r="10508" spans="10:10" ht="15" customHeight="1" x14ac:dyDescent="0.3">
      <c r="J10508" s="33"/>
    </row>
    <row r="10509" spans="10:10" ht="15" customHeight="1" x14ac:dyDescent="0.3">
      <c r="J10509" s="33"/>
    </row>
    <row r="10510" spans="10:10" ht="15" customHeight="1" x14ac:dyDescent="0.3">
      <c r="J10510" s="33"/>
    </row>
    <row r="10511" spans="10:10" ht="15" customHeight="1" x14ac:dyDescent="0.3">
      <c r="J10511" s="33"/>
    </row>
    <row r="10512" spans="10:10" ht="15" customHeight="1" x14ac:dyDescent="0.3">
      <c r="J10512" s="33"/>
    </row>
    <row r="10513" spans="10:10" ht="15" customHeight="1" x14ac:dyDescent="0.3">
      <c r="J10513" s="33"/>
    </row>
    <row r="10514" spans="10:10" ht="15" customHeight="1" x14ac:dyDescent="0.3">
      <c r="J10514" s="33"/>
    </row>
    <row r="10515" spans="10:10" ht="15" customHeight="1" x14ac:dyDescent="0.3">
      <c r="J10515" s="33"/>
    </row>
    <row r="10516" spans="10:10" ht="15" customHeight="1" x14ac:dyDescent="0.3">
      <c r="J10516" s="33"/>
    </row>
    <row r="10517" spans="10:10" ht="15" customHeight="1" x14ac:dyDescent="0.3">
      <c r="J10517" s="33"/>
    </row>
    <row r="10518" spans="10:10" ht="15" customHeight="1" x14ac:dyDescent="0.3">
      <c r="J10518" s="33"/>
    </row>
    <row r="10519" spans="10:10" ht="15" customHeight="1" x14ac:dyDescent="0.3">
      <c r="J10519" s="33"/>
    </row>
    <row r="10520" spans="10:10" ht="15" customHeight="1" x14ac:dyDescent="0.3">
      <c r="J10520" s="33"/>
    </row>
    <row r="10521" spans="10:10" ht="15" customHeight="1" x14ac:dyDescent="0.3">
      <c r="J10521" s="33"/>
    </row>
    <row r="10522" spans="10:10" ht="15" customHeight="1" x14ac:dyDescent="0.3">
      <c r="J10522" s="33"/>
    </row>
    <row r="10523" spans="10:10" ht="15" customHeight="1" x14ac:dyDescent="0.3">
      <c r="J10523" s="33"/>
    </row>
    <row r="10524" spans="10:10" ht="15" customHeight="1" x14ac:dyDescent="0.3">
      <c r="J10524" s="33"/>
    </row>
    <row r="10525" spans="10:10" ht="15" customHeight="1" x14ac:dyDescent="0.3">
      <c r="J10525" s="33"/>
    </row>
    <row r="10526" spans="10:10" ht="15" customHeight="1" x14ac:dyDescent="0.3">
      <c r="J10526" s="33"/>
    </row>
    <row r="10527" spans="10:10" ht="15" customHeight="1" x14ac:dyDescent="0.3">
      <c r="J10527" s="33"/>
    </row>
    <row r="10528" spans="10:10" ht="15" customHeight="1" x14ac:dyDescent="0.3">
      <c r="J10528" s="33"/>
    </row>
    <row r="10529" spans="10:10" ht="15" customHeight="1" x14ac:dyDescent="0.3">
      <c r="J10529" s="33"/>
    </row>
    <row r="10530" spans="10:10" ht="15" customHeight="1" x14ac:dyDescent="0.3">
      <c r="J10530" s="33"/>
    </row>
    <row r="10531" spans="10:10" ht="15" customHeight="1" x14ac:dyDescent="0.3">
      <c r="J10531" s="33"/>
    </row>
    <row r="10532" spans="10:10" ht="15" customHeight="1" x14ac:dyDescent="0.3">
      <c r="J10532" s="33"/>
    </row>
    <row r="10533" spans="10:10" ht="15" customHeight="1" x14ac:dyDescent="0.3">
      <c r="J10533" s="33"/>
    </row>
    <row r="10534" spans="10:10" ht="15" customHeight="1" x14ac:dyDescent="0.3">
      <c r="J10534" s="33"/>
    </row>
    <row r="10535" spans="10:10" ht="15" customHeight="1" x14ac:dyDescent="0.3">
      <c r="J10535" s="33"/>
    </row>
    <row r="10536" spans="10:10" ht="15" customHeight="1" x14ac:dyDescent="0.3">
      <c r="J10536" s="33"/>
    </row>
    <row r="10537" spans="10:10" ht="15" customHeight="1" x14ac:dyDescent="0.3">
      <c r="J10537" s="33"/>
    </row>
    <row r="10538" spans="10:10" ht="15" customHeight="1" x14ac:dyDescent="0.3">
      <c r="J10538" s="33"/>
    </row>
    <row r="10539" spans="10:10" ht="15" customHeight="1" x14ac:dyDescent="0.3">
      <c r="J10539" s="33"/>
    </row>
    <row r="10540" spans="10:10" ht="15" customHeight="1" x14ac:dyDescent="0.3">
      <c r="J10540" s="33"/>
    </row>
    <row r="10541" spans="10:10" ht="15" customHeight="1" x14ac:dyDescent="0.3">
      <c r="J10541" s="33"/>
    </row>
    <row r="10542" spans="10:10" ht="15" customHeight="1" x14ac:dyDescent="0.3">
      <c r="J10542" s="33"/>
    </row>
    <row r="10543" spans="10:10" ht="15" customHeight="1" x14ac:dyDescent="0.3">
      <c r="J10543" s="33"/>
    </row>
    <row r="10544" spans="10:10" ht="15" customHeight="1" x14ac:dyDescent="0.3">
      <c r="J10544" s="33"/>
    </row>
    <row r="10545" spans="10:10" ht="15" customHeight="1" x14ac:dyDescent="0.3">
      <c r="J10545" s="33"/>
    </row>
    <row r="10546" spans="10:10" ht="15" customHeight="1" x14ac:dyDescent="0.3">
      <c r="J10546" s="33"/>
    </row>
    <row r="10547" spans="10:10" ht="15" customHeight="1" x14ac:dyDescent="0.3">
      <c r="J10547" s="33"/>
    </row>
    <row r="10548" spans="10:10" ht="15" customHeight="1" x14ac:dyDescent="0.3">
      <c r="J10548" s="33"/>
    </row>
    <row r="10549" spans="10:10" ht="15" customHeight="1" x14ac:dyDescent="0.3">
      <c r="J10549" s="33"/>
    </row>
    <row r="10550" spans="10:10" ht="15" customHeight="1" x14ac:dyDescent="0.3">
      <c r="J10550" s="33"/>
    </row>
    <row r="10551" spans="10:10" ht="15" customHeight="1" x14ac:dyDescent="0.3">
      <c r="J10551" s="33"/>
    </row>
    <row r="10552" spans="10:10" ht="15" customHeight="1" x14ac:dyDescent="0.3">
      <c r="J10552" s="33"/>
    </row>
    <row r="10553" spans="10:10" ht="15" customHeight="1" x14ac:dyDescent="0.3">
      <c r="J10553" s="33"/>
    </row>
    <row r="10554" spans="10:10" ht="15" customHeight="1" x14ac:dyDescent="0.3">
      <c r="J10554" s="33"/>
    </row>
    <row r="10555" spans="10:10" ht="15" customHeight="1" x14ac:dyDescent="0.3">
      <c r="J10555" s="33"/>
    </row>
    <row r="10556" spans="10:10" ht="15" customHeight="1" x14ac:dyDescent="0.3">
      <c r="J10556" s="33"/>
    </row>
    <row r="10557" spans="10:10" ht="15" customHeight="1" x14ac:dyDescent="0.3">
      <c r="J10557" s="33"/>
    </row>
    <row r="10558" spans="10:10" ht="15" customHeight="1" x14ac:dyDescent="0.3">
      <c r="J10558" s="33"/>
    </row>
    <row r="10559" spans="10:10" ht="15" customHeight="1" x14ac:dyDescent="0.3">
      <c r="J10559" s="33"/>
    </row>
    <row r="10560" spans="10:10" ht="15" customHeight="1" x14ac:dyDescent="0.3">
      <c r="J10560" s="33"/>
    </row>
    <row r="10561" spans="10:10" ht="15" customHeight="1" x14ac:dyDescent="0.3">
      <c r="J10561" s="33"/>
    </row>
    <row r="10562" spans="10:10" ht="15" customHeight="1" x14ac:dyDescent="0.3">
      <c r="J10562" s="33"/>
    </row>
    <row r="10563" spans="10:10" ht="15" customHeight="1" x14ac:dyDescent="0.3">
      <c r="J10563" s="33"/>
    </row>
    <row r="10564" spans="10:10" ht="15" customHeight="1" x14ac:dyDescent="0.3">
      <c r="J10564" s="33"/>
    </row>
    <row r="10565" spans="10:10" ht="15" customHeight="1" x14ac:dyDescent="0.3">
      <c r="J10565" s="33"/>
    </row>
    <row r="10566" spans="10:10" ht="15" customHeight="1" x14ac:dyDescent="0.3">
      <c r="J10566" s="33"/>
    </row>
    <row r="10567" spans="10:10" ht="15" customHeight="1" x14ac:dyDescent="0.3">
      <c r="J10567" s="33"/>
    </row>
    <row r="10568" spans="10:10" ht="15" customHeight="1" x14ac:dyDescent="0.3">
      <c r="J10568" s="33"/>
    </row>
    <row r="10569" spans="10:10" ht="15" customHeight="1" x14ac:dyDescent="0.3">
      <c r="J10569" s="33"/>
    </row>
    <row r="10570" spans="10:10" ht="15" customHeight="1" x14ac:dyDescent="0.3">
      <c r="J10570" s="33"/>
    </row>
    <row r="10571" spans="10:10" ht="15" customHeight="1" x14ac:dyDescent="0.3">
      <c r="J10571" s="33"/>
    </row>
    <row r="10572" spans="10:10" ht="15" customHeight="1" x14ac:dyDescent="0.3">
      <c r="J10572" s="33"/>
    </row>
    <row r="10573" spans="10:10" ht="15" customHeight="1" x14ac:dyDescent="0.3">
      <c r="J10573" s="33"/>
    </row>
    <row r="10574" spans="10:10" ht="15" customHeight="1" x14ac:dyDescent="0.3">
      <c r="J10574" s="33"/>
    </row>
    <row r="10575" spans="10:10" ht="15" customHeight="1" x14ac:dyDescent="0.3">
      <c r="J10575" s="33"/>
    </row>
    <row r="10576" spans="10:10" ht="15" customHeight="1" x14ac:dyDescent="0.3">
      <c r="J10576" s="33"/>
    </row>
    <row r="10577" spans="10:10" ht="15" customHeight="1" x14ac:dyDescent="0.3">
      <c r="J10577" s="33"/>
    </row>
    <row r="10578" spans="10:10" ht="15" customHeight="1" x14ac:dyDescent="0.3">
      <c r="J10578" s="33"/>
    </row>
    <row r="10579" spans="10:10" ht="15" customHeight="1" x14ac:dyDescent="0.3">
      <c r="J10579" s="33"/>
    </row>
    <row r="10580" spans="10:10" ht="15" customHeight="1" x14ac:dyDescent="0.3">
      <c r="J10580" s="33"/>
    </row>
    <row r="10581" spans="10:10" ht="15" customHeight="1" x14ac:dyDescent="0.3">
      <c r="J10581" s="33"/>
    </row>
    <row r="10582" spans="10:10" ht="15" customHeight="1" x14ac:dyDescent="0.3">
      <c r="J10582" s="33"/>
    </row>
    <row r="10583" spans="10:10" ht="15" customHeight="1" x14ac:dyDescent="0.3">
      <c r="J10583" s="33"/>
    </row>
    <row r="10584" spans="10:10" ht="15" customHeight="1" x14ac:dyDescent="0.3">
      <c r="J10584" s="33"/>
    </row>
    <row r="10585" spans="10:10" ht="15" customHeight="1" x14ac:dyDescent="0.3">
      <c r="J10585" s="33"/>
    </row>
    <row r="10586" spans="10:10" ht="15" customHeight="1" x14ac:dyDescent="0.3">
      <c r="J10586" s="33"/>
    </row>
    <row r="10587" spans="10:10" ht="15" customHeight="1" x14ac:dyDescent="0.3">
      <c r="J10587" s="33"/>
    </row>
    <row r="10588" spans="10:10" ht="15" customHeight="1" x14ac:dyDescent="0.3">
      <c r="J10588" s="33"/>
    </row>
    <row r="10589" spans="10:10" ht="15" customHeight="1" x14ac:dyDescent="0.3">
      <c r="J10589" s="33"/>
    </row>
    <row r="10590" spans="10:10" ht="15" customHeight="1" x14ac:dyDescent="0.3">
      <c r="J10590" s="33"/>
    </row>
    <row r="10591" spans="10:10" ht="15" customHeight="1" x14ac:dyDescent="0.3">
      <c r="J10591" s="33"/>
    </row>
    <row r="10592" spans="10:10" ht="15" customHeight="1" x14ac:dyDescent="0.3">
      <c r="J10592" s="33"/>
    </row>
    <row r="10593" spans="10:10" ht="15" customHeight="1" x14ac:dyDescent="0.3">
      <c r="J10593" s="33"/>
    </row>
    <row r="10594" spans="10:10" ht="15" customHeight="1" x14ac:dyDescent="0.3">
      <c r="J10594" s="33"/>
    </row>
    <row r="10595" spans="10:10" ht="15" customHeight="1" x14ac:dyDescent="0.3">
      <c r="J10595" s="33"/>
    </row>
    <row r="10596" spans="10:10" ht="15" customHeight="1" x14ac:dyDescent="0.3">
      <c r="J10596" s="33"/>
    </row>
    <row r="10597" spans="10:10" ht="15" customHeight="1" x14ac:dyDescent="0.3">
      <c r="J10597" s="33"/>
    </row>
    <row r="10598" spans="10:10" ht="15" customHeight="1" x14ac:dyDescent="0.3">
      <c r="J10598" s="33"/>
    </row>
    <row r="10599" spans="10:10" ht="15" customHeight="1" x14ac:dyDescent="0.3">
      <c r="J10599" s="33"/>
    </row>
    <row r="10600" spans="10:10" ht="15" customHeight="1" x14ac:dyDescent="0.3">
      <c r="J10600" s="33"/>
    </row>
    <row r="10601" spans="10:10" ht="15" customHeight="1" x14ac:dyDescent="0.3">
      <c r="J10601" s="33"/>
    </row>
    <row r="10602" spans="10:10" ht="15" customHeight="1" x14ac:dyDescent="0.3">
      <c r="J10602" s="33"/>
    </row>
    <row r="10603" spans="10:10" ht="15" customHeight="1" x14ac:dyDescent="0.3">
      <c r="J10603" s="33"/>
    </row>
    <row r="10604" spans="10:10" ht="15" customHeight="1" x14ac:dyDescent="0.3">
      <c r="J10604" s="33"/>
    </row>
    <row r="10605" spans="10:10" ht="15" customHeight="1" x14ac:dyDescent="0.3">
      <c r="J10605" s="33"/>
    </row>
    <row r="10606" spans="10:10" ht="15" customHeight="1" x14ac:dyDescent="0.3">
      <c r="J10606" s="33"/>
    </row>
    <row r="10607" spans="10:10" ht="15" customHeight="1" x14ac:dyDescent="0.3">
      <c r="J10607" s="33"/>
    </row>
    <row r="10608" spans="10:10" ht="15" customHeight="1" x14ac:dyDescent="0.3">
      <c r="J10608" s="33"/>
    </row>
    <row r="10609" spans="10:10" ht="15" customHeight="1" x14ac:dyDescent="0.3">
      <c r="J10609" s="33"/>
    </row>
    <row r="10610" spans="10:10" ht="15" customHeight="1" x14ac:dyDescent="0.3">
      <c r="J10610" s="33"/>
    </row>
    <row r="10611" spans="10:10" ht="15" customHeight="1" x14ac:dyDescent="0.3">
      <c r="J10611" s="33"/>
    </row>
    <row r="10612" spans="10:10" ht="15" customHeight="1" x14ac:dyDescent="0.3">
      <c r="J10612" s="33"/>
    </row>
    <row r="10613" spans="10:10" ht="15" customHeight="1" x14ac:dyDescent="0.3">
      <c r="J10613" s="33"/>
    </row>
    <row r="10614" spans="10:10" ht="15" customHeight="1" x14ac:dyDescent="0.3">
      <c r="J10614" s="33"/>
    </row>
    <row r="10615" spans="10:10" ht="15" customHeight="1" x14ac:dyDescent="0.3">
      <c r="J10615" s="33"/>
    </row>
    <row r="10616" spans="10:10" ht="15" customHeight="1" x14ac:dyDescent="0.3">
      <c r="J10616" s="33"/>
    </row>
    <row r="10617" spans="10:10" ht="15" customHeight="1" x14ac:dyDescent="0.3">
      <c r="J10617" s="33"/>
    </row>
    <row r="10618" spans="10:10" ht="15" customHeight="1" x14ac:dyDescent="0.3">
      <c r="J10618" s="33"/>
    </row>
    <row r="10619" spans="10:10" ht="15" customHeight="1" x14ac:dyDescent="0.3">
      <c r="J10619" s="33"/>
    </row>
    <row r="10620" spans="10:10" ht="15" customHeight="1" x14ac:dyDescent="0.3">
      <c r="J10620" s="33"/>
    </row>
    <row r="10621" spans="10:10" ht="15" customHeight="1" x14ac:dyDescent="0.3">
      <c r="J10621" s="33"/>
    </row>
    <row r="10622" spans="10:10" ht="15" customHeight="1" x14ac:dyDescent="0.3">
      <c r="J10622" s="33"/>
    </row>
    <row r="10623" spans="10:10" ht="15" customHeight="1" x14ac:dyDescent="0.3">
      <c r="J10623" s="33"/>
    </row>
    <row r="10624" spans="10:10" ht="15" customHeight="1" x14ac:dyDescent="0.3">
      <c r="J10624" s="33"/>
    </row>
    <row r="10625" spans="10:10" ht="15" customHeight="1" x14ac:dyDescent="0.3">
      <c r="J10625" s="33"/>
    </row>
    <row r="10626" spans="10:10" ht="15" customHeight="1" x14ac:dyDescent="0.3">
      <c r="J10626" s="33"/>
    </row>
    <row r="10627" spans="10:10" ht="15" customHeight="1" x14ac:dyDescent="0.3">
      <c r="J10627" s="33"/>
    </row>
    <row r="10628" spans="10:10" ht="15" customHeight="1" x14ac:dyDescent="0.3">
      <c r="J10628" s="33"/>
    </row>
    <row r="10629" spans="10:10" ht="15" customHeight="1" x14ac:dyDescent="0.3">
      <c r="J10629" s="33"/>
    </row>
    <row r="10630" spans="10:10" ht="15" customHeight="1" x14ac:dyDescent="0.3">
      <c r="J10630" s="33"/>
    </row>
    <row r="10631" spans="10:10" ht="15" customHeight="1" x14ac:dyDescent="0.3">
      <c r="J10631" s="33"/>
    </row>
    <row r="10632" spans="10:10" ht="15" customHeight="1" x14ac:dyDescent="0.3">
      <c r="J10632" s="33"/>
    </row>
    <row r="10633" spans="10:10" ht="15" customHeight="1" x14ac:dyDescent="0.3">
      <c r="J10633" s="33"/>
    </row>
    <row r="10634" spans="10:10" ht="15" customHeight="1" x14ac:dyDescent="0.3">
      <c r="J10634" s="33"/>
    </row>
    <row r="10635" spans="10:10" ht="15" customHeight="1" x14ac:dyDescent="0.3">
      <c r="J10635" s="33"/>
    </row>
    <row r="10636" spans="10:10" ht="15" customHeight="1" x14ac:dyDescent="0.3">
      <c r="J10636" s="33"/>
    </row>
    <row r="10637" spans="10:10" ht="15" customHeight="1" x14ac:dyDescent="0.3">
      <c r="J10637" s="33"/>
    </row>
    <row r="10638" spans="10:10" ht="15" customHeight="1" x14ac:dyDescent="0.3">
      <c r="J10638" s="33"/>
    </row>
    <row r="10639" spans="10:10" ht="15" customHeight="1" x14ac:dyDescent="0.3">
      <c r="J10639" s="33"/>
    </row>
    <row r="10640" spans="10:10" ht="15" customHeight="1" x14ac:dyDescent="0.3">
      <c r="J10640" s="33"/>
    </row>
    <row r="10641" spans="10:10" ht="15" customHeight="1" x14ac:dyDescent="0.3">
      <c r="J10641" s="33"/>
    </row>
    <row r="10642" spans="10:10" ht="15" customHeight="1" x14ac:dyDescent="0.3">
      <c r="J10642" s="33"/>
    </row>
    <row r="10643" spans="10:10" ht="15" customHeight="1" x14ac:dyDescent="0.3">
      <c r="J10643" s="33"/>
    </row>
    <row r="10644" spans="10:10" ht="15" customHeight="1" x14ac:dyDescent="0.3">
      <c r="J10644" s="33"/>
    </row>
    <row r="10645" spans="10:10" ht="15" customHeight="1" x14ac:dyDescent="0.3">
      <c r="J10645" s="33"/>
    </row>
    <row r="10646" spans="10:10" ht="15" customHeight="1" x14ac:dyDescent="0.3">
      <c r="J10646" s="33"/>
    </row>
    <row r="10647" spans="10:10" ht="15" customHeight="1" x14ac:dyDescent="0.3">
      <c r="J10647" s="33"/>
    </row>
    <row r="10648" spans="10:10" ht="15" customHeight="1" x14ac:dyDescent="0.3">
      <c r="J10648" s="33"/>
    </row>
    <row r="10649" spans="10:10" ht="15" customHeight="1" x14ac:dyDescent="0.3">
      <c r="J10649" s="33"/>
    </row>
    <row r="10650" spans="10:10" ht="15" customHeight="1" x14ac:dyDescent="0.3">
      <c r="J10650" s="33"/>
    </row>
    <row r="10651" spans="10:10" ht="15" customHeight="1" x14ac:dyDescent="0.3">
      <c r="J10651" s="33"/>
    </row>
    <row r="10652" spans="10:10" ht="15" customHeight="1" x14ac:dyDescent="0.3">
      <c r="J10652" s="33"/>
    </row>
    <row r="10653" spans="10:10" ht="15" customHeight="1" x14ac:dyDescent="0.3">
      <c r="J10653" s="33"/>
    </row>
    <row r="10654" spans="10:10" ht="15" customHeight="1" x14ac:dyDescent="0.3">
      <c r="J10654" s="33"/>
    </row>
    <row r="10655" spans="10:10" ht="15" customHeight="1" x14ac:dyDescent="0.3">
      <c r="J10655" s="33"/>
    </row>
    <row r="10656" spans="10:10" ht="15" customHeight="1" x14ac:dyDescent="0.3">
      <c r="J10656" s="33"/>
    </row>
    <row r="10657" spans="10:10" ht="15" customHeight="1" x14ac:dyDescent="0.3">
      <c r="J10657" s="33"/>
    </row>
    <row r="10658" spans="10:10" ht="15" customHeight="1" x14ac:dyDescent="0.3">
      <c r="J10658" s="33"/>
    </row>
    <row r="10659" spans="10:10" ht="15" customHeight="1" x14ac:dyDescent="0.3">
      <c r="J10659" s="33"/>
    </row>
    <row r="10660" spans="10:10" ht="15" customHeight="1" x14ac:dyDescent="0.3">
      <c r="J10660" s="33"/>
    </row>
    <row r="10661" spans="10:10" ht="15" customHeight="1" x14ac:dyDescent="0.3">
      <c r="J10661" s="33"/>
    </row>
    <row r="10662" spans="10:10" ht="15" customHeight="1" x14ac:dyDescent="0.3">
      <c r="J10662" s="33"/>
    </row>
    <row r="10663" spans="10:10" ht="15" customHeight="1" x14ac:dyDescent="0.3">
      <c r="J10663" s="33"/>
    </row>
    <row r="10664" spans="10:10" ht="15" customHeight="1" x14ac:dyDescent="0.3">
      <c r="J10664" s="33"/>
    </row>
    <row r="10665" spans="10:10" ht="15" customHeight="1" x14ac:dyDescent="0.3">
      <c r="J10665" s="33"/>
    </row>
    <row r="10666" spans="10:10" ht="15" customHeight="1" x14ac:dyDescent="0.3">
      <c r="J10666" s="33"/>
    </row>
    <row r="10667" spans="10:10" ht="15" customHeight="1" x14ac:dyDescent="0.3">
      <c r="J10667" s="33"/>
    </row>
    <row r="10668" spans="10:10" ht="15" customHeight="1" x14ac:dyDescent="0.3">
      <c r="J10668" s="33"/>
    </row>
    <row r="10669" spans="10:10" ht="15" customHeight="1" x14ac:dyDescent="0.3">
      <c r="J10669" s="33"/>
    </row>
    <row r="10670" spans="10:10" ht="15" customHeight="1" x14ac:dyDescent="0.3">
      <c r="J10670" s="33"/>
    </row>
    <row r="10671" spans="10:10" ht="15" customHeight="1" x14ac:dyDescent="0.3">
      <c r="J10671" s="33"/>
    </row>
    <row r="10672" spans="10:10" ht="15" customHeight="1" x14ac:dyDescent="0.3">
      <c r="J10672" s="33"/>
    </row>
    <row r="10673" spans="10:10" ht="15" customHeight="1" x14ac:dyDescent="0.3">
      <c r="J10673" s="33"/>
    </row>
    <row r="10674" spans="10:10" ht="15" customHeight="1" x14ac:dyDescent="0.3">
      <c r="J10674" s="33"/>
    </row>
    <row r="10675" spans="10:10" ht="15" customHeight="1" x14ac:dyDescent="0.3">
      <c r="J10675" s="33"/>
    </row>
    <row r="10676" spans="10:10" ht="15" customHeight="1" x14ac:dyDescent="0.3">
      <c r="J10676" s="33"/>
    </row>
    <row r="10677" spans="10:10" ht="15" customHeight="1" x14ac:dyDescent="0.3">
      <c r="J10677" s="33"/>
    </row>
    <row r="10678" spans="10:10" ht="15" customHeight="1" x14ac:dyDescent="0.3">
      <c r="J10678" s="33"/>
    </row>
    <row r="10679" spans="10:10" ht="15" customHeight="1" x14ac:dyDescent="0.3">
      <c r="J10679" s="33"/>
    </row>
    <row r="10680" spans="10:10" ht="15" customHeight="1" x14ac:dyDescent="0.3">
      <c r="J10680" s="33"/>
    </row>
    <row r="10681" spans="10:10" ht="15" customHeight="1" x14ac:dyDescent="0.3">
      <c r="J10681" s="33"/>
    </row>
    <row r="10682" spans="10:10" ht="15" customHeight="1" x14ac:dyDescent="0.3">
      <c r="J10682" s="33"/>
    </row>
    <row r="10683" spans="10:10" ht="15" customHeight="1" x14ac:dyDescent="0.3">
      <c r="J10683" s="33"/>
    </row>
    <row r="10684" spans="10:10" ht="15" customHeight="1" x14ac:dyDescent="0.3">
      <c r="J10684" s="33"/>
    </row>
    <row r="10685" spans="10:10" ht="15" customHeight="1" x14ac:dyDescent="0.3">
      <c r="J10685" s="33"/>
    </row>
    <row r="10686" spans="10:10" ht="15" customHeight="1" x14ac:dyDescent="0.3">
      <c r="J10686" s="33"/>
    </row>
    <row r="10687" spans="10:10" ht="15" customHeight="1" x14ac:dyDescent="0.3">
      <c r="J10687" s="33"/>
    </row>
    <row r="10688" spans="10:10" ht="15" customHeight="1" x14ac:dyDescent="0.3">
      <c r="J10688" s="33"/>
    </row>
    <row r="10689" spans="10:10" ht="15" customHeight="1" x14ac:dyDescent="0.3">
      <c r="J10689" s="33"/>
    </row>
    <row r="10690" spans="10:10" ht="15" customHeight="1" x14ac:dyDescent="0.3">
      <c r="J10690" s="33"/>
    </row>
    <row r="10691" spans="10:10" ht="15" customHeight="1" x14ac:dyDescent="0.3">
      <c r="J10691" s="33"/>
    </row>
    <row r="10692" spans="10:10" ht="15" customHeight="1" x14ac:dyDescent="0.3">
      <c r="J10692" s="33"/>
    </row>
    <row r="10693" spans="10:10" ht="15" customHeight="1" x14ac:dyDescent="0.3">
      <c r="J10693" s="33"/>
    </row>
    <row r="10694" spans="10:10" ht="15" customHeight="1" x14ac:dyDescent="0.3">
      <c r="J10694" s="33"/>
    </row>
    <row r="10695" spans="10:10" ht="15" customHeight="1" x14ac:dyDescent="0.3">
      <c r="J10695" s="33"/>
    </row>
    <row r="10696" spans="10:10" ht="15" customHeight="1" x14ac:dyDescent="0.3">
      <c r="J10696" s="33"/>
    </row>
    <row r="10697" spans="10:10" ht="15" customHeight="1" x14ac:dyDescent="0.3">
      <c r="J10697" s="33"/>
    </row>
    <row r="10698" spans="10:10" ht="15" customHeight="1" x14ac:dyDescent="0.3">
      <c r="J10698" s="33"/>
    </row>
    <row r="10699" spans="10:10" ht="15" customHeight="1" x14ac:dyDescent="0.3">
      <c r="J10699" s="33"/>
    </row>
    <row r="10700" spans="10:10" ht="15" customHeight="1" x14ac:dyDescent="0.3">
      <c r="J10700" s="33"/>
    </row>
    <row r="10701" spans="10:10" ht="15" customHeight="1" x14ac:dyDescent="0.3">
      <c r="J10701" s="33"/>
    </row>
    <row r="10702" spans="10:10" ht="15" customHeight="1" x14ac:dyDescent="0.3">
      <c r="J10702" s="33"/>
    </row>
    <row r="10703" spans="10:10" ht="15" customHeight="1" x14ac:dyDescent="0.3">
      <c r="J10703" s="33"/>
    </row>
    <row r="10704" spans="10:10" ht="15" customHeight="1" x14ac:dyDescent="0.3">
      <c r="J10704" s="33"/>
    </row>
    <row r="10705" spans="10:10" ht="15" customHeight="1" x14ac:dyDescent="0.3">
      <c r="J10705" s="33"/>
    </row>
    <row r="10706" spans="10:10" ht="15" customHeight="1" x14ac:dyDescent="0.3">
      <c r="J10706" s="33"/>
    </row>
    <row r="10707" spans="10:10" ht="15" customHeight="1" x14ac:dyDescent="0.3">
      <c r="J10707" s="33"/>
    </row>
    <row r="10708" spans="10:10" ht="15" customHeight="1" x14ac:dyDescent="0.3">
      <c r="J10708" s="33"/>
    </row>
    <row r="10709" spans="10:10" ht="15" customHeight="1" x14ac:dyDescent="0.3">
      <c r="J10709" s="33"/>
    </row>
    <row r="10710" spans="10:10" ht="15" customHeight="1" x14ac:dyDescent="0.3">
      <c r="J10710" s="33"/>
    </row>
    <row r="10711" spans="10:10" ht="15" customHeight="1" x14ac:dyDescent="0.3">
      <c r="J10711" s="33"/>
    </row>
    <row r="10712" spans="10:10" ht="15" customHeight="1" x14ac:dyDescent="0.3">
      <c r="J10712" s="33"/>
    </row>
    <row r="10713" spans="10:10" ht="15" customHeight="1" x14ac:dyDescent="0.3">
      <c r="J10713" s="33"/>
    </row>
    <row r="10714" spans="10:10" ht="15" customHeight="1" x14ac:dyDescent="0.3">
      <c r="J10714" s="33"/>
    </row>
    <row r="10715" spans="10:10" ht="15" customHeight="1" x14ac:dyDescent="0.3">
      <c r="J10715" s="33"/>
    </row>
    <row r="10716" spans="10:10" ht="15" customHeight="1" x14ac:dyDescent="0.3">
      <c r="J10716" s="33"/>
    </row>
    <row r="10717" spans="10:10" ht="15" customHeight="1" x14ac:dyDescent="0.3">
      <c r="J10717" s="33"/>
    </row>
    <row r="10718" spans="10:10" ht="15" customHeight="1" x14ac:dyDescent="0.3">
      <c r="J10718" s="33"/>
    </row>
    <row r="10719" spans="10:10" ht="15" customHeight="1" x14ac:dyDescent="0.3">
      <c r="J10719" s="33"/>
    </row>
    <row r="10720" spans="10:10" ht="15" customHeight="1" x14ac:dyDescent="0.3">
      <c r="J10720" s="33"/>
    </row>
    <row r="10721" spans="10:10" ht="15" customHeight="1" x14ac:dyDescent="0.3">
      <c r="J10721" s="33"/>
    </row>
    <row r="10722" spans="10:10" ht="15" customHeight="1" x14ac:dyDescent="0.3">
      <c r="J10722" s="33"/>
    </row>
    <row r="10723" spans="10:10" ht="15" customHeight="1" x14ac:dyDescent="0.3">
      <c r="J10723" s="33"/>
    </row>
    <row r="10724" spans="10:10" ht="15" customHeight="1" x14ac:dyDescent="0.3">
      <c r="J10724" s="33"/>
    </row>
    <row r="10725" spans="10:10" ht="15" customHeight="1" x14ac:dyDescent="0.3">
      <c r="J10725" s="33"/>
    </row>
    <row r="10726" spans="10:10" ht="15" customHeight="1" x14ac:dyDescent="0.3">
      <c r="J10726" s="33"/>
    </row>
    <row r="10727" spans="10:10" ht="15" customHeight="1" x14ac:dyDescent="0.3">
      <c r="J10727" s="33"/>
    </row>
    <row r="10728" spans="10:10" ht="15" customHeight="1" x14ac:dyDescent="0.3">
      <c r="J10728" s="33"/>
    </row>
    <row r="10729" spans="10:10" ht="15" customHeight="1" x14ac:dyDescent="0.3">
      <c r="J10729" s="33"/>
    </row>
    <row r="10730" spans="10:10" ht="15" customHeight="1" x14ac:dyDescent="0.3">
      <c r="J10730" s="33"/>
    </row>
    <row r="10731" spans="10:10" ht="15" customHeight="1" x14ac:dyDescent="0.3">
      <c r="J10731" s="33"/>
    </row>
    <row r="10732" spans="10:10" ht="15" customHeight="1" x14ac:dyDescent="0.3">
      <c r="J10732" s="33"/>
    </row>
    <row r="10733" spans="10:10" ht="15" customHeight="1" x14ac:dyDescent="0.3">
      <c r="J10733" s="33"/>
    </row>
    <row r="10734" spans="10:10" ht="15" customHeight="1" x14ac:dyDescent="0.3">
      <c r="J10734" s="33"/>
    </row>
    <row r="10735" spans="10:10" ht="15" customHeight="1" x14ac:dyDescent="0.3">
      <c r="J10735" s="33"/>
    </row>
    <row r="10736" spans="10:10" ht="15" customHeight="1" x14ac:dyDescent="0.3">
      <c r="J10736" s="33"/>
    </row>
    <row r="10737" spans="10:10" ht="15" customHeight="1" x14ac:dyDescent="0.3">
      <c r="J10737" s="33"/>
    </row>
    <row r="10738" spans="10:10" ht="15" customHeight="1" x14ac:dyDescent="0.3">
      <c r="J10738" s="33"/>
    </row>
    <row r="10739" spans="10:10" ht="15" customHeight="1" x14ac:dyDescent="0.3">
      <c r="J10739" s="33"/>
    </row>
    <row r="10740" spans="10:10" ht="15" customHeight="1" x14ac:dyDescent="0.3">
      <c r="J10740" s="33"/>
    </row>
    <row r="10741" spans="10:10" ht="15" customHeight="1" x14ac:dyDescent="0.3">
      <c r="J10741" s="33"/>
    </row>
    <row r="10742" spans="10:10" ht="15" customHeight="1" x14ac:dyDescent="0.3">
      <c r="J10742" s="33"/>
    </row>
    <row r="10743" spans="10:10" ht="15" customHeight="1" x14ac:dyDescent="0.3">
      <c r="J10743" s="33"/>
    </row>
    <row r="10744" spans="10:10" ht="15" customHeight="1" x14ac:dyDescent="0.3">
      <c r="J10744" s="33"/>
    </row>
    <row r="10745" spans="10:10" ht="15" customHeight="1" x14ac:dyDescent="0.3">
      <c r="J10745" s="33"/>
    </row>
    <row r="10746" spans="10:10" ht="15" customHeight="1" x14ac:dyDescent="0.3">
      <c r="J10746" s="33"/>
    </row>
    <row r="10747" spans="10:10" ht="15" customHeight="1" x14ac:dyDescent="0.3">
      <c r="J10747" s="33"/>
    </row>
    <row r="10748" spans="10:10" ht="15" customHeight="1" x14ac:dyDescent="0.3">
      <c r="J10748" s="33"/>
    </row>
    <row r="10749" spans="10:10" ht="15" customHeight="1" x14ac:dyDescent="0.3">
      <c r="J10749" s="33"/>
    </row>
    <row r="10750" spans="10:10" ht="15" customHeight="1" x14ac:dyDescent="0.3">
      <c r="J10750" s="33"/>
    </row>
    <row r="10751" spans="10:10" ht="15" customHeight="1" x14ac:dyDescent="0.3">
      <c r="J10751" s="33"/>
    </row>
    <row r="10752" spans="10:10" ht="15" customHeight="1" x14ac:dyDescent="0.3">
      <c r="J10752" s="33"/>
    </row>
    <row r="10753" spans="10:10" ht="15" customHeight="1" x14ac:dyDescent="0.3">
      <c r="J10753" s="33"/>
    </row>
    <row r="10754" spans="10:10" ht="15" customHeight="1" x14ac:dyDescent="0.3">
      <c r="J10754" s="33"/>
    </row>
    <row r="10755" spans="10:10" ht="15" customHeight="1" x14ac:dyDescent="0.3">
      <c r="J10755" s="33"/>
    </row>
    <row r="10756" spans="10:10" ht="15" customHeight="1" x14ac:dyDescent="0.3">
      <c r="J10756" s="33"/>
    </row>
    <row r="10757" spans="10:10" ht="15" customHeight="1" x14ac:dyDescent="0.3">
      <c r="J10757" s="33"/>
    </row>
    <row r="10758" spans="10:10" ht="15" customHeight="1" x14ac:dyDescent="0.3">
      <c r="J10758" s="33"/>
    </row>
    <row r="10759" spans="10:10" ht="15" customHeight="1" x14ac:dyDescent="0.3">
      <c r="J10759" s="33"/>
    </row>
    <row r="10760" spans="10:10" ht="15" customHeight="1" x14ac:dyDescent="0.3">
      <c r="J10760" s="33"/>
    </row>
    <row r="10761" spans="10:10" ht="15" customHeight="1" x14ac:dyDescent="0.3">
      <c r="J10761" s="33"/>
    </row>
    <row r="10762" spans="10:10" ht="15" customHeight="1" x14ac:dyDescent="0.3">
      <c r="J10762" s="33"/>
    </row>
    <row r="10763" spans="10:10" ht="15" customHeight="1" x14ac:dyDescent="0.3">
      <c r="J10763" s="33"/>
    </row>
    <row r="10764" spans="10:10" ht="15" customHeight="1" x14ac:dyDescent="0.3">
      <c r="J10764" s="33"/>
    </row>
    <row r="10765" spans="10:10" ht="15" customHeight="1" x14ac:dyDescent="0.3">
      <c r="J10765" s="33"/>
    </row>
    <row r="10766" spans="10:10" ht="15" customHeight="1" x14ac:dyDescent="0.3">
      <c r="J10766" s="33"/>
    </row>
    <row r="10767" spans="10:10" ht="15" customHeight="1" x14ac:dyDescent="0.3">
      <c r="J10767" s="33"/>
    </row>
    <row r="10768" spans="10:10" ht="15" customHeight="1" x14ac:dyDescent="0.3">
      <c r="J10768" s="33"/>
    </row>
    <row r="10769" spans="10:10" ht="15" customHeight="1" x14ac:dyDescent="0.3">
      <c r="J10769" s="33"/>
    </row>
    <row r="10770" spans="10:10" ht="15" customHeight="1" x14ac:dyDescent="0.3">
      <c r="J10770" s="33"/>
    </row>
    <row r="10771" spans="10:10" ht="15" customHeight="1" x14ac:dyDescent="0.3">
      <c r="J10771" s="33"/>
    </row>
    <row r="10772" spans="10:10" ht="15" customHeight="1" x14ac:dyDescent="0.3">
      <c r="J10772" s="33"/>
    </row>
    <row r="10773" spans="10:10" ht="15" customHeight="1" x14ac:dyDescent="0.3">
      <c r="J10773" s="33"/>
    </row>
    <row r="10774" spans="10:10" ht="15" customHeight="1" x14ac:dyDescent="0.3">
      <c r="J10774" s="33"/>
    </row>
    <row r="10775" spans="10:10" ht="15" customHeight="1" x14ac:dyDescent="0.3">
      <c r="J10775" s="33"/>
    </row>
    <row r="10776" spans="10:10" ht="15" customHeight="1" x14ac:dyDescent="0.3">
      <c r="J10776" s="33"/>
    </row>
    <row r="10777" spans="10:10" ht="15" customHeight="1" x14ac:dyDescent="0.3">
      <c r="J10777" s="33"/>
    </row>
    <row r="10778" spans="10:10" ht="15" customHeight="1" x14ac:dyDescent="0.3">
      <c r="J10778" s="33"/>
    </row>
    <row r="10779" spans="10:10" ht="15" customHeight="1" x14ac:dyDescent="0.3">
      <c r="J10779" s="33"/>
    </row>
    <row r="10780" spans="10:10" ht="15" customHeight="1" x14ac:dyDescent="0.3">
      <c r="J10780" s="33"/>
    </row>
    <row r="10781" spans="10:10" ht="15" customHeight="1" x14ac:dyDescent="0.3">
      <c r="J10781" s="33"/>
    </row>
    <row r="10782" spans="10:10" ht="15" customHeight="1" x14ac:dyDescent="0.3">
      <c r="J10782" s="33"/>
    </row>
    <row r="10783" spans="10:10" ht="15" customHeight="1" x14ac:dyDescent="0.3">
      <c r="J10783" s="33"/>
    </row>
    <row r="10784" spans="10:10" ht="15" customHeight="1" x14ac:dyDescent="0.3">
      <c r="J10784" s="33"/>
    </row>
    <row r="10785" spans="10:10" ht="15" customHeight="1" x14ac:dyDescent="0.3">
      <c r="J10785" s="33"/>
    </row>
    <row r="10786" spans="10:10" ht="15" customHeight="1" x14ac:dyDescent="0.3">
      <c r="J10786" s="33"/>
    </row>
    <row r="10787" spans="10:10" ht="15" customHeight="1" x14ac:dyDescent="0.3">
      <c r="J10787" s="33"/>
    </row>
    <row r="10788" spans="10:10" ht="15" customHeight="1" x14ac:dyDescent="0.3">
      <c r="J10788" s="33"/>
    </row>
    <row r="10789" spans="10:10" ht="15" customHeight="1" x14ac:dyDescent="0.3">
      <c r="J10789" s="33"/>
    </row>
    <row r="10790" spans="10:10" ht="15" customHeight="1" x14ac:dyDescent="0.3">
      <c r="J10790" s="33"/>
    </row>
    <row r="10791" spans="10:10" ht="15" customHeight="1" x14ac:dyDescent="0.3">
      <c r="J10791" s="33"/>
    </row>
    <row r="10792" spans="10:10" ht="15" customHeight="1" x14ac:dyDescent="0.3">
      <c r="J10792" s="33"/>
    </row>
    <row r="10793" spans="10:10" ht="15" customHeight="1" x14ac:dyDescent="0.3">
      <c r="J10793" s="33"/>
    </row>
    <row r="10794" spans="10:10" ht="15" customHeight="1" x14ac:dyDescent="0.3">
      <c r="J10794" s="33"/>
    </row>
    <row r="10795" spans="10:10" ht="15" customHeight="1" x14ac:dyDescent="0.3">
      <c r="J10795" s="33"/>
    </row>
    <row r="10796" spans="10:10" ht="15" customHeight="1" x14ac:dyDescent="0.3">
      <c r="J10796" s="33"/>
    </row>
    <row r="10797" spans="10:10" ht="15" customHeight="1" x14ac:dyDescent="0.3">
      <c r="J10797" s="33"/>
    </row>
    <row r="10798" spans="10:10" ht="15" customHeight="1" x14ac:dyDescent="0.3">
      <c r="J10798" s="33"/>
    </row>
    <row r="10799" spans="10:10" ht="15" customHeight="1" x14ac:dyDescent="0.3">
      <c r="J10799" s="33"/>
    </row>
    <row r="10800" spans="10:10" ht="15" customHeight="1" x14ac:dyDescent="0.3">
      <c r="J10800" s="33"/>
    </row>
    <row r="10801" spans="10:10" ht="15" customHeight="1" x14ac:dyDescent="0.3">
      <c r="J10801" s="33"/>
    </row>
    <row r="10802" spans="10:10" ht="15" customHeight="1" x14ac:dyDescent="0.3">
      <c r="J10802" s="33"/>
    </row>
    <row r="10803" spans="10:10" ht="15" customHeight="1" x14ac:dyDescent="0.3">
      <c r="J10803" s="33"/>
    </row>
    <row r="10804" spans="10:10" ht="15" customHeight="1" x14ac:dyDescent="0.3">
      <c r="J10804" s="33"/>
    </row>
    <row r="10805" spans="10:10" ht="15" customHeight="1" x14ac:dyDescent="0.3">
      <c r="J10805" s="33"/>
    </row>
    <row r="10806" spans="10:10" ht="15" customHeight="1" x14ac:dyDescent="0.3">
      <c r="J10806" s="33"/>
    </row>
    <row r="10807" spans="10:10" ht="15" customHeight="1" x14ac:dyDescent="0.3">
      <c r="J10807" s="33"/>
    </row>
    <row r="10808" spans="10:10" ht="15" customHeight="1" x14ac:dyDescent="0.3">
      <c r="J10808" s="33"/>
    </row>
    <row r="10809" spans="10:10" ht="15" customHeight="1" x14ac:dyDescent="0.3">
      <c r="J10809" s="33"/>
    </row>
    <row r="10810" spans="10:10" ht="15" customHeight="1" x14ac:dyDescent="0.3">
      <c r="J10810" s="33"/>
    </row>
    <row r="10811" spans="10:10" ht="15" customHeight="1" x14ac:dyDescent="0.3">
      <c r="J10811" s="33"/>
    </row>
    <row r="10812" spans="10:10" ht="15" customHeight="1" x14ac:dyDescent="0.3">
      <c r="J10812" s="33"/>
    </row>
    <row r="10813" spans="10:10" ht="15" customHeight="1" x14ac:dyDescent="0.3">
      <c r="J10813" s="33"/>
    </row>
    <row r="10814" spans="10:10" ht="15" customHeight="1" x14ac:dyDescent="0.3">
      <c r="J10814" s="33"/>
    </row>
    <row r="10815" spans="10:10" ht="15" customHeight="1" x14ac:dyDescent="0.3">
      <c r="J10815" s="33"/>
    </row>
    <row r="10816" spans="10:10" ht="15" customHeight="1" x14ac:dyDescent="0.3">
      <c r="J10816" s="33"/>
    </row>
    <row r="10817" spans="10:10" ht="15" customHeight="1" x14ac:dyDescent="0.3">
      <c r="J10817" s="33"/>
    </row>
    <row r="10818" spans="10:10" ht="15" customHeight="1" x14ac:dyDescent="0.3">
      <c r="J10818" s="33"/>
    </row>
    <row r="10819" spans="10:10" ht="15" customHeight="1" x14ac:dyDescent="0.3">
      <c r="J10819" s="33"/>
    </row>
    <row r="10820" spans="10:10" ht="15" customHeight="1" x14ac:dyDescent="0.3">
      <c r="J10820" s="33"/>
    </row>
    <row r="10821" spans="10:10" ht="15" customHeight="1" x14ac:dyDescent="0.3">
      <c r="J10821" s="33"/>
    </row>
    <row r="10822" spans="10:10" ht="15" customHeight="1" x14ac:dyDescent="0.3">
      <c r="J10822" s="33"/>
    </row>
    <row r="10823" spans="10:10" ht="15" customHeight="1" x14ac:dyDescent="0.3">
      <c r="J10823" s="33"/>
    </row>
    <row r="10824" spans="10:10" ht="15" customHeight="1" x14ac:dyDescent="0.3">
      <c r="J10824" s="33"/>
    </row>
    <row r="10825" spans="10:10" ht="15" customHeight="1" x14ac:dyDescent="0.3">
      <c r="J10825" s="33"/>
    </row>
    <row r="10826" spans="10:10" ht="15" customHeight="1" x14ac:dyDescent="0.3">
      <c r="J10826" s="33"/>
    </row>
    <row r="10827" spans="10:10" ht="15" customHeight="1" x14ac:dyDescent="0.3">
      <c r="J10827" s="33"/>
    </row>
    <row r="10828" spans="10:10" ht="15" customHeight="1" x14ac:dyDescent="0.3">
      <c r="J10828" s="33"/>
    </row>
    <row r="10829" spans="10:10" ht="15" customHeight="1" x14ac:dyDescent="0.3">
      <c r="J10829" s="33"/>
    </row>
    <row r="10830" spans="10:10" ht="15" customHeight="1" x14ac:dyDescent="0.3">
      <c r="J10830" s="33"/>
    </row>
    <row r="10831" spans="10:10" ht="15" customHeight="1" x14ac:dyDescent="0.3">
      <c r="J10831" s="33"/>
    </row>
    <row r="10832" spans="10:10" ht="15" customHeight="1" x14ac:dyDescent="0.3">
      <c r="J10832" s="33"/>
    </row>
    <row r="10833" spans="10:10" ht="15" customHeight="1" x14ac:dyDescent="0.3">
      <c r="J10833" s="33"/>
    </row>
    <row r="10834" spans="10:10" ht="15" customHeight="1" x14ac:dyDescent="0.3">
      <c r="J10834" s="33"/>
    </row>
    <row r="10835" spans="10:10" ht="15" customHeight="1" x14ac:dyDescent="0.3">
      <c r="J10835" s="33"/>
    </row>
    <row r="10836" spans="10:10" ht="15" customHeight="1" x14ac:dyDescent="0.3">
      <c r="J10836" s="33"/>
    </row>
    <row r="10837" spans="10:10" ht="15" customHeight="1" x14ac:dyDescent="0.3">
      <c r="J10837" s="33"/>
    </row>
    <row r="10838" spans="10:10" ht="15" customHeight="1" x14ac:dyDescent="0.3">
      <c r="J10838" s="33"/>
    </row>
    <row r="10839" spans="10:10" ht="15" customHeight="1" x14ac:dyDescent="0.3">
      <c r="J10839" s="33"/>
    </row>
    <row r="10840" spans="10:10" ht="15" customHeight="1" x14ac:dyDescent="0.3">
      <c r="J10840" s="33"/>
    </row>
    <row r="10841" spans="10:10" ht="15" customHeight="1" x14ac:dyDescent="0.3">
      <c r="J10841" s="33"/>
    </row>
    <row r="10842" spans="10:10" ht="15" customHeight="1" x14ac:dyDescent="0.3">
      <c r="J10842" s="33"/>
    </row>
    <row r="10843" spans="10:10" ht="15" customHeight="1" x14ac:dyDescent="0.3">
      <c r="J10843" s="33"/>
    </row>
    <row r="10844" spans="10:10" ht="15" customHeight="1" x14ac:dyDescent="0.3">
      <c r="J10844" s="33"/>
    </row>
    <row r="10845" spans="10:10" ht="15" customHeight="1" x14ac:dyDescent="0.3">
      <c r="J10845" s="33"/>
    </row>
    <row r="10846" spans="10:10" ht="15" customHeight="1" x14ac:dyDescent="0.3">
      <c r="J10846" s="33"/>
    </row>
    <row r="10847" spans="10:10" ht="15" customHeight="1" x14ac:dyDescent="0.3">
      <c r="J10847" s="33"/>
    </row>
    <row r="10848" spans="10:10" ht="15" customHeight="1" x14ac:dyDescent="0.3">
      <c r="J10848" s="33"/>
    </row>
    <row r="10849" spans="10:10" ht="15" customHeight="1" x14ac:dyDescent="0.3">
      <c r="J10849" s="33"/>
    </row>
    <row r="10850" spans="10:10" ht="15" customHeight="1" x14ac:dyDescent="0.3">
      <c r="J10850" s="33"/>
    </row>
    <row r="10851" spans="10:10" ht="15" customHeight="1" x14ac:dyDescent="0.3">
      <c r="J10851" s="33"/>
    </row>
    <row r="10852" spans="10:10" ht="15" customHeight="1" x14ac:dyDescent="0.3">
      <c r="J10852" s="33"/>
    </row>
    <row r="10853" spans="10:10" ht="15" customHeight="1" x14ac:dyDescent="0.3">
      <c r="J10853" s="33"/>
    </row>
    <row r="10854" spans="10:10" ht="15" customHeight="1" x14ac:dyDescent="0.3">
      <c r="J10854" s="33"/>
    </row>
    <row r="10855" spans="10:10" ht="15" customHeight="1" x14ac:dyDescent="0.3">
      <c r="J10855" s="33"/>
    </row>
    <row r="10856" spans="10:10" ht="15" customHeight="1" x14ac:dyDescent="0.3">
      <c r="J10856" s="33"/>
    </row>
    <row r="10857" spans="10:10" ht="15" customHeight="1" x14ac:dyDescent="0.3">
      <c r="J10857" s="33"/>
    </row>
    <row r="10858" spans="10:10" ht="15" customHeight="1" x14ac:dyDescent="0.3">
      <c r="J10858" s="33"/>
    </row>
    <row r="10859" spans="10:10" ht="15" customHeight="1" x14ac:dyDescent="0.3">
      <c r="J10859" s="33"/>
    </row>
    <row r="10860" spans="10:10" ht="15" customHeight="1" x14ac:dyDescent="0.3">
      <c r="J10860" s="33"/>
    </row>
    <row r="10861" spans="10:10" ht="15" customHeight="1" x14ac:dyDescent="0.3">
      <c r="J10861" s="33"/>
    </row>
    <row r="10862" spans="10:10" ht="15" customHeight="1" x14ac:dyDescent="0.3">
      <c r="J10862" s="33"/>
    </row>
    <row r="10863" spans="10:10" ht="15" customHeight="1" x14ac:dyDescent="0.3">
      <c r="J10863" s="33"/>
    </row>
    <row r="10864" spans="10:10" ht="15" customHeight="1" x14ac:dyDescent="0.3">
      <c r="J10864" s="33"/>
    </row>
    <row r="10865" spans="10:10" ht="15" customHeight="1" x14ac:dyDescent="0.3">
      <c r="J10865" s="33"/>
    </row>
    <row r="10866" spans="10:10" ht="15" customHeight="1" x14ac:dyDescent="0.3">
      <c r="J10866" s="33"/>
    </row>
    <row r="10867" spans="10:10" ht="15" customHeight="1" x14ac:dyDescent="0.3">
      <c r="J10867" s="33"/>
    </row>
    <row r="10868" spans="10:10" ht="15" customHeight="1" x14ac:dyDescent="0.3">
      <c r="J10868" s="33"/>
    </row>
    <row r="10869" spans="10:10" ht="15" customHeight="1" x14ac:dyDescent="0.3">
      <c r="J10869" s="33"/>
    </row>
    <row r="10870" spans="10:10" ht="15" customHeight="1" x14ac:dyDescent="0.3">
      <c r="J10870" s="33"/>
    </row>
    <row r="10871" spans="10:10" ht="15" customHeight="1" x14ac:dyDescent="0.3">
      <c r="J10871" s="33"/>
    </row>
    <row r="10872" spans="10:10" ht="15" customHeight="1" x14ac:dyDescent="0.3">
      <c r="J10872" s="33"/>
    </row>
    <row r="10873" spans="10:10" ht="15" customHeight="1" x14ac:dyDescent="0.3">
      <c r="J10873" s="33"/>
    </row>
    <row r="10874" spans="10:10" ht="15" customHeight="1" x14ac:dyDescent="0.3">
      <c r="J10874" s="33"/>
    </row>
    <row r="10875" spans="10:10" ht="15" customHeight="1" x14ac:dyDescent="0.3">
      <c r="J10875" s="33"/>
    </row>
    <row r="10876" spans="10:10" ht="15" customHeight="1" x14ac:dyDescent="0.3">
      <c r="J10876" s="33"/>
    </row>
    <row r="10877" spans="10:10" ht="15" customHeight="1" x14ac:dyDescent="0.3">
      <c r="J10877" s="33"/>
    </row>
    <row r="10878" spans="10:10" ht="15" customHeight="1" x14ac:dyDescent="0.3">
      <c r="J10878" s="33"/>
    </row>
    <row r="10879" spans="10:10" ht="15" customHeight="1" x14ac:dyDescent="0.3">
      <c r="J10879" s="33"/>
    </row>
    <row r="10880" spans="10:10" ht="15" customHeight="1" x14ac:dyDescent="0.3">
      <c r="J10880" s="33"/>
    </row>
    <row r="10881" spans="10:10" ht="15" customHeight="1" x14ac:dyDescent="0.3">
      <c r="J10881" s="33"/>
    </row>
    <row r="10882" spans="10:10" ht="15" customHeight="1" x14ac:dyDescent="0.3">
      <c r="J10882" s="33"/>
    </row>
    <row r="10883" spans="10:10" ht="15" customHeight="1" x14ac:dyDescent="0.3">
      <c r="J10883" s="33"/>
    </row>
    <row r="10884" spans="10:10" ht="15" customHeight="1" x14ac:dyDescent="0.3">
      <c r="J10884" s="33"/>
    </row>
    <row r="10885" spans="10:10" ht="15" customHeight="1" x14ac:dyDescent="0.3">
      <c r="J10885" s="33"/>
    </row>
    <row r="10886" spans="10:10" ht="15" customHeight="1" x14ac:dyDescent="0.3">
      <c r="J10886" s="33"/>
    </row>
    <row r="10887" spans="10:10" ht="15" customHeight="1" x14ac:dyDescent="0.3">
      <c r="J10887" s="33"/>
    </row>
    <row r="10888" spans="10:10" ht="15" customHeight="1" x14ac:dyDescent="0.3">
      <c r="J10888" s="33"/>
    </row>
    <row r="10889" spans="10:10" ht="15" customHeight="1" x14ac:dyDescent="0.3">
      <c r="J10889" s="33"/>
    </row>
    <row r="10890" spans="10:10" ht="15" customHeight="1" x14ac:dyDescent="0.3">
      <c r="J10890" s="33"/>
    </row>
    <row r="10891" spans="10:10" ht="15" customHeight="1" x14ac:dyDescent="0.3">
      <c r="J10891" s="33"/>
    </row>
    <row r="10892" spans="10:10" ht="15" customHeight="1" x14ac:dyDescent="0.3">
      <c r="J10892" s="33"/>
    </row>
    <row r="10893" spans="10:10" ht="15" customHeight="1" x14ac:dyDescent="0.3">
      <c r="J10893" s="33"/>
    </row>
    <row r="10894" spans="10:10" ht="15" customHeight="1" x14ac:dyDescent="0.3">
      <c r="J10894" s="33"/>
    </row>
    <row r="10895" spans="10:10" ht="15" customHeight="1" x14ac:dyDescent="0.3">
      <c r="J10895" s="33"/>
    </row>
    <row r="10896" spans="10:10" ht="15" customHeight="1" x14ac:dyDescent="0.3">
      <c r="J10896" s="33"/>
    </row>
    <row r="10897" spans="10:10" ht="15" customHeight="1" x14ac:dyDescent="0.3">
      <c r="J10897" s="33"/>
    </row>
    <row r="10898" spans="10:10" ht="15" customHeight="1" x14ac:dyDescent="0.3">
      <c r="J10898" s="33"/>
    </row>
    <row r="10899" spans="10:10" ht="15" customHeight="1" x14ac:dyDescent="0.3">
      <c r="J10899" s="33"/>
    </row>
    <row r="10900" spans="10:10" ht="15" customHeight="1" x14ac:dyDescent="0.3">
      <c r="J10900" s="33"/>
    </row>
    <row r="10901" spans="10:10" ht="15" customHeight="1" x14ac:dyDescent="0.3">
      <c r="J10901" s="33"/>
    </row>
    <row r="10902" spans="10:10" ht="15" customHeight="1" x14ac:dyDescent="0.3">
      <c r="J10902" s="33"/>
    </row>
    <row r="10903" spans="10:10" ht="15" customHeight="1" x14ac:dyDescent="0.3">
      <c r="J10903" s="33"/>
    </row>
    <row r="10904" spans="10:10" ht="15" customHeight="1" x14ac:dyDescent="0.3">
      <c r="J10904" s="33"/>
    </row>
    <row r="10905" spans="10:10" ht="15" customHeight="1" x14ac:dyDescent="0.3">
      <c r="J10905" s="33"/>
    </row>
    <row r="10906" spans="10:10" ht="15" customHeight="1" x14ac:dyDescent="0.3">
      <c r="J10906" s="33"/>
    </row>
    <row r="10907" spans="10:10" ht="15" customHeight="1" x14ac:dyDescent="0.3">
      <c r="J10907" s="33"/>
    </row>
    <row r="10908" spans="10:10" ht="15" customHeight="1" x14ac:dyDescent="0.3">
      <c r="J10908" s="33"/>
    </row>
    <row r="10909" spans="10:10" ht="15" customHeight="1" x14ac:dyDescent="0.3">
      <c r="J10909" s="33"/>
    </row>
    <row r="10910" spans="10:10" ht="15" customHeight="1" x14ac:dyDescent="0.3">
      <c r="J10910" s="33"/>
    </row>
    <row r="10911" spans="10:10" ht="15" customHeight="1" x14ac:dyDescent="0.3">
      <c r="J10911" s="33"/>
    </row>
    <row r="10912" spans="10:10" ht="15" customHeight="1" x14ac:dyDescent="0.3">
      <c r="J10912" s="33"/>
    </row>
    <row r="10913" spans="10:10" ht="15" customHeight="1" x14ac:dyDescent="0.3">
      <c r="J10913" s="33"/>
    </row>
    <row r="10914" spans="10:10" ht="15" customHeight="1" x14ac:dyDescent="0.3">
      <c r="J10914" s="33"/>
    </row>
    <row r="10915" spans="10:10" ht="15" customHeight="1" x14ac:dyDescent="0.3">
      <c r="J10915" s="33"/>
    </row>
    <row r="10916" spans="10:10" ht="15" customHeight="1" x14ac:dyDescent="0.3">
      <c r="J10916" s="33"/>
    </row>
    <row r="10917" spans="10:10" ht="15" customHeight="1" x14ac:dyDescent="0.3">
      <c r="J10917" s="33"/>
    </row>
    <row r="10918" spans="10:10" ht="15" customHeight="1" x14ac:dyDescent="0.3">
      <c r="J10918" s="33"/>
    </row>
    <row r="10919" spans="10:10" ht="15" customHeight="1" x14ac:dyDescent="0.3">
      <c r="J10919" s="33"/>
    </row>
    <row r="10920" spans="10:10" ht="15" customHeight="1" x14ac:dyDescent="0.3">
      <c r="J10920" s="33"/>
    </row>
    <row r="10921" spans="10:10" ht="15" customHeight="1" x14ac:dyDescent="0.3">
      <c r="J10921" s="33"/>
    </row>
    <row r="10922" spans="10:10" ht="15" customHeight="1" x14ac:dyDescent="0.3">
      <c r="J10922" s="33"/>
    </row>
    <row r="10923" spans="10:10" ht="15" customHeight="1" x14ac:dyDescent="0.3">
      <c r="J10923" s="33"/>
    </row>
    <row r="10924" spans="10:10" ht="15" customHeight="1" x14ac:dyDescent="0.3">
      <c r="J10924" s="33"/>
    </row>
    <row r="10925" spans="10:10" ht="15" customHeight="1" x14ac:dyDescent="0.3">
      <c r="J10925" s="33"/>
    </row>
    <row r="10926" spans="10:10" ht="15" customHeight="1" x14ac:dyDescent="0.3">
      <c r="J10926" s="33"/>
    </row>
    <row r="10927" spans="10:10" ht="15" customHeight="1" x14ac:dyDescent="0.3">
      <c r="J10927" s="33"/>
    </row>
    <row r="10928" spans="10:10" ht="15" customHeight="1" x14ac:dyDescent="0.3">
      <c r="J10928" s="33"/>
    </row>
    <row r="10929" spans="10:10" ht="15" customHeight="1" x14ac:dyDescent="0.3">
      <c r="J10929" s="33"/>
    </row>
    <row r="10930" spans="10:10" ht="15" customHeight="1" x14ac:dyDescent="0.3">
      <c r="J10930" s="33"/>
    </row>
    <row r="10931" spans="10:10" ht="15" customHeight="1" x14ac:dyDescent="0.3">
      <c r="J10931" s="33"/>
    </row>
    <row r="10932" spans="10:10" ht="15" customHeight="1" x14ac:dyDescent="0.3">
      <c r="J10932" s="33"/>
    </row>
    <row r="10933" spans="10:10" ht="15" customHeight="1" x14ac:dyDescent="0.3">
      <c r="J10933" s="33"/>
    </row>
    <row r="10934" spans="10:10" ht="15" customHeight="1" x14ac:dyDescent="0.3">
      <c r="J10934" s="33"/>
    </row>
    <row r="10935" spans="10:10" ht="15" customHeight="1" x14ac:dyDescent="0.3">
      <c r="J10935" s="33"/>
    </row>
    <row r="10936" spans="10:10" ht="15" customHeight="1" x14ac:dyDescent="0.3">
      <c r="J10936" s="33"/>
    </row>
    <row r="10937" spans="10:10" ht="15" customHeight="1" x14ac:dyDescent="0.3">
      <c r="J10937" s="33"/>
    </row>
    <row r="10938" spans="10:10" ht="15" customHeight="1" x14ac:dyDescent="0.3">
      <c r="J10938" s="33"/>
    </row>
    <row r="10939" spans="10:10" ht="15" customHeight="1" x14ac:dyDescent="0.3">
      <c r="J10939" s="33"/>
    </row>
    <row r="10940" spans="10:10" ht="15" customHeight="1" x14ac:dyDescent="0.3">
      <c r="J10940" s="33"/>
    </row>
    <row r="10941" spans="10:10" ht="15" customHeight="1" x14ac:dyDescent="0.3">
      <c r="J10941" s="33"/>
    </row>
    <row r="10942" spans="10:10" ht="15" customHeight="1" x14ac:dyDescent="0.3">
      <c r="J10942" s="33"/>
    </row>
    <row r="10943" spans="10:10" ht="15" customHeight="1" x14ac:dyDescent="0.3">
      <c r="J10943" s="33"/>
    </row>
    <row r="10944" spans="10:10" ht="15" customHeight="1" x14ac:dyDescent="0.3">
      <c r="J10944" s="33"/>
    </row>
    <row r="10945" spans="10:10" ht="15" customHeight="1" x14ac:dyDescent="0.3">
      <c r="J10945" s="33"/>
    </row>
    <row r="10946" spans="10:10" ht="15" customHeight="1" x14ac:dyDescent="0.3">
      <c r="J10946" s="33"/>
    </row>
    <row r="10947" spans="10:10" ht="15" customHeight="1" x14ac:dyDescent="0.3">
      <c r="J10947" s="33"/>
    </row>
    <row r="10948" spans="10:10" ht="15" customHeight="1" x14ac:dyDescent="0.3">
      <c r="J10948" s="33"/>
    </row>
    <row r="10949" spans="10:10" ht="15" customHeight="1" x14ac:dyDescent="0.3">
      <c r="J10949" s="33"/>
    </row>
    <row r="10950" spans="10:10" ht="15" customHeight="1" x14ac:dyDescent="0.3">
      <c r="J10950" s="33"/>
    </row>
    <row r="10951" spans="10:10" ht="15" customHeight="1" x14ac:dyDescent="0.3">
      <c r="J10951" s="33"/>
    </row>
    <row r="10952" spans="10:10" ht="15" customHeight="1" x14ac:dyDescent="0.3">
      <c r="J10952" s="33"/>
    </row>
    <row r="10953" spans="10:10" ht="15" customHeight="1" x14ac:dyDescent="0.3">
      <c r="J10953" s="33"/>
    </row>
    <row r="10954" spans="10:10" ht="15" customHeight="1" x14ac:dyDescent="0.3">
      <c r="J10954" s="33"/>
    </row>
    <row r="10955" spans="10:10" ht="15" customHeight="1" x14ac:dyDescent="0.3">
      <c r="J10955" s="33"/>
    </row>
    <row r="10956" spans="10:10" ht="15" customHeight="1" x14ac:dyDescent="0.3">
      <c r="J10956" s="33"/>
    </row>
    <row r="10957" spans="10:10" ht="15" customHeight="1" x14ac:dyDescent="0.3">
      <c r="J10957" s="33"/>
    </row>
    <row r="10958" spans="10:10" ht="15" customHeight="1" x14ac:dyDescent="0.3">
      <c r="J10958" s="33"/>
    </row>
    <row r="10959" spans="10:10" ht="15" customHeight="1" x14ac:dyDescent="0.3">
      <c r="J10959" s="33"/>
    </row>
    <row r="10960" spans="10:10" ht="15" customHeight="1" x14ac:dyDescent="0.3">
      <c r="J10960" s="33"/>
    </row>
    <row r="10961" spans="10:10" ht="15" customHeight="1" x14ac:dyDescent="0.3">
      <c r="J10961" s="33"/>
    </row>
    <row r="10962" spans="10:10" ht="15" customHeight="1" x14ac:dyDescent="0.3">
      <c r="J10962" s="33"/>
    </row>
    <row r="10963" spans="10:10" ht="15" customHeight="1" x14ac:dyDescent="0.3">
      <c r="J10963" s="33"/>
    </row>
    <row r="10964" spans="10:10" ht="15" customHeight="1" x14ac:dyDescent="0.3">
      <c r="J10964" s="33"/>
    </row>
    <row r="10965" spans="10:10" ht="15" customHeight="1" x14ac:dyDescent="0.3">
      <c r="J10965" s="33"/>
    </row>
    <row r="10966" spans="10:10" ht="15" customHeight="1" x14ac:dyDescent="0.3">
      <c r="J10966" s="33"/>
    </row>
    <row r="10967" spans="10:10" ht="15" customHeight="1" x14ac:dyDescent="0.3">
      <c r="J10967" s="33"/>
    </row>
    <row r="10968" spans="10:10" ht="15" customHeight="1" x14ac:dyDescent="0.3">
      <c r="J10968" s="33"/>
    </row>
    <row r="10969" spans="10:10" ht="15" customHeight="1" x14ac:dyDescent="0.3">
      <c r="J10969" s="33"/>
    </row>
    <row r="10970" spans="10:10" ht="15" customHeight="1" x14ac:dyDescent="0.3">
      <c r="J10970" s="33"/>
    </row>
    <row r="10971" spans="10:10" ht="15" customHeight="1" x14ac:dyDescent="0.3">
      <c r="J10971" s="33"/>
    </row>
    <row r="10972" spans="10:10" ht="15" customHeight="1" x14ac:dyDescent="0.3">
      <c r="J10972" s="33"/>
    </row>
    <row r="10973" spans="10:10" ht="15" customHeight="1" x14ac:dyDescent="0.3">
      <c r="J10973" s="33"/>
    </row>
    <row r="10974" spans="10:10" ht="15" customHeight="1" x14ac:dyDescent="0.3">
      <c r="J10974" s="33"/>
    </row>
    <row r="10975" spans="10:10" ht="15" customHeight="1" x14ac:dyDescent="0.3">
      <c r="J10975" s="33"/>
    </row>
    <row r="10976" spans="10:10" ht="15" customHeight="1" x14ac:dyDescent="0.3">
      <c r="J10976" s="33"/>
    </row>
    <row r="10977" spans="10:10" ht="15" customHeight="1" x14ac:dyDescent="0.3">
      <c r="J10977" s="33"/>
    </row>
    <row r="10978" spans="10:10" ht="15" customHeight="1" x14ac:dyDescent="0.3">
      <c r="J10978" s="33"/>
    </row>
    <row r="10979" spans="10:10" ht="15" customHeight="1" x14ac:dyDescent="0.3">
      <c r="J10979" s="33"/>
    </row>
    <row r="10980" spans="10:10" ht="15" customHeight="1" x14ac:dyDescent="0.3">
      <c r="J10980" s="33"/>
    </row>
    <row r="10981" spans="10:10" ht="15" customHeight="1" x14ac:dyDescent="0.3">
      <c r="J10981" s="33"/>
    </row>
    <row r="10982" spans="10:10" ht="15" customHeight="1" x14ac:dyDescent="0.3">
      <c r="J10982" s="33"/>
    </row>
    <row r="10983" spans="10:10" ht="15" customHeight="1" x14ac:dyDescent="0.3">
      <c r="J10983" s="33"/>
    </row>
    <row r="10984" spans="10:10" ht="15" customHeight="1" x14ac:dyDescent="0.3">
      <c r="J10984" s="33"/>
    </row>
    <row r="10985" spans="10:10" ht="15" customHeight="1" x14ac:dyDescent="0.3">
      <c r="J10985" s="33"/>
    </row>
    <row r="10986" spans="10:10" ht="15" customHeight="1" x14ac:dyDescent="0.3">
      <c r="J10986" s="33"/>
    </row>
    <row r="10987" spans="10:10" ht="15" customHeight="1" x14ac:dyDescent="0.3">
      <c r="J10987" s="33"/>
    </row>
    <row r="10988" spans="10:10" ht="15" customHeight="1" x14ac:dyDescent="0.3">
      <c r="J10988" s="33"/>
    </row>
    <row r="10989" spans="10:10" ht="15" customHeight="1" x14ac:dyDescent="0.3">
      <c r="J10989" s="33"/>
    </row>
    <row r="10990" spans="10:10" ht="15" customHeight="1" x14ac:dyDescent="0.3">
      <c r="J10990" s="33"/>
    </row>
    <row r="10991" spans="10:10" ht="15" customHeight="1" x14ac:dyDescent="0.3">
      <c r="J10991" s="33"/>
    </row>
    <row r="10992" spans="10:10" ht="15" customHeight="1" x14ac:dyDescent="0.3">
      <c r="J10992" s="33"/>
    </row>
    <row r="10993" spans="10:10" ht="15" customHeight="1" x14ac:dyDescent="0.3">
      <c r="J10993" s="33"/>
    </row>
    <row r="10994" spans="10:10" ht="15" customHeight="1" x14ac:dyDescent="0.3">
      <c r="J10994" s="33"/>
    </row>
    <row r="10995" spans="10:10" ht="15" customHeight="1" x14ac:dyDescent="0.3">
      <c r="J10995" s="33"/>
    </row>
    <row r="10996" spans="10:10" ht="15" customHeight="1" x14ac:dyDescent="0.3">
      <c r="J10996" s="33"/>
    </row>
    <row r="10997" spans="10:10" ht="15" customHeight="1" x14ac:dyDescent="0.3">
      <c r="J10997" s="33"/>
    </row>
    <row r="10998" spans="10:10" ht="15" customHeight="1" x14ac:dyDescent="0.3">
      <c r="J10998" s="33"/>
    </row>
    <row r="10999" spans="10:10" ht="15" customHeight="1" x14ac:dyDescent="0.3">
      <c r="J10999" s="33"/>
    </row>
    <row r="11000" spans="10:10" ht="15" customHeight="1" x14ac:dyDescent="0.3">
      <c r="J11000" s="33"/>
    </row>
    <row r="11001" spans="10:10" ht="15" customHeight="1" x14ac:dyDescent="0.3">
      <c r="J11001" s="33"/>
    </row>
    <row r="11002" spans="10:10" ht="15" customHeight="1" x14ac:dyDescent="0.3">
      <c r="J11002" s="33"/>
    </row>
    <row r="11003" spans="10:10" ht="15" customHeight="1" x14ac:dyDescent="0.3">
      <c r="J11003" s="33"/>
    </row>
    <row r="11004" spans="10:10" ht="15" customHeight="1" x14ac:dyDescent="0.3">
      <c r="J11004" s="33"/>
    </row>
    <row r="11005" spans="10:10" ht="15" customHeight="1" x14ac:dyDescent="0.3">
      <c r="J11005" s="33"/>
    </row>
    <row r="11006" spans="10:10" ht="15" customHeight="1" x14ac:dyDescent="0.3">
      <c r="J11006" s="33"/>
    </row>
    <row r="11007" spans="10:10" ht="15" customHeight="1" x14ac:dyDescent="0.3">
      <c r="J11007" s="33"/>
    </row>
    <row r="11008" spans="10:10" ht="15" customHeight="1" x14ac:dyDescent="0.3">
      <c r="J11008" s="33"/>
    </row>
    <row r="11009" spans="10:10" ht="15" customHeight="1" x14ac:dyDescent="0.3">
      <c r="J11009" s="33"/>
    </row>
    <row r="11010" spans="10:10" ht="15" customHeight="1" x14ac:dyDescent="0.3">
      <c r="J11010" s="33"/>
    </row>
    <row r="11011" spans="10:10" ht="15" customHeight="1" x14ac:dyDescent="0.3">
      <c r="J11011" s="33"/>
    </row>
    <row r="11012" spans="10:10" ht="15" customHeight="1" x14ac:dyDescent="0.3">
      <c r="J11012" s="33"/>
    </row>
    <row r="11013" spans="10:10" ht="15" customHeight="1" x14ac:dyDescent="0.3">
      <c r="J11013" s="33"/>
    </row>
    <row r="11014" spans="10:10" ht="15" customHeight="1" x14ac:dyDescent="0.3">
      <c r="J11014" s="33"/>
    </row>
    <row r="11015" spans="10:10" ht="15" customHeight="1" x14ac:dyDescent="0.3">
      <c r="J11015" s="33"/>
    </row>
    <row r="11016" spans="10:10" ht="15" customHeight="1" x14ac:dyDescent="0.3">
      <c r="J11016" s="33"/>
    </row>
    <row r="11017" spans="10:10" ht="15" customHeight="1" x14ac:dyDescent="0.3">
      <c r="J11017" s="33"/>
    </row>
    <row r="11018" spans="10:10" ht="15" customHeight="1" x14ac:dyDescent="0.3">
      <c r="J11018" s="33"/>
    </row>
    <row r="11019" spans="10:10" ht="15" customHeight="1" x14ac:dyDescent="0.3">
      <c r="J11019" s="33"/>
    </row>
    <row r="11020" spans="10:10" ht="15" customHeight="1" x14ac:dyDescent="0.3">
      <c r="J11020" s="33"/>
    </row>
    <row r="11021" spans="10:10" ht="15" customHeight="1" x14ac:dyDescent="0.3">
      <c r="J11021" s="33"/>
    </row>
    <row r="11022" spans="10:10" ht="15" customHeight="1" x14ac:dyDescent="0.3">
      <c r="J11022" s="33"/>
    </row>
    <row r="11023" spans="10:10" ht="15" customHeight="1" x14ac:dyDescent="0.3">
      <c r="J11023" s="33"/>
    </row>
    <row r="11024" spans="10:10" ht="15" customHeight="1" x14ac:dyDescent="0.3">
      <c r="J11024" s="33"/>
    </row>
    <row r="11025" spans="10:10" ht="15" customHeight="1" x14ac:dyDescent="0.3">
      <c r="J11025" s="33"/>
    </row>
    <row r="11026" spans="10:10" ht="15" customHeight="1" x14ac:dyDescent="0.3">
      <c r="J11026" s="33"/>
    </row>
    <row r="11027" spans="10:10" ht="15" customHeight="1" x14ac:dyDescent="0.3">
      <c r="J11027" s="33"/>
    </row>
    <row r="11028" spans="10:10" ht="15" customHeight="1" x14ac:dyDescent="0.3">
      <c r="J11028" s="33"/>
    </row>
    <row r="11029" spans="10:10" ht="15" customHeight="1" x14ac:dyDescent="0.3">
      <c r="J11029" s="33"/>
    </row>
    <row r="11030" spans="10:10" ht="15" customHeight="1" x14ac:dyDescent="0.3">
      <c r="J11030" s="33"/>
    </row>
    <row r="11031" spans="10:10" ht="15" customHeight="1" x14ac:dyDescent="0.3">
      <c r="J11031" s="33"/>
    </row>
    <row r="11032" spans="10:10" ht="15" customHeight="1" x14ac:dyDescent="0.3">
      <c r="J11032" s="33"/>
    </row>
    <row r="11033" spans="10:10" ht="15" customHeight="1" x14ac:dyDescent="0.3">
      <c r="J11033" s="33"/>
    </row>
    <row r="11034" spans="10:10" ht="15" customHeight="1" x14ac:dyDescent="0.3">
      <c r="J11034" s="33"/>
    </row>
    <row r="11035" spans="10:10" ht="15" customHeight="1" x14ac:dyDescent="0.3">
      <c r="J11035" s="33"/>
    </row>
    <row r="11036" spans="10:10" ht="15" customHeight="1" x14ac:dyDescent="0.3">
      <c r="J11036" s="33"/>
    </row>
    <row r="11037" spans="10:10" ht="15" customHeight="1" x14ac:dyDescent="0.3">
      <c r="J11037" s="33"/>
    </row>
    <row r="11038" spans="10:10" ht="15" customHeight="1" x14ac:dyDescent="0.3">
      <c r="J11038" s="33"/>
    </row>
    <row r="11039" spans="10:10" ht="15" customHeight="1" x14ac:dyDescent="0.3">
      <c r="J11039" s="33"/>
    </row>
    <row r="11040" spans="10:10" ht="15" customHeight="1" x14ac:dyDescent="0.3">
      <c r="J11040" s="33"/>
    </row>
    <row r="11041" spans="10:10" ht="15" customHeight="1" x14ac:dyDescent="0.3">
      <c r="J11041" s="33"/>
    </row>
    <row r="11042" spans="10:10" ht="15" customHeight="1" x14ac:dyDescent="0.3">
      <c r="J11042" s="33"/>
    </row>
    <row r="11043" spans="10:10" ht="15" customHeight="1" x14ac:dyDescent="0.3">
      <c r="J11043" s="33"/>
    </row>
    <row r="11044" spans="10:10" ht="15" customHeight="1" x14ac:dyDescent="0.3">
      <c r="J11044" s="33"/>
    </row>
    <row r="11045" spans="10:10" ht="15" customHeight="1" x14ac:dyDescent="0.3">
      <c r="J11045" s="33"/>
    </row>
    <row r="11046" spans="10:10" ht="15" customHeight="1" x14ac:dyDescent="0.3">
      <c r="J11046" s="33"/>
    </row>
    <row r="11047" spans="10:10" ht="15" customHeight="1" x14ac:dyDescent="0.3">
      <c r="J11047" s="33"/>
    </row>
    <row r="11048" spans="10:10" ht="15" customHeight="1" x14ac:dyDescent="0.3">
      <c r="J11048" s="33"/>
    </row>
    <row r="11049" spans="10:10" ht="15" customHeight="1" x14ac:dyDescent="0.3">
      <c r="J11049" s="33"/>
    </row>
    <row r="11050" spans="10:10" ht="15" customHeight="1" x14ac:dyDescent="0.3">
      <c r="J11050" s="33"/>
    </row>
    <row r="11051" spans="10:10" ht="15" customHeight="1" x14ac:dyDescent="0.3">
      <c r="J11051" s="33"/>
    </row>
    <row r="11052" spans="10:10" ht="15" customHeight="1" x14ac:dyDescent="0.3">
      <c r="J11052" s="33"/>
    </row>
    <row r="11053" spans="10:10" ht="15" customHeight="1" x14ac:dyDescent="0.3">
      <c r="J11053" s="33"/>
    </row>
    <row r="11054" spans="10:10" ht="15" customHeight="1" x14ac:dyDescent="0.3">
      <c r="J11054" s="33"/>
    </row>
    <row r="11055" spans="10:10" ht="15" customHeight="1" x14ac:dyDescent="0.3">
      <c r="J11055" s="33"/>
    </row>
    <row r="11056" spans="10:10" ht="15" customHeight="1" x14ac:dyDescent="0.3">
      <c r="J11056" s="33"/>
    </row>
    <row r="11057" spans="10:10" ht="15" customHeight="1" x14ac:dyDescent="0.3">
      <c r="J11057" s="33"/>
    </row>
    <row r="11058" spans="10:10" ht="15" customHeight="1" x14ac:dyDescent="0.3">
      <c r="J11058" s="33"/>
    </row>
    <row r="11059" spans="10:10" ht="15" customHeight="1" x14ac:dyDescent="0.3">
      <c r="J11059" s="33"/>
    </row>
    <row r="11060" spans="10:10" ht="15" customHeight="1" x14ac:dyDescent="0.3">
      <c r="J11060" s="33"/>
    </row>
    <row r="11061" spans="10:10" ht="15" customHeight="1" x14ac:dyDescent="0.3">
      <c r="J11061" s="33"/>
    </row>
    <row r="11062" spans="10:10" ht="15" customHeight="1" x14ac:dyDescent="0.3">
      <c r="J11062" s="33"/>
    </row>
    <row r="11063" spans="10:10" ht="15" customHeight="1" x14ac:dyDescent="0.3">
      <c r="J11063" s="33"/>
    </row>
    <row r="11064" spans="10:10" ht="15" customHeight="1" x14ac:dyDescent="0.3">
      <c r="J11064" s="33"/>
    </row>
    <row r="11065" spans="10:10" ht="15" customHeight="1" x14ac:dyDescent="0.3">
      <c r="J11065" s="33"/>
    </row>
    <row r="11066" spans="10:10" ht="15" customHeight="1" x14ac:dyDescent="0.3">
      <c r="J11066" s="33"/>
    </row>
    <row r="11067" spans="10:10" ht="15" customHeight="1" x14ac:dyDescent="0.3">
      <c r="J11067" s="33"/>
    </row>
    <row r="11068" spans="10:10" ht="15" customHeight="1" x14ac:dyDescent="0.3">
      <c r="J11068" s="33"/>
    </row>
    <row r="11069" spans="10:10" ht="15" customHeight="1" x14ac:dyDescent="0.3">
      <c r="J11069" s="33"/>
    </row>
    <row r="11070" spans="10:10" ht="15" customHeight="1" x14ac:dyDescent="0.3">
      <c r="J11070" s="33"/>
    </row>
    <row r="11071" spans="10:10" ht="15" customHeight="1" x14ac:dyDescent="0.3">
      <c r="J11071" s="33"/>
    </row>
    <row r="11072" spans="10:10" ht="15" customHeight="1" x14ac:dyDescent="0.3">
      <c r="J11072" s="33"/>
    </row>
    <row r="11073" spans="10:10" ht="15" customHeight="1" x14ac:dyDescent="0.3">
      <c r="J11073" s="33"/>
    </row>
    <row r="11074" spans="10:10" ht="15" customHeight="1" x14ac:dyDescent="0.3">
      <c r="J11074" s="33"/>
    </row>
    <row r="11075" spans="10:10" ht="15" customHeight="1" x14ac:dyDescent="0.3">
      <c r="J11075" s="33"/>
    </row>
    <row r="11076" spans="10:10" ht="15" customHeight="1" x14ac:dyDescent="0.3">
      <c r="J11076" s="33"/>
    </row>
    <row r="11077" spans="10:10" ht="15" customHeight="1" x14ac:dyDescent="0.3">
      <c r="J11077" s="33"/>
    </row>
    <row r="11078" spans="10:10" ht="15" customHeight="1" x14ac:dyDescent="0.3">
      <c r="J11078" s="33"/>
    </row>
    <row r="11079" spans="10:10" ht="15" customHeight="1" x14ac:dyDescent="0.3">
      <c r="J11079" s="33"/>
    </row>
    <row r="11080" spans="10:10" ht="15" customHeight="1" x14ac:dyDescent="0.3">
      <c r="J11080" s="33"/>
    </row>
    <row r="11081" spans="10:10" ht="15" customHeight="1" x14ac:dyDescent="0.3">
      <c r="J11081" s="33"/>
    </row>
    <row r="11082" spans="10:10" ht="15" customHeight="1" x14ac:dyDescent="0.3">
      <c r="J11082" s="33"/>
    </row>
    <row r="11083" spans="10:10" ht="15" customHeight="1" x14ac:dyDescent="0.3">
      <c r="J11083" s="33"/>
    </row>
    <row r="11084" spans="10:10" ht="15" customHeight="1" x14ac:dyDescent="0.3">
      <c r="J11084" s="33"/>
    </row>
    <row r="11085" spans="10:10" ht="15" customHeight="1" x14ac:dyDescent="0.3">
      <c r="J11085" s="33"/>
    </row>
    <row r="11086" spans="10:10" ht="15" customHeight="1" x14ac:dyDescent="0.3">
      <c r="J11086" s="33"/>
    </row>
    <row r="11087" spans="10:10" ht="15" customHeight="1" x14ac:dyDescent="0.3">
      <c r="J11087" s="33"/>
    </row>
    <row r="11088" spans="10:10" ht="15" customHeight="1" x14ac:dyDescent="0.3">
      <c r="J11088" s="33"/>
    </row>
    <row r="11089" spans="10:10" ht="15" customHeight="1" x14ac:dyDescent="0.3">
      <c r="J11089" s="33"/>
    </row>
    <row r="11090" spans="10:10" ht="15" customHeight="1" x14ac:dyDescent="0.3">
      <c r="J11090" s="33"/>
    </row>
    <row r="11091" spans="10:10" ht="15" customHeight="1" x14ac:dyDescent="0.3">
      <c r="J11091" s="33"/>
    </row>
    <row r="11092" spans="10:10" ht="15" customHeight="1" x14ac:dyDescent="0.3">
      <c r="J11092" s="33"/>
    </row>
    <row r="11093" spans="10:10" ht="15" customHeight="1" x14ac:dyDescent="0.3">
      <c r="J11093" s="33"/>
    </row>
    <row r="11094" spans="10:10" ht="15" customHeight="1" x14ac:dyDescent="0.3">
      <c r="J11094" s="33"/>
    </row>
    <row r="11095" spans="10:10" ht="15" customHeight="1" x14ac:dyDescent="0.3">
      <c r="J11095" s="33"/>
    </row>
    <row r="11096" spans="10:10" ht="15" customHeight="1" x14ac:dyDescent="0.3">
      <c r="J11096" s="33"/>
    </row>
    <row r="11097" spans="10:10" ht="15" customHeight="1" x14ac:dyDescent="0.3">
      <c r="J11097" s="33"/>
    </row>
    <row r="11098" spans="10:10" ht="15" customHeight="1" x14ac:dyDescent="0.3">
      <c r="J11098" s="33"/>
    </row>
    <row r="11099" spans="10:10" ht="15" customHeight="1" x14ac:dyDescent="0.3">
      <c r="J11099" s="33"/>
    </row>
    <row r="11100" spans="10:10" ht="15" customHeight="1" x14ac:dyDescent="0.3">
      <c r="J11100" s="33"/>
    </row>
    <row r="11101" spans="10:10" ht="15" customHeight="1" x14ac:dyDescent="0.3">
      <c r="J11101" s="33"/>
    </row>
    <row r="11102" spans="10:10" ht="15" customHeight="1" x14ac:dyDescent="0.3">
      <c r="J11102" s="33"/>
    </row>
    <row r="11103" spans="10:10" ht="15" customHeight="1" x14ac:dyDescent="0.3">
      <c r="J11103" s="33"/>
    </row>
    <row r="11104" spans="10:10" ht="15" customHeight="1" x14ac:dyDescent="0.3">
      <c r="J11104" s="33"/>
    </row>
    <row r="11105" spans="10:10" ht="15" customHeight="1" x14ac:dyDescent="0.3">
      <c r="J11105" s="33"/>
    </row>
    <row r="11106" spans="10:10" ht="15" customHeight="1" x14ac:dyDescent="0.3">
      <c r="J11106" s="33"/>
    </row>
    <row r="11107" spans="10:10" ht="15" customHeight="1" x14ac:dyDescent="0.3">
      <c r="J11107" s="33"/>
    </row>
    <row r="11108" spans="10:10" ht="15" customHeight="1" x14ac:dyDescent="0.3">
      <c r="J11108" s="33"/>
    </row>
    <row r="11109" spans="10:10" ht="15" customHeight="1" x14ac:dyDescent="0.3">
      <c r="J11109" s="33"/>
    </row>
    <row r="11110" spans="10:10" ht="15" customHeight="1" x14ac:dyDescent="0.3">
      <c r="J11110" s="33"/>
    </row>
    <row r="11111" spans="10:10" ht="15" customHeight="1" x14ac:dyDescent="0.3">
      <c r="J11111" s="33"/>
    </row>
    <row r="11112" spans="10:10" ht="15" customHeight="1" x14ac:dyDescent="0.3">
      <c r="J11112" s="33"/>
    </row>
    <row r="11113" spans="10:10" ht="15" customHeight="1" x14ac:dyDescent="0.3">
      <c r="J11113" s="33"/>
    </row>
    <row r="11114" spans="10:10" ht="15" customHeight="1" x14ac:dyDescent="0.3">
      <c r="J11114" s="33"/>
    </row>
    <row r="11115" spans="10:10" ht="15" customHeight="1" x14ac:dyDescent="0.3">
      <c r="J11115" s="33"/>
    </row>
    <row r="11116" spans="10:10" ht="15" customHeight="1" x14ac:dyDescent="0.3">
      <c r="J11116" s="33"/>
    </row>
    <row r="11117" spans="10:10" ht="15" customHeight="1" x14ac:dyDescent="0.3">
      <c r="J11117" s="33"/>
    </row>
    <row r="11118" spans="10:10" ht="15" customHeight="1" x14ac:dyDescent="0.3">
      <c r="J11118" s="33"/>
    </row>
    <row r="11119" spans="10:10" ht="15" customHeight="1" x14ac:dyDescent="0.3">
      <c r="J11119" s="33"/>
    </row>
    <row r="11120" spans="10:10" ht="15" customHeight="1" x14ac:dyDescent="0.3">
      <c r="J11120" s="33"/>
    </row>
    <row r="11121" spans="10:10" ht="15" customHeight="1" x14ac:dyDescent="0.3">
      <c r="J11121" s="33"/>
    </row>
    <row r="11122" spans="10:10" ht="15" customHeight="1" x14ac:dyDescent="0.3">
      <c r="J11122" s="33"/>
    </row>
    <row r="11123" spans="10:10" ht="15" customHeight="1" x14ac:dyDescent="0.3">
      <c r="J11123" s="33"/>
    </row>
    <row r="11124" spans="10:10" ht="15" customHeight="1" x14ac:dyDescent="0.3">
      <c r="J11124" s="33"/>
    </row>
    <row r="11125" spans="10:10" ht="15" customHeight="1" x14ac:dyDescent="0.3">
      <c r="J11125" s="33"/>
    </row>
    <row r="11126" spans="10:10" ht="15" customHeight="1" x14ac:dyDescent="0.3">
      <c r="J11126" s="33"/>
    </row>
    <row r="11127" spans="10:10" ht="15" customHeight="1" x14ac:dyDescent="0.3">
      <c r="J11127" s="33"/>
    </row>
    <row r="11128" spans="10:10" ht="15" customHeight="1" x14ac:dyDescent="0.3">
      <c r="J11128" s="33"/>
    </row>
    <row r="11129" spans="10:10" ht="15" customHeight="1" x14ac:dyDescent="0.3">
      <c r="J11129" s="33"/>
    </row>
    <row r="11130" spans="10:10" ht="15" customHeight="1" x14ac:dyDescent="0.3">
      <c r="J11130" s="33"/>
    </row>
    <row r="11131" spans="10:10" ht="15" customHeight="1" x14ac:dyDescent="0.3">
      <c r="J11131" s="33"/>
    </row>
    <row r="11132" spans="10:10" ht="15" customHeight="1" x14ac:dyDescent="0.3">
      <c r="J11132" s="33"/>
    </row>
    <row r="11133" spans="10:10" ht="15" customHeight="1" x14ac:dyDescent="0.3">
      <c r="J11133" s="33"/>
    </row>
    <row r="11134" spans="10:10" ht="15" customHeight="1" x14ac:dyDescent="0.3">
      <c r="J11134" s="33"/>
    </row>
    <row r="11135" spans="10:10" ht="15" customHeight="1" x14ac:dyDescent="0.3">
      <c r="J11135" s="33"/>
    </row>
    <row r="11136" spans="10:10" ht="15" customHeight="1" x14ac:dyDescent="0.3">
      <c r="J11136" s="33"/>
    </row>
    <row r="11137" spans="10:10" ht="15" customHeight="1" x14ac:dyDescent="0.3">
      <c r="J11137" s="33"/>
    </row>
    <row r="11138" spans="10:10" ht="15" customHeight="1" x14ac:dyDescent="0.3">
      <c r="J11138" s="33"/>
    </row>
    <row r="11139" spans="10:10" ht="15" customHeight="1" x14ac:dyDescent="0.3">
      <c r="J11139" s="33"/>
    </row>
    <row r="11140" spans="10:10" ht="15" customHeight="1" x14ac:dyDescent="0.3">
      <c r="J11140" s="33"/>
    </row>
    <row r="11141" spans="10:10" ht="15" customHeight="1" x14ac:dyDescent="0.3">
      <c r="J11141" s="33"/>
    </row>
    <row r="11142" spans="10:10" ht="15" customHeight="1" x14ac:dyDescent="0.3">
      <c r="J11142" s="33"/>
    </row>
    <row r="11143" spans="10:10" ht="15" customHeight="1" x14ac:dyDescent="0.3">
      <c r="J11143" s="33"/>
    </row>
    <row r="11144" spans="10:10" ht="15" customHeight="1" x14ac:dyDescent="0.3">
      <c r="J11144" s="33"/>
    </row>
    <row r="11145" spans="10:10" ht="15" customHeight="1" x14ac:dyDescent="0.3">
      <c r="J11145" s="33"/>
    </row>
    <row r="11146" spans="10:10" ht="15" customHeight="1" x14ac:dyDescent="0.3">
      <c r="J11146" s="33"/>
    </row>
    <row r="11147" spans="10:10" ht="15" customHeight="1" x14ac:dyDescent="0.3">
      <c r="J11147" s="33"/>
    </row>
    <row r="11148" spans="10:10" ht="15" customHeight="1" x14ac:dyDescent="0.3">
      <c r="J11148" s="33"/>
    </row>
    <row r="11149" spans="10:10" ht="15" customHeight="1" x14ac:dyDescent="0.3">
      <c r="J11149" s="33"/>
    </row>
    <row r="11150" spans="10:10" ht="15" customHeight="1" x14ac:dyDescent="0.3">
      <c r="J11150" s="33"/>
    </row>
    <row r="11151" spans="10:10" ht="15" customHeight="1" x14ac:dyDescent="0.3">
      <c r="J11151" s="33"/>
    </row>
    <row r="11152" spans="10:10" ht="15" customHeight="1" x14ac:dyDescent="0.3">
      <c r="J11152" s="33"/>
    </row>
    <row r="11153" spans="10:10" ht="15" customHeight="1" x14ac:dyDescent="0.3">
      <c r="J11153" s="33"/>
    </row>
    <row r="11154" spans="10:10" ht="15" customHeight="1" x14ac:dyDescent="0.3">
      <c r="J11154" s="33"/>
    </row>
    <row r="11155" spans="10:10" ht="15" customHeight="1" x14ac:dyDescent="0.3">
      <c r="J11155" s="33"/>
    </row>
    <row r="11156" spans="10:10" ht="15" customHeight="1" x14ac:dyDescent="0.3">
      <c r="J11156" s="33"/>
    </row>
    <row r="11157" spans="10:10" ht="15" customHeight="1" x14ac:dyDescent="0.3">
      <c r="J11157" s="33"/>
    </row>
    <row r="11158" spans="10:10" ht="15" customHeight="1" x14ac:dyDescent="0.3">
      <c r="J11158" s="33"/>
    </row>
    <row r="11159" spans="10:10" ht="15" customHeight="1" x14ac:dyDescent="0.3">
      <c r="J11159" s="33"/>
    </row>
    <row r="11160" spans="10:10" ht="15" customHeight="1" x14ac:dyDescent="0.3">
      <c r="J11160" s="33"/>
    </row>
    <row r="11161" spans="10:10" ht="15" customHeight="1" x14ac:dyDescent="0.3">
      <c r="J11161" s="33"/>
    </row>
    <row r="11162" spans="10:10" ht="15" customHeight="1" x14ac:dyDescent="0.3">
      <c r="J11162" s="33"/>
    </row>
    <row r="11163" spans="10:10" ht="15" customHeight="1" x14ac:dyDescent="0.3">
      <c r="J11163" s="33"/>
    </row>
    <row r="11164" spans="10:10" ht="15" customHeight="1" x14ac:dyDescent="0.3">
      <c r="J11164" s="33"/>
    </row>
    <row r="11165" spans="10:10" ht="15" customHeight="1" x14ac:dyDescent="0.3">
      <c r="J11165" s="33"/>
    </row>
    <row r="11166" spans="10:10" ht="15" customHeight="1" x14ac:dyDescent="0.3">
      <c r="J11166" s="33"/>
    </row>
    <row r="11167" spans="10:10" ht="15" customHeight="1" x14ac:dyDescent="0.3">
      <c r="J11167" s="33"/>
    </row>
    <row r="11168" spans="10:10" ht="15" customHeight="1" x14ac:dyDescent="0.3">
      <c r="J11168" s="33"/>
    </row>
    <row r="11169" spans="10:10" ht="15" customHeight="1" x14ac:dyDescent="0.3">
      <c r="J11169" s="33"/>
    </row>
    <row r="11170" spans="10:10" ht="15" customHeight="1" x14ac:dyDescent="0.3">
      <c r="J11170" s="33"/>
    </row>
    <row r="11171" spans="10:10" ht="15" customHeight="1" x14ac:dyDescent="0.3">
      <c r="J11171" s="33"/>
    </row>
    <row r="11172" spans="10:10" ht="15" customHeight="1" x14ac:dyDescent="0.3">
      <c r="J11172" s="33"/>
    </row>
    <row r="11173" spans="10:10" ht="15" customHeight="1" x14ac:dyDescent="0.3">
      <c r="J11173" s="33"/>
    </row>
    <row r="11174" spans="10:10" ht="15" customHeight="1" x14ac:dyDescent="0.3">
      <c r="J11174" s="33"/>
    </row>
    <row r="11175" spans="10:10" ht="15" customHeight="1" x14ac:dyDescent="0.3">
      <c r="J11175" s="33"/>
    </row>
    <row r="11176" spans="10:10" ht="15" customHeight="1" x14ac:dyDescent="0.3">
      <c r="J11176" s="33"/>
    </row>
    <row r="11177" spans="10:10" ht="15" customHeight="1" x14ac:dyDescent="0.3">
      <c r="J11177" s="33"/>
    </row>
    <row r="11178" spans="10:10" ht="15" customHeight="1" x14ac:dyDescent="0.3">
      <c r="J11178" s="33"/>
    </row>
    <row r="11179" spans="10:10" ht="15" customHeight="1" x14ac:dyDescent="0.3">
      <c r="J11179" s="33"/>
    </row>
    <row r="11180" spans="10:10" ht="15" customHeight="1" x14ac:dyDescent="0.3">
      <c r="J11180" s="33"/>
    </row>
    <row r="11181" spans="10:10" ht="15" customHeight="1" x14ac:dyDescent="0.3">
      <c r="J11181" s="33"/>
    </row>
    <row r="11182" spans="10:10" ht="15" customHeight="1" x14ac:dyDescent="0.3">
      <c r="J11182" s="33"/>
    </row>
    <row r="11183" spans="10:10" ht="15" customHeight="1" x14ac:dyDescent="0.3">
      <c r="J11183" s="33"/>
    </row>
    <row r="11184" spans="10:10" ht="15" customHeight="1" x14ac:dyDescent="0.3">
      <c r="J11184" s="33"/>
    </row>
    <row r="11185" spans="10:10" ht="15" customHeight="1" x14ac:dyDescent="0.3">
      <c r="J11185" s="33"/>
    </row>
    <row r="11186" spans="10:10" ht="15" customHeight="1" x14ac:dyDescent="0.3">
      <c r="J11186" s="33"/>
    </row>
    <row r="11187" spans="10:10" ht="15" customHeight="1" x14ac:dyDescent="0.3">
      <c r="J11187" s="33"/>
    </row>
    <row r="11188" spans="10:10" ht="15" customHeight="1" x14ac:dyDescent="0.3">
      <c r="J11188" s="33"/>
    </row>
    <row r="11189" spans="10:10" ht="15" customHeight="1" x14ac:dyDescent="0.3">
      <c r="J11189" s="33"/>
    </row>
    <row r="11190" spans="10:10" ht="15" customHeight="1" x14ac:dyDescent="0.3">
      <c r="J11190" s="33"/>
    </row>
    <row r="11191" spans="10:10" ht="15" customHeight="1" x14ac:dyDescent="0.3">
      <c r="J11191" s="33"/>
    </row>
    <row r="11192" spans="10:10" ht="15" customHeight="1" x14ac:dyDescent="0.3">
      <c r="J11192" s="33"/>
    </row>
    <row r="11193" spans="10:10" ht="15" customHeight="1" x14ac:dyDescent="0.3">
      <c r="J11193" s="33"/>
    </row>
    <row r="11194" spans="10:10" ht="15" customHeight="1" x14ac:dyDescent="0.3">
      <c r="J11194" s="33"/>
    </row>
    <row r="11195" spans="10:10" ht="15" customHeight="1" x14ac:dyDescent="0.3">
      <c r="J11195" s="33"/>
    </row>
    <row r="11196" spans="10:10" ht="15" customHeight="1" x14ac:dyDescent="0.3">
      <c r="J11196" s="33"/>
    </row>
    <row r="11197" spans="10:10" ht="15" customHeight="1" x14ac:dyDescent="0.3">
      <c r="J11197" s="33"/>
    </row>
    <row r="11198" spans="10:10" ht="15" customHeight="1" x14ac:dyDescent="0.3">
      <c r="J11198" s="33"/>
    </row>
    <row r="11199" spans="10:10" ht="15" customHeight="1" x14ac:dyDescent="0.3">
      <c r="J11199" s="33"/>
    </row>
    <row r="11200" spans="10:10" ht="15" customHeight="1" x14ac:dyDescent="0.3">
      <c r="J11200" s="33"/>
    </row>
    <row r="11201" spans="10:10" ht="15" customHeight="1" x14ac:dyDescent="0.3">
      <c r="J11201" s="33"/>
    </row>
    <row r="11202" spans="10:10" ht="15" customHeight="1" x14ac:dyDescent="0.3">
      <c r="J11202" s="33"/>
    </row>
    <row r="11203" spans="10:10" ht="15" customHeight="1" x14ac:dyDescent="0.3">
      <c r="J11203" s="33"/>
    </row>
    <row r="11204" spans="10:10" ht="15" customHeight="1" x14ac:dyDescent="0.3">
      <c r="J11204" s="33"/>
    </row>
    <row r="11205" spans="10:10" ht="15" customHeight="1" x14ac:dyDescent="0.3">
      <c r="J11205" s="33"/>
    </row>
    <row r="11206" spans="10:10" ht="15" customHeight="1" x14ac:dyDescent="0.3">
      <c r="J11206" s="33"/>
    </row>
    <row r="11207" spans="10:10" ht="15" customHeight="1" x14ac:dyDescent="0.3">
      <c r="J11207" s="33"/>
    </row>
    <row r="11208" spans="10:10" ht="15" customHeight="1" x14ac:dyDescent="0.3">
      <c r="J11208" s="33"/>
    </row>
    <row r="11209" spans="10:10" ht="15" customHeight="1" x14ac:dyDescent="0.3">
      <c r="J11209" s="33"/>
    </row>
    <row r="11210" spans="10:10" ht="15" customHeight="1" x14ac:dyDescent="0.3">
      <c r="J11210" s="33"/>
    </row>
    <row r="11211" spans="10:10" ht="15" customHeight="1" x14ac:dyDescent="0.3">
      <c r="J11211" s="33"/>
    </row>
    <row r="11212" spans="10:10" ht="15" customHeight="1" x14ac:dyDescent="0.3">
      <c r="J11212" s="33"/>
    </row>
    <row r="11213" spans="10:10" ht="15" customHeight="1" x14ac:dyDescent="0.3">
      <c r="J11213" s="33"/>
    </row>
    <row r="11214" spans="10:10" ht="15" customHeight="1" x14ac:dyDescent="0.3">
      <c r="J11214" s="33"/>
    </row>
    <row r="11215" spans="10:10" ht="15" customHeight="1" x14ac:dyDescent="0.3">
      <c r="J11215" s="33"/>
    </row>
    <row r="11216" spans="10:10" ht="15" customHeight="1" x14ac:dyDescent="0.3">
      <c r="J11216" s="33"/>
    </row>
    <row r="11217" spans="10:10" ht="15" customHeight="1" x14ac:dyDescent="0.3">
      <c r="J11217" s="33"/>
    </row>
    <row r="11218" spans="10:10" ht="15" customHeight="1" x14ac:dyDescent="0.3">
      <c r="J11218" s="33"/>
    </row>
    <row r="11219" spans="10:10" ht="15" customHeight="1" x14ac:dyDescent="0.3">
      <c r="J11219" s="33"/>
    </row>
    <row r="11220" spans="10:10" ht="15" customHeight="1" x14ac:dyDescent="0.3">
      <c r="J11220" s="33"/>
    </row>
    <row r="11221" spans="10:10" ht="15" customHeight="1" x14ac:dyDescent="0.3">
      <c r="J11221" s="33"/>
    </row>
    <row r="11222" spans="10:10" ht="15" customHeight="1" x14ac:dyDescent="0.3">
      <c r="J11222" s="33"/>
    </row>
    <row r="11223" spans="10:10" ht="15" customHeight="1" x14ac:dyDescent="0.3">
      <c r="J11223" s="33"/>
    </row>
    <row r="11224" spans="10:10" ht="15" customHeight="1" x14ac:dyDescent="0.3">
      <c r="J11224" s="33"/>
    </row>
    <row r="11225" spans="10:10" ht="15" customHeight="1" x14ac:dyDescent="0.3">
      <c r="J11225" s="33"/>
    </row>
    <row r="11226" spans="10:10" ht="15" customHeight="1" x14ac:dyDescent="0.3">
      <c r="J11226" s="33"/>
    </row>
    <row r="11227" spans="10:10" ht="15" customHeight="1" x14ac:dyDescent="0.3">
      <c r="J11227" s="33"/>
    </row>
    <row r="11228" spans="10:10" ht="15" customHeight="1" x14ac:dyDescent="0.3">
      <c r="J11228" s="33"/>
    </row>
    <row r="11229" spans="10:10" ht="15" customHeight="1" x14ac:dyDescent="0.3">
      <c r="J11229" s="33"/>
    </row>
    <row r="11230" spans="10:10" ht="15" customHeight="1" x14ac:dyDescent="0.3">
      <c r="J11230" s="33"/>
    </row>
    <row r="11231" spans="10:10" ht="15" customHeight="1" x14ac:dyDescent="0.3">
      <c r="J11231" s="33"/>
    </row>
    <row r="11232" spans="10:10" ht="15" customHeight="1" x14ac:dyDescent="0.3">
      <c r="J11232" s="33"/>
    </row>
    <row r="11233" spans="10:10" ht="15" customHeight="1" x14ac:dyDescent="0.3">
      <c r="J11233" s="33"/>
    </row>
    <row r="11234" spans="10:10" ht="15" customHeight="1" x14ac:dyDescent="0.3">
      <c r="J11234" s="33"/>
    </row>
    <row r="11235" spans="10:10" ht="15" customHeight="1" x14ac:dyDescent="0.3">
      <c r="J11235" s="33"/>
    </row>
    <row r="11236" spans="10:10" ht="15" customHeight="1" x14ac:dyDescent="0.3">
      <c r="J11236" s="33"/>
    </row>
    <row r="11237" spans="10:10" ht="15" customHeight="1" x14ac:dyDescent="0.3">
      <c r="J11237" s="33"/>
    </row>
    <row r="11238" spans="10:10" ht="15" customHeight="1" x14ac:dyDescent="0.3">
      <c r="J11238" s="33"/>
    </row>
    <row r="11239" spans="10:10" ht="15" customHeight="1" x14ac:dyDescent="0.3">
      <c r="J11239" s="33"/>
    </row>
    <row r="11240" spans="10:10" ht="15" customHeight="1" x14ac:dyDescent="0.3">
      <c r="J11240" s="33"/>
    </row>
    <row r="11241" spans="10:10" ht="15" customHeight="1" x14ac:dyDescent="0.3">
      <c r="J11241" s="33"/>
    </row>
    <row r="11242" spans="10:10" ht="15" customHeight="1" x14ac:dyDescent="0.3">
      <c r="J11242" s="33"/>
    </row>
    <row r="11243" spans="10:10" ht="15" customHeight="1" x14ac:dyDescent="0.3">
      <c r="J11243" s="33"/>
    </row>
    <row r="11244" spans="10:10" ht="15" customHeight="1" x14ac:dyDescent="0.3">
      <c r="J11244" s="33"/>
    </row>
    <row r="11245" spans="10:10" ht="15" customHeight="1" x14ac:dyDescent="0.3">
      <c r="J11245" s="33"/>
    </row>
    <row r="11246" spans="10:10" ht="15" customHeight="1" x14ac:dyDescent="0.3">
      <c r="J11246" s="33"/>
    </row>
    <row r="11247" spans="10:10" ht="15" customHeight="1" x14ac:dyDescent="0.3">
      <c r="J11247" s="33"/>
    </row>
    <row r="11248" spans="10:10" ht="15" customHeight="1" x14ac:dyDescent="0.3">
      <c r="J11248" s="33"/>
    </row>
    <row r="11249" spans="10:10" ht="15" customHeight="1" x14ac:dyDescent="0.3">
      <c r="J11249" s="33"/>
    </row>
    <row r="11250" spans="10:10" ht="15" customHeight="1" x14ac:dyDescent="0.3">
      <c r="J11250" s="33"/>
    </row>
    <row r="11251" spans="10:10" ht="15" customHeight="1" x14ac:dyDescent="0.3">
      <c r="J11251" s="33"/>
    </row>
    <row r="11252" spans="10:10" ht="15" customHeight="1" x14ac:dyDescent="0.3">
      <c r="J11252" s="33"/>
    </row>
    <row r="11253" spans="10:10" ht="15" customHeight="1" x14ac:dyDescent="0.3">
      <c r="J11253" s="33"/>
    </row>
    <row r="11254" spans="10:10" ht="15" customHeight="1" x14ac:dyDescent="0.3">
      <c r="J11254" s="33"/>
    </row>
    <row r="11255" spans="10:10" ht="15" customHeight="1" x14ac:dyDescent="0.3">
      <c r="J11255" s="33"/>
    </row>
    <row r="11256" spans="10:10" ht="15" customHeight="1" x14ac:dyDescent="0.3">
      <c r="J11256" s="33"/>
    </row>
    <row r="11257" spans="10:10" ht="15" customHeight="1" x14ac:dyDescent="0.3">
      <c r="J11257" s="33"/>
    </row>
    <row r="11258" spans="10:10" ht="15" customHeight="1" x14ac:dyDescent="0.3">
      <c r="J11258" s="33"/>
    </row>
    <row r="11259" spans="10:10" ht="15" customHeight="1" x14ac:dyDescent="0.3">
      <c r="J11259" s="33"/>
    </row>
    <row r="11260" spans="10:10" ht="15" customHeight="1" x14ac:dyDescent="0.3">
      <c r="J11260" s="33"/>
    </row>
    <row r="11261" spans="10:10" ht="15" customHeight="1" x14ac:dyDescent="0.3">
      <c r="J11261" s="33"/>
    </row>
    <row r="11262" spans="10:10" ht="15" customHeight="1" x14ac:dyDescent="0.3">
      <c r="J11262" s="33"/>
    </row>
    <row r="11263" spans="10:10" ht="15" customHeight="1" x14ac:dyDescent="0.3">
      <c r="J11263" s="33"/>
    </row>
    <row r="11264" spans="10:10" ht="15" customHeight="1" x14ac:dyDescent="0.3">
      <c r="J11264" s="33"/>
    </row>
    <row r="11265" spans="10:10" ht="15" customHeight="1" x14ac:dyDescent="0.3">
      <c r="J11265" s="33"/>
    </row>
    <row r="11266" spans="10:10" ht="15" customHeight="1" x14ac:dyDescent="0.3">
      <c r="J11266" s="33"/>
    </row>
    <row r="11267" spans="10:10" ht="15" customHeight="1" x14ac:dyDescent="0.3">
      <c r="J11267" s="33"/>
    </row>
    <row r="11268" spans="10:10" ht="15" customHeight="1" x14ac:dyDescent="0.3">
      <c r="J11268" s="33"/>
    </row>
    <row r="11269" spans="10:10" ht="15" customHeight="1" x14ac:dyDescent="0.3">
      <c r="J11269" s="33"/>
    </row>
    <row r="11270" spans="10:10" ht="15" customHeight="1" x14ac:dyDescent="0.3">
      <c r="J11270" s="33"/>
    </row>
    <row r="11271" spans="10:10" ht="15" customHeight="1" x14ac:dyDescent="0.3">
      <c r="J11271" s="33"/>
    </row>
    <row r="11272" spans="10:10" ht="15" customHeight="1" x14ac:dyDescent="0.3">
      <c r="J11272" s="33"/>
    </row>
    <row r="11273" spans="10:10" ht="15" customHeight="1" x14ac:dyDescent="0.3">
      <c r="J11273" s="33"/>
    </row>
    <row r="11274" spans="10:10" ht="15" customHeight="1" x14ac:dyDescent="0.3">
      <c r="J11274" s="33"/>
    </row>
    <row r="11275" spans="10:10" ht="15" customHeight="1" x14ac:dyDescent="0.3">
      <c r="J11275" s="33"/>
    </row>
    <row r="11276" spans="10:10" ht="15" customHeight="1" x14ac:dyDescent="0.3">
      <c r="J11276" s="33"/>
    </row>
    <row r="11277" spans="10:10" ht="15" customHeight="1" x14ac:dyDescent="0.3">
      <c r="J11277" s="33"/>
    </row>
    <row r="11278" spans="10:10" ht="15" customHeight="1" x14ac:dyDescent="0.3">
      <c r="J11278" s="33"/>
    </row>
    <row r="11279" spans="10:10" ht="15" customHeight="1" x14ac:dyDescent="0.3">
      <c r="J11279" s="33"/>
    </row>
    <row r="11280" spans="10:10" ht="15" customHeight="1" x14ac:dyDescent="0.3">
      <c r="J11280" s="33"/>
    </row>
    <row r="11281" spans="10:10" ht="15" customHeight="1" x14ac:dyDescent="0.3">
      <c r="J11281" s="33"/>
    </row>
    <row r="11282" spans="10:10" ht="15" customHeight="1" x14ac:dyDescent="0.3">
      <c r="J11282" s="33"/>
    </row>
    <row r="11283" spans="10:10" ht="15" customHeight="1" x14ac:dyDescent="0.3">
      <c r="J11283" s="33"/>
    </row>
    <row r="11284" spans="10:10" ht="15" customHeight="1" x14ac:dyDescent="0.3">
      <c r="J11284" s="33"/>
    </row>
    <row r="11285" spans="10:10" ht="15" customHeight="1" x14ac:dyDescent="0.3">
      <c r="J11285" s="33"/>
    </row>
    <row r="11286" spans="10:10" ht="15" customHeight="1" x14ac:dyDescent="0.3">
      <c r="J11286" s="33"/>
    </row>
    <row r="11287" spans="10:10" ht="15" customHeight="1" x14ac:dyDescent="0.3">
      <c r="J11287" s="33"/>
    </row>
    <row r="11288" spans="10:10" ht="15" customHeight="1" x14ac:dyDescent="0.3">
      <c r="J11288" s="33"/>
    </row>
    <row r="11289" spans="10:10" ht="15" customHeight="1" x14ac:dyDescent="0.3">
      <c r="J11289" s="33"/>
    </row>
    <row r="11290" spans="10:10" ht="15" customHeight="1" x14ac:dyDescent="0.3">
      <c r="J11290" s="33"/>
    </row>
    <row r="11291" spans="10:10" ht="15" customHeight="1" x14ac:dyDescent="0.3">
      <c r="J11291" s="33"/>
    </row>
    <row r="11292" spans="10:10" ht="15" customHeight="1" x14ac:dyDescent="0.3">
      <c r="J11292" s="33"/>
    </row>
    <row r="11293" spans="10:10" ht="15" customHeight="1" x14ac:dyDescent="0.3">
      <c r="J11293" s="33"/>
    </row>
    <row r="11294" spans="10:10" ht="15" customHeight="1" x14ac:dyDescent="0.3">
      <c r="J11294" s="33"/>
    </row>
    <row r="11295" spans="10:10" ht="15" customHeight="1" x14ac:dyDescent="0.3">
      <c r="J11295" s="33"/>
    </row>
    <row r="11296" spans="10:10" ht="15" customHeight="1" x14ac:dyDescent="0.3">
      <c r="J11296" s="33"/>
    </row>
    <row r="11297" spans="10:10" ht="15" customHeight="1" x14ac:dyDescent="0.3">
      <c r="J11297" s="33"/>
    </row>
    <row r="11298" spans="10:10" ht="15" customHeight="1" x14ac:dyDescent="0.3">
      <c r="J11298" s="33"/>
    </row>
    <row r="11299" spans="10:10" ht="15" customHeight="1" x14ac:dyDescent="0.3">
      <c r="J11299" s="33"/>
    </row>
    <row r="11300" spans="10:10" ht="15" customHeight="1" x14ac:dyDescent="0.3">
      <c r="J11300" s="33"/>
    </row>
    <row r="11301" spans="10:10" ht="15" customHeight="1" x14ac:dyDescent="0.3">
      <c r="J11301" s="33"/>
    </row>
    <row r="11302" spans="10:10" ht="15" customHeight="1" x14ac:dyDescent="0.3">
      <c r="J11302" s="33"/>
    </row>
    <row r="11303" spans="10:10" ht="15" customHeight="1" x14ac:dyDescent="0.3">
      <c r="J11303" s="33"/>
    </row>
    <row r="11304" spans="10:10" ht="15" customHeight="1" x14ac:dyDescent="0.3">
      <c r="J11304" s="33"/>
    </row>
    <row r="11305" spans="10:10" ht="15" customHeight="1" x14ac:dyDescent="0.3">
      <c r="J11305" s="33"/>
    </row>
    <row r="11306" spans="10:10" ht="15" customHeight="1" x14ac:dyDescent="0.3">
      <c r="J11306" s="33"/>
    </row>
    <row r="11307" spans="10:10" ht="15" customHeight="1" x14ac:dyDescent="0.3">
      <c r="J11307" s="33"/>
    </row>
    <row r="11308" spans="10:10" ht="15" customHeight="1" x14ac:dyDescent="0.3">
      <c r="J11308" s="33"/>
    </row>
    <row r="11309" spans="10:10" ht="15" customHeight="1" x14ac:dyDescent="0.3">
      <c r="J11309" s="33"/>
    </row>
    <row r="11310" spans="10:10" ht="15" customHeight="1" x14ac:dyDescent="0.3">
      <c r="J11310" s="33"/>
    </row>
    <row r="11311" spans="10:10" ht="15" customHeight="1" x14ac:dyDescent="0.3">
      <c r="J11311" s="33"/>
    </row>
    <row r="11312" spans="10:10" ht="15" customHeight="1" x14ac:dyDescent="0.3">
      <c r="J11312" s="33"/>
    </row>
    <row r="11313" spans="10:10" ht="15" customHeight="1" x14ac:dyDescent="0.3">
      <c r="J11313" s="33"/>
    </row>
    <row r="11314" spans="10:10" ht="15" customHeight="1" x14ac:dyDescent="0.3">
      <c r="J11314" s="33"/>
    </row>
    <row r="11315" spans="10:10" ht="15" customHeight="1" x14ac:dyDescent="0.3">
      <c r="J11315" s="33"/>
    </row>
    <row r="11316" spans="10:10" ht="15" customHeight="1" x14ac:dyDescent="0.3">
      <c r="J11316" s="33"/>
    </row>
    <row r="11317" spans="10:10" ht="15" customHeight="1" x14ac:dyDescent="0.3">
      <c r="J11317" s="33"/>
    </row>
    <row r="11318" spans="10:10" ht="15" customHeight="1" x14ac:dyDescent="0.3">
      <c r="J11318" s="33"/>
    </row>
    <row r="11319" spans="10:10" ht="15" customHeight="1" x14ac:dyDescent="0.3">
      <c r="J11319" s="33"/>
    </row>
    <row r="11320" spans="10:10" ht="15" customHeight="1" x14ac:dyDescent="0.3">
      <c r="J11320" s="33"/>
    </row>
    <row r="11321" spans="10:10" ht="15" customHeight="1" x14ac:dyDescent="0.3">
      <c r="J11321" s="33"/>
    </row>
    <row r="11322" spans="10:10" ht="15" customHeight="1" x14ac:dyDescent="0.3">
      <c r="J11322" s="33"/>
    </row>
    <row r="11323" spans="10:10" ht="15" customHeight="1" x14ac:dyDescent="0.3">
      <c r="J11323" s="33"/>
    </row>
    <row r="11324" spans="10:10" ht="15" customHeight="1" x14ac:dyDescent="0.3">
      <c r="J11324" s="33"/>
    </row>
    <row r="11325" spans="10:10" ht="15" customHeight="1" x14ac:dyDescent="0.3">
      <c r="J11325" s="33"/>
    </row>
    <row r="11326" spans="10:10" ht="15" customHeight="1" x14ac:dyDescent="0.3">
      <c r="J11326" s="33"/>
    </row>
    <row r="11327" spans="10:10" ht="15" customHeight="1" x14ac:dyDescent="0.3">
      <c r="J11327" s="33"/>
    </row>
    <row r="11328" spans="10:10" ht="15" customHeight="1" x14ac:dyDescent="0.3">
      <c r="J11328" s="33"/>
    </row>
    <row r="11329" spans="10:10" ht="15" customHeight="1" x14ac:dyDescent="0.3">
      <c r="J11329" s="33"/>
    </row>
    <row r="11330" spans="10:10" ht="15" customHeight="1" x14ac:dyDescent="0.3">
      <c r="J11330" s="33"/>
    </row>
    <row r="11331" spans="10:10" ht="15" customHeight="1" x14ac:dyDescent="0.3">
      <c r="J11331" s="33"/>
    </row>
    <row r="11332" spans="10:10" ht="15" customHeight="1" x14ac:dyDescent="0.3">
      <c r="J11332" s="33"/>
    </row>
    <row r="11333" spans="10:10" ht="15" customHeight="1" x14ac:dyDescent="0.3">
      <c r="J11333" s="33"/>
    </row>
    <row r="11334" spans="10:10" ht="15" customHeight="1" x14ac:dyDescent="0.3">
      <c r="J11334" s="33"/>
    </row>
    <row r="11335" spans="10:10" ht="15" customHeight="1" x14ac:dyDescent="0.3">
      <c r="J11335" s="33"/>
    </row>
    <row r="11336" spans="10:10" ht="15" customHeight="1" x14ac:dyDescent="0.3">
      <c r="J11336" s="33"/>
    </row>
    <row r="11337" spans="10:10" ht="15" customHeight="1" x14ac:dyDescent="0.3">
      <c r="J11337" s="33"/>
    </row>
    <row r="11338" spans="10:10" ht="15" customHeight="1" x14ac:dyDescent="0.3">
      <c r="J11338" s="33"/>
    </row>
    <row r="11339" spans="10:10" ht="15" customHeight="1" x14ac:dyDescent="0.3">
      <c r="J11339" s="33"/>
    </row>
    <row r="11340" spans="10:10" ht="15" customHeight="1" x14ac:dyDescent="0.3">
      <c r="J11340" s="33"/>
    </row>
    <row r="11341" spans="10:10" ht="15" customHeight="1" x14ac:dyDescent="0.3">
      <c r="J11341" s="33"/>
    </row>
    <row r="11342" spans="10:10" ht="15" customHeight="1" x14ac:dyDescent="0.3">
      <c r="J11342" s="33"/>
    </row>
    <row r="11343" spans="10:10" ht="15" customHeight="1" x14ac:dyDescent="0.3">
      <c r="J11343" s="33"/>
    </row>
    <row r="11344" spans="10:10" ht="15" customHeight="1" x14ac:dyDescent="0.3">
      <c r="J11344" s="33"/>
    </row>
    <row r="11345" spans="10:10" ht="15" customHeight="1" x14ac:dyDescent="0.3">
      <c r="J11345" s="33"/>
    </row>
    <row r="11346" spans="10:10" ht="15" customHeight="1" x14ac:dyDescent="0.3">
      <c r="J11346" s="33"/>
    </row>
    <row r="11347" spans="10:10" ht="15" customHeight="1" x14ac:dyDescent="0.3">
      <c r="J11347" s="33"/>
    </row>
    <row r="11348" spans="10:10" ht="15" customHeight="1" x14ac:dyDescent="0.3">
      <c r="J11348" s="33"/>
    </row>
    <row r="11349" spans="10:10" ht="15" customHeight="1" x14ac:dyDescent="0.3">
      <c r="J11349" s="33"/>
    </row>
    <row r="11350" spans="10:10" ht="15" customHeight="1" x14ac:dyDescent="0.3">
      <c r="J11350" s="33"/>
    </row>
    <row r="11351" spans="10:10" ht="15" customHeight="1" x14ac:dyDescent="0.3">
      <c r="J11351" s="33"/>
    </row>
    <row r="11352" spans="10:10" ht="15" customHeight="1" x14ac:dyDescent="0.3">
      <c r="J11352" s="33"/>
    </row>
    <row r="11353" spans="10:10" ht="15" customHeight="1" x14ac:dyDescent="0.3">
      <c r="J11353" s="33"/>
    </row>
    <row r="11354" spans="10:10" ht="15" customHeight="1" x14ac:dyDescent="0.3">
      <c r="J11354" s="33"/>
    </row>
    <row r="11355" spans="10:10" ht="15" customHeight="1" x14ac:dyDescent="0.3">
      <c r="J11355" s="33"/>
    </row>
    <row r="11356" spans="10:10" ht="15" customHeight="1" x14ac:dyDescent="0.3">
      <c r="J11356" s="33"/>
    </row>
    <row r="11357" spans="10:10" ht="15" customHeight="1" x14ac:dyDescent="0.3">
      <c r="J11357" s="33"/>
    </row>
    <row r="11358" spans="10:10" ht="15" customHeight="1" x14ac:dyDescent="0.3">
      <c r="J11358" s="33"/>
    </row>
    <row r="11359" spans="10:10" ht="15" customHeight="1" x14ac:dyDescent="0.3">
      <c r="J11359" s="33"/>
    </row>
    <row r="11360" spans="10:10" ht="15" customHeight="1" x14ac:dyDescent="0.3">
      <c r="J11360" s="33"/>
    </row>
    <row r="11361" spans="10:10" ht="15" customHeight="1" x14ac:dyDescent="0.3">
      <c r="J11361" s="33"/>
    </row>
    <row r="11362" spans="10:10" ht="15" customHeight="1" x14ac:dyDescent="0.3">
      <c r="J11362" s="33"/>
    </row>
    <row r="11363" spans="10:10" ht="15" customHeight="1" x14ac:dyDescent="0.3">
      <c r="J11363" s="33"/>
    </row>
    <row r="11364" spans="10:10" ht="15" customHeight="1" x14ac:dyDescent="0.3">
      <c r="J11364" s="33"/>
    </row>
    <row r="11365" spans="10:10" ht="15" customHeight="1" x14ac:dyDescent="0.3">
      <c r="J11365" s="33"/>
    </row>
    <row r="11366" spans="10:10" ht="15" customHeight="1" x14ac:dyDescent="0.3">
      <c r="J11366" s="33"/>
    </row>
    <row r="11367" spans="10:10" ht="15" customHeight="1" x14ac:dyDescent="0.3">
      <c r="J11367" s="33"/>
    </row>
    <row r="11368" spans="10:10" ht="15" customHeight="1" x14ac:dyDescent="0.3">
      <c r="J11368" s="33"/>
    </row>
    <row r="11369" spans="10:10" ht="15" customHeight="1" x14ac:dyDescent="0.3">
      <c r="J11369" s="33"/>
    </row>
    <row r="11370" spans="10:10" ht="15" customHeight="1" x14ac:dyDescent="0.3">
      <c r="J11370" s="33"/>
    </row>
    <row r="11371" spans="10:10" ht="15" customHeight="1" x14ac:dyDescent="0.3">
      <c r="J11371" s="33"/>
    </row>
    <row r="11372" spans="10:10" ht="15" customHeight="1" x14ac:dyDescent="0.3">
      <c r="J11372" s="33"/>
    </row>
    <row r="11373" spans="10:10" ht="15" customHeight="1" x14ac:dyDescent="0.3">
      <c r="J11373" s="33"/>
    </row>
    <row r="11374" spans="10:10" ht="15" customHeight="1" x14ac:dyDescent="0.3">
      <c r="J11374" s="33"/>
    </row>
    <row r="11375" spans="10:10" ht="15" customHeight="1" x14ac:dyDescent="0.3">
      <c r="J11375" s="33"/>
    </row>
    <row r="11376" spans="10:10" ht="15" customHeight="1" x14ac:dyDescent="0.3">
      <c r="J11376" s="33"/>
    </row>
    <row r="11377" spans="10:10" ht="15" customHeight="1" x14ac:dyDescent="0.3">
      <c r="J11377" s="33"/>
    </row>
    <row r="11378" spans="10:10" ht="15" customHeight="1" x14ac:dyDescent="0.3">
      <c r="J11378" s="33"/>
    </row>
    <row r="11379" spans="10:10" ht="15" customHeight="1" x14ac:dyDescent="0.3">
      <c r="J11379" s="33"/>
    </row>
    <row r="11380" spans="10:10" ht="15" customHeight="1" x14ac:dyDescent="0.3">
      <c r="J11380" s="33"/>
    </row>
    <row r="11381" spans="10:10" ht="15" customHeight="1" x14ac:dyDescent="0.3">
      <c r="J11381" s="33"/>
    </row>
    <row r="11382" spans="10:10" ht="15" customHeight="1" x14ac:dyDescent="0.3">
      <c r="J11382" s="33"/>
    </row>
    <row r="11383" spans="10:10" ht="15" customHeight="1" x14ac:dyDescent="0.3">
      <c r="J11383" s="33"/>
    </row>
    <row r="11384" spans="10:10" ht="15" customHeight="1" x14ac:dyDescent="0.3">
      <c r="J11384" s="33"/>
    </row>
    <row r="11385" spans="10:10" ht="15" customHeight="1" x14ac:dyDescent="0.3">
      <c r="J11385" s="33"/>
    </row>
    <row r="11386" spans="10:10" ht="15" customHeight="1" x14ac:dyDescent="0.3">
      <c r="J11386" s="33"/>
    </row>
    <row r="11387" spans="10:10" ht="15" customHeight="1" x14ac:dyDescent="0.3">
      <c r="J11387" s="33"/>
    </row>
    <row r="11388" spans="10:10" ht="15" customHeight="1" x14ac:dyDescent="0.3">
      <c r="J11388" s="33"/>
    </row>
    <row r="11389" spans="10:10" ht="15" customHeight="1" x14ac:dyDescent="0.3">
      <c r="J11389" s="33"/>
    </row>
    <row r="11390" spans="10:10" ht="15" customHeight="1" x14ac:dyDescent="0.3">
      <c r="J11390" s="33"/>
    </row>
    <row r="11391" spans="10:10" ht="15" customHeight="1" x14ac:dyDescent="0.3">
      <c r="J11391" s="33"/>
    </row>
    <row r="11392" spans="10:10" ht="15" customHeight="1" x14ac:dyDescent="0.3">
      <c r="J11392" s="33"/>
    </row>
    <row r="11393" spans="10:10" ht="15" customHeight="1" x14ac:dyDescent="0.3">
      <c r="J11393" s="33"/>
    </row>
    <row r="11394" spans="10:10" ht="15" customHeight="1" x14ac:dyDescent="0.3">
      <c r="J11394" s="33"/>
    </row>
    <row r="11395" spans="10:10" ht="15" customHeight="1" x14ac:dyDescent="0.3">
      <c r="J11395" s="33"/>
    </row>
    <row r="11396" spans="10:10" ht="15" customHeight="1" x14ac:dyDescent="0.3">
      <c r="J11396" s="33"/>
    </row>
    <row r="11397" spans="10:10" ht="15" customHeight="1" x14ac:dyDescent="0.3">
      <c r="J11397" s="33"/>
    </row>
    <row r="11398" spans="10:10" ht="15" customHeight="1" x14ac:dyDescent="0.3">
      <c r="J11398" s="33"/>
    </row>
    <row r="11399" spans="10:10" ht="15" customHeight="1" x14ac:dyDescent="0.3">
      <c r="J11399" s="33"/>
    </row>
    <row r="11400" spans="10:10" ht="15" customHeight="1" x14ac:dyDescent="0.3">
      <c r="J11400" s="33"/>
    </row>
    <row r="11401" spans="10:10" ht="15" customHeight="1" x14ac:dyDescent="0.3">
      <c r="J11401" s="33"/>
    </row>
    <row r="11402" spans="10:10" ht="15" customHeight="1" x14ac:dyDescent="0.3">
      <c r="J11402" s="33"/>
    </row>
    <row r="11403" spans="10:10" ht="15" customHeight="1" x14ac:dyDescent="0.3">
      <c r="J11403" s="33"/>
    </row>
    <row r="11404" spans="10:10" ht="15" customHeight="1" x14ac:dyDescent="0.3">
      <c r="J11404" s="33"/>
    </row>
    <row r="11405" spans="10:10" ht="15" customHeight="1" x14ac:dyDescent="0.3">
      <c r="J11405" s="33"/>
    </row>
    <row r="11406" spans="10:10" ht="15" customHeight="1" x14ac:dyDescent="0.3">
      <c r="J11406" s="33"/>
    </row>
    <row r="11407" spans="10:10" ht="15" customHeight="1" x14ac:dyDescent="0.3">
      <c r="J11407" s="33"/>
    </row>
    <row r="11408" spans="10:10" ht="15" customHeight="1" x14ac:dyDescent="0.3">
      <c r="J11408" s="33"/>
    </row>
    <row r="11409" spans="10:10" ht="15" customHeight="1" x14ac:dyDescent="0.3">
      <c r="J11409" s="33"/>
    </row>
    <row r="11410" spans="10:10" ht="15" customHeight="1" x14ac:dyDescent="0.3">
      <c r="J11410" s="33"/>
    </row>
    <row r="11411" spans="10:10" ht="15" customHeight="1" x14ac:dyDescent="0.3">
      <c r="J11411" s="33"/>
    </row>
    <row r="11412" spans="10:10" ht="15" customHeight="1" x14ac:dyDescent="0.3">
      <c r="J11412" s="33"/>
    </row>
    <row r="11413" spans="10:10" ht="15" customHeight="1" x14ac:dyDescent="0.3">
      <c r="J11413" s="33"/>
    </row>
    <row r="11414" spans="10:10" ht="15" customHeight="1" x14ac:dyDescent="0.3">
      <c r="J11414" s="33"/>
    </row>
    <row r="11415" spans="10:10" ht="15" customHeight="1" x14ac:dyDescent="0.3">
      <c r="J11415" s="33"/>
    </row>
    <row r="11416" spans="10:10" ht="15" customHeight="1" x14ac:dyDescent="0.3">
      <c r="J11416" s="33"/>
    </row>
    <row r="11417" spans="10:10" ht="15" customHeight="1" x14ac:dyDescent="0.3">
      <c r="J11417" s="33"/>
    </row>
    <row r="11418" spans="10:10" ht="15" customHeight="1" x14ac:dyDescent="0.3">
      <c r="J11418" s="33"/>
    </row>
    <row r="11419" spans="10:10" ht="15" customHeight="1" x14ac:dyDescent="0.3">
      <c r="J11419" s="33"/>
    </row>
    <row r="11420" spans="10:10" ht="15" customHeight="1" x14ac:dyDescent="0.3">
      <c r="J11420" s="33"/>
    </row>
    <row r="11421" spans="10:10" ht="15" customHeight="1" x14ac:dyDescent="0.3">
      <c r="J11421" s="33"/>
    </row>
    <row r="11422" spans="10:10" ht="15" customHeight="1" x14ac:dyDescent="0.3">
      <c r="J11422" s="33"/>
    </row>
    <row r="11423" spans="10:10" ht="15" customHeight="1" x14ac:dyDescent="0.3">
      <c r="J11423" s="33"/>
    </row>
    <row r="11424" spans="10:10" ht="15" customHeight="1" x14ac:dyDescent="0.3">
      <c r="J11424" s="33"/>
    </row>
    <row r="11425" spans="10:10" ht="15" customHeight="1" x14ac:dyDescent="0.3">
      <c r="J11425" s="33"/>
    </row>
    <row r="11426" spans="10:10" ht="15" customHeight="1" x14ac:dyDescent="0.3">
      <c r="J11426" s="33"/>
    </row>
    <row r="11427" spans="10:10" ht="15" customHeight="1" x14ac:dyDescent="0.3">
      <c r="J11427" s="33"/>
    </row>
    <row r="11428" spans="10:10" ht="15" customHeight="1" x14ac:dyDescent="0.3">
      <c r="J11428" s="33"/>
    </row>
    <row r="11429" spans="10:10" ht="15" customHeight="1" x14ac:dyDescent="0.3">
      <c r="J11429" s="33"/>
    </row>
    <row r="11430" spans="10:10" ht="15" customHeight="1" x14ac:dyDescent="0.3">
      <c r="J11430" s="33"/>
    </row>
    <row r="11431" spans="10:10" ht="15" customHeight="1" x14ac:dyDescent="0.3">
      <c r="J11431" s="33"/>
    </row>
    <row r="11432" spans="10:10" ht="15" customHeight="1" x14ac:dyDescent="0.3">
      <c r="J11432" s="33"/>
    </row>
    <row r="11433" spans="10:10" ht="15" customHeight="1" x14ac:dyDescent="0.3">
      <c r="J11433" s="33"/>
    </row>
    <row r="11434" spans="10:10" ht="15" customHeight="1" x14ac:dyDescent="0.3">
      <c r="J11434" s="33"/>
    </row>
    <row r="11435" spans="10:10" ht="15" customHeight="1" x14ac:dyDescent="0.3">
      <c r="J11435" s="33"/>
    </row>
    <row r="11436" spans="10:10" ht="15" customHeight="1" x14ac:dyDescent="0.3">
      <c r="J11436" s="33"/>
    </row>
    <row r="11437" spans="10:10" ht="15" customHeight="1" x14ac:dyDescent="0.3">
      <c r="J11437" s="33"/>
    </row>
    <row r="11438" spans="10:10" ht="15" customHeight="1" x14ac:dyDescent="0.3">
      <c r="J11438" s="33"/>
    </row>
    <row r="11439" spans="10:10" ht="15" customHeight="1" x14ac:dyDescent="0.3">
      <c r="J11439" s="33"/>
    </row>
    <row r="11440" spans="10:10" ht="15" customHeight="1" x14ac:dyDescent="0.3">
      <c r="J11440" s="33"/>
    </row>
    <row r="11441" spans="10:10" ht="15" customHeight="1" x14ac:dyDescent="0.3">
      <c r="J11441" s="33"/>
    </row>
    <row r="11442" spans="10:10" ht="15" customHeight="1" x14ac:dyDescent="0.3">
      <c r="J11442" s="33"/>
    </row>
    <row r="11443" spans="10:10" ht="15" customHeight="1" x14ac:dyDescent="0.3">
      <c r="J11443" s="33"/>
    </row>
    <row r="11444" spans="10:10" ht="15" customHeight="1" x14ac:dyDescent="0.3">
      <c r="J11444" s="33"/>
    </row>
    <row r="11445" spans="10:10" ht="15" customHeight="1" x14ac:dyDescent="0.3">
      <c r="J11445" s="33"/>
    </row>
    <row r="11446" spans="10:10" ht="15" customHeight="1" x14ac:dyDescent="0.3">
      <c r="J11446" s="33"/>
    </row>
    <row r="11447" spans="10:10" ht="15" customHeight="1" x14ac:dyDescent="0.3">
      <c r="J11447" s="33"/>
    </row>
    <row r="11448" spans="10:10" ht="15" customHeight="1" x14ac:dyDescent="0.3">
      <c r="J11448" s="33"/>
    </row>
    <row r="11449" spans="10:10" ht="15" customHeight="1" x14ac:dyDescent="0.3">
      <c r="J11449" s="33"/>
    </row>
    <row r="11450" spans="10:10" ht="15" customHeight="1" x14ac:dyDescent="0.3">
      <c r="J11450" s="33"/>
    </row>
    <row r="11451" spans="10:10" ht="15" customHeight="1" x14ac:dyDescent="0.3">
      <c r="J11451" s="33"/>
    </row>
    <row r="11452" spans="10:10" ht="15" customHeight="1" x14ac:dyDescent="0.3">
      <c r="J11452" s="33"/>
    </row>
    <row r="11453" spans="10:10" ht="15" customHeight="1" x14ac:dyDescent="0.3">
      <c r="J11453" s="33"/>
    </row>
    <row r="11454" spans="10:10" ht="15" customHeight="1" x14ac:dyDescent="0.3">
      <c r="J11454" s="33"/>
    </row>
    <row r="11455" spans="10:10" ht="15" customHeight="1" x14ac:dyDescent="0.3">
      <c r="J11455" s="33"/>
    </row>
    <row r="11456" spans="10:10" ht="15" customHeight="1" x14ac:dyDescent="0.3">
      <c r="J11456" s="33"/>
    </row>
    <row r="11457" spans="10:10" ht="15" customHeight="1" x14ac:dyDescent="0.3">
      <c r="J11457" s="33"/>
    </row>
    <row r="11458" spans="10:10" ht="15" customHeight="1" x14ac:dyDescent="0.3">
      <c r="J11458" s="33"/>
    </row>
    <row r="11459" spans="10:10" ht="15" customHeight="1" x14ac:dyDescent="0.3">
      <c r="J11459" s="33"/>
    </row>
    <row r="11460" spans="10:10" ht="15" customHeight="1" x14ac:dyDescent="0.3">
      <c r="J11460" s="33"/>
    </row>
    <row r="11461" spans="10:10" ht="15" customHeight="1" x14ac:dyDescent="0.3">
      <c r="J11461" s="33"/>
    </row>
    <row r="11462" spans="10:10" ht="15" customHeight="1" x14ac:dyDescent="0.3">
      <c r="J11462" s="33"/>
    </row>
    <row r="11463" spans="10:10" ht="15" customHeight="1" x14ac:dyDescent="0.3">
      <c r="J11463" s="33"/>
    </row>
    <row r="11464" spans="10:10" ht="15" customHeight="1" x14ac:dyDescent="0.3">
      <c r="J11464" s="33"/>
    </row>
    <row r="11465" spans="10:10" ht="15" customHeight="1" x14ac:dyDescent="0.3">
      <c r="J11465" s="33"/>
    </row>
    <row r="11466" spans="10:10" ht="15" customHeight="1" x14ac:dyDescent="0.3">
      <c r="J11466" s="33"/>
    </row>
    <row r="11467" spans="10:10" ht="15" customHeight="1" x14ac:dyDescent="0.3">
      <c r="J11467" s="33"/>
    </row>
    <row r="11468" spans="10:10" ht="15" customHeight="1" x14ac:dyDescent="0.3">
      <c r="J11468" s="33"/>
    </row>
    <row r="11469" spans="10:10" ht="15" customHeight="1" x14ac:dyDescent="0.3">
      <c r="J11469" s="33"/>
    </row>
    <row r="11470" spans="10:10" ht="15" customHeight="1" x14ac:dyDescent="0.3">
      <c r="J11470" s="33"/>
    </row>
    <row r="11471" spans="10:10" ht="15" customHeight="1" x14ac:dyDescent="0.3">
      <c r="J11471" s="33"/>
    </row>
    <row r="11472" spans="10:10" ht="15" customHeight="1" x14ac:dyDescent="0.3">
      <c r="J11472" s="33"/>
    </row>
    <row r="11473" spans="10:10" ht="15" customHeight="1" x14ac:dyDescent="0.3">
      <c r="J11473" s="33"/>
    </row>
    <row r="11474" spans="10:10" ht="15" customHeight="1" x14ac:dyDescent="0.3">
      <c r="J11474" s="33"/>
    </row>
    <row r="11475" spans="10:10" ht="15" customHeight="1" x14ac:dyDescent="0.3">
      <c r="J11475" s="33"/>
    </row>
    <row r="11476" spans="10:10" ht="15" customHeight="1" x14ac:dyDescent="0.3">
      <c r="J11476" s="33"/>
    </row>
    <row r="11477" spans="10:10" ht="15" customHeight="1" x14ac:dyDescent="0.3">
      <c r="J11477" s="33"/>
    </row>
    <row r="11478" spans="10:10" ht="15" customHeight="1" x14ac:dyDescent="0.3">
      <c r="J11478" s="33"/>
    </row>
    <row r="11479" spans="10:10" ht="15" customHeight="1" x14ac:dyDescent="0.3">
      <c r="J11479" s="33"/>
    </row>
    <row r="11480" spans="10:10" ht="15" customHeight="1" x14ac:dyDescent="0.3">
      <c r="J11480" s="33"/>
    </row>
    <row r="11481" spans="10:10" ht="15" customHeight="1" x14ac:dyDescent="0.3">
      <c r="J11481" s="33"/>
    </row>
    <row r="11482" spans="10:10" ht="15" customHeight="1" x14ac:dyDescent="0.3">
      <c r="J11482" s="33"/>
    </row>
    <row r="11483" spans="10:10" ht="15" customHeight="1" x14ac:dyDescent="0.3">
      <c r="J11483" s="33"/>
    </row>
    <row r="11484" spans="10:10" ht="15" customHeight="1" x14ac:dyDescent="0.3">
      <c r="J11484" s="33"/>
    </row>
    <row r="11485" spans="10:10" ht="15" customHeight="1" x14ac:dyDescent="0.3">
      <c r="J11485" s="33"/>
    </row>
    <row r="11486" spans="10:10" ht="15" customHeight="1" x14ac:dyDescent="0.3">
      <c r="J11486" s="33"/>
    </row>
    <row r="11487" spans="10:10" ht="15" customHeight="1" x14ac:dyDescent="0.3">
      <c r="J11487" s="33"/>
    </row>
    <row r="11488" spans="10:10" ht="15" customHeight="1" x14ac:dyDescent="0.3">
      <c r="J11488" s="33"/>
    </row>
    <row r="11489" spans="10:10" ht="15" customHeight="1" x14ac:dyDescent="0.3">
      <c r="J11489" s="33"/>
    </row>
    <row r="11490" spans="10:10" ht="15" customHeight="1" x14ac:dyDescent="0.3">
      <c r="J11490" s="33"/>
    </row>
    <row r="11491" spans="10:10" ht="15" customHeight="1" x14ac:dyDescent="0.3">
      <c r="J11491" s="33"/>
    </row>
    <row r="11492" spans="10:10" ht="15" customHeight="1" x14ac:dyDescent="0.3">
      <c r="J11492" s="33"/>
    </row>
    <row r="11493" spans="10:10" ht="15" customHeight="1" x14ac:dyDescent="0.3">
      <c r="J11493" s="33"/>
    </row>
    <row r="11494" spans="10:10" ht="15" customHeight="1" x14ac:dyDescent="0.3">
      <c r="J11494" s="33"/>
    </row>
    <row r="11495" spans="10:10" ht="15" customHeight="1" x14ac:dyDescent="0.3">
      <c r="J11495" s="33"/>
    </row>
    <row r="11496" spans="10:10" ht="15" customHeight="1" x14ac:dyDescent="0.3">
      <c r="J11496" s="33"/>
    </row>
    <row r="11497" spans="10:10" ht="15" customHeight="1" x14ac:dyDescent="0.3">
      <c r="J11497" s="33"/>
    </row>
    <row r="11498" spans="10:10" ht="15" customHeight="1" x14ac:dyDescent="0.3">
      <c r="J11498" s="33"/>
    </row>
    <row r="11499" spans="10:10" ht="15" customHeight="1" x14ac:dyDescent="0.3">
      <c r="J11499" s="33"/>
    </row>
    <row r="11500" spans="10:10" ht="15" customHeight="1" x14ac:dyDescent="0.3">
      <c r="J11500" s="33"/>
    </row>
    <row r="11501" spans="10:10" ht="15" customHeight="1" x14ac:dyDescent="0.3">
      <c r="J11501" s="33"/>
    </row>
    <row r="11502" spans="10:10" ht="15" customHeight="1" x14ac:dyDescent="0.3">
      <c r="J11502" s="33"/>
    </row>
    <row r="11503" spans="10:10" ht="15" customHeight="1" x14ac:dyDescent="0.3">
      <c r="J11503" s="33"/>
    </row>
    <row r="11504" spans="10:10" ht="15" customHeight="1" x14ac:dyDescent="0.3">
      <c r="J11504" s="33"/>
    </row>
    <row r="11505" spans="10:10" ht="15" customHeight="1" x14ac:dyDescent="0.3">
      <c r="J11505" s="33"/>
    </row>
    <row r="11506" spans="10:10" ht="15" customHeight="1" x14ac:dyDescent="0.3">
      <c r="J11506" s="33"/>
    </row>
    <row r="11507" spans="10:10" ht="15" customHeight="1" x14ac:dyDescent="0.3">
      <c r="J11507" s="33"/>
    </row>
    <row r="11508" spans="10:10" ht="15" customHeight="1" x14ac:dyDescent="0.3">
      <c r="J11508" s="33"/>
    </row>
    <row r="11509" spans="10:10" ht="15" customHeight="1" x14ac:dyDescent="0.3">
      <c r="J11509" s="33"/>
    </row>
    <row r="11510" spans="10:10" ht="15" customHeight="1" x14ac:dyDescent="0.3">
      <c r="J11510" s="33"/>
    </row>
    <row r="11511" spans="10:10" ht="15" customHeight="1" x14ac:dyDescent="0.3">
      <c r="J11511" s="33"/>
    </row>
    <row r="11512" spans="10:10" ht="15" customHeight="1" x14ac:dyDescent="0.3">
      <c r="J11512" s="33"/>
    </row>
    <row r="11513" spans="10:10" ht="15" customHeight="1" x14ac:dyDescent="0.3">
      <c r="J11513" s="33"/>
    </row>
    <row r="11514" spans="10:10" ht="15" customHeight="1" x14ac:dyDescent="0.3">
      <c r="J11514" s="33"/>
    </row>
    <row r="11515" spans="10:10" ht="15" customHeight="1" x14ac:dyDescent="0.3">
      <c r="J11515" s="33"/>
    </row>
    <row r="11516" spans="10:10" ht="15" customHeight="1" x14ac:dyDescent="0.3">
      <c r="J11516" s="33"/>
    </row>
    <row r="11517" spans="10:10" ht="15" customHeight="1" x14ac:dyDescent="0.3">
      <c r="J11517" s="33"/>
    </row>
    <row r="11518" spans="10:10" ht="15" customHeight="1" x14ac:dyDescent="0.3">
      <c r="J11518" s="33"/>
    </row>
    <row r="11519" spans="10:10" ht="15" customHeight="1" x14ac:dyDescent="0.3">
      <c r="J11519" s="33"/>
    </row>
    <row r="11520" spans="10:10" ht="15" customHeight="1" x14ac:dyDescent="0.3">
      <c r="J11520" s="33"/>
    </row>
    <row r="11521" spans="10:10" ht="15" customHeight="1" x14ac:dyDescent="0.3">
      <c r="J11521" s="33"/>
    </row>
    <row r="11522" spans="10:10" ht="15" customHeight="1" x14ac:dyDescent="0.3">
      <c r="J11522" s="33"/>
    </row>
    <row r="11523" spans="10:10" ht="15" customHeight="1" x14ac:dyDescent="0.3">
      <c r="J11523" s="33"/>
    </row>
    <row r="11524" spans="10:10" ht="15" customHeight="1" x14ac:dyDescent="0.3">
      <c r="J11524" s="33"/>
    </row>
    <row r="11525" spans="10:10" ht="15" customHeight="1" x14ac:dyDescent="0.3">
      <c r="J11525" s="33"/>
    </row>
    <row r="11526" spans="10:10" ht="15" customHeight="1" x14ac:dyDescent="0.3">
      <c r="J11526" s="33"/>
    </row>
    <row r="11527" spans="10:10" ht="15" customHeight="1" x14ac:dyDescent="0.3">
      <c r="J11527" s="33"/>
    </row>
    <row r="11528" spans="10:10" ht="15" customHeight="1" x14ac:dyDescent="0.3">
      <c r="J11528" s="33"/>
    </row>
    <row r="11529" spans="10:10" ht="15" customHeight="1" x14ac:dyDescent="0.3">
      <c r="J11529" s="33"/>
    </row>
    <row r="11530" spans="10:10" ht="15" customHeight="1" x14ac:dyDescent="0.3">
      <c r="J11530" s="33"/>
    </row>
    <row r="11531" spans="10:10" ht="15" customHeight="1" x14ac:dyDescent="0.3">
      <c r="J11531" s="33"/>
    </row>
    <row r="11532" spans="10:10" ht="15" customHeight="1" x14ac:dyDescent="0.3">
      <c r="J11532" s="33"/>
    </row>
    <row r="11533" spans="10:10" ht="15" customHeight="1" x14ac:dyDescent="0.3">
      <c r="J11533" s="33"/>
    </row>
    <row r="11534" spans="10:10" ht="15" customHeight="1" x14ac:dyDescent="0.3">
      <c r="J11534" s="33"/>
    </row>
    <row r="11535" spans="10:10" ht="15" customHeight="1" x14ac:dyDescent="0.3">
      <c r="J11535" s="33"/>
    </row>
    <row r="11536" spans="10:10" ht="15" customHeight="1" x14ac:dyDescent="0.3">
      <c r="J11536" s="33"/>
    </row>
    <row r="11537" spans="10:10" ht="15" customHeight="1" x14ac:dyDescent="0.3">
      <c r="J11537" s="33"/>
    </row>
    <row r="11538" spans="10:10" ht="15" customHeight="1" x14ac:dyDescent="0.3">
      <c r="J11538" s="33"/>
    </row>
    <row r="11539" spans="10:10" ht="15" customHeight="1" x14ac:dyDescent="0.3">
      <c r="J11539" s="33"/>
    </row>
    <row r="11540" spans="10:10" ht="15" customHeight="1" x14ac:dyDescent="0.3">
      <c r="J11540" s="33"/>
    </row>
    <row r="11541" spans="10:10" ht="15" customHeight="1" x14ac:dyDescent="0.3">
      <c r="J11541" s="33"/>
    </row>
    <row r="11542" spans="10:10" ht="15" customHeight="1" x14ac:dyDescent="0.3">
      <c r="J11542" s="33"/>
    </row>
    <row r="11543" spans="10:10" ht="15" customHeight="1" x14ac:dyDescent="0.3">
      <c r="J11543" s="33"/>
    </row>
    <row r="11544" spans="10:10" ht="15" customHeight="1" x14ac:dyDescent="0.3">
      <c r="J11544" s="33"/>
    </row>
    <row r="11545" spans="10:10" ht="15" customHeight="1" x14ac:dyDescent="0.3">
      <c r="J11545" s="33"/>
    </row>
    <row r="11546" spans="10:10" ht="15" customHeight="1" x14ac:dyDescent="0.3">
      <c r="J11546" s="33"/>
    </row>
    <row r="11547" spans="10:10" ht="15" customHeight="1" x14ac:dyDescent="0.3">
      <c r="J11547" s="33"/>
    </row>
    <row r="11548" spans="10:10" ht="15" customHeight="1" x14ac:dyDescent="0.3">
      <c r="J11548" s="33"/>
    </row>
    <row r="11549" spans="10:10" ht="15" customHeight="1" x14ac:dyDescent="0.3">
      <c r="J11549" s="33"/>
    </row>
    <row r="11550" spans="10:10" ht="15" customHeight="1" x14ac:dyDescent="0.3">
      <c r="J11550" s="33"/>
    </row>
    <row r="11551" spans="10:10" ht="15" customHeight="1" x14ac:dyDescent="0.3">
      <c r="J11551" s="33"/>
    </row>
    <row r="11552" spans="10:10" ht="15" customHeight="1" x14ac:dyDescent="0.3">
      <c r="J11552" s="33"/>
    </row>
    <row r="11553" spans="10:10" ht="15" customHeight="1" x14ac:dyDescent="0.3">
      <c r="J11553" s="33"/>
    </row>
    <row r="11554" spans="10:10" ht="15" customHeight="1" x14ac:dyDescent="0.3">
      <c r="J11554" s="33"/>
    </row>
    <row r="11555" spans="10:10" ht="15" customHeight="1" x14ac:dyDescent="0.3">
      <c r="J11555" s="33"/>
    </row>
    <row r="11556" spans="10:10" ht="15" customHeight="1" x14ac:dyDescent="0.3">
      <c r="J11556" s="33"/>
    </row>
    <row r="11557" spans="10:10" ht="15" customHeight="1" x14ac:dyDescent="0.3">
      <c r="J11557" s="33"/>
    </row>
    <row r="11558" spans="10:10" ht="15" customHeight="1" x14ac:dyDescent="0.3">
      <c r="J11558" s="33"/>
    </row>
    <row r="11559" spans="10:10" ht="15" customHeight="1" x14ac:dyDescent="0.3">
      <c r="J11559" s="33"/>
    </row>
    <row r="11560" spans="10:10" ht="15" customHeight="1" x14ac:dyDescent="0.3">
      <c r="J11560" s="33"/>
    </row>
    <row r="11561" spans="10:10" ht="15" customHeight="1" x14ac:dyDescent="0.3">
      <c r="J11561" s="33"/>
    </row>
    <row r="11562" spans="10:10" ht="15" customHeight="1" x14ac:dyDescent="0.3">
      <c r="J11562" s="33"/>
    </row>
    <row r="11563" spans="10:10" ht="15" customHeight="1" x14ac:dyDescent="0.3">
      <c r="J11563" s="33"/>
    </row>
    <row r="11564" spans="10:10" ht="15" customHeight="1" x14ac:dyDescent="0.3">
      <c r="J11564" s="33"/>
    </row>
    <row r="11565" spans="10:10" ht="15" customHeight="1" x14ac:dyDescent="0.3">
      <c r="J11565" s="33"/>
    </row>
    <row r="11566" spans="10:10" ht="15" customHeight="1" x14ac:dyDescent="0.3">
      <c r="J11566" s="33"/>
    </row>
    <row r="11567" spans="10:10" ht="15" customHeight="1" x14ac:dyDescent="0.3">
      <c r="J11567" s="33"/>
    </row>
    <row r="11568" spans="10:10" ht="15" customHeight="1" x14ac:dyDescent="0.3">
      <c r="J11568" s="33"/>
    </row>
    <row r="11569" spans="10:10" ht="15" customHeight="1" x14ac:dyDescent="0.3">
      <c r="J11569" s="33"/>
    </row>
    <row r="11570" spans="10:10" ht="15" customHeight="1" x14ac:dyDescent="0.3">
      <c r="J11570" s="33"/>
    </row>
    <row r="11571" spans="10:10" ht="15" customHeight="1" x14ac:dyDescent="0.3">
      <c r="J11571" s="33"/>
    </row>
    <row r="11572" spans="10:10" ht="15" customHeight="1" x14ac:dyDescent="0.3">
      <c r="J11572" s="33"/>
    </row>
    <row r="11573" spans="10:10" ht="15" customHeight="1" x14ac:dyDescent="0.3">
      <c r="J11573" s="33"/>
    </row>
    <row r="11574" spans="10:10" ht="15" customHeight="1" x14ac:dyDescent="0.3">
      <c r="J11574" s="33"/>
    </row>
    <row r="11575" spans="10:10" ht="15" customHeight="1" x14ac:dyDescent="0.3">
      <c r="J11575" s="33"/>
    </row>
    <row r="11576" spans="10:10" ht="15" customHeight="1" x14ac:dyDescent="0.3">
      <c r="J11576" s="33"/>
    </row>
    <row r="11577" spans="10:10" ht="15" customHeight="1" x14ac:dyDescent="0.3">
      <c r="J11577" s="33"/>
    </row>
    <row r="11578" spans="10:10" ht="15" customHeight="1" x14ac:dyDescent="0.3">
      <c r="J11578" s="33"/>
    </row>
    <row r="11579" spans="10:10" ht="15" customHeight="1" x14ac:dyDescent="0.3">
      <c r="J11579" s="33"/>
    </row>
    <row r="11580" spans="10:10" ht="15" customHeight="1" x14ac:dyDescent="0.3">
      <c r="J11580" s="33"/>
    </row>
    <row r="11581" spans="10:10" ht="15" customHeight="1" x14ac:dyDescent="0.3">
      <c r="J11581" s="33"/>
    </row>
    <row r="11582" spans="10:10" ht="15" customHeight="1" x14ac:dyDescent="0.3">
      <c r="J11582" s="33"/>
    </row>
    <row r="11583" spans="10:10" ht="15" customHeight="1" x14ac:dyDescent="0.3">
      <c r="J11583" s="33"/>
    </row>
    <row r="11584" spans="10:10" ht="15" customHeight="1" x14ac:dyDescent="0.3">
      <c r="J11584" s="33"/>
    </row>
    <row r="11585" spans="10:10" ht="15" customHeight="1" x14ac:dyDescent="0.3">
      <c r="J11585" s="33"/>
    </row>
    <row r="11586" spans="10:10" ht="15" customHeight="1" x14ac:dyDescent="0.3">
      <c r="J11586" s="33"/>
    </row>
    <row r="11587" spans="10:10" ht="15" customHeight="1" x14ac:dyDescent="0.3">
      <c r="J11587" s="33"/>
    </row>
    <row r="11588" spans="10:10" ht="15" customHeight="1" x14ac:dyDescent="0.3">
      <c r="J11588" s="33"/>
    </row>
    <row r="11589" spans="10:10" ht="15" customHeight="1" x14ac:dyDescent="0.3">
      <c r="J11589" s="33"/>
    </row>
    <row r="11590" spans="10:10" ht="15" customHeight="1" x14ac:dyDescent="0.3">
      <c r="J11590" s="33"/>
    </row>
    <row r="11591" spans="10:10" ht="15" customHeight="1" x14ac:dyDescent="0.3">
      <c r="J11591" s="33"/>
    </row>
    <row r="11592" spans="10:10" ht="15" customHeight="1" x14ac:dyDescent="0.3">
      <c r="J11592" s="33"/>
    </row>
    <row r="11593" spans="10:10" ht="15" customHeight="1" x14ac:dyDescent="0.3">
      <c r="J11593" s="33"/>
    </row>
    <row r="11594" spans="10:10" ht="15" customHeight="1" x14ac:dyDescent="0.3">
      <c r="J11594" s="33"/>
    </row>
    <row r="11595" spans="10:10" ht="15" customHeight="1" x14ac:dyDescent="0.3">
      <c r="J11595" s="33"/>
    </row>
    <row r="11596" spans="10:10" ht="15" customHeight="1" x14ac:dyDescent="0.3">
      <c r="J11596" s="33"/>
    </row>
    <row r="11597" spans="10:10" ht="15" customHeight="1" x14ac:dyDescent="0.3">
      <c r="J11597" s="33"/>
    </row>
    <row r="11598" spans="10:10" ht="15" customHeight="1" x14ac:dyDescent="0.3">
      <c r="J11598" s="33"/>
    </row>
    <row r="11599" spans="10:10" ht="15" customHeight="1" x14ac:dyDescent="0.3">
      <c r="J11599" s="33"/>
    </row>
    <row r="11600" spans="10:10" ht="15" customHeight="1" x14ac:dyDescent="0.3">
      <c r="J11600" s="33"/>
    </row>
    <row r="11601" spans="10:10" ht="15" customHeight="1" x14ac:dyDescent="0.3">
      <c r="J11601" s="33"/>
    </row>
    <row r="11602" spans="10:10" ht="15" customHeight="1" x14ac:dyDescent="0.3">
      <c r="J11602" s="33"/>
    </row>
    <row r="11603" spans="10:10" ht="15" customHeight="1" x14ac:dyDescent="0.3">
      <c r="J11603" s="33"/>
    </row>
    <row r="11604" spans="10:10" ht="15" customHeight="1" x14ac:dyDescent="0.3">
      <c r="J11604" s="33"/>
    </row>
    <row r="11605" spans="10:10" ht="15" customHeight="1" x14ac:dyDescent="0.3">
      <c r="J11605" s="33"/>
    </row>
    <row r="11606" spans="10:10" ht="15" customHeight="1" x14ac:dyDescent="0.3">
      <c r="J11606" s="33"/>
    </row>
    <row r="11607" spans="10:10" ht="15" customHeight="1" x14ac:dyDescent="0.3">
      <c r="J11607" s="33"/>
    </row>
    <row r="11608" spans="10:10" ht="15" customHeight="1" x14ac:dyDescent="0.3">
      <c r="J11608" s="33"/>
    </row>
    <row r="11609" spans="10:10" ht="15" customHeight="1" x14ac:dyDescent="0.3">
      <c r="J11609" s="33"/>
    </row>
    <row r="11610" spans="10:10" ht="15" customHeight="1" x14ac:dyDescent="0.3">
      <c r="J11610" s="33"/>
    </row>
    <row r="11611" spans="10:10" ht="15" customHeight="1" x14ac:dyDescent="0.3">
      <c r="J11611" s="33"/>
    </row>
    <row r="11612" spans="10:10" ht="15" customHeight="1" x14ac:dyDescent="0.3">
      <c r="J11612" s="33"/>
    </row>
    <row r="11613" spans="10:10" ht="15" customHeight="1" x14ac:dyDescent="0.3">
      <c r="J11613" s="33"/>
    </row>
    <row r="11614" spans="10:10" ht="15" customHeight="1" x14ac:dyDescent="0.3">
      <c r="J11614" s="33"/>
    </row>
    <row r="11615" spans="10:10" ht="15" customHeight="1" x14ac:dyDescent="0.3">
      <c r="J11615" s="33"/>
    </row>
    <row r="11616" spans="10:10" ht="15" customHeight="1" x14ac:dyDescent="0.3">
      <c r="J11616" s="33"/>
    </row>
    <row r="11617" spans="10:10" ht="15" customHeight="1" x14ac:dyDescent="0.3">
      <c r="J11617" s="33"/>
    </row>
    <row r="11618" spans="10:10" ht="15" customHeight="1" x14ac:dyDescent="0.3">
      <c r="J11618" s="33"/>
    </row>
    <row r="11619" spans="10:10" ht="15" customHeight="1" x14ac:dyDescent="0.3">
      <c r="J11619" s="33"/>
    </row>
    <row r="11620" spans="10:10" ht="15" customHeight="1" x14ac:dyDescent="0.3">
      <c r="J11620" s="33"/>
    </row>
    <row r="11621" spans="10:10" ht="15" customHeight="1" x14ac:dyDescent="0.3">
      <c r="J11621" s="33"/>
    </row>
    <row r="11622" spans="10:10" ht="15" customHeight="1" x14ac:dyDescent="0.3">
      <c r="J11622" s="33"/>
    </row>
    <row r="11623" spans="10:10" ht="15" customHeight="1" x14ac:dyDescent="0.3">
      <c r="J11623" s="33"/>
    </row>
    <row r="11624" spans="10:10" ht="15" customHeight="1" x14ac:dyDescent="0.3">
      <c r="J11624" s="33"/>
    </row>
    <row r="11625" spans="10:10" ht="15" customHeight="1" x14ac:dyDescent="0.3">
      <c r="J11625" s="33"/>
    </row>
    <row r="11626" spans="10:10" ht="15" customHeight="1" x14ac:dyDescent="0.3">
      <c r="J11626" s="33"/>
    </row>
    <row r="11627" spans="10:10" ht="15" customHeight="1" x14ac:dyDescent="0.3">
      <c r="J11627" s="33"/>
    </row>
    <row r="11628" spans="10:10" ht="15" customHeight="1" x14ac:dyDescent="0.3">
      <c r="J11628" s="33"/>
    </row>
    <row r="11629" spans="10:10" ht="15" customHeight="1" x14ac:dyDescent="0.3">
      <c r="J11629" s="33"/>
    </row>
    <row r="11630" spans="10:10" ht="15" customHeight="1" x14ac:dyDescent="0.3">
      <c r="J11630" s="33"/>
    </row>
    <row r="11631" spans="10:10" ht="15" customHeight="1" x14ac:dyDescent="0.3">
      <c r="J11631" s="33"/>
    </row>
    <row r="11632" spans="10:10" ht="15" customHeight="1" x14ac:dyDescent="0.3">
      <c r="J11632" s="33"/>
    </row>
    <row r="11633" spans="10:10" ht="15" customHeight="1" x14ac:dyDescent="0.3">
      <c r="J11633" s="33"/>
    </row>
    <row r="11634" spans="10:10" ht="15" customHeight="1" x14ac:dyDescent="0.3">
      <c r="J11634" s="33"/>
    </row>
    <row r="11635" spans="10:10" ht="15" customHeight="1" x14ac:dyDescent="0.3">
      <c r="J11635" s="33"/>
    </row>
    <row r="11636" spans="10:10" ht="15" customHeight="1" x14ac:dyDescent="0.3">
      <c r="J11636" s="33"/>
    </row>
    <row r="11637" spans="10:10" ht="15" customHeight="1" x14ac:dyDescent="0.3">
      <c r="J11637" s="33"/>
    </row>
    <row r="11638" spans="10:10" ht="15" customHeight="1" x14ac:dyDescent="0.3">
      <c r="J11638" s="33"/>
    </row>
    <row r="11639" spans="10:10" ht="15" customHeight="1" x14ac:dyDescent="0.3">
      <c r="J11639" s="33"/>
    </row>
    <row r="11640" spans="10:10" ht="15" customHeight="1" x14ac:dyDescent="0.3">
      <c r="J11640" s="33"/>
    </row>
    <row r="11641" spans="10:10" ht="15" customHeight="1" x14ac:dyDescent="0.3">
      <c r="J11641" s="33"/>
    </row>
    <row r="11642" spans="10:10" ht="15" customHeight="1" x14ac:dyDescent="0.3">
      <c r="J11642" s="33"/>
    </row>
    <row r="11643" spans="10:10" ht="15" customHeight="1" x14ac:dyDescent="0.3">
      <c r="J11643" s="33"/>
    </row>
    <row r="11644" spans="10:10" ht="15" customHeight="1" x14ac:dyDescent="0.3">
      <c r="J11644" s="33"/>
    </row>
    <row r="11645" spans="10:10" ht="15" customHeight="1" x14ac:dyDescent="0.3">
      <c r="J11645" s="33"/>
    </row>
    <row r="11646" spans="10:10" ht="15" customHeight="1" x14ac:dyDescent="0.3">
      <c r="J11646" s="33"/>
    </row>
    <row r="11647" spans="10:10" ht="15" customHeight="1" x14ac:dyDescent="0.3">
      <c r="J11647" s="33"/>
    </row>
    <row r="11648" spans="10:10" ht="15" customHeight="1" x14ac:dyDescent="0.3">
      <c r="J11648" s="33"/>
    </row>
    <row r="11649" spans="10:10" ht="15" customHeight="1" x14ac:dyDescent="0.3">
      <c r="J11649" s="33"/>
    </row>
    <row r="11650" spans="10:10" ht="15" customHeight="1" x14ac:dyDescent="0.3">
      <c r="J11650" s="33"/>
    </row>
    <row r="11651" spans="10:10" ht="15" customHeight="1" x14ac:dyDescent="0.3">
      <c r="J11651" s="33"/>
    </row>
    <row r="11652" spans="10:10" ht="15" customHeight="1" x14ac:dyDescent="0.3">
      <c r="J11652" s="33"/>
    </row>
    <row r="11653" spans="10:10" ht="15" customHeight="1" x14ac:dyDescent="0.3">
      <c r="J11653" s="33"/>
    </row>
    <row r="11654" spans="10:10" ht="15" customHeight="1" x14ac:dyDescent="0.3">
      <c r="J11654" s="33"/>
    </row>
    <row r="11655" spans="10:10" ht="15" customHeight="1" x14ac:dyDescent="0.3">
      <c r="J11655" s="33"/>
    </row>
    <row r="11656" spans="10:10" ht="15" customHeight="1" x14ac:dyDescent="0.3">
      <c r="J11656" s="33"/>
    </row>
    <row r="11657" spans="10:10" ht="15" customHeight="1" x14ac:dyDescent="0.3">
      <c r="J11657" s="33"/>
    </row>
    <row r="11658" spans="10:10" ht="15" customHeight="1" x14ac:dyDescent="0.3">
      <c r="J11658" s="33"/>
    </row>
    <row r="11659" spans="10:10" ht="15" customHeight="1" x14ac:dyDescent="0.3">
      <c r="J11659" s="33"/>
    </row>
    <row r="11660" spans="10:10" ht="15" customHeight="1" x14ac:dyDescent="0.3">
      <c r="J11660" s="33"/>
    </row>
    <row r="11661" spans="10:10" ht="15" customHeight="1" x14ac:dyDescent="0.3">
      <c r="J11661" s="33"/>
    </row>
    <row r="11662" spans="10:10" ht="15" customHeight="1" x14ac:dyDescent="0.3">
      <c r="J11662" s="33"/>
    </row>
    <row r="11663" spans="10:10" ht="15" customHeight="1" x14ac:dyDescent="0.3">
      <c r="J11663" s="33"/>
    </row>
    <row r="11664" spans="10:10" ht="15" customHeight="1" x14ac:dyDescent="0.3">
      <c r="J11664" s="33"/>
    </row>
    <row r="11665" spans="10:10" ht="15" customHeight="1" x14ac:dyDescent="0.3">
      <c r="J11665" s="33"/>
    </row>
    <row r="11666" spans="10:10" ht="15" customHeight="1" x14ac:dyDescent="0.3">
      <c r="J11666" s="33"/>
    </row>
    <row r="11667" spans="10:10" ht="15" customHeight="1" x14ac:dyDescent="0.3">
      <c r="J11667" s="33"/>
    </row>
    <row r="11668" spans="10:10" ht="15" customHeight="1" x14ac:dyDescent="0.3">
      <c r="J11668" s="33"/>
    </row>
    <row r="11669" spans="10:10" ht="15" customHeight="1" x14ac:dyDescent="0.3">
      <c r="J11669" s="33"/>
    </row>
    <row r="11670" spans="10:10" ht="15" customHeight="1" x14ac:dyDescent="0.3">
      <c r="J11670" s="33"/>
    </row>
    <row r="11671" spans="10:10" ht="15" customHeight="1" x14ac:dyDescent="0.3">
      <c r="J11671" s="33"/>
    </row>
    <row r="11672" spans="10:10" ht="15" customHeight="1" x14ac:dyDescent="0.3">
      <c r="J11672" s="33"/>
    </row>
    <row r="11673" spans="10:10" ht="15" customHeight="1" x14ac:dyDescent="0.3">
      <c r="J11673" s="33"/>
    </row>
    <row r="11674" spans="10:10" ht="15" customHeight="1" x14ac:dyDescent="0.3">
      <c r="J11674" s="33"/>
    </row>
    <row r="11675" spans="10:10" ht="15" customHeight="1" x14ac:dyDescent="0.3">
      <c r="J11675" s="33"/>
    </row>
    <row r="11676" spans="10:10" ht="15" customHeight="1" x14ac:dyDescent="0.3">
      <c r="J11676" s="33"/>
    </row>
    <row r="11677" spans="10:10" ht="15" customHeight="1" x14ac:dyDescent="0.3">
      <c r="J11677" s="33"/>
    </row>
    <row r="11678" spans="10:10" ht="15" customHeight="1" x14ac:dyDescent="0.3">
      <c r="J11678" s="33"/>
    </row>
    <row r="11679" spans="10:10" ht="15" customHeight="1" x14ac:dyDescent="0.3">
      <c r="J11679" s="33"/>
    </row>
    <row r="11680" spans="10:10" ht="15" customHeight="1" x14ac:dyDescent="0.3">
      <c r="J11680" s="33"/>
    </row>
    <row r="11681" spans="10:10" ht="15" customHeight="1" x14ac:dyDescent="0.3">
      <c r="J11681" s="33"/>
    </row>
    <row r="11682" spans="10:10" ht="15" customHeight="1" x14ac:dyDescent="0.3">
      <c r="J11682" s="33"/>
    </row>
    <row r="11683" spans="10:10" ht="15" customHeight="1" x14ac:dyDescent="0.3">
      <c r="J11683" s="33"/>
    </row>
    <row r="11684" spans="10:10" ht="15" customHeight="1" x14ac:dyDescent="0.3">
      <c r="J11684" s="33"/>
    </row>
    <row r="11685" spans="10:10" ht="15" customHeight="1" x14ac:dyDescent="0.3">
      <c r="J11685" s="33"/>
    </row>
    <row r="11686" spans="10:10" ht="15" customHeight="1" x14ac:dyDescent="0.3">
      <c r="J11686" s="33"/>
    </row>
    <row r="11687" spans="10:10" ht="15" customHeight="1" x14ac:dyDescent="0.3">
      <c r="J11687" s="33"/>
    </row>
    <row r="11688" spans="10:10" ht="15" customHeight="1" x14ac:dyDescent="0.3">
      <c r="J11688" s="33"/>
    </row>
    <row r="11689" spans="10:10" ht="15" customHeight="1" x14ac:dyDescent="0.3">
      <c r="J11689" s="33"/>
    </row>
    <row r="11690" spans="10:10" ht="15" customHeight="1" x14ac:dyDescent="0.3">
      <c r="J11690" s="33"/>
    </row>
    <row r="11691" spans="10:10" ht="15" customHeight="1" x14ac:dyDescent="0.3">
      <c r="J11691" s="33"/>
    </row>
    <row r="11692" spans="10:10" ht="15" customHeight="1" x14ac:dyDescent="0.3">
      <c r="J11692" s="33"/>
    </row>
    <row r="11693" spans="10:10" ht="15" customHeight="1" x14ac:dyDescent="0.3">
      <c r="J11693" s="33"/>
    </row>
    <row r="11694" spans="10:10" ht="15" customHeight="1" x14ac:dyDescent="0.3">
      <c r="J11694" s="33"/>
    </row>
    <row r="11695" spans="10:10" ht="15" customHeight="1" x14ac:dyDescent="0.3">
      <c r="J11695" s="33"/>
    </row>
    <row r="11696" spans="10:10" ht="15" customHeight="1" x14ac:dyDescent="0.3">
      <c r="J11696" s="33"/>
    </row>
    <row r="11697" spans="10:10" ht="15" customHeight="1" x14ac:dyDescent="0.3">
      <c r="J11697" s="33"/>
    </row>
    <row r="11698" spans="10:10" ht="15" customHeight="1" x14ac:dyDescent="0.3">
      <c r="J11698" s="33"/>
    </row>
    <row r="11699" spans="10:10" ht="15" customHeight="1" x14ac:dyDescent="0.3">
      <c r="J11699" s="33"/>
    </row>
    <row r="11700" spans="10:10" ht="15" customHeight="1" x14ac:dyDescent="0.3">
      <c r="J11700" s="33"/>
    </row>
    <row r="11701" spans="10:10" ht="15" customHeight="1" x14ac:dyDescent="0.3">
      <c r="J11701" s="33"/>
    </row>
    <row r="11702" spans="10:10" ht="15" customHeight="1" x14ac:dyDescent="0.3">
      <c r="J11702" s="33"/>
    </row>
    <row r="11703" spans="10:10" ht="15" customHeight="1" x14ac:dyDescent="0.3">
      <c r="J11703" s="33"/>
    </row>
    <row r="11704" spans="10:10" ht="15" customHeight="1" x14ac:dyDescent="0.3">
      <c r="J11704" s="33"/>
    </row>
    <row r="11705" spans="10:10" ht="15" customHeight="1" x14ac:dyDescent="0.3">
      <c r="J11705" s="33"/>
    </row>
    <row r="11706" spans="10:10" ht="15" customHeight="1" x14ac:dyDescent="0.3">
      <c r="J11706" s="33"/>
    </row>
    <row r="11707" spans="10:10" ht="15" customHeight="1" x14ac:dyDescent="0.3">
      <c r="J11707" s="33"/>
    </row>
    <row r="11708" spans="10:10" ht="15" customHeight="1" x14ac:dyDescent="0.3">
      <c r="J11708" s="33"/>
    </row>
    <row r="11709" spans="10:10" ht="15" customHeight="1" x14ac:dyDescent="0.3">
      <c r="J11709" s="33"/>
    </row>
    <row r="11710" spans="10:10" ht="15" customHeight="1" x14ac:dyDescent="0.3">
      <c r="J11710" s="33"/>
    </row>
    <row r="11711" spans="10:10" ht="15" customHeight="1" x14ac:dyDescent="0.3">
      <c r="J11711" s="33"/>
    </row>
    <row r="11712" spans="10:10" ht="15" customHeight="1" x14ac:dyDescent="0.3">
      <c r="J11712" s="33"/>
    </row>
    <row r="11713" spans="10:10" ht="15" customHeight="1" x14ac:dyDescent="0.3">
      <c r="J11713" s="33"/>
    </row>
    <row r="11714" spans="10:10" ht="15" customHeight="1" x14ac:dyDescent="0.3">
      <c r="J11714" s="33"/>
    </row>
    <row r="11715" spans="10:10" ht="15" customHeight="1" x14ac:dyDescent="0.3">
      <c r="J11715" s="33"/>
    </row>
    <row r="11716" spans="10:10" ht="15" customHeight="1" x14ac:dyDescent="0.3">
      <c r="J11716" s="33"/>
    </row>
    <row r="11717" spans="10:10" ht="15" customHeight="1" x14ac:dyDescent="0.3">
      <c r="J11717" s="33"/>
    </row>
    <row r="11718" spans="10:10" ht="15" customHeight="1" x14ac:dyDescent="0.3">
      <c r="J11718" s="33"/>
    </row>
    <row r="11719" spans="10:10" ht="15" customHeight="1" x14ac:dyDescent="0.3">
      <c r="J11719" s="33"/>
    </row>
    <row r="11720" spans="10:10" ht="15" customHeight="1" x14ac:dyDescent="0.3">
      <c r="J11720" s="33"/>
    </row>
    <row r="11721" spans="10:10" ht="15" customHeight="1" x14ac:dyDescent="0.3">
      <c r="J11721" s="33"/>
    </row>
    <row r="11722" spans="10:10" ht="15" customHeight="1" x14ac:dyDescent="0.3">
      <c r="J11722" s="33"/>
    </row>
    <row r="11723" spans="10:10" ht="15" customHeight="1" x14ac:dyDescent="0.3">
      <c r="J11723" s="33"/>
    </row>
    <row r="11724" spans="10:10" ht="15" customHeight="1" x14ac:dyDescent="0.3">
      <c r="J11724" s="33"/>
    </row>
    <row r="11725" spans="10:10" ht="15" customHeight="1" x14ac:dyDescent="0.3">
      <c r="J11725" s="33"/>
    </row>
    <row r="11726" spans="10:10" ht="15" customHeight="1" x14ac:dyDescent="0.3">
      <c r="J11726" s="33"/>
    </row>
    <row r="11727" spans="10:10" ht="15" customHeight="1" x14ac:dyDescent="0.3">
      <c r="J11727" s="33"/>
    </row>
    <row r="11728" spans="10:10" ht="15" customHeight="1" x14ac:dyDescent="0.3">
      <c r="J11728" s="33"/>
    </row>
    <row r="11729" spans="10:10" ht="15" customHeight="1" x14ac:dyDescent="0.3">
      <c r="J11729" s="33"/>
    </row>
    <row r="11730" spans="10:10" ht="15" customHeight="1" x14ac:dyDescent="0.3">
      <c r="J11730" s="33"/>
    </row>
    <row r="11731" spans="10:10" ht="15" customHeight="1" x14ac:dyDescent="0.3">
      <c r="J11731" s="33"/>
    </row>
    <row r="11732" spans="10:10" ht="15" customHeight="1" x14ac:dyDescent="0.3">
      <c r="J11732" s="33"/>
    </row>
    <row r="11733" spans="10:10" ht="15" customHeight="1" x14ac:dyDescent="0.3">
      <c r="J11733" s="33"/>
    </row>
    <row r="11734" spans="10:10" ht="15" customHeight="1" x14ac:dyDescent="0.3">
      <c r="J11734" s="33"/>
    </row>
    <row r="11735" spans="10:10" ht="15" customHeight="1" x14ac:dyDescent="0.3">
      <c r="J11735" s="33"/>
    </row>
    <row r="11736" spans="10:10" ht="15" customHeight="1" x14ac:dyDescent="0.3">
      <c r="J11736" s="33"/>
    </row>
    <row r="11737" spans="10:10" ht="15" customHeight="1" x14ac:dyDescent="0.3">
      <c r="J11737" s="33"/>
    </row>
    <row r="11738" spans="10:10" ht="15" customHeight="1" x14ac:dyDescent="0.3">
      <c r="J11738" s="33"/>
    </row>
    <row r="11739" spans="10:10" ht="15" customHeight="1" x14ac:dyDescent="0.3">
      <c r="J11739" s="33"/>
    </row>
    <row r="11740" spans="10:10" ht="15" customHeight="1" x14ac:dyDescent="0.3">
      <c r="J11740" s="33"/>
    </row>
    <row r="11741" spans="10:10" ht="15" customHeight="1" x14ac:dyDescent="0.3">
      <c r="J11741" s="33"/>
    </row>
    <row r="11742" spans="10:10" ht="15" customHeight="1" x14ac:dyDescent="0.3">
      <c r="J11742" s="33"/>
    </row>
    <row r="11743" spans="10:10" ht="15" customHeight="1" x14ac:dyDescent="0.3">
      <c r="J11743" s="33"/>
    </row>
    <row r="11744" spans="10:10" ht="15" customHeight="1" x14ac:dyDescent="0.3">
      <c r="J11744" s="33"/>
    </row>
    <row r="11745" spans="10:10" ht="15" customHeight="1" x14ac:dyDescent="0.3">
      <c r="J11745" s="33"/>
    </row>
    <row r="11746" spans="10:10" ht="15" customHeight="1" x14ac:dyDescent="0.3">
      <c r="J11746" s="33"/>
    </row>
    <row r="11747" spans="10:10" ht="15" customHeight="1" x14ac:dyDescent="0.3">
      <c r="J11747" s="33"/>
    </row>
    <row r="11748" spans="10:10" ht="15" customHeight="1" x14ac:dyDescent="0.3">
      <c r="J11748" s="33"/>
    </row>
    <row r="11749" spans="10:10" ht="15" customHeight="1" x14ac:dyDescent="0.3">
      <c r="J11749" s="33"/>
    </row>
    <row r="11750" spans="10:10" ht="15" customHeight="1" x14ac:dyDescent="0.3">
      <c r="J11750" s="33"/>
    </row>
    <row r="11751" spans="10:10" ht="15" customHeight="1" x14ac:dyDescent="0.3">
      <c r="J11751" s="33"/>
    </row>
    <row r="11752" spans="10:10" ht="15" customHeight="1" x14ac:dyDescent="0.3">
      <c r="J11752" s="33"/>
    </row>
    <row r="11753" spans="10:10" ht="15" customHeight="1" x14ac:dyDescent="0.3">
      <c r="J11753" s="33"/>
    </row>
    <row r="11754" spans="10:10" ht="15" customHeight="1" x14ac:dyDescent="0.3">
      <c r="J11754" s="33"/>
    </row>
    <row r="11755" spans="10:10" ht="15" customHeight="1" x14ac:dyDescent="0.3">
      <c r="J11755" s="33"/>
    </row>
    <row r="11756" spans="10:10" ht="15" customHeight="1" x14ac:dyDescent="0.3">
      <c r="J11756" s="33"/>
    </row>
    <row r="11757" spans="10:10" ht="15" customHeight="1" x14ac:dyDescent="0.3">
      <c r="J11757" s="33"/>
    </row>
    <row r="11758" spans="10:10" ht="15" customHeight="1" x14ac:dyDescent="0.3">
      <c r="J11758" s="33"/>
    </row>
    <row r="11759" spans="10:10" ht="15" customHeight="1" x14ac:dyDescent="0.3">
      <c r="J11759" s="33"/>
    </row>
    <row r="11760" spans="10:10" ht="15" customHeight="1" x14ac:dyDescent="0.3">
      <c r="J11760" s="33"/>
    </row>
    <row r="11761" spans="10:10" ht="15" customHeight="1" x14ac:dyDescent="0.3">
      <c r="J11761" s="33"/>
    </row>
    <row r="11762" spans="10:10" ht="15" customHeight="1" x14ac:dyDescent="0.3">
      <c r="J11762" s="33"/>
    </row>
    <row r="11763" spans="10:10" ht="15" customHeight="1" x14ac:dyDescent="0.3">
      <c r="J11763" s="33"/>
    </row>
    <row r="11764" spans="10:10" ht="15" customHeight="1" x14ac:dyDescent="0.3">
      <c r="J11764" s="33"/>
    </row>
    <row r="11765" spans="10:10" ht="15" customHeight="1" x14ac:dyDescent="0.3">
      <c r="J11765" s="33"/>
    </row>
    <row r="11766" spans="10:10" ht="15" customHeight="1" x14ac:dyDescent="0.3">
      <c r="J11766" s="33"/>
    </row>
    <row r="11767" spans="10:10" ht="15" customHeight="1" x14ac:dyDescent="0.3">
      <c r="J11767" s="33"/>
    </row>
    <row r="11768" spans="10:10" ht="15" customHeight="1" x14ac:dyDescent="0.3">
      <c r="J11768" s="33"/>
    </row>
    <row r="11769" spans="10:10" ht="15" customHeight="1" x14ac:dyDescent="0.3">
      <c r="J11769" s="33"/>
    </row>
    <row r="11770" spans="10:10" ht="15" customHeight="1" x14ac:dyDescent="0.3">
      <c r="J11770" s="33"/>
    </row>
    <row r="11771" spans="10:10" ht="15" customHeight="1" x14ac:dyDescent="0.3">
      <c r="J11771" s="33"/>
    </row>
    <row r="11772" spans="10:10" ht="15" customHeight="1" x14ac:dyDescent="0.3">
      <c r="J11772" s="33"/>
    </row>
    <row r="11773" spans="10:10" ht="15" customHeight="1" x14ac:dyDescent="0.3">
      <c r="J11773" s="33"/>
    </row>
    <row r="11774" spans="10:10" ht="15" customHeight="1" x14ac:dyDescent="0.3">
      <c r="J11774" s="33"/>
    </row>
    <row r="11775" spans="10:10" ht="15" customHeight="1" x14ac:dyDescent="0.3">
      <c r="J11775" s="33"/>
    </row>
    <row r="11776" spans="10:10" ht="15" customHeight="1" x14ac:dyDescent="0.3">
      <c r="J11776" s="33"/>
    </row>
    <row r="11777" spans="10:10" ht="15" customHeight="1" x14ac:dyDescent="0.3">
      <c r="J11777" s="33"/>
    </row>
    <row r="11778" spans="10:10" ht="15" customHeight="1" x14ac:dyDescent="0.3">
      <c r="J11778" s="33"/>
    </row>
    <row r="11779" spans="10:10" ht="15" customHeight="1" x14ac:dyDescent="0.3">
      <c r="J11779" s="33"/>
    </row>
    <row r="11780" spans="10:10" ht="15" customHeight="1" x14ac:dyDescent="0.3">
      <c r="J11780" s="33"/>
    </row>
    <row r="11781" spans="10:10" ht="15" customHeight="1" x14ac:dyDescent="0.3">
      <c r="J11781" s="33"/>
    </row>
    <row r="11782" spans="10:10" ht="15" customHeight="1" x14ac:dyDescent="0.3">
      <c r="J11782" s="33"/>
    </row>
    <row r="11783" spans="10:10" ht="15" customHeight="1" x14ac:dyDescent="0.3">
      <c r="J11783" s="33"/>
    </row>
    <row r="11784" spans="10:10" ht="15" customHeight="1" x14ac:dyDescent="0.3">
      <c r="J11784" s="33"/>
    </row>
    <row r="11785" spans="10:10" ht="15" customHeight="1" x14ac:dyDescent="0.3">
      <c r="J11785" s="33"/>
    </row>
    <row r="11786" spans="10:10" ht="15" customHeight="1" x14ac:dyDescent="0.3">
      <c r="J11786" s="33"/>
    </row>
    <row r="11787" spans="10:10" ht="15" customHeight="1" x14ac:dyDescent="0.3">
      <c r="J11787" s="33"/>
    </row>
    <row r="11788" spans="10:10" ht="15" customHeight="1" x14ac:dyDescent="0.3">
      <c r="J11788" s="33"/>
    </row>
    <row r="11789" spans="10:10" ht="15" customHeight="1" x14ac:dyDescent="0.3">
      <c r="J11789" s="33"/>
    </row>
    <row r="11790" spans="10:10" ht="15" customHeight="1" x14ac:dyDescent="0.3">
      <c r="J11790" s="33"/>
    </row>
    <row r="11791" spans="10:10" ht="15" customHeight="1" x14ac:dyDescent="0.3">
      <c r="J11791" s="33"/>
    </row>
    <row r="11792" spans="10:10" ht="15" customHeight="1" x14ac:dyDescent="0.3">
      <c r="J11792" s="33"/>
    </row>
    <row r="11793" spans="10:10" ht="15" customHeight="1" x14ac:dyDescent="0.3">
      <c r="J11793" s="33"/>
    </row>
    <row r="11794" spans="10:10" ht="15" customHeight="1" x14ac:dyDescent="0.3">
      <c r="J11794" s="33"/>
    </row>
    <row r="11795" spans="10:10" ht="15" customHeight="1" x14ac:dyDescent="0.3">
      <c r="J11795" s="33"/>
    </row>
    <row r="11796" spans="10:10" ht="15" customHeight="1" x14ac:dyDescent="0.3">
      <c r="J11796" s="33"/>
    </row>
    <row r="11797" spans="10:10" ht="15" customHeight="1" x14ac:dyDescent="0.3">
      <c r="J11797" s="33"/>
    </row>
    <row r="11798" spans="10:10" ht="15" customHeight="1" x14ac:dyDescent="0.3">
      <c r="J11798" s="33"/>
    </row>
    <row r="11799" spans="10:10" ht="15" customHeight="1" x14ac:dyDescent="0.3">
      <c r="J11799" s="33"/>
    </row>
    <row r="11800" spans="10:10" ht="15" customHeight="1" x14ac:dyDescent="0.3">
      <c r="J11800" s="33"/>
    </row>
    <row r="11801" spans="10:10" ht="15" customHeight="1" x14ac:dyDescent="0.3">
      <c r="J11801" s="33"/>
    </row>
    <row r="11802" spans="10:10" ht="15" customHeight="1" x14ac:dyDescent="0.3">
      <c r="J11802" s="33"/>
    </row>
    <row r="11803" spans="10:10" ht="15" customHeight="1" x14ac:dyDescent="0.3">
      <c r="J11803" s="33"/>
    </row>
    <row r="11804" spans="10:10" ht="15" customHeight="1" x14ac:dyDescent="0.3">
      <c r="J11804" s="33"/>
    </row>
    <row r="11805" spans="10:10" ht="15" customHeight="1" x14ac:dyDescent="0.3">
      <c r="J11805" s="33"/>
    </row>
    <row r="11806" spans="10:10" ht="15" customHeight="1" x14ac:dyDescent="0.3">
      <c r="J11806" s="33"/>
    </row>
    <row r="11807" spans="10:10" ht="15" customHeight="1" x14ac:dyDescent="0.3">
      <c r="J11807" s="33"/>
    </row>
    <row r="11808" spans="10:10" ht="15" customHeight="1" x14ac:dyDescent="0.3">
      <c r="J11808" s="33"/>
    </row>
    <row r="11809" spans="10:10" ht="15" customHeight="1" x14ac:dyDescent="0.3">
      <c r="J11809" s="33"/>
    </row>
    <row r="11810" spans="10:10" ht="15" customHeight="1" x14ac:dyDescent="0.3">
      <c r="J11810" s="33"/>
    </row>
    <row r="11811" spans="10:10" ht="15" customHeight="1" x14ac:dyDescent="0.3">
      <c r="J11811" s="33"/>
    </row>
    <row r="11812" spans="10:10" ht="15" customHeight="1" x14ac:dyDescent="0.3">
      <c r="J11812" s="33"/>
    </row>
    <row r="11813" spans="10:10" ht="15" customHeight="1" x14ac:dyDescent="0.3">
      <c r="J11813" s="33"/>
    </row>
    <row r="11814" spans="10:10" ht="15" customHeight="1" x14ac:dyDescent="0.3">
      <c r="J11814" s="33"/>
    </row>
    <row r="11815" spans="10:10" ht="15" customHeight="1" x14ac:dyDescent="0.3">
      <c r="J11815" s="33"/>
    </row>
    <row r="11816" spans="10:10" ht="15" customHeight="1" x14ac:dyDescent="0.3">
      <c r="J11816" s="33"/>
    </row>
    <row r="11817" spans="10:10" ht="15" customHeight="1" x14ac:dyDescent="0.3">
      <c r="J11817" s="33"/>
    </row>
    <row r="11818" spans="10:10" ht="15" customHeight="1" x14ac:dyDescent="0.3">
      <c r="J11818" s="33"/>
    </row>
    <row r="11819" spans="10:10" ht="15" customHeight="1" x14ac:dyDescent="0.3">
      <c r="J11819" s="33"/>
    </row>
    <row r="11820" spans="10:10" ht="15" customHeight="1" x14ac:dyDescent="0.3">
      <c r="J11820" s="33"/>
    </row>
    <row r="11821" spans="10:10" ht="15" customHeight="1" x14ac:dyDescent="0.3">
      <c r="J11821" s="33"/>
    </row>
    <row r="11822" spans="10:10" ht="15" customHeight="1" x14ac:dyDescent="0.3">
      <c r="J11822" s="33"/>
    </row>
    <row r="11823" spans="10:10" ht="15" customHeight="1" x14ac:dyDescent="0.3">
      <c r="J11823" s="33"/>
    </row>
    <row r="11824" spans="10:10" ht="15" customHeight="1" x14ac:dyDescent="0.3">
      <c r="J11824" s="33"/>
    </row>
    <row r="11825" spans="10:10" ht="15" customHeight="1" x14ac:dyDescent="0.3">
      <c r="J11825" s="33"/>
    </row>
    <row r="11826" spans="10:10" ht="15" customHeight="1" x14ac:dyDescent="0.3">
      <c r="J11826" s="33"/>
    </row>
    <row r="11827" spans="10:10" ht="15" customHeight="1" x14ac:dyDescent="0.3">
      <c r="J11827" s="33"/>
    </row>
    <row r="11828" spans="10:10" ht="15" customHeight="1" x14ac:dyDescent="0.3">
      <c r="J11828" s="33"/>
    </row>
    <row r="11829" spans="10:10" ht="15" customHeight="1" x14ac:dyDescent="0.3">
      <c r="J11829" s="33"/>
    </row>
    <row r="11830" spans="10:10" ht="15" customHeight="1" x14ac:dyDescent="0.3">
      <c r="J11830" s="33"/>
    </row>
    <row r="11831" spans="10:10" ht="15" customHeight="1" x14ac:dyDescent="0.3">
      <c r="J11831" s="33"/>
    </row>
    <row r="11832" spans="10:10" ht="15" customHeight="1" x14ac:dyDescent="0.3">
      <c r="J11832" s="33"/>
    </row>
    <row r="11833" spans="10:10" ht="15" customHeight="1" x14ac:dyDescent="0.3">
      <c r="J11833" s="33"/>
    </row>
    <row r="11834" spans="10:10" ht="15" customHeight="1" x14ac:dyDescent="0.3">
      <c r="J11834" s="33"/>
    </row>
    <row r="11835" spans="10:10" ht="15" customHeight="1" x14ac:dyDescent="0.3">
      <c r="J11835" s="33"/>
    </row>
    <row r="11836" spans="10:10" ht="15" customHeight="1" x14ac:dyDescent="0.3">
      <c r="J11836" s="33"/>
    </row>
    <row r="11837" spans="10:10" ht="15" customHeight="1" x14ac:dyDescent="0.3">
      <c r="J11837" s="33"/>
    </row>
    <row r="11838" spans="10:10" ht="15" customHeight="1" x14ac:dyDescent="0.3">
      <c r="J11838" s="33"/>
    </row>
    <row r="11839" spans="10:10" ht="15" customHeight="1" x14ac:dyDescent="0.3">
      <c r="J11839" s="33"/>
    </row>
    <row r="11840" spans="10:10" ht="15" customHeight="1" x14ac:dyDescent="0.3">
      <c r="J11840" s="33"/>
    </row>
    <row r="11841" spans="10:10" ht="15" customHeight="1" x14ac:dyDescent="0.3">
      <c r="J11841" s="33"/>
    </row>
    <row r="11842" spans="10:10" ht="15" customHeight="1" x14ac:dyDescent="0.3">
      <c r="J11842" s="33"/>
    </row>
    <row r="11843" spans="10:10" ht="15" customHeight="1" x14ac:dyDescent="0.3">
      <c r="J11843" s="33"/>
    </row>
    <row r="11844" spans="10:10" ht="15" customHeight="1" x14ac:dyDescent="0.3">
      <c r="J11844" s="33"/>
    </row>
    <row r="11845" spans="10:10" ht="15" customHeight="1" x14ac:dyDescent="0.3">
      <c r="J11845" s="33"/>
    </row>
    <row r="11846" spans="10:10" ht="15" customHeight="1" x14ac:dyDescent="0.3">
      <c r="J11846" s="33"/>
    </row>
    <row r="11847" spans="10:10" ht="15" customHeight="1" x14ac:dyDescent="0.3">
      <c r="J11847" s="33"/>
    </row>
    <row r="11848" spans="10:10" ht="15" customHeight="1" x14ac:dyDescent="0.3">
      <c r="J11848" s="33"/>
    </row>
    <row r="11849" spans="10:10" ht="15" customHeight="1" x14ac:dyDescent="0.3">
      <c r="J11849" s="33"/>
    </row>
    <row r="11850" spans="10:10" ht="15" customHeight="1" x14ac:dyDescent="0.3">
      <c r="J11850" s="33"/>
    </row>
    <row r="11851" spans="10:10" ht="15" customHeight="1" x14ac:dyDescent="0.3">
      <c r="J11851" s="33"/>
    </row>
    <row r="11852" spans="10:10" ht="15" customHeight="1" x14ac:dyDescent="0.3">
      <c r="J11852" s="33"/>
    </row>
    <row r="11853" spans="10:10" ht="15" customHeight="1" x14ac:dyDescent="0.3">
      <c r="J11853" s="33"/>
    </row>
    <row r="11854" spans="10:10" ht="15" customHeight="1" x14ac:dyDescent="0.3">
      <c r="J11854" s="33"/>
    </row>
    <row r="11855" spans="10:10" ht="15" customHeight="1" x14ac:dyDescent="0.3">
      <c r="J11855" s="33"/>
    </row>
    <row r="11856" spans="10:10" ht="15" customHeight="1" x14ac:dyDescent="0.3">
      <c r="J11856" s="33"/>
    </row>
    <row r="11857" spans="10:10" ht="15" customHeight="1" x14ac:dyDescent="0.3">
      <c r="J11857" s="33"/>
    </row>
    <row r="11858" spans="10:10" ht="15" customHeight="1" x14ac:dyDescent="0.3">
      <c r="J11858" s="33"/>
    </row>
    <row r="11859" spans="10:10" ht="15" customHeight="1" x14ac:dyDescent="0.3">
      <c r="J11859" s="33"/>
    </row>
    <row r="11860" spans="10:10" ht="15" customHeight="1" x14ac:dyDescent="0.3">
      <c r="J11860" s="33"/>
    </row>
    <row r="11861" spans="10:10" ht="15" customHeight="1" x14ac:dyDescent="0.3">
      <c r="J11861" s="33"/>
    </row>
    <row r="11862" spans="10:10" ht="15" customHeight="1" x14ac:dyDescent="0.3">
      <c r="J11862" s="33"/>
    </row>
    <row r="11863" spans="10:10" ht="15" customHeight="1" x14ac:dyDescent="0.3">
      <c r="J11863" s="33"/>
    </row>
    <row r="11864" spans="10:10" ht="15" customHeight="1" x14ac:dyDescent="0.3">
      <c r="J11864" s="33"/>
    </row>
    <row r="11865" spans="10:10" ht="15" customHeight="1" x14ac:dyDescent="0.3">
      <c r="J11865" s="33"/>
    </row>
    <row r="11866" spans="10:10" ht="15" customHeight="1" x14ac:dyDescent="0.3">
      <c r="J11866" s="33"/>
    </row>
    <row r="11867" spans="10:10" ht="15" customHeight="1" x14ac:dyDescent="0.3">
      <c r="J11867" s="33"/>
    </row>
    <row r="11868" spans="10:10" ht="15" customHeight="1" x14ac:dyDescent="0.3">
      <c r="J11868" s="33"/>
    </row>
    <row r="11869" spans="10:10" ht="15" customHeight="1" x14ac:dyDescent="0.3">
      <c r="J11869" s="33"/>
    </row>
    <row r="11870" spans="10:10" ht="15" customHeight="1" x14ac:dyDescent="0.3">
      <c r="J11870" s="33"/>
    </row>
    <row r="11871" spans="10:10" ht="15" customHeight="1" x14ac:dyDescent="0.3">
      <c r="J11871" s="33"/>
    </row>
    <row r="11872" spans="10:10" ht="15" customHeight="1" x14ac:dyDescent="0.3">
      <c r="J11872" s="33"/>
    </row>
    <row r="11873" spans="10:10" ht="15" customHeight="1" x14ac:dyDescent="0.3">
      <c r="J11873" s="33"/>
    </row>
    <row r="11874" spans="10:10" ht="15" customHeight="1" x14ac:dyDescent="0.3">
      <c r="J11874" s="33"/>
    </row>
    <row r="11875" spans="10:10" ht="15" customHeight="1" x14ac:dyDescent="0.3">
      <c r="J11875" s="33"/>
    </row>
    <row r="11876" spans="10:10" ht="15" customHeight="1" x14ac:dyDescent="0.3">
      <c r="J11876" s="33"/>
    </row>
    <row r="11877" spans="10:10" ht="15" customHeight="1" x14ac:dyDescent="0.3">
      <c r="J11877" s="33"/>
    </row>
    <row r="11878" spans="10:10" ht="15" customHeight="1" x14ac:dyDescent="0.3">
      <c r="J11878" s="33"/>
    </row>
    <row r="11879" spans="10:10" ht="15" customHeight="1" x14ac:dyDescent="0.3">
      <c r="J11879" s="33"/>
    </row>
    <row r="11880" spans="10:10" ht="15" customHeight="1" x14ac:dyDescent="0.3">
      <c r="J11880" s="33"/>
    </row>
    <row r="11881" spans="10:10" ht="15" customHeight="1" x14ac:dyDescent="0.3">
      <c r="J11881" s="33"/>
    </row>
    <row r="11882" spans="10:10" ht="15" customHeight="1" x14ac:dyDescent="0.3">
      <c r="J11882" s="33"/>
    </row>
    <row r="11883" spans="10:10" ht="15" customHeight="1" x14ac:dyDescent="0.3">
      <c r="J11883" s="33"/>
    </row>
    <row r="11884" spans="10:10" ht="15" customHeight="1" x14ac:dyDescent="0.3">
      <c r="J11884" s="33"/>
    </row>
    <row r="11885" spans="10:10" ht="15" customHeight="1" x14ac:dyDescent="0.3">
      <c r="J11885" s="33"/>
    </row>
    <row r="11886" spans="10:10" ht="15" customHeight="1" x14ac:dyDescent="0.3">
      <c r="J11886" s="33"/>
    </row>
    <row r="11887" spans="10:10" ht="15" customHeight="1" x14ac:dyDescent="0.3">
      <c r="J11887" s="33"/>
    </row>
    <row r="11888" spans="10:10" ht="15" customHeight="1" x14ac:dyDescent="0.3">
      <c r="J11888" s="33"/>
    </row>
    <row r="11889" spans="10:10" ht="15" customHeight="1" x14ac:dyDescent="0.3">
      <c r="J11889" s="33"/>
    </row>
    <row r="11890" spans="10:10" ht="15" customHeight="1" x14ac:dyDescent="0.3">
      <c r="J11890" s="33"/>
    </row>
    <row r="11891" spans="10:10" ht="15" customHeight="1" x14ac:dyDescent="0.3">
      <c r="J11891" s="33"/>
    </row>
    <row r="11892" spans="10:10" ht="15" customHeight="1" x14ac:dyDescent="0.3">
      <c r="J11892" s="33"/>
    </row>
    <row r="11893" spans="10:10" ht="15" customHeight="1" x14ac:dyDescent="0.3">
      <c r="J11893" s="33"/>
    </row>
    <row r="11894" spans="10:10" ht="15" customHeight="1" x14ac:dyDescent="0.3">
      <c r="J11894" s="33"/>
    </row>
    <row r="11895" spans="10:10" ht="15" customHeight="1" x14ac:dyDescent="0.3">
      <c r="J11895" s="33"/>
    </row>
    <row r="11896" spans="10:10" ht="15" customHeight="1" x14ac:dyDescent="0.3">
      <c r="J11896" s="33"/>
    </row>
    <row r="11897" spans="10:10" ht="15" customHeight="1" x14ac:dyDescent="0.3">
      <c r="J11897" s="33"/>
    </row>
    <row r="11898" spans="10:10" ht="15" customHeight="1" x14ac:dyDescent="0.3">
      <c r="J11898" s="33"/>
    </row>
    <row r="11899" spans="10:10" ht="15" customHeight="1" x14ac:dyDescent="0.3">
      <c r="J11899" s="33"/>
    </row>
    <row r="11900" spans="10:10" ht="15" customHeight="1" x14ac:dyDescent="0.3">
      <c r="J11900" s="33"/>
    </row>
    <row r="11901" spans="10:10" ht="15" customHeight="1" x14ac:dyDescent="0.3">
      <c r="J11901" s="33"/>
    </row>
    <row r="11902" spans="10:10" ht="15" customHeight="1" x14ac:dyDescent="0.3">
      <c r="J11902" s="33"/>
    </row>
    <row r="11903" spans="10:10" ht="15" customHeight="1" x14ac:dyDescent="0.3">
      <c r="J11903" s="33"/>
    </row>
    <row r="11904" spans="10:10" ht="15" customHeight="1" x14ac:dyDescent="0.3">
      <c r="J11904" s="33"/>
    </row>
    <row r="11905" spans="10:10" ht="15" customHeight="1" x14ac:dyDescent="0.3">
      <c r="J11905" s="33"/>
    </row>
    <row r="11906" spans="10:10" ht="15" customHeight="1" x14ac:dyDescent="0.3">
      <c r="J11906" s="33"/>
    </row>
    <row r="11907" spans="10:10" ht="15" customHeight="1" x14ac:dyDescent="0.3">
      <c r="J11907" s="33"/>
    </row>
    <row r="11908" spans="10:10" ht="15" customHeight="1" x14ac:dyDescent="0.3">
      <c r="J11908" s="33"/>
    </row>
    <row r="11909" spans="10:10" ht="15" customHeight="1" x14ac:dyDescent="0.3">
      <c r="J11909" s="33"/>
    </row>
    <row r="11910" spans="10:10" ht="15" customHeight="1" x14ac:dyDescent="0.3">
      <c r="J11910" s="33"/>
    </row>
    <row r="11911" spans="10:10" ht="15" customHeight="1" x14ac:dyDescent="0.3">
      <c r="J11911" s="33"/>
    </row>
    <row r="11912" spans="10:10" ht="15" customHeight="1" x14ac:dyDescent="0.3">
      <c r="J11912" s="33"/>
    </row>
    <row r="11913" spans="10:10" ht="15" customHeight="1" x14ac:dyDescent="0.3">
      <c r="J11913" s="33"/>
    </row>
    <row r="11914" spans="10:10" ht="15" customHeight="1" x14ac:dyDescent="0.3">
      <c r="J11914" s="33"/>
    </row>
    <row r="11915" spans="10:10" ht="15" customHeight="1" x14ac:dyDescent="0.3">
      <c r="J11915" s="33"/>
    </row>
    <row r="11916" spans="10:10" ht="15" customHeight="1" x14ac:dyDescent="0.3">
      <c r="J11916" s="33"/>
    </row>
    <row r="11917" spans="10:10" ht="15" customHeight="1" x14ac:dyDescent="0.3">
      <c r="J11917" s="33"/>
    </row>
    <row r="11918" spans="10:10" ht="15" customHeight="1" x14ac:dyDescent="0.3">
      <c r="J11918" s="33"/>
    </row>
    <row r="11919" spans="10:10" ht="15" customHeight="1" x14ac:dyDescent="0.3">
      <c r="J11919" s="33"/>
    </row>
    <row r="11920" spans="10:10" ht="15" customHeight="1" x14ac:dyDescent="0.3">
      <c r="J11920" s="33"/>
    </row>
    <row r="11921" spans="10:10" ht="15" customHeight="1" x14ac:dyDescent="0.3">
      <c r="J11921" s="33"/>
    </row>
    <row r="11922" spans="10:10" ht="15" customHeight="1" x14ac:dyDescent="0.3">
      <c r="J11922" s="33"/>
    </row>
    <row r="11923" spans="10:10" ht="15" customHeight="1" x14ac:dyDescent="0.3">
      <c r="J11923" s="33"/>
    </row>
    <row r="11924" spans="10:10" ht="15" customHeight="1" x14ac:dyDescent="0.3">
      <c r="J11924" s="33"/>
    </row>
    <row r="11925" spans="10:10" ht="15" customHeight="1" x14ac:dyDescent="0.3">
      <c r="J11925" s="33"/>
    </row>
    <row r="11926" spans="10:10" ht="15" customHeight="1" x14ac:dyDescent="0.3">
      <c r="J11926" s="33"/>
    </row>
    <row r="11927" spans="10:10" ht="15" customHeight="1" x14ac:dyDescent="0.3">
      <c r="J11927" s="33"/>
    </row>
    <row r="11928" spans="10:10" ht="15" customHeight="1" x14ac:dyDescent="0.3">
      <c r="J11928" s="33"/>
    </row>
    <row r="11929" spans="10:10" ht="15" customHeight="1" x14ac:dyDescent="0.3">
      <c r="J11929" s="33"/>
    </row>
    <row r="11930" spans="10:10" ht="15" customHeight="1" x14ac:dyDescent="0.3">
      <c r="J11930" s="33"/>
    </row>
    <row r="11931" spans="10:10" ht="15" customHeight="1" x14ac:dyDescent="0.3">
      <c r="J11931" s="33"/>
    </row>
    <row r="11932" spans="10:10" ht="15" customHeight="1" x14ac:dyDescent="0.3">
      <c r="J11932" s="33"/>
    </row>
    <row r="11933" spans="10:10" ht="15" customHeight="1" x14ac:dyDescent="0.3">
      <c r="J11933" s="33"/>
    </row>
    <row r="11934" spans="10:10" ht="15" customHeight="1" x14ac:dyDescent="0.3">
      <c r="J11934" s="33"/>
    </row>
    <row r="11935" spans="10:10" ht="15" customHeight="1" x14ac:dyDescent="0.3">
      <c r="J11935" s="33"/>
    </row>
    <row r="11936" spans="10:10" ht="15" customHeight="1" x14ac:dyDescent="0.3">
      <c r="J11936" s="33"/>
    </row>
    <row r="11937" spans="10:10" ht="15" customHeight="1" x14ac:dyDescent="0.3">
      <c r="J11937" s="33"/>
    </row>
    <row r="11938" spans="10:10" ht="15" customHeight="1" x14ac:dyDescent="0.3">
      <c r="J11938" s="33"/>
    </row>
    <row r="11939" spans="10:10" ht="15" customHeight="1" x14ac:dyDescent="0.3">
      <c r="J11939" s="33"/>
    </row>
    <row r="11940" spans="10:10" ht="15" customHeight="1" x14ac:dyDescent="0.3">
      <c r="J11940" s="33"/>
    </row>
    <row r="11941" spans="10:10" ht="15" customHeight="1" x14ac:dyDescent="0.3">
      <c r="J11941" s="33"/>
    </row>
    <row r="11942" spans="10:10" ht="15" customHeight="1" x14ac:dyDescent="0.3">
      <c r="J11942" s="33"/>
    </row>
    <row r="11943" spans="10:10" ht="15" customHeight="1" x14ac:dyDescent="0.3">
      <c r="J11943" s="33"/>
    </row>
    <row r="11944" spans="10:10" ht="15" customHeight="1" x14ac:dyDescent="0.3">
      <c r="J11944" s="33"/>
    </row>
    <row r="11945" spans="10:10" ht="15" customHeight="1" x14ac:dyDescent="0.3">
      <c r="J11945" s="33"/>
    </row>
    <row r="11946" spans="10:10" ht="15" customHeight="1" x14ac:dyDescent="0.3">
      <c r="J11946" s="33"/>
    </row>
    <row r="11947" spans="10:10" ht="15" customHeight="1" x14ac:dyDescent="0.3">
      <c r="J11947" s="33"/>
    </row>
    <row r="11948" spans="10:10" ht="15" customHeight="1" x14ac:dyDescent="0.3">
      <c r="J11948" s="33"/>
    </row>
    <row r="11949" spans="10:10" ht="15" customHeight="1" x14ac:dyDescent="0.3">
      <c r="J11949" s="33"/>
    </row>
    <row r="11950" spans="10:10" ht="15" customHeight="1" x14ac:dyDescent="0.3">
      <c r="J11950" s="33"/>
    </row>
    <row r="11951" spans="10:10" ht="15" customHeight="1" x14ac:dyDescent="0.3">
      <c r="J11951" s="33"/>
    </row>
    <row r="11952" spans="10:10" ht="15" customHeight="1" x14ac:dyDescent="0.3">
      <c r="J11952" s="33"/>
    </row>
    <row r="11953" spans="10:10" ht="15" customHeight="1" x14ac:dyDescent="0.3">
      <c r="J11953" s="33"/>
    </row>
    <row r="11954" spans="10:10" ht="15" customHeight="1" x14ac:dyDescent="0.3">
      <c r="J11954" s="33"/>
    </row>
    <row r="11955" spans="10:10" ht="15" customHeight="1" x14ac:dyDescent="0.3">
      <c r="J11955" s="33"/>
    </row>
    <row r="11956" spans="10:10" ht="15" customHeight="1" x14ac:dyDescent="0.3">
      <c r="J11956" s="33"/>
    </row>
    <row r="11957" spans="10:10" ht="15" customHeight="1" x14ac:dyDescent="0.3">
      <c r="J11957" s="33"/>
    </row>
    <row r="11958" spans="10:10" ht="15" customHeight="1" x14ac:dyDescent="0.3">
      <c r="J11958" s="33"/>
    </row>
    <row r="11959" spans="10:10" ht="15" customHeight="1" x14ac:dyDescent="0.3">
      <c r="J11959" s="33"/>
    </row>
    <row r="11960" spans="10:10" ht="15" customHeight="1" x14ac:dyDescent="0.3">
      <c r="J11960" s="33"/>
    </row>
    <row r="11961" spans="10:10" ht="15" customHeight="1" x14ac:dyDescent="0.3">
      <c r="J11961" s="33"/>
    </row>
    <row r="11962" spans="10:10" ht="15" customHeight="1" x14ac:dyDescent="0.3">
      <c r="J11962" s="33"/>
    </row>
    <row r="11963" spans="10:10" ht="15" customHeight="1" x14ac:dyDescent="0.3">
      <c r="J11963" s="33"/>
    </row>
    <row r="11964" spans="10:10" ht="15" customHeight="1" x14ac:dyDescent="0.3">
      <c r="J11964" s="33"/>
    </row>
    <row r="11965" spans="10:10" ht="15" customHeight="1" x14ac:dyDescent="0.3">
      <c r="J11965" s="33"/>
    </row>
    <row r="11966" spans="10:10" ht="15" customHeight="1" x14ac:dyDescent="0.3">
      <c r="J11966" s="33"/>
    </row>
    <row r="11967" spans="10:10" ht="15" customHeight="1" x14ac:dyDescent="0.3">
      <c r="J11967" s="33"/>
    </row>
    <row r="11968" spans="10:10" ht="15" customHeight="1" x14ac:dyDescent="0.3">
      <c r="J11968" s="33"/>
    </row>
    <row r="11969" spans="10:10" ht="15" customHeight="1" x14ac:dyDescent="0.3">
      <c r="J11969" s="33"/>
    </row>
    <row r="11970" spans="10:10" ht="15" customHeight="1" x14ac:dyDescent="0.3">
      <c r="J11970" s="33"/>
    </row>
    <row r="11971" spans="10:10" ht="15" customHeight="1" x14ac:dyDescent="0.3">
      <c r="J11971" s="33"/>
    </row>
    <row r="11972" spans="10:10" ht="15" customHeight="1" x14ac:dyDescent="0.3">
      <c r="J11972" s="33"/>
    </row>
    <row r="11973" spans="10:10" ht="15" customHeight="1" x14ac:dyDescent="0.3">
      <c r="J11973" s="33"/>
    </row>
    <row r="11974" spans="10:10" ht="15" customHeight="1" x14ac:dyDescent="0.3">
      <c r="J11974" s="33"/>
    </row>
    <row r="11975" spans="10:10" ht="15" customHeight="1" x14ac:dyDescent="0.3">
      <c r="J11975" s="33"/>
    </row>
    <row r="11976" spans="10:10" ht="15" customHeight="1" x14ac:dyDescent="0.3">
      <c r="J11976" s="33"/>
    </row>
    <row r="11977" spans="10:10" ht="15" customHeight="1" x14ac:dyDescent="0.3">
      <c r="J11977" s="33"/>
    </row>
    <row r="11978" spans="10:10" ht="15" customHeight="1" x14ac:dyDescent="0.3">
      <c r="J11978" s="33"/>
    </row>
    <row r="11979" spans="10:10" ht="15" customHeight="1" x14ac:dyDescent="0.3">
      <c r="J11979" s="33"/>
    </row>
    <row r="11980" spans="10:10" ht="15" customHeight="1" x14ac:dyDescent="0.3">
      <c r="J11980" s="33"/>
    </row>
    <row r="11981" spans="10:10" ht="15" customHeight="1" x14ac:dyDescent="0.3">
      <c r="J11981" s="33"/>
    </row>
    <row r="11982" spans="10:10" ht="15" customHeight="1" x14ac:dyDescent="0.3">
      <c r="J11982" s="33"/>
    </row>
    <row r="11983" spans="10:10" ht="15" customHeight="1" x14ac:dyDescent="0.3">
      <c r="J11983" s="33"/>
    </row>
    <row r="11984" spans="10:10" ht="15" customHeight="1" x14ac:dyDescent="0.3">
      <c r="J11984" s="33"/>
    </row>
    <row r="11985" spans="10:10" ht="15" customHeight="1" x14ac:dyDescent="0.3">
      <c r="J11985" s="33"/>
    </row>
    <row r="11986" spans="10:10" ht="15" customHeight="1" x14ac:dyDescent="0.3">
      <c r="J11986" s="33"/>
    </row>
    <row r="11987" spans="10:10" ht="15" customHeight="1" x14ac:dyDescent="0.3">
      <c r="J11987" s="33"/>
    </row>
    <row r="11988" spans="10:10" ht="15" customHeight="1" x14ac:dyDescent="0.3">
      <c r="J11988" s="33"/>
    </row>
    <row r="11989" spans="10:10" ht="15" customHeight="1" x14ac:dyDescent="0.3">
      <c r="J11989" s="33"/>
    </row>
    <row r="11990" spans="10:10" ht="15" customHeight="1" x14ac:dyDescent="0.3">
      <c r="J11990" s="33"/>
    </row>
    <row r="11991" spans="10:10" ht="15" customHeight="1" x14ac:dyDescent="0.3">
      <c r="J11991" s="33"/>
    </row>
    <row r="11992" spans="10:10" ht="15" customHeight="1" x14ac:dyDescent="0.3">
      <c r="J11992" s="33"/>
    </row>
    <row r="11993" spans="10:10" ht="15" customHeight="1" x14ac:dyDescent="0.3">
      <c r="J11993" s="33"/>
    </row>
    <row r="11994" spans="10:10" ht="15" customHeight="1" x14ac:dyDescent="0.3">
      <c r="J11994" s="33"/>
    </row>
    <row r="11995" spans="10:10" ht="15" customHeight="1" x14ac:dyDescent="0.3">
      <c r="J11995" s="33"/>
    </row>
    <row r="11996" spans="10:10" ht="15" customHeight="1" x14ac:dyDescent="0.3">
      <c r="J11996" s="33"/>
    </row>
    <row r="11997" spans="10:10" ht="15" customHeight="1" x14ac:dyDescent="0.3">
      <c r="J11997" s="33"/>
    </row>
    <row r="11998" spans="10:10" ht="15" customHeight="1" x14ac:dyDescent="0.3">
      <c r="J11998" s="33"/>
    </row>
    <row r="11999" spans="10:10" ht="15" customHeight="1" x14ac:dyDescent="0.3">
      <c r="J11999" s="33"/>
    </row>
    <row r="12000" spans="10:10" ht="15" customHeight="1" x14ac:dyDescent="0.3">
      <c r="J12000" s="33"/>
    </row>
    <row r="12001" spans="10:10" ht="15" customHeight="1" x14ac:dyDescent="0.3">
      <c r="J12001" s="33"/>
    </row>
    <row r="12002" spans="10:10" ht="15" customHeight="1" x14ac:dyDescent="0.3">
      <c r="J12002" s="33"/>
    </row>
    <row r="12003" spans="10:10" ht="15" customHeight="1" x14ac:dyDescent="0.3">
      <c r="J12003" s="33"/>
    </row>
    <row r="12004" spans="10:10" ht="15" customHeight="1" x14ac:dyDescent="0.3">
      <c r="J12004" s="33"/>
    </row>
    <row r="12005" spans="10:10" ht="15" customHeight="1" x14ac:dyDescent="0.3">
      <c r="J12005" s="33"/>
    </row>
    <row r="12006" spans="10:10" ht="15" customHeight="1" x14ac:dyDescent="0.3">
      <c r="J12006" s="33"/>
    </row>
    <row r="12007" spans="10:10" ht="15" customHeight="1" x14ac:dyDescent="0.3">
      <c r="J12007" s="33"/>
    </row>
    <row r="12008" spans="10:10" ht="15" customHeight="1" x14ac:dyDescent="0.3">
      <c r="J12008" s="33"/>
    </row>
    <row r="12009" spans="10:10" ht="15" customHeight="1" x14ac:dyDescent="0.3">
      <c r="J12009" s="33"/>
    </row>
    <row r="12010" spans="10:10" ht="15" customHeight="1" x14ac:dyDescent="0.3">
      <c r="J12010" s="33"/>
    </row>
    <row r="12011" spans="10:10" ht="15" customHeight="1" x14ac:dyDescent="0.3">
      <c r="J12011" s="33"/>
    </row>
    <row r="12012" spans="10:10" ht="15" customHeight="1" x14ac:dyDescent="0.3">
      <c r="J12012" s="33"/>
    </row>
    <row r="12013" spans="10:10" ht="15" customHeight="1" x14ac:dyDescent="0.3">
      <c r="J12013" s="33"/>
    </row>
    <row r="12014" spans="10:10" ht="15" customHeight="1" x14ac:dyDescent="0.3">
      <c r="J12014" s="33"/>
    </row>
    <row r="12015" spans="10:10" ht="15" customHeight="1" x14ac:dyDescent="0.3">
      <c r="J12015" s="33"/>
    </row>
    <row r="12016" spans="10:10" ht="15" customHeight="1" x14ac:dyDescent="0.3">
      <c r="J12016" s="33"/>
    </row>
    <row r="12017" spans="10:10" ht="15" customHeight="1" x14ac:dyDescent="0.3">
      <c r="J12017" s="33"/>
    </row>
    <row r="12018" spans="10:10" ht="15" customHeight="1" x14ac:dyDescent="0.3">
      <c r="J12018" s="33"/>
    </row>
    <row r="12019" spans="10:10" ht="15" customHeight="1" x14ac:dyDescent="0.3">
      <c r="J12019" s="33"/>
    </row>
    <row r="12020" spans="10:10" ht="15" customHeight="1" x14ac:dyDescent="0.3">
      <c r="J12020" s="33"/>
    </row>
    <row r="12021" spans="10:10" ht="15" customHeight="1" x14ac:dyDescent="0.3">
      <c r="J12021" s="33"/>
    </row>
    <row r="12022" spans="10:10" ht="15" customHeight="1" x14ac:dyDescent="0.3">
      <c r="J12022" s="33"/>
    </row>
    <row r="12023" spans="10:10" ht="15" customHeight="1" x14ac:dyDescent="0.3">
      <c r="J12023" s="33"/>
    </row>
    <row r="12024" spans="10:10" ht="15" customHeight="1" x14ac:dyDescent="0.3">
      <c r="J12024" s="33"/>
    </row>
    <row r="12025" spans="10:10" ht="15" customHeight="1" x14ac:dyDescent="0.3">
      <c r="J12025" s="33"/>
    </row>
    <row r="12026" spans="10:10" ht="15" customHeight="1" x14ac:dyDescent="0.3">
      <c r="J12026" s="33"/>
    </row>
    <row r="12027" spans="10:10" ht="15" customHeight="1" x14ac:dyDescent="0.3">
      <c r="J12027" s="33"/>
    </row>
    <row r="12028" spans="10:10" ht="15" customHeight="1" x14ac:dyDescent="0.3">
      <c r="J12028" s="33"/>
    </row>
    <row r="12029" spans="10:10" ht="15" customHeight="1" x14ac:dyDescent="0.3">
      <c r="J12029" s="33"/>
    </row>
    <row r="12030" spans="10:10" ht="15" customHeight="1" x14ac:dyDescent="0.3">
      <c r="J12030" s="33"/>
    </row>
    <row r="12031" spans="10:10" ht="15" customHeight="1" x14ac:dyDescent="0.3">
      <c r="J12031" s="33"/>
    </row>
    <row r="12032" spans="10:10" ht="15" customHeight="1" x14ac:dyDescent="0.3">
      <c r="J12032" s="33"/>
    </row>
    <row r="12033" spans="10:10" ht="15" customHeight="1" x14ac:dyDescent="0.3">
      <c r="J12033" s="33"/>
    </row>
    <row r="12034" spans="10:10" ht="15" customHeight="1" x14ac:dyDescent="0.3">
      <c r="J12034" s="33"/>
    </row>
    <row r="12035" spans="10:10" ht="15" customHeight="1" x14ac:dyDescent="0.3">
      <c r="J12035" s="33"/>
    </row>
    <row r="12036" spans="10:10" ht="15" customHeight="1" x14ac:dyDescent="0.3">
      <c r="J12036" s="33"/>
    </row>
    <row r="12037" spans="10:10" ht="15" customHeight="1" x14ac:dyDescent="0.3">
      <c r="J12037" s="33"/>
    </row>
    <row r="12038" spans="10:10" ht="15" customHeight="1" x14ac:dyDescent="0.3">
      <c r="J12038" s="33"/>
    </row>
    <row r="12039" spans="10:10" ht="15" customHeight="1" x14ac:dyDescent="0.3">
      <c r="J12039" s="33"/>
    </row>
    <row r="12040" spans="10:10" ht="15" customHeight="1" x14ac:dyDescent="0.3">
      <c r="J12040" s="33"/>
    </row>
    <row r="12041" spans="10:10" ht="15" customHeight="1" x14ac:dyDescent="0.3">
      <c r="J12041" s="33"/>
    </row>
    <row r="12042" spans="10:10" ht="15" customHeight="1" x14ac:dyDescent="0.3">
      <c r="J12042" s="33"/>
    </row>
    <row r="12043" spans="10:10" ht="15" customHeight="1" x14ac:dyDescent="0.3">
      <c r="J12043" s="33"/>
    </row>
    <row r="12044" spans="10:10" ht="15" customHeight="1" x14ac:dyDescent="0.3">
      <c r="J12044" s="33"/>
    </row>
    <row r="12045" spans="10:10" ht="15" customHeight="1" x14ac:dyDescent="0.3">
      <c r="J12045" s="33"/>
    </row>
    <row r="12046" spans="10:10" ht="15" customHeight="1" x14ac:dyDescent="0.3">
      <c r="J12046" s="33"/>
    </row>
    <row r="12047" spans="10:10" ht="15" customHeight="1" x14ac:dyDescent="0.3">
      <c r="J12047" s="33"/>
    </row>
    <row r="12048" spans="10:10" ht="15" customHeight="1" x14ac:dyDescent="0.3">
      <c r="J12048" s="33"/>
    </row>
    <row r="12049" spans="10:10" ht="15" customHeight="1" x14ac:dyDescent="0.3">
      <c r="J12049" s="33"/>
    </row>
    <row r="12050" spans="10:10" ht="15" customHeight="1" x14ac:dyDescent="0.3">
      <c r="J12050" s="33"/>
    </row>
    <row r="12051" spans="10:10" ht="15" customHeight="1" x14ac:dyDescent="0.3">
      <c r="J12051" s="33"/>
    </row>
    <row r="12052" spans="10:10" ht="15" customHeight="1" x14ac:dyDescent="0.3">
      <c r="J12052" s="33"/>
    </row>
    <row r="12053" spans="10:10" ht="15" customHeight="1" x14ac:dyDescent="0.3">
      <c r="J12053" s="33"/>
    </row>
    <row r="12054" spans="10:10" ht="15" customHeight="1" x14ac:dyDescent="0.3">
      <c r="J12054" s="33"/>
    </row>
    <row r="12055" spans="10:10" ht="15" customHeight="1" x14ac:dyDescent="0.3">
      <c r="J12055" s="33"/>
    </row>
    <row r="12056" spans="10:10" ht="15" customHeight="1" x14ac:dyDescent="0.3">
      <c r="J12056" s="33"/>
    </row>
    <row r="12057" spans="10:10" ht="15" customHeight="1" x14ac:dyDescent="0.3">
      <c r="J12057" s="33"/>
    </row>
    <row r="12058" spans="10:10" ht="15" customHeight="1" x14ac:dyDescent="0.3">
      <c r="J12058" s="33"/>
    </row>
    <row r="12059" spans="10:10" ht="15" customHeight="1" x14ac:dyDescent="0.3">
      <c r="J12059" s="33"/>
    </row>
    <row r="12060" spans="10:10" ht="15" customHeight="1" x14ac:dyDescent="0.3">
      <c r="J12060" s="33"/>
    </row>
    <row r="12061" spans="10:10" ht="15" customHeight="1" x14ac:dyDescent="0.3">
      <c r="J12061" s="33"/>
    </row>
    <row r="12062" spans="10:10" ht="15" customHeight="1" x14ac:dyDescent="0.3">
      <c r="J12062" s="33"/>
    </row>
    <row r="12063" spans="10:10" ht="15" customHeight="1" x14ac:dyDescent="0.3">
      <c r="J12063" s="33"/>
    </row>
    <row r="12064" spans="10:10" ht="15" customHeight="1" x14ac:dyDescent="0.3">
      <c r="J12064" s="33"/>
    </row>
    <row r="12065" spans="10:10" ht="15" customHeight="1" x14ac:dyDescent="0.3">
      <c r="J12065" s="33"/>
    </row>
    <row r="12066" spans="10:10" ht="15" customHeight="1" x14ac:dyDescent="0.3">
      <c r="J12066" s="33"/>
    </row>
    <row r="12067" spans="10:10" ht="15" customHeight="1" x14ac:dyDescent="0.3">
      <c r="J12067" s="33"/>
    </row>
    <row r="12068" spans="10:10" ht="15" customHeight="1" x14ac:dyDescent="0.3">
      <c r="J12068" s="33"/>
    </row>
    <row r="12069" spans="10:10" ht="15" customHeight="1" x14ac:dyDescent="0.3">
      <c r="J12069" s="33"/>
    </row>
    <row r="12070" spans="10:10" ht="15" customHeight="1" x14ac:dyDescent="0.3">
      <c r="J12070" s="33"/>
    </row>
    <row r="12071" spans="10:10" ht="15" customHeight="1" x14ac:dyDescent="0.3">
      <c r="J12071" s="33"/>
    </row>
    <row r="12072" spans="10:10" ht="15" customHeight="1" x14ac:dyDescent="0.3">
      <c r="J12072" s="33"/>
    </row>
    <row r="12073" spans="10:10" ht="15" customHeight="1" x14ac:dyDescent="0.3">
      <c r="J12073" s="33"/>
    </row>
    <row r="12074" spans="10:10" ht="15" customHeight="1" x14ac:dyDescent="0.3">
      <c r="J12074" s="33"/>
    </row>
    <row r="12075" spans="10:10" ht="15" customHeight="1" x14ac:dyDescent="0.3">
      <c r="J12075" s="33"/>
    </row>
    <row r="12076" spans="10:10" ht="15" customHeight="1" x14ac:dyDescent="0.3">
      <c r="J12076" s="33"/>
    </row>
    <row r="12077" spans="10:10" ht="15" customHeight="1" x14ac:dyDescent="0.3">
      <c r="J12077" s="33"/>
    </row>
    <row r="12078" spans="10:10" ht="15" customHeight="1" x14ac:dyDescent="0.3">
      <c r="J12078" s="33"/>
    </row>
    <row r="12079" spans="10:10" ht="15" customHeight="1" x14ac:dyDescent="0.3">
      <c r="J12079" s="33"/>
    </row>
    <row r="12080" spans="10:10" ht="15" customHeight="1" x14ac:dyDescent="0.3">
      <c r="J12080" s="33"/>
    </row>
    <row r="12081" spans="10:10" ht="15" customHeight="1" x14ac:dyDescent="0.3">
      <c r="J12081" s="33"/>
    </row>
    <row r="12082" spans="10:10" ht="15" customHeight="1" x14ac:dyDescent="0.3">
      <c r="J12082" s="33"/>
    </row>
    <row r="12083" spans="10:10" ht="15" customHeight="1" x14ac:dyDescent="0.3">
      <c r="J12083" s="33"/>
    </row>
    <row r="12084" spans="10:10" ht="15" customHeight="1" x14ac:dyDescent="0.3">
      <c r="J12084" s="33"/>
    </row>
    <row r="12085" spans="10:10" ht="15" customHeight="1" x14ac:dyDescent="0.3">
      <c r="J12085" s="33"/>
    </row>
    <row r="12086" spans="10:10" ht="15" customHeight="1" x14ac:dyDescent="0.3">
      <c r="J12086" s="33"/>
    </row>
    <row r="12087" spans="10:10" ht="15" customHeight="1" x14ac:dyDescent="0.3">
      <c r="J12087" s="33"/>
    </row>
    <row r="12088" spans="10:10" ht="15" customHeight="1" x14ac:dyDescent="0.3">
      <c r="J12088" s="33"/>
    </row>
    <row r="12089" spans="10:10" ht="15" customHeight="1" x14ac:dyDescent="0.3">
      <c r="J12089" s="33"/>
    </row>
    <row r="12090" spans="10:10" ht="15" customHeight="1" x14ac:dyDescent="0.3">
      <c r="J12090" s="33"/>
    </row>
    <row r="12091" spans="10:10" ht="15" customHeight="1" x14ac:dyDescent="0.3">
      <c r="J12091" s="33"/>
    </row>
    <row r="12092" spans="10:10" ht="15" customHeight="1" x14ac:dyDescent="0.3">
      <c r="J12092" s="33"/>
    </row>
    <row r="12093" spans="10:10" ht="15" customHeight="1" x14ac:dyDescent="0.3">
      <c r="J12093" s="33"/>
    </row>
    <row r="12094" spans="10:10" ht="15" customHeight="1" x14ac:dyDescent="0.3">
      <c r="J12094" s="33"/>
    </row>
    <row r="12095" spans="10:10" ht="15" customHeight="1" x14ac:dyDescent="0.3">
      <c r="J12095" s="33"/>
    </row>
    <row r="12096" spans="10:10" ht="15" customHeight="1" x14ac:dyDescent="0.3">
      <c r="J12096" s="33"/>
    </row>
    <row r="12097" spans="10:10" ht="15" customHeight="1" x14ac:dyDescent="0.3">
      <c r="J12097" s="33"/>
    </row>
    <row r="12098" spans="10:10" ht="15" customHeight="1" x14ac:dyDescent="0.3">
      <c r="J12098" s="33"/>
    </row>
    <row r="12099" spans="10:10" ht="15" customHeight="1" x14ac:dyDescent="0.3">
      <c r="J12099" s="33"/>
    </row>
    <row r="12100" spans="10:10" ht="15" customHeight="1" x14ac:dyDescent="0.3">
      <c r="J12100" s="33"/>
    </row>
    <row r="12101" spans="10:10" ht="15" customHeight="1" x14ac:dyDescent="0.3">
      <c r="J12101" s="33"/>
    </row>
    <row r="12102" spans="10:10" ht="15" customHeight="1" x14ac:dyDescent="0.3">
      <c r="J12102" s="33"/>
    </row>
    <row r="12103" spans="10:10" ht="15" customHeight="1" x14ac:dyDescent="0.3">
      <c r="J12103" s="33"/>
    </row>
    <row r="12104" spans="10:10" ht="15" customHeight="1" x14ac:dyDescent="0.3">
      <c r="J12104" s="33"/>
    </row>
    <row r="12105" spans="10:10" ht="15" customHeight="1" x14ac:dyDescent="0.3">
      <c r="J12105" s="33"/>
    </row>
    <row r="12106" spans="10:10" ht="15" customHeight="1" x14ac:dyDescent="0.3">
      <c r="J12106" s="33"/>
    </row>
    <row r="12107" spans="10:10" ht="15" customHeight="1" x14ac:dyDescent="0.3">
      <c r="J12107" s="33"/>
    </row>
    <row r="12108" spans="10:10" ht="15" customHeight="1" x14ac:dyDescent="0.3">
      <c r="J12108" s="33"/>
    </row>
    <row r="12109" spans="10:10" ht="15" customHeight="1" x14ac:dyDescent="0.3">
      <c r="J12109" s="33"/>
    </row>
    <row r="12110" spans="10:10" ht="15" customHeight="1" x14ac:dyDescent="0.3">
      <c r="J12110" s="33"/>
    </row>
    <row r="12111" spans="10:10" ht="15" customHeight="1" x14ac:dyDescent="0.3">
      <c r="J12111" s="33"/>
    </row>
    <row r="12112" spans="10:10" ht="15" customHeight="1" x14ac:dyDescent="0.3">
      <c r="J12112" s="33"/>
    </row>
    <row r="12113" spans="10:10" ht="15" customHeight="1" x14ac:dyDescent="0.3">
      <c r="J12113" s="33"/>
    </row>
    <row r="12114" spans="10:10" ht="15" customHeight="1" x14ac:dyDescent="0.3">
      <c r="J12114" s="33"/>
    </row>
    <row r="12115" spans="10:10" ht="15" customHeight="1" x14ac:dyDescent="0.3">
      <c r="J12115" s="33"/>
    </row>
    <row r="12116" spans="10:10" ht="15" customHeight="1" x14ac:dyDescent="0.3">
      <c r="J12116" s="33"/>
    </row>
    <row r="12117" spans="10:10" ht="15" customHeight="1" x14ac:dyDescent="0.3">
      <c r="J12117" s="33"/>
    </row>
    <row r="12118" spans="10:10" ht="15" customHeight="1" x14ac:dyDescent="0.3">
      <c r="J12118" s="33"/>
    </row>
    <row r="12119" spans="10:10" ht="15" customHeight="1" x14ac:dyDescent="0.3">
      <c r="J12119" s="33"/>
    </row>
    <row r="12120" spans="10:10" ht="15" customHeight="1" x14ac:dyDescent="0.3">
      <c r="J12120" s="33"/>
    </row>
    <row r="12121" spans="10:10" ht="15" customHeight="1" x14ac:dyDescent="0.3">
      <c r="J12121" s="33"/>
    </row>
    <row r="12122" spans="10:10" ht="15" customHeight="1" x14ac:dyDescent="0.3">
      <c r="J12122" s="33"/>
    </row>
    <row r="12123" spans="10:10" ht="15" customHeight="1" x14ac:dyDescent="0.3">
      <c r="J12123" s="33"/>
    </row>
    <row r="12124" spans="10:10" ht="15" customHeight="1" x14ac:dyDescent="0.3">
      <c r="J12124" s="33"/>
    </row>
    <row r="12125" spans="10:10" ht="15" customHeight="1" x14ac:dyDescent="0.3">
      <c r="J12125" s="33"/>
    </row>
    <row r="12126" spans="10:10" ht="15" customHeight="1" x14ac:dyDescent="0.3">
      <c r="J12126" s="33"/>
    </row>
    <row r="12127" spans="10:10" ht="15" customHeight="1" x14ac:dyDescent="0.3">
      <c r="J12127" s="33"/>
    </row>
    <row r="12128" spans="10:10" ht="15" customHeight="1" x14ac:dyDescent="0.3">
      <c r="J12128" s="33"/>
    </row>
    <row r="12129" spans="10:10" ht="15" customHeight="1" x14ac:dyDescent="0.3">
      <c r="J12129" s="33"/>
    </row>
    <row r="12130" spans="10:10" ht="15" customHeight="1" x14ac:dyDescent="0.3">
      <c r="J12130" s="33"/>
    </row>
    <row r="12131" spans="10:10" ht="15" customHeight="1" x14ac:dyDescent="0.3">
      <c r="J12131" s="33"/>
    </row>
    <row r="12132" spans="10:10" ht="15" customHeight="1" x14ac:dyDescent="0.3">
      <c r="J12132" s="33"/>
    </row>
    <row r="12133" spans="10:10" ht="15" customHeight="1" x14ac:dyDescent="0.3">
      <c r="J12133" s="33"/>
    </row>
    <row r="12134" spans="10:10" ht="15" customHeight="1" x14ac:dyDescent="0.3">
      <c r="J12134" s="33"/>
    </row>
    <row r="12135" spans="10:10" ht="15" customHeight="1" x14ac:dyDescent="0.3">
      <c r="J12135" s="33"/>
    </row>
    <row r="12136" spans="10:10" ht="15" customHeight="1" x14ac:dyDescent="0.3">
      <c r="J12136" s="33"/>
    </row>
    <row r="12137" spans="10:10" ht="15" customHeight="1" x14ac:dyDescent="0.3">
      <c r="J12137" s="33"/>
    </row>
    <row r="12138" spans="10:10" ht="15" customHeight="1" x14ac:dyDescent="0.3">
      <c r="J12138" s="33"/>
    </row>
    <row r="12139" spans="10:10" ht="15" customHeight="1" x14ac:dyDescent="0.3">
      <c r="J12139" s="33"/>
    </row>
    <row r="12140" spans="10:10" ht="15" customHeight="1" x14ac:dyDescent="0.3">
      <c r="J12140" s="33"/>
    </row>
    <row r="12141" spans="10:10" ht="15" customHeight="1" x14ac:dyDescent="0.3">
      <c r="J12141" s="33"/>
    </row>
    <row r="12142" spans="10:10" ht="15" customHeight="1" x14ac:dyDescent="0.3">
      <c r="J12142" s="33"/>
    </row>
    <row r="12143" spans="10:10" ht="15" customHeight="1" x14ac:dyDescent="0.3">
      <c r="J12143" s="33"/>
    </row>
    <row r="12144" spans="10:10" ht="15" customHeight="1" x14ac:dyDescent="0.3">
      <c r="J12144" s="33"/>
    </row>
    <row r="12145" spans="10:10" ht="15" customHeight="1" x14ac:dyDescent="0.3">
      <c r="J12145" s="33"/>
    </row>
    <row r="12146" spans="10:10" ht="15" customHeight="1" x14ac:dyDescent="0.3">
      <c r="J12146" s="33"/>
    </row>
    <row r="12147" spans="10:10" ht="15" customHeight="1" x14ac:dyDescent="0.3">
      <c r="J12147" s="33"/>
    </row>
    <row r="12148" spans="10:10" ht="15" customHeight="1" x14ac:dyDescent="0.3">
      <c r="J12148" s="33"/>
    </row>
    <row r="12149" spans="10:10" ht="15" customHeight="1" x14ac:dyDescent="0.3">
      <c r="J12149" s="33"/>
    </row>
    <row r="12150" spans="10:10" ht="15" customHeight="1" x14ac:dyDescent="0.3">
      <c r="J12150" s="33"/>
    </row>
    <row r="12151" spans="10:10" ht="15" customHeight="1" x14ac:dyDescent="0.3">
      <c r="J12151" s="33"/>
    </row>
    <row r="12152" spans="10:10" ht="15" customHeight="1" x14ac:dyDescent="0.3">
      <c r="J12152" s="33"/>
    </row>
    <row r="12153" spans="10:10" ht="15" customHeight="1" x14ac:dyDescent="0.3">
      <c r="J12153" s="33"/>
    </row>
    <row r="12154" spans="10:10" ht="15" customHeight="1" x14ac:dyDescent="0.3">
      <c r="J12154" s="33"/>
    </row>
    <row r="12155" spans="10:10" ht="15" customHeight="1" x14ac:dyDescent="0.3">
      <c r="J12155" s="33"/>
    </row>
    <row r="12156" spans="10:10" ht="15" customHeight="1" x14ac:dyDescent="0.3">
      <c r="J12156" s="33"/>
    </row>
    <row r="12157" spans="10:10" ht="15" customHeight="1" x14ac:dyDescent="0.3">
      <c r="J12157" s="33"/>
    </row>
    <row r="12158" spans="10:10" ht="15" customHeight="1" x14ac:dyDescent="0.3">
      <c r="J12158" s="33"/>
    </row>
    <row r="12159" spans="10:10" ht="15" customHeight="1" x14ac:dyDescent="0.3">
      <c r="J12159" s="33"/>
    </row>
    <row r="12160" spans="10:10" ht="15" customHeight="1" x14ac:dyDescent="0.3">
      <c r="J12160" s="33"/>
    </row>
    <row r="12161" spans="10:10" ht="15" customHeight="1" x14ac:dyDescent="0.3">
      <c r="J12161" s="33"/>
    </row>
    <row r="12162" spans="10:10" ht="15" customHeight="1" x14ac:dyDescent="0.3">
      <c r="J12162" s="33"/>
    </row>
    <row r="12163" spans="10:10" ht="15" customHeight="1" x14ac:dyDescent="0.3">
      <c r="J12163" s="33"/>
    </row>
    <row r="12164" spans="10:10" ht="15" customHeight="1" x14ac:dyDescent="0.3">
      <c r="J12164" s="33"/>
    </row>
    <row r="12165" spans="10:10" ht="15" customHeight="1" x14ac:dyDescent="0.3">
      <c r="J12165" s="33"/>
    </row>
    <row r="12166" spans="10:10" ht="15" customHeight="1" x14ac:dyDescent="0.3">
      <c r="J12166" s="33"/>
    </row>
    <row r="12167" spans="10:10" ht="15" customHeight="1" x14ac:dyDescent="0.3">
      <c r="J12167" s="33"/>
    </row>
    <row r="12168" spans="10:10" ht="15" customHeight="1" x14ac:dyDescent="0.3">
      <c r="J12168" s="33"/>
    </row>
    <row r="12169" spans="10:10" ht="15" customHeight="1" x14ac:dyDescent="0.3">
      <c r="J12169" s="33"/>
    </row>
    <row r="12170" spans="10:10" ht="15" customHeight="1" x14ac:dyDescent="0.3">
      <c r="J12170" s="33"/>
    </row>
    <row r="12171" spans="10:10" ht="15" customHeight="1" x14ac:dyDescent="0.3">
      <c r="J12171" s="33"/>
    </row>
    <row r="12172" spans="10:10" ht="15" customHeight="1" x14ac:dyDescent="0.3">
      <c r="J12172" s="33"/>
    </row>
    <row r="12173" spans="10:10" ht="15" customHeight="1" x14ac:dyDescent="0.3">
      <c r="J12173" s="33"/>
    </row>
    <row r="12174" spans="10:10" ht="15" customHeight="1" x14ac:dyDescent="0.3">
      <c r="J12174" s="33"/>
    </row>
    <row r="12175" spans="10:10" ht="15" customHeight="1" x14ac:dyDescent="0.3">
      <c r="J12175" s="33"/>
    </row>
    <row r="12176" spans="10:10" ht="15" customHeight="1" x14ac:dyDescent="0.3">
      <c r="J12176" s="33"/>
    </row>
    <row r="12177" spans="10:10" ht="15" customHeight="1" x14ac:dyDescent="0.3">
      <c r="J12177" s="33"/>
    </row>
    <row r="12178" spans="10:10" ht="15" customHeight="1" x14ac:dyDescent="0.3">
      <c r="J12178" s="33"/>
    </row>
    <row r="12179" spans="10:10" ht="15" customHeight="1" x14ac:dyDescent="0.3">
      <c r="J12179" s="33"/>
    </row>
    <row r="12180" spans="10:10" ht="15" customHeight="1" x14ac:dyDescent="0.3">
      <c r="J12180" s="33"/>
    </row>
    <row r="12181" spans="10:10" ht="15" customHeight="1" x14ac:dyDescent="0.3">
      <c r="J12181" s="33"/>
    </row>
    <row r="12182" spans="10:10" ht="15" customHeight="1" x14ac:dyDescent="0.3">
      <c r="J12182" s="33"/>
    </row>
    <row r="12183" spans="10:10" ht="15" customHeight="1" x14ac:dyDescent="0.3">
      <c r="J12183" s="33"/>
    </row>
    <row r="12184" spans="10:10" ht="15" customHeight="1" x14ac:dyDescent="0.3">
      <c r="J12184" s="33"/>
    </row>
    <row r="12185" spans="10:10" ht="15" customHeight="1" x14ac:dyDescent="0.3">
      <c r="J12185" s="33"/>
    </row>
    <row r="12186" spans="10:10" ht="15" customHeight="1" x14ac:dyDescent="0.3">
      <c r="J12186" s="33"/>
    </row>
    <row r="12187" spans="10:10" ht="15" customHeight="1" x14ac:dyDescent="0.3">
      <c r="J12187" s="33"/>
    </row>
    <row r="12188" spans="10:10" ht="15" customHeight="1" x14ac:dyDescent="0.3">
      <c r="J12188" s="33"/>
    </row>
    <row r="12189" spans="10:10" ht="15" customHeight="1" x14ac:dyDescent="0.3">
      <c r="J12189" s="33"/>
    </row>
    <row r="12190" spans="10:10" ht="15" customHeight="1" x14ac:dyDescent="0.3">
      <c r="J12190" s="33"/>
    </row>
    <row r="12191" spans="10:10" ht="15" customHeight="1" x14ac:dyDescent="0.3">
      <c r="J12191" s="33"/>
    </row>
    <row r="12192" spans="10:10" ht="15" customHeight="1" x14ac:dyDescent="0.3">
      <c r="J12192" s="33"/>
    </row>
    <row r="12193" spans="10:10" ht="15" customHeight="1" x14ac:dyDescent="0.3">
      <c r="J12193" s="33"/>
    </row>
    <row r="12194" spans="10:10" ht="15" customHeight="1" x14ac:dyDescent="0.3">
      <c r="J12194" s="33"/>
    </row>
    <row r="12195" spans="10:10" ht="15" customHeight="1" x14ac:dyDescent="0.3">
      <c r="J12195" s="33"/>
    </row>
    <row r="12196" spans="10:10" ht="15" customHeight="1" x14ac:dyDescent="0.3">
      <c r="J12196" s="33"/>
    </row>
    <row r="12197" spans="10:10" ht="15" customHeight="1" x14ac:dyDescent="0.3">
      <c r="J12197" s="33"/>
    </row>
    <row r="12198" spans="10:10" ht="15" customHeight="1" x14ac:dyDescent="0.3">
      <c r="J12198" s="33"/>
    </row>
    <row r="12199" spans="10:10" ht="15" customHeight="1" x14ac:dyDescent="0.3">
      <c r="J12199" s="33"/>
    </row>
    <row r="12200" spans="10:10" ht="15" customHeight="1" x14ac:dyDescent="0.3">
      <c r="J12200" s="33"/>
    </row>
    <row r="12201" spans="10:10" ht="15" customHeight="1" x14ac:dyDescent="0.3">
      <c r="J12201" s="33"/>
    </row>
    <row r="12202" spans="10:10" ht="15" customHeight="1" x14ac:dyDescent="0.3">
      <c r="J12202" s="33"/>
    </row>
    <row r="12203" spans="10:10" ht="15" customHeight="1" x14ac:dyDescent="0.3">
      <c r="J12203" s="33"/>
    </row>
    <row r="12204" spans="10:10" ht="15" customHeight="1" x14ac:dyDescent="0.3">
      <c r="J12204" s="33"/>
    </row>
    <row r="12205" spans="10:10" ht="15" customHeight="1" x14ac:dyDescent="0.3">
      <c r="J12205" s="33"/>
    </row>
    <row r="12206" spans="10:10" ht="15" customHeight="1" x14ac:dyDescent="0.3">
      <c r="J12206" s="33"/>
    </row>
    <row r="12207" spans="10:10" ht="15" customHeight="1" x14ac:dyDescent="0.3">
      <c r="J12207" s="33"/>
    </row>
    <row r="12208" spans="10:10" ht="15" customHeight="1" x14ac:dyDescent="0.3">
      <c r="J12208" s="33"/>
    </row>
    <row r="12209" spans="10:10" ht="15" customHeight="1" x14ac:dyDescent="0.3">
      <c r="J12209" s="33"/>
    </row>
    <row r="12210" spans="10:10" ht="15" customHeight="1" x14ac:dyDescent="0.3">
      <c r="J12210" s="33"/>
    </row>
    <row r="12211" spans="10:10" ht="15" customHeight="1" x14ac:dyDescent="0.3">
      <c r="J12211" s="33"/>
    </row>
    <row r="12212" spans="10:10" ht="15" customHeight="1" x14ac:dyDescent="0.3">
      <c r="J12212" s="33"/>
    </row>
    <row r="12213" spans="10:10" ht="15" customHeight="1" x14ac:dyDescent="0.3">
      <c r="J12213" s="33"/>
    </row>
    <row r="12214" spans="10:10" ht="15" customHeight="1" x14ac:dyDescent="0.3">
      <c r="J12214" s="33"/>
    </row>
    <row r="12215" spans="10:10" ht="15" customHeight="1" x14ac:dyDescent="0.3">
      <c r="J12215" s="33"/>
    </row>
    <row r="12216" spans="10:10" ht="15" customHeight="1" x14ac:dyDescent="0.3">
      <c r="J12216" s="33"/>
    </row>
    <row r="12217" spans="10:10" ht="15" customHeight="1" x14ac:dyDescent="0.3">
      <c r="J12217" s="33"/>
    </row>
    <row r="12218" spans="10:10" ht="15" customHeight="1" x14ac:dyDescent="0.3">
      <c r="J12218" s="33"/>
    </row>
    <row r="12219" spans="10:10" ht="15" customHeight="1" x14ac:dyDescent="0.3">
      <c r="J12219" s="33"/>
    </row>
    <row r="12220" spans="10:10" ht="15" customHeight="1" x14ac:dyDescent="0.3">
      <c r="J12220" s="33"/>
    </row>
    <row r="12221" spans="10:10" ht="15" customHeight="1" x14ac:dyDescent="0.3">
      <c r="J12221" s="33"/>
    </row>
    <row r="12222" spans="10:10" ht="15" customHeight="1" x14ac:dyDescent="0.3">
      <c r="J12222" s="33"/>
    </row>
    <row r="12223" spans="10:10" ht="15" customHeight="1" x14ac:dyDescent="0.3">
      <c r="J12223" s="33"/>
    </row>
    <row r="12224" spans="10:10" ht="15" customHeight="1" x14ac:dyDescent="0.3">
      <c r="J12224" s="33"/>
    </row>
    <row r="12225" spans="10:10" ht="15" customHeight="1" x14ac:dyDescent="0.3">
      <c r="J12225" s="33"/>
    </row>
    <row r="12226" spans="10:10" ht="15" customHeight="1" x14ac:dyDescent="0.3">
      <c r="J12226" s="33"/>
    </row>
    <row r="12227" spans="10:10" ht="15" customHeight="1" x14ac:dyDescent="0.3">
      <c r="J12227" s="33"/>
    </row>
    <row r="12228" spans="10:10" ht="15" customHeight="1" x14ac:dyDescent="0.3">
      <c r="J12228" s="33"/>
    </row>
    <row r="12229" spans="10:10" ht="15" customHeight="1" x14ac:dyDescent="0.3">
      <c r="J12229" s="33"/>
    </row>
    <row r="12230" spans="10:10" ht="15" customHeight="1" x14ac:dyDescent="0.3">
      <c r="J12230" s="33"/>
    </row>
    <row r="12231" spans="10:10" ht="15" customHeight="1" x14ac:dyDescent="0.3">
      <c r="J12231" s="33"/>
    </row>
    <row r="12232" spans="10:10" ht="15" customHeight="1" x14ac:dyDescent="0.3">
      <c r="J12232" s="33"/>
    </row>
    <row r="12233" spans="10:10" ht="15" customHeight="1" x14ac:dyDescent="0.3">
      <c r="J12233" s="33"/>
    </row>
    <row r="12234" spans="10:10" ht="15" customHeight="1" x14ac:dyDescent="0.3">
      <c r="J12234" s="33"/>
    </row>
    <row r="12235" spans="10:10" ht="15" customHeight="1" x14ac:dyDescent="0.3">
      <c r="J12235" s="33"/>
    </row>
    <row r="12236" spans="10:10" ht="15" customHeight="1" x14ac:dyDescent="0.3">
      <c r="J12236" s="33"/>
    </row>
    <row r="12237" spans="10:10" ht="15" customHeight="1" x14ac:dyDescent="0.3">
      <c r="J12237" s="33"/>
    </row>
    <row r="12238" spans="10:10" ht="15" customHeight="1" x14ac:dyDescent="0.3">
      <c r="J12238" s="33"/>
    </row>
    <row r="12239" spans="10:10" ht="15" customHeight="1" x14ac:dyDescent="0.3">
      <c r="J12239" s="33"/>
    </row>
    <row r="12240" spans="10:10" ht="15" customHeight="1" x14ac:dyDescent="0.3">
      <c r="J12240" s="33"/>
    </row>
    <row r="12241" spans="10:10" ht="15" customHeight="1" x14ac:dyDescent="0.3">
      <c r="J12241" s="33"/>
    </row>
    <row r="12242" spans="10:10" ht="15" customHeight="1" x14ac:dyDescent="0.3">
      <c r="J12242" s="33"/>
    </row>
    <row r="12243" spans="10:10" ht="15" customHeight="1" x14ac:dyDescent="0.3">
      <c r="J12243" s="33"/>
    </row>
    <row r="12244" spans="10:10" ht="15" customHeight="1" x14ac:dyDescent="0.3">
      <c r="J12244" s="33"/>
    </row>
    <row r="12245" spans="10:10" ht="15" customHeight="1" x14ac:dyDescent="0.3">
      <c r="J12245" s="33"/>
    </row>
    <row r="12246" spans="10:10" ht="15" customHeight="1" x14ac:dyDescent="0.3">
      <c r="J12246" s="33"/>
    </row>
    <row r="12247" spans="10:10" ht="15" customHeight="1" x14ac:dyDescent="0.3">
      <c r="J12247" s="33"/>
    </row>
    <row r="12248" spans="10:10" ht="15" customHeight="1" x14ac:dyDescent="0.3">
      <c r="J12248" s="33"/>
    </row>
    <row r="12249" spans="10:10" ht="15" customHeight="1" x14ac:dyDescent="0.3">
      <c r="J12249" s="33"/>
    </row>
    <row r="12250" spans="10:10" ht="15" customHeight="1" x14ac:dyDescent="0.3">
      <c r="J12250" s="33"/>
    </row>
    <row r="12251" spans="10:10" ht="15" customHeight="1" x14ac:dyDescent="0.3">
      <c r="J12251" s="33"/>
    </row>
    <row r="12252" spans="10:10" ht="15" customHeight="1" x14ac:dyDescent="0.3">
      <c r="J12252" s="33"/>
    </row>
    <row r="12253" spans="10:10" ht="15" customHeight="1" x14ac:dyDescent="0.3">
      <c r="J12253" s="33"/>
    </row>
    <row r="12254" spans="10:10" ht="15" customHeight="1" x14ac:dyDescent="0.3">
      <c r="J12254" s="33"/>
    </row>
    <row r="12255" spans="10:10" ht="15" customHeight="1" x14ac:dyDescent="0.3">
      <c r="J12255" s="33"/>
    </row>
    <row r="12256" spans="10:10" ht="15" customHeight="1" x14ac:dyDescent="0.3">
      <c r="J12256" s="33"/>
    </row>
    <row r="12257" spans="10:10" ht="15" customHeight="1" x14ac:dyDescent="0.3">
      <c r="J12257" s="33"/>
    </row>
    <row r="12258" spans="10:10" ht="15" customHeight="1" x14ac:dyDescent="0.3">
      <c r="J12258" s="33"/>
    </row>
    <row r="12259" spans="10:10" ht="15" customHeight="1" x14ac:dyDescent="0.3">
      <c r="J12259" s="33"/>
    </row>
    <row r="12260" spans="10:10" ht="15" customHeight="1" x14ac:dyDescent="0.3">
      <c r="J12260" s="33"/>
    </row>
    <row r="12261" spans="10:10" ht="15" customHeight="1" x14ac:dyDescent="0.3">
      <c r="J12261" s="33"/>
    </row>
    <row r="12262" spans="10:10" ht="15" customHeight="1" x14ac:dyDescent="0.3">
      <c r="J12262" s="33"/>
    </row>
    <row r="12263" spans="10:10" ht="15" customHeight="1" x14ac:dyDescent="0.3">
      <c r="J12263" s="33"/>
    </row>
    <row r="12264" spans="10:10" ht="15" customHeight="1" x14ac:dyDescent="0.3">
      <c r="J12264" s="33"/>
    </row>
    <row r="12265" spans="10:10" ht="15" customHeight="1" x14ac:dyDescent="0.3">
      <c r="J12265" s="33"/>
    </row>
    <row r="12266" spans="10:10" ht="15" customHeight="1" x14ac:dyDescent="0.3">
      <c r="J12266" s="33"/>
    </row>
    <row r="12267" spans="10:10" ht="15" customHeight="1" x14ac:dyDescent="0.3">
      <c r="J12267" s="33"/>
    </row>
    <row r="12268" spans="10:10" ht="15" customHeight="1" x14ac:dyDescent="0.3">
      <c r="J12268" s="33"/>
    </row>
    <row r="12269" spans="10:10" ht="15" customHeight="1" x14ac:dyDescent="0.3">
      <c r="J12269" s="33"/>
    </row>
    <row r="12270" spans="10:10" ht="15" customHeight="1" x14ac:dyDescent="0.3">
      <c r="J12270" s="33"/>
    </row>
    <row r="12271" spans="10:10" ht="15" customHeight="1" x14ac:dyDescent="0.3">
      <c r="J12271" s="33"/>
    </row>
    <row r="12272" spans="10:10" ht="15" customHeight="1" x14ac:dyDescent="0.3">
      <c r="J12272" s="33"/>
    </row>
    <row r="12273" spans="10:10" ht="15" customHeight="1" x14ac:dyDescent="0.3">
      <c r="J12273" s="33"/>
    </row>
    <row r="12274" spans="10:10" ht="15" customHeight="1" x14ac:dyDescent="0.3">
      <c r="J12274" s="33"/>
    </row>
    <row r="12275" spans="10:10" ht="15" customHeight="1" x14ac:dyDescent="0.3">
      <c r="J12275" s="33"/>
    </row>
    <row r="12276" spans="10:10" ht="15" customHeight="1" x14ac:dyDescent="0.3">
      <c r="J12276" s="33"/>
    </row>
    <row r="12277" spans="10:10" ht="15" customHeight="1" x14ac:dyDescent="0.3">
      <c r="J12277" s="33"/>
    </row>
    <row r="12278" spans="10:10" ht="15" customHeight="1" x14ac:dyDescent="0.3">
      <c r="J12278" s="33"/>
    </row>
    <row r="12279" spans="10:10" ht="15" customHeight="1" x14ac:dyDescent="0.3">
      <c r="J12279" s="33"/>
    </row>
    <row r="12280" spans="10:10" ht="15" customHeight="1" x14ac:dyDescent="0.3">
      <c r="J12280" s="33"/>
    </row>
    <row r="12281" spans="10:10" ht="15" customHeight="1" x14ac:dyDescent="0.3">
      <c r="J12281" s="33"/>
    </row>
    <row r="12282" spans="10:10" ht="15" customHeight="1" x14ac:dyDescent="0.3">
      <c r="J12282" s="33"/>
    </row>
    <row r="12283" spans="10:10" ht="15" customHeight="1" x14ac:dyDescent="0.3">
      <c r="J12283" s="33"/>
    </row>
    <row r="12284" spans="10:10" ht="15" customHeight="1" x14ac:dyDescent="0.3">
      <c r="J12284" s="33"/>
    </row>
    <row r="12285" spans="10:10" ht="15" customHeight="1" x14ac:dyDescent="0.3">
      <c r="J12285" s="33"/>
    </row>
    <row r="12286" spans="10:10" ht="15" customHeight="1" x14ac:dyDescent="0.3">
      <c r="J12286" s="33"/>
    </row>
    <row r="12287" spans="10:10" ht="15" customHeight="1" x14ac:dyDescent="0.3">
      <c r="J12287" s="33"/>
    </row>
    <row r="12288" spans="10:10" ht="15" customHeight="1" x14ac:dyDescent="0.3">
      <c r="J12288" s="33"/>
    </row>
    <row r="12289" spans="10:10" ht="15" customHeight="1" x14ac:dyDescent="0.3">
      <c r="J12289" s="33"/>
    </row>
    <row r="12290" spans="10:10" ht="15" customHeight="1" x14ac:dyDescent="0.3">
      <c r="J12290" s="33"/>
    </row>
    <row r="12291" spans="10:10" ht="15" customHeight="1" x14ac:dyDescent="0.3">
      <c r="J12291" s="33"/>
    </row>
    <row r="12292" spans="10:10" ht="15" customHeight="1" x14ac:dyDescent="0.3">
      <c r="J12292" s="33"/>
    </row>
    <row r="12293" spans="10:10" ht="15" customHeight="1" x14ac:dyDescent="0.3">
      <c r="J12293" s="33"/>
    </row>
    <row r="12294" spans="10:10" ht="15" customHeight="1" x14ac:dyDescent="0.3">
      <c r="J12294" s="33"/>
    </row>
    <row r="12295" spans="10:10" ht="15" customHeight="1" x14ac:dyDescent="0.3">
      <c r="J12295" s="33"/>
    </row>
    <row r="12296" spans="10:10" ht="15" customHeight="1" x14ac:dyDescent="0.3">
      <c r="J12296" s="33"/>
    </row>
    <row r="12297" spans="10:10" ht="15" customHeight="1" x14ac:dyDescent="0.3">
      <c r="J12297" s="33"/>
    </row>
    <row r="12298" spans="10:10" ht="15" customHeight="1" x14ac:dyDescent="0.3">
      <c r="J12298" s="33"/>
    </row>
    <row r="12299" spans="10:10" ht="15" customHeight="1" x14ac:dyDescent="0.3">
      <c r="J12299" s="33"/>
    </row>
    <row r="12300" spans="10:10" ht="15" customHeight="1" x14ac:dyDescent="0.3">
      <c r="J12300" s="33"/>
    </row>
    <row r="12301" spans="10:10" ht="15" customHeight="1" x14ac:dyDescent="0.3">
      <c r="J12301" s="33"/>
    </row>
    <row r="12302" spans="10:10" ht="15" customHeight="1" x14ac:dyDescent="0.3">
      <c r="J12302" s="33"/>
    </row>
    <row r="12303" spans="10:10" ht="15" customHeight="1" x14ac:dyDescent="0.3">
      <c r="J12303" s="33"/>
    </row>
    <row r="12304" spans="10:10" ht="15" customHeight="1" x14ac:dyDescent="0.3">
      <c r="J12304" s="33"/>
    </row>
    <row r="12305" spans="10:10" ht="15" customHeight="1" x14ac:dyDescent="0.3">
      <c r="J12305" s="33"/>
    </row>
    <row r="12306" spans="10:10" ht="15" customHeight="1" x14ac:dyDescent="0.3">
      <c r="J12306" s="33"/>
    </row>
    <row r="12307" spans="10:10" ht="15" customHeight="1" x14ac:dyDescent="0.3">
      <c r="J12307" s="33"/>
    </row>
    <row r="12308" spans="10:10" ht="15" customHeight="1" x14ac:dyDescent="0.3">
      <c r="J12308" s="33"/>
    </row>
    <row r="12309" spans="10:10" ht="15" customHeight="1" x14ac:dyDescent="0.3">
      <c r="J12309" s="33"/>
    </row>
    <row r="12310" spans="10:10" ht="15" customHeight="1" x14ac:dyDescent="0.3">
      <c r="J12310" s="33"/>
    </row>
    <row r="12311" spans="10:10" ht="15" customHeight="1" x14ac:dyDescent="0.3">
      <c r="J12311" s="33"/>
    </row>
    <row r="12312" spans="10:10" ht="15" customHeight="1" x14ac:dyDescent="0.3">
      <c r="J12312" s="33"/>
    </row>
    <row r="12313" spans="10:10" ht="15" customHeight="1" x14ac:dyDescent="0.3">
      <c r="J12313" s="33"/>
    </row>
    <row r="12314" spans="10:10" ht="15" customHeight="1" x14ac:dyDescent="0.3">
      <c r="J12314" s="33"/>
    </row>
    <row r="12315" spans="10:10" ht="15" customHeight="1" x14ac:dyDescent="0.3">
      <c r="J12315" s="33"/>
    </row>
    <row r="12316" spans="10:10" ht="15" customHeight="1" x14ac:dyDescent="0.3">
      <c r="J12316" s="33"/>
    </row>
    <row r="12317" spans="10:10" ht="15" customHeight="1" x14ac:dyDescent="0.3">
      <c r="J12317" s="33"/>
    </row>
    <row r="12318" spans="10:10" ht="15" customHeight="1" x14ac:dyDescent="0.3">
      <c r="J12318" s="33"/>
    </row>
    <row r="12319" spans="10:10" ht="15" customHeight="1" x14ac:dyDescent="0.3">
      <c r="J12319" s="33"/>
    </row>
    <row r="12320" spans="10:10" ht="15" customHeight="1" x14ac:dyDescent="0.3">
      <c r="J12320" s="33"/>
    </row>
    <row r="12321" spans="10:10" ht="15" customHeight="1" x14ac:dyDescent="0.3">
      <c r="J12321" s="33"/>
    </row>
    <row r="12322" spans="10:10" ht="15" customHeight="1" x14ac:dyDescent="0.3">
      <c r="J12322" s="33"/>
    </row>
    <row r="12323" spans="10:10" ht="15" customHeight="1" x14ac:dyDescent="0.3">
      <c r="J12323" s="33"/>
    </row>
    <row r="12324" spans="10:10" ht="15" customHeight="1" x14ac:dyDescent="0.3">
      <c r="J12324" s="33"/>
    </row>
    <row r="12325" spans="10:10" ht="15" customHeight="1" x14ac:dyDescent="0.3">
      <c r="J12325" s="33"/>
    </row>
    <row r="12326" spans="10:10" ht="15" customHeight="1" x14ac:dyDescent="0.3">
      <c r="J12326" s="33"/>
    </row>
    <row r="12327" spans="10:10" ht="15" customHeight="1" x14ac:dyDescent="0.3">
      <c r="J12327" s="33"/>
    </row>
    <row r="12328" spans="10:10" ht="15" customHeight="1" x14ac:dyDescent="0.3">
      <c r="J12328" s="33"/>
    </row>
    <row r="12329" spans="10:10" ht="15" customHeight="1" x14ac:dyDescent="0.3">
      <c r="J12329" s="33"/>
    </row>
    <row r="12330" spans="10:10" ht="15" customHeight="1" x14ac:dyDescent="0.3">
      <c r="J12330" s="33"/>
    </row>
    <row r="12331" spans="10:10" ht="15" customHeight="1" x14ac:dyDescent="0.3">
      <c r="J12331" s="33"/>
    </row>
    <row r="12332" spans="10:10" ht="15" customHeight="1" x14ac:dyDescent="0.3">
      <c r="J12332" s="33"/>
    </row>
    <row r="12333" spans="10:10" ht="15" customHeight="1" x14ac:dyDescent="0.3">
      <c r="J12333" s="33"/>
    </row>
    <row r="12334" spans="10:10" ht="15" customHeight="1" x14ac:dyDescent="0.3">
      <c r="J12334" s="33"/>
    </row>
    <row r="12335" spans="10:10" ht="15" customHeight="1" x14ac:dyDescent="0.3">
      <c r="J12335" s="33"/>
    </row>
    <row r="12336" spans="10:10" ht="15" customHeight="1" x14ac:dyDescent="0.3">
      <c r="J12336" s="33"/>
    </row>
    <row r="12337" spans="10:10" ht="15" customHeight="1" x14ac:dyDescent="0.3">
      <c r="J12337" s="33"/>
    </row>
    <row r="12338" spans="10:10" ht="15" customHeight="1" x14ac:dyDescent="0.3">
      <c r="J12338" s="33"/>
    </row>
    <row r="12339" spans="10:10" ht="15" customHeight="1" x14ac:dyDescent="0.3">
      <c r="J12339" s="33"/>
    </row>
    <row r="12340" spans="10:10" ht="15" customHeight="1" x14ac:dyDescent="0.3">
      <c r="J12340" s="33"/>
    </row>
    <row r="12341" spans="10:10" ht="15" customHeight="1" x14ac:dyDescent="0.3">
      <c r="J12341" s="33"/>
    </row>
    <row r="12342" spans="10:10" ht="15" customHeight="1" x14ac:dyDescent="0.3">
      <c r="J12342" s="33"/>
    </row>
    <row r="12343" spans="10:10" ht="15" customHeight="1" x14ac:dyDescent="0.3">
      <c r="J12343" s="33"/>
    </row>
    <row r="12344" spans="10:10" ht="15" customHeight="1" x14ac:dyDescent="0.3">
      <c r="J12344" s="33"/>
    </row>
    <row r="12345" spans="10:10" ht="15" customHeight="1" x14ac:dyDescent="0.3">
      <c r="J12345" s="33"/>
    </row>
    <row r="12346" spans="10:10" ht="15" customHeight="1" x14ac:dyDescent="0.3">
      <c r="J12346" s="33"/>
    </row>
    <row r="12347" spans="10:10" ht="15" customHeight="1" x14ac:dyDescent="0.3">
      <c r="J12347" s="33"/>
    </row>
    <row r="12348" spans="10:10" ht="15" customHeight="1" x14ac:dyDescent="0.3">
      <c r="J12348" s="33"/>
    </row>
    <row r="12349" spans="10:10" ht="15" customHeight="1" x14ac:dyDescent="0.3">
      <c r="J12349" s="33"/>
    </row>
    <row r="12350" spans="10:10" ht="15" customHeight="1" x14ac:dyDescent="0.3">
      <c r="J12350" s="33"/>
    </row>
    <row r="12351" spans="10:10" ht="15" customHeight="1" x14ac:dyDescent="0.3">
      <c r="J12351" s="33"/>
    </row>
    <row r="12352" spans="10:10" ht="15" customHeight="1" x14ac:dyDescent="0.3">
      <c r="J12352" s="33"/>
    </row>
    <row r="12353" spans="10:10" ht="15" customHeight="1" x14ac:dyDescent="0.3">
      <c r="J12353" s="33"/>
    </row>
    <row r="12354" spans="10:10" ht="15" customHeight="1" x14ac:dyDescent="0.3">
      <c r="J12354" s="33"/>
    </row>
    <row r="12355" spans="10:10" ht="15" customHeight="1" x14ac:dyDescent="0.3">
      <c r="J12355" s="33"/>
    </row>
    <row r="12356" spans="10:10" ht="15" customHeight="1" x14ac:dyDescent="0.3">
      <c r="J12356" s="33"/>
    </row>
    <row r="12357" spans="10:10" ht="15" customHeight="1" x14ac:dyDescent="0.3">
      <c r="J12357" s="33"/>
    </row>
    <row r="12358" spans="10:10" ht="15" customHeight="1" x14ac:dyDescent="0.3">
      <c r="J12358" s="33"/>
    </row>
    <row r="12359" spans="10:10" ht="15" customHeight="1" x14ac:dyDescent="0.3">
      <c r="J12359" s="33"/>
    </row>
    <row r="12360" spans="10:10" ht="15" customHeight="1" x14ac:dyDescent="0.3">
      <c r="J12360" s="33"/>
    </row>
    <row r="12361" spans="10:10" ht="15" customHeight="1" x14ac:dyDescent="0.3">
      <c r="J12361" s="33"/>
    </row>
    <row r="12362" spans="10:10" ht="15" customHeight="1" x14ac:dyDescent="0.3">
      <c r="J12362" s="33"/>
    </row>
    <row r="12363" spans="10:10" ht="15" customHeight="1" x14ac:dyDescent="0.3">
      <c r="J12363" s="33"/>
    </row>
    <row r="12364" spans="10:10" ht="15" customHeight="1" x14ac:dyDescent="0.3">
      <c r="J12364" s="33"/>
    </row>
    <row r="12365" spans="10:10" ht="15" customHeight="1" x14ac:dyDescent="0.3">
      <c r="J12365" s="33"/>
    </row>
    <row r="12366" spans="10:10" ht="15" customHeight="1" x14ac:dyDescent="0.3">
      <c r="J12366" s="33"/>
    </row>
    <row r="12367" spans="10:10" ht="15" customHeight="1" x14ac:dyDescent="0.3">
      <c r="J12367" s="33"/>
    </row>
    <row r="12368" spans="10:10" ht="15" customHeight="1" x14ac:dyDescent="0.3">
      <c r="J12368" s="33"/>
    </row>
    <row r="12369" spans="10:10" ht="15" customHeight="1" x14ac:dyDescent="0.3">
      <c r="J12369" s="33"/>
    </row>
    <row r="12370" spans="10:10" ht="15" customHeight="1" x14ac:dyDescent="0.3">
      <c r="J12370" s="33"/>
    </row>
    <row r="12371" spans="10:10" ht="15" customHeight="1" x14ac:dyDescent="0.3">
      <c r="J12371" s="33"/>
    </row>
    <row r="12372" spans="10:10" ht="15" customHeight="1" x14ac:dyDescent="0.3">
      <c r="J12372" s="33"/>
    </row>
    <row r="12373" spans="10:10" ht="15" customHeight="1" x14ac:dyDescent="0.3">
      <c r="J12373" s="33"/>
    </row>
    <row r="12374" spans="10:10" ht="15" customHeight="1" x14ac:dyDescent="0.3">
      <c r="J12374" s="33"/>
    </row>
    <row r="12375" spans="10:10" ht="15" customHeight="1" x14ac:dyDescent="0.3">
      <c r="J12375" s="33"/>
    </row>
    <row r="12376" spans="10:10" ht="15" customHeight="1" x14ac:dyDescent="0.3">
      <c r="J12376" s="33"/>
    </row>
    <row r="12377" spans="10:10" ht="15" customHeight="1" x14ac:dyDescent="0.3">
      <c r="J12377" s="33"/>
    </row>
    <row r="12378" spans="10:10" ht="15" customHeight="1" x14ac:dyDescent="0.3">
      <c r="J12378" s="33"/>
    </row>
    <row r="12379" spans="10:10" ht="15" customHeight="1" x14ac:dyDescent="0.3">
      <c r="J12379" s="33"/>
    </row>
    <row r="12380" spans="10:10" ht="15" customHeight="1" x14ac:dyDescent="0.3">
      <c r="J12380" s="33"/>
    </row>
    <row r="12381" spans="10:10" ht="15" customHeight="1" x14ac:dyDescent="0.3">
      <c r="J12381" s="33"/>
    </row>
    <row r="12382" spans="10:10" ht="15" customHeight="1" x14ac:dyDescent="0.3">
      <c r="J12382" s="33"/>
    </row>
    <row r="12383" spans="10:10" ht="15" customHeight="1" x14ac:dyDescent="0.3">
      <c r="J12383" s="33"/>
    </row>
    <row r="12384" spans="10:10" ht="15" customHeight="1" x14ac:dyDescent="0.3">
      <c r="J12384" s="33"/>
    </row>
    <row r="12385" spans="10:10" ht="15" customHeight="1" x14ac:dyDescent="0.3">
      <c r="J12385" s="33"/>
    </row>
    <row r="12386" spans="10:10" ht="15" customHeight="1" x14ac:dyDescent="0.3">
      <c r="J12386" s="33"/>
    </row>
    <row r="12387" spans="10:10" ht="15" customHeight="1" x14ac:dyDescent="0.3">
      <c r="J12387" s="33"/>
    </row>
    <row r="12388" spans="10:10" ht="15" customHeight="1" x14ac:dyDescent="0.3">
      <c r="J12388" s="33"/>
    </row>
    <row r="12389" spans="10:10" ht="15" customHeight="1" x14ac:dyDescent="0.3">
      <c r="J12389" s="33"/>
    </row>
    <row r="12390" spans="10:10" ht="15" customHeight="1" x14ac:dyDescent="0.3">
      <c r="J12390" s="33"/>
    </row>
    <row r="12391" spans="10:10" ht="15" customHeight="1" x14ac:dyDescent="0.3">
      <c r="J12391" s="33"/>
    </row>
    <row r="12392" spans="10:10" ht="15" customHeight="1" x14ac:dyDescent="0.3">
      <c r="J12392" s="33"/>
    </row>
    <row r="12393" spans="10:10" ht="15" customHeight="1" x14ac:dyDescent="0.3">
      <c r="J12393" s="33"/>
    </row>
    <row r="12394" spans="10:10" ht="15" customHeight="1" x14ac:dyDescent="0.3">
      <c r="J12394" s="33"/>
    </row>
    <row r="12395" spans="10:10" ht="15" customHeight="1" x14ac:dyDescent="0.3">
      <c r="J12395" s="33"/>
    </row>
    <row r="12396" spans="10:10" ht="15" customHeight="1" x14ac:dyDescent="0.3">
      <c r="J12396" s="33"/>
    </row>
    <row r="12397" spans="10:10" ht="15" customHeight="1" x14ac:dyDescent="0.3">
      <c r="J12397" s="33"/>
    </row>
    <row r="12398" spans="10:10" ht="15" customHeight="1" x14ac:dyDescent="0.3">
      <c r="J12398" s="33"/>
    </row>
    <row r="12399" spans="10:10" ht="15" customHeight="1" x14ac:dyDescent="0.3">
      <c r="J12399" s="33"/>
    </row>
    <row r="12400" spans="10:10" ht="15" customHeight="1" x14ac:dyDescent="0.3">
      <c r="J12400" s="33"/>
    </row>
    <row r="12401" spans="10:10" ht="15" customHeight="1" x14ac:dyDescent="0.3">
      <c r="J12401" s="33"/>
    </row>
    <row r="12402" spans="10:10" ht="15" customHeight="1" x14ac:dyDescent="0.3">
      <c r="J12402" s="33"/>
    </row>
    <row r="12403" spans="10:10" ht="15" customHeight="1" x14ac:dyDescent="0.3">
      <c r="J12403" s="33"/>
    </row>
    <row r="12404" spans="10:10" ht="15" customHeight="1" x14ac:dyDescent="0.3">
      <c r="J12404" s="33"/>
    </row>
    <row r="12405" spans="10:10" ht="15" customHeight="1" x14ac:dyDescent="0.3">
      <c r="J12405" s="33"/>
    </row>
    <row r="12406" spans="10:10" ht="15" customHeight="1" x14ac:dyDescent="0.3">
      <c r="J12406" s="33"/>
    </row>
    <row r="12407" spans="10:10" ht="15" customHeight="1" x14ac:dyDescent="0.3">
      <c r="J12407" s="33"/>
    </row>
    <row r="12408" spans="10:10" ht="15" customHeight="1" x14ac:dyDescent="0.3">
      <c r="J12408" s="33"/>
    </row>
    <row r="12409" spans="10:10" ht="15" customHeight="1" x14ac:dyDescent="0.3">
      <c r="J12409" s="33"/>
    </row>
    <row r="12410" spans="10:10" ht="15" customHeight="1" x14ac:dyDescent="0.3">
      <c r="J12410" s="33"/>
    </row>
    <row r="12411" spans="10:10" ht="15" customHeight="1" x14ac:dyDescent="0.3">
      <c r="J12411" s="33"/>
    </row>
    <row r="12412" spans="10:10" ht="15" customHeight="1" x14ac:dyDescent="0.3">
      <c r="J12412" s="33"/>
    </row>
    <row r="12413" spans="10:10" ht="15" customHeight="1" x14ac:dyDescent="0.3">
      <c r="J12413" s="33"/>
    </row>
    <row r="12414" spans="10:10" ht="15" customHeight="1" x14ac:dyDescent="0.3">
      <c r="J12414" s="33"/>
    </row>
    <row r="12415" spans="10:10" ht="15" customHeight="1" x14ac:dyDescent="0.3">
      <c r="J12415" s="33"/>
    </row>
    <row r="12416" spans="10:10" ht="15" customHeight="1" x14ac:dyDescent="0.3">
      <c r="J12416" s="33"/>
    </row>
    <row r="12417" spans="10:10" ht="15" customHeight="1" x14ac:dyDescent="0.3">
      <c r="J12417" s="33"/>
    </row>
    <row r="12418" spans="10:10" ht="15" customHeight="1" x14ac:dyDescent="0.3">
      <c r="J12418" s="33"/>
    </row>
    <row r="12419" spans="10:10" ht="15" customHeight="1" x14ac:dyDescent="0.3">
      <c r="J12419" s="33"/>
    </row>
    <row r="12420" spans="10:10" ht="15" customHeight="1" x14ac:dyDescent="0.3">
      <c r="J12420" s="33"/>
    </row>
    <row r="12421" spans="10:10" ht="15" customHeight="1" x14ac:dyDescent="0.3">
      <c r="J12421" s="33"/>
    </row>
    <row r="12422" spans="10:10" ht="15" customHeight="1" x14ac:dyDescent="0.3">
      <c r="J12422" s="33"/>
    </row>
    <row r="12423" spans="10:10" ht="15" customHeight="1" x14ac:dyDescent="0.3">
      <c r="J12423" s="33"/>
    </row>
    <row r="12424" spans="10:10" ht="15" customHeight="1" x14ac:dyDescent="0.3">
      <c r="J12424" s="33"/>
    </row>
    <row r="12425" spans="10:10" ht="15" customHeight="1" x14ac:dyDescent="0.3">
      <c r="J12425" s="33"/>
    </row>
    <row r="12426" spans="10:10" ht="15" customHeight="1" x14ac:dyDescent="0.3">
      <c r="J12426" s="33"/>
    </row>
    <row r="12427" spans="10:10" ht="15" customHeight="1" x14ac:dyDescent="0.3">
      <c r="J12427" s="33"/>
    </row>
    <row r="12428" spans="10:10" ht="15" customHeight="1" x14ac:dyDescent="0.3">
      <c r="J12428" s="33"/>
    </row>
    <row r="12429" spans="10:10" ht="15" customHeight="1" x14ac:dyDescent="0.3">
      <c r="J12429" s="33"/>
    </row>
    <row r="12430" spans="10:10" ht="15" customHeight="1" x14ac:dyDescent="0.3">
      <c r="J12430" s="33"/>
    </row>
    <row r="12431" spans="10:10" ht="15" customHeight="1" x14ac:dyDescent="0.3">
      <c r="J12431" s="33"/>
    </row>
    <row r="12432" spans="10:10" ht="15" customHeight="1" x14ac:dyDescent="0.3">
      <c r="J12432" s="33"/>
    </row>
    <row r="12433" spans="10:10" ht="15" customHeight="1" x14ac:dyDescent="0.3">
      <c r="J12433" s="33"/>
    </row>
    <row r="12434" spans="10:10" ht="15" customHeight="1" x14ac:dyDescent="0.3">
      <c r="J12434" s="33"/>
    </row>
    <row r="12435" spans="10:10" ht="15" customHeight="1" x14ac:dyDescent="0.3">
      <c r="J12435" s="33"/>
    </row>
    <row r="12436" spans="10:10" ht="15" customHeight="1" x14ac:dyDescent="0.3">
      <c r="J12436" s="33"/>
    </row>
    <row r="12437" spans="10:10" ht="15" customHeight="1" x14ac:dyDescent="0.3">
      <c r="J12437" s="33"/>
    </row>
    <row r="12438" spans="10:10" ht="15" customHeight="1" x14ac:dyDescent="0.3">
      <c r="J12438" s="33"/>
    </row>
    <row r="12439" spans="10:10" ht="15" customHeight="1" x14ac:dyDescent="0.3">
      <c r="J12439" s="33"/>
    </row>
    <row r="12440" spans="10:10" ht="15" customHeight="1" x14ac:dyDescent="0.3">
      <c r="J12440" s="33"/>
    </row>
    <row r="12441" spans="10:10" ht="15" customHeight="1" x14ac:dyDescent="0.3">
      <c r="J12441" s="33"/>
    </row>
    <row r="12442" spans="10:10" ht="15" customHeight="1" x14ac:dyDescent="0.3">
      <c r="J12442" s="33"/>
    </row>
    <row r="12443" spans="10:10" ht="15" customHeight="1" x14ac:dyDescent="0.3">
      <c r="J12443" s="33"/>
    </row>
    <row r="12444" spans="10:10" ht="15" customHeight="1" x14ac:dyDescent="0.3">
      <c r="J12444" s="33"/>
    </row>
    <row r="12445" spans="10:10" ht="15" customHeight="1" x14ac:dyDescent="0.3">
      <c r="J12445" s="33"/>
    </row>
    <row r="12446" spans="10:10" ht="15" customHeight="1" x14ac:dyDescent="0.3">
      <c r="J12446" s="33"/>
    </row>
    <row r="12447" spans="10:10" ht="15" customHeight="1" x14ac:dyDescent="0.3">
      <c r="J12447" s="33"/>
    </row>
    <row r="12448" spans="10:10" ht="15" customHeight="1" x14ac:dyDescent="0.3">
      <c r="J12448" s="33"/>
    </row>
    <row r="12449" spans="10:10" ht="15" customHeight="1" x14ac:dyDescent="0.3">
      <c r="J12449" s="33"/>
    </row>
    <row r="12450" spans="10:10" ht="15" customHeight="1" x14ac:dyDescent="0.3">
      <c r="J12450" s="33"/>
    </row>
    <row r="12451" spans="10:10" ht="15" customHeight="1" x14ac:dyDescent="0.3">
      <c r="J12451" s="33"/>
    </row>
    <row r="12452" spans="10:10" ht="15" customHeight="1" x14ac:dyDescent="0.3">
      <c r="J12452" s="33"/>
    </row>
    <row r="12453" spans="10:10" ht="15" customHeight="1" x14ac:dyDescent="0.3">
      <c r="J12453" s="33"/>
    </row>
    <row r="12454" spans="10:10" ht="15" customHeight="1" x14ac:dyDescent="0.3">
      <c r="J12454" s="33"/>
    </row>
    <row r="12455" spans="10:10" ht="15" customHeight="1" x14ac:dyDescent="0.3">
      <c r="J12455" s="33"/>
    </row>
    <row r="12456" spans="10:10" ht="15" customHeight="1" x14ac:dyDescent="0.3">
      <c r="J12456" s="33"/>
    </row>
    <row r="12457" spans="10:10" ht="15" customHeight="1" x14ac:dyDescent="0.3">
      <c r="J12457" s="33"/>
    </row>
    <row r="12458" spans="10:10" ht="15" customHeight="1" x14ac:dyDescent="0.3">
      <c r="J12458" s="33"/>
    </row>
    <row r="12459" spans="10:10" ht="15" customHeight="1" x14ac:dyDescent="0.3">
      <c r="J12459" s="33"/>
    </row>
    <row r="12460" spans="10:10" ht="15" customHeight="1" x14ac:dyDescent="0.3">
      <c r="J12460" s="33"/>
    </row>
    <row r="12461" spans="10:10" ht="15" customHeight="1" x14ac:dyDescent="0.3">
      <c r="J12461" s="33"/>
    </row>
    <row r="12462" spans="10:10" ht="15" customHeight="1" x14ac:dyDescent="0.3">
      <c r="J12462" s="33"/>
    </row>
    <row r="12463" spans="10:10" ht="15" customHeight="1" x14ac:dyDescent="0.3">
      <c r="J12463" s="33"/>
    </row>
    <row r="12464" spans="10:10" ht="15" customHeight="1" x14ac:dyDescent="0.3">
      <c r="J12464" s="33"/>
    </row>
    <row r="12465" spans="10:10" ht="15" customHeight="1" x14ac:dyDescent="0.3">
      <c r="J12465" s="33"/>
    </row>
    <row r="12466" spans="10:10" ht="15" customHeight="1" x14ac:dyDescent="0.3">
      <c r="J12466" s="33"/>
    </row>
    <row r="12467" spans="10:10" ht="15" customHeight="1" x14ac:dyDescent="0.3">
      <c r="J12467" s="33"/>
    </row>
    <row r="12468" spans="10:10" ht="15" customHeight="1" x14ac:dyDescent="0.3">
      <c r="J12468" s="33"/>
    </row>
    <row r="12469" spans="10:10" ht="15" customHeight="1" x14ac:dyDescent="0.3">
      <c r="J12469" s="33"/>
    </row>
    <row r="12470" spans="10:10" ht="15" customHeight="1" x14ac:dyDescent="0.3">
      <c r="J12470" s="33"/>
    </row>
    <row r="12471" spans="10:10" ht="15" customHeight="1" x14ac:dyDescent="0.3">
      <c r="J12471" s="33"/>
    </row>
    <row r="12472" spans="10:10" ht="15" customHeight="1" x14ac:dyDescent="0.3">
      <c r="J12472" s="33"/>
    </row>
    <row r="12473" spans="10:10" ht="15" customHeight="1" x14ac:dyDescent="0.3">
      <c r="J12473" s="33"/>
    </row>
    <row r="12474" spans="10:10" ht="15" customHeight="1" x14ac:dyDescent="0.3">
      <c r="J12474" s="33"/>
    </row>
    <row r="12475" spans="10:10" ht="15" customHeight="1" x14ac:dyDescent="0.3">
      <c r="J12475" s="33"/>
    </row>
    <row r="12476" spans="10:10" ht="15" customHeight="1" x14ac:dyDescent="0.3">
      <c r="J12476" s="33"/>
    </row>
    <row r="12477" spans="10:10" ht="15" customHeight="1" x14ac:dyDescent="0.3">
      <c r="J12477" s="33"/>
    </row>
    <row r="12478" spans="10:10" ht="15" customHeight="1" x14ac:dyDescent="0.3">
      <c r="J12478" s="33"/>
    </row>
    <row r="12479" spans="10:10" ht="15" customHeight="1" x14ac:dyDescent="0.3">
      <c r="J12479" s="33"/>
    </row>
    <row r="12480" spans="10:10" ht="15" customHeight="1" x14ac:dyDescent="0.3">
      <c r="J12480" s="33"/>
    </row>
    <row r="12481" spans="10:10" ht="15" customHeight="1" x14ac:dyDescent="0.3">
      <c r="J12481" s="33"/>
    </row>
    <row r="12482" spans="10:10" ht="15" customHeight="1" x14ac:dyDescent="0.3">
      <c r="J12482" s="33"/>
    </row>
    <row r="12483" spans="10:10" ht="15" customHeight="1" x14ac:dyDescent="0.3">
      <c r="J12483" s="33"/>
    </row>
    <row r="12484" spans="10:10" ht="15" customHeight="1" x14ac:dyDescent="0.3">
      <c r="J12484" s="33"/>
    </row>
    <row r="12485" spans="10:10" ht="15" customHeight="1" x14ac:dyDescent="0.3">
      <c r="J12485" s="33"/>
    </row>
    <row r="12486" spans="10:10" ht="15" customHeight="1" x14ac:dyDescent="0.3">
      <c r="J12486" s="33"/>
    </row>
    <row r="12487" spans="10:10" ht="15" customHeight="1" x14ac:dyDescent="0.3">
      <c r="J12487" s="33"/>
    </row>
    <row r="12488" spans="10:10" ht="15" customHeight="1" x14ac:dyDescent="0.3">
      <c r="J12488" s="33"/>
    </row>
    <row r="12489" spans="10:10" ht="15" customHeight="1" x14ac:dyDescent="0.3">
      <c r="J12489" s="33"/>
    </row>
    <row r="12490" spans="10:10" ht="15" customHeight="1" x14ac:dyDescent="0.3">
      <c r="J12490" s="33"/>
    </row>
    <row r="12491" spans="10:10" ht="15" customHeight="1" x14ac:dyDescent="0.3">
      <c r="J12491" s="33"/>
    </row>
    <row r="12492" spans="10:10" ht="15" customHeight="1" x14ac:dyDescent="0.3">
      <c r="J12492" s="33"/>
    </row>
    <row r="12493" spans="10:10" ht="15" customHeight="1" x14ac:dyDescent="0.3">
      <c r="J12493" s="33"/>
    </row>
    <row r="12494" spans="10:10" ht="15" customHeight="1" x14ac:dyDescent="0.3">
      <c r="J12494" s="33"/>
    </row>
    <row r="12495" spans="10:10" ht="15" customHeight="1" x14ac:dyDescent="0.3">
      <c r="J12495" s="33"/>
    </row>
    <row r="12496" spans="10:10" ht="15" customHeight="1" x14ac:dyDescent="0.3">
      <c r="J12496" s="33"/>
    </row>
    <row r="12497" spans="10:10" ht="15" customHeight="1" x14ac:dyDescent="0.3">
      <c r="J12497" s="33"/>
    </row>
    <row r="12498" spans="10:10" ht="15" customHeight="1" x14ac:dyDescent="0.3">
      <c r="J12498" s="33"/>
    </row>
    <row r="12499" spans="10:10" ht="15" customHeight="1" x14ac:dyDescent="0.3">
      <c r="J12499" s="33"/>
    </row>
    <row r="12500" spans="10:10" ht="15" customHeight="1" x14ac:dyDescent="0.3">
      <c r="J12500" s="33"/>
    </row>
    <row r="12501" spans="10:10" ht="15" customHeight="1" x14ac:dyDescent="0.3">
      <c r="J12501" s="33"/>
    </row>
    <row r="12502" spans="10:10" ht="15" customHeight="1" x14ac:dyDescent="0.3">
      <c r="J12502" s="33"/>
    </row>
    <row r="12503" spans="10:10" ht="15" customHeight="1" x14ac:dyDescent="0.3">
      <c r="J12503" s="33"/>
    </row>
    <row r="12504" spans="10:10" ht="15" customHeight="1" x14ac:dyDescent="0.3">
      <c r="J12504" s="33"/>
    </row>
    <row r="12505" spans="10:10" ht="15" customHeight="1" x14ac:dyDescent="0.3">
      <c r="J12505" s="33"/>
    </row>
    <row r="12506" spans="10:10" ht="15" customHeight="1" x14ac:dyDescent="0.3">
      <c r="J12506" s="33"/>
    </row>
    <row r="12507" spans="10:10" ht="15" customHeight="1" x14ac:dyDescent="0.3">
      <c r="J12507" s="33"/>
    </row>
    <row r="12508" spans="10:10" ht="15" customHeight="1" x14ac:dyDescent="0.3">
      <c r="J12508" s="33"/>
    </row>
    <row r="12509" spans="10:10" ht="15" customHeight="1" x14ac:dyDescent="0.3">
      <c r="J12509" s="33"/>
    </row>
    <row r="12510" spans="10:10" ht="15" customHeight="1" x14ac:dyDescent="0.3">
      <c r="J12510" s="33"/>
    </row>
    <row r="12511" spans="10:10" ht="15" customHeight="1" x14ac:dyDescent="0.3">
      <c r="J12511" s="33"/>
    </row>
    <row r="12512" spans="10:10" ht="15" customHeight="1" x14ac:dyDescent="0.3">
      <c r="J12512" s="33"/>
    </row>
    <row r="12513" spans="10:10" ht="15" customHeight="1" x14ac:dyDescent="0.3">
      <c r="J12513" s="33"/>
    </row>
    <row r="12514" spans="10:10" ht="15" customHeight="1" x14ac:dyDescent="0.3">
      <c r="J12514" s="33"/>
    </row>
    <row r="12515" spans="10:10" ht="15" customHeight="1" x14ac:dyDescent="0.3">
      <c r="J12515" s="33"/>
    </row>
    <row r="12516" spans="10:10" ht="15" customHeight="1" x14ac:dyDescent="0.3">
      <c r="J12516" s="33"/>
    </row>
    <row r="12517" spans="10:10" ht="15" customHeight="1" x14ac:dyDescent="0.3">
      <c r="J12517" s="33"/>
    </row>
    <row r="12518" spans="10:10" ht="15" customHeight="1" x14ac:dyDescent="0.3">
      <c r="J12518" s="33"/>
    </row>
    <row r="12519" spans="10:10" ht="15" customHeight="1" x14ac:dyDescent="0.3">
      <c r="J12519" s="33"/>
    </row>
    <row r="12520" spans="10:10" ht="15" customHeight="1" x14ac:dyDescent="0.3">
      <c r="J12520" s="33"/>
    </row>
    <row r="12521" spans="10:10" ht="15" customHeight="1" x14ac:dyDescent="0.3">
      <c r="J12521" s="33"/>
    </row>
    <row r="12522" spans="10:10" ht="15" customHeight="1" x14ac:dyDescent="0.3">
      <c r="J12522" s="33"/>
    </row>
    <row r="12523" spans="10:10" ht="15" customHeight="1" x14ac:dyDescent="0.3">
      <c r="J12523" s="33"/>
    </row>
    <row r="12524" spans="10:10" ht="15" customHeight="1" x14ac:dyDescent="0.3">
      <c r="J12524" s="33"/>
    </row>
    <row r="12525" spans="10:10" ht="15" customHeight="1" x14ac:dyDescent="0.3">
      <c r="J12525" s="33"/>
    </row>
    <row r="12526" spans="10:10" ht="15" customHeight="1" x14ac:dyDescent="0.3">
      <c r="J12526" s="33"/>
    </row>
    <row r="12527" spans="10:10" ht="15" customHeight="1" x14ac:dyDescent="0.3">
      <c r="J12527" s="33"/>
    </row>
    <row r="12528" spans="10:10" ht="15" customHeight="1" x14ac:dyDescent="0.3">
      <c r="J12528" s="33"/>
    </row>
    <row r="12529" spans="10:10" ht="15" customHeight="1" x14ac:dyDescent="0.3">
      <c r="J12529" s="33"/>
    </row>
    <row r="12530" spans="10:10" ht="15" customHeight="1" x14ac:dyDescent="0.3">
      <c r="J12530" s="33"/>
    </row>
    <row r="12531" spans="10:10" ht="15" customHeight="1" x14ac:dyDescent="0.3">
      <c r="J12531" s="33"/>
    </row>
    <row r="12532" spans="10:10" ht="15" customHeight="1" x14ac:dyDescent="0.3">
      <c r="J12532" s="33"/>
    </row>
    <row r="12533" spans="10:10" ht="15" customHeight="1" x14ac:dyDescent="0.3">
      <c r="J12533" s="33"/>
    </row>
    <row r="12534" spans="10:10" ht="15" customHeight="1" x14ac:dyDescent="0.3">
      <c r="J12534" s="33"/>
    </row>
    <row r="12535" spans="10:10" ht="15" customHeight="1" x14ac:dyDescent="0.3">
      <c r="J12535" s="33"/>
    </row>
    <row r="12536" spans="10:10" ht="15" customHeight="1" x14ac:dyDescent="0.3">
      <c r="J12536" s="33"/>
    </row>
    <row r="12537" spans="10:10" ht="15" customHeight="1" x14ac:dyDescent="0.3">
      <c r="J12537" s="33"/>
    </row>
    <row r="12538" spans="10:10" ht="15" customHeight="1" x14ac:dyDescent="0.3">
      <c r="J12538" s="33"/>
    </row>
    <row r="12539" spans="10:10" ht="15" customHeight="1" x14ac:dyDescent="0.3">
      <c r="J12539" s="33"/>
    </row>
    <row r="12540" spans="10:10" ht="15" customHeight="1" x14ac:dyDescent="0.3">
      <c r="J12540" s="33"/>
    </row>
    <row r="12541" spans="10:10" ht="15" customHeight="1" x14ac:dyDescent="0.3">
      <c r="J12541" s="33"/>
    </row>
    <row r="12542" spans="10:10" ht="15" customHeight="1" x14ac:dyDescent="0.3">
      <c r="J12542" s="33"/>
    </row>
    <row r="12543" spans="10:10" ht="15" customHeight="1" x14ac:dyDescent="0.3">
      <c r="J12543" s="33"/>
    </row>
    <row r="12544" spans="10:10" ht="15" customHeight="1" x14ac:dyDescent="0.3">
      <c r="J12544" s="33"/>
    </row>
    <row r="12545" spans="10:10" ht="15" customHeight="1" x14ac:dyDescent="0.3">
      <c r="J12545" s="33"/>
    </row>
    <row r="12546" spans="10:10" ht="15" customHeight="1" x14ac:dyDescent="0.3">
      <c r="J12546" s="33"/>
    </row>
    <row r="12547" spans="10:10" ht="15" customHeight="1" x14ac:dyDescent="0.3">
      <c r="J12547" s="33"/>
    </row>
    <row r="12548" spans="10:10" ht="15" customHeight="1" x14ac:dyDescent="0.3">
      <c r="J12548" s="33"/>
    </row>
    <row r="12549" spans="10:10" ht="15" customHeight="1" x14ac:dyDescent="0.3">
      <c r="J12549" s="33"/>
    </row>
    <row r="12550" spans="10:10" ht="15" customHeight="1" x14ac:dyDescent="0.3">
      <c r="J12550" s="33"/>
    </row>
    <row r="12551" spans="10:10" ht="15" customHeight="1" x14ac:dyDescent="0.3">
      <c r="J12551" s="33"/>
    </row>
    <row r="12552" spans="10:10" ht="15" customHeight="1" x14ac:dyDescent="0.3">
      <c r="J12552" s="33"/>
    </row>
    <row r="12553" spans="10:10" ht="15" customHeight="1" x14ac:dyDescent="0.3">
      <c r="J12553" s="33"/>
    </row>
    <row r="12554" spans="10:10" ht="15" customHeight="1" x14ac:dyDescent="0.3">
      <c r="J12554" s="33"/>
    </row>
    <row r="12555" spans="10:10" ht="15" customHeight="1" x14ac:dyDescent="0.3">
      <c r="J12555" s="33"/>
    </row>
    <row r="12556" spans="10:10" ht="15" customHeight="1" x14ac:dyDescent="0.3">
      <c r="J12556" s="33"/>
    </row>
    <row r="12557" spans="10:10" ht="15" customHeight="1" x14ac:dyDescent="0.3">
      <c r="J12557" s="33"/>
    </row>
    <row r="12558" spans="10:10" ht="15" customHeight="1" x14ac:dyDescent="0.3">
      <c r="J12558" s="33"/>
    </row>
    <row r="12559" spans="10:10" ht="15" customHeight="1" x14ac:dyDescent="0.3">
      <c r="J12559" s="33"/>
    </row>
    <row r="12560" spans="10:10" ht="15" customHeight="1" x14ac:dyDescent="0.3">
      <c r="J12560" s="33"/>
    </row>
    <row r="12561" spans="10:10" ht="15" customHeight="1" x14ac:dyDescent="0.3">
      <c r="J12561" s="33"/>
    </row>
    <row r="12562" spans="10:10" ht="15" customHeight="1" x14ac:dyDescent="0.3">
      <c r="J12562" s="33"/>
    </row>
    <row r="12563" spans="10:10" ht="15" customHeight="1" x14ac:dyDescent="0.3">
      <c r="J12563" s="33"/>
    </row>
    <row r="12564" spans="10:10" ht="15" customHeight="1" x14ac:dyDescent="0.3">
      <c r="J12564" s="33"/>
    </row>
    <row r="12565" spans="10:10" ht="15" customHeight="1" x14ac:dyDescent="0.3">
      <c r="J12565" s="33"/>
    </row>
    <row r="12566" spans="10:10" ht="15" customHeight="1" x14ac:dyDescent="0.3">
      <c r="J12566" s="33"/>
    </row>
    <row r="12567" spans="10:10" ht="15" customHeight="1" x14ac:dyDescent="0.3">
      <c r="J12567" s="33"/>
    </row>
    <row r="12568" spans="10:10" ht="15" customHeight="1" x14ac:dyDescent="0.3">
      <c r="J12568" s="33"/>
    </row>
    <row r="12569" spans="10:10" ht="15" customHeight="1" x14ac:dyDescent="0.3">
      <c r="J12569" s="33"/>
    </row>
    <row r="12570" spans="10:10" ht="15" customHeight="1" x14ac:dyDescent="0.3">
      <c r="J12570" s="33"/>
    </row>
    <row r="12571" spans="10:10" ht="15" customHeight="1" x14ac:dyDescent="0.3">
      <c r="J12571" s="33"/>
    </row>
    <row r="12572" spans="10:10" ht="15" customHeight="1" x14ac:dyDescent="0.3">
      <c r="J12572" s="33"/>
    </row>
    <row r="12573" spans="10:10" ht="15" customHeight="1" x14ac:dyDescent="0.3">
      <c r="J12573" s="33"/>
    </row>
    <row r="12574" spans="10:10" ht="15" customHeight="1" x14ac:dyDescent="0.3">
      <c r="J12574" s="33"/>
    </row>
    <row r="12575" spans="10:10" ht="15" customHeight="1" x14ac:dyDescent="0.3">
      <c r="J12575" s="33"/>
    </row>
    <row r="12576" spans="10:10" ht="15" customHeight="1" x14ac:dyDescent="0.3">
      <c r="J12576" s="33"/>
    </row>
    <row r="12577" spans="10:10" ht="15" customHeight="1" x14ac:dyDescent="0.3">
      <c r="J12577" s="33"/>
    </row>
    <row r="12578" spans="10:10" ht="15" customHeight="1" x14ac:dyDescent="0.3">
      <c r="J12578" s="33"/>
    </row>
    <row r="12579" spans="10:10" ht="15" customHeight="1" x14ac:dyDescent="0.3">
      <c r="J12579" s="33"/>
    </row>
    <row r="12580" spans="10:10" ht="15" customHeight="1" x14ac:dyDescent="0.3">
      <c r="J12580" s="33"/>
    </row>
    <row r="12581" spans="10:10" ht="15" customHeight="1" x14ac:dyDescent="0.3">
      <c r="J12581" s="33"/>
    </row>
    <row r="12582" spans="10:10" ht="15" customHeight="1" x14ac:dyDescent="0.3">
      <c r="J12582" s="33"/>
    </row>
    <row r="12583" spans="10:10" ht="15" customHeight="1" x14ac:dyDescent="0.3">
      <c r="J12583" s="33"/>
    </row>
    <row r="12584" spans="10:10" ht="15" customHeight="1" x14ac:dyDescent="0.3">
      <c r="J12584" s="33"/>
    </row>
    <row r="12585" spans="10:10" ht="15" customHeight="1" x14ac:dyDescent="0.3">
      <c r="J12585" s="33"/>
    </row>
    <row r="12586" spans="10:10" ht="15" customHeight="1" x14ac:dyDescent="0.3">
      <c r="J12586" s="33"/>
    </row>
    <row r="12587" spans="10:10" ht="15" customHeight="1" x14ac:dyDescent="0.3">
      <c r="J12587" s="33"/>
    </row>
    <row r="12588" spans="10:10" ht="15" customHeight="1" x14ac:dyDescent="0.3">
      <c r="J12588" s="33"/>
    </row>
    <row r="12589" spans="10:10" ht="15" customHeight="1" x14ac:dyDescent="0.3">
      <c r="J12589" s="33"/>
    </row>
    <row r="12590" spans="10:10" ht="15" customHeight="1" x14ac:dyDescent="0.3">
      <c r="J12590" s="33"/>
    </row>
    <row r="12591" spans="10:10" ht="15" customHeight="1" x14ac:dyDescent="0.3">
      <c r="J12591" s="33"/>
    </row>
    <row r="12592" spans="10:10" ht="15" customHeight="1" x14ac:dyDescent="0.3">
      <c r="J12592" s="33"/>
    </row>
    <row r="12593" spans="10:10" ht="15" customHeight="1" x14ac:dyDescent="0.3">
      <c r="J12593" s="33"/>
    </row>
    <row r="12594" spans="10:10" ht="15" customHeight="1" x14ac:dyDescent="0.3">
      <c r="J12594" s="33"/>
    </row>
    <row r="12595" spans="10:10" ht="15" customHeight="1" x14ac:dyDescent="0.3">
      <c r="J12595" s="33"/>
    </row>
    <row r="12596" spans="10:10" ht="15" customHeight="1" x14ac:dyDescent="0.3">
      <c r="J12596" s="33"/>
    </row>
    <row r="12597" spans="10:10" ht="15" customHeight="1" x14ac:dyDescent="0.3">
      <c r="J12597" s="33"/>
    </row>
    <row r="12598" spans="10:10" ht="15" customHeight="1" x14ac:dyDescent="0.3">
      <c r="J12598" s="33"/>
    </row>
    <row r="12599" spans="10:10" ht="15" customHeight="1" x14ac:dyDescent="0.3">
      <c r="J12599" s="33"/>
    </row>
    <row r="12600" spans="10:10" ht="15" customHeight="1" x14ac:dyDescent="0.3">
      <c r="J12600" s="33"/>
    </row>
    <row r="12601" spans="10:10" ht="15" customHeight="1" x14ac:dyDescent="0.3">
      <c r="J12601" s="33"/>
    </row>
    <row r="12602" spans="10:10" ht="15" customHeight="1" x14ac:dyDescent="0.3">
      <c r="J12602" s="33"/>
    </row>
    <row r="12603" spans="10:10" ht="15" customHeight="1" x14ac:dyDescent="0.3">
      <c r="J12603" s="33"/>
    </row>
    <row r="12604" spans="10:10" ht="15" customHeight="1" x14ac:dyDescent="0.3">
      <c r="J12604" s="33"/>
    </row>
    <row r="12605" spans="10:10" ht="15" customHeight="1" x14ac:dyDescent="0.3">
      <c r="J12605" s="33"/>
    </row>
    <row r="12606" spans="10:10" ht="15" customHeight="1" x14ac:dyDescent="0.3">
      <c r="J12606" s="33"/>
    </row>
    <row r="12607" spans="10:10" ht="15" customHeight="1" x14ac:dyDescent="0.3">
      <c r="J12607" s="33"/>
    </row>
    <row r="12608" spans="10:10" ht="15" customHeight="1" x14ac:dyDescent="0.3">
      <c r="J12608" s="33"/>
    </row>
    <row r="12609" spans="10:10" ht="15" customHeight="1" x14ac:dyDescent="0.3">
      <c r="J12609" s="33"/>
    </row>
    <row r="12610" spans="10:10" ht="15" customHeight="1" x14ac:dyDescent="0.3">
      <c r="J12610" s="33"/>
    </row>
    <row r="12611" spans="10:10" ht="15" customHeight="1" x14ac:dyDescent="0.3">
      <c r="J12611" s="33"/>
    </row>
    <row r="12612" spans="10:10" ht="15" customHeight="1" x14ac:dyDescent="0.3">
      <c r="J12612" s="33"/>
    </row>
    <row r="12613" spans="10:10" ht="15" customHeight="1" x14ac:dyDescent="0.3">
      <c r="J12613" s="33"/>
    </row>
    <row r="12614" spans="10:10" ht="15" customHeight="1" x14ac:dyDescent="0.3">
      <c r="J12614" s="33"/>
    </row>
    <row r="12615" spans="10:10" ht="15" customHeight="1" x14ac:dyDescent="0.3">
      <c r="J12615" s="33"/>
    </row>
    <row r="12616" spans="10:10" ht="15" customHeight="1" x14ac:dyDescent="0.3">
      <c r="J12616" s="33"/>
    </row>
    <row r="12617" spans="10:10" ht="15" customHeight="1" x14ac:dyDescent="0.3">
      <c r="J12617" s="33"/>
    </row>
    <row r="12618" spans="10:10" ht="15" customHeight="1" x14ac:dyDescent="0.3">
      <c r="J12618" s="33"/>
    </row>
    <row r="12619" spans="10:10" ht="15" customHeight="1" x14ac:dyDescent="0.3">
      <c r="J12619" s="33"/>
    </row>
    <row r="12620" spans="10:10" ht="15" customHeight="1" x14ac:dyDescent="0.3">
      <c r="J12620" s="33"/>
    </row>
    <row r="12621" spans="10:10" ht="15" customHeight="1" x14ac:dyDescent="0.3">
      <c r="J12621" s="33"/>
    </row>
    <row r="12622" spans="10:10" ht="15" customHeight="1" x14ac:dyDescent="0.3">
      <c r="J12622" s="33"/>
    </row>
    <row r="12623" spans="10:10" ht="15" customHeight="1" x14ac:dyDescent="0.3">
      <c r="J12623" s="33"/>
    </row>
    <row r="12624" spans="10:10" ht="15" customHeight="1" x14ac:dyDescent="0.3">
      <c r="J12624" s="33"/>
    </row>
    <row r="12625" spans="10:10" ht="15" customHeight="1" x14ac:dyDescent="0.3">
      <c r="J12625" s="33"/>
    </row>
    <row r="12626" spans="10:10" ht="15" customHeight="1" x14ac:dyDescent="0.3">
      <c r="J12626" s="33"/>
    </row>
    <row r="12627" spans="10:10" ht="15" customHeight="1" x14ac:dyDescent="0.3">
      <c r="J12627" s="33"/>
    </row>
    <row r="12628" spans="10:10" ht="15" customHeight="1" x14ac:dyDescent="0.3">
      <c r="J12628" s="33"/>
    </row>
    <row r="12629" spans="10:10" ht="15" customHeight="1" x14ac:dyDescent="0.3">
      <c r="J12629" s="33"/>
    </row>
    <row r="12630" spans="10:10" ht="15" customHeight="1" x14ac:dyDescent="0.3">
      <c r="J12630" s="33"/>
    </row>
    <row r="12631" spans="10:10" ht="15" customHeight="1" x14ac:dyDescent="0.3">
      <c r="J12631" s="33"/>
    </row>
    <row r="12632" spans="10:10" ht="15" customHeight="1" x14ac:dyDescent="0.3">
      <c r="J12632" s="33"/>
    </row>
    <row r="12633" spans="10:10" ht="15" customHeight="1" x14ac:dyDescent="0.3">
      <c r="J12633" s="33"/>
    </row>
    <row r="12634" spans="10:10" ht="15" customHeight="1" x14ac:dyDescent="0.3">
      <c r="J12634" s="33"/>
    </row>
    <row r="12635" spans="10:10" ht="15" customHeight="1" x14ac:dyDescent="0.3">
      <c r="J12635" s="33"/>
    </row>
    <row r="12636" spans="10:10" ht="15" customHeight="1" x14ac:dyDescent="0.3">
      <c r="J12636" s="33"/>
    </row>
    <row r="12637" spans="10:10" ht="15" customHeight="1" x14ac:dyDescent="0.3">
      <c r="J12637" s="33"/>
    </row>
    <row r="12638" spans="10:10" ht="15" customHeight="1" x14ac:dyDescent="0.3">
      <c r="J12638" s="33"/>
    </row>
    <row r="12639" spans="10:10" ht="15" customHeight="1" x14ac:dyDescent="0.3">
      <c r="J12639" s="33"/>
    </row>
    <row r="12640" spans="10:10" ht="15" customHeight="1" x14ac:dyDescent="0.3">
      <c r="J12640" s="33"/>
    </row>
    <row r="12641" spans="10:10" ht="15" customHeight="1" x14ac:dyDescent="0.3">
      <c r="J12641" s="33"/>
    </row>
    <row r="12642" spans="10:10" ht="15" customHeight="1" x14ac:dyDescent="0.3">
      <c r="J12642" s="33"/>
    </row>
    <row r="12643" spans="10:10" ht="15" customHeight="1" x14ac:dyDescent="0.3">
      <c r="J12643" s="33"/>
    </row>
    <row r="12644" spans="10:10" ht="15" customHeight="1" x14ac:dyDescent="0.3">
      <c r="J12644" s="33"/>
    </row>
    <row r="12645" spans="10:10" ht="15" customHeight="1" x14ac:dyDescent="0.3">
      <c r="J12645" s="33"/>
    </row>
    <row r="12646" spans="10:10" ht="15" customHeight="1" x14ac:dyDescent="0.3">
      <c r="J12646" s="33"/>
    </row>
    <row r="12647" spans="10:10" ht="15" customHeight="1" x14ac:dyDescent="0.3">
      <c r="J12647" s="33"/>
    </row>
    <row r="12648" spans="10:10" ht="15" customHeight="1" x14ac:dyDescent="0.3">
      <c r="J12648" s="33"/>
    </row>
    <row r="12649" spans="10:10" ht="15" customHeight="1" x14ac:dyDescent="0.3">
      <c r="J12649" s="33"/>
    </row>
    <row r="12650" spans="10:10" ht="15" customHeight="1" x14ac:dyDescent="0.3">
      <c r="J12650" s="33"/>
    </row>
    <row r="12651" spans="10:10" ht="15" customHeight="1" x14ac:dyDescent="0.3">
      <c r="J12651" s="33"/>
    </row>
    <row r="12652" spans="10:10" ht="15" customHeight="1" x14ac:dyDescent="0.3">
      <c r="J12652" s="33"/>
    </row>
    <row r="12653" spans="10:10" ht="15" customHeight="1" x14ac:dyDescent="0.3">
      <c r="J12653" s="33"/>
    </row>
    <row r="12654" spans="10:10" ht="15" customHeight="1" x14ac:dyDescent="0.3">
      <c r="J12654" s="33"/>
    </row>
    <row r="12655" spans="10:10" ht="15" customHeight="1" x14ac:dyDescent="0.3">
      <c r="J12655" s="33"/>
    </row>
    <row r="12656" spans="10:10" ht="15" customHeight="1" x14ac:dyDescent="0.3">
      <c r="J12656" s="33"/>
    </row>
    <row r="12657" spans="10:10" ht="15" customHeight="1" x14ac:dyDescent="0.3">
      <c r="J12657" s="33"/>
    </row>
    <row r="12658" spans="10:10" ht="15" customHeight="1" x14ac:dyDescent="0.3">
      <c r="J12658" s="33"/>
    </row>
    <row r="12659" spans="10:10" ht="15" customHeight="1" x14ac:dyDescent="0.3">
      <c r="J12659" s="33"/>
    </row>
    <row r="12660" spans="10:10" ht="15" customHeight="1" x14ac:dyDescent="0.3">
      <c r="J12660" s="33"/>
    </row>
    <row r="12661" spans="10:10" ht="15" customHeight="1" x14ac:dyDescent="0.3">
      <c r="J12661" s="33"/>
    </row>
    <row r="12662" spans="10:10" ht="15" customHeight="1" x14ac:dyDescent="0.3">
      <c r="J12662" s="33"/>
    </row>
    <row r="12663" spans="10:10" ht="15" customHeight="1" x14ac:dyDescent="0.3">
      <c r="J12663" s="33"/>
    </row>
    <row r="12664" spans="10:10" ht="15" customHeight="1" x14ac:dyDescent="0.3">
      <c r="J12664" s="33"/>
    </row>
    <row r="12665" spans="10:10" ht="15" customHeight="1" x14ac:dyDescent="0.3">
      <c r="J12665" s="33"/>
    </row>
    <row r="12666" spans="10:10" ht="15" customHeight="1" x14ac:dyDescent="0.3">
      <c r="J12666" s="33"/>
    </row>
    <row r="12667" spans="10:10" ht="15" customHeight="1" x14ac:dyDescent="0.3">
      <c r="J12667" s="33"/>
    </row>
    <row r="12668" spans="10:10" ht="15" customHeight="1" x14ac:dyDescent="0.3">
      <c r="J12668" s="33"/>
    </row>
    <row r="12669" spans="10:10" ht="15" customHeight="1" x14ac:dyDescent="0.3">
      <c r="J12669" s="33"/>
    </row>
    <row r="12670" spans="10:10" ht="15" customHeight="1" x14ac:dyDescent="0.3">
      <c r="J12670" s="33"/>
    </row>
    <row r="12671" spans="10:10" ht="15" customHeight="1" x14ac:dyDescent="0.3">
      <c r="J12671" s="33"/>
    </row>
    <row r="12672" spans="10:10" ht="15" customHeight="1" x14ac:dyDescent="0.3">
      <c r="J12672" s="33"/>
    </row>
    <row r="12673" spans="10:10" ht="15" customHeight="1" x14ac:dyDescent="0.3">
      <c r="J12673" s="33"/>
    </row>
    <row r="12674" spans="10:10" ht="15" customHeight="1" x14ac:dyDescent="0.3">
      <c r="J12674" s="33"/>
    </row>
    <row r="12675" spans="10:10" ht="15" customHeight="1" x14ac:dyDescent="0.3">
      <c r="J12675" s="33"/>
    </row>
    <row r="12676" spans="10:10" ht="15" customHeight="1" x14ac:dyDescent="0.3">
      <c r="J12676" s="33"/>
    </row>
    <row r="12677" spans="10:10" ht="15" customHeight="1" x14ac:dyDescent="0.3">
      <c r="J12677" s="33"/>
    </row>
    <row r="12678" spans="10:10" ht="15" customHeight="1" x14ac:dyDescent="0.3">
      <c r="J12678" s="33"/>
    </row>
    <row r="12679" spans="10:10" ht="15" customHeight="1" x14ac:dyDescent="0.3">
      <c r="J12679" s="33"/>
    </row>
    <row r="12680" spans="10:10" ht="15" customHeight="1" x14ac:dyDescent="0.3">
      <c r="J12680" s="33"/>
    </row>
    <row r="12681" spans="10:10" ht="15" customHeight="1" x14ac:dyDescent="0.3">
      <c r="J12681" s="33"/>
    </row>
    <row r="12682" spans="10:10" ht="15" customHeight="1" x14ac:dyDescent="0.3">
      <c r="J12682" s="33"/>
    </row>
    <row r="12683" spans="10:10" ht="15" customHeight="1" x14ac:dyDescent="0.3">
      <c r="J12683" s="33"/>
    </row>
    <row r="12684" spans="10:10" ht="15" customHeight="1" x14ac:dyDescent="0.3">
      <c r="J12684" s="33"/>
    </row>
    <row r="12685" spans="10:10" ht="15" customHeight="1" x14ac:dyDescent="0.3">
      <c r="J12685" s="33"/>
    </row>
    <row r="12686" spans="10:10" ht="15" customHeight="1" x14ac:dyDescent="0.3">
      <c r="J12686" s="33"/>
    </row>
    <row r="12687" spans="10:10" ht="15" customHeight="1" x14ac:dyDescent="0.3">
      <c r="J12687" s="33"/>
    </row>
    <row r="12688" spans="10:10" ht="15" customHeight="1" x14ac:dyDescent="0.3">
      <c r="J12688" s="33"/>
    </row>
    <row r="12689" spans="10:10" ht="15" customHeight="1" x14ac:dyDescent="0.3">
      <c r="J12689" s="33"/>
    </row>
    <row r="12690" spans="10:10" ht="15" customHeight="1" x14ac:dyDescent="0.3">
      <c r="J12690" s="33"/>
    </row>
    <row r="12691" spans="10:10" ht="15" customHeight="1" x14ac:dyDescent="0.3">
      <c r="J12691" s="33"/>
    </row>
    <row r="12692" spans="10:10" ht="15" customHeight="1" x14ac:dyDescent="0.3">
      <c r="J12692" s="33"/>
    </row>
    <row r="12693" spans="10:10" ht="15" customHeight="1" x14ac:dyDescent="0.3">
      <c r="J12693" s="33"/>
    </row>
    <row r="12694" spans="10:10" ht="15" customHeight="1" x14ac:dyDescent="0.3">
      <c r="J12694" s="33"/>
    </row>
    <row r="12695" spans="10:10" ht="15" customHeight="1" x14ac:dyDescent="0.3">
      <c r="J12695" s="33"/>
    </row>
    <row r="12696" spans="10:10" ht="15" customHeight="1" x14ac:dyDescent="0.3">
      <c r="J12696" s="33"/>
    </row>
    <row r="12697" spans="10:10" ht="15" customHeight="1" x14ac:dyDescent="0.3">
      <c r="J12697" s="33"/>
    </row>
    <row r="12698" spans="10:10" ht="15" customHeight="1" x14ac:dyDescent="0.3">
      <c r="J12698" s="33"/>
    </row>
    <row r="12699" spans="10:10" ht="15" customHeight="1" x14ac:dyDescent="0.3">
      <c r="J12699" s="33"/>
    </row>
    <row r="12700" spans="10:10" ht="15" customHeight="1" x14ac:dyDescent="0.3">
      <c r="J12700" s="33"/>
    </row>
    <row r="12701" spans="10:10" ht="15" customHeight="1" x14ac:dyDescent="0.3">
      <c r="J12701" s="33"/>
    </row>
    <row r="12702" spans="10:10" ht="15" customHeight="1" x14ac:dyDescent="0.3">
      <c r="J12702" s="33"/>
    </row>
    <row r="12703" spans="10:10" ht="15" customHeight="1" x14ac:dyDescent="0.3">
      <c r="J12703" s="33"/>
    </row>
    <row r="12704" spans="10:10" ht="15" customHeight="1" x14ac:dyDescent="0.3">
      <c r="J12704" s="33"/>
    </row>
    <row r="12705" spans="10:10" ht="15" customHeight="1" x14ac:dyDescent="0.3">
      <c r="J12705" s="33"/>
    </row>
    <row r="12706" spans="10:10" ht="15" customHeight="1" x14ac:dyDescent="0.3">
      <c r="J12706" s="33"/>
    </row>
    <row r="12707" spans="10:10" ht="15" customHeight="1" x14ac:dyDescent="0.3">
      <c r="J12707" s="33"/>
    </row>
    <row r="12708" spans="10:10" ht="15" customHeight="1" x14ac:dyDescent="0.3">
      <c r="J12708" s="33"/>
    </row>
    <row r="12709" spans="10:10" ht="15" customHeight="1" x14ac:dyDescent="0.3">
      <c r="J12709" s="33"/>
    </row>
    <row r="12710" spans="10:10" ht="15" customHeight="1" x14ac:dyDescent="0.3">
      <c r="J12710" s="33"/>
    </row>
    <row r="12711" spans="10:10" ht="15" customHeight="1" x14ac:dyDescent="0.3">
      <c r="J12711" s="33"/>
    </row>
    <row r="12712" spans="10:10" ht="15" customHeight="1" x14ac:dyDescent="0.3">
      <c r="J12712" s="33"/>
    </row>
    <row r="12713" spans="10:10" ht="15" customHeight="1" x14ac:dyDescent="0.3">
      <c r="J12713" s="33"/>
    </row>
    <row r="12714" spans="10:10" ht="15" customHeight="1" x14ac:dyDescent="0.3">
      <c r="J12714" s="33"/>
    </row>
    <row r="12715" spans="10:10" ht="15" customHeight="1" x14ac:dyDescent="0.3">
      <c r="J12715" s="33"/>
    </row>
    <row r="12716" spans="10:10" ht="15" customHeight="1" x14ac:dyDescent="0.3">
      <c r="J12716" s="33"/>
    </row>
    <row r="12717" spans="10:10" ht="15" customHeight="1" x14ac:dyDescent="0.3">
      <c r="J12717" s="33"/>
    </row>
    <row r="12718" spans="10:10" ht="15" customHeight="1" x14ac:dyDescent="0.3">
      <c r="J12718" s="33"/>
    </row>
    <row r="12719" spans="10:10" ht="15" customHeight="1" x14ac:dyDescent="0.3">
      <c r="J12719" s="33"/>
    </row>
    <row r="12720" spans="10:10" ht="15" customHeight="1" x14ac:dyDescent="0.3">
      <c r="J12720" s="33"/>
    </row>
    <row r="12721" spans="10:10" ht="15" customHeight="1" x14ac:dyDescent="0.3">
      <c r="J12721" s="33"/>
    </row>
    <row r="12722" spans="10:10" ht="15" customHeight="1" x14ac:dyDescent="0.3">
      <c r="J12722" s="33"/>
    </row>
    <row r="12723" spans="10:10" ht="15" customHeight="1" x14ac:dyDescent="0.3">
      <c r="J12723" s="33"/>
    </row>
    <row r="12724" spans="10:10" ht="15" customHeight="1" x14ac:dyDescent="0.3">
      <c r="J12724" s="33"/>
    </row>
    <row r="12725" spans="10:10" ht="15" customHeight="1" x14ac:dyDescent="0.3">
      <c r="J12725" s="33"/>
    </row>
    <row r="12726" spans="10:10" ht="15" customHeight="1" x14ac:dyDescent="0.3">
      <c r="J12726" s="33"/>
    </row>
    <row r="12727" spans="10:10" ht="15" customHeight="1" x14ac:dyDescent="0.3">
      <c r="J12727" s="33"/>
    </row>
    <row r="12728" spans="10:10" ht="15" customHeight="1" x14ac:dyDescent="0.3">
      <c r="J12728" s="33"/>
    </row>
    <row r="12729" spans="10:10" ht="15" customHeight="1" x14ac:dyDescent="0.3">
      <c r="J12729" s="33"/>
    </row>
    <row r="12730" spans="10:10" ht="15" customHeight="1" x14ac:dyDescent="0.3">
      <c r="J12730" s="33"/>
    </row>
    <row r="12731" spans="10:10" ht="15" customHeight="1" x14ac:dyDescent="0.3">
      <c r="J12731" s="33"/>
    </row>
    <row r="12732" spans="10:10" ht="15" customHeight="1" x14ac:dyDescent="0.3">
      <c r="J12732" s="33"/>
    </row>
    <row r="12733" spans="10:10" ht="15" customHeight="1" x14ac:dyDescent="0.3">
      <c r="J12733" s="33"/>
    </row>
    <row r="12734" spans="10:10" ht="15" customHeight="1" x14ac:dyDescent="0.3">
      <c r="J12734" s="33"/>
    </row>
    <row r="12735" spans="10:10" ht="15" customHeight="1" x14ac:dyDescent="0.3">
      <c r="J12735" s="33"/>
    </row>
    <row r="12736" spans="10:10" ht="15" customHeight="1" x14ac:dyDescent="0.3">
      <c r="J12736" s="33"/>
    </row>
    <row r="12737" spans="10:10" ht="15" customHeight="1" x14ac:dyDescent="0.3">
      <c r="J12737" s="33"/>
    </row>
    <row r="12738" spans="10:10" ht="15" customHeight="1" x14ac:dyDescent="0.3">
      <c r="J12738" s="33"/>
    </row>
    <row r="12739" spans="10:10" ht="15" customHeight="1" x14ac:dyDescent="0.3">
      <c r="J12739" s="33"/>
    </row>
    <row r="12740" spans="10:10" ht="15" customHeight="1" x14ac:dyDescent="0.3">
      <c r="J12740" s="33"/>
    </row>
    <row r="12741" spans="10:10" ht="15" customHeight="1" x14ac:dyDescent="0.3">
      <c r="J12741" s="33"/>
    </row>
    <row r="12742" spans="10:10" ht="15" customHeight="1" x14ac:dyDescent="0.3">
      <c r="J12742" s="33"/>
    </row>
    <row r="12743" spans="10:10" ht="15" customHeight="1" x14ac:dyDescent="0.3">
      <c r="J12743" s="33"/>
    </row>
    <row r="12744" spans="10:10" ht="15" customHeight="1" x14ac:dyDescent="0.3">
      <c r="J12744" s="33"/>
    </row>
    <row r="12745" spans="10:10" ht="15" customHeight="1" x14ac:dyDescent="0.3">
      <c r="J12745" s="33"/>
    </row>
    <row r="12746" spans="10:10" ht="15" customHeight="1" x14ac:dyDescent="0.3">
      <c r="J12746" s="33"/>
    </row>
    <row r="12747" spans="10:10" ht="15" customHeight="1" x14ac:dyDescent="0.3">
      <c r="J12747" s="33"/>
    </row>
    <row r="12748" spans="10:10" ht="15" customHeight="1" x14ac:dyDescent="0.3">
      <c r="J12748" s="33"/>
    </row>
    <row r="12749" spans="10:10" ht="15" customHeight="1" x14ac:dyDescent="0.3">
      <c r="J12749" s="33"/>
    </row>
    <row r="12750" spans="10:10" ht="15" customHeight="1" x14ac:dyDescent="0.3">
      <c r="J12750" s="33"/>
    </row>
    <row r="12751" spans="10:10" ht="15" customHeight="1" x14ac:dyDescent="0.3">
      <c r="J12751" s="33"/>
    </row>
    <row r="12752" spans="10:10" ht="15" customHeight="1" x14ac:dyDescent="0.3">
      <c r="J12752" s="33"/>
    </row>
    <row r="12753" spans="10:10" ht="15" customHeight="1" x14ac:dyDescent="0.3">
      <c r="J12753" s="33"/>
    </row>
    <row r="12754" spans="10:10" ht="15" customHeight="1" x14ac:dyDescent="0.3">
      <c r="J12754" s="33"/>
    </row>
    <row r="12755" spans="10:10" ht="15" customHeight="1" x14ac:dyDescent="0.3">
      <c r="J12755" s="33"/>
    </row>
    <row r="12756" spans="10:10" ht="15" customHeight="1" x14ac:dyDescent="0.3">
      <c r="J12756" s="33"/>
    </row>
    <row r="12757" spans="10:10" ht="15" customHeight="1" x14ac:dyDescent="0.3">
      <c r="J12757" s="33"/>
    </row>
    <row r="12758" spans="10:10" ht="15" customHeight="1" x14ac:dyDescent="0.3">
      <c r="J12758" s="33"/>
    </row>
    <row r="12759" spans="10:10" ht="15" customHeight="1" x14ac:dyDescent="0.3">
      <c r="J12759" s="33"/>
    </row>
    <row r="12760" spans="10:10" ht="15" customHeight="1" x14ac:dyDescent="0.3">
      <c r="J12760" s="33"/>
    </row>
    <row r="12761" spans="10:10" ht="15" customHeight="1" x14ac:dyDescent="0.3">
      <c r="J12761" s="33"/>
    </row>
    <row r="12762" spans="10:10" ht="15" customHeight="1" x14ac:dyDescent="0.3">
      <c r="J12762" s="33"/>
    </row>
    <row r="12763" spans="10:10" ht="15" customHeight="1" x14ac:dyDescent="0.3">
      <c r="J12763" s="33"/>
    </row>
    <row r="12764" spans="10:10" ht="15" customHeight="1" x14ac:dyDescent="0.3">
      <c r="J12764" s="33"/>
    </row>
    <row r="12765" spans="10:10" ht="15" customHeight="1" x14ac:dyDescent="0.3">
      <c r="J12765" s="33"/>
    </row>
    <row r="12766" spans="10:10" ht="15" customHeight="1" x14ac:dyDescent="0.3">
      <c r="J12766" s="33"/>
    </row>
    <row r="12767" spans="10:10" ht="15" customHeight="1" x14ac:dyDescent="0.3">
      <c r="J12767" s="33"/>
    </row>
    <row r="12768" spans="10:10" ht="15" customHeight="1" x14ac:dyDescent="0.3">
      <c r="J12768" s="33"/>
    </row>
    <row r="12769" spans="10:10" ht="15" customHeight="1" x14ac:dyDescent="0.3">
      <c r="J12769" s="33"/>
    </row>
    <row r="12770" spans="10:10" ht="15" customHeight="1" x14ac:dyDescent="0.3">
      <c r="J12770" s="33"/>
    </row>
    <row r="12771" spans="10:10" ht="15" customHeight="1" x14ac:dyDescent="0.3">
      <c r="J12771" s="33"/>
    </row>
    <row r="12772" spans="10:10" ht="15" customHeight="1" x14ac:dyDescent="0.3">
      <c r="J12772" s="33"/>
    </row>
    <row r="12773" spans="10:10" ht="15" customHeight="1" x14ac:dyDescent="0.3">
      <c r="J12773" s="33"/>
    </row>
    <row r="12774" spans="10:10" ht="15" customHeight="1" x14ac:dyDescent="0.3">
      <c r="J12774" s="33"/>
    </row>
    <row r="12775" spans="10:10" ht="15" customHeight="1" x14ac:dyDescent="0.3">
      <c r="J12775" s="33"/>
    </row>
    <row r="12776" spans="10:10" ht="15" customHeight="1" x14ac:dyDescent="0.3">
      <c r="J12776" s="33"/>
    </row>
    <row r="12777" spans="10:10" ht="15" customHeight="1" x14ac:dyDescent="0.3">
      <c r="J12777" s="33"/>
    </row>
    <row r="12778" spans="10:10" ht="15" customHeight="1" x14ac:dyDescent="0.3">
      <c r="J12778" s="33"/>
    </row>
    <row r="12779" spans="10:10" ht="15" customHeight="1" x14ac:dyDescent="0.3">
      <c r="J12779" s="33"/>
    </row>
    <row r="12780" spans="10:10" ht="15" customHeight="1" x14ac:dyDescent="0.3">
      <c r="J12780" s="33"/>
    </row>
    <row r="12781" spans="10:10" ht="15" customHeight="1" x14ac:dyDescent="0.3">
      <c r="J12781" s="33"/>
    </row>
    <row r="12782" spans="10:10" ht="15" customHeight="1" x14ac:dyDescent="0.3">
      <c r="J12782" s="33"/>
    </row>
    <row r="12783" spans="10:10" ht="15" customHeight="1" x14ac:dyDescent="0.3">
      <c r="J12783" s="33"/>
    </row>
    <row r="12784" spans="10:10" ht="15" customHeight="1" x14ac:dyDescent="0.3">
      <c r="J12784" s="33"/>
    </row>
    <row r="12785" spans="10:10" ht="15" customHeight="1" x14ac:dyDescent="0.3">
      <c r="J12785" s="33"/>
    </row>
    <row r="12786" spans="10:10" ht="15" customHeight="1" x14ac:dyDescent="0.3">
      <c r="J12786" s="33"/>
    </row>
    <row r="12787" spans="10:10" ht="15" customHeight="1" x14ac:dyDescent="0.3">
      <c r="J12787" s="33"/>
    </row>
    <row r="12788" spans="10:10" ht="15" customHeight="1" x14ac:dyDescent="0.3">
      <c r="J12788" s="33"/>
    </row>
    <row r="12789" spans="10:10" ht="15" customHeight="1" x14ac:dyDescent="0.3">
      <c r="J12789" s="33"/>
    </row>
    <row r="12790" spans="10:10" ht="15" customHeight="1" x14ac:dyDescent="0.3">
      <c r="J12790" s="33"/>
    </row>
    <row r="12791" spans="10:10" ht="15" customHeight="1" x14ac:dyDescent="0.3">
      <c r="J12791" s="33"/>
    </row>
    <row r="12792" spans="10:10" ht="15" customHeight="1" x14ac:dyDescent="0.3">
      <c r="J12792" s="33"/>
    </row>
    <row r="12793" spans="10:10" ht="15" customHeight="1" x14ac:dyDescent="0.3">
      <c r="J12793" s="33"/>
    </row>
    <row r="12794" spans="10:10" ht="15" customHeight="1" x14ac:dyDescent="0.3">
      <c r="J12794" s="33"/>
    </row>
    <row r="12795" spans="10:10" ht="15" customHeight="1" x14ac:dyDescent="0.3">
      <c r="J12795" s="33"/>
    </row>
    <row r="12796" spans="10:10" ht="15" customHeight="1" x14ac:dyDescent="0.3">
      <c r="J12796" s="33"/>
    </row>
    <row r="12797" spans="10:10" ht="15" customHeight="1" x14ac:dyDescent="0.3">
      <c r="J12797" s="33"/>
    </row>
    <row r="12798" spans="10:10" ht="15" customHeight="1" x14ac:dyDescent="0.3">
      <c r="J12798" s="33"/>
    </row>
    <row r="12799" spans="10:10" ht="15" customHeight="1" x14ac:dyDescent="0.3">
      <c r="J12799" s="33"/>
    </row>
    <row r="12800" spans="10:10" ht="15" customHeight="1" x14ac:dyDescent="0.3">
      <c r="J12800" s="33"/>
    </row>
    <row r="12801" spans="10:10" ht="15" customHeight="1" x14ac:dyDescent="0.3">
      <c r="J12801" s="33"/>
    </row>
    <row r="12802" spans="10:10" ht="15" customHeight="1" x14ac:dyDescent="0.3">
      <c r="J12802" s="33"/>
    </row>
    <row r="12803" spans="10:10" ht="15" customHeight="1" x14ac:dyDescent="0.3">
      <c r="J12803" s="33"/>
    </row>
    <row r="12804" spans="10:10" ht="15" customHeight="1" x14ac:dyDescent="0.3">
      <c r="J12804" s="33"/>
    </row>
    <row r="12805" spans="10:10" ht="15" customHeight="1" x14ac:dyDescent="0.3">
      <c r="J12805" s="33"/>
    </row>
    <row r="12806" spans="10:10" ht="15" customHeight="1" x14ac:dyDescent="0.3">
      <c r="J12806" s="33"/>
    </row>
    <row r="12807" spans="10:10" ht="15" customHeight="1" x14ac:dyDescent="0.3">
      <c r="J12807" s="33"/>
    </row>
    <row r="12808" spans="10:10" ht="15" customHeight="1" x14ac:dyDescent="0.3">
      <c r="J12808" s="33"/>
    </row>
    <row r="12809" spans="10:10" ht="15" customHeight="1" x14ac:dyDescent="0.3">
      <c r="J12809" s="33"/>
    </row>
    <row r="12810" spans="10:10" ht="15" customHeight="1" x14ac:dyDescent="0.3">
      <c r="J12810" s="33"/>
    </row>
    <row r="12811" spans="10:10" ht="15" customHeight="1" x14ac:dyDescent="0.3">
      <c r="J12811" s="33"/>
    </row>
    <row r="12812" spans="10:10" ht="15" customHeight="1" x14ac:dyDescent="0.3">
      <c r="J12812" s="33"/>
    </row>
    <row r="12813" spans="10:10" ht="15" customHeight="1" x14ac:dyDescent="0.3">
      <c r="J12813" s="33"/>
    </row>
    <row r="12814" spans="10:10" ht="15" customHeight="1" x14ac:dyDescent="0.3">
      <c r="J12814" s="33"/>
    </row>
    <row r="12815" spans="10:10" ht="15" customHeight="1" x14ac:dyDescent="0.3">
      <c r="J12815" s="33"/>
    </row>
    <row r="12816" spans="10:10" ht="15" customHeight="1" x14ac:dyDescent="0.3">
      <c r="J12816" s="33"/>
    </row>
    <row r="12817" spans="10:10" ht="15" customHeight="1" x14ac:dyDescent="0.3">
      <c r="J12817" s="33"/>
    </row>
    <row r="12818" spans="10:10" ht="15" customHeight="1" x14ac:dyDescent="0.3">
      <c r="J12818" s="33"/>
    </row>
    <row r="12819" spans="10:10" ht="15" customHeight="1" x14ac:dyDescent="0.3">
      <c r="J12819" s="33"/>
    </row>
    <row r="12820" spans="10:10" ht="15" customHeight="1" x14ac:dyDescent="0.3">
      <c r="J12820" s="33"/>
    </row>
    <row r="12821" spans="10:10" ht="15" customHeight="1" x14ac:dyDescent="0.3">
      <c r="J12821" s="33"/>
    </row>
    <row r="12822" spans="10:10" ht="15" customHeight="1" x14ac:dyDescent="0.3">
      <c r="J12822" s="33"/>
    </row>
    <row r="12823" spans="10:10" ht="15" customHeight="1" x14ac:dyDescent="0.3">
      <c r="J12823" s="33"/>
    </row>
    <row r="12824" spans="10:10" ht="15" customHeight="1" x14ac:dyDescent="0.3">
      <c r="J12824" s="33"/>
    </row>
    <row r="12825" spans="10:10" ht="15" customHeight="1" x14ac:dyDescent="0.3">
      <c r="J12825" s="33"/>
    </row>
    <row r="12826" spans="10:10" ht="15" customHeight="1" x14ac:dyDescent="0.3">
      <c r="J12826" s="33"/>
    </row>
    <row r="12827" spans="10:10" ht="15" customHeight="1" x14ac:dyDescent="0.3">
      <c r="J12827" s="33"/>
    </row>
    <row r="12828" spans="10:10" ht="15" customHeight="1" x14ac:dyDescent="0.3">
      <c r="J12828" s="33"/>
    </row>
    <row r="12829" spans="10:10" ht="15" customHeight="1" x14ac:dyDescent="0.3">
      <c r="J12829" s="33"/>
    </row>
    <row r="12830" spans="10:10" ht="15" customHeight="1" x14ac:dyDescent="0.3">
      <c r="J12830" s="33"/>
    </row>
    <row r="12831" spans="10:10" ht="15" customHeight="1" x14ac:dyDescent="0.3">
      <c r="J12831" s="33"/>
    </row>
    <row r="12832" spans="10:10" ht="15" customHeight="1" x14ac:dyDescent="0.3">
      <c r="J12832" s="33"/>
    </row>
    <row r="12833" spans="10:10" ht="15" customHeight="1" x14ac:dyDescent="0.3">
      <c r="J12833" s="33"/>
    </row>
    <row r="12834" spans="10:10" ht="15" customHeight="1" x14ac:dyDescent="0.3">
      <c r="J12834" s="33"/>
    </row>
    <row r="12835" spans="10:10" ht="15" customHeight="1" x14ac:dyDescent="0.3">
      <c r="J12835" s="33"/>
    </row>
    <row r="12836" spans="10:10" ht="15" customHeight="1" x14ac:dyDescent="0.3">
      <c r="J12836" s="33"/>
    </row>
    <row r="12837" spans="10:10" ht="15" customHeight="1" x14ac:dyDescent="0.3">
      <c r="J12837" s="33"/>
    </row>
    <row r="12838" spans="10:10" ht="15" customHeight="1" x14ac:dyDescent="0.3">
      <c r="J12838" s="33"/>
    </row>
    <row r="12839" spans="10:10" ht="15" customHeight="1" x14ac:dyDescent="0.3">
      <c r="J12839" s="33"/>
    </row>
    <row r="12840" spans="10:10" ht="15" customHeight="1" x14ac:dyDescent="0.3">
      <c r="J12840" s="33"/>
    </row>
    <row r="12841" spans="10:10" ht="15" customHeight="1" x14ac:dyDescent="0.3">
      <c r="J12841" s="33"/>
    </row>
    <row r="12842" spans="10:10" ht="15" customHeight="1" x14ac:dyDescent="0.3">
      <c r="J12842" s="33"/>
    </row>
    <row r="12843" spans="10:10" ht="15" customHeight="1" x14ac:dyDescent="0.3">
      <c r="J12843" s="33"/>
    </row>
    <row r="12844" spans="10:10" ht="15" customHeight="1" x14ac:dyDescent="0.3">
      <c r="J12844" s="33"/>
    </row>
    <row r="12845" spans="10:10" ht="15" customHeight="1" x14ac:dyDescent="0.3">
      <c r="J12845" s="33"/>
    </row>
    <row r="12846" spans="10:10" ht="15" customHeight="1" x14ac:dyDescent="0.3">
      <c r="J12846" s="33"/>
    </row>
    <row r="12847" spans="10:10" ht="15" customHeight="1" x14ac:dyDescent="0.3">
      <c r="J12847" s="33"/>
    </row>
    <row r="12848" spans="10:10" ht="15" customHeight="1" x14ac:dyDescent="0.3">
      <c r="J12848" s="33"/>
    </row>
    <row r="12849" spans="10:10" ht="15" customHeight="1" x14ac:dyDescent="0.3">
      <c r="J12849" s="33"/>
    </row>
    <row r="12850" spans="10:10" ht="15" customHeight="1" x14ac:dyDescent="0.3">
      <c r="J12850" s="33"/>
    </row>
    <row r="12851" spans="10:10" ht="15" customHeight="1" x14ac:dyDescent="0.3">
      <c r="J12851" s="33"/>
    </row>
    <row r="12852" spans="10:10" ht="15" customHeight="1" x14ac:dyDescent="0.3">
      <c r="J12852" s="33"/>
    </row>
    <row r="12853" spans="10:10" ht="15" customHeight="1" x14ac:dyDescent="0.3">
      <c r="J12853" s="33"/>
    </row>
    <row r="12854" spans="10:10" ht="15" customHeight="1" x14ac:dyDescent="0.3">
      <c r="J12854" s="33"/>
    </row>
    <row r="12855" spans="10:10" ht="15" customHeight="1" x14ac:dyDescent="0.3">
      <c r="J12855" s="33"/>
    </row>
    <row r="12856" spans="10:10" ht="15" customHeight="1" x14ac:dyDescent="0.3">
      <c r="J12856" s="33"/>
    </row>
    <row r="12857" spans="10:10" ht="15" customHeight="1" x14ac:dyDescent="0.3">
      <c r="J12857" s="33"/>
    </row>
    <row r="12858" spans="10:10" ht="15" customHeight="1" x14ac:dyDescent="0.3">
      <c r="J12858" s="33"/>
    </row>
    <row r="12859" spans="10:10" ht="15" customHeight="1" x14ac:dyDescent="0.3">
      <c r="J12859" s="33"/>
    </row>
    <row r="12860" spans="10:10" ht="15" customHeight="1" x14ac:dyDescent="0.3">
      <c r="J12860" s="33"/>
    </row>
    <row r="12861" spans="10:10" ht="15" customHeight="1" x14ac:dyDescent="0.3">
      <c r="J12861" s="33"/>
    </row>
    <row r="12862" spans="10:10" ht="15" customHeight="1" x14ac:dyDescent="0.3">
      <c r="J12862" s="33"/>
    </row>
    <row r="12863" spans="10:10" ht="15" customHeight="1" x14ac:dyDescent="0.3">
      <c r="J12863" s="33"/>
    </row>
    <row r="12864" spans="10:10" ht="15" customHeight="1" x14ac:dyDescent="0.3">
      <c r="J12864" s="33"/>
    </row>
    <row r="12865" spans="10:10" ht="15" customHeight="1" x14ac:dyDescent="0.3">
      <c r="J12865" s="33"/>
    </row>
    <row r="12866" spans="10:10" ht="15" customHeight="1" x14ac:dyDescent="0.3">
      <c r="J12866" s="33"/>
    </row>
    <row r="12867" spans="10:10" ht="15" customHeight="1" x14ac:dyDescent="0.3">
      <c r="J12867" s="33"/>
    </row>
    <row r="12868" spans="10:10" ht="15" customHeight="1" x14ac:dyDescent="0.3">
      <c r="J12868" s="33"/>
    </row>
    <row r="12869" spans="10:10" ht="15" customHeight="1" x14ac:dyDescent="0.3">
      <c r="J12869" s="33"/>
    </row>
    <row r="12870" spans="10:10" ht="15" customHeight="1" x14ac:dyDescent="0.3">
      <c r="J12870" s="33"/>
    </row>
    <row r="12871" spans="10:10" ht="15" customHeight="1" x14ac:dyDescent="0.3">
      <c r="J12871" s="33"/>
    </row>
    <row r="12872" spans="10:10" ht="15" customHeight="1" x14ac:dyDescent="0.3">
      <c r="J12872" s="33"/>
    </row>
    <row r="12873" spans="10:10" ht="15" customHeight="1" x14ac:dyDescent="0.3">
      <c r="J12873" s="33"/>
    </row>
    <row r="12874" spans="10:10" ht="15" customHeight="1" x14ac:dyDescent="0.3">
      <c r="J12874" s="33"/>
    </row>
    <row r="12875" spans="10:10" ht="15" customHeight="1" x14ac:dyDescent="0.3">
      <c r="J12875" s="33"/>
    </row>
    <row r="12876" spans="10:10" ht="15" customHeight="1" x14ac:dyDescent="0.3">
      <c r="J12876" s="33"/>
    </row>
    <row r="12877" spans="10:10" ht="15" customHeight="1" x14ac:dyDescent="0.3">
      <c r="J12877" s="33"/>
    </row>
    <row r="12878" spans="10:10" ht="15" customHeight="1" x14ac:dyDescent="0.3">
      <c r="J12878" s="33"/>
    </row>
    <row r="12879" spans="10:10" ht="15" customHeight="1" x14ac:dyDescent="0.3">
      <c r="J12879" s="33"/>
    </row>
    <row r="12880" spans="10:10" ht="15" customHeight="1" x14ac:dyDescent="0.3">
      <c r="J12880" s="33"/>
    </row>
    <row r="12881" spans="10:10" ht="15" customHeight="1" x14ac:dyDescent="0.3">
      <c r="J12881" s="33"/>
    </row>
    <row r="12882" spans="10:10" ht="15" customHeight="1" x14ac:dyDescent="0.3">
      <c r="J12882" s="33"/>
    </row>
    <row r="12883" spans="10:10" ht="15" customHeight="1" x14ac:dyDescent="0.3">
      <c r="J12883" s="33"/>
    </row>
    <row r="12884" spans="10:10" ht="15" customHeight="1" x14ac:dyDescent="0.3">
      <c r="J12884" s="33"/>
    </row>
    <row r="12885" spans="10:10" ht="15" customHeight="1" x14ac:dyDescent="0.3">
      <c r="J12885" s="33"/>
    </row>
    <row r="12886" spans="10:10" ht="15" customHeight="1" x14ac:dyDescent="0.3">
      <c r="J12886" s="33"/>
    </row>
    <row r="12887" spans="10:10" ht="15" customHeight="1" x14ac:dyDescent="0.3">
      <c r="J12887" s="33"/>
    </row>
    <row r="12888" spans="10:10" ht="15" customHeight="1" x14ac:dyDescent="0.3">
      <c r="J12888" s="33"/>
    </row>
    <row r="12889" spans="10:10" ht="15" customHeight="1" x14ac:dyDescent="0.3">
      <c r="J12889" s="33"/>
    </row>
    <row r="12890" spans="10:10" ht="15" customHeight="1" x14ac:dyDescent="0.3">
      <c r="J12890" s="33"/>
    </row>
    <row r="12891" spans="10:10" ht="15" customHeight="1" x14ac:dyDescent="0.3">
      <c r="J12891" s="33"/>
    </row>
    <row r="12892" spans="10:10" ht="15" customHeight="1" x14ac:dyDescent="0.3">
      <c r="J12892" s="33"/>
    </row>
    <row r="12893" spans="10:10" ht="15" customHeight="1" x14ac:dyDescent="0.3">
      <c r="J12893" s="33"/>
    </row>
    <row r="12894" spans="10:10" ht="15" customHeight="1" x14ac:dyDescent="0.3">
      <c r="J12894" s="33"/>
    </row>
    <row r="12895" spans="10:10" ht="15" customHeight="1" x14ac:dyDescent="0.3">
      <c r="J12895" s="33"/>
    </row>
    <row r="12896" spans="10:10" ht="15" customHeight="1" x14ac:dyDescent="0.3">
      <c r="J12896" s="33"/>
    </row>
    <row r="12897" spans="10:10" ht="15" customHeight="1" x14ac:dyDescent="0.3">
      <c r="J12897" s="33"/>
    </row>
    <row r="12898" spans="10:10" ht="15" customHeight="1" x14ac:dyDescent="0.3">
      <c r="J12898" s="33"/>
    </row>
    <row r="12899" spans="10:10" ht="15" customHeight="1" x14ac:dyDescent="0.3">
      <c r="J12899" s="33"/>
    </row>
    <row r="12900" spans="10:10" ht="15" customHeight="1" x14ac:dyDescent="0.3">
      <c r="J12900" s="33"/>
    </row>
    <row r="12901" spans="10:10" ht="15" customHeight="1" x14ac:dyDescent="0.3">
      <c r="J12901" s="33"/>
    </row>
    <row r="12902" spans="10:10" ht="15" customHeight="1" x14ac:dyDescent="0.3">
      <c r="J12902" s="33"/>
    </row>
    <row r="12903" spans="10:10" ht="15" customHeight="1" x14ac:dyDescent="0.3">
      <c r="J12903" s="33"/>
    </row>
    <row r="12904" spans="10:10" ht="15" customHeight="1" x14ac:dyDescent="0.3">
      <c r="J12904" s="33"/>
    </row>
    <row r="12905" spans="10:10" ht="15" customHeight="1" x14ac:dyDescent="0.3">
      <c r="J12905" s="33"/>
    </row>
    <row r="12906" spans="10:10" ht="15" customHeight="1" x14ac:dyDescent="0.3">
      <c r="J12906" s="33"/>
    </row>
    <row r="12907" spans="10:10" ht="15" customHeight="1" x14ac:dyDescent="0.3">
      <c r="J12907" s="33"/>
    </row>
    <row r="12908" spans="10:10" ht="15" customHeight="1" x14ac:dyDescent="0.3">
      <c r="J12908" s="33"/>
    </row>
    <row r="12909" spans="10:10" ht="15" customHeight="1" x14ac:dyDescent="0.3">
      <c r="J12909" s="33"/>
    </row>
    <row r="12910" spans="10:10" ht="15" customHeight="1" x14ac:dyDescent="0.3">
      <c r="J12910" s="33"/>
    </row>
    <row r="12911" spans="10:10" ht="15" customHeight="1" x14ac:dyDescent="0.3">
      <c r="J12911" s="33"/>
    </row>
    <row r="12912" spans="10:10" ht="15" customHeight="1" x14ac:dyDescent="0.3">
      <c r="J12912" s="33"/>
    </row>
    <row r="12913" spans="10:10" ht="15" customHeight="1" x14ac:dyDescent="0.3">
      <c r="J12913" s="33"/>
    </row>
    <row r="12914" spans="10:10" ht="15" customHeight="1" x14ac:dyDescent="0.3">
      <c r="J12914" s="33"/>
    </row>
    <row r="12915" spans="10:10" ht="15" customHeight="1" x14ac:dyDescent="0.3">
      <c r="J12915" s="33"/>
    </row>
    <row r="12916" spans="10:10" ht="15" customHeight="1" x14ac:dyDescent="0.3">
      <c r="J12916" s="33"/>
    </row>
    <row r="12917" spans="10:10" ht="15" customHeight="1" x14ac:dyDescent="0.3">
      <c r="J12917" s="33"/>
    </row>
    <row r="12918" spans="10:10" ht="15" customHeight="1" x14ac:dyDescent="0.3">
      <c r="J12918" s="33"/>
    </row>
    <row r="12919" spans="10:10" ht="15" customHeight="1" x14ac:dyDescent="0.3">
      <c r="J12919" s="33"/>
    </row>
    <row r="12920" spans="10:10" ht="15" customHeight="1" x14ac:dyDescent="0.3">
      <c r="J12920" s="33"/>
    </row>
    <row r="12921" spans="10:10" ht="15" customHeight="1" x14ac:dyDescent="0.3">
      <c r="J12921" s="33"/>
    </row>
    <row r="12922" spans="10:10" ht="15" customHeight="1" x14ac:dyDescent="0.3">
      <c r="J12922" s="33"/>
    </row>
    <row r="12923" spans="10:10" ht="15" customHeight="1" x14ac:dyDescent="0.3">
      <c r="J12923" s="33"/>
    </row>
    <row r="12924" spans="10:10" ht="15" customHeight="1" x14ac:dyDescent="0.3">
      <c r="J12924" s="33"/>
    </row>
    <row r="12925" spans="10:10" ht="15" customHeight="1" x14ac:dyDescent="0.3">
      <c r="J12925" s="33"/>
    </row>
    <row r="12926" spans="10:10" ht="15" customHeight="1" x14ac:dyDescent="0.3">
      <c r="J12926" s="33"/>
    </row>
    <row r="12927" spans="10:10" ht="15" customHeight="1" x14ac:dyDescent="0.3">
      <c r="J12927" s="33"/>
    </row>
    <row r="12928" spans="10:10" ht="15" customHeight="1" x14ac:dyDescent="0.3">
      <c r="J12928" s="33"/>
    </row>
    <row r="12929" spans="10:10" ht="15" customHeight="1" x14ac:dyDescent="0.3">
      <c r="J12929" s="33"/>
    </row>
    <row r="12930" spans="10:10" ht="15" customHeight="1" x14ac:dyDescent="0.3">
      <c r="J12930" s="33"/>
    </row>
    <row r="12931" spans="10:10" ht="15" customHeight="1" x14ac:dyDescent="0.3">
      <c r="J12931" s="33"/>
    </row>
    <row r="12932" spans="10:10" ht="15" customHeight="1" x14ac:dyDescent="0.3">
      <c r="J12932" s="33"/>
    </row>
    <row r="12933" spans="10:10" ht="15" customHeight="1" x14ac:dyDescent="0.3">
      <c r="J12933" s="33"/>
    </row>
    <row r="12934" spans="10:10" ht="15" customHeight="1" x14ac:dyDescent="0.3">
      <c r="J12934" s="33"/>
    </row>
    <row r="12935" spans="10:10" ht="15" customHeight="1" x14ac:dyDescent="0.3">
      <c r="J12935" s="33"/>
    </row>
    <row r="12936" spans="10:10" ht="15" customHeight="1" x14ac:dyDescent="0.3">
      <c r="J12936" s="33"/>
    </row>
    <row r="12937" spans="10:10" ht="15" customHeight="1" x14ac:dyDescent="0.3">
      <c r="J12937" s="33"/>
    </row>
    <row r="12938" spans="10:10" ht="15" customHeight="1" x14ac:dyDescent="0.3">
      <c r="J12938" s="33"/>
    </row>
    <row r="12939" spans="10:10" ht="15" customHeight="1" x14ac:dyDescent="0.3">
      <c r="J12939" s="33"/>
    </row>
    <row r="12940" spans="10:10" ht="15" customHeight="1" x14ac:dyDescent="0.3">
      <c r="J12940" s="33"/>
    </row>
    <row r="12941" spans="10:10" ht="15" customHeight="1" x14ac:dyDescent="0.3">
      <c r="J12941" s="33"/>
    </row>
    <row r="12942" spans="10:10" ht="15" customHeight="1" x14ac:dyDescent="0.3">
      <c r="J12942" s="33"/>
    </row>
    <row r="12943" spans="10:10" ht="15" customHeight="1" x14ac:dyDescent="0.3">
      <c r="J12943" s="33"/>
    </row>
    <row r="12944" spans="10:10" ht="15" customHeight="1" x14ac:dyDescent="0.3">
      <c r="J12944" s="33"/>
    </row>
    <row r="12945" spans="10:10" ht="15" customHeight="1" x14ac:dyDescent="0.3">
      <c r="J12945" s="33"/>
    </row>
    <row r="12946" spans="10:10" ht="15" customHeight="1" x14ac:dyDescent="0.3">
      <c r="J12946" s="33"/>
    </row>
    <row r="12947" spans="10:10" ht="15" customHeight="1" x14ac:dyDescent="0.3">
      <c r="J12947" s="33"/>
    </row>
    <row r="12948" spans="10:10" ht="15" customHeight="1" x14ac:dyDescent="0.3">
      <c r="J12948" s="33"/>
    </row>
    <row r="12949" spans="10:10" ht="15" customHeight="1" x14ac:dyDescent="0.3">
      <c r="J12949" s="33"/>
    </row>
    <row r="12950" spans="10:10" ht="15" customHeight="1" x14ac:dyDescent="0.3">
      <c r="J12950" s="33"/>
    </row>
    <row r="12951" spans="10:10" ht="15" customHeight="1" x14ac:dyDescent="0.3">
      <c r="J12951" s="33"/>
    </row>
    <row r="12952" spans="10:10" ht="15" customHeight="1" x14ac:dyDescent="0.3">
      <c r="J12952" s="33"/>
    </row>
    <row r="12953" spans="10:10" ht="15" customHeight="1" x14ac:dyDescent="0.3">
      <c r="J12953" s="33"/>
    </row>
    <row r="12954" spans="10:10" ht="15" customHeight="1" x14ac:dyDescent="0.3">
      <c r="J12954" s="33"/>
    </row>
    <row r="12955" spans="10:10" ht="15" customHeight="1" x14ac:dyDescent="0.3">
      <c r="J12955" s="33"/>
    </row>
    <row r="12956" spans="10:10" ht="15" customHeight="1" x14ac:dyDescent="0.3">
      <c r="J12956" s="33"/>
    </row>
    <row r="12957" spans="10:10" ht="15" customHeight="1" x14ac:dyDescent="0.3">
      <c r="J12957" s="33"/>
    </row>
    <row r="12958" spans="10:10" ht="15" customHeight="1" x14ac:dyDescent="0.3">
      <c r="J12958" s="33"/>
    </row>
    <row r="12959" spans="10:10" ht="15" customHeight="1" x14ac:dyDescent="0.3">
      <c r="J12959" s="33"/>
    </row>
    <row r="12960" spans="10:10" ht="15" customHeight="1" x14ac:dyDescent="0.3">
      <c r="J12960" s="33"/>
    </row>
    <row r="12961" spans="10:10" ht="15" customHeight="1" x14ac:dyDescent="0.3">
      <c r="J12961" s="33"/>
    </row>
    <row r="12962" spans="10:10" ht="15" customHeight="1" x14ac:dyDescent="0.3">
      <c r="J12962" s="33"/>
    </row>
    <row r="12963" spans="10:10" ht="15" customHeight="1" x14ac:dyDescent="0.3">
      <c r="J12963" s="33"/>
    </row>
    <row r="12964" spans="10:10" ht="15" customHeight="1" x14ac:dyDescent="0.3">
      <c r="J12964" s="33"/>
    </row>
    <row r="12965" spans="10:10" ht="15" customHeight="1" x14ac:dyDescent="0.3">
      <c r="J12965" s="33"/>
    </row>
    <row r="12966" spans="10:10" ht="15" customHeight="1" x14ac:dyDescent="0.3">
      <c r="J12966" s="33"/>
    </row>
    <row r="12967" spans="10:10" ht="15" customHeight="1" x14ac:dyDescent="0.3">
      <c r="J12967" s="33"/>
    </row>
    <row r="12968" spans="10:10" ht="15" customHeight="1" x14ac:dyDescent="0.3">
      <c r="J12968" s="33"/>
    </row>
    <row r="12969" spans="10:10" ht="15" customHeight="1" x14ac:dyDescent="0.3">
      <c r="J12969" s="33"/>
    </row>
    <row r="12970" spans="10:10" ht="15" customHeight="1" x14ac:dyDescent="0.3">
      <c r="J12970" s="33"/>
    </row>
    <row r="12971" spans="10:10" ht="15" customHeight="1" x14ac:dyDescent="0.3">
      <c r="J12971" s="33"/>
    </row>
    <row r="12972" spans="10:10" ht="15" customHeight="1" x14ac:dyDescent="0.3">
      <c r="J12972" s="33"/>
    </row>
    <row r="12973" spans="10:10" ht="15" customHeight="1" x14ac:dyDescent="0.3">
      <c r="J12973" s="33"/>
    </row>
    <row r="12974" spans="10:10" ht="15" customHeight="1" x14ac:dyDescent="0.3">
      <c r="J12974" s="33"/>
    </row>
    <row r="12975" spans="10:10" ht="15" customHeight="1" x14ac:dyDescent="0.3">
      <c r="J12975" s="33"/>
    </row>
    <row r="12976" spans="10:10" ht="15" customHeight="1" x14ac:dyDescent="0.3">
      <c r="J12976" s="33"/>
    </row>
    <row r="12977" spans="10:10" ht="15" customHeight="1" x14ac:dyDescent="0.3">
      <c r="J12977" s="33"/>
    </row>
    <row r="12978" spans="10:10" ht="15" customHeight="1" x14ac:dyDescent="0.3">
      <c r="J12978" s="33"/>
    </row>
    <row r="12979" spans="10:10" ht="15" customHeight="1" x14ac:dyDescent="0.3">
      <c r="J12979" s="33"/>
    </row>
    <row r="12980" spans="10:10" ht="15" customHeight="1" x14ac:dyDescent="0.3">
      <c r="J12980" s="33"/>
    </row>
    <row r="12981" spans="10:10" ht="15" customHeight="1" x14ac:dyDescent="0.3">
      <c r="J12981" s="33"/>
    </row>
    <row r="12982" spans="10:10" ht="15" customHeight="1" x14ac:dyDescent="0.3">
      <c r="J12982" s="33"/>
    </row>
    <row r="12983" spans="10:10" ht="15" customHeight="1" x14ac:dyDescent="0.3">
      <c r="J12983" s="33"/>
    </row>
    <row r="12984" spans="10:10" ht="15" customHeight="1" x14ac:dyDescent="0.3">
      <c r="J12984" s="33"/>
    </row>
    <row r="12985" spans="10:10" ht="15" customHeight="1" x14ac:dyDescent="0.3">
      <c r="J12985" s="33"/>
    </row>
    <row r="12986" spans="10:10" ht="15" customHeight="1" x14ac:dyDescent="0.3">
      <c r="J12986" s="33"/>
    </row>
    <row r="12987" spans="10:10" ht="15" customHeight="1" x14ac:dyDescent="0.3">
      <c r="J12987" s="33"/>
    </row>
    <row r="12988" spans="10:10" ht="15" customHeight="1" x14ac:dyDescent="0.3">
      <c r="J12988" s="33"/>
    </row>
    <row r="12989" spans="10:10" ht="15" customHeight="1" x14ac:dyDescent="0.3">
      <c r="J12989" s="33"/>
    </row>
    <row r="12990" spans="10:10" ht="15" customHeight="1" x14ac:dyDescent="0.3">
      <c r="J12990" s="33"/>
    </row>
    <row r="12991" spans="10:10" ht="15" customHeight="1" x14ac:dyDescent="0.3">
      <c r="J12991" s="33"/>
    </row>
    <row r="12992" spans="10:10" ht="15" customHeight="1" x14ac:dyDescent="0.3">
      <c r="J12992" s="33"/>
    </row>
    <row r="12993" spans="10:10" ht="15" customHeight="1" x14ac:dyDescent="0.3">
      <c r="J12993" s="33"/>
    </row>
    <row r="12994" spans="10:10" ht="15" customHeight="1" x14ac:dyDescent="0.3">
      <c r="J12994" s="33"/>
    </row>
    <row r="12995" spans="10:10" ht="15" customHeight="1" x14ac:dyDescent="0.3">
      <c r="J12995" s="33"/>
    </row>
    <row r="12996" spans="10:10" ht="15" customHeight="1" x14ac:dyDescent="0.3">
      <c r="J12996" s="33"/>
    </row>
    <row r="12997" spans="10:10" ht="15" customHeight="1" x14ac:dyDescent="0.3">
      <c r="J12997" s="33"/>
    </row>
    <row r="12998" spans="10:10" ht="15" customHeight="1" x14ac:dyDescent="0.3">
      <c r="J12998" s="33"/>
    </row>
    <row r="12999" spans="10:10" ht="15" customHeight="1" x14ac:dyDescent="0.3">
      <c r="J12999" s="33"/>
    </row>
    <row r="13000" spans="10:10" ht="15" customHeight="1" x14ac:dyDescent="0.3">
      <c r="J13000" s="33"/>
    </row>
    <row r="13001" spans="10:10" ht="15" customHeight="1" x14ac:dyDescent="0.3">
      <c r="J13001" s="33"/>
    </row>
    <row r="13002" spans="10:10" ht="15" customHeight="1" x14ac:dyDescent="0.3">
      <c r="J13002" s="33"/>
    </row>
    <row r="13003" spans="10:10" ht="15" customHeight="1" x14ac:dyDescent="0.3">
      <c r="J13003" s="33"/>
    </row>
    <row r="13004" spans="10:10" ht="15" customHeight="1" x14ac:dyDescent="0.3">
      <c r="J13004" s="33"/>
    </row>
    <row r="13005" spans="10:10" ht="15" customHeight="1" x14ac:dyDescent="0.3">
      <c r="J13005" s="33"/>
    </row>
    <row r="13006" spans="10:10" ht="15" customHeight="1" x14ac:dyDescent="0.3">
      <c r="J13006" s="33"/>
    </row>
    <row r="13007" spans="10:10" ht="15" customHeight="1" x14ac:dyDescent="0.3">
      <c r="J13007" s="33"/>
    </row>
    <row r="13008" spans="10:10" ht="15" customHeight="1" x14ac:dyDescent="0.3">
      <c r="J13008" s="33"/>
    </row>
    <row r="13009" spans="10:10" ht="15" customHeight="1" x14ac:dyDescent="0.3">
      <c r="J13009" s="33"/>
    </row>
    <row r="13010" spans="10:10" ht="15" customHeight="1" x14ac:dyDescent="0.3">
      <c r="J13010" s="33"/>
    </row>
    <row r="13011" spans="10:10" ht="15" customHeight="1" x14ac:dyDescent="0.3">
      <c r="J13011" s="33"/>
    </row>
    <row r="13012" spans="10:10" ht="15" customHeight="1" x14ac:dyDescent="0.3">
      <c r="J13012" s="33"/>
    </row>
    <row r="13013" spans="10:10" ht="15" customHeight="1" x14ac:dyDescent="0.3">
      <c r="J13013" s="33"/>
    </row>
    <row r="13014" spans="10:10" ht="15" customHeight="1" x14ac:dyDescent="0.3">
      <c r="J13014" s="33"/>
    </row>
    <row r="13015" spans="10:10" ht="15" customHeight="1" x14ac:dyDescent="0.3">
      <c r="J13015" s="33"/>
    </row>
    <row r="13016" spans="10:10" ht="15" customHeight="1" x14ac:dyDescent="0.3">
      <c r="J13016" s="33"/>
    </row>
    <row r="13017" spans="10:10" ht="15" customHeight="1" x14ac:dyDescent="0.3">
      <c r="J13017" s="33"/>
    </row>
    <row r="13018" spans="10:10" ht="15" customHeight="1" x14ac:dyDescent="0.3">
      <c r="J13018" s="33"/>
    </row>
    <row r="13019" spans="10:10" ht="15" customHeight="1" x14ac:dyDescent="0.3">
      <c r="J13019" s="33"/>
    </row>
    <row r="13020" spans="10:10" ht="15" customHeight="1" x14ac:dyDescent="0.3">
      <c r="J13020" s="33"/>
    </row>
    <row r="13021" spans="10:10" ht="15" customHeight="1" x14ac:dyDescent="0.3">
      <c r="J13021" s="33"/>
    </row>
    <row r="13022" spans="10:10" ht="15" customHeight="1" x14ac:dyDescent="0.3">
      <c r="J13022" s="33"/>
    </row>
    <row r="13023" spans="10:10" ht="15" customHeight="1" x14ac:dyDescent="0.3">
      <c r="J13023" s="33"/>
    </row>
    <row r="13024" spans="10:10" ht="15" customHeight="1" x14ac:dyDescent="0.3">
      <c r="J13024" s="33"/>
    </row>
    <row r="13025" spans="10:10" ht="15" customHeight="1" x14ac:dyDescent="0.3">
      <c r="J13025" s="33"/>
    </row>
    <row r="13026" spans="10:10" ht="15" customHeight="1" x14ac:dyDescent="0.3">
      <c r="J13026" s="33"/>
    </row>
    <row r="13027" spans="10:10" ht="15" customHeight="1" x14ac:dyDescent="0.3">
      <c r="J13027" s="33"/>
    </row>
    <row r="13028" spans="10:10" ht="15" customHeight="1" x14ac:dyDescent="0.3">
      <c r="J13028" s="33"/>
    </row>
    <row r="13029" spans="10:10" ht="15" customHeight="1" x14ac:dyDescent="0.3">
      <c r="J13029" s="33"/>
    </row>
    <row r="13030" spans="10:10" ht="15" customHeight="1" x14ac:dyDescent="0.3">
      <c r="J13030" s="33"/>
    </row>
    <row r="13031" spans="10:10" ht="15" customHeight="1" x14ac:dyDescent="0.3">
      <c r="J13031" s="33"/>
    </row>
    <row r="13032" spans="10:10" ht="15" customHeight="1" x14ac:dyDescent="0.3">
      <c r="J13032" s="33"/>
    </row>
    <row r="13033" spans="10:10" ht="15" customHeight="1" x14ac:dyDescent="0.3">
      <c r="J13033" s="33"/>
    </row>
    <row r="13034" spans="10:10" ht="15" customHeight="1" x14ac:dyDescent="0.3">
      <c r="J13034" s="33"/>
    </row>
    <row r="13035" spans="10:10" ht="15" customHeight="1" x14ac:dyDescent="0.3">
      <c r="J13035" s="33"/>
    </row>
    <row r="13036" spans="10:10" ht="15" customHeight="1" x14ac:dyDescent="0.3">
      <c r="J13036" s="33"/>
    </row>
    <row r="13037" spans="10:10" ht="15" customHeight="1" x14ac:dyDescent="0.3">
      <c r="J13037" s="33"/>
    </row>
    <row r="13038" spans="10:10" ht="15" customHeight="1" x14ac:dyDescent="0.3">
      <c r="J13038" s="33"/>
    </row>
    <row r="13039" spans="10:10" ht="15" customHeight="1" x14ac:dyDescent="0.3">
      <c r="J13039" s="33"/>
    </row>
    <row r="13040" spans="10:10" ht="15" customHeight="1" x14ac:dyDescent="0.3">
      <c r="J13040" s="33"/>
    </row>
    <row r="13041" spans="10:10" ht="15" customHeight="1" x14ac:dyDescent="0.3">
      <c r="J13041" s="33"/>
    </row>
    <row r="13042" spans="10:10" ht="15" customHeight="1" x14ac:dyDescent="0.3">
      <c r="J13042" s="33"/>
    </row>
    <row r="13043" spans="10:10" ht="15" customHeight="1" x14ac:dyDescent="0.3">
      <c r="J13043" s="33"/>
    </row>
    <row r="13044" spans="10:10" ht="15" customHeight="1" x14ac:dyDescent="0.3">
      <c r="J13044" s="33"/>
    </row>
    <row r="13045" spans="10:10" ht="15" customHeight="1" x14ac:dyDescent="0.3">
      <c r="J13045" s="33"/>
    </row>
    <row r="13046" spans="10:10" ht="15" customHeight="1" x14ac:dyDescent="0.3">
      <c r="J13046" s="33"/>
    </row>
    <row r="13047" spans="10:10" ht="15" customHeight="1" x14ac:dyDescent="0.3">
      <c r="J13047" s="33"/>
    </row>
    <row r="13048" spans="10:10" ht="15" customHeight="1" x14ac:dyDescent="0.3">
      <c r="J13048" s="33"/>
    </row>
    <row r="13049" spans="10:10" ht="15" customHeight="1" x14ac:dyDescent="0.3">
      <c r="J13049" s="33"/>
    </row>
    <row r="13050" spans="10:10" ht="15" customHeight="1" x14ac:dyDescent="0.3">
      <c r="J13050" s="33"/>
    </row>
    <row r="13051" spans="10:10" ht="15" customHeight="1" x14ac:dyDescent="0.3">
      <c r="J13051" s="33"/>
    </row>
    <row r="13052" spans="10:10" ht="15" customHeight="1" x14ac:dyDescent="0.3">
      <c r="J13052" s="33"/>
    </row>
    <row r="13053" spans="10:10" ht="15" customHeight="1" x14ac:dyDescent="0.3">
      <c r="J13053" s="33"/>
    </row>
    <row r="13054" spans="10:10" ht="15" customHeight="1" x14ac:dyDescent="0.3">
      <c r="J13054" s="33"/>
    </row>
    <row r="13055" spans="10:10" ht="15" customHeight="1" x14ac:dyDescent="0.3">
      <c r="J13055" s="33"/>
    </row>
    <row r="13056" spans="10:10" ht="15" customHeight="1" x14ac:dyDescent="0.3">
      <c r="J13056" s="33"/>
    </row>
    <row r="13057" spans="10:10" ht="15" customHeight="1" x14ac:dyDescent="0.3">
      <c r="J13057" s="33"/>
    </row>
    <row r="13058" spans="10:10" ht="15" customHeight="1" x14ac:dyDescent="0.3">
      <c r="J13058" s="33"/>
    </row>
    <row r="13059" spans="10:10" ht="15" customHeight="1" x14ac:dyDescent="0.3">
      <c r="J13059" s="33"/>
    </row>
    <row r="13060" spans="10:10" ht="15" customHeight="1" x14ac:dyDescent="0.3">
      <c r="J13060" s="33"/>
    </row>
    <row r="13061" spans="10:10" ht="15" customHeight="1" x14ac:dyDescent="0.3">
      <c r="J13061" s="33"/>
    </row>
    <row r="13062" spans="10:10" ht="15" customHeight="1" x14ac:dyDescent="0.3">
      <c r="J13062" s="33"/>
    </row>
    <row r="13063" spans="10:10" ht="15" customHeight="1" x14ac:dyDescent="0.3">
      <c r="J13063" s="33"/>
    </row>
    <row r="13064" spans="10:10" ht="15" customHeight="1" x14ac:dyDescent="0.3">
      <c r="J13064" s="33"/>
    </row>
    <row r="13065" spans="10:10" ht="15" customHeight="1" x14ac:dyDescent="0.3">
      <c r="J13065" s="33"/>
    </row>
    <row r="13066" spans="10:10" ht="15" customHeight="1" x14ac:dyDescent="0.3">
      <c r="J13066" s="33"/>
    </row>
    <row r="13067" spans="10:10" ht="15" customHeight="1" x14ac:dyDescent="0.3">
      <c r="J13067" s="33"/>
    </row>
    <row r="13068" spans="10:10" ht="15" customHeight="1" x14ac:dyDescent="0.3">
      <c r="J13068" s="33"/>
    </row>
    <row r="13069" spans="10:10" ht="15" customHeight="1" x14ac:dyDescent="0.3">
      <c r="J13069" s="33"/>
    </row>
    <row r="13070" spans="10:10" ht="15" customHeight="1" x14ac:dyDescent="0.3">
      <c r="J13070" s="33"/>
    </row>
    <row r="13071" spans="10:10" ht="15" customHeight="1" x14ac:dyDescent="0.3">
      <c r="J13071" s="33"/>
    </row>
    <row r="13072" spans="10:10" ht="15" customHeight="1" x14ac:dyDescent="0.3">
      <c r="J13072" s="33"/>
    </row>
    <row r="13073" spans="10:10" ht="15" customHeight="1" x14ac:dyDescent="0.3">
      <c r="J13073" s="33"/>
    </row>
    <row r="13074" spans="10:10" ht="15" customHeight="1" x14ac:dyDescent="0.3">
      <c r="J13074" s="33"/>
    </row>
    <row r="13075" spans="10:10" ht="15" customHeight="1" x14ac:dyDescent="0.3">
      <c r="J13075" s="33"/>
    </row>
    <row r="13076" spans="10:10" ht="15" customHeight="1" x14ac:dyDescent="0.3">
      <c r="J13076" s="33"/>
    </row>
    <row r="13077" spans="10:10" ht="15" customHeight="1" x14ac:dyDescent="0.3">
      <c r="J13077" s="33"/>
    </row>
    <row r="13078" spans="10:10" ht="15" customHeight="1" x14ac:dyDescent="0.3">
      <c r="J13078" s="33"/>
    </row>
    <row r="13079" spans="10:10" ht="15" customHeight="1" x14ac:dyDescent="0.3">
      <c r="J13079" s="33"/>
    </row>
    <row r="13080" spans="10:10" ht="15" customHeight="1" x14ac:dyDescent="0.3">
      <c r="J13080" s="33"/>
    </row>
    <row r="13081" spans="10:10" ht="15" customHeight="1" x14ac:dyDescent="0.3">
      <c r="J13081" s="33"/>
    </row>
    <row r="13082" spans="10:10" ht="15" customHeight="1" x14ac:dyDescent="0.3">
      <c r="J13082" s="33"/>
    </row>
    <row r="13083" spans="10:10" ht="15" customHeight="1" x14ac:dyDescent="0.3">
      <c r="J13083" s="33"/>
    </row>
    <row r="13084" spans="10:10" ht="15" customHeight="1" x14ac:dyDescent="0.3">
      <c r="J13084" s="33"/>
    </row>
    <row r="13085" spans="10:10" ht="15" customHeight="1" x14ac:dyDescent="0.3">
      <c r="J13085" s="33"/>
    </row>
    <row r="13086" spans="10:10" ht="15" customHeight="1" x14ac:dyDescent="0.3">
      <c r="J13086" s="33"/>
    </row>
    <row r="13087" spans="10:10" ht="15" customHeight="1" x14ac:dyDescent="0.3">
      <c r="J13087" s="33"/>
    </row>
    <row r="13088" spans="10:10" ht="15" customHeight="1" x14ac:dyDescent="0.3">
      <c r="J13088" s="33"/>
    </row>
    <row r="13089" spans="10:10" ht="15" customHeight="1" x14ac:dyDescent="0.3">
      <c r="J13089" s="33"/>
    </row>
    <row r="13090" spans="10:10" ht="15" customHeight="1" x14ac:dyDescent="0.3">
      <c r="J13090" s="33"/>
    </row>
    <row r="13091" spans="10:10" ht="15" customHeight="1" x14ac:dyDescent="0.3">
      <c r="J13091" s="33"/>
    </row>
    <row r="13092" spans="10:10" ht="15" customHeight="1" x14ac:dyDescent="0.3">
      <c r="J13092" s="33"/>
    </row>
    <row r="13093" spans="10:10" ht="15" customHeight="1" x14ac:dyDescent="0.3">
      <c r="J13093" s="33"/>
    </row>
    <row r="13094" spans="10:10" ht="15" customHeight="1" x14ac:dyDescent="0.3">
      <c r="J13094" s="33"/>
    </row>
    <row r="13095" spans="10:10" ht="15" customHeight="1" x14ac:dyDescent="0.3">
      <c r="J13095" s="33"/>
    </row>
    <row r="13096" spans="10:10" ht="15" customHeight="1" x14ac:dyDescent="0.3">
      <c r="J13096" s="33"/>
    </row>
    <row r="13097" spans="10:10" ht="15" customHeight="1" x14ac:dyDescent="0.3">
      <c r="J13097" s="33"/>
    </row>
    <row r="13098" spans="10:10" ht="15" customHeight="1" x14ac:dyDescent="0.3">
      <c r="J13098" s="33"/>
    </row>
    <row r="13099" spans="10:10" ht="15" customHeight="1" x14ac:dyDescent="0.3">
      <c r="J13099" s="33"/>
    </row>
    <row r="13100" spans="10:10" ht="15" customHeight="1" x14ac:dyDescent="0.3">
      <c r="J13100" s="33"/>
    </row>
    <row r="13101" spans="10:10" ht="15" customHeight="1" x14ac:dyDescent="0.3">
      <c r="J13101" s="33"/>
    </row>
    <row r="13102" spans="10:10" ht="15" customHeight="1" x14ac:dyDescent="0.3">
      <c r="J13102" s="33"/>
    </row>
    <row r="13103" spans="10:10" ht="15" customHeight="1" x14ac:dyDescent="0.3">
      <c r="J13103" s="33"/>
    </row>
    <row r="13104" spans="10:10" ht="15" customHeight="1" x14ac:dyDescent="0.3">
      <c r="J13104" s="33"/>
    </row>
    <row r="13105" spans="10:10" ht="15" customHeight="1" x14ac:dyDescent="0.3">
      <c r="J13105" s="33"/>
    </row>
    <row r="13106" spans="10:10" ht="15" customHeight="1" x14ac:dyDescent="0.3">
      <c r="J13106" s="33"/>
    </row>
    <row r="13107" spans="10:10" ht="15" customHeight="1" x14ac:dyDescent="0.3">
      <c r="J13107" s="33"/>
    </row>
    <row r="13108" spans="10:10" ht="15" customHeight="1" x14ac:dyDescent="0.3">
      <c r="J13108" s="33"/>
    </row>
    <row r="13109" spans="10:10" ht="15" customHeight="1" x14ac:dyDescent="0.3">
      <c r="J13109" s="33"/>
    </row>
    <row r="13110" spans="10:10" ht="15" customHeight="1" x14ac:dyDescent="0.3">
      <c r="J13110" s="33"/>
    </row>
    <row r="13111" spans="10:10" ht="15" customHeight="1" x14ac:dyDescent="0.3">
      <c r="J13111" s="33"/>
    </row>
    <row r="13112" spans="10:10" ht="15" customHeight="1" x14ac:dyDescent="0.3">
      <c r="J13112" s="33"/>
    </row>
    <row r="13113" spans="10:10" ht="15" customHeight="1" x14ac:dyDescent="0.3">
      <c r="J13113" s="33"/>
    </row>
    <row r="13114" spans="10:10" ht="15" customHeight="1" x14ac:dyDescent="0.3">
      <c r="J13114" s="33"/>
    </row>
    <row r="13115" spans="10:10" ht="15" customHeight="1" x14ac:dyDescent="0.3">
      <c r="J13115" s="33"/>
    </row>
    <row r="13116" spans="10:10" ht="15" customHeight="1" x14ac:dyDescent="0.3">
      <c r="J13116" s="33"/>
    </row>
    <row r="13117" spans="10:10" ht="15" customHeight="1" x14ac:dyDescent="0.3">
      <c r="J13117" s="33"/>
    </row>
    <row r="13118" spans="10:10" ht="15" customHeight="1" x14ac:dyDescent="0.3">
      <c r="J13118" s="33"/>
    </row>
    <row r="13119" spans="10:10" ht="15" customHeight="1" x14ac:dyDescent="0.3">
      <c r="J13119" s="33"/>
    </row>
    <row r="13120" spans="10:10" ht="15" customHeight="1" x14ac:dyDescent="0.3">
      <c r="J13120" s="33"/>
    </row>
    <row r="13121" spans="10:10" ht="15" customHeight="1" x14ac:dyDescent="0.3">
      <c r="J13121" s="33"/>
    </row>
    <row r="13122" spans="10:10" ht="15" customHeight="1" x14ac:dyDescent="0.3">
      <c r="J13122" s="33"/>
    </row>
    <row r="13123" spans="10:10" ht="15" customHeight="1" x14ac:dyDescent="0.3">
      <c r="J13123" s="33"/>
    </row>
    <row r="13124" spans="10:10" ht="15" customHeight="1" x14ac:dyDescent="0.3">
      <c r="J13124" s="33"/>
    </row>
    <row r="13125" spans="10:10" ht="15" customHeight="1" x14ac:dyDescent="0.3">
      <c r="J13125" s="33"/>
    </row>
    <row r="13126" spans="10:10" ht="15" customHeight="1" x14ac:dyDescent="0.3">
      <c r="J13126" s="33"/>
    </row>
    <row r="13127" spans="10:10" ht="15" customHeight="1" x14ac:dyDescent="0.3">
      <c r="J13127" s="33"/>
    </row>
    <row r="13128" spans="10:10" ht="15" customHeight="1" x14ac:dyDescent="0.3">
      <c r="J13128" s="33"/>
    </row>
    <row r="13129" spans="10:10" ht="15" customHeight="1" x14ac:dyDescent="0.3">
      <c r="J13129" s="33"/>
    </row>
    <row r="13130" spans="10:10" ht="15" customHeight="1" x14ac:dyDescent="0.3">
      <c r="J13130" s="33"/>
    </row>
    <row r="13131" spans="10:10" ht="15" customHeight="1" x14ac:dyDescent="0.3">
      <c r="J13131" s="33"/>
    </row>
    <row r="13132" spans="10:10" ht="15" customHeight="1" x14ac:dyDescent="0.3">
      <c r="J13132" s="33"/>
    </row>
    <row r="13133" spans="10:10" ht="15" customHeight="1" x14ac:dyDescent="0.3">
      <c r="J13133" s="33"/>
    </row>
    <row r="13134" spans="10:10" ht="15" customHeight="1" x14ac:dyDescent="0.3">
      <c r="J13134" s="33"/>
    </row>
    <row r="13135" spans="10:10" ht="15" customHeight="1" x14ac:dyDescent="0.3">
      <c r="J13135" s="33"/>
    </row>
    <row r="13136" spans="10:10" ht="15" customHeight="1" x14ac:dyDescent="0.3">
      <c r="J13136" s="33"/>
    </row>
    <row r="13137" spans="10:10" ht="15" customHeight="1" x14ac:dyDescent="0.3">
      <c r="J13137" s="33"/>
    </row>
    <row r="13138" spans="10:10" ht="15" customHeight="1" x14ac:dyDescent="0.3">
      <c r="J13138" s="33"/>
    </row>
    <row r="13139" spans="10:10" ht="15" customHeight="1" x14ac:dyDescent="0.3">
      <c r="J13139" s="33"/>
    </row>
    <row r="13140" spans="10:10" ht="15" customHeight="1" x14ac:dyDescent="0.3">
      <c r="J13140" s="33"/>
    </row>
    <row r="13141" spans="10:10" ht="15" customHeight="1" x14ac:dyDescent="0.3">
      <c r="J13141" s="33"/>
    </row>
    <row r="13142" spans="10:10" ht="15" customHeight="1" x14ac:dyDescent="0.3">
      <c r="J13142" s="33"/>
    </row>
    <row r="13143" spans="10:10" ht="15" customHeight="1" x14ac:dyDescent="0.3">
      <c r="J13143" s="33"/>
    </row>
    <row r="13144" spans="10:10" ht="15" customHeight="1" x14ac:dyDescent="0.3">
      <c r="J13144" s="33"/>
    </row>
    <row r="13145" spans="10:10" ht="15" customHeight="1" x14ac:dyDescent="0.3">
      <c r="J13145" s="33"/>
    </row>
    <row r="13146" spans="10:10" ht="15" customHeight="1" x14ac:dyDescent="0.3">
      <c r="J13146" s="33"/>
    </row>
    <row r="13147" spans="10:10" ht="15" customHeight="1" x14ac:dyDescent="0.3">
      <c r="J13147" s="33"/>
    </row>
    <row r="13148" spans="10:10" ht="15" customHeight="1" x14ac:dyDescent="0.3">
      <c r="J13148" s="33"/>
    </row>
    <row r="13149" spans="10:10" ht="15" customHeight="1" x14ac:dyDescent="0.3">
      <c r="J13149" s="33"/>
    </row>
    <row r="13150" spans="10:10" ht="15" customHeight="1" x14ac:dyDescent="0.3">
      <c r="J13150" s="33"/>
    </row>
    <row r="13151" spans="10:10" ht="15" customHeight="1" x14ac:dyDescent="0.3">
      <c r="J13151" s="33"/>
    </row>
    <row r="13152" spans="10:10" ht="15" customHeight="1" x14ac:dyDescent="0.3">
      <c r="J13152" s="33"/>
    </row>
    <row r="13153" spans="10:10" ht="15" customHeight="1" x14ac:dyDescent="0.3">
      <c r="J13153" s="33"/>
    </row>
    <row r="13154" spans="10:10" ht="15" customHeight="1" x14ac:dyDescent="0.3">
      <c r="J13154" s="33"/>
    </row>
    <row r="13155" spans="10:10" ht="15" customHeight="1" x14ac:dyDescent="0.3">
      <c r="J13155" s="33"/>
    </row>
    <row r="13156" spans="10:10" ht="15" customHeight="1" x14ac:dyDescent="0.3">
      <c r="J13156" s="33"/>
    </row>
    <row r="13157" spans="10:10" ht="15" customHeight="1" x14ac:dyDescent="0.3">
      <c r="J13157" s="33"/>
    </row>
    <row r="13158" spans="10:10" ht="15" customHeight="1" x14ac:dyDescent="0.3">
      <c r="J13158" s="33"/>
    </row>
    <row r="13159" spans="10:10" ht="15" customHeight="1" x14ac:dyDescent="0.3">
      <c r="J13159" s="33"/>
    </row>
    <row r="13160" spans="10:10" ht="15" customHeight="1" x14ac:dyDescent="0.3">
      <c r="J13160" s="33"/>
    </row>
    <row r="13161" spans="10:10" ht="15" customHeight="1" x14ac:dyDescent="0.3">
      <c r="J13161" s="33"/>
    </row>
    <row r="13162" spans="10:10" ht="15" customHeight="1" x14ac:dyDescent="0.3">
      <c r="J13162" s="33"/>
    </row>
    <row r="13163" spans="10:10" ht="15" customHeight="1" x14ac:dyDescent="0.3">
      <c r="J13163" s="33"/>
    </row>
    <row r="13164" spans="10:10" ht="15" customHeight="1" x14ac:dyDescent="0.3">
      <c r="J13164" s="33"/>
    </row>
    <row r="13165" spans="10:10" ht="15" customHeight="1" x14ac:dyDescent="0.3">
      <c r="J13165" s="33"/>
    </row>
    <row r="13166" spans="10:10" ht="15" customHeight="1" x14ac:dyDescent="0.3">
      <c r="J13166" s="33"/>
    </row>
    <row r="13167" spans="10:10" ht="15" customHeight="1" x14ac:dyDescent="0.3">
      <c r="J13167" s="33"/>
    </row>
    <row r="13168" spans="10:10" ht="15" customHeight="1" x14ac:dyDescent="0.3">
      <c r="J13168" s="33"/>
    </row>
    <row r="13169" spans="10:10" ht="15" customHeight="1" x14ac:dyDescent="0.3">
      <c r="J13169" s="33"/>
    </row>
    <row r="13170" spans="10:10" ht="15" customHeight="1" x14ac:dyDescent="0.3">
      <c r="J13170" s="33"/>
    </row>
    <row r="13171" spans="10:10" ht="15" customHeight="1" x14ac:dyDescent="0.3">
      <c r="J13171" s="33"/>
    </row>
    <row r="13172" spans="10:10" ht="15" customHeight="1" x14ac:dyDescent="0.3">
      <c r="J13172" s="33"/>
    </row>
    <row r="13173" spans="10:10" ht="15" customHeight="1" x14ac:dyDescent="0.3">
      <c r="J13173" s="33"/>
    </row>
    <row r="13174" spans="10:10" ht="15" customHeight="1" x14ac:dyDescent="0.3">
      <c r="J13174" s="33"/>
    </row>
    <row r="13175" spans="10:10" ht="15" customHeight="1" x14ac:dyDescent="0.3">
      <c r="J13175" s="33"/>
    </row>
    <row r="13176" spans="10:10" ht="15" customHeight="1" x14ac:dyDescent="0.3">
      <c r="J13176" s="33"/>
    </row>
    <row r="13177" spans="10:10" ht="15" customHeight="1" x14ac:dyDescent="0.3">
      <c r="J13177" s="33"/>
    </row>
    <row r="13178" spans="10:10" ht="15" customHeight="1" x14ac:dyDescent="0.3">
      <c r="J13178" s="33"/>
    </row>
    <row r="13179" spans="10:10" ht="15" customHeight="1" x14ac:dyDescent="0.3">
      <c r="J13179" s="33"/>
    </row>
    <row r="13180" spans="10:10" ht="15" customHeight="1" x14ac:dyDescent="0.3">
      <c r="J13180" s="33"/>
    </row>
    <row r="13181" spans="10:10" ht="15" customHeight="1" x14ac:dyDescent="0.3">
      <c r="J13181" s="33"/>
    </row>
    <row r="13182" spans="10:10" ht="15" customHeight="1" x14ac:dyDescent="0.3">
      <c r="J13182" s="33"/>
    </row>
    <row r="13183" spans="10:10" ht="15" customHeight="1" x14ac:dyDescent="0.3">
      <c r="J13183" s="33"/>
    </row>
    <row r="13184" spans="10:10" ht="15" customHeight="1" x14ac:dyDescent="0.3">
      <c r="J13184" s="33"/>
    </row>
    <row r="13185" spans="10:10" ht="15" customHeight="1" x14ac:dyDescent="0.3">
      <c r="J13185" s="33"/>
    </row>
    <row r="13186" spans="10:10" ht="15" customHeight="1" x14ac:dyDescent="0.3">
      <c r="J13186" s="33"/>
    </row>
    <row r="13187" spans="10:10" ht="15" customHeight="1" x14ac:dyDescent="0.3">
      <c r="J13187" s="33"/>
    </row>
    <row r="13188" spans="10:10" ht="15" customHeight="1" x14ac:dyDescent="0.3">
      <c r="J13188" s="33"/>
    </row>
    <row r="13189" spans="10:10" ht="15" customHeight="1" x14ac:dyDescent="0.3">
      <c r="J13189" s="33"/>
    </row>
    <row r="13190" spans="10:10" ht="15" customHeight="1" x14ac:dyDescent="0.3">
      <c r="J13190" s="33"/>
    </row>
    <row r="13191" spans="10:10" ht="15" customHeight="1" x14ac:dyDescent="0.3">
      <c r="J13191" s="33"/>
    </row>
    <row r="13192" spans="10:10" ht="15" customHeight="1" x14ac:dyDescent="0.3">
      <c r="J13192" s="33"/>
    </row>
    <row r="13193" spans="10:10" ht="15" customHeight="1" x14ac:dyDescent="0.3">
      <c r="J13193" s="33"/>
    </row>
    <row r="13194" spans="10:10" ht="15" customHeight="1" x14ac:dyDescent="0.3">
      <c r="J13194" s="33"/>
    </row>
    <row r="13195" spans="10:10" ht="15" customHeight="1" x14ac:dyDescent="0.3">
      <c r="J13195" s="33"/>
    </row>
    <row r="13196" spans="10:10" ht="15" customHeight="1" x14ac:dyDescent="0.3">
      <c r="J13196" s="33"/>
    </row>
    <row r="13197" spans="10:10" ht="15" customHeight="1" x14ac:dyDescent="0.3">
      <c r="J13197" s="33"/>
    </row>
    <row r="13198" spans="10:10" ht="15" customHeight="1" x14ac:dyDescent="0.3">
      <c r="J13198" s="33"/>
    </row>
    <row r="13199" spans="10:10" ht="15" customHeight="1" x14ac:dyDescent="0.3">
      <c r="J13199" s="33"/>
    </row>
    <row r="13200" spans="10:10" ht="15" customHeight="1" x14ac:dyDescent="0.3">
      <c r="J13200" s="33"/>
    </row>
    <row r="13201" spans="10:10" ht="15" customHeight="1" x14ac:dyDescent="0.3">
      <c r="J13201" s="33"/>
    </row>
    <row r="13202" spans="10:10" ht="15" customHeight="1" x14ac:dyDescent="0.3">
      <c r="J13202" s="33"/>
    </row>
    <row r="13203" spans="10:10" ht="15" customHeight="1" x14ac:dyDescent="0.3">
      <c r="J13203" s="33"/>
    </row>
    <row r="13204" spans="10:10" ht="15" customHeight="1" x14ac:dyDescent="0.3">
      <c r="J13204" s="33"/>
    </row>
    <row r="13205" spans="10:10" ht="15" customHeight="1" x14ac:dyDescent="0.3">
      <c r="J13205" s="33"/>
    </row>
    <row r="13206" spans="10:10" ht="15" customHeight="1" x14ac:dyDescent="0.3">
      <c r="J13206" s="33"/>
    </row>
    <row r="13207" spans="10:10" ht="15" customHeight="1" x14ac:dyDescent="0.3">
      <c r="J13207" s="33"/>
    </row>
    <row r="13208" spans="10:10" ht="15" customHeight="1" x14ac:dyDescent="0.3">
      <c r="J13208" s="33"/>
    </row>
    <row r="13209" spans="10:10" ht="15" customHeight="1" x14ac:dyDescent="0.3">
      <c r="J13209" s="33"/>
    </row>
    <row r="13210" spans="10:10" ht="15" customHeight="1" x14ac:dyDescent="0.3">
      <c r="J13210" s="33"/>
    </row>
    <row r="13211" spans="10:10" ht="15" customHeight="1" x14ac:dyDescent="0.3">
      <c r="J13211" s="33"/>
    </row>
    <row r="13212" spans="10:10" ht="15" customHeight="1" x14ac:dyDescent="0.3">
      <c r="J13212" s="33"/>
    </row>
    <row r="13213" spans="10:10" ht="15" customHeight="1" x14ac:dyDescent="0.3">
      <c r="J13213" s="33"/>
    </row>
    <row r="13214" spans="10:10" ht="15" customHeight="1" x14ac:dyDescent="0.3">
      <c r="J13214" s="33"/>
    </row>
    <row r="13215" spans="10:10" ht="15" customHeight="1" x14ac:dyDescent="0.3">
      <c r="J13215" s="33"/>
    </row>
    <row r="13216" spans="10:10" ht="15" customHeight="1" x14ac:dyDescent="0.3">
      <c r="J13216" s="33"/>
    </row>
    <row r="13217" spans="10:10" ht="15" customHeight="1" x14ac:dyDescent="0.3">
      <c r="J13217" s="33"/>
    </row>
    <row r="13218" spans="10:10" ht="15" customHeight="1" x14ac:dyDescent="0.3">
      <c r="J13218" s="33"/>
    </row>
    <row r="13219" spans="10:10" ht="15" customHeight="1" x14ac:dyDescent="0.3">
      <c r="J13219" s="33"/>
    </row>
    <row r="13220" spans="10:10" ht="15" customHeight="1" x14ac:dyDescent="0.3">
      <c r="J13220" s="33"/>
    </row>
    <row r="13221" spans="10:10" ht="15" customHeight="1" x14ac:dyDescent="0.3">
      <c r="J13221" s="33"/>
    </row>
    <row r="13222" spans="10:10" ht="15" customHeight="1" x14ac:dyDescent="0.3">
      <c r="J13222" s="33"/>
    </row>
    <row r="13223" spans="10:10" ht="15" customHeight="1" x14ac:dyDescent="0.3">
      <c r="J13223" s="33"/>
    </row>
    <row r="13224" spans="10:10" ht="15" customHeight="1" x14ac:dyDescent="0.3">
      <c r="J13224" s="33"/>
    </row>
    <row r="13225" spans="10:10" ht="15" customHeight="1" x14ac:dyDescent="0.3">
      <c r="J13225" s="33"/>
    </row>
    <row r="13226" spans="10:10" ht="15" customHeight="1" x14ac:dyDescent="0.3">
      <c r="J13226" s="33"/>
    </row>
    <row r="13227" spans="10:10" ht="15" customHeight="1" x14ac:dyDescent="0.3">
      <c r="J13227" s="33"/>
    </row>
    <row r="13228" spans="10:10" ht="15" customHeight="1" x14ac:dyDescent="0.3">
      <c r="J13228" s="33"/>
    </row>
    <row r="13229" spans="10:10" ht="15" customHeight="1" x14ac:dyDescent="0.3">
      <c r="J13229" s="33"/>
    </row>
    <row r="13230" spans="10:10" ht="15" customHeight="1" x14ac:dyDescent="0.3">
      <c r="J13230" s="33"/>
    </row>
    <row r="13231" spans="10:10" ht="15" customHeight="1" x14ac:dyDescent="0.3">
      <c r="J13231" s="33"/>
    </row>
    <row r="13232" spans="10:10" ht="15" customHeight="1" x14ac:dyDescent="0.3">
      <c r="J13232" s="33"/>
    </row>
    <row r="13233" spans="10:10" ht="15" customHeight="1" x14ac:dyDescent="0.3">
      <c r="J13233" s="33"/>
    </row>
    <row r="13234" spans="10:10" ht="15" customHeight="1" x14ac:dyDescent="0.3">
      <c r="J13234" s="33"/>
    </row>
    <row r="13235" spans="10:10" ht="15" customHeight="1" x14ac:dyDescent="0.3">
      <c r="J13235" s="33"/>
    </row>
    <row r="13236" spans="10:10" ht="15" customHeight="1" x14ac:dyDescent="0.3">
      <c r="J13236" s="33"/>
    </row>
    <row r="13237" spans="10:10" ht="15" customHeight="1" x14ac:dyDescent="0.3">
      <c r="J13237" s="33"/>
    </row>
    <row r="13238" spans="10:10" ht="15" customHeight="1" x14ac:dyDescent="0.3">
      <c r="J13238" s="33"/>
    </row>
    <row r="13239" spans="10:10" ht="15" customHeight="1" x14ac:dyDescent="0.3">
      <c r="J13239" s="33"/>
    </row>
    <row r="13240" spans="10:10" ht="15" customHeight="1" x14ac:dyDescent="0.3">
      <c r="J13240" s="33"/>
    </row>
    <row r="13241" spans="10:10" ht="15" customHeight="1" x14ac:dyDescent="0.3">
      <c r="J13241" s="33"/>
    </row>
    <row r="13242" spans="10:10" ht="15" customHeight="1" x14ac:dyDescent="0.3">
      <c r="J13242" s="33"/>
    </row>
    <row r="13243" spans="10:10" ht="15" customHeight="1" x14ac:dyDescent="0.3">
      <c r="J13243" s="33"/>
    </row>
    <row r="13244" spans="10:10" ht="15" customHeight="1" x14ac:dyDescent="0.3">
      <c r="J13244" s="33"/>
    </row>
    <row r="13245" spans="10:10" ht="15" customHeight="1" x14ac:dyDescent="0.3">
      <c r="J13245" s="33"/>
    </row>
    <row r="13246" spans="10:10" ht="15" customHeight="1" x14ac:dyDescent="0.3">
      <c r="J13246" s="33"/>
    </row>
    <row r="13247" spans="10:10" ht="15" customHeight="1" x14ac:dyDescent="0.3">
      <c r="J13247" s="33"/>
    </row>
    <row r="13248" spans="10:10" ht="15" customHeight="1" x14ac:dyDescent="0.3">
      <c r="J13248" s="33"/>
    </row>
    <row r="13249" spans="10:10" ht="15" customHeight="1" x14ac:dyDescent="0.3">
      <c r="J13249" s="33"/>
    </row>
    <row r="13250" spans="10:10" ht="15" customHeight="1" x14ac:dyDescent="0.3">
      <c r="J13250" s="33"/>
    </row>
    <row r="13251" spans="10:10" ht="15" customHeight="1" x14ac:dyDescent="0.3">
      <c r="J13251" s="33"/>
    </row>
    <row r="13252" spans="10:10" ht="15" customHeight="1" x14ac:dyDescent="0.3">
      <c r="J13252" s="33"/>
    </row>
    <row r="13253" spans="10:10" ht="15" customHeight="1" x14ac:dyDescent="0.3">
      <c r="J13253" s="33"/>
    </row>
    <row r="13254" spans="10:10" ht="15" customHeight="1" x14ac:dyDescent="0.3">
      <c r="J13254" s="33"/>
    </row>
    <row r="13255" spans="10:10" ht="15" customHeight="1" x14ac:dyDescent="0.3">
      <c r="J13255" s="33"/>
    </row>
    <row r="13256" spans="10:10" ht="15" customHeight="1" x14ac:dyDescent="0.3">
      <c r="J13256" s="33"/>
    </row>
    <row r="13257" spans="10:10" ht="15" customHeight="1" x14ac:dyDescent="0.3">
      <c r="J13257" s="33"/>
    </row>
    <row r="13258" spans="10:10" ht="15" customHeight="1" x14ac:dyDescent="0.3">
      <c r="J13258" s="33"/>
    </row>
    <row r="13259" spans="10:10" ht="15" customHeight="1" x14ac:dyDescent="0.3">
      <c r="J13259" s="33"/>
    </row>
    <row r="13260" spans="10:10" ht="15" customHeight="1" x14ac:dyDescent="0.3">
      <c r="J13260" s="33"/>
    </row>
    <row r="13261" spans="10:10" ht="15" customHeight="1" x14ac:dyDescent="0.3">
      <c r="J13261" s="33"/>
    </row>
    <row r="13262" spans="10:10" ht="15" customHeight="1" x14ac:dyDescent="0.3">
      <c r="J13262" s="33"/>
    </row>
    <row r="13263" spans="10:10" ht="15" customHeight="1" x14ac:dyDescent="0.3">
      <c r="J13263" s="33"/>
    </row>
    <row r="13264" spans="10:10" ht="15" customHeight="1" x14ac:dyDescent="0.3">
      <c r="J13264" s="33"/>
    </row>
    <row r="13265" spans="10:10" ht="15" customHeight="1" x14ac:dyDescent="0.3">
      <c r="J13265" s="33"/>
    </row>
    <row r="13266" spans="10:10" ht="15" customHeight="1" x14ac:dyDescent="0.3">
      <c r="J13266" s="33"/>
    </row>
    <row r="13267" spans="10:10" ht="15" customHeight="1" x14ac:dyDescent="0.3">
      <c r="J13267" s="33"/>
    </row>
    <row r="13268" spans="10:10" ht="15" customHeight="1" x14ac:dyDescent="0.3">
      <c r="J13268" s="33"/>
    </row>
    <row r="13269" spans="10:10" ht="15" customHeight="1" x14ac:dyDescent="0.3">
      <c r="J13269" s="33"/>
    </row>
    <row r="13270" spans="10:10" ht="15" customHeight="1" x14ac:dyDescent="0.3">
      <c r="J13270" s="33"/>
    </row>
    <row r="13271" spans="10:10" ht="15" customHeight="1" x14ac:dyDescent="0.3">
      <c r="J13271" s="33"/>
    </row>
    <row r="13272" spans="10:10" ht="15" customHeight="1" x14ac:dyDescent="0.3">
      <c r="J13272" s="33"/>
    </row>
    <row r="13273" spans="10:10" ht="15" customHeight="1" x14ac:dyDescent="0.3">
      <c r="J13273" s="33"/>
    </row>
    <row r="13274" spans="10:10" ht="15" customHeight="1" x14ac:dyDescent="0.3">
      <c r="J13274" s="33"/>
    </row>
    <row r="13275" spans="10:10" ht="15" customHeight="1" x14ac:dyDescent="0.3">
      <c r="J13275" s="33"/>
    </row>
    <row r="13276" spans="10:10" ht="15" customHeight="1" x14ac:dyDescent="0.3">
      <c r="J13276" s="33"/>
    </row>
    <row r="13277" spans="10:10" ht="15" customHeight="1" x14ac:dyDescent="0.3">
      <c r="J13277" s="33"/>
    </row>
    <row r="13278" spans="10:10" ht="15" customHeight="1" x14ac:dyDescent="0.3">
      <c r="J13278" s="33"/>
    </row>
    <row r="13279" spans="10:10" ht="15" customHeight="1" x14ac:dyDescent="0.3">
      <c r="J13279" s="33"/>
    </row>
    <row r="13280" spans="10:10" ht="15" customHeight="1" x14ac:dyDescent="0.3">
      <c r="J13280" s="33"/>
    </row>
    <row r="13281" spans="10:10" ht="15" customHeight="1" x14ac:dyDescent="0.3">
      <c r="J13281" s="33"/>
    </row>
    <row r="13282" spans="10:10" ht="15" customHeight="1" x14ac:dyDescent="0.3">
      <c r="J13282" s="33"/>
    </row>
    <row r="13283" spans="10:10" ht="15" customHeight="1" x14ac:dyDescent="0.3">
      <c r="J13283" s="33"/>
    </row>
    <row r="13284" spans="10:10" ht="15" customHeight="1" x14ac:dyDescent="0.3">
      <c r="J13284" s="33"/>
    </row>
    <row r="13285" spans="10:10" ht="15" customHeight="1" x14ac:dyDescent="0.3">
      <c r="J13285" s="33"/>
    </row>
    <row r="13286" spans="10:10" ht="15" customHeight="1" x14ac:dyDescent="0.3">
      <c r="J13286" s="33"/>
    </row>
    <row r="13287" spans="10:10" ht="15" customHeight="1" x14ac:dyDescent="0.3">
      <c r="J13287" s="33"/>
    </row>
    <row r="13288" spans="10:10" ht="15" customHeight="1" x14ac:dyDescent="0.3">
      <c r="J13288" s="33"/>
    </row>
    <row r="13289" spans="10:10" ht="15" customHeight="1" x14ac:dyDescent="0.3">
      <c r="J13289" s="33"/>
    </row>
    <row r="13290" spans="10:10" ht="15" customHeight="1" x14ac:dyDescent="0.3">
      <c r="J13290" s="33"/>
    </row>
    <row r="13291" spans="10:10" ht="15" customHeight="1" x14ac:dyDescent="0.3">
      <c r="J13291" s="33"/>
    </row>
    <row r="13292" spans="10:10" ht="15" customHeight="1" x14ac:dyDescent="0.3">
      <c r="J13292" s="33"/>
    </row>
    <row r="13293" spans="10:10" ht="15" customHeight="1" x14ac:dyDescent="0.3">
      <c r="J13293" s="33"/>
    </row>
    <row r="13294" spans="10:10" ht="15" customHeight="1" x14ac:dyDescent="0.3">
      <c r="J13294" s="33"/>
    </row>
    <row r="13295" spans="10:10" ht="15" customHeight="1" x14ac:dyDescent="0.3">
      <c r="J13295" s="33"/>
    </row>
    <row r="13296" spans="10:10" ht="15" customHeight="1" x14ac:dyDescent="0.3">
      <c r="J13296" s="33"/>
    </row>
    <row r="13297" spans="10:10" ht="15" customHeight="1" x14ac:dyDescent="0.3">
      <c r="J13297" s="33"/>
    </row>
    <row r="13298" spans="10:10" ht="15" customHeight="1" x14ac:dyDescent="0.3">
      <c r="J13298" s="33"/>
    </row>
    <row r="13299" spans="10:10" ht="15" customHeight="1" x14ac:dyDescent="0.3">
      <c r="J13299" s="33"/>
    </row>
    <row r="13300" spans="10:10" ht="15" customHeight="1" x14ac:dyDescent="0.3">
      <c r="J13300" s="33"/>
    </row>
    <row r="13301" spans="10:10" ht="15" customHeight="1" x14ac:dyDescent="0.3">
      <c r="J13301" s="33"/>
    </row>
    <row r="13302" spans="10:10" ht="15" customHeight="1" x14ac:dyDescent="0.3">
      <c r="J13302" s="33"/>
    </row>
    <row r="13303" spans="10:10" ht="15" customHeight="1" x14ac:dyDescent="0.3">
      <c r="J13303" s="33"/>
    </row>
    <row r="13304" spans="10:10" ht="15" customHeight="1" x14ac:dyDescent="0.3">
      <c r="J13304" s="33"/>
    </row>
    <row r="13305" spans="10:10" ht="15" customHeight="1" x14ac:dyDescent="0.3">
      <c r="J13305" s="33"/>
    </row>
    <row r="13306" spans="10:10" ht="15" customHeight="1" x14ac:dyDescent="0.3">
      <c r="J13306" s="33"/>
    </row>
    <row r="13307" spans="10:10" ht="15" customHeight="1" x14ac:dyDescent="0.3">
      <c r="J13307" s="33"/>
    </row>
    <row r="13308" spans="10:10" ht="15" customHeight="1" x14ac:dyDescent="0.3">
      <c r="J13308" s="33"/>
    </row>
    <row r="13309" spans="10:10" ht="15" customHeight="1" x14ac:dyDescent="0.3">
      <c r="J13309" s="33"/>
    </row>
    <row r="13310" spans="10:10" ht="15" customHeight="1" x14ac:dyDescent="0.3">
      <c r="J13310" s="33"/>
    </row>
    <row r="13311" spans="10:10" ht="15" customHeight="1" x14ac:dyDescent="0.3">
      <c r="J13311" s="33"/>
    </row>
    <row r="13312" spans="10:10" ht="15" customHeight="1" x14ac:dyDescent="0.3">
      <c r="J13312" s="33"/>
    </row>
    <row r="13313" spans="10:10" ht="15" customHeight="1" x14ac:dyDescent="0.3">
      <c r="J13313" s="33"/>
    </row>
    <row r="13314" spans="10:10" ht="15" customHeight="1" x14ac:dyDescent="0.3">
      <c r="J13314" s="33"/>
    </row>
    <row r="13315" spans="10:10" ht="15" customHeight="1" x14ac:dyDescent="0.3">
      <c r="J13315" s="33"/>
    </row>
    <row r="13316" spans="10:10" ht="15" customHeight="1" x14ac:dyDescent="0.3">
      <c r="J13316" s="33"/>
    </row>
    <row r="13317" spans="10:10" ht="15" customHeight="1" x14ac:dyDescent="0.3">
      <c r="J13317" s="33"/>
    </row>
    <row r="13318" spans="10:10" ht="15" customHeight="1" x14ac:dyDescent="0.3">
      <c r="J13318" s="33"/>
    </row>
    <row r="13319" spans="10:10" ht="15" customHeight="1" x14ac:dyDescent="0.3">
      <c r="J13319" s="33"/>
    </row>
    <row r="13320" spans="10:10" ht="15" customHeight="1" x14ac:dyDescent="0.3">
      <c r="J13320" s="33"/>
    </row>
    <row r="13321" spans="10:10" ht="15" customHeight="1" x14ac:dyDescent="0.3">
      <c r="J13321" s="33"/>
    </row>
    <row r="13322" spans="10:10" ht="15" customHeight="1" x14ac:dyDescent="0.3">
      <c r="J13322" s="33"/>
    </row>
    <row r="13323" spans="10:10" ht="15" customHeight="1" x14ac:dyDescent="0.3">
      <c r="J13323" s="33"/>
    </row>
    <row r="13324" spans="10:10" ht="15" customHeight="1" x14ac:dyDescent="0.3">
      <c r="J13324" s="33"/>
    </row>
    <row r="13325" spans="10:10" ht="15" customHeight="1" x14ac:dyDescent="0.3">
      <c r="J13325" s="33"/>
    </row>
    <row r="13326" spans="10:10" ht="15" customHeight="1" x14ac:dyDescent="0.3">
      <c r="J13326" s="33"/>
    </row>
    <row r="13327" spans="10:10" ht="15" customHeight="1" x14ac:dyDescent="0.3">
      <c r="J13327" s="33"/>
    </row>
    <row r="13328" spans="10:10" ht="15" customHeight="1" x14ac:dyDescent="0.3">
      <c r="J13328" s="33"/>
    </row>
    <row r="13329" spans="10:10" ht="15" customHeight="1" x14ac:dyDescent="0.3">
      <c r="J13329" s="33"/>
    </row>
    <row r="13330" spans="10:10" ht="15" customHeight="1" x14ac:dyDescent="0.3">
      <c r="J13330" s="33"/>
    </row>
    <row r="13331" spans="10:10" ht="15" customHeight="1" x14ac:dyDescent="0.3">
      <c r="J13331" s="33"/>
    </row>
    <row r="13332" spans="10:10" ht="15" customHeight="1" x14ac:dyDescent="0.3">
      <c r="J13332" s="33"/>
    </row>
    <row r="13333" spans="10:10" ht="15" customHeight="1" x14ac:dyDescent="0.3">
      <c r="J13333" s="33"/>
    </row>
    <row r="13334" spans="10:10" ht="15" customHeight="1" x14ac:dyDescent="0.3">
      <c r="J13334" s="33"/>
    </row>
    <row r="13335" spans="10:10" ht="15" customHeight="1" x14ac:dyDescent="0.3">
      <c r="J13335" s="33"/>
    </row>
    <row r="13336" spans="10:10" ht="15" customHeight="1" x14ac:dyDescent="0.3">
      <c r="J13336" s="33"/>
    </row>
    <row r="13337" spans="10:10" ht="15" customHeight="1" x14ac:dyDescent="0.3">
      <c r="J13337" s="33"/>
    </row>
    <row r="13338" spans="10:10" ht="15" customHeight="1" x14ac:dyDescent="0.3">
      <c r="J13338" s="33"/>
    </row>
    <row r="13339" spans="10:10" ht="15" customHeight="1" x14ac:dyDescent="0.3">
      <c r="J13339" s="33"/>
    </row>
    <row r="13340" spans="10:10" ht="15" customHeight="1" x14ac:dyDescent="0.3">
      <c r="J13340" s="33"/>
    </row>
    <row r="13341" spans="10:10" ht="15" customHeight="1" x14ac:dyDescent="0.3">
      <c r="J13341" s="33"/>
    </row>
    <row r="13342" spans="10:10" ht="15" customHeight="1" x14ac:dyDescent="0.3">
      <c r="J13342" s="33"/>
    </row>
    <row r="13343" spans="10:10" ht="15" customHeight="1" x14ac:dyDescent="0.3">
      <c r="J13343" s="33"/>
    </row>
    <row r="13344" spans="10:10" ht="15" customHeight="1" x14ac:dyDescent="0.3">
      <c r="J13344" s="33"/>
    </row>
    <row r="13345" spans="10:10" ht="15" customHeight="1" x14ac:dyDescent="0.3">
      <c r="J13345" s="33"/>
    </row>
    <row r="13346" spans="10:10" ht="15" customHeight="1" x14ac:dyDescent="0.3">
      <c r="J13346" s="33"/>
    </row>
    <row r="13347" spans="10:10" ht="15" customHeight="1" x14ac:dyDescent="0.3">
      <c r="J13347" s="33"/>
    </row>
    <row r="13348" spans="10:10" ht="15" customHeight="1" x14ac:dyDescent="0.3">
      <c r="J13348" s="33"/>
    </row>
    <row r="13349" spans="10:10" ht="15" customHeight="1" x14ac:dyDescent="0.3">
      <c r="J13349" s="33"/>
    </row>
    <row r="13350" spans="10:10" ht="15" customHeight="1" x14ac:dyDescent="0.3">
      <c r="J13350" s="33"/>
    </row>
    <row r="13351" spans="10:10" ht="15" customHeight="1" x14ac:dyDescent="0.3">
      <c r="J13351" s="33"/>
    </row>
    <row r="13352" spans="10:10" ht="15" customHeight="1" x14ac:dyDescent="0.3">
      <c r="J13352" s="33"/>
    </row>
    <row r="13353" spans="10:10" ht="15" customHeight="1" x14ac:dyDescent="0.3">
      <c r="J13353" s="33"/>
    </row>
    <row r="13354" spans="10:10" ht="15" customHeight="1" x14ac:dyDescent="0.3">
      <c r="J13354" s="33"/>
    </row>
    <row r="13355" spans="10:10" ht="15" customHeight="1" x14ac:dyDescent="0.3">
      <c r="J13355" s="33"/>
    </row>
    <row r="13356" spans="10:10" ht="15" customHeight="1" x14ac:dyDescent="0.3">
      <c r="J13356" s="33"/>
    </row>
    <row r="13357" spans="10:10" ht="15" customHeight="1" x14ac:dyDescent="0.3">
      <c r="J13357" s="33"/>
    </row>
    <row r="13358" spans="10:10" ht="15" customHeight="1" x14ac:dyDescent="0.3">
      <c r="J13358" s="33"/>
    </row>
    <row r="13359" spans="10:10" ht="15" customHeight="1" x14ac:dyDescent="0.3">
      <c r="J13359" s="33"/>
    </row>
    <row r="13360" spans="10:10" ht="15" customHeight="1" x14ac:dyDescent="0.3">
      <c r="J13360" s="33"/>
    </row>
    <row r="13361" spans="10:10" ht="15" customHeight="1" x14ac:dyDescent="0.3">
      <c r="J13361" s="33"/>
    </row>
    <row r="13362" spans="10:10" ht="15" customHeight="1" x14ac:dyDescent="0.3">
      <c r="J13362" s="33"/>
    </row>
    <row r="13363" spans="10:10" ht="15" customHeight="1" x14ac:dyDescent="0.3">
      <c r="J13363" s="33"/>
    </row>
    <row r="13364" spans="10:10" ht="15" customHeight="1" x14ac:dyDescent="0.3">
      <c r="J13364" s="33"/>
    </row>
    <row r="13365" spans="10:10" ht="15" customHeight="1" x14ac:dyDescent="0.3">
      <c r="J13365" s="33"/>
    </row>
    <row r="13366" spans="10:10" ht="15" customHeight="1" x14ac:dyDescent="0.3">
      <c r="J13366" s="33"/>
    </row>
    <row r="13367" spans="10:10" ht="15" customHeight="1" x14ac:dyDescent="0.3">
      <c r="J13367" s="33"/>
    </row>
    <row r="13368" spans="10:10" ht="15" customHeight="1" x14ac:dyDescent="0.3">
      <c r="J13368" s="33"/>
    </row>
    <row r="13369" spans="10:10" ht="15" customHeight="1" x14ac:dyDescent="0.3">
      <c r="J13369" s="33"/>
    </row>
    <row r="13370" spans="10:10" ht="15" customHeight="1" x14ac:dyDescent="0.3">
      <c r="J13370" s="33"/>
    </row>
    <row r="13371" spans="10:10" ht="15" customHeight="1" x14ac:dyDescent="0.3">
      <c r="J13371" s="33"/>
    </row>
    <row r="13372" spans="10:10" ht="15" customHeight="1" x14ac:dyDescent="0.3">
      <c r="J13372" s="33"/>
    </row>
    <row r="13373" spans="10:10" ht="15" customHeight="1" x14ac:dyDescent="0.3">
      <c r="J13373" s="33"/>
    </row>
    <row r="13374" spans="10:10" ht="15" customHeight="1" x14ac:dyDescent="0.3">
      <c r="J13374" s="33"/>
    </row>
    <row r="13375" spans="10:10" ht="15" customHeight="1" x14ac:dyDescent="0.3">
      <c r="J13375" s="33"/>
    </row>
    <row r="13376" spans="10:10" ht="15" customHeight="1" x14ac:dyDescent="0.3">
      <c r="J13376" s="33"/>
    </row>
    <row r="13377" spans="10:10" ht="15" customHeight="1" x14ac:dyDescent="0.3">
      <c r="J13377" s="33"/>
    </row>
    <row r="13378" spans="10:10" ht="15" customHeight="1" x14ac:dyDescent="0.3">
      <c r="J13378" s="33"/>
    </row>
    <row r="13379" spans="10:10" ht="15" customHeight="1" x14ac:dyDescent="0.3">
      <c r="J13379" s="33"/>
    </row>
    <row r="13380" spans="10:10" ht="15" customHeight="1" x14ac:dyDescent="0.3">
      <c r="J13380" s="33"/>
    </row>
    <row r="13381" spans="10:10" ht="15" customHeight="1" x14ac:dyDescent="0.3">
      <c r="J13381" s="33"/>
    </row>
    <row r="13382" spans="10:10" ht="15" customHeight="1" x14ac:dyDescent="0.3">
      <c r="J13382" s="33"/>
    </row>
    <row r="13383" spans="10:10" ht="15" customHeight="1" x14ac:dyDescent="0.3">
      <c r="J13383" s="33"/>
    </row>
    <row r="13384" spans="10:10" ht="15" customHeight="1" x14ac:dyDescent="0.3">
      <c r="J13384" s="33"/>
    </row>
    <row r="13385" spans="10:10" ht="15" customHeight="1" x14ac:dyDescent="0.3">
      <c r="J13385" s="33"/>
    </row>
    <row r="13386" spans="10:10" ht="15" customHeight="1" x14ac:dyDescent="0.3">
      <c r="J13386" s="33"/>
    </row>
    <row r="13387" spans="10:10" ht="15" customHeight="1" x14ac:dyDescent="0.3">
      <c r="J13387" s="33"/>
    </row>
    <row r="13388" spans="10:10" ht="15" customHeight="1" x14ac:dyDescent="0.3">
      <c r="J13388" s="33"/>
    </row>
    <row r="13389" spans="10:10" ht="15" customHeight="1" x14ac:dyDescent="0.3">
      <c r="J13389" s="33"/>
    </row>
    <row r="13390" spans="10:10" ht="15" customHeight="1" x14ac:dyDescent="0.3">
      <c r="J13390" s="33"/>
    </row>
    <row r="13391" spans="10:10" ht="15" customHeight="1" x14ac:dyDescent="0.3">
      <c r="J13391" s="33"/>
    </row>
    <row r="13392" spans="10:10" ht="15" customHeight="1" x14ac:dyDescent="0.3">
      <c r="J13392" s="33"/>
    </row>
    <row r="13393" spans="10:10" ht="15" customHeight="1" x14ac:dyDescent="0.3">
      <c r="J13393" s="33"/>
    </row>
    <row r="13394" spans="10:10" ht="15" customHeight="1" x14ac:dyDescent="0.3">
      <c r="J13394" s="33"/>
    </row>
    <row r="13395" spans="10:10" ht="15" customHeight="1" x14ac:dyDescent="0.3">
      <c r="J13395" s="33"/>
    </row>
    <row r="13396" spans="10:10" ht="15" customHeight="1" x14ac:dyDescent="0.3">
      <c r="J13396" s="33"/>
    </row>
    <row r="13397" spans="10:10" ht="15" customHeight="1" x14ac:dyDescent="0.3">
      <c r="J13397" s="33"/>
    </row>
    <row r="13398" spans="10:10" ht="15" customHeight="1" x14ac:dyDescent="0.3">
      <c r="J13398" s="33"/>
    </row>
    <row r="13399" spans="10:10" ht="15" customHeight="1" x14ac:dyDescent="0.3">
      <c r="J13399" s="33"/>
    </row>
    <row r="13400" spans="10:10" ht="15" customHeight="1" x14ac:dyDescent="0.3">
      <c r="J13400" s="33"/>
    </row>
    <row r="13401" spans="10:10" ht="15" customHeight="1" x14ac:dyDescent="0.3">
      <c r="J13401" s="33"/>
    </row>
    <row r="13402" spans="10:10" ht="15" customHeight="1" x14ac:dyDescent="0.3">
      <c r="J13402" s="33"/>
    </row>
    <row r="13403" spans="10:10" ht="15" customHeight="1" x14ac:dyDescent="0.3">
      <c r="J13403" s="33"/>
    </row>
    <row r="13404" spans="10:10" ht="15" customHeight="1" x14ac:dyDescent="0.3">
      <c r="J13404" s="33"/>
    </row>
    <row r="13405" spans="10:10" ht="15" customHeight="1" x14ac:dyDescent="0.3">
      <c r="J13405" s="33"/>
    </row>
    <row r="13406" spans="10:10" ht="15" customHeight="1" x14ac:dyDescent="0.3">
      <c r="J13406" s="33"/>
    </row>
    <row r="13407" spans="10:10" ht="15" customHeight="1" x14ac:dyDescent="0.3">
      <c r="J13407" s="33"/>
    </row>
    <row r="13408" spans="10:10" ht="15" customHeight="1" x14ac:dyDescent="0.3">
      <c r="J13408" s="33"/>
    </row>
    <row r="13409" spans="10:10" ht="15" customHeight="1" x14ac:dyDescent="0.3">
      <c r="J13409" s="33"/>
    </row>
    <row r="13410" spans="10:10" ht="15" customHeight="1" x14ac:dyDescent="0.3">
      <c r="J13410" s="33"/>
    </row>
    <row r="13411" spans="10:10" ht="15" customHeight="1" x14ac:dyDescent="0.3">
      <c r="J13411" s="33"/>
    </row>
    <row r="13412" spans="10:10" ht="15" customHeight="1" x14ac:dyDescent="0.3">
      <c r="J13412" s="33"/>
    </row>
    <row r="13413" spans="10:10" ht="15" customHeight="1" x14ac:dyDescent="0.3">
      <c r="J13413" s="33"/>
    </row>
    <row r="13414" spans="10:10" ht="15" customHeight="1" x14ac:dyDescent="0.3">
      <c r="J13414" s="33"/>
    </row>
    <row r="13415" spans="10:10" ht="15" customHeight="1" x14ac:dyDescent="0.3">
      <c r="J13415" s="33"/>
    </row>
    <row r="13416" spans="10:10" ht="15" customHeight="1" x14ac:dyDescent="0.3">
      <c r="J13416" s="33"/>
    </row>
    <row r="13417" spans="10:10" ht="15" customHeight="1" x14ac:dyDescent="0.3">
      <c r="J13417" s="33"/>
    </row>
    <row r="13418" spans="10:10" ht="15" customHeight="1" x14ac:dyDescent="0.3">
      <c r="J13418" s="33"/>
    </row>
    <row r="13419" spans="10:10" ht="15" customHeight="1" x14ac:dyDescent="0.3">
      <c r="J13419" s="33"/>
    </row>
    <row r="13420" spans="10:10" ht="15" customHeight="1" x14ac:dyDescent="0.3">
      <c r="J13420" s="33"/>
    </row>
    <row r="13421" spans="10:10" ht="15" customHeight="1" x14ac:dyDescent="0.3">
      <c r="J13421" s="33"/>
    </row>
    <row r="13422" spans="10:10" ht="15" customHeight="1" x14ac:dyDescent="0.3">
      <c r="J13422" s="33"/>
    </row>
    <row r="13423" spans="10:10" ht="15" customHeight="1" x14ac:dyDescent="0.3">
      <c r="J13423" s="33"/>
    </row>
    <row r="13424" spans="10:10" ht="15" customHeight="1" x14ac:dyDescent="0.3">
      <c r="J13424" s="33"/>
    </row>
    <row r="13425" spans="10:10" ht="15" customHeight="1" x14ac:dyDescent="0.3">
      <c r="J13425" s="33"/>
    </row>
    <row r="13426" spans="10:10" ht="15" customHeight="1" x14ac:dyDescent="0.3">
      <c r="J13426" s="33"/>
    </row>
    <row r="13427" spans="10:10" ht="15" customHeight="1" x14ac:dyDescent="0.3">
      <c r="J13427" s="33"/>
    </row>
    <row r="13428" spans="10:10" ht="15" customHeight="1" x14ac:dyDescent="0.3">
      <c r="J13428" s="33"/>
    </row>
    <row r="13429" spans="10:10" ht="15" customHeight="1" x14ac:dyDescent="0.3">
      <c r="J13429" s="33"/>
    </row>
    <row r="13430" spans="10:10" ht="15" customHeight="1" x14ac:dyDescent="0.3">
      <c r="J13430" s="33"/>
    </row>
    <row r="13431" spans="10:10" ht="15" customHeight="1" x14ac:dyDescent="0.3">
      <c r="J13431" s="33"/>
    </row>
    <row r="13432" spans="10:10" ht="15" customHeight="1" x14ac:dyDescent="0.3">
      <c r="J13432" s="33"/>
    </row>
    <row r="13433" spans="10:10" ht="15" customHeight="1" x14ac:dyDescent="0.3">
      <c r="J13433" s="33"/>
    </row>
    <row r="13434" spans="10:10" ht="15" customHeight="1" x14ac:dyDescent="0.3">
      <c r="J13434" s="33"/>
    </row>
    <row r="13435" spans="10:10" ht="15" customHeight="1" x14ac:dyDescent="0.3">
      <c r="J13435" s="33"/>
    </row>
    <row r="13436" spans="10:10" ht="15" customHeight="1" x14ac:dyDescent="0.3">
      <c r="J13436" s="33"/>
    </row>
    <row r="13437" spans="10:10" ht="15" customHeight="1" x14ac:dyDescent="0.3">
      <c r="J13437" s="33"/>
    </row>
    <row r="13438" spans="10:10" ht="15" customHeight="1" x14ac:dyDescent="0.3">
      <c r="J13438" s="33"/>
    </row>
    <row r="13439" spans="10:10" ht="15" customHeight="1" x14ac:dyDescent="0.3">
      <c r="J13439" s="33"/>
    </row>
    <row r="13440" spans="10:10" ht="15" customHeight="1" x14ac:dyDescent="0.3">
      <c r="J13440" s="33"/>
    </row>
    <row r="13441" spans="10:10" ht="15" customHeight="1" x14ac:dyDescent="0.3">
      <c r="J13441" s="33"/>
    </row>
    <row r="13442" spans="10:10" ht="15" customHeight="1" x14ac:dyDescent="0.3">
      <c r="J13442" s="33"/>
    </row>
    <row r="13443" spans="10:10" ht="15" customHeight="1" x14ac:dyDescent="0.3">
      <c r="J13443" s="33"/>
    </row>
    <row r="13444" spans="10:10" ht="15" customHeight="1" x14ac:dyDescent="0.3">
      <c r="J13444" s="33"/>
    </row>
    <row r="13445" spans="10:10" ht="15" customHeight="1" x14ac:dyDescent="0.3">
      <c r="J13445" s="33"/>
    </row>
    <row r="13446" spans="10:10" ht="15" customHeight="1" x14ac:dyDescent="0.3">
      <c r="J13446" s="33"/>
    </row>
    <row r="13447" spans="10:10" ht="15" customHeight="1" x14ac:dyDescent="0.3">
      <c r="J13447" s="33"/>
    </row>
    <row r="13448" spans="10:10" ht="15" customHeight="1" x14ac:dyDescent="0.3">
      <c r="J13448" s="33"/>
    </row>
    <row r="13449" spans="10:10" ht="15" customHeight="1" x14ac:dyDescent="0.3">
      <c r="J13449" s="33"/>
    </row>
    <row r="13450" spans="10:10" ht="15" customHeight="1" x14ac:dyDescent="0.3">
      <c r="J13450" s="33"/>
    </row>
    <row r="13451" spans="10:10" ht="15" customHeight="1" x14ac:dyDescent="0.3">
      <c r="J13451" s="33"/>
    </row>
    <row r="13452" spans="10:10" ht="15" customHeight="1" x14ac:dyDescent="0.3">
      <c r="J13452" s="33"/>
    </row>
    <row r="13453" spans="10:10" ht="15" customHeight="1" x14ac:dyDescent="0.3">
      <c r="J13453" s="33"/>
    </row>
    <row r="13454" spans="10:10" ht="15" customHeight="1" x14ac:dyDescent="0.3">
      <c r="J13454" s="33"/>
    </row>
    <row r="13455" spans="10:10" ht="15" customHeight="1" x14ac:dyDescent="0.3">
      <c r="J13455" s="33"/>
    </row>
    <row r="13456" spans="10:10" ht="15" customHeight="1" x14ac:dyDescent="0.3">
      <c r="J13456" s="33"/>
    </row>
    <row r="13457" spans="10:10" ht="15" customHeight="1" x14ac:dyDescent="0.3">
      <c r="J13457" s="33"/>
    </row>
    <row r="13458" spans="10:10" ht="15" customHeight="1" x14ac:dyDescent="0.3">
      <c r="J13458" s="33"/>
    </row>
    <row r="13459" spans="10:10" ht="15" customHeight="1" x14ac:dyDescent="0.3">
      <c r="J13459" s="33"/>
    </row>
    <row r="13460" spans="10:10" ht="15" customHeight="1" x14ac:dyDescent="0.3">
      <c r="J13460" s="33"/>
    </row>
    <row r="13461" spans="10:10" ht="15" customHeight="1" x14ac:dyDescent="0.3">
      <c r="J13461" s="33"/>
    </row>
    <row r="13462" spans="10:10" ht="15" customHeight="1" x14ac:dyDescent="0.3">
      <c r="J13462" s="33"/>
    </row>
    <row r="13463" spans="10:10" ht="15" customHeight="1" x14ac:dyDescent="0.3">
      <c r="J13463" s="33"/>
    </row>
    <row r="13464" spans="10:10" ht="15" customHeight="1" x14ac:dyDescent="0.3">
      <c r="J13464" s="33"/>
    </row>
    <row r="13465" spans="10:10" ht="15" customHeight="1" x14ac:dyDescent="0.3">
      <c r="J13465" s="33"/>
    </row>
    <row r="13466" spans="10:10" ht="15" customHeight="1" x14ac:dyDescent="0.3">
      <c r="J13466" s="33"/>
    </row>
    <row r="13467" spans="10:10" ht="15" customHeight="1" x14ac:dyDescent="0.3">
      <c r="J13467" s="33"/>
    </row>
    <row r="13468" spans="10:10" ht="15" customHeight="1" x14ac:dyDescent="0.3">
      <c r="J13468" s="33"/>
    </row>
    <row r="13469" spans="10:10" ht="15" customHeight="1" x14ac:dyDescent="0.3">
      <c r="J13469" s="33"/>
    </row>
    <row r="13470" spans="10:10" ht="15" customHeight="1" x14ac:dyDescent="0.3">
      <c r="J13470" s="33"/>
    </row>
    <row r="13471" spans="10:10" ht="15" customHeight="1" x14ac:dyDescent="0.3">
      <c r="J13471" s="33"/>
    </row>
    <row r="13472" spans="10:10" ht="15" customHeight="1" x14ac:dyDescent="0.3">
      <c r="J13472" s="33"/>
    </row>
    <row r="13473" spans="10:10" ht="15" customHeight="1" x14ac:dyDescent="0.3">
      <c r="J13473" s="33"/>
    </row>
    <row r="13474" spans="10:10" ht="15" customHeight="1" x14ac:dyDescent="0.3">
      <c r="J13474" s="33"/>
    </row>
    <row r="13475" spans="10:10" ht="15" customHeight="1" x14ac:dyDescent="0.3">
      <c r="J13475" s="33"/>
    </row>
    <row r="13476" spans="10:10" ht="15" customHeight="1" x14ac:dyDescent="0.3">
      <c r="J13476" s="33"/>
    </row>
    <row r="13477" spans="10:10" ht="15" customHeight="1" x14ac:dyDescent="0.3">
      <c r="J13477" s="33"/>
    </row>
    <row r="13478" spans="10:10" ht="15" customHeight="1" x14ac:dyDescent="0.3">
      <c r="J13478" s="33"/>
    </row>
    <row r="13479" spans="10:10" ht="15" customHeight="1" x14ac:dyDescent="0.3">
      <c r="J13479" s="33"/>
    </row>
    <row r="13480" spans="10:10" ht="15" customHeight="1" x14ac:dyDescent="0.3">
      <c r="J13480" s="33"/>
    </row>
    <row r="13481" spans="10:10" ht="15" customHeight="1" x14ac:dyDescent="0.3">
      <c r="J13481" s="33"/>
    </row>
    <row r="13482" spans="10:10" ht="15" customHeight="1" x14ac:dyDescent="0.3">
      <c r="J13482" s="33"/>
    </row>
    <row r="13483" spans="10:10" ht="15" customHeight="1" x14ac:dyDescent="0.3">
      <c r="J13483" s="33"/>
    </row>
    <row r="13484" spans="10:10" ht="15" customHeight="1" x14ac:dyDescent="0.3">
      <c r="J13484" s="33"/>
    </row>
    <row r="13485" spans="10:10" ht="15" customHeight="1" x14ac:dyDescent="0.3">
      <c r="J13485" s="33"/>
    </row>
    <row r="13486" spans="10:10" ht="15" customHeight="1" x14ac:dyDescent="0.3">
      <c r="J13486" s="33"/>
    </row>
    <row r="13487" spans="10:10" ht="15" customHeight="1" x14ac:dyDescent="0.3">
      <c r="J13487" s="33"/>
    </row>
    <row r="13488" spans="10:10" ht="15" customHeight="1" x14ac:dyDescent="0.3">
      <c r="J13488" s="33"/>
    </row>
    <row r="13489" spans="10:10" ht="15" customHeight="1" x14ac:dyDescent="0.3">
      <c r="J13489" s="33"/>
    </row>
    <row r="13490" spans="10:10" ht="15" customHeight="1" x14ac:dyDescent="0.3">
      <c r="J13490" s="33"/>
    </row>
    <row r="13491" spans="10:10" ht="15" customHeight="1" x14ac:dyDescent="0.3">
      <c r="J13491" s="33"/>
    </row>
    <row r="13492" spans="10:10" ht="15" customHeight="1" x14ac:dyDescent="0.3">
      <c r="J13492" s="33"/>
    </row>
    <row r="13493" spans="10:10" ht="15" customHeight="1" x14ac:dyDescent="0.3">
      <c r="J13493" s="33"/>
    </row>
    <row r="13494" spans="10:10" ht="15" customHeight="1" x14ac:dyDescent="0.3">
      <c r="J13494" s="33"/>
    </row>
    <row r="13495" spans="10:10" ht="15" customHeight="1" x14ac:dyDescent="0.3">
      <c r="J13495" s="33"/>
    </row>
    <row r="13496" spans="10:10" ht="15" customHeight="1" x14ac:dyDescent="0.3">
      <c r="J13496" s="33"/>
    </row>
    <row r="13497" spans="10:10" ht="15" customHeight="1" x14ac:dyDescent="0.3">
      <c r="J13497" s="33"/>
    </row>
    <row r="13498" spans="10:10" ht="15" customHeight="1" x14ac:dyDescent="0.3">
      <c r="J13498" s="33"/>
    </row>
    <row r="13499" spans="10:10" ht="15" customHeight="1" x14ac:dyDescent="0.3">
      <c r="J13499" s="33"/>
    </row>
    <row r="13500" spans="10:10" ht="15" customHeight="1" x14ac:dyDescent="0.3">
      <c r="J13500" s="33"/>
    </row>
    <row r="13501" spans="10:10" ht="15" customHeight="1" x14ac:dyDescent="0.3">
      <c r="J13501" s="33"/>
    </row>
    <row r="13502" spans="10:10" ht="15" customHeight="1" x14ac:dyDescent="0.3">
      <c r="J13502" s="33"/>
    </row>
    <row r="13503" spans="10:10" ht="15" customHeight="1" x14ac:dyDescent="0.3">
      <c r="J13503" s="33"/>
    </row>
    <row r="13504" spans="10:10" ht="15" customHeight="1" x14ac:dyDescent="0.3">
      <c r="J13504" s="33"/>
    </row>
    <row r="13505" spans="10:10" ht="15" customHeight="1" x14ac:dyDescent="0.3">
      <c r="J13505" s="33"/>
    </row>
    <row r="13506" spans="10:10" ht="15" customHeight="1" x14ac:dyDescent="0.3">
      <c r="J13506" s="33"/>
    </row>
    <row r="13507" spans="10:10" ht="15" customHeight="1" x14ac:dyDescent="0.3">
      <c r="J13507" s="33"/>
    </row>
    <row r="13508" spans="10:10" ht="15" customHeight="1" x14ac:dyDescent="0.3">
      <c r="J13508" s="33"/>
    </row>
    <row r="13509" spans="10:10" ht="15" customHeight="1" x14ac:dyDescent="0.3">
      <c r="J13509" s="33"/>
    </row>
    <row r="13510" spans="10:10" ht="15" customHeight="1" x14ac:dyDescent="0.3">
      <c r="J13510" s="33"/>
    </row>
    <row r="13511" spans="10:10" ht="15" customHeight="1" x14ac:dyDescent="0.3">
      <c r="J13511" s="33"/>
    </row>
    <row r="13512" spans="10:10" ht="15" customHeight="1" x14ac:dyDescent="0.3">
      <c r="J13512" s="33"/>
    </row>
    <row r="13513" spans="10:10" ht="15" customHeight="1" x14ac:dyDescent="0.3">
      <c r="J13513" s="33"/>
    </row>
    <row r="13514" spans="10:10" ht="15" customHeight="1" x14ac:dyDescent="0.3">
      <c r="J13514" s="33"/>
    </row>
    <row r="13515" spans="10:10" ht="15" customHeight="1" x14ac:dyDescent="0.3">
      <c r="J13515" s="33"/>
    </row>
    <row r="13516" spans="10:10" ht="15" customHeight="1" x14ac:dyDescent="0.3">
      <c r="J13516" s="33"/>
    </row>
    <row r="13517" spans="10:10" ht="15" customHeight="1" x14ac:dyDescent="0.3">
      <c r="J13517" s="33"/>
    </row>
    <row r="13518" spans="10:10" ht="15" customHeight="1" x14ac:dyDescent="0.3">
      <c r="J13518" s="33"/>
    </row>
    <row r="13519" spans="10:10" ht="15" customHeight="1" x14ac:dyDescent="0.3">
      <c r="J13519" s="33"/>
    </row>
    <row r="13520" spans="10:10" ht="15" customHeight="1" x14ac:dyDescent="0.3">
      <c r="J13520" s="33"/>
    </row>
    <row r="13521" spans="10:10" ht="15" customHeight="1" x14ac:dyDescent="0.3">
      <c r="J13521" s="33"/>
    </row>
    <row r="13522" spans="10:10" ht="15" customHeight="1" x14ac:dyDescent="0.3">
      <c r="J13522" s="33"/>
    </row>
    <row r="13523" spans="10:10" ht="15" customHeight="1" x14ac:dyDescent="0.3">
      <c r="J13523" s="33"/>
    </row>
    <row r="13524" spans="10:10" ht="15" customHeight="1" x14ac:dyDescent="0.3">
      <c r="J13524" s="33"/>
    </row>
    <row r="13525" spans="10:10" ht="15" customHeight="1" x14ac:dyDescent="0.3">
      <c r="J13525" s="33"/>
    </row>
    <row r="13526" spans="10:10" ht="15" customHeight="1" x14ac:dyDescent="0.3">
      <c r="J13526" s="33"/>
    </row>
    <row r="13527" spans="10:10" ht="15" customHeight="1" x14ac:dyDescent="0.3">
      <c r="J13527" s="33"/>
    </row>
    <row r="13528" spans="10:10" ht="15" customHeight="1" x14ac:dyDescent="0.3">
      <c r="J13528" s="33"/>
    </row>
    <row r="13529" spans="10:10" ht="15" customHeight="1" x14ac:dyDescent="0.3">
      <c r="J13529" s="33"/>
    </row>
    <row r="13530" spans="10:10" ht="15" customHeight="1" x14ac:dyDescent="0.3">
      <c r="J13530" s="33"/>
    </row>
    <row r="13531" spans="10:10" ht="15" customHeight="1" x14ac:dyDescent="0.3">
      <c r="J13531" s="33"/>
    </row>
    <row r="13532" spans="10:10" ht="15" customHeight="1" x14ac:dyDescent="0.3">
      <c r="J13532" s="33"/>
    </row>
    <row r="13533" spans="10:10" ht="15" customHeight="1" x14ac:dyDescent="0.3">
      <c r="J13533" s="33"/>
    </row>
    <row r="13534" spans="10:10" ht="15" customHeight="1" x14ac:dyDescent="0.3">
      <c r="J13534" s="33"/>
    </row>
    <row r="13535" spans="10:10" ht="15" customHeight="1" x14ac:dyDescent="0.3">
      <c r="J13535" s="33"/>
    </row>
    <row r="13536" spans="10:10" ht="15" customHeight="1" x14ac:dyDescent="0.3">
      <c r="J13536" s="33"/>
    </row>
    <row r="13537" spans="10:10" ht="15" customHeight="1" x14ac:dyDescent="0.3">
      <c r="J13537" s="33"/>
    </row>
    <row r="13538" spans="10:10" ht="15" customHeight="1" x14ac:dyDescent="0.3">
      <c r="J13538" s="33"/>
    </row>
    <row r="13539" spans="10:10" ht="15" customHeight="1" x14ac:dyDescent="0.3">
      <c r="J13539" s="33"/>
    </row>
    <row r="13540" spans="10:10" ht="15" customHeight="1" x14ac:dyDescent="0.3">
      <c r="J13540" s="33"/>
    </row>
    <row r="13541" spans="10:10" ht="15" customHeight="1" x14ac:dyDescent="0.3">
      <c r="J13541" s="33"/>
    </row>
    <row r="13542" spans="10:10" ht="15" customHeight="1" x14ac:dyDescent="0.3">
      <c r="J13542" s="33"/>
    </row>
    <row r="13543" spans="10:10" ht="15" customHeight="1" x14ac:dyDescent="0.3">
      <c r="J13543" s="33"/>
    </row>
    <row r="13544" spans="10:10" ht="15" customHeight="1" x14ac:dyDescent="0.3">
      <c r="J13544" s="33"/>
    </row>
    <row r="13545" spans="10:10" ht="15" customHeight="1" x14ac:dyDescent="0.3">
      <c r="J13545" s="33"/>
    </row>
    <row r="13546" spans="10:10" ht="15" customHeight="1" x14ac:dyDescent="0.3">
      <c r="J13546" s="33"/>
    </row>
    <row r="13547" spans="10:10" ht="15" customHeight="1" x14ac:dyDescent="0.3">
      <c r="J13547" s="33"/>
    </row>
    <row r="13548" spans="10:10" ht="15" customHeight="1" x14ac:dyDescent="0.3">
      <c r="J13548" s="33"/>
    </row>
    <row r="13549" spans="10:10" ht="15" customHeight="1" x14ac:dyDescent="0.3">
      <c r="J13549" s="33"/>
    </row>
    <row r="13550" spans="10:10" ht="15" customHeight="1" x14ac:dyDescent="0.3">
      <c r="J13550" s="33"/>
    </row>
    <row r="13551" spans="10:10" ht="15" customHeight="1" x14ac:dyDescent="0.3">
      <c r="J13551" s="33"/>
    </row>
    <row r="13552" spans="10:10" ht="15" customHeight="1" x14ac:dyDescent="0.3">
      <c r="J13552" s="33"/>
    </row>
    <row r="13553" spans="10:10" ht="15" customHeight="1" x14ac:dyDescent="0.3">
      <c r="J13553" s="33"/>
    </row>
    <row r="13554" spans="10:10" ht="15" customHeight="1" x14ac:dyDescent="0.3">
      <c r="J13554" s="33"/>
    </row>
    <row r="13555" spans="10:10" ht="15" customHeight="1" x14ac:dyDescent="0.3">
      <c r="J13555" s="33"/>
    </row>
    <row r="13556" spans="10:10" ht="15" customHeight="1" x14ac:dyDescent="0.3">
      <c r="J13556" s="33"/>
    </row>
    <row r="13557" spans="10:10" ht="15" customHeight="1" x14ac:dyDescent="0.3">
      <c r="J13557" s="33"/>
    </row>
    <row r="13558" spans="10:10" ht="15" customHeight="1" x14ac:dyDescent="0.3">
      <c r="J13558" s="33"/>
    </row>
    <row r="13559" spans="10:10" ht="15" customHeight="1" x14ac:dyDescent="0.3">
      <c r="J13559" s="33"/>
    </row>
    <row r="13560" spans="10:10" ht="15" customHeight="1" x14ac:dyDescent="0.3">
      <c r="J13560" s="33"/>
    </row>
    <row r="13561" spans="10:10" ht="15" customHeight="1" x14ac:dyDescent="0.3">
      <c r="J13561" s="33"/>
    </row>
    <row r="13562" spans="10:10" ht="15" customHeight="1" x14ac:dyDescent="0.3">
      <c r="J13562" s="33"/>
    </row>
    <row r="13563" spans="10:10" ht="15" customHeight="1" x14ac:dyDescent="0.3">
      <c r="J13563" s="33"/>
    </row>
    <row r="13564" spans="10:10" ht="15" customHeight="1" x14ac:dyDescent="0.3">
      <c r="J13564" s="33"/>
    </row>
    <row r="13565" spans="10:10" ht="15" customHeight="1" x14ac:dyDescent="0.3">
      <c r="J13565" s="33"/>
    </row>
    <row r="13566" spans="10:10" ht="15" customHeight="1" x14ac:dyDescent="0.3">
      <c r="J13566" s="33"/>
    </row>
    <row r="13567" spans="10:10" ht="15" customHeight="1" x14ac:dyDescent="0.3">
      <c r="J13567" s="33"/>
    </row>
    <row r="13568" spans="10:10" ht="15" customHeight="1" x14ac:dyDescent="0.3">
      <c r="J13568" s="33"/>
    </row>
    <row r="13569" spans="10:10" ht="15" customHeight="1" x14ac:dyDescent="0.3">
      <c r="J13569" s="33"/>
    </row>
    <row r="13570" spans="10:10" ht="15" customHeight="1" x14ac:dyDescent="0.3">
      <c r="J13570" s="33"/>
    </row>
    <row r="13571" spans="10:10" ht="15" customHeight="1" x14ac:dyDescent="0.3">
      <c r="J13571" s="33"/>
    </row>
    <row r="13572" spans="10:10" ht="15" customHeight="1" x14ac:dyDescent="0.3">
      <c r="J13572" s="33"/>
    </row>
    <row r="13573" spans="10:10" ht="15" customHeight="1" x14ac:dyDescent="0.3">
      <c r="J13573" s="33"/>
    </row>
    <row r="13574" spans="10:10" ht="15" customHeight="1" x14ac:dyDescent="0.3">
      <c r="J13574" s="33"/>
    </row>
    <row r="13575" spans="10:10" ht="15" customHeight="1" x14ac:dyDescent="0.3">
      <c r="J13575" s="33"/>
    </row>
    <row r="13576" spans="10:10" ht="15" customHeight="1" x14ac:dyDescent="0.3">
      <c r="J13576" s="33"/>
    </row>
    <row r="13577" spans="10:10" ht="15" customHeight="1" x14ac:dyDescent="0.3">
      <c r="J13577" s="33"/>
    </row>
    <row r="13578" spans="10:10" ht="15" customHeight="1" x14ac:dyDescent="0.3">
      <c r="J13578" s="33"/>
    </row>
    <row r="13579" spans="10:10" ht="15" customHeight="1" x14ac:dyDescent="0.3">
      <c r="J13579" s="33"/>
    </row>
    <row r="13580" spans="10:10" ht="15" customHeight="1" x14ac:dyDescent="0.3">
      <c r="J13580" s="33"/>
    </row>
    <row r="13581" spans="10:10" ht="15" customHeight="1" x14ac:dyDescent="0.3">
      <c r="J13581" s="33"/>
    </row>
    <row r="13582" spans="10:10" ht="15" customHeight="1" x14ac:dyDescent="0.3">
      <c r="J13582" s="33"/>
    </row>
    <row r="13583" spans="10:10" ht="15" customHeight="1" x14ac:dyDescent="0.3">
      <c r="J13583" s="33"/>
    </row>
    <row r="13584" spans="10:10" ht="15" customHeight="1" x14ac:dyDescent="0.3">
      <c r="J13584" s="33"/>
    </row>
    <row r="13585" spans="10:10" ht="15" customHeight="1" x14ac:dyDescent="0.3">
      <c r="J13585" s="33"/>
    </row>
    <row r="13586" spans="10:10" ht="15" customHeight="1" x14ac:dyDescent="0.3">
      <c r="J13586" s="33"/>
    </row>
    <row r="13587" spans="10:10" ht="15" customHeight="1" x14ac:dyDescent="0.3">
      <c r="J13587" s="33"/>
    </row>
    <row r="13588" spans="10:10" ht="15" customHeight="1" x14ac:dyDescent="0.3">
      <c r="J13588" s="33"/>
    </row>
    <row r="13589" spans="10:10" ht="15" customHeight="1" x14ac:dyDescent="0.3">
      <c r="J13589" s="33"/>
    </row>
    <row r="13590" spans="10:10" ht="15" customHeight="1" x14ac:dyDescent="0.3">
      <c r="J13590" s="33"/>
    </row>
    <row r="13591" spans="10:10" ht="15" customHeight="1" x14ac:dyDescent="0.3">
      <c r="J13591" s="33"/>
    </row>
    <row r="13592" spans="10:10" ht="15" customHeight="1" x14ac:dyDescent="0.3">
      <c r="J13592" s="33"/>
    </row>
    <row r="13593" spans="10:10" ht="15" customHeight="1" x14ac:dyDescent="0.3">
      <c r="J13593" s="33"/>
    </row>
    <row r="13594" spans="10:10" ht="15" customHeight="1" x14ac:dyDescent="0.3">
      <c r="J13594" s="33"/>
    </row>
    <row r="13595" spans="10:10" ht="15" customHeight="1" x14ac:dyDescent="0.3">
      <c r="J13595" s="33"/>
    </row>
    <row r="13596" spans="10:10" ht="15" customHeight="1" x14ac:dyDescent="0.3">
      <c r="J13596" s="33"/>
    </row>
    <row r="13597" spans="10:10" ht="15" customHeight="1" x14ac:dyDescent="0.3">
      <c r="J13597" s="33"/>
    </row>
    <row r="13598" spans="10:10" ht="15" customHeight="1" x14ac:dyDescent="0.3">
      <c r="J13598" s="33"/>
    </row>
    <row r="13599" spans="10:10" ht="15" customHeight="1" x14ac:dyDescent="0.3">
      <c r="J13599" s="33"/>
    </row>
    <row r="13600" spans="10:10" ht="15" customHeight="1" x14ac:dyDescent="0.3">
      <c r="J13600" s="33"/>
    </row>
    <row r="13601" spans="10:10" ht="15" customHeight="1" x14ac:dyDescent="0.3">
      <c r="J13601" s="33"/>
    </row>
    <row r="13602" spans="10:10" ht="15" customHeight="1" x14ac:dyDescent="0.3">
      <c r="J13602" s="33"/>
    </row>
    <row r="13603" spans="10:10" ht="15" customHeight="1" x14ac:dyDescent="0.3">
      <c r="J13603" s="33"/>
    </row>
    <row r="13604" spans="10:10" ht="15" customHeight="1" x14ac:dyDescent="0.3">
      <c r="J13604" s="33"/>
    </row>
    <row r="13605" spans="10:10" ht="15" customHeight="1" x14ac:dyDescent="0.3">
      <c r="J13605" s="33"/>
    </row>
    <row r="13606" spans="10:10" ht="15" customHeight="1" x14ac:dyDescent="0.3">
      <c r="J13606" s="33"/>
    </row>
    <row r="13607" spans="10:10" ht="15" customHeight="1" x14ac:dyDescent="0.3">
      <c r="J13607" s="33"/>
    </row>
    <row r="13608" spans="10:10" ht="15" customHeight="1" x14ac:dyDescent="0.3">
      <c r="J13608" s="33"/>
    </row>
    <row r="13609" spans="10:10" ht="15" customHeight="1" x14ac:dyDescent="0.3">
      <c r="J13609" s="33"/>
    </row>
    <row r="13610" spans="10:10" ht="15" customHeight="1" x14ac:dyDescent="0.3">
      <c r="J13610" s="33"/>
    </row>
    <row r="13611" spans="10:10" ht="15" customHeight="1" x14ac:dyDescent="0.3">
      <c r="J13611" s="33"/>
    </row>
    <row r="13612" spans="10:10" ht="15" customHeight="1" x14ac:dyDescent="0.3">
      <c r="J13612" s="33"/>
    </row>
    <row r="13613" spans="10:10" ht="15" customHeight="1" x14ac:dyDescent="0.3">
      <c r="J13613" s="33"/>
    </row>
    <row r="13614" spans="10:10" ht="15" customHeight="1" x14ac:dyDescent="0.3">
      <c r="J13614" s="33"/>
    </row>
    <row r="13615" spans="10:10" ht="15" customHeight="1" x14ac:dyDescent="0.3">
      <c r="J13615" s="33"/>
    </row>
    <row r="13616" spans="10:10" ht="15" customHeight="1" x14ac:dyDescent="0.3">
      <c r="J13616" s="33"/>
    </row>
    <row r="13617" spans="10:10" ht="15" customHeight="1" x14ac:dyDescent="0.3">
      <c r="J13617" s="33"/>
    </row>
    <row r="13618" spans="10:10" ht="15" customHeight="1" x14ac:dyDescent="0.3">
      <c r="J13618" s="33"/>
    </row>
    <row r="13619" spans="10:10" ht="15" customHeight="1" x14ac:dyDescent="0.3">
      <c r="J13619" s="33"/>
    </row>
    <row r="13620" spans="10:10" ht="15" customHeight="1" x14ac:dyDescent="0.3">
      <c r="J13620" s="33"/>
    </row>
    <row r="13621" spans="10:10" ht="15" customHeight="1" x14ac:dyDescent="0.3">
      <c r="J13621" s="33"/>
    </row>
    <row r="13622" spans="10:10" ht="15" customHeight="1" x14ac:dyDescent="0.3">
      <c r="J13622" s="33"/>
    </row>
    <row r="13623" spans="10:10" ht="15" customHeight="1" x14ac:dyDescent="0.3">
      <c r="J13623" s="33"/>
    </row>
    <row r="13624" spans="10:10" ht="15" customHeight="1" x14ac:dyDescent="0.3">
      <c r="J13624" s="33"/>
    </row>
    <row r="13625" spans="10:10" ht="15" customHeight="1" x14ac:dyDescent="0.3">
      <c r="J13625" s="33"/>
    </row>
    <row r="13626" spans="10:10" ht="15" customHeight="1" x14ac:dyDescent="0.3">
      <c r="J13626" s="33"/>
    </row>
    <row r="13627" spans="10:10" ht="15" customHeight="1" x14ac:dyDescent="0.3">
      <c r="J13627" s="33"/>
    </row>
    <row r="13628" spans="10:10" ht="15" customHeight="1" x14ac:dyDescent="0.3">
      <c r="J13628" s="33"/>
    </row>
    <row r="13629" spans="10:10" ht="15" customHeight="1" x14ac:dyDescent="0.3">
      <c r="J13629" s="33"/>
    </row>
    <row r="13630" spans="10:10" ht="15" customHeight="1" x14ac:dyDescent="0.3">
      <c r="J13630" s="33"/>
    </row>
    <row r="13631" spans="10:10" ht="15" customHeight="1" x14ac:dyDescent="0.3">
      <c r="J13631" s="33"/>
    </row>
    <row r="13632" spans="10:10" ht="15" customHeight="1" x14ac:dyDescent="0.3">
      <c r="J13632" s="33"/>
    </row>
    <row r="13633" spans="10:10" ht="15" customHeight="1" x14ac:dyDescent="0.3">
      <c r="J13633" s="33"/>
    </row>
    <row r="13634" spans="10:10" ht="15" customHeight="1" x14ac:dyDescent="0.3">
      <c r="J13634" s="33"/>
    </row>
    <row r="13635" spans="10:10" ht="15" customHeight="1" x14ac:dyDescent="0.3">
      <c r="J13635" s="33"/>
    </row>
    <row r="13636" spans="10:10" ht="15" customHeight="1" x14ac:dyDescent="0.3">
      <c r="J13636" s="33"/>
    </row>
    <row r="13637" spans="10:10" ht="15" customHeight="1" x14ac:dyDescent="0.3">
      <c r="J13637" s="33"/>
    </row>
    <row r="13638" spans="10:10" ht="15" customHeight="1" x14ac:dyDescent="0.3">
      <c r="J13638" s="33"/>
    </row>
    <row r="13639" spans="10:10" ht="15" customHeight="1" x14ac:dyDescent="0.3">
      <c r="J13639" s="33"/>
    </row>
    <row r="13640" spans="10:10" ht="15" customHeight="1" x14ac:dyDescent="0.3">
      <c r="J13640" s="33"/>
    </row>
    <row r="13641" spans="10:10" ht="15" customHeight="1" x14ac:dyDescent="0.3">
      <c r="J13641" s="33"/>
    </row>
    <row r="13642" spans="10:10" ht="15" customHeight="1" x14ac:dyDescent="0.3">
      <c r="J13642" s="33"/>
    </row>
    <row r="13643" spans="10:10" ht="15" customHeight="1" x14ac:dyDescent="0.3">
      <c r="J13643" s="33"/>
    </row>
    <row r="13644" spans="10:10" ht="15" customHeight="1" x14ac:dyDescent="0.3">
      <c r="J13644" s="33"/>
    </row>
    <row r="13645" spans="10:10" ht="15" customHeight="1" x14ac:dyDescent="0.3">
      <c r="J13645" s="33"/>
    </row>
    <row r="13646" spans="10:10" ht="15" customHeight="1" x14ac:dyDescent="0.3">
      <c r="J13646" s="33"/>
    </row>
    <row r="13647" spans="10:10" ht="15" customHeight="1" x14ac:dyDescent="0.3">
      <c r="J13647" s="33"/>
    </row>
    <row r="13648" spans="10:10" ht="15" customHeight="1" x14ac:dyDescent="0.3">
      <c r="J13648" s="33"/>
    </row>
    <row r="13649" spans="10:10" ht="15" customHeight="1" x14ac:dyDescent="0.3">
      <c r="J13649" s="33"/>
    </row>
    <row r="13650" spans="10:10" ht="15" customHeight="1" x14ac:dyDescent="0.3">
      <c r="J13650" s="33"/>
    </row>
    <row r="13651" spans="10:10" ht="15" customHeight="1" x14ac:dyDescent="0.3">
      <c r="J13651" s="33"/>
    </row>
    <row r="13652" spans="10:10" ht="15" customHeight="1" x14ac:dyDescent="0.3">
      <c r="J13652" s="33"/>
    </row>
    <row r="13653" spans="10:10" ht="15" customHeight="1" x14ac:dyDescent="0.3">
      <c r="J13653" s="33"/>
    </row>
    <row r="13654" spans="10:10" ht="15" customHeight="1" x14ac:dyDescent="0.3">
      <c r="J13654" s="33"/>
    </row>
    <row r="13655" spans="10:10" ht="15" customHeight="1" x14ac:dyDescent="0.3">
      <c r="J13655" s="33"/>
    </row>
    <row r="13656" spans="10:10" ht="15" customHeight="1" x14ac:dyDescent="0.3">
      <c r="J13656" s="33"/>
    </row>
    <row r="13657" spans="10:10" ht="15" customHeight="1" x14ac:dyDescent="0.3">
      <c r="J13657" s="33"/>
    </row>
    <row r="13658" spans="10:10" ht="15" customHeight="1" x14ac:dyDescent="0.3">
      <c r="J13658" s="33"/>
    </row>
    <row r="13659" spans="10:10" ht="15" customHeight="1" x14ac:dyDescent="0.3">
      <c r="J13659" s="33"/>
    </row>
    <row r="13660" spans="10:10" ht="15" customHeight="1" x14ac:dyDescent="0.3">
      <c r="J13660" s="33"/>
    </row>
    <row r="13661" spans="10:10" ht="15" customHeight="1" x14ac:dyDescent="0.3">
      <c r="J13661" s="33"/>
    </row>
    <row r="13662" spans="10:10" ht="15" customHeight="1" x14ac:dyDescent="0.3">
      <c r="J13662" s="33"/>
    </row>
    <row r="13663" spans="10:10" ht="15" customHeight="1" x14ac:dyDescent="0.3">
      <c r="J13663" s="33"/>
    </row>
    <row r="13664" spans="10:10" ht="15" customHeight="1" x14ac:dyDescent="0.3">
      <c r="J13664" s="33"/>
    </row>
    <row r="13665" spans="10:10" ht="15" customHeight="1" x14ac:dyDescent="0.3">
      <c r="J13665" s="33"/>
    </row>
    <row r="13666" spans="10:10" ht="15" customHeight="1" x14ac:dyDescent="0.3">
      <c r="J13666" s="33"/>
    </row>
    <row r="13667" spans="10:10" ht="15" customHeight="1" x14ac:dyDescent="0.3">
      <c r="J13667" s="33"/>
    </row>
    <row r="13668" spans="10:10" ht="15" customHeight="1" x14ac:dyDescent="0.3">
      <c r="J13668" s="33"/>
    </row>
    <row r="13669" spans="10:10" ht="15" customHeight="1" x14ac:dyDescent="0.3">
      <c r="J13669" s="33"/>
    </row>
    <row r="13670" spans="10:10" ht="15" customHeight="1" x14ac:dyDescent="0.3">
      <c r="J13670" s="33"/>
    </row>
    <row r="13671" spans="10:10" ht="15" customHeight="1" x14ac:dyDescent="0.3">
      <c r="J13671" s="33"/>
    </row>
    <row r="13672" spans="10:10" ht="15" customHeight="1" x14ac:dyDescent="0.3">
      <c r="J13672" s="33"/>
    </row>
    <row r="13673" spans="10:10" ht="15" customHeight="1" x14ac:dyDescent="0.3">
      <c r="J13673" s="33"/>
    </row>
    <row r="13674" spans="10:10" ht="15" customHeight="1" x14ac:dyDescent="0.3">
      <c r="J13674" s="33"/>
    </row>
    <row r="13675" spans="10:10" ht="15" customHeight="1" x14ac:dyDescent="0.3">
      <c r="J13675" s="33"/>
    </row>
    <row r="13676" spans="10:10" ht="15" customHeight="1" x14ac:dyDescent="0.3">
      <c r="J13676" s="33"/>
    </row>
    <row r="13677" spans="10:10" ht="15" customHeight="1" x14ac:dyDescent="0.3">
      <c r="J13677" s="33"/>
    </row>
    <row r="13678" spans="10:10" ht="15" customHeight="1" x14ac:dyDescent="0.3">
      <c r="J13678" s="33"/>
    </row>
    <row r="13679" spans="10:10" ht="15" customHeight="1" x14ac:dyDescent="0.3">
      <c r="J13679" s="33"/>
    </row>
    <row r="13680" spans="10:10" ht="15" customHeight="1" x14ac:dyDescent="0.3">
      <c r="J13680" s="33"/>
    </row>
    <row r="13681" spans="10:10" ht="15" customHeight="1" x14ac:dyDescent="0.3">
      <c r="J13681" s="33"/>
    </row>
    <row r="13682" spans="10:10" ht="15" customHeight="1" x14ac:dyDescent="0.3">
      <c r="J13682" s="33"/>
    </row>
    <row r="13683" spans="10:10" ht="15" customHeight="1" x14ac:dyDescent="0.3">
      <c r="J13683" s="33"/>
    </row>
    <row r="13684" spans="10:10" ht="15" customHeight="1" x14ac:dyDescent="0.3">
      <c r="J13684" s="33"/>
    </row>
    <row r="13685" spans="10:10" ht="15" customHeight="1" x14ac:dyDescent="0.3">
      <c r="J13685" s="33"/>
    </row>
    <row r="13686" spans="10:10" ht="15" customHeight="1" x14ac:dyDescent="0.3">
      <c r="J13686" s="33"/>
    </row>
    <row r="13687" spans="10:10" ht="15" customHeight="1" x14ac:dyDescent="0.3">
      <c r="J13687" s="33"/>
    </row>
    <row r="13688" spans="10:10" ht="15" customHeight="1" x14ac:dyDescent="0.3">
      <c r="J13688" s="33"/>
    </row>
    <row r="13689" spans="10:10" ht="15" customHeight="1" x14ac:dyDescent="0.3">
      <c r="J13689" s="33"/>
    </row>
    <row r="13690" spans="10:10" ht="15" customHeight="1" x14ac:dyDescent="0.3">
      <c r="J13690" s="33"/>
    </row>
    <row r="13691" spans="10:10" ht="15" customHeight="1" x14ac:dyDescent="0.3">
      <c r="J13691" s="33"/>
    </row>
    <row r="13692" spans="10:10" ht="15" customHeight="1" x14ac:dyDescent="0.3">
      <c r="J13692" s="33"/>
    </row>
    <row r="13693" spans="10:10" ht="15" customHeight="1" x14ac:dyDescent="0.3">
      <c r="J13693" s="33"/>
    </row>
    <row r="13694" spans="10:10" ht="15" customHeight="1" x14ac:dyDescent="0.3">
      <c r="J13694" s="33"/>
    </row>
    <row r="13695" spans="10:10" ht="15" customHeight="1" x14ac:dyDescent="0.3">
      <c r="J13695" s="33"/>
    </row>
    <row r="13696" spans="10:10" ht="15" customHeight="1" x14ac:dyDescent="0.3">
      <c r="J13696" s="33"/>
    </row>
    <row r="13697" spans="10:10" ht="15" customHeight="1" x14ac:dyDescent="0.3">
      <c r="J13697" s="33"/>
    </row>
    <row r="13698" spans="10:10" ht="15" customHeight="1" x14ac:dyDescent="0.3">
      <c r="J13698" s="33"/>
    </row>
    <row r="13699" spans="10:10" ht="15" customHeight="1" x14ac:dyDescent="0.3">
      <c r="J13699" s="33"/>
    </row>
    <row r="13700" spans="10:10" ht="15" customHeight="1" x14ac:dyDescent="0.3">
      <c r="J13700" s="33"/>
    </row>
    <row r="13701" spans="10:10" ht="15" customHeight="1" x14ac:dyDescent="0.3">
      <c r="J13701" s="33"/>
    </row>
    <row r="13702" spans="10:10" ht="15" customHeight="1" x14ac:dyDescent="0.3">
      <c r="J13702" s="33"/>
    </row>
    <row r="13703" spans="10:10" ht="15" customHeight="1" x14ac:dyDescent="0.3">
      <c r="J13703" s="33"/>
    </row>
    <row r="13704" spans="10:10" ht="15" customHeight="1" x14ac:dyDescent="0.3">
      <c r="J13704" s="33"/>
    </row>
    <row r="13705" spans="10:10" ht="15" customHeight="1" x14ac:dyDescent="0.3">
      <c r="J13705" s="33"/>
    </row>
    <row r="13706" spans="10:10" ht="15" customHeight="1" x14ac:dyDescent="0.3">
      <c r="J13706" s="33"/>
    </row>
    <row r="13707" spans="10:10" ht="15" customHeight="1" x14ac:dyDescent="0.3">
      <c r="J13707" s="33"/>
    </row>
    <row r="13708" spans="10:10" ht="15" customHeight="1" x14ac:dyDescent="0.3">
      <c r="J13708" s="33"/>
    </row>
    <row r="13709" spans="10:10" ht="15" customHeight="1" x14ac:dyDescent="0.3">
      <c r="J13709" s="33"/>
    </row>
    <row r="13710" spans="10:10" ht="15" customHeight="1" x14ac:dyDescent="0.3">
      <c r="J13710" s="33"/>
    </row>
    <row r="13711" spans="10:10" ht="15" customHeight="1" x14ac:dyDescent="0.3">
      <c r="J13711" s="33"/>
    </row>
    <row r="13712" spans="10:10" ht="15" customHeight="1" x14ac:dyDescent="0.3">
      <c r="J13712" s="33"/>
    </row>
    <row r="13713" spans="10:10" ht="15" customHeight="1" x14ac:dyDescent="0.3">
      <c r="J13713" s="33"/>
    </row>
    <row r="13714" spans="10:10" ht="15" customHeight="1" x14ac:dyDescent="0.3">
      <c r="J13714" s="33"/>
    </row>
    <row r="13715" spans="10:10" ht="15" customHeight="1" x14ac:dyDescent="0.3">
      <c r="J13715" s="33"/>
    </row>
    <row r="13716" spans="10:10" ht="15" customHeight="1" x14ac:dyDescent="0.3">
      <c r="J13716" s="33"/>
    </row>
    <row r="13717" spans="10:10" ht="15" customHeight="1" x14ac:dyDescent="0.3">
      <c r="J13717" s="33"/>
    </row>
    <row r="13718" spans="10:10" ht="15" customHeight="1" x14ac:dyDescent="0.3">
      <c r="J13718" s="33"/>
    </row>
    <row r="13719" spans="10:10" ht="15" customHeight="1" x14ac:dyDescent="0.3">
      <c r="J13719" s="33"/>
    </row>
    <row r="13720" spans="10:10" ht="15" customHeight="1" x14ac:dyDescent="0.3">
      <c r="J13720" s="33"/>
    </row>
    <row r="13721" spans="10:10" ht="15" customHeight="1" x14ac:dyDescent="0.3">
      <c r="J13721" s="33"/>
    </row>
    <row r="13722" spans="10:10" ht="15" customHeight="1" x14ac:dyDescent="0.3">
      <c r="J13722" s="33"/>
    </row>
    <row r="13723" spans="10:10" ht="15" customHeight="1" x14ac:dyDescent="0.3">
      <c r="J13723" s="33"/>
    </row>
    <row r="13724" spans="10:10" ht="15" customHeight="1" x14ac:dyDescent="0.3">
      <c r="J13724" s="33"/>
    </row>
    <row r="13725" spans="10:10" ht="15" customHeight="1" x14ac:dyDescent="0.3">
      <c r="J13725" s="33"/>
    </row>
    <row r="13726" spans="10:10" ht="15" customHeight="1" x14ac:dyDescent="0.3">
      <c r="J13726" s="33"/>
    </row>
    <row r="13727" spans="10:10" ht="15" customHeight="1" x14ac:dyDescent="0.3">
      <c r="J13727" s="33"/>
    </row>
    <row r="13728" spans="10:10" ht="15" customHeight="1" x14ac:dyDescent="0.3">
      <c r="J13728" s="33"/>
    </row>
    <row r="13729" spans="10:10" ht="15" customHeight="1" x14ac:dyDescent="0.3">
      <c r="J13729" s="33"/>
    </row>
    <row r="13730" spans="10:10" ht="15" customHeight="1" x14ac:dyDescent="0.3">
      <c r="J13730" s="33"/>
    </row>
    <row r="13731" spans="10:10" ht="15" customHeight="1" x14ac:dyDescent="0.3">
      <c r="J13731" s="33"/>
    </row>
    <row r="13732" spans="10:10" ht="15" customHeight="1" x14ac:dyDescent="0.3">
      <c r="J13732" s="33"/>
    </row>
    <row r="13733" spans="10:10" ht="15" customHeight="1" x14ac:dyDescent="0.3">
      <c r="J13733" s="33"/>
    </row>
    <row r="13734" spans="10:10" ht="15" customHeight="1" x14ac:dyDescent="0.3">
      <c r="J13734" s="33"/>
    </row>
    <row r="13735" spans="10:10" ht="15" customHeight="1" x14ac:dyDescent="0.3">
      <c r="J13735" s="33"/>
    </row>
    <row r="13736" spans="10:10" ht="15" customHeight="1" x14ac:dyDescent="0.3">
      <c r="J13736" s="33"/>
    </row>
    <row r="13737" spans="10:10" ht="15" customHeight="1" x14ac:dyDescent="0.3">
      <c r="J13737" s="33"/>
    </row>
    <row r="13738" spans="10:10" ht="15" customHeight="1" x14ac:dyDescent="0.3">
      <c r="J13738" s="33"/>
    </row>
    <row r="13739" spans="10:10" ht="15" customHeight="1" x14ac:dyDescent="0.3">
      <c r="J13739" s="33"/>
    </row>
    <row r="13740" spans="10:10" ht="15" customHeight="1" x14ac:dyDescent="0.3">
      <c r="J13740" s="33"/>
    </row>
    <row r="13741" spans="10:10" ht="15" customHeight="1" x14ac:dyDescent="0.3">
      <c r="J13741" s="33"/>
    </row>
    <row r="13742" spans="10:10" ht="15" customHeight="1" x14ac:dyDescent="0.3">
      <c r="J13742" s="33"/>
    </row>
    <row r="13743" spans="10:10" ht="15" customHeight="1" x14ac:dyDescent="0.3">
      <c r="J13743" s="33"/>
    </row>
    <row r="13744" spans="10:10" ht="15" customHeight="1" x14ac:dyDescent="0.3">
      <c r="J13744" s="33"/>
    </row>
    <row r="13745" spans="10:10" ht="15" customHeight="1" x14ac:dyDescent="0.3">
      <c r="J13745" s="33"/>
    </row>
    <row r="13746" spans="10:10" ht="15" customHeight="1" x14ac:dyDescent="0.3">
      <c r="J13746" s="33"/>
    </row>
    <row r="13747" spans="10:10" ht="15" customHeight="1" x14ac:dyDescent="0.3">
      <c r="J13747" s="33"/>
    </row>
    <row r="13748" spans="10:10" ht="15" customHeight="1" x14ac:dyDescent="0.3">
      <c r="J13748" s="33"/>
    </row>
    <row r="13749" spans="10:10" ht="15" customHeight="1" x14ac:dyDescent="0.3">
      <c r="J13749" s="33"/>
    </row>
    <row r="13750" spans="10:10" ht="15" customHeight="1" x14ac:dyDescent="0.3">
      <c r="J13750" s="33"/>
    </row>
    <row r="13751" spans="10:10" ht="15" customHeight="1" x14ac:dyDescent="0.3">
      <c r="J13751" s="33"/>
    </row>
    <row r="13752" spans="10:10" ht="15" customHeight="1" x14ac:dyDescent="0.3">
      <c r="J13752" s="33"/>
    </row>
    <row r="13753" spans="10:10" ht="15" customHeight="1" x14ac:dyDescent="0.3">
      <c r="J13753" s="33"/>
    </row>
    <row r="13754" spans="10:10" ht="15" customHeight="1" x14ac:dyDescent="0.3">
      <c r="J13754" s="33"/>
    </row>
    <row r="13755" spans="10:10" ht="15" customHeight="1" x14ac:dyDescent="0.3">
      <c r="J13755" s="33"/>
    </row>
    <row r="13756" spans="10:10" ht="15" customHeight="1" x14ac:dyDescent="0.3">
      <c r="J13756" s="33"/>
    </row>
    <row r="13757" spans="10:10" ht="15" customHeight="1" x14ac:dyDescent="0.3">
      <c r="J13757" s="33"/>
    </row>
    <row r="13758" spans="10:10" ht="15" customHeight="1" x14ac:dyDescent="0.3">
      <c r="J13758" s="33"/>
    </row>
    <row r="13759" spans="10:10" ht="15" customHeight="1" x14ac:dyDescent="0.3">
      <c r="J13759" s="33"/>
    </row>
    <row r="13760" spans="10:10" ht="15" customHeight="1" x14ac:dyDescent="0.3">
      <c r="J13760" s="33"/>
    </row>
    <row r="13761" spans="10:10" ht="15" customHeight="1" x14ac:dyDescent="0.3">
      <c r="J13761" s="33"/>
    </row>
    <row r="13762" spans="10:10" ht="15" customHeight="1" x14ac:dyDescent="0.3">
      <c r="J13762" s="33"/>
    </row>
    <row r="13763" spans="10:10" ht="15" customHeight="1" x14ac:dyDescent="0.3">
      <c r="J13763" s="33"/>
    </row>
    <row r="13764" spans="10:10" ht="15" customHeight="1" x14ac:dyDescent="0.3">
      <c r="J13764" s="33"/>
    </row>
    <row r="13765" spans="10:10" ht="15" customHeight="1" x14ac:dyDescent="0.3">
      <c r="J13765" s="33"/>
    </row>
    <row r="13766" spans="10:10" ht="15" customHeight="1" x14ac:dyDescent="0.3">
      <c r="J13766" s="33"/>
    </row>
    <row r="13767" spans="10:10" ht="15" customHeight="1" x14ac:dyDescent="0.3">
      <c r="J13767" s="33"/>
    </row>
    <row r="13768" spans="10:10" ht="15" customHeight="1" x14ac:dyDescent="0.3">
      <c r="J13768" s="33"/>
    </row>
    <row r="13769" spans="10:10" ht="15" customHeight="1" x14ac:dyDescent="0.3">
      <c r="J13769" s="33"/>
    </row>
    <row r="13770" spans="10:10" ht="15" customHeight="1" x14ac:dyDescent="0.3">
      <c r="J13770" s="33"/>
    </row>
    <row r="13771" spans="10:10" ht="15" customHeight="1" x14ac:dyDescent="0.3">
      <c r="J13771" s="33"/>
    </row>
    <row r="13772" spans="10:10" ht="15" customHeight="1" x14ac:dyDescent="0.3">
      <c r="J13772" s="33"/>
    </row>
    <row r="13773" spans="10:10" ht="15" customHeight="1" x14ac:dyDescent="0.3">
      <c r="J13773" s="33"/>
    </row>
    <row r="13774" spans="10:10" ht="15" customHeight="1" x14ac:dyDescent="0.3">
      <c r="J13774" s="33"/>
    </row>
    <row r="13775" spans="10:10" ht="15" customHeight="1" x14ac:dyDescent="0.3">
      <c r="J13775" s="33"/>
    </row>
    <row r="13776" spans="10:10" ht="15" customHeight="1" x14ac:dyDescent="0.3">
      <c r="J13776" s="33"/>
    </row>
    <row r="13777" spans="10:10" ht="15" customHeight="1" x14ac:dyDescent="0.3">
      <c r="J13777" s="33"/>
    </row>
    <row r="13778" spans="10:10" ht="15" customHeight="1" x14ac:dyDescent="0.3">
      <c r="J13778" s="33"/>
    </row>
    <row r="13779" spans="10:10" ht="15" customHeight="1" x14ac:dyDescent="0.3">
      <c r="J13779" s="33"/>
    </row>
    <row r="13780" spans="10:10" ht="15" customHeight="1" x14ac:dyDescent="0.3">
      <c r="J13780" s="33"/>
    </row>
    <row r="13781" spans="10:10" ht="15" customHeight="1" x14ac:dyDescent="0.3">
      <c r="J13781" s="33"/>
    </row>
    <row r="13782" spans="10:10" ht="15" customHeight="1" x14ac:dyDescent="0.3">
      <c r="J13782" s="33"/>
    </row>
    <row r="13783" spans="10:10" ht="15" customHeight="1" x14ac:dyDescent="0.3">
      <c r="J13783" s="33"/>
    </row>
    <row r="13784" spans="10:10" ht="15" customHeight="1" x14ac:dyDescent="0.3">
      <c r="J13784" s="33"/>
    </row>
    <row r="13785" spans="10:10" ht="15" customHeight="1" x14ac:dyDescent="0.3">
      <c r="J13785" s="33"/>
    </row>
    <row r="13786" spans="10:10" ht="15" customHeight="1" x14ac:dyDescent="0.3">
      <c r="J13786" s="33"/>
    </row>
    <row r="13787" spans="10:10" ht="15" customHeight="1" x14ac:dyDescent="0.3">
      <c r="J13787" s="33"/>
    </row>
    <row r="13788" spans="10:10" ht="15" customHeight="1" x14ac:dyDescent="0.3">
      <c r="J13788" s="33"/>
    </row>
    <row r="13789" spans="10:10" ht="15" customHeight="1" x14ac:dyDescent="0.3">
      <c r="J13789" s="33"/>
    </row>
    <row r="13790" spans="10:10" ht="15" customHeight="1" x14ac:dyDescent="0.3">
      <c r="J13790" s="33"/>
    </row>
    <row r="13791" spans="10:10" ht="15" customHeight="1" x14ac:dyDescent="0.3">
      <c r="J13791" s="33"/>
    </row>
    <row r="13792" spans="10:10" ht="15" customHeight="1" x14ac:dyDescent="0.3">
      <c r="J13792" s="33"/>
    </row>
    <row r="13793" spans="10:10" ht="15" customHeight="1" x14ac:dyDescent="0.3">
      <c r="J13793" s="33"/>
    </row>
    <row r="13794" spans="10:10" ht="15" customHeight="1" x14ac:dyDescent="0.3">
      <c r="J13794" s="33"/>
    </row>
    <row r="13795" spans="10:10" ht="15" customHeight="1" x14ac:dyDescent="0.3">
      <c r="J13795" s="33"/>
    </row>
    <row r="13796" spans="10:10" ht="15" customHeight="1" x14ac:dyDescent="0.3">
      <c r="J13796" s="33"/>
    </row>
    <row r="13797" spans="10:10" ht="15" customHeight="1" x14ac:dyDescent="0.3">
      <c r="J13797" s="33"/>
    </row>
    <row r="13798" spans="10:10" ht="15" customHeight="1" x14ac:dyDescent="0.3">
      <c r="J13798" s="33"/>
    </row>
    <row r="13799" spans="10:10" ht="15" customHeight="1" x14ac:dyDescent="0.3">
      <c r="J13799" s="33"/>
    </row>
    <row r="13800" spans="10:10" ht="15" customHeight="1" x14ac:dyDescent="0.3">
      <c r="J13800" s="33"/>
    </row>
    <row r="13801" spans="10:10" ht="15" customHeight="1" x14ac:dyDescent="0.3">
      <c r="J13801" s="33"/>
    </row>
    <row r="13802" spans="10:10" ht="15" customHeight="1" x14ac:dyDescent="0.3">
      <c r="J13802" s="33"/>
    </row>
    <row r="13803" spans="10:10" ht="15" customHeight="1" x14ac:dyDescent="0.3">
      <c r="J13803" s="33"/>
    </row>
    <row r="13804" spans="10:10" ht="15" customHeight="1" x14ac:dyDescent="0.3">
      <c r="J13804" s="33"/>
    </row>
    <row r="13805" spans="10:10" ht="15" customHeight="1" x14ac:dyDescent="0.3">
      <c r="J13805" s="33"/>
    </row>
    <row r="13806" spans="10:10" ht="15" customHeight="1" x14ac:dyDescent="0.3">
      <c r="J13806" s="33"/>
    </row>
    <row r="13807" spans="10:10" ht="15" customHeight="1" x14ac:dyDescent="0.3">
      <c r="J13807" s="33"/>
    </row>
    <row r="13808" spans="10:10" ht="15" customHeight="1" x14ac:dyDescent="0.3">
      <c r="J13808" s="33"/>
    </row>
    <row r="13809" spans="10:10" ht="15" customHeight="1" x14ac:dyDescent="0.3">
      <c r="J13809" s="33"/>
    </row>
    <row r="13810" spans="10:10" ht="15" customHeight="1" x14ac:dyDescent="0.3">
      <c r="J13810" s="33"/>
    </row>
    <row r="13811" spans="10:10" ht="15" customHeight="1" x14ac:dyDescent="0.3">
      <c r="J13811" s="33"/>
    </row>
    <row r="13812" spans="10:10" ht="15" customHeight="1" x14ac:dyDescent="0.3">
      <c r="J13812" s="33"/>
    </row>
    <row r="13813" spans="10:10" ht="15" customHeight="1" x14ac:dyDescent="0.3">
      <c r="J13813" s="33"/>
    </row>
    <row r="13814" spans="10:10" ht="15" customHeight="1" x14ac:dyDescent="0.3">
      <c r="J13814" s="33"/>
    </row>
    <row r="13815" spans="10:10" ht="15" customHeight="1" x14ac:dyDescent="0.3">
      <c r="J13815" s="33"/>
    </row>
    <row r="13816" spans="10:10" ht="15" customHeight="1" x14ac:dyDescent="0.3">
      <c r="J13816" s="33"/>
    </row>
    <row r="13817" spans="10:10" ht="15" customHeight="1" x14ac:dyDescent="0.3">
      <c r="J13817" s="33"/>
    </row>
    <row r="13818" spans="10:10" ht="15" customHeight="1" x14ac:dyDescent="0.3">
      <c r="J13818" s="33"/>
    </row>
    <row r="13819" spans="10:10" ht="15" customHeight="1" x14ac:dyDescent="0.3">
      <c r="J13819" s="33"/>
    </row>
    <row r="13820" spans="10:10" ht="15" customHeight="1" x14ac:dyDescent="0.3">
      <c r="J13820" s="33"/>
    </row>
    <row r="13821" spans="10:10" ht="15" customHeight="1" x14ac:dyDescent="0.3">
      <c r="J13821" s="33"/>
    </row>
    <row r="13822" spans="10:10" ht="15" customHeight="1" x14ac:dyDescent="0.3">
      <c r="J13822" s="33"/>
    </row>
    <row r="13823" spans="10:10" ht="15" customHeight="1" x14ac:dyDescent="0.3">
      <c r="J13823" s="33"/>
    </row>
    <row r="13824" spans="10:10" ht="15" customHeight="1" x14ac:dyDescent="0.3">
      <c r="J13824" s="33"/>
    </row>
    <row r="13825" spans="10:10" ht="15" customHeight="1" x14ac:dyDescent="0.3">
      <c r="J13825" s="33"/>
    </row>
    <row r="13826" spans="10:10" ht="15" customHeight="1" x14ac:dyDescent="0.3">
      <c r="J13826" s="33"/>
    </row>
    <row r="13827" spans="10:10" ht="15" customHeight="1" x14ac:dyDescent="0.3">
      <c r="J13827" s="33"/>
    </row>
    <row r="13828" spans="10:10" ht="15" customHeight="1" x14ac:dyDescent="0.3">
      <c r="J13828" s="33"/>
    </row>
    <row r="13829" spans="10:10" ht="15" customHeight="1" x14ac:dyDescent="0.3">
      <c r="J13829" s="33"/>
    </row>
    <row r="13830" spans="10:10" ht="15" customHeight="1" x14ac:dyDescent="0.3">
      <c r="J13830" s="33"/>
    </row>
    <row r="13831" spans="10:10" ht="15" customHeight="1" x14ac:dyDescent="0.3">
      <c r="J13831" s="33"/>
    </row>
    <row r="13832" spans="10:10" ht="15" customHeight="1" x14ac:dyDescent="0.3">
      <c r="J13832" s="33"/>
    </row>
    <row r="13833" spans="10:10" ht="15" customHeight="1" x14ac:dyDescent="0.3">
      <c r="J13833" s="33"/>
    </row>
    <row r="13834" spans="10:10" ht="15" customHeight="1" x14ac:dyDescent="0.3">
      <c r="J13834" s="33"/>
    </row>
    <row r="13835" spans="10:10" ht="15" customHeight="1" x14ac:dyDescent="0.3">
      <c r="J13835" s="33"/>
    </row>
    <row r="13836" spans="10:10" ht="15" customHeight="1" x14ac:dyDescent="0.3">
      <c r="J13836" s="33"/>
    </row>
    <row r="13837" spans="10:10" ht="15" customHeight="1" x14ac:dyDescent="0.3">
      <c r="J13837" s="33"/>
    </row>
    <row r="13838" spans="10:10" ht="15" customHeight="1" x14ac:dyDescent="0.3">
      <c r="J13838" s="33"/>
    </row>
    <row r="13839" spans="10:10" ht="15" customHeight="1" x14ac:dyDescent="0.3">
      <c r="J13839" s="33"/>
    </row>
    <row r="13840" spans="10:10" ht="15" customHeight="1" x14ac:dyDescent="0.3">
      <c r="J13840" s="33"/>
    </row>
    <row r="13841" spans="10:10" ht="15" customHeight="1" x14ac:dyDescent="0.3">
      <c r="J13841" s="33"/>
    </row>
    <row r="13842" spans="10:10" ht="15" customHeight="1" x14ac:dyDescent="0.3">
      <c r="J13842" s="33"/>
    </row>
    <row r="13843" spans="10:10" ht="15" customHeight="1" x14ac:dyDescent="0.3">
      <c r="J13843" s="33"/>
    </row>
    <row r="13844" spans="10:10" ht="15" customHeight="1" x14ac:dyDescent="0.3">
      <c r="J13844" s="33"/>
    </row>
    <row r="13845" spans="10:10" ht="15" customHeight="1" x14ac:dyDescent="0.3">
      <c r="J13845" s="33"/>
    </row>
    <row r="13846" spans="10:10" ht="15" customHeight="1" x14ac:dyDescent="0.3">
      <c r="J13846" s="33"/>
    </row>
    <row r="13847" spans="10:10" ht="15" customHeight="1" x14ac:dyDescent="0.3">
      <c r="J13847" s="33"/>
    </row>
    <row r="13848" spans="10:10" ht="15" customHeight="1" x14ac:dyDescent="0.3">
      <c r="J13848" s="33"/>
    </row>
    <row r="13849" spans="10:10" ht="15" customHeight="1" x14ac:dyDescent="0.3">
      <c r="J13849" s="33"/>
    </row>
    <row r="13850" spans="10:10" ht="15" customHeight="1" x14ac:dyDescent="0.3">
      <c r="J13850" s="33"/>
    </row>
    <row r="13851" spans="10:10" ht="15" customHeight="1" x14ac:dyDescent="0.3">
      <c r="J13851" s="33"/>
    </row>
    <row r="13852" spans="10:10" ht="15" customHeight="1" x14ac:dyDescent="0.3">
      <c r="J13852" s="33"/>
    </row>
    <row r="13853" spans="10:10" ht="15" customHeight="1" x14ac:dyDescent="0.3">
      <c r="J13853" s="33"/>
    </row>
    <row r="13854" spans="10:10" ht="15" customHeight="1" x14ac:dyDescent="0.3">
      <c r="J13854" s="33"/>
    </row>
    <row r="13855" spans="10:10" ht="15" customHeight="1" x14ac:dyDescent="0.3">
      <c r="J13855" s="33"/>
    </row>
    <row r="13856" spans="10:10" ht="15" customHeight="1" x14ac:dyDescent="0.3">
      <c r="J13856" s="33"/>
    </row>
    <row r="13857" spans="10:10" ht="15" customHeight="1" x14ac:dyDescent="0.3">
      <c r="J13857" s="33"/>
    </row>
    <row r="13858" spans="10:10" ht="15" customHeight="1" x14ac:dyDescent="0.3">
      <c r="J13858" s="33"/>
    </row>
    <row r="13859" spans="10:10" ht="15" customHeight="1" x14ac:dyDescent="0.3">
      <c r="J13859" s="33"/>
    </row>
    <row r="13860" spans="10:10" ht="15" customHeight="1" x14ac:dyDescent="0.3">
      <c r="J13860" s="33"/>
    </row>
    <row r="13861" spans="10:10" ht="15" customHeight="1" x14ac:dyDescent="0.3">
      <c r="J13861" s="33"/>
    </row>
    <row r="13862" spans="10:10" ht="15" customHeight="1" x14ac:dyDescent="0.3">
      <c r="J13862" s="33"/>
    </row>
    <row r="13863" spans="10:10" ht="15" customHeight="1" x14ac:dyDescent="0.3">
      <c r="J13863" s="33"/>
    </row>
    <row r="13864" spans="10:10" ht="15" customHeight="1" x14ac:dyDescent="0.3">
      <c r="J13864" s="33"/>
    </row>
    <row r="13865" spans="10:10" ht="15" customHeight="1" x14ac:dyDescent="0.3">
      <c r="J13865" s="33"/>
    </row>
    <row r="13866" spans="10:10" ht="15" customHeight="1" x14ac:dyDescent="0.3">
      <c r="J13866" s="33"/>
    </row>
    <row r="13867" spans="10:10" ht="15" customHeight="1" x14ac:dyDescent="0.3">
      <c r="J13867" s="33"/>
    </row>
    <row r="13868" spans="10:10" ht="15" customHeight="1" x14ac:dyDescent="0.3">
      <c r="J13868" s="33"/>
    </row>
    <row r="13869" spans="10:10" ht="15" customHeight="1" x14ac:dyDescent="0.3">
      <c r="J13869" s="33"/>
    </row>
    <row r="13870" spans="10:10" ht="15" customHeight="1" x14ac:dyDescent="0.3">
      <c r="J13870" s="33"/>
    </row>
    <row r="13871" spans="10:10" ht="15" customHeight="1" x14ac:dyDescent="0.3">
      <c r="J13871" s="33"/>
    </row>
    <row r="13872" spans="10:10" ht="15" customHeight="1" x14ac:dyDescent="0.3">
      <c r="J13872" s="33"/>
    </row>
    <row r="13873" spans="10:10" ht="15" customHeight="1" x14ac:dyDescent="0.3">
      <c r="J13873" s="33"/>
    </row>
    <row r="13874" spans="10:10" ht="15" customHeight="1" x14ac:dyDescent="0.3">
      <c r="J13874" s="33"/>
    </row>
    <row r="13875" spans="10:10" ht="15" customHeight="1" x14ac:dyDescent="0.3">
      <c r="J13875" s="33"/>
    </row>
    <row r="13876" spans="10:10" ht="15" customHeight="1" x14ac:dyDescent="0.3">
      <c r="J13876" s="33"/>
    </row>
    <row r="13877" spans="10:10" ht="15" customHeight="1" x14ac:dyDescent="0.3">
      <c r="J13877" s="33"/>
    </row>
    <row r="13878" spans="10:10" ht="15" customHeight="1" x14ac:dyDescent="0.3">
      <c r="J13878" s="33"/>
    </row>
    <row r="13879" spans="10:10" ht="15" customHeight="1" x14ac:dyDescent="0.3">
      <c r="J13879" s="33"/>
    </row>
    <row r="13880" spans="10:10" ht="15" customHeight="1" x14ac:dyDescent="0.3">
      <c r="J13880" s="33"/>
    </row>
    <row r="13881" spans="10:10" ht="15" customHeight="1" x14ac:dyDescent="0.3">
      <c r="J13881" s="33"/>
    </row>
    <row r="13882" spans="10:10" ht="15" customHeight="1" x14ac:dyDescent="0.3">
      <c r="J13882" s="33"/>
    </row>
    <row r="13883" spans="10:10" ht="15" customHeight="1" x14ac:dyDescent="0.3">
      <c r="J13883" s="33"/>
    </row>
    <row r="13884" spans="10:10" ht="15" customHeight="1" x14ac:dyDescent="0.3">
      <c r="J13884" s="33"/>
    </row>
    <row r="13885" spans="10:10" ht="15" customHeight="1" x14ac:dyDescent="0.3">
      <c r="J13885" s="33"/>
    </row>
    <row r="13886" spans="10:10" ht="15" customHeight="1" x14ac:dyDescent="0.3">
      <c r="J13886" s="33"/>
    </row>
    <row r="13887" spans="10:10" ht="15" customHeight="1" x14ac:dyDescent="0.3">
      <c r="J13887" s="33"/>
    </row>
    <row r="13888" spans="10:10" ht="15" customHeight="1" x14ac:dyDescent="0.3">
      <c r="J13888" s="33"/>
    </row>
    <row r="13889" spans="10:10" ht="15" customHeight="1" x14ac:dyDescent="0.3">
      <c r="J13889" s="33"/>
    </row>
    <row r="13890" spans="10:10" ht="15" customHeight="1" x14ac:dyDescent="0.3">
      <c r="J13890" s="33"/>
    </row>
    <row r="13891" spans="10:10" ht="15" customHeight="1" x14ac:dyDescent="0.3">
      <c r="J13891" s="33"/>
    </row>
    <row r="13892" spans="10:10" ht="15" customHeight="1" x14ac:dyDescent="0.3">
      <c r="J13892" s="33"/>
    </row>
    <row r="13893" spans="10:10" ht="15" customHeight="1" x14ac:dyDescent="0.3">
      <c r="J13893" s="33"/>
    </row>
    <row r="13894" spans="10:10" ht="15" customHeight="1" x14ac:dyDescent="0.3">
      <c r="J13894" s="33"/>
    </row>
    <row r="13895" spans="10:10" ht="15" customHeight="1" x14ac:dyDescent="0.3">
      <c r="J13895" s="33"/>
    </row>
    <row r="13896" spans="10:10" ht="15" customHeight="1" x14ac:dyDescent="0.3">
      <c r="J13896" s="33"/>
    </row>
    <row r="13897" spans="10:10" ht="15" customHeight="1" x14ac:dyDescent="0.3">
      <c r="J13897" s="33"/>
    </row>
    <row r="13898" spans="10:10" ht="15" customHeight="1" x14ac:dyDescent="0.3">
      <c r="J13898" s="33"/>
    </row>
    <row r="13899" spans="10:10" ht="15" customHeight="1" x14ac:dyDescent="0.3">
      <c r="J13899" s="33"/>
    </row>
    <row r="13900" spans="10:10" ht="15" customHeight="1" x14ac:dyDescent="0.3">
      <c r="J13900" s="33"/>
    </row>
    <row r="13901" spans="10:10" ht="15" customHeight="1" x14ac:dyDescent="0.3">
      <c r="J13901" s="33"/>
    </row>
    <row r="13902" spans="10:10" ht="15" customHeight="1" x14ac:dyDescent="0.3">
      <c r="J13902" s="33"/>
    </row>
    <row r="13903" spans="10:10" ht="15" customHeight="1" x14ac:dyDescent="0.3">
      <c r="J13903" s="33"/>
    </row>
    <row r="13904" spans="10:10" ht="15" customHeight="1" x14ac:dyDescent="0.3">
      <c r="J13904" s="33"/>
    </row>
    <row r="13905" spans="10:10" ht="15" customHeight="1" x14ac:dyDescent="0.3">
      <c r="J13905" s="33"/>
    </row>
    <row r="13906" spans="10:10" ht="15" customHeight="1" x14ac:dyDescent="0.3">
      <c r="J13906" s="33"/>
    </row>
    <row r="13907" spans="10:10" ht="15" customHeight="1" x14ac:dyDescent="0.3">
      <c r="J13907" s="33"/>
    </row>
    <row r="13908" spans="10:10" ht="15" customHeight="1" x14ac:dyDescent="0.3">
      <c r="J13908" s="33"/>
    </row>
    <row r="13909" spans="10:10" ht="15" customHeight="1" x14ac:dyDescent="0.3">
      <c r="J13909" s="33"/>
    </row>
    <row r="13910" spans="10:10" ht="15" customHeight="1" x14ac:dyDescent="0.3">
      <c r="J13910" s="33"/>
    </row>
    <row r="13911" spans="10:10" ht="15" customHeight="1" x14ac:dyDescent="0.3">
      <c r="J13911" s="33"/>
    </row>
    <row r="13912" spans="10:10" ht="15" customHeight="1" x14ac:dyDescent="0.3">
      <c r="J13912" s="33"/>
    </row>
    <row r="13913" spans="10:10" ht="15" customHeight="1" x14ac:dyDescent="0.3">
      <c r="J13913" s="33"/>
    </row>
    <row r="13914" spans="10:10" ht="15" customHeight="1" x14ac:dyDescent="0.3">
      <c r="J13914" s="33"/>
    </row>
    <row r="13915" spans="10:10" ht="15" customHeight="1" x14ac:dyDescent="0.3">
      <c r="J13915" s="33"/>
    </row>
    <row r="13916" spans="10:10" ht="15" customHeight="1" x14ac:dyDescent="0.3">
      <c r="J13916" s="33"/>
    </row>
    <row r="13917" spans="10:10" ht="15" customHeight="1" x14ac:dyDescent="0.3">
      <c r="J13917" s="33"/>
    </row>
    <row r="13918" spans="10:10" ht="15" customHeight="1" x14ac:dyDescent="0.3">
      <c r="J13918" s="33"/>
    </row>
    <row r="13919" spans="10:10" ht="15" customHeight="1" x14ac:dyDescent="0.3">
      <c r="J13919" s="33"/>
    </row>
    <row r="13920" spans="10:10" ht="15" customHeight="1" x14ac:dyDescent="0.3">
      <c r="J13920" s="33"/>
    </row>
    <row r="13921" spans="10:10" ht="15" customHeight="1" x14ac:dyDescent="0.3">
      <c r="J13921" s="33"/>
    </row>
    <row r="13922" spans="10:10" ht="15" customHeight="1" x14ac:dyDescent="0.3">
      <c r="J13922" s="33"/>
    </row>
    <row r="13923" spans="10:10" ht="15" customHeight="1" x14ac:dyDescent="0.3">
      <c r="J13923" s="33"/>
    </row>
    <row r="13924" spans="10:10" ht="15" customHeight="1" x14ac:dyDescent="0.3">
      <c r="J13924" s="33"/>
    </row>
    <row r="13925" spans="10:10" ht="15" customHeight="1" x14ac:dyDescent="0.3">
      <c r="J13925" s="33"/>
    </row>
    <row r="13926" spans="10:10" ht="15" customHeight="1" x14ac:dyDescent="0.3">
      <c r="J13926" s="33"/>
    </row>
    <row r="13927" spans="10:10" ht="15" customHeight="1" x14ac:dyDescent="0.3">
      <c r="J13927" s="33"/>
    </row>
    <row r="13928" spans="10:10" ht="15" customHeight="1" x14ac:dyDescent="0.3">
      <c r="J13928" s="33"/>
    </row>
    <row r="13929" spans="10:10" ht="15" customHeight="1" x14ac:dyDescent="0.3">
      <c r="J13929" s="33"/>
    </row>
    <row r="13930" spans="10:10" ht="15" customHeight="1" x14ac:dyDescent="0.3">
      <c r="J13930" s="33"/>
    </row>
    <row r="13931" spans="10:10" ht="15" customHeight="1" x14ac:dyDescent="0.3">
      <c r="J13931" s="33"/>
    </row>
    <row r="13932" spans="10:10" ht="15" customHeight="1" x14ac:dyDescent="0.3">
      <c r="J13932" s="33"/>
    </row>
    <row r="13933" spans="10:10" ht="15" customHeight="1" x14ac:dyDescent="0.3">
      <c r="J13933" s="33"/>
    </row>
    <row r="13934" spans="10:10" ht="15" customHeight="1" x14ac:dyDescent="0.3">
      <c r="J13934" s="33"/>
    </row>
    <row r="13935" spans="10:10" ht="15" customHeight="1" x14ac:dyDescent="0.3">
      <c r="J13935" s="33"/>
    </row>
    <row r="13936" spans="10:10" ht="15" customHeight="1" x14ac:dyDescent="0.3">
      <c r="J13936" s="33"/>
    </row>
    <row r="13937" spans="10:10" ht="15" customHeight="1" x14ac:dyDescent="0.3">
      <c r="J13937" s="33"/>
    </row>
    <row r="13938" spans="10:10" ht="15" customHeight="1" x14ac:dyDescent="0.3">
      <c r="J13938" s="33"/>
    </row>
    <row r="13939" spans="10:10" ht="15" customHeight="1" x14ac:dyDescent="0.3">
      <c r="J13939" s="33"/>
    </row>
    <row r="13940" spans="10:10" ht="15" customHeight="1" x14ac:dyDescent="0.3">
      <c r="J13940" s="33"/>
    </row>
    <row r="13941" spans="10:10" ht="15" customHeight="1" x14ac:dyDescent="0.3">
      <c r="J13941" s="33"/>
    </row>
    <row r="13942" spans="10:10" ht="15" customHeight="1" x14ac:dyDescent="0.3">
      <c r="J13942" s="33"/>
    </row>
    <row r="13943" spans="10:10" ht="15" customHeight="1" x14ac:dyDescent="0.3">
      <c r="J13943" s="33"/>
    </row>
    <row r="13944" spans="10:10" ht="15" customHeight="1" x14ac:dyDescent="0.3">
      <c r="J13944" s="33"/>
    </row>
    <row r="13945" spans="10:10" ht="15" customHeight="1" x14ac:dyDescent="0.3">
      <c r="J13945" s="33"/>
    </row>
    <row r="13946" spans="10:10" ht="15" customHeight="1" x14ac:dyDescent="0.3">
      <c r="J13946" s="33"/>
    </row>
    <row r="13947" spans="10:10" ht="15" customHeight="1" x14ac:dyDescent="0.3">
      <c r="J13947" s="33"/>
    </row>
    <row r="13948" spans="10:10" ht="15" customHeight="1" x14ac:dyDescent="0.3">
      <c r="J13948" s="33"/>
    </row>
    <row r="13949" spans="10:10" ht="15" customHeight="1" x14ac:dyDescent="0.3">
      <c r="J13949" s="33"/>
    </row>
    <row r="13950" spans="10:10" ht="15" customHeight="1" x14ac:dyDescent="0.3">
      <c r="J13950" s="33"/>
    </row>
    <row r="13951" spans="10:10" ht="15" customHeight="1" x14ac:dyDescent="0.3">
      <c r="J13951" s="33"/>
    </row>
    <row r="13952" spans="10:10" ht="15" customHeight="1" x14ac:dyDescent="0.3">
      <c r="J13952" s="33"/>
    </row>
    <row r="13953" spans="10:10" ht="15" customHeight="1" x14ac:dyDescent="0.3">
      <c r="J13953" s="33"/>
    </row>
    <row r="13954" spans="10:10" ht="15" customHeight="1" x14ac:dyDescent="0.3">
      <c r="J13954" s="33"/>
    </row>
    <row r="13955" spans="10:10" ht="15" customHeight="1" x14ac:dyDescent="0.3">
      <c r="J13955" s="33"/>
    </row>
    <row r="13956" spans="10:10" ht="15" customHeight="1" x14ac:dyDescent="0.3">
      <c r="J13956" s="33"/>
    </row>
    <row r="13957" spans="10:10" ht="15" customHeight="1" x14ac:dyDescent="0.3">
      <c r="J13957" s="33"/>
    </row>
    <row r="13958" spans="10:10" ht="15" customHeight="1" x14ac:dyDescent="0.3">
      <c r="J13958" s="33"/>
    </row>
    <row r="13959" spans="10:10" ht="15" customHeight="1" x14ac:dyDescent="0.3">
      <c r="J13959" s="33"/>
    </row>
    <row r="13960" spans="10:10" ht="15" customHeight="1" x14ac:dyDescent="0.3">
      <c r="J13960" s="33"/>
    </row>
    <row r="13961" spans="10:10" ht="15" customHeight="1" x14ac:dyDescent="0.3">
      <c r="J13961" s="33"/>
    </row>
    <row r="13962" spans="10:10" ht="15" customHeight="1" x14ac:dyDescent="0.3">
      <c r="J13962" s="33"/>
    </row>
    <row r="13963" spans="10:10" ht="15" customHeight="1" x14ac:dyDescent="0.3">
      <c r="J13963" s="33"/>
    </row>
    <row r="13964" spans="10:10" ht="15" customHeight="1" x14ac:dyDescent="0.3">
      <c r="J13964" s="33"/>
    </row>
    <row r="13965" spans="10:10" ht="15" customHeight="1" x14ac:dyDescent="0.3">
      <c r="J13965" s="33"/>
    </row>
    <row r="13966" spans="10:10" ht="15" customHeight="1" x14ac:dyDescent="0.3">
      <c r="J13966" s="33"/>
    </row>
    <row r="13967" spans="10:10" ht="15" customHeight="1" x14ac:dyDescent="0.3">
      <c r="J13967" s="33"/>
    </row>
    <row r="13968" spans="10:10" ht="15" customHeight="1" x14ac:dyDescent="0.3">
      <c r="J13968" s="33"/>
    </row>
    <row r="13969" spans="10:10" ht="15" customHeight="1" x14ac:dyDescent="0.3">
      <c r="J13969" s="33"/>
    </row>
    <row r="13970" spans="10:10" ht="15" customHeight="1" x14ac:dyDescent="0.3">
      <c r="J13970" s="33"/>
    </row>
    <row r="13971" spans="10:10" ht="15" customHeight="1" x14ac:dyDescent="0.3">
      <c r="J13971" s="33"/>
    </row>
    <row r="13972" spans="10:10" ht="15" customHeight="1" x14ac:dyDescent="0.3">
      <c r="J13972" s="33"/>
    </row>
    <row r="13973" spans="10:10" ht="15" customHeight="1" x14ac:dyDescent="0.3">
      <c r="J13973" s="33"/>
    </row>
    <row r="13974" spans="10:10" ht="15" customHeight="1" x14ac:dyDescent="0.3">
      <c r="J13974" s="33"/>
    </row>
    <row r="13975" spans="10:10" ht="15" customHeight="1" x14ac:dyDescent="0.3">
      <c r="J13975" s="33"/>
    </row>
    <row r="13976" spans="10:10" ht="15" customHeight="1" x14ac:dyDescent="0.3">
      <c r="J13976" s="33"/>
    </row>
    <row r="13977" spans="10:10" ht="15" customHeight="1" x14ac:dyDescent="0.3">
      <c r="J13977" s="33"/>
    </row>
    <row r="13978" spans="10:10" ht="15" customHeight="1" x14ac:dyDescent="0.3">
      <c r="J13978" s="33"/>
    </row>
    <row r="13979" spans="10:10" ht="15" customHeight="1" x14ac:dyDescent="0.3">
      <c r="J13979" s="33"/>
    </row>
    <row r="13980" spans="10:10" ht="15" customHeight="1" x14ac:dyDescent="0.3">
      <c r="J13980" s="33"/>
    </row>
    <row r="13981" spans="10:10" ht="15" customHeight="1" x14ac:dyDescent="0.3">
      <c r="J13981" s="33"/>
    </row>
    <row r="13982" spans="10:10" ht="15" customHeight="1" x14ac:dyDescent="0.3">
      <c r="J13982" s="33"/>
    </row>
    <row r="13983" spans="10:10" ht="15" customHeight="1" x14ac:dyDescent="0.3">
      <c r="J13983" s="33"/>
    </row>
    <row r="13984" spans="10:10" ht="15" customHeight="1" x14ac:dyDescent="0.3">
      <c r="J13984" s="33"/>
    </row>
    <row r="13985" spans="10:10" ht="15" customHeight="1" x14ac:dyDescent="0.3">
      <c r="J13985" s="33"/>
    </row>
    <row r="13986" spans="10:10" ht="15" customHeight="1" x14ac:dyDescent="0.3">
      <c r="J13986" s="33"/>
    </row>
    <row r="13987" spans="10:10" ht="15" customHeight="1" x14ac:dyDescent="0.3">
      <c r="J13987" s="33"/>
    </row>
    <row r="13988" spans="10:10" ht="15" customHeight="1" x14ac:dyDescent="0.3">
      <c r="J13988" s="33"/>
    </row>
    <row r="13989" spans="10:10" ht="15" customHeight="1" x14ac:dyDescent="0.3">
      <c r="J13989" s="33"/>
    </row>
    <row r="13990" spans="10:10" ht="15" customHeight="1" x14ac:dyDescent="0.3">
      <c r="J13990" s="33"/>
    </row>
    <row r="13991" spans="10:10" ht="15" customHeight="1" x14ac:dyDescent="0.3">
      <c r="J13991" s="33"/>
    </row>
    <row r="13992" spans="10:10" ht="15" customHeight="1" x14ac:dyDescent="0.3">
      <c r="J13992" s="33"/>
    </row>
    <row r="13993" spans="10:10" ht="15" customHeight="1" x14ac:dyDescent="0.3">
      <c r="J13993" s="33"/>
    </row>
    <row r="13994" spans="10:10" ht="15" customHeight="1" x14ac:dyDescent="0.3">
      <c r="J13994" s="33"/>
    </row>
    <row r="13995" spans="10:10" ht="15" customHeight="1" x14ac:dyDescent="0.3">
      <c r="J13995" s="33"/>
    </row>
    <row r="13996" spans="10:10" ht="15" customHeight="1" x14ac:dyDescent="0.3">
      <c r="J13996" s="33"/>
    </row>
    <row r="13997" spans="10:10" ht="15" customHeight="1" x14ac:dyDescent="0.3">
      <c r="J13997" s="33"/>
    </row>
    <row r="13998" spans="10:10" ht="15" customHeight="1" x14ac:dyDescent="0.3">
      <c r="J13998" s="33"/>
    </row>
    <row r="13999" spans="10:10" ht="15" customHeight="1" x14ac:dyDescent="0.3">
      <c r="J13999" s="33"/>
    </row>
    <row r="14000" spans="10:10" ht="15" customHeight="1" x14ac:dyDescent="0.3">
      <c r="J14000" s="33"/>
    </row>
    <row r="14001" spans="10:10" ht="15" customHeight="1" x14ac:dyDescent="0.3">
      <c r="J14001" s="33"/>
    </row>
    <row r="14002" spans="10:10" ht="15" customHeight="1" x14ac:dyDescent="0.3">
      <c r="J14002" s="33"/>
    </row>
    <row r="14003" spans="10:10" ht="15" customHeight="1" x14ac:dyDescent="0.3">
      <c r="J14003" s="33"/>
    </row>
    <row r="14004" spans="10:10" ht="15" customHeight="1" x14ac:dyDescent="0.3">
      <c r="J14004" s="33"/>
    </row>
    <row r="14005" spans="10:10" ht="15" customHeight="1" x14ac:dyDescent="0.3">
      <c r="J14005" s="33"/>
    </row>
    <row r="14006" spans="10:10" ht="15" customHeight="1" x14ac:dyDescent="0.3">
      <c r="J14006" s="33"/>
    </row>
    <row r="14007" spans="10:10" ht="15" customHeight="1" x14ac:dyDescent="0.3">
      <c r="J14007" s="33"/>
    </row>
    <row r="14008" spans="10:10" ht="15" customHeight="1" x14ac:dyDescent="0.3">
      <c r="J14008" s="33"/>
    </row>
    <row r="14009" spans="10:10" ht="15" customHeight="1" x14ac:dyDescent="0.3">
      <c r="J14009" s="33"/>
    </row>
    <row r="14010" spans="10:10" ht="15" customHeight="1" x14ac:dyDescent="0.3">
      <c r="J14010" s="33"/>
    </row>
    <row r="14011" spans="10:10" ht="15" customHeight="1" x14ac:dyDescent="0.3">
      <c r="J14011" s="33"/>
    </row>
    <row r="14012" spans="10:10" ht="15" customHeight="1" x14ac:dyDescent="0.3">
      <c r="J14012" s="33"/>
    </row>
    <row r="14013" spans="10:10" ht="15" customHeight="1" x14ac:dyDescent="0.3">
      <c r="J14013" s="33"/>
    </row>
    <row r="14014" spans="10:10" ht="15" customHeight="1" x14ac:dyDescent="0.3">
      <c r="J14014" s="33"/>
    </row>
    <row r="14015" spans="10:10" ht="15" customHeight="1" x14ac:dyDescent="0.3">
      <c r="J14015" s="33"/>
    </row>
    <row r="14016" spans="10:10" ht="15" customHeight="1" x14ac:dyDescent="0.3">
      <c r="J14016" s="33"/>
    </row>
    <row r="14017" spans="10:10" ht="15" customHeight="1" x14ac:dyDescent="0.3">
      <c r="J14017" s="33"/>
    </row>
    <row r="14018" spans="10:10" ht="15" customHeight="1" x14ac:dyDescent="0.3">
      <c r="J14018" s="33"/>
    </row>
    <row r="14019" spans="10:10" ht="15" customHeight="1" x14ac:dyDescent="0.3">
      <c r="J14019" s="33"/>
    </row>
    <row r="14020" spans="10:10" ht="15" customHeight="1" x14ac:dyDescent="0.3">
      <c r="J14020" s="33"/>
    </row>
    <row r="14021" spans="10:10" ht="15" customHeight="1" x14ac:dyDescent="0.3">
      <c r="J14021" s="33"/>
    </row>
    <row r="14022" spans="10:10" ht="15" customHeight="1" x14ac:dyDescent="0.3">
      <c r="J14022" s="33"/>
    </row>
    <row r="14023" spans="10:10" ht="15" customHeight="1" x14ac:dyDescent="0.3">
      <c r="J14023" s="33"/>
    </row>
    <row r="14024" spans="10:10" ht="15" customHeight="1" x14ac:dyDescent="0.3">
      <c r="J14024" s="33"/>
    </row>
    <row r="14025" spans="10:10" ht="15" customHeight="1" x14ac:dyDescent="0.3">
      <c r="J14025" s="33"/>
    </row>
    <row r="14026" spans="10:10" ht="15" customHeight="1" x14ac:dyDescent="0.3">
      <c r="J14026" s="33"/>
    </row>
    <row r="14027" spans="10:10" ht="15" customHeight="1" x14ac:dyDescent="0.3">
      <c r="J14027" s="33"/>
    </row>
    <row r="14028" spans="10:10" ht="15" customHeight="1" x14ac:dyDescent="0.3">
      <c r="J14028" s="33"/>
    </row>
    <row r="14029" spans="10:10" ht="15" customHeight="1" x14ac:dyDescent="0.3">
      <c r="J14029" s="33"/>
    </row>
    <row r="14030" spans="10:10" ht="15" customHeight="1" x14ac:dyDescent="0.3">
      <c r="J14030" s="33"/>
    </row>
    <row r="14031" spans="10:10" ht="15" customHeight="1" x14ac:dyDescent="0.3">
      <c r="J14031" s="33"/>
    </row>
    <row r="14032" spans="10:10" ht="15" customHeight="1" x14ac:dyDescent="0.3">
      <c r="J14032" s="33"/>
    </row>
    <row r="14033" spans="10:10" ht="15" customHeight="1" x14ac:dyDescent="0.3">
      <c r="J14033" s="33"/>
    </row>
    <row r="14034" spans="10:10" ht="15" customHeight="1" x14ac:dyDescent="0.3">
      <c r="J14034" s="33"/>
    </row>
    <row r="14035" spans="10:10" ht="15" customHeight="1" x14ac:dyDescent="0.3">
      <c r="J14035" s="33"/>
    </row>
    <row r="14036" spans="10:10" ht="15" customHeight="1" x14ac:dyDescent="0.3">
      <c r="J14036" s="33"/>
    </row>
    <row r="14037" spans="10:10" ht="15" customHeight="1" x14ac:dyDescent="0.3">
      <c r="J14037" s="33"/>
    </row>
    <row r="14038" spans="10:10" ht="15" customHeight="1" x14ac:dyDescent="0.3">
      <c r="J14038" s="33"/>
    </row>
    <row r="14039" spans="10:10" ht="15" customHeight="1" x14ac:dyDescent="0.3">
      <c r="J14039" s="33"/>
    </row>
    <row r="14040" spans="10:10" ht="15" customHeight="1" x14ac:dyDescent="0.3">
      <c r="J14040" s="33"/>
    </row>
    <row r="14041" spans="10:10" ht="15" customHeight="1" x14ac:dyDescent="0.3">
      <c r="J14041" s="33"/>
    </row>
    <row r="14042" spans="10:10" ht="15" customHeight="1" x14ac:dyDescent="0.3">
      <c r="J14042" s="33"/>
    </row>
    <row r="14043" spans="10:10" ht="15" customHeight="1" x14ac:dyDescent="0.3">
      <c r="J14043" s="33"/>
    </row>
    <row r="14044" spans="10:10" ht="15" customHeight="1" x14ac:dyDescent="0.3">
      <c r="J14044" s="33"/>
    </row>
    <row r="14045" spans="10:10" ht="15" customHeight="1" x14ac:dyDescent="0.3">
      <c r="J14045" s="33"/>
    </row>
    <row r="14046" spans="10:10" ht="15" customHeight="1" x14ac:dyDescent="0.3">
      <c r="J14046" s="33"/>
    </row>
    <row r="14047" spans="10:10" ht="15" customHeight="1" x14ac:dyDescent="0.3">
      <c r="J14047" s="33"/>
    </row>
    <row r="14048" spans="10:10" ht="15" customHeight="1" x14ac:dyDescent="0.3">
      <c r="J14048" s="33"/>
    </row>
    <row r="14049" spans="10:10" ht="15" customHeight="1" x14ac:dyDescent="0.3">
      <c r="J14049" s="33"/>
    </row>
    <row r="14050" spans="10:10" ht="15" customHeight="1" x14ac:dyDescent="0.3">
      <c r="J14050" s="33"/>
    </row>
    <row r="14051" spans="10:10" ht="15" customHeight="1" x14ac:dyDescent="0.3">
      <c r="J14051" s="33"/>
    </row>
    <row r="14052" spans="10:10" ht="15" customHeight="1" x14ac:dyDescent="0.3">
      <c r="J14052" s="33"/>
    </row>
    <row r="14053" spans="10:10" ht="15" customHeight="1" x14ac:dyDescent="0.3">
      <c r="J14053" s="33"/>
    </row>
    <row r="14054" spans="10:10" ht="15" customHeight="1" x14ac:dyDescent="0.3">
      <c r="J14054" s="33"/>
    </row>
    <row r="14055" spans="10:10" ht="15" customHeight="1" x14ac:dyDescent="0.3">
      <c r="J14055" s="33"/>
    </row>
    <row r="14056" spans="10:10" ht="15" customHeight="1" x14ac:dyDescent="0.3">
      <c r="J14056" s="33"/>
    </row>
    <row r="14057" spans="10:10" ht="15" customHeight="1" x14ac:dyDescent="0.3">
      <c r="J14057" s="33"/>
    </row>
    <row r="14058" spans="10:10" ht="15" customHeight="1" x14ac:dyDescent="0.3">
      <c r="J14058" s="33"/>
    </row>
    <row r="14059" spans="10:10" ht="15" customHeight="1" x14ac:dyDescent="0.3">
      <c r="J14059" s="33"/>
    </row>
    <row r="14060" spans="10:10" ht="15" customHeight="1" x14ac:dyDescent="0.3">
      <c r="J14060" s="33"/>
    </row>
    <row r="14061" spans="10:10" ht="15" customHeight="1" x14ac:dyDescent="0.3">
      <c r="J14061" s="33"/>
    </row>
    <row r="14062" spans="10:10" ht="15" customHeight="1" x14ac:dyDescent="0.3">
      <c r="J14062" s="33"/>
    </row>
    <row r="14063" spans="10:10" ht="15" customHeight="1" x14ac:dyDescent="0.3">
      <c r="J14063" s="33"/>
    </row>
    <row r="14064" spans="10:10" ht="15" customHeight="1" x14ac:dyDescent="0.3">
      <c r="J14064" s="33"/>
    </row>
    <row r="14065" spans="10:10" ht="15" customHeight="1" x14ac:dyDescent="0.3">
      <c r="J14065" s="33"/>
    </row>
    <row r="14066" spans="10:10" ht="15" customHeight="1" x14ac:dyDescent="0.3">
      <c r="J14066" s="33"/>
    </row>
    <row r="14067" spans="10:10" ht="15" customHeight="1" x14ac:dyDescent="0.3">
      <c r="J14067" s="33"/>
    </row>
    <row r="14068" spans="10:10" ht="15" customHeight="1" x14ac:dyDescent="0.3">
      <c r="J14068" s="33"/>
    </row>
    <row r="14069" spans="10:10" ht="15" customHeight="1" x14ac:dyDescent="0.3">
      <c r="J14069" s="33"/>
    </row>
    <row r="14070" spans="10:10" ht="15" customHeight="1" x14ac:dyDescent="0.3">
      <c r="J14070" s="33"/>
    </row>
    <row r="14071" spans="10:10" ht="15" customHeight="1" x14ac:dyDescent="0.3">
      <c r="J14071" s="33"/>
    </row>
    <row r="14072" spans="10:10" ht="15" customHeight="1" x14ac:dyDescent="0.3">
      <c r="J14072" s="33"/>
    </row>
    <row r="14073" spans="10:10" ht="15" customHeight="1" x14ac:dyDescent="0.3">
      <c r="J14073" s="33"/>
    </row>
    <row r="14074" spans="10:10" ht="15" customHeight="1" x14ac:dyDescent="0.3">
      <c r="J14074" s="33"/>
    </row>
    <row r="14075" spans="10:10" ht="15" customHeight="1" x14ac:dyDescent="0.3">
      <c r="J14075" s="33"/>
    </row>
    <row r="14076" spans="10:10" ht="15" customHeight="1" x14ac:dyDescent="0.3">
      <c r="J14076" s="33"/>
    </row>
    <row r="14077" spans="10:10" ht="15" customHeight="1" x14ac:dyDescent="0.3">
      <c r="J14077" s="33"/>
    </row>
    <row r="14078" spans="10:10" ht="15" customHeight="1" x14ac:dyDescent="0.3">
      <c r="J14078" s="33"/>
    </row>
    <row r="14079" spans="10:10" ht="15" customHeight="1" x14ac:dyDescent="0.3">
      <c r="J14079" s="33"/>
    </row>
    <row r="14080" spans="10:10" ht="15" customHeight="1" x14ac:dyDescent="0.3">
      <c r="J14080" s="33"/>
    </row>
    <row r="14081" spans="10:10" ht="15" customHeight="1" x14ac:dyDescent="0.3">
      <c r="J14081" s="33"/>
    </row>
    <row r="14082" spans="10:10" ht="15" customHeight="1" x14ac:dyDescent="0.3">
      <c r="J14082" s="33"/>
    </row>
    <row r="14083" spans="10:10" ht="15" customHeight="1" x14ac:dyDescent="0.3">
      <c r="J14083" s="33"/>
    </row>
    <row r="14084" spans="10:10" ht="15" customHeight="1" x14ac:dyDescent="0.3">
      <c r="J14084" s="33"/>
    </row>
    <row r="14085" spans="10:10" ht="15" customHeight="1" x14ac:dyDescent="0.3">
      <c r="J14085" s="33"/>
    </row>
    <row r="14086" spans="10:10" ht="15" customHeight="1" x14ac:dyDescent="0.3">
      <c r="J14086" s="33"/>
    </row>
    <row r="14087" spans="10:10" ht="15" customHeight="1" x14ac:dyDescent="0.3">
      <c r="J14087" s="33"/>
    </row>
    <row r="14088" spans="10:10" ht="15" customHeight="1" x14ac:dyDescent="0.3">
      <c r="J14088" s="33"/>
    </row>
    <row r="14089" spans="10:10" ht="15" customHeight="1" x14ac:dyDescent="0.3">
      <c r="J14089" s="33"/>
    </row>
    <row r="14090" spans="10:10" ht="15" customHeight="1" x14ac:dyDescent="0.3">
      <c r="J14090" s="33"/>
    </row>
    <row r="14091" spans="10:10" ht="15" customHeight="1" x14ac:dyDescent="0.3">
      <c r="J14091" s="33"/>
    </row>
    <row r="14092" spans="10:10" ht="15" customHeight="1" x14ac:dyDescent="0.3">
      <c r="J14092" s="33"/>
    </row>
    <row r="14093" spans="10:10" ht="15" customHeight="1" x14ac:dyDescent="0.3">
      <c r="J14093" s="33"/>
    </row>
    <row r="14094" spans="10:10" ht="15" customHeight="1" x14ac:dyDescent="0.3">
      <c r="J14094" s="33"/>
    </row>
    <row r="14095" spans="10:10" ht="15" customHeight="1" x14ac:dyDescent="0.3">
      <c r="J14095" s="33"/>
    </row>
    <row r="14096" spans="10:10" ht="15" customHeight="1" x14ac:dyDescent="0.3">
      <c r="J14096" s="33"/>
    </row>
    <row r="14097" spans="10:10" ht="15" customHeight="1" x14ac:dyDescent="0.3">
      <c r="J14097" s="33"/>
    </row>
    <row r="14098" spans="10:10" ht="15" customHeight="1" x14ac:dyDescent="0.3">
      <c r="J14098" s="33"/>
    </row>
    <row r="14099" spans="10:10" ht="15" customHeight="1" x14ac:dyDescent="0.3">
      <c r="J14099" s="33"/>
    </row>
    <row r="14100" spans="10:10" ht="15" customHeight="1" x14ac:dyDescent="0.3">
      <c r="J14100" s="33"/>
    </row>
    <row r="14101" spans="10:10" ht="15" customHeight="1" x14ac:dyDescent="0.3">
      <c r="J14101" s="33"/>
    </row>
    <row r="14102" spans="10:10" ht="15" customHeight="1" x14ac:dyDescent="0.3">
      <c r="J14102" s="33"/>
    </row>
    <row r="14103" spans="10:10" ht="15" customHeight="1" x14ac:dyDescent="0.3">
      <c r="J14103" s="33"/>
    </row>
    <row r="14104" spans="10:10" ht="15" customHeight="1" x14ac:dyDescent="0.3">
      <c r="J14104" s="33"/>
    </row>
    <row r="14105" spans="10:10" ht="15" customHeight="1" x14ac:dyDescent="0.3">
      <c r="J14105" s="33"/>
    </row>
    <row r="14106" spans="10:10" ht="15" customHeight="1" x14ac:dyDescent="0.3">
      <c r="J14106" s="33"/>
    </row>
    <row r="14107" spans="10:10" ht="15" customHeight="1" x14ac:dyDescent="0.3">
      <c r="J14107" s="33"/>
    </row>
    <row r="14108" spans="10:10" ht="15" customHeight="1" x14ac:dyDescent="0.3">
      <c r="J14108" s="33"/>
    </row>
    <row r="14109" spans="10:10" ht="15" customHeight="1" x14ac:dyDescent="0.3">
      <c r="J14109" s="33"/>
    </row>
    <row r="14110" spans="10:10" ht="15" customHeight="1" x14ac:dyDescent="0.3">
      <c r="J14110" s="33"/>
    </row>
    <row r="14111" spans="10:10" ht="15" customHeight="1" x14ac:dyDescent="0.3">
      <c r="J14111" s="33"/>
    </row>
    <row r="14112" spans="10:10" ht="15" customHeight="1" x14ac:dyDescent="0.3">
      <c r="J14112" s="33"/>
    </row>
    <row r="14113" spans="10:10" ht="15" customHeight="1" x14ac:dyDescent="0.3">
      <c r="J14113" s="33"/>
    </row>
    <row r="14114" spans="10:10" ht="15" customHeight="1" x14ac:dyDescent="0.3">
      <c r="J14114" s="33"/>
    </row>
    <row r="14115" spans="10:10" ht="15" customHeight="1" x14ac:dyDescent="0.3">
      <c r="J14115" s="33"/>
    </row>
    <row r="14116" spans="10:10" ht="15" customHeight="1" x14ac:dyDescent="0.3">
      <c r="J14116" s="33"/>
    </row>
    <row r="14117" spans="10:10" ht="15" customHeight="1" x14ac:dyDescent="0.3">
      <c r="J14117" s="33"/>
    </row>
    <row r="14118" spans="10:10" ht="15" customHeight="1" x14ac:dyDescent="0.3">
      <c r="J14118" s="33"/>
    </row>
    <row r="14119" spans="10:10" ht="15" customHeight="1" x14ac:dyDescent="0.3">
      <c r="J14119" s="33"/>
    </row>
    <row r="14120" spans="10:10" ht="15" customHeight="1" x14ac:dyDescent="0.3">
      <c r="J14120" s="33"/>
    </row>
    <row r="14121" spans="10:10" ht="15" customHeight="1" x14ac:dyDescent="0.3">
      <c r="J14121" s="33"/>
    </row>
    <row r="14122" spans="10:10" ht="15" customHeight="1" x14ac:dyDescent="0.3">
      <c r="J14122" s="33"/>
    </row>
    <row r="14123" spans="10:10" ht="15" customHeight="1" x14ac:dyDescent="0.3">
      <c r="J14123" s="33"/>
    </row>
    <row r="14124" spans="10:10" ht="15" customHeight="1" x14ac:dyDescent="0.3">
      <c r="J14124" s="33"/>
    </row>
    <row r="14125" spans="10:10" ht="15" customHeight="1" x14ac:dyDescent="0.3">
      <c r="J14125" s="33"/>
    </row>
    <row r="14126" spans="10:10" ht="15" customHeight="1" x14ac:dyDescent="0.3">
      <c r="J14126" s="33"/>
    </row>
    <row r="14127" spans="10:10" ht="15" customHeight="1" x14ac:dyDescent="0.3">
      <c r="J14127" s="33"/>
    </row>
    <row r="14128" spans="10:10" ht="15" customHeight="1" x14ac:dyDescent="0.3">
      <c r="J14128" s="33"/>
    </row>
    <row r="14129" spans="10:10" ht="15" customHeight="1" x14ac:dyDescent="0.3">
      <c r="J14129" s="33"/>
    </row>
    <row r="14130" spans="10:10" ht="15" customHeight="1" x14ac:dyDescent="0.3">
      <c r="J14130" s="33"/>
    </row>
    <row r="14131" spans="10:10" ht="15" customHeight="1" x14ac:dyDescent="0.3">
      <c r="J14131" s="33"/>
    </row>
    <row r="14132" spans="10:10" ht="15" customHeight="1" x14ac:dyDescent="0.3">
      <c r="J14132" s="33"/>
    </row>
    <row r="14133" spans="10:10" ht="15" customHeight="1" x14ac:dyDescent="0.3">
      <c r="J14133" s="33"/>
    </row>
    <row r="14134" spans="10:10" ht="15" customHeight="1" x14ac:dyDescent="0.3">
      <c r="J14134" s="33"/>
    </row>
    <row r="14135" spans="10:10" ht="15" customHeight="1" x14ac:dyDescent="0.3">
      <c r="J14135" s="33"/>
    </row>
    <row r="14136" spans="10:10" ht="15" customHeight="1" x14ac:dyDescent="0.3">
      <c r="J14136" s="33"/>
    </row>
    <row r="14137" spans="10:10" ht="15" customHeight="1" x14ac:dyDescent="0.3">
      <c r="J14137" s="33"/>
    </row>
    <row r="14138" spans="10:10" ht="15" customHeight="1" x14ac:dyDescent="0.3">
      <c r="J14138" s="33"/>
    </row>
    <row r="14139" spans="10:10" ht="15" customHeight="1" x14ac:dyDescent="0.3">
      <c r="J14139" s="33"/>
    </row>
    <row r="14140" spans="10:10" ht="15" customHeight="1" x14ac:dyDescent="0.3">
      <c r="J14140" s="33"/>
    </row>
    <row r="14141" spans="10:10" ht="15" customHeight="1" x14ac:dyDescent="0.3">
      <c r="J14141" s="33"/>
    </row>
    <row r="14142" spans="10:10" ht="15" customHeight="1" x14ac:dyDescent="0.3">
      <c r="J14142" s="33"/>
    </row>
    <row r="14143" spans="10:10" ht="15" customHeight="1" x14ac:dyDescent="0.3">
      <c r="J14143" s="33"/>
    </row>
    <row r="14144" spans="10:10" ht="15" customHeight="1" x14ac:dyDescent="0.3">
      <c r="J14144" s="33"/>
    </row>
    <row r="14145" spans="10:10" ht="15" customHeight="1" x14ac:dyDescent="0.3">
      <c r="J14145" s="33"/>
    </row>
    <row r="14146" spans="10:10" ht="15" customHeight="1" x14ac:dyDescent="0.3">
      <c r="J14146" s="33"/>
    </row>
    <row r="14147" spans="10:10" ht="15" customHeight="1" x14ac:dyDescent="0.3">
      <c r="J14147" s="33"/>
    </row>
    <row r="14148" spans="10:10" ht="15" customHeight="1" x14ac:dyDescent="0.3">
      <c r="J14148" s="33"/>
    </row>
    <row r="14149" spans="10:10" ht="15" customHeight="1" x14ac:dyDescent="0.3">
      <c r="J14149" s="33"/>
    </row>
    <row r="14150" spans="10:10" ht="15" customHeight="1" x14ac:dyDescent="0.3">
      <c r="J14150" s="33"/>
    </row>
    <row r="14151" spans="10:10" ht="15" customHeight="1" x14ac:dyDescent="0.3">
      <c r="J14151" s="33"/>
    </row>
    <row r="14152" spans="10:10" ht="15" customHeight="1" x14ac:dyDescent="0.3">
      <c r="J14152" s="33"/>
    </row>
    <row r="14153" spans="10:10" ht="15" customHeight="1" x14ac:dyDescent="0.3">
      <c r="J14153" s="33"/>
    </row>
    <row r="14154" spans="10:10" ht="15" customHeight="1" x14ac:dyDescent="0.3">
      <c r="J14154" s="33"/>
    </row>
    <row r="14155" spans="10:10" ht="15" customHeight="1" x14ac:dyDescent="0.3">
      <c r="J14155" s="33"/>
    </row>
    <row r="14156" spans="10:10" ht="15" customHeight="1" x14ac:dyDescent="0.3">
      <c r="J14156" s="33"/>
    </row>
    <row r="14157" spans="10:10" ht="15" customHeight="1" x14ac:dyDescent="0.3">
      <c r="J14157" s="33"/>
    </row>
    <row r="14158" spans="10:10" ht="15" customHeight="1" x14ac:dyDescent="0.3">
      <c r="J14158" s="33"/>
    </row>
    <row r="14159" spans="10:10" ht="15" customHeight="1" x14ac:dyDescent="0.3">
      <c r="J14159" s="33"/>
    </row>
    <row r="14160" spans="10:10" ht="15" customHeight="1" x14ac:dyDescent="0.3">
      <c r="J14160" s="33"/>
    </row>
    <row r="14161" spans="10:10" ht="15" customHeight="1" x14ac:dyDescent="0.3">
      <c r="J14161" s="33"/>
    </row>
    <row r="14162" spans="10:10" ht="15" customHeight="1" x14ac:dyDescent="0.3">
      <c r="J14162" s="33"/>
    </row>
    <row r="14163" spans="10:10" ht="15" customHeight="1" x14ac:dyDescent="0.3">
      <c r="J14163" s="33"/>
    </row>
    <row r="14164" spans="10:10" ht="15" customHeight="1" x14ac:dyDescent="0.3">
      <c r="J14164" s="33"/>
    </row>
    <row r="14165" spans="10:10" ht="15" customHeight="1" x14ac:dyDescent="0.3">
      <c r="J14165" s="33"/>
    </row>
    <row r="14166" spans="10:10" ht="15" customHeight="1" x14ac:dyDescent="0.3">
      <c r="J14166" s="33"/>
    </row>
    <row r="14167" spans="10:10" ht="15" customHeight="1" x14ac:dyDescent="0.3">
      <c r="J14167" s="33"/>
    </row>
    <row r="14168" spans="10:10" ht="15" customHeight="1" x14ac:dyDescent="0.3">
      <c r="J14168" s="33"/>
    </row>
    <row r="14169" spans="10:10" ht="15" customHeight="1" x14ac:dyDescent="0.3">
      <c r="J14169" s="33"/>
    </row>
    <row r="14170" spans="10:10" ht="15" customHeight="1" x14ac:dyDescent="0.3">
      <c r="J14170" s="33"/>
    </row>
    <row r="14171" spans="10:10" ht="15" customHeight="1" x14ac:dyDescent="0.3">
      <c r="J14171" s="33"/>
    </row>
    <row r="14172" spans="10:10" ht="15" customHeight="1" x14ac:dyDescent="0.3">
      <c r="J14172" s="33"/>
    </row>
    <row r="14173" spans="10:10" ht="15" customHeight="1" x14ac:dyDescent="0.3">
      <c r="J14173" s="33"/>
    </row>
    <row r="14174" spans="10:10" ht="15" customHeight="1" x14ac:dyDescent="0.3">
      <c r="J14174" s="33"/>
    </row>
    <row r="14175" spans="10:10" ht="15" customHeight="1" x14ac:dyDescent="0.3">
      <c r="J14175" s="33"/>
    </row>
    <row r="14176" spans="10:10" ht="15" customHeight="1" x14ac:dyDescent="0.3">
      <c r="J14176" s="33"/>
    </row>
    <row r="14177" spans="10:10" ht="15" customHeight="1" x14ac:dyDescent="0.3">
      <c r="J14177" s="33"/>
    </row>
    <row r="14178" spans="10:10" ht="15" customHeight="1" x14ac:dyDescent="0.3">
      <c r="J14178" s="33"/>
    </row>
    <row r="14179" spans="10:10" ht="15" customHeight="1" x14ac:dyDescent="0.3">
      <c r="J14179" s="33"/>
    </row>
    <row r="14180" spans="10:10" ht="15" customHeight="1" x14ac:dyDescent="0.3">
      <c r="J14180" s="33"/>
    </row>
    <row r="14181" spans="10:10" ht="15" customHeight="1" x14ac:dyDescent="0.3">
      <c r="J14181" s="33"/>
    </row>
    <row r="14182" spans="10:10" ht="15" customHeight="1" x14ac:dyDescent="0.3">
      <c r="J14182" s="33"/>
    </row>
    <row r="14183" spans="10:10" ht="15" customHeight="1" x14ac:dyDescent="0.3">
      <c r="J14183" s="33"/>
    </row>
    <row r="14184" spans="10:10" ht="15" customHeight="1" x14ac:dyDescent="0.3">
      <c r="J14184" s="33"/>
    </row>
    <row r="14185" spans="10:10" ht="15" customHeight="1" x14ac:dyDescent="0.3">
      <c r="J14185" s="33"/>
    </row>
    <row r="14186" spans="10:10" ht="15" customHeight="1" x14ac:dyDescent="0.3">
      <c r="J14186" s="33"/>
    </row>
    <row r="14187" spans="10:10" ht="15" customHeight="1" x14ac:dyDescent="0.3">
      <c r="J14187" s="33"/>
    </row>
    <row r="14188" spans="10:10" ht="15" customHeight="1" x14ac:dyDescent="0.3">
      <c r="J14188" s="33"/>
    </row>
    <row r="14189" spans="10:10" ht="15" customHeight="1" x14ac:dyDescent="0.3">
      <c r="J14189" s="33"/>
    </row>
    <row r="14190" spans="10:10" ht="15" customHeight="1" x14ac:dyDescent="0.3">
      <c r="J14190" s="33"/>
    </row>
    <row r="14191" spans="10:10" ht="15" customHeight="1" x14ac:dyDescent="0.3">
      <c r="J14191" s="33"/>
    </row>
    <row r="14192" spans="10:10" ht="15" customHeight="1" x14ac:dyDescent="0.3">
      <c r="J14192" s="33"/>
    </row>
    <row r="14193" spans="10:10" ht="15" customHeight="1" x14ac:dyDescent="0.3">
      <c r="J14193" s="33"/>
    </row>
    <row r="14194" spans="10:10" ht="15" customHeight="1" x14ac:dyDescent="0.3">
      <c r="J14194" s="33"/>
    </row>
    <row r="14195" spans="10:10" ht="15" customHeight="1" x14ac:dyDescent="0.3">
      <c r="J14195" s="33"/>
    </row>
    <row r="14196" spans="10:10" ht="15" customHeight="1" x14ac:dyDescent="0.3">
      <c r="J14196" s="33"/>
    </row>
    <row r="14197" spans="10:10" ht="15" customHeight="1" x14ac:dyDescent="0.3">
      <c r="J14197" s="33"/>
    </row>
    <row r="14198" spans="10:10" ht="15" customHeight="1" x14ac:dyDescent="0.3">
      <c r="J14198" s="33"/>
    </row>
    <row r="14199" spans="10:10" ht="15" customHeight="1" x14ac:dyDescent="0.3">
      <c r="J14199" s="33"/>
    </row>
    <row r="14200" spans="10:10" ht="15" customHeight="1" x14ac:dyDescent="0.3">
      <c r="J14200" s="33"/>
    </row>
    <row r="14201" spans="10:10" ht="15" customHeight="1" x14ac:dyDescent="0.3">
      <c r="J14201" s="33"/>
    </row>
    <row r="14202" spans="10:10" ht="15" customHeight="1" x14ac:dyDescent="0.3">
      <c r="J14202" s="33"/>
    </row>
    <row r="14203" spans="10:10" ht="15" customHeight="1" x14ac:dyDescent="0.3">
      <c r="J14203" s="33"/>
    </row>
    <row r="14204" spans="10:10" ht="15" customHeight="1" x14ac:dyDescent="0.3">
      <c r="J14204" s="33"/>
    </row>
    <row r="14205" spans="10:10" ht="15" customHeight="1" x14ac:dyDescent="0.3">
      <c r="J14205" s="33"/>
    </row>
    <row r="14206" spans="10:10" ht="15" customHeight="1" x14ac:dyDescent="0.3">
      <c r="J14206" s="33"/>
    </row>
    <row r="14207" spans="10:10" ht="15" customHeight="1" x14ac:dyDescent="0.3">
      <c r="J14207" s="33"/>
    </row>
    <row r="14208" spans="10:10" ht="15" customHeight="1" x14ac:dyDescent="0.3">
      <c r="J14208" s="33"/>
    </row>
    <row r="14209" spans="10:10" ht="15" customHeight="1" x14ac:dyDescent="0.3">
      <c r="J14209" s="33"/>
    </row>
    <row r="14210" spans="10:10" ht="15" customHeight="1" x14ac:dyDescent="0.3">
      <c r="J14210" s="33"/>
    </row>
    <row r="14211" spans="10:10" ht="15" customHeight="1" x14ac:dyDescent="0.3">
      <c r="J14211" s="33"/>
    </row>
    <row r="14212" spans="10:10" ht="15" customHeight="1" x14ac:dyDescent="0.3">
      <c r="J14212" s="33"/>
    </row>
    <row r="14213" spans="10:10" ht="15" customHeight="1" x14ac:dyDescent="0.3">
      <c r="J14213" s="33"/>
    </row>
    <row r="14214" spans="10:10" ht="15" customHeight="1" x14ac:dyDescent="0.3">
      <c r="J14214" s="33"/>
    </row>
    <row r="14215" spans="10:10" ht="15" customHeight="1" x14ac:dyDescent="0.3">
      <c r="J14215" s="33"/>
    </row>
    <row r="14216" spans="10:10" ht="15" customHeight="1" x14ac:dyDescent="0.3">
      <c r="J14216" s="33"/>
    </row>
    <row r="14217" spans="10:10" ht="15" customHeight="1" x14ac:dyDescent="0.3">
      <c r="J14217" s="33"/>
    </row>
    <row r="14218" spans="10:10" ht="15" customHeight="1" x14ac:dyDescent="0.3">
      <c r="J14218" s="33"/>
    </row>
    <row r="14219" spans="10:10" ht="15" customHeight="1" x14ac:dyDescent="0.3">
      <c r="J14219" s="33"/>
    </row>
    <row r="14220" spans="10:10" ht="15" customHeight="1" x14ac:dyDescent="0.3">
      <c r="J14220" s="33"/>
    </row>
    <row r="14221" spans="10:10" ht="15" customHeight="1" x14ac:dyDescent="0.3">
      <c r="J14221" s="33"/>
    </row>
    <row r="14222" spans="10:10" ht="15" customHeight="1" x14ac:dyDescent="0.3">
      <c r="J14222" s="33"/>
    </row>
    <row r="14223" spans="10:10" ht="15" customHeight="1" x14ac:dyDescent="0.3">
      <c r="J14223" s="33"/>
    </row>
    <row r="14224" spans="10:10" ht="15" customHeight="1" x14ac:dyDescent="0.3">
      <c r="J14224" s="33"/>
    </row>
    <row r="14225" spans="10:10" ht="15" customHeight="1" x14ac:dyDescent="0.3">
      <c r="J14225" s="33"/>
    </row>
    <row r="14226" spans="10:10" ht="15" customHeight="1" x14ac:dyDescent="0.3">
      <c r="J14226" s="33"/>
    </row>
    <row r="14227" spans="10:10" ht="15" customHeight="1" x14ac:dyDescent="0.3">
      <c r="J14227" s="33"/>
    </row>
    <row r="14228" spans="10:10" ht="15" customHeight="1" x14ac:dyDescent="0.3">
      <c r="J14228" s="33"/>
    </row>
    <row r="14229" spans="10:10" ht="15" customHeight="1" x14ac:dyDescent="0.3">
      <c r="J14229" s="33"/>
    </row>
    <row r="14230" spans="10:10" ht="15" customHeight="1" x14ac:dyDescent="0.3">
      <c r="J14230" s="33"/>
    </row>
    <row r="14231" spans="10:10" ht="15" customHeight="1" x14ac:dyDescent="0.3">
      <c r="J14231" s="33"/>
    </row>
    <row r="14232" spans="10:10" ht="15" customHeight="1" x14ac:dyDescent="0.3">
      <c r="J14232" s="33"/>
    </row>
    <row r="14233" spans="10:10" ht="15" customHeight="1" x14ac:dyDescent="0.3">
      <c r="J14233" s="33"/>
    </row>
    <row r="14234" spans="10:10" ht="15" customHeight="1" x14ac:dyDescent="0.3">
      <c r="J14234" s="33"/>
    </row>
    <row r="14235" spans="10:10" ht="15" customHeight="1" x14ac:dyDescent="0.3">
      <c r="J14235" s="33"/>
    </row>
    <row r="14236" spans="10:10" ht="15" customHeight="1" x14ac:dyDescent="0.3">
      <c r="J14236" s="33"/>
    </row>
    <row r="14237" spans="10:10" ht="15" customHeight="1" x14ac:dyDescent="0.3">
      <c r="J14237" s="33"/>
    </row>
    <row r="14238" spans="10:10" ht="15" customHeight="1" x14ac:dyDescent="0.3">
      <c r="J14238" s="33"/>
    </row>
    <row r="14239" spans="10:10" ht="15" customHeight="1" x14ac:dyDescent="0.3">
      <c r="J14239" s="33"/>
    </row>
    <row r="14240" spans="10:10" ht="15" customHeight="1" x14ac:dyDescent="0.3">
      <c r="J14240" s="33"/>
    </row>
    <row r="14241" spans="10:10" ht="15" customHeight="1" x14ac:dyDescent="0.3">
      <c r="J14241" s="33"/>
    </row>
    <row r="14242" spans="10:10" ht="15" customHeight="1" x14ac:dyDescent="0.3">
      <c r="J14242" s="33"/>
    </row>
    <row r="14243" spans="10:10" ht="15" customHeight="1" x14ac:dyDescent="0.3">
      <c r="J14243" s="33"/>
    </row>
    <row r="14244" spans="10:10" ht="15" customHeight="1" x14ac:dyDescent="0.3">
      <c r="J14244" s="33"/>
    </row>
    <row r="14245" spans="10:10" ht="15" customHeight="1" x14ac:dyDescent="0.3">
      <c r="J14245" s="33"/>
    </row>
    <row r="14246" spans="10:10" ht="15" customHeight="1" x14ac:dyDescent="0.3">
      <c r="J14246" s="33"/>
    </row>
    <row r="14247" spans="10:10" ht="15" customHeight="1" x14ac:dyDescent="0.3">
      <c r="J14247" s="33"/>
    </row>
    <row r="14248" spans="10:10" ht="15" customHeight="1" x14ac:dyDescent="0.3">
      <c r="J14248" s="33"/>
    </row>
    <row r="14249" spans="10:10" ht="15" customHeight="1" x14ac:dyDescent="0.3">
      <c r="J14249" s="33"/>
    </row>
    <row r="14250" spans="10:10" ht="15" customHeight="1" x14ac:dyDescent="0.3">
      <c r="J14250" s="33"/>
    </row>
    <row r="14251" spans="10:10" ht="15" customHeight="1" x14ac:dyDescent="0.3">
      <c r="J14251" s="33"/>
    </row>
    <row r="14252" spans="10:10" ht="15" customHeight="1" x14ac:dyDescent="0.3">
      <c r="J14252" s="33"/>
    </row>
    <row r="14253" spans="10:10" ht="15" customHeight="1" x14ac:dyDescent="0.3">
      <c r="J14253" s="33"/>
    </row>
    <row r="14254" spans="10:10" ht="15" customHeight="1" x14ac:dyDescent="0.3">
      <c r="J14254" s="33"/>
    </row>
    <row r="14255" spans="10:10" ht="15" customHeight="1" x14ac:dyDescent="0.3">
      <c r="J14255" s="33"/>
    </row>
    <row r="14256" spans="10:10" ht="15" customHeight="1" x14ac:dyDescent="0.3">
      <c r="J14256" s="33"/>
    </row>
    <row r="14257" spans="10:10" ht="15" customHeight="1" x14ac:dyDescent="0.3">
      <c r="J14257" s="33"/>
    </row>
    <row r="14258" spans="10:10" ht="15" customHeight="1" x14ac:dyDescent="0.3">
      <c r="J14258" s="33"/>
    </row>
    <row r="14259" spans="10:10" ht="15" customHeight="1" x14ac:dyDescent="0.3">
      <c r="J14259" s="33"/>
    </row>
    <row r="14260" spans="10:10" ht="15" customHeight="1" x14ac:dyDescent="0.3">
      <c r="J14260" s="33"/>
    </row>
    <row r="14261" spans="10:10" ht="15" customHeight="1" x14ac:dyDescent="0.3">
      <c r="J14261" s="33"/>
    </row>
    <row r="14262" spans="10:10" ht="15" customHeight="1" x14ac:dyDescent="0.3">
      <c r="J14262" s="33"/>
    </row>
    <row r="14263" spans="10:10" ht="15" customHeight="1" x14ac:dyDescent="0.3">
      <c r="J14263" s="33"/>
    </row>
    <row r="14264" spans="10:10" ht="15" customHeight="1" x14ac:dyDescent="0.3">
      <c r="J14264" s="33"/>
    </row>
    <row r="14265" spans="10:10" ht="15" customHeight="1" x14ac:dyDescent="0.3">
      <c r="J14265" s="33"/>
    </row>
    <row r="14266" spans="10:10" ht="15" customHeight="1" x14ac:dyDescent="0.3">
      <c r="J14266" s="33"/>
    </row>
    <row r="14267" spans="10:10" ht="15" customHeight="1" x14ac:dyDescent="0.3">
      <c r="J14267" s="33"/>
    </row>
    <row r="14268" spans="10:10" ht="15" customHeight="1" x14ac:dyDescent="0.3">
      <c r="J14268" s="33"/>
    </row>
    <row r="14269" spans="10:10" ht="15" customHeight="1" x14ac:dyDescent="0.3">
      <c r="J14269" s="33"/>
    </row>
    <row r="14270" spans="10:10" ht="15" customHeight="1" x14ac:dyDescent="0.3">
      <c r="J14270" s="33"/>
    </row>
    <row r="14271" spans="10:10" ht="15" customHeight="1" x14ac:dyDescent="0.3">
      <c r="J14271" s="33"/>
    </row>
    <row r="14272" spans="10:10" ht="15" customHeight="1" x14ac:dyDescent="0.3">
      <c r="J14272" s="33"/>
    </row>
    <row r="14273" spans="10:10" ht="15" customHeight="1" x14ac:dyDescent="0.3">
      <c r="J14273" s="33"/>
    </row>
    <row r="14274" spans="10:10" ht="15" customHeight="1" x14ac:dyDescent="0.3">
      <c r="J14274" s="33"/>
    </row>
    <row r="14275" spans="10:10" ht="15" customHeight="1" x14ac:dyDescent="0.3">
      <c r="J14275" s="33"/>
    </row>
    <row r="14276" spans="10:10" ht="15" customHeight="1" x14ac:dyDescent="0.3">
      <c r="J14276" s="33"/>
    </row>
    <row r="14277" spans="10:10" ht="15" customHeight="1" x14ac:dyDescent="0.3">
      <c r="J14277" s="33"/>
    </row>
    <row r="14278" spans="10:10" ht="15" customHeight="1" x14ac:dyDescent="0.3">
      <c r="J14278" s="33"/>
    </row>
    <row r="14279" spans="10:10" ht="15" customHeight="1" x14ac:dyDescent="0.3">
      <c r="J14279" s="33"/>
    </row>
    <row r="14280" spans="10:10" ht="15" customHeight="1" x14ac:dyDescent="0.3">
      <c r="J14280" s="33"/>
    </row>
    <row r="14281" spans="10:10" ht="15" customHeight="1" x14ac:dyDescent="0.3">
      <c r="J14281" s="33"/>
    </row>
    <row r="14282" spans="10:10" ht="15" customHeight="1" x14ac:dyDescent="0.3">
      <c r="J14282" s="33"/>
    </row>
    <row r="14283" spans="10:10" ht="15" customHeight="1" x14ac:dyDescent="0.3">
      <c r="J14283" s="33"/>
    </row>
    <row r="14284" spans="10:10" ht="15" customHeight="1" x14ac:dyDescent="0.3">
      <c r="J14284" s="33"/>
    </row>
    <row r="14285" spans="10:10" ht="15" customHeight="1" x14ac:dyDescent="0.3">
      <c r="J14285" s="33"/>
    </row>
    <row r="14286" spans="10:10" ht="15" customHeight="1" x14ac:dyDescent="0.3">
      <c r="J14286" s="33"/>
    </row>
    <row r="14287" spans="10:10" ht="15" customHeight="1" x14ac:dyDescent="0.3">
      <c r="J14287" s="33"/>
    </row>
    <row r="14288" spans="10:10" ht="15" customHeight="1" x14ac:dyDescent="0.3">
      <c r="J14288" s="33"/>
    </row>
    <row r="14289" spans="10:10" ht="15" customHeight="1" x14ac:dyDescent="0.3">
      <c r="J14289" s="33"/>
    </row>
    <row r="14290" spans="10:10" ht="15" customHeight="1" x14ac:dyDescent="0.3">
      <c r="J14290" s="33"/>
    </row>
    <row r="14291" spans="10:10" ht="15" customHeight="1" x14ac:dyDescent="0.3">
      <c r="J14291" s="33"/>
    </row>
    <row r="14292" spans="10:10" ht="15" customHeight="1" x14ac:dyDescent="0.3">
      <c r="J14292" s="33"/>
    </row>
    <row r="14293" spans="10:10" ht="15" customHeight="1" x14ac:dyDescent="0.3">
      <c r="J14293" s="33"/>
    </row>
    <row r="14294" spans="10:10" ht="15" customHeight="1" x14ac:dyDescent="0.3">
      <c r="J14294" s="33"/>
    </row>
    <row r="14295" spans="10:10" ht="15" customHeight="1" x14ac:dyDescent="0.3">
      <c r="J14295" s="33"/>
    </row>
    <row r="14296" spans="10:10" ht="15" customHeight="1" x14ac:dyDescent="0.3">
      <c r="J14296" s="33"/>
    </row>
    <row r="14297" spans="10:10" ht="15" customHeight="1" x14ac:dyDescent="0.3">
      <c r="J14297" s="33"/>
    </row>
    <row r="14298" spans="10:10" ht="15" customHeight="1" x14ac:dyDescent="0.3">
      <c r="J14298" s="33"/>
    </row>
    <row r="14299" spans="10:10" ht="15" customHeight="1" x14ac:dyDescent="0.3">
      <c r="J14299" s="33"/>
    </row>
    <row r="14300" spans="10:10" ht="15" customHeight="1" x14ac:dyDescent="0.3">
      <c r="J14300" s="33"/>
    </row>
    <row r="14301" spans="10:10" ht="15" customHeight="1" x14ac:dyDescent="0.3">
      <c r="J14301" s="33"/>
    </row>
    <row r="14302" spans="10:10" ht="15" customHeight="1" x14ac:dyDescent="0.3">
      <c r="J14302" s="33"/>
    </row>
    <row r="14303" spans="10:10" ht="15" customHeight="1" x14ac:dyDescent="0.3">
      <c r="J14303" s="33"/>
    </row>
    <row r="14304" spans="10:10" ht="15" customHeight="1" x14ac:dyDescent="0.3">
      <c r="J14304" s="33"/>
    </row>
    <row r="14305" spans="10:10" ht="15" customHeight="1" x14ac:dyDescent="0.3">
      <c r="J14305" s="33"/>
    </row>
    <row r="14306" spans="10:10" ht="15" customHeight="1" x14ac:dyDescent="0.3">
      <c r="J14306" s="33"/>
    </row>
    <row r="14307" spans="10:10" ht="15" customHeight="1" x14ac:dyDescent="0.3">
      <c r="J14307" s="33"/>
    </row>
    <row r="14308" spans="10:10" ht="15" customHeight="1" x14ac:dyDescent="0.3">
      <c r="J14308" s="33"/>
    </row>
    <row r="14309" spans="10:10" ht="15" customHeight="1" x14ac:dyDescent="0.3">
      <c r="J14309" s="33"/>
    </row>
    <row r="14310" spans="10:10" ht="15" customHeight="1" x14ac:dyDescent="0.3">
      <c r="J14310" s="33"/>
    </row>
    <row r="14311" spans="10:10" ht="15" customHeight="1" x14ac:dyDescent="0.3">
      <c r="J14311" s="33"/>
    </row>
    <row r="14312" spans="10:10" ht="15" customHeight="1" x14ac:dyDescent="0.3">
      <c r="J14312" s="33"/>
    </row>
    <row r="14313" spans="10:10" ht="15" customHeight="1" x14ac:dyDescent="0.3">
      <c r="J14313" s="33"/>
    </row>
    <row r="14314" spans="10:10" ht="15" customHeight="1" x14ac:dyDescent="0.3">
      <c r="J14314" s="33"/>
    </row>
    <row r="14315" spans="10:10" ht="15" customHeight="1" x14ac:dyDescent="0.3">
      <c r="J14315" s="33"/>
    </row>
    <row r="14316" spans="10:10" ht="15" customHeight="1" x14ac:dyDescent="0.3">
      <c r="J14316" s="33"/>
    </row>
    <row r="14317" spans="10:10" ht="15" customHeight="1" x14ac:dyDescent="0.3">
      <c r="J14317" s="33"/>
    </row>
    <row r="14318" spans="10:10" ht="15" customHeight="1" x14ac:dyDescent="0.3">
      <c r="J14318" s="33"/>
    </row>
    <row r="14319" spans="10:10" ht="15" customHeight="1" x14ac:dyDescent="0.3">
      <c r="J14319" s="33"/>
    </row>
    <row r="14320" spans="10:10" ht="15" customHeight="1" x14ac:dyDescent="0.3">
      <c r="J14320" s="33"/>
    </row>
    <row r="14321" spans="10:10" ht="15" customHeight="1" x14ac:dyDescent="0.3">
      <c r="J14321" s="33"/>
    </row>
    <row r="14322" spans="10:10" ht="15" customHeight="1" x14ac:dyDescent="0.3">
      <c r="J14322" s="33"/>
    </row>
    <row r="14323" spans="10:10" ht="15" customHeight="1" x14ac:dyDescent="0.3">
      <c r="J14323" s="33"/>
    </row>
    <row r="14324" spans="10:10" ht="15" customHeight="1" x14ac:dyDescent="0.3">
      <c r="J14324" s="33"/>
    </row>
    <row r="14325" spans="10:10" ht="15" customHeight="1" x14ac:dyDescent="0.3">
      <c r="J14325" s="33"/>
    </row>
    <row r="14326" spans="10:10" ht="15" customHeight="1" x14ac:dyDescent="0.3">
      <c r="J14326" s="33"/>
    </row>
    <row r="14327" spans="10:10" ht="15" customHeight="1" x14ac:dyDescent="0.3">
      <c r="J14327" s="33"/>
    </row>
    <row r="14328" spans="10:10" ht="15" customHeight="1" x14ac:dyDescent="0.3">
      <c r="J14328" s="33"/>
    </row>
    <row r="14329" spans="10:10" ht="15" customHeight="1" x14ac:dyDescent="0.3">
      <c r="J14329" s="33"/>
    </row>
    <row r="14330" spans="10:10" ht="15" customHeight="1" x14ac:dyDescent="0.3">
      <c r="J14330" s="33"/>
    </row>
    <row r="14331" spans="10:10" ht="15" customHeight="1" x14ac:dyDescent="0.3">
      <c r="J14331" s="33"/>
    </row>
    <row r="14332" spans="10:10" ht="15" customHeight="1" x14ac:dyDescent="0.3">
      <c r="J14332" s="33"/>
    </row>
    <row r="14333" spans="10:10" ht="15" customHeight="1" x14ac:dyDescent="0.3">
      <c r="J14333" s="33"/>
    </row>
    <row r="14334" spans="10:10" ht="15" customHeight="1" x14ac:dyDescent="0.3">
      <c r="J14334" s="33"/>
    </row>
    <row r="14335" spans="10:10" ht="15" customHeight="1" x14ac:dyDescent="0.3">
      <c r="J14335" s="33"/>
    </row>
    <row r="14336" spans="10:10" ht="15" customHeight="1" x14ac:dyDescent="0.3">
      <c r="J14336" s="33"/>
    </row>
    <row r="14337" spans="10:10" ht="15" customHeight="1" x14ac:dyDescent="0.3">
      <c r="J14337" s="33"/>
    </row>
    <row r="14338" spans="10:10" ht="15" customHeight="1" x14ac:dyDescent="0.3">
      <c r="J14338" s="33"/>
    </row>
    <row r="14339" spans="10:10" ht="15" customHeight="1" x14ac:dyDescent="0.3">
      <c r="J14339" s="33"/>
    </row>
    <row r="14340" spans="10:10" ht="15" customHeight="1" x14ac:dyDescent="0.3">
      <c r="J14340" s="33"/>
    </row>
    <row r="14341" spans="10:10" ht="15" customHeight="1" x14ac:dyDescent="0.3">
      <c r="J14341" s="33"/>
    </row>
    <row r="14342" spans="10:10" ht="15" customHeight="1" x14ac:dyDescent="0.3">
      <c r="J14342" s="33"/>
    </row>
    <row r="14343" spans="10:10" ht="15" customHeight="1" x14ac:dyDescent="0.3">
      <c r="J14343" s="33"/>
    </row>
    <row r="14344" spans="10:10" ht="15" customHeight="1" x14ac:dyDescent="0.3">
      <c r="J14344" s="33"/>
    </row>
    <row r="14345" spans="10:10" ht="15" customHeight="1" x14ac:dyDescent="0.3">
      <c r="J14345" s="33"/>
    </row>
    <row r="14346" spans="10:10" ht="15" customHeight="1" x14ac:dyDescent="0.3">
      <c r="J14346" s="33"/>
    </row>
    <row r="14347" spans="10:10" ht="15" customHeight="1" x14ac:dyDescent="0.3">
      <c r="J14347" s="33"/>
    </row>
    <row r="14348" spans="10:10" ht="15" customHeight="1" x14ac:dyDescent="0.3">
      <c r="J14348" s="33"/>
    </row>
    <row r="14349" spans="10:10" ht="15" customHeight="1" x14ac:dyDescent="0.3">
      <c r="J14349" s="33"/>
    </row>
    <row r="14350" spans="10:10" ht="15" customHeight="1" x14ac:dyDescent="0.3">
      <c r="J14350" s="33"/>
    </row>
    <row r="14351" spans="10:10" ht="15" customHeight="1" x14ac:dyDescent="0.3">
      <c r="J14351" s="33"/>
    </row>
    <row r="14352" spans="10:10" ht="15" customHeight="1" x14ac:dyDescent="0.3">
      <c r="J14352" s="33"/>
    </row>
    <row r="14353" spans="10:10" ht="15" customHeight="1" x14ac:dyDescent="0.3">
      <c r="J14353" s="33"/>
    </row>
    <row r="14354" spans="10:10" ht="15" customHeight="1" x14ac:dyDescent="0.3">
      <c r="J14354" s="33"/>
    </row>
    <row r="14355" spans="10:10" ht="15" customHeight="1" x14ac:dyDescent="0.3">
      <c r="J14355" s="33"/>
    </row>
    <row r="14356" spans="10:10" ht="15" customHeight="1" x14ac:dyDescent="0.3">
      <c r="J14356" s="33"/>
    </row>
    <row r="14357" spans="10:10" ht="15" customHeight="1" x14ac:dyDescent="0.3">
      <c r="J14357" s="33"/>
    </row>
    <row r="14358" spans="10:10" ht="15" customHeight="1" x14ac:dyDescent="0.3">
      <c r="J14358" s="33"/>
    </row>
    <row r="14359" spans="10:10" ht="15" customHeight="1" x14ac:dyDescent="0.3">
      <c r="J14359" s="33"/>
    </row>
    <row r="14360" spans="10:10" ht="15" customHeight="1" x14ac:dyDescent="0.3">
      <c r="J14360" s="33"/>
    </row>
    <row r="14361" spans="10:10" ht="15" customHeight="1" x14ac:dyDescent="0.3">
      <c r="J14361" s="33"/>
    </row>
    <row r="14362" spans="10:10" ht="15" customHeight="1" x14ac:dyDescent="0.3">
      <c r="J14362" s="33"/>
    </row>
    <row r="14363" spans="10:10" ht="15" customHeight="1" x14ac:dyDescent="0.3">
      <c r="J14363" s="33"/>
    </row>
    <row r="14364" spans="10:10" ht="15" customHeight="1" x14ac:dyDescent="0.3">
      <c r="J14364" s="33"/>
    </row>
    <row r="14365" spans="10:10" ht="15" customHeight="1" x14ac:dyDescent="0.3">
      <c r="J14365" s="33"/>
    </row>
    <row r="14366" spans="10:10" ht="15" customHeight="1" x14ac:dyDescent="0.3">
      <c r="J14366" s="33"/>
    </row>
    <row r="14367" spans="10:10" ht="15" customHeight="1" x14ac:dyDescent="0.3">
      <c r="J14367" s="33"/>
    </row>
    <row r="14368" spans="10:10" ht="15" customHeight="1" x14ac:dyDescent="0.3">
      <c r="J14368" s="33"/>
    </row>
    <row r="14369" spans="10:10" ht="15" customHeight="1" x14ac:dyDescent="0.3">
      <c r="J14369" s="33"/>
    </row>
    <row r="14370" spans="10:10" ht="15" customHeight="1" x14ac:dyDescent="0.3">
      <c r="J14370" s="33"/>
    </row>
    <row r="14371" spans="10:10" ht="15" customHeight="1" x14ac:dyDescent="0.3">
      <c r="J14371" s="33"/>
    </row>
    <row r="14372" spans="10:10" ht="15" customHeight="1" x14ac:dyDescent="0.3">
      <c r="J14372" s="33"/>
    </row>
    <row r="14373" spans="10:10" ht="15" customHeight="1" x14ac:dyDescent="0.3">
      <c r="J14373" s="33"/>
    </row>
    <row r="14374" spans="10:10" ht="15" customHeight="1" x14ac:dyDescent="0.3">
      <c r="J14374" s="33"/>
    </row>
    <row r="14375" spans="10:10" ht="15" customHeight="1" x14ac:dyDescent="0.3">
      <c r="J14375" s="33"/>
    </row>
    <row r="14376" spans="10:10" ht="15" customHeight="1" x14ac:dyDescent="0.3">
      <c r="J14376" s="33"/>
    </row>
    <row r="14377" spans="10:10" ht="15" customHeight="1" x14ac:dyDescent="0.3">
      <c r="J14377" s="33"/>
    </row>
    <row r="14378" spans="10:10" ht="15" customHeight="1" x14ac:dyDescent="0.3">
      <c r="J14378" s="33"/>
    </row>
    <row r="14379" spans="10:10" ht="15" customHeight="1" x14ac:dyDescent="0.3">
      <c r="J14379" s="33"/>
    </row>
    <row r="14380" spans="10:10" ht="15" customHeight="1" x14ac:dyDescent="0.3">
      <c r="J14380" s="33"/>
    </row>
    <row r="14381" spans="10:10" ht="15" customHeight="1" x14ac:dyDescent="0.3">
      <c r="J14381" s="33"/>
    </row>
    <row r="14382" spans="10:10" ht="15" customHeight="1" x14ac:dyDescent="0.3">
      <c r="J14382" s="33"/>
    </row>
    <row r="14383" spans="10:10" ht="15" customHeight="1" x14ac:dyDescent="0.3">
      <c r="J14383" s="33"/>
    </row>
    <row r="14384" spans="10:10" ht="15" customHeight="1" x14ac:dyDescent="0.3">
      <c r="J14384" s="33"/>
    </row>
    <row r="14385" spans="10:10" ht="15" customHeight="1" x14ac:dyDescent="0.3">
      <c r="J14385" s="33"/>
    </row>
    <row r="14386" spans="10:10" ht="15" customHeight="1" x14ac:dyDescent="0.3">
      <c r="J14386" s="33"/>
    </row>
    <row r="14387" spans="10:10" ht="15" customHeight="1" x14ac:dyDescent="0.3">
      <c r="J14387" s="33"/>
    </row>
    <row r="14388" spans="10:10" ht="15" customHeight="1" x14ac:dyDescent="0.3">
      <c r="J14388" s="33"/>
    </row>
    <row r="14389" spans="10:10" ht="15" customHeight="1" x14ac:dyDescent="0.3">
      <c r="J14389" s="33"/>
    </row>
    <row r="14390" spans="10:10" ht="15" customHeight="1" x14ac:dyDescent="0.3">
      <c r="J14390" s="33"/>
    </row>
    <row r="14391" spans="10:10" ht="15" customHeight="1" x14ac:dyDescent="0.3">
      <c r="J14391" s="33"/>
    </row>
    <row r="14392" spans="10:10" ht="15" customHeight="1" x14ac:dyDescent="0.3">
      <c r="J14392" s="33"/>
    </row>
    <row r="14393" spans="10:10" ht="15" customHeight="1" x14ac:dyDescent="0.3">
      <c r="J14393" s="33"/>
    </row>
    <row r="14394" spans="10:10" ht="15" customHeight="1" x14ac:dyDescent="0.3">
      <c r="J14394" s="33"/>
    </row>
    <row r="14395" spans="10:10" ht="15" customHeight="1" x14ac:dyDescent="0.3">
      <c r="J14395" s="33"/>
    </row>
    <row r="14396" spans="10:10" ht="15" customHeight="1" x14ac:dyDescent="0.3">
      <c r="J14396" s="33"/>
    </row>
    <row r="14397" spans="10:10" ht="15" customHeight="1" x14ac:dyDescent="0.3">
      <c r="J14397" s="33"/>
    </row>
    <row r="14398" spans="10:10" ht="15" customHeight="1" x14ac:dyDescent="0.3">
      <c r="J14398" s="33"/>
    </row>
    <row r="14399" spans="10:10" ht="15" customHeight="1" x14ac:dyDescent="0.3">
      <c r="J14399" s="33"/>
    </row>
    <row r="14400" spans="10:10" ht="15" customHeight="1" x14ac:dyDescent="0.3">
      <c r="J14400" s="33"/>
    </row>
    <row r="14401" spans="10:10" ht="15" customHeight="1" x14ac:dyDescent="0.3">
      <c r="J14401" s="33"/>
    </row>
    <row r="14402" spans="10:10" ht="15" customHeight="1" x14ac:dyDescent="0.3">
      <c r="J14402" s="33"/>
    </row>
    <row r="14403" spans="10:10" ht="15" customHeight="1" x14ac:dyDescent="0.3">
      <c r="J14403" s="33"/>
    </row>
    <row r="14404" spans="10:10" ht="15" customHeight="1" x14ac:dyDescent="0.3">
      <c r="J14404" s="33"/>
    </row>
    <row r="14405" spans="10:10" ht="15" customHeight="1" x14ac:dyDescent="0.3">
      <c r="J14405" s="33"/>
    </row>
    <row r="14406" spans="10:10" ht="15" customHeight="1" x14ac:dyDescent="0.3">
      <c r="J14406" s="33"/>
    </row>
    <row r="14407" spans="10:10" ht="15" customHeight="1" x14ac:dyDescent="0.3">
      <c r="J14407" s="33"/>
    </row>
    <row r="14408" spans="10:10" ht="15" customHeight="1" x14ac:dyDescent="0.3">
      <c r="J14408" s="33"/>
    </row>
    <row r="14409" spans="10:10" ht="15" customHeight="1" x14ac:dyDescent="0.3">
      <c r="J14409" s="33"/>
    </row>
    <row r="14410" spans="10:10" ht="15" customHeight="1" x14ac:dyDescent="0.3">
      <c r="J14410" s="33"/>
    </row>
    <row r="14411" spans="10:10" ht="15" customHeight="1" x14ac:dyDescent="0.3">
      <c r="J14411" s="33"/>
    </row>
    <row r="14412" spans="10:10" ht="15" customHeight="1" x14ac:dyDescent="0.3">
      <c r="J14412" s="33"/>
    </row>
    <row r="14413" spans="10:10" ht="15" customHeight="1" x14ac:dyDescent="0.3">
      <c r="J14413" s="33"/>
    </row>
    <row r="14414" spans="10:10" ht="15" customHeight="1" x14ac:dyDescent="0.3">
      <c r="J14414" s="33"/>
    </row>
    <row r="14415" spans="10:10" ht="15" customHeight="1" x14ac:dyDescent="0.3">
      <c r="J14415" s="33"/>
    </row>
    <row r="14416" spans="10:10" ht="15" customHeight="1" x14ac:dyDescent="0.3">
      <c r="J14416" s="33"/>
    </row>
    <row r="14417" spans="10:10" ht="15" customHeight="1" x14ac:dyDescent="0.3">
      <c r="J14417" s="33"/>
    </row>
    <row r="14418" spans="10:10" ht="15" customHeight="1" x14ac:dyDescent="0.3">
      <c r="J14418" s="33"/>
    </row>
    <row r="14419" spans="10:10" ht="15" customHeight="1" x14ac:dyDescent="0.3">
      <c r="J14419" s="33"/>
    </row>
    <row r="14420" spans="10:10" ht="15" customHeight="1" x14ac:dyDescent="0.3">
      <c r="J14420" s="33"/>
    </row>
    <row r="14421" spans="10:10" ht="15" customHeight="1" x14ac:dyDescent="0.3">
      <c r="J14421" s="33"/>
    </row>
    <row r="14422" spans="10:10" ht="15" customHeight="1" x14ac:dyDescent="0.3">
      <c r="J14422" s="33"/>
    </row>
    <row r="14423" spans="10:10" ht="15" customHeight="1" x14ac:dyDescent="0.3">
      <c r="J14423" s="33"/>
    </row>
    <row r="14424" spans="10:10" ht="15" customHeight="1" x14ac:dyDescent="0.3">
      <c r="J14424" s="33"/>
    </row>
    <row r="14425" spans="10:10" ht="15" customHeight="1" x14ac:dyDescent="0.3">
      <c r="J14425" s="33"/>
    </row>
    <row r="14426" spans="10:10" ht="15" customHeight="1" x14ac:dyDescent="0.3">
      <c r="J14426" s="33"/>
    </row>
    <row r="14427" spans="10:10" ht="15" customHeight="1" x14ac:dyDescent="0.3">
      <c r="J14427" s="33"/>
    </row>
    <row r="14428" spans="10:10" ht="15" customHeight="1" x14ac:dyDescent="0.3">
      <c r="J14428" s="33"/>
    </row>
    <row r="14429" spans="10:10" ht="15" customHeight="1" x14ac:dyDescent="0.3">
      <c r="J14429" s="33"/>
    </row>
    <row r="14430" spans="10:10" ht="15" customHeight="1" x14ac:dyDescent="0.3">
      <c r="J14430" s="33"/>
    </row>
    <row r="14431" spans="10:10" ht="15" customHeight="1" x14ac:dyDescent="0.3">
      <c r="J14431" s="33"/>
    </row>
    <row r="14432" spans="10:10" ht="15" customHeight="1" x14ac:dyDescent="0.3">
      <c r="J14432" s="33"/>
    </row>
    <row r="14433" spans="10:10" ht="15" customHeight="1" x14ac:dyDescent="0.3">
      <c r="J14433" s="33"/>
    </row>
    <row r="14434" spans="10:10" ht="15" customHeight="1" x14ac:dyDescent="0.3">
      <c r="J14434" s="33"/>
    </row>
    <row r="14435" spans="10:10" ht="15" customHeight="1" x14ac:dyDescent="0.3">
      <c r="J14435" s="33"/>
    </row>
    <row r="14436" spans="10:10" ht="15" customHeight="1" x14ac:dyDescent="0.3">
      <c r="J14436" s="33"/>
    </row>
    <row r="14437" spans="10:10" ht="15" customHeight="1" x14ac:dyDescent="0.3">
      <c r="J14437" s="33"/>
    </row>
    <row r="14438" spans="10:10" ht="15" customHeight="1" x14ac:dyDescent="0.3">
      <c r="J14438" s="33"/>
    </row>
    <row r="14439" spans="10:10" ht="15" customHeight="1" x14ac:dyDescent="0.3">
      <c r="J14439" s="33"/>
    </row>
    <row r="14440" spans="10:10" ht="15" customHeight="1" x14ac:dyDescent="0.3">
      <c r="J14440" s="33"/>
    </row>
    <row r="14441" spans="10:10" ht="15" customHeight="1" x14ac:dyDescent="0.3">
      <c r="J14441" s="33"/>
    </row>
    <row r="14442" spans="10:10" ht="15" customHeight="1" x14ac:dyDescent="0.3">
      <c r="J14442" s="33"/>
    </row>
    <row r="14443" spans="10:10" ht="15" customHeight="1" x14ac:dyDescent="0.3">
      <c r="J14443" s="33"/>
    </row>
    <row r="14444" spans="10:10" ht="15" customHeight="1" x14ac:dyDescent="0.3">
      <c r="J14444" s="33"/>
    </row>
    <row r="14445" spans="10:10" ht="15" customHeight="1" x14ac:dyDescent="0.3">
      <c r="J14445" s="33"/>
    </row>
    <row r="14446" spans="10:10" ht="15" customHeight="1" x14ac:dyDescent="0.3">
      <c r="J14446" s="33"/>
    </row>
    <row r="14447" spans="10:10" ht="15" customHeight="1" x14ac:dyDescent="0.3">
      <c r="J14447" s="33"/>
    </row>
    <row r="14448" spans="10:10" ht="15" customHeight="1" x14ac:dyDescent="0.3">
      <c r="J14448" s="33"/>
    </row>
    <row r="14449" spans="10:10" ht="15" customHeight="1" x14ac:dyDescent="0.3">
      <c r="J14449" s="33"/>
    </row>
    <row r="14450" spans="10:10" ht="15" customHeight="1" x14ac:dyDescent="0.3">
      <c r="J14450" s="33"/>
    </row>
    <row r="14451" spans="10:10" ht="15" customHeight="1" x14ac:dyDescent="0.3">
      <c r="J14451" s="33"/>
    </row>
    <row r="14452" spans="10:10" ht="15" customHeight="1" x14ac:dyDescent="0.3">
      <c r="J14452" s="33"/>
    </row>
    <row r="14453" spans="10:10" ht="15" customHeight="1" x14ac:dyDescent="0.3">
      <c r="J14453" s="33"/>
    </row>
    <row r="14454" spans="10:10" ht="15" customHeight="1" x14ac:dyDescent="0.3">
      <c r="J14454" s="33"/>
    </row>
    <row r="14455" spans="10:10" ht="15" customHeight="1" x14ac:dyDescent="0.3">
      <c r="J14455" s="33"/>
    </row>
    <row r="14456" spans="10:10" ht="15" customHeight="1" x14ac:dyDescent="0.3">
      <c r="J14456" s="33"/>
    </row>
    <row r="14457" spans="10:10" ht="15" customHeight="1" x14ac:dyDescent="0.3">
      <c r="J14457" s="33"/>
    </row>
    <row r="14458" spans="10:10" ht="15" customHeight="1" x14ac:dyDescent="0.3">
      <c r="J14458" s="33"/>
    </row>
    <row r="14459" spans="10:10" ht="15" customHeight="1" x14ac:dyDescent="0.3">
      <c r="J14459" s="33"/>
    </row>
    <row r="14460" spans="10:10" ht="15" customHeight="1" x14ac:dyDescent="0.3">
      <c r="J14460" s="33"/>
    </row>
    <row r="14461" spans="10:10" ht="15" customHeight="1" x14ac:dyDescent="0.3">
      <c r="J14461" s="33"/>
    </row>
    <row r="14462" spans="10:10" ht="15" customHeight="1" x14ac:dyDescent="0.3">
      <c r="J14462" s="33"/>
    </row>
    <row r="14463" spans="10:10" ht="15" customHeight="1" x14ac:dyDescent="0.3">
      <c r="J14463" s="33"/>
    </row>
    <row r="14464" spans="10:10" ht="15" customHeight="1" x14ac:dyDescent="0.3">
      <c r="J14464" s="33"/>
    </row>
    <row r="14465" spans="10:10" ht="15" customHeight="1" x14ac:dyDescent="0.3">
      <c r="J14465" s="33"/>
    </row>
    <row r="14466" spans="10:10" ht="15" customHeight="1" x14ac:dyDescent="0.3">
      <c r="J14466" s="33"/>
    </row>
    <row r="14467" spans="10:10" ht="15" customHeight="1" x14ac:dyDescent="0.3">
      <c r="J14467" s="33"/>
    </row>
    <row r="14468" spans="10:10" ht="15" customHeight="1" x14ac:dyDescent="0.3">
      <c r="J14468" s="33"/>
    </row>
    <row r="14469" spans="10:10" ht="15" customHeight="1" x14ac:dyDescent="0.3">
      <c r="J14469" s="33"/>
    </row>
    <row r="14470" spans="10:10" ht="15" customHeight="1" x14ac:dyDescent="0.3">
      <c r="J14470" s="33"/>
    </row>
    <row r="14471" spans="10:10" ht="15" customHeight="1" x14ac:dyDescent="0.3">
      <c r="J14471" s="33"/>
    </row>
    <row r="14472" spans="10:10" ht="15" customHeight="1" x14ac:dyDescent="0.3">
      <c r="J14472" s="33"/>
    </row>
    <row r="14473" spans="10:10" ht="15" customHeight="1" x14ac:dyDescent="0.3">
      <c r="J14473" s="33"/>
    </row>
    <row r="14474" spans="10:10" ht="15" customHeight="1" x14ac:dyDescent="0.3">
      <c r="J14474" s="33"/>
    </row>
    <row r="14475" spans="10:10" ht="15" customHeight="1" x14ac:dyDescent="0.3">
      <c r="J14475" s="33"/>
    </row>
    <row r="14476" spans="10:10" ht="15" customHeight="1" x14ac:dyDescent="0.3">
      <c r="J14476" s="33"/>
    </row>
    <row r="14477" spans="10:10" ht="15" customHeight="1" x14ac:dyDescent="0.3">
      <c r="J14477" s="33"/>
    </row>
    <row r="14478" spans="10:10" ht="15" customHeight="1" x14ac:dyDescent="0.3">
      <c r="J14478" s="33"/>
    </row>
    <row r="14479" spans="10:10" ht="15" customHeight="1" x14ac:dyDescent="0.3">
      <c r="J14479" s="33"/>
    </row>
    <row r="14480" spans="10:10" ht="15" customHeight="1" x14ac:dyDescent="0.3">
      <c r="J14480" s="33"/>
    </row>
    <row r="14481" spans="10:10" ht="15" customHeight="1" x14ac:dyDescent="0.3">
      <c r="J14481" s="33"/>
    </row>
    <row r="14482" spans="10:10" ht="15" customHeight="1" x14ac:dyDescent="0.3">
      <c r="J14482" s="33"/>
    </row>
    <row r="14483" spans="10:10" ht="15" customHeight="1" x14ac:dyDescent="0.3">
      <c r="J14483" s="33"/>
    </row>
    <row r="14484" spans="10:10" ht="15" customHeight="1" x14ac:dyDescent="0.3">
      <c r="J14484" s="33"/>
    </row>
    <row r="14485" spans="10:10" ht="15" customHeight="1" x14ac:dyDescent="0.3">
      <c r="J14485" s="33"/>
    </row>
    <row r="14486" spans="10:10" ht="15" customHeight="1" x14ac:dyDescent="0.3">
      <c r="J14486" s="33"/>
    </row>
    <row r="14487" spans="10:10" ht="15" customHeight="1" x14ac:dyDescent="0.3">
      <c r="J14487" s="33"/>
    </row>
    <row r="14488" spans="10:10" ht="15" customHeight="1" x14ac:dyDescent="0.3">
      <c r="J14488" s="33"/>
    </row>
    <row r="14489" spans="10:10" ht="15" customHeight="1" x14ac:dyDescent="0.3">
      <c r="J14489" s="33"/>
    </row>
    <row r="14490" spans="10:10" ht="15" customHeight="1" x14ac:dyDescent="0.3">
      <c r="J14490" s="33"/>
    </row>
    <row r="14491" spans="10:10" ht="15" customHeight="1" x14ac:dyDescent="0.3">
      <c r="J14491" s="33"/>
    </row>
    <row r="14492" spans="10:10" ht="15" customHeight="1" x14ac:dyDescent="0.3">
      <c r="J14492" s="33"/>
    </row>
    <row r="14493" spans="10:10" ht="15" customHeight="1" x14ac:dyDescent="0.3">
      <c r="J14493" s="33"/>
    </row>
    <row r="14494" spans="10:10" ht="15" customHeight="1" x14ac:dyDescent="0.3">
      <c r="J14494" s="33"/>
    </row>
    <row r="14495" spans="10:10" ht="15" customHeight="1" x14ac:dyDescent="0.3">
      <c r="J14495" s="33"/>
    </row>
    <row r="14496" spans="10:10" ht="15" customHeight="1" x14ac:dyDescent="0.3">
      <c r="J14496" s="33"/>
    </row>
    <row r="14497" spans="10:10" ht="15" customHeight="1" x14ac:dyDescent="0.3">
      <c r="J14497" s="33"/>
    </row>
    <row r="14498" spans="10:10" ht="15" customHeight="1" x14ac:dyDescent="0.3">
      <c r="J14498" s="33"/>
    </row>
    <row r="14499" spans="10:10" ht="15" customHeight="1" x14ac:dyDescent="0.3">
      <c r="J14499" s="33"/>
    </row>
    <row r="14500" spans="10:10" ht="15" customHeight="1" x14ac:dyDescent="0.3">
      <c r="J14500" s="33"/>
    </row>
    <row r="14501" spans="10:10" ht="15" customHeight="1" x14ac:dyDescent="0.3">
      <c r="J14501" s="33"/>
    </row>
    <row r="14502" spans="10:10" ht="15" customHeight="1" x14ac:dyDescent="0.3">
      <c r="J14502" s="33"/>
    </row>
    <row r="14503" spans="10:10" ht="15" customHeight="1" x14ac:dyDescent="0.3">
      <c r="J14503" s="33"/>
    </row>
    <row r="14504" spans="10:10" ht="15" customHeight="1" x14ac:dyDescent="0.3">
      <c r="J14504" s="33"/>
    </row>
    <row r="14505" spans="10:10" ht="15" customHeight="1" x14ac:dyDescent="0.3">
      <c r="J14505" s="33"/>
    </row>
    <row r="14506" spans="10:10" ht="15" customHeight="1" x14ac:dyDescent="0.3">
      <c r="J14506" s="33"/>
    </row>
    <row r="14507" spans="10:10" ht="15" customHeight="1" x14ac:dyDescent="0.3">
      <c r="J14507" s="33"/>
    </row>
    <row r="14508" spans="10:10" ht="15" customHeight="1" x14ac:dyDescent="0.3">
      <c r="J14508" s="33"/>
    </row>
    <row r="14509" spans="10:10" ht="15" customHeight="1" x14ac:dyDescent="0.3">
      <c r="J14509" s="33"/>
    </row>
    <row r="14510" spans="10:10" ht="15" customHeight="1" x14ac:dyDescent="0.3">
      <c r="J14510" s="33"/>
    </row>
    <row r="14511" spans="10:10" ht="15" customHeight="1" x14ac:dyDescent="0.3">
      <c r="J14511" s="33"/>
    </row>
    <row r="14512" spans="10:10" ht="15" customHeight="1" x14ac:dyDescent="0.3">
      <c r="J14512" s="33"/>
    </row>
    <row r="14513" spans="10:10" ht="15" customHeight="1" x14ac:dyDescent="0.3">
      <c r="J14513" s="33"/>
    </row>
    <row r="14514" spans="10:10" ht="15" customHeight="1" x14ac:dyDescent="0.3">
      <c r="J14514" s="33"/>
    </row>
    <row r="14515" spans="10:10" ht="15" customHeight="1" x14ac:dyDescent="0.3">
      <c r="J14515" s="33"/>
    </row>
    <row r="14516" spans="10:10" ht="15" customHeight="1" x14ac:dyDescent="0.3">
      <c r="J14516" s="33"/>
    </row>
    <row r="14517" spans="10:10" ht="15" customHeight="1" x14ac:dyDescent="0.3">
      <c r="J14517" s="33"/>
    </row>
    <row r="14518" spans="10:10" ht="15" customHeight="1" x14ac:dyDescent="0.3">
      <c r="J14518" s="33"/>
    </row>
    <row r="14519" spans="10:10" ht="15" customHeight="1" x14ac:dyDescent="0.3">
      <c r="J14519" s="33"/>
    </row>
    <row r="14520" spans="10:10" ht="15" customHeight="1" x14ac:dyDescent="0.3">
      <c r="J14520" s="33"/>
    </row>
    <row r="14521" spans="10:10" ht="15" customHeight="1" x14ac:dyDescent="0.3">
      <c r="J14521" s="33"/>
    </row>
    <row r="14522" spans="10:10" ht="15" customHeight="1" x14ac:dyDescent="0.3">
      <c r="J14522" s="33"/>
    </row>
    <row r="14523" spans="10:10" ht="15" customHeight="1" x14ac:dyDescent="0.3">
      <c r="J14523" s="33"/>
    </row>
    <row r="14524" spans="10:10" ht="15" customHeight="1" x14ac:dyDescent="0.3">
      <c r="J14524" s="33"/>
    </row>
    <row r="14525" spans="10:10" ht="15" customHeight="1" x14ac:dyDescent="0.3">
      <c r="J14525" s="33"/>
    </row>
    <row r="14526" spans="10:10" ht="15" customHeight="1" x14ac:dyDescent="0.3">
      <c r="J14526" s="33"/>
    </row>
    <row r="14527" spans="10:10" ht="15" customHeight="1" x14ac:dyDescent="0.3">
      <c r="J14527" s="33"/>
    </row>
    <row r="14528" spans="10:10" ht="15" customHeight="1" x14ac:dyDescent="0.3">
      <c r="J14528" s="33"/>
    </row>
    <row r="14529" spans="10:10" ht="15" customHeight="1" x14ac:dyDescent="0.3">
      <c r="J14529" s="33"/>
    </row>
    <row r="14530" spans="10:10" ht="15" customHeight="1" x14ac:dyDescent="0.3">
      <c r="J14530" s="33"/>
    </row>
    <row r="14531" spans="10:10" ht="15" customHeight="1" x14ac:dyDescent="0.3">
      <c r="J14531" s="33"/>
    </row>
    <row r="14532" spans="10:10" ht="15" customHeight="1" x14ac:dyDescent="0.3">
      <c r="J14532" s="33"/>
    </row>
    <row r="14533" spans="10:10" ht="15" customHeight="1" x14ac:dyDescent="0.3">
      <c r="J14533" s="33"/>
    </row>
    <row r="14534" spans="10:10" ht="15" customHeight="1" x14ac:dyDescent="0.3">
      <c r="J14534" s="33"/>
    </row>
    <row r="14535" spans="10:10" ht="15" customHeight="1" x14ac:dyDescent="0.3">
      <c r="J14535" s="33"/>
    </row>
    <row r="14536" spans="10:10" ht="15" customHeight="1" x14ac:dyDescent="0.3">
      <c r="J14536" s="33"/>
    </row>
    <row r="14537" spans="10:10" ht="15" customHeight="1" x14ac:dyDescent="0.3">
      <c r="J14537" s="33"/>
    </row>
    <row r="14538" spans="10:10" ht="15" customHeight="1" x14ac:dyDescent="0.3">
      <c r="J14538" s="33"/>
    </row>
    <row r="14539" spans="10:10" ht="15" customHeight="1" x14ac:dyDescent="0.3">
      <c r="J14539" s="33"/>
    </row>
    <row r="14540" spans="10:10" ht="15" customHeight="1" x14ac:dyDescent="0.3">
      <c r="J14540" s="33"/>
    </row>
    <row r="14541" spans="10:10" ht="15" customHeight="1" x14ac:dyDescent="0.3">
      <c r="J14541" s="33"/>
    </row>
    <row r="14542" spans="10:10" ht="15" customHeight="1" x14ac:dyDescent="0.3">
      <c r="J14542" s="33"/>
    </row>
    <row r="14543" spans="10:10" ht="15" customHeight="1" x14ac:dyDescent="0.3">
      <c r="J14543" s="33"/>
    </row>
    <row r="14544" spans="10:10" ht="15" customHeight="1" x14ac:dyDescent="0.3">
      <c r="J14544" s="33"/>
    </row>
    <row r="14545" spans="10:10" ht="15" customHeight="1" x14ac:dyDescent="0.3">
      <c r="J14545" s="33"/>
    </row>
    <row r="14546" spans="10:10" ht="15" customHeight="1" x14ac:dyDescent="0.3">
      <c r="J14546" s="33"/>
    </row>
    <row r="14547" spans="10:10" ht="15" customHeight="1" x14ac:dyDescent="0.3">
      <c r="J14547" s="33"/>
    </row>
    <row r="14548" spans="10:10" ht="15" customHeight="1" x14ac:dyDescent="0.3">
      <c r="J14548" s="33"/>
    </row>
    <row r="14549" spans="10:10" ht="15" customHeight="1" x14ac:dyDescent="0.3">
      <c r="J14549" s="33"/>
    </row>
    <row r="14550" spans="10:10" ht="15" customHeight="1" x14ac:dyDescent="0.3">
      <c r="J14550" s="33"/>
    </row>
    <row r="14551" spans="10:10" ht="15" customHeight="1" x14ac:dyDescent="0.3">
      <c r="J14551" s="33"/>
    </row>
    <row r="14552" spans="10:10" ht="15" customHeight="1" x14ac:dyDescent="0.3">
      <c r="J14552" s="33"/>
    </row>
    <row r="14553" spans="10:10" ht="15" customHeight="1" x14ac:dyDescent="0.3">
      <c r="J14553" s="33"/>
    </row>
    <row r="14554" spans="10:10" ht="15" customHeight="1" x14ac:dyDescent="0.3">
      <c r="J14554" s="33"/>
    </row>
    <row r="14555" spans="10:10" ht="15" customHeight="1" x14ac:dyDescent="0.3">
      <c r="J14555" s="33"/>
    </row>
    <row r="14556" spans="10:10" ht="15" customHeight="1" x14ac:dyDescent="0.3">
      <c r="J14556" s="33"/>
    </row>
    <row r="14557" spans="10:10" ht="15" customHeight="1" x14ac:dyDescent="0.3">
      <c r="J14557" s="33"/>
    </row>
    <row r="14558" spans="10:10" ht="15" customHeight="1" x14ac:dyDescent="0.3">
      <c r="J14558" s="33"/>
    </row>
    <row r="14559" spans="10:10" ht="15" customHeight="1" x14ac:dyDescent="0.3">
      <c r="J14559" s="33"/>
    </row>
    <row r="14560" spans="10:10" ht="15" customHeight="1" x14ac:dyDescent="0.3">
      <c r="J14560" s="33"/>
    </row>
    <row r="14561" spans="10:10" ht="15" customHeight="1" x14ac:dyDescent="0.3">
      <c r="J14561" s="33"/>
    </row>
    <row r="14562" spans="10:10" ht="15" customHeight="1" x14ac:dyDescent="0.3">
      <c r="J14562" s="33"/>
    </row>
    <row r="14563" spans="10:10" ht="15" customHeight="1" x14ac:dyDescent="0.3">
      <c r="J14563" s="33"/>
    </row>
    <row r="14564" spans="10:10" ht="15" customHeight="1" x14ac:dyDescent="0.3">
      <c r="J14564" s="33"/>
    </row>
    <row r="14565" spans="10:10" ht="15" customHeight="1" x14ac:dyDescent="0.3">
      <c r="J14565" s="33"/>
    </row>
    <row r="14566" spans="10:10" ht="15" customHeight="1" x14ac:dyDescent="0.3">
      <c r="J14566" s="33"/>
    </row>
    <row r="14567" spans="10:10" ht="15" customHeight="1" x14ac:dyDescent="0.3">
      <c r="J14567" s="33"/>
    </row>
    <row r="14568" spans="10:10" ht="15" customHeight="1" x14ac:dyDescent="0.3">
      <c r="J14568" s="33"/>
    </row>
    <row r="14569" spans="10:10" ht="15" customHeight="1" x14ac:dyDescent="0.3">
      <c r="J14569" s="33"/>
    </row>
    <row r="14570" spans="10:10" ht="15" customHeight="1" x14ac:dyDescent="0.3">
      <c r="J14570" s="33"/>
    </row>
    <row r="14571" spans="10:10" ht="15" customHeight="1" x14ac:dyDescent="0.3">
      <c r="J14571" s="33"/>
    </row>
    <row r="14572" spans="10:10" ht="15" customHeight="1" x14ac:dyDescent="0.3">
      <c r="J14572" s="33"/>
    </row>
    <row r="14573" spans="10:10" ht="15" customHeight="1" x14ac:dyDescent="0.3">
      <c r="J14573" s="33"/>
    </row>
    <row r="14574" spans="10:10" ht="15" customHeight="1" x14ac:dyDescent="0.3">
      <c r="J14574" s="33"/>
    </row>
    <row r="14575" spans="10:10" ht="15" customHeight="1" x14ac:dyDescent="0.3">
      <c r="J14575" s="33"/>
    </row>
    <row r="14576" spans="10:10" ht="15" customHeight="1" x14ac:dyDescent="0.3">
      <c r="J14576" s="33"/>
    </row>
    <row r="14577" spans="10:10" ht="15" customHeight="1" x14ac:dyDescent="0.3">
      <c r="J14577" s="33"/>
    </row>
    <row r="14578" spans="10:10" ht="15" customHeight="1" x14ac:dyDescent="0.3">
      <c r="J14578" s="33"/>
    </row>
    <row r="14579" spans="10:10" ht="15" customHeight="1" x14ac:dyDescent="0.3">
      <c r="J14579" s="33"/>
    </row>
    <row r="14580" spans="10:10" ht="15" customHeight="1" x14ac:dyDescent="0.3">
      <c r="J14580" s="33"/>
    </row>
    <row r="14581" spans="10:10" ht="15" customHeight="1" x14ac:dyDescent="0.3">
      <c r="J14581" s="33"/>
    </row>
    <row r="14582" spans="10:10" ht="15" customHeight="1" x14ac:dyDescent="0.3">
      <c r="J14582" s="33"/>
    </row>
    <row r="14583" spans="10:10" ht="15" customHeight="1" x14ac:dyDescent="0.3">
      <c r="J14583" s="33"/>
    </row>
    <row r="14584" spans="10:10" ht="15" customHeight="1" x14ac:dyDescent="0.3">
      <c r="J14584" s="33"/>
    </row>
    <row r="14585" spans="10:10" ht="15" customHeight="1" x14ac:dyDescent="0.3">
      <c r="J14585" s="33"/>
    </row>
    <row r="14586" spans="10:10" ht="15" customHeight="1" x14ac:dyDescent="0.3">
      <c r="J14586" s="33"/>
    </row>
    <row r="14587" spans="10:10" ht="15" customHeight="1" x14ac:dyDescent="0.3">
      <c r="J14587" s="33"/>
    </row>
    <row r="14588" spans="10:10" ht="15" customHeight="1" x14ac:dyDescent="0.3">
      <c r="J14588" s="33"/>
    </row>
    <row r="14589" spans="10:10" ht="15" customHeight="1" x14ac:dyDescent="0.3">
      <c r="J14589" s="33"/>
    </row>
    <row r="14590" spans="10:10" ht="15" customHeight="1" x14ac:dyDescent="0.3">
      <c r="J14590" s="33"/>
    </row>
    <row r="14591" spans="10:10" ht="15" customHeight="1" x14ac:dyDescent="0.3">
      <c r="J14591" s="33"/>
    </row>
    <row r="14592" spans="10:10" ht="15" customHeight="1" x14ac:dyDescent="0.3">
      <c r="J14592" s="33"/>
    </row>
    <row r="14593" spans="10:10" ht="15" customHeight="1" x14ac:dyDescent="0.3">
      <c r="J14593" s="33"/>
    </row>
    <row r="14594" spans="10:10" ht="15" customHeight="1" x14ac:dyDescent="0.3">
      <c r="J14594" s="33"/>
    </row>
    <row r="14595" spans="10:10" ht="15" customHeight="1" x14ac:dyDescent="0.3">
      <c r="J14595" s="33"/>
    </row>
    <row r="14596" spans="10:10" ht="15" customHeight="1" x14ac:dyDescent="0.3">
      <c r="J14596" s="33"/>
    </row>
    <row r="14597" spans="10:10" ht="15" customHeight="1" x14ac:dyDescent="0.3">
      <c r="J14597" s="33"/>
    </row>
    <row r="14598" spans="10:10" ht="15" customHeight="1" x14ac:dyDescent="0.3">
      <c r="J14598" s="33"/>
    </row>
    <row r="14599" spans="10:10" ht="15" customHeight="1" x14ac:dyDescent="0.3">
      <c r="J14599" s="33"/>
    </row>
    <row r="14600" spans="10:10" ht="15" customHeight="1" x14ac:dyDescent="0.3">
      <c r="J14600" s="33"/>
    </row>
    <row r="14601" spans="10:10" ht="15" customHeight="1" x14ac:dyDescent="0.3">
      <c r="J14601" s="33"/>
    </row>
    <row r="14602" spans="10:10" ht="15" customHeight="1" x14ac:dyDescent="0.3">
      <c r="J14602" s="33"/>
    </row>
    <row r="14603" spans="10:10" ht="15" customHeight="1" x14ac:dyDescent="0.3">
      <c r="J14603" s="33"/>
    </row>
    <row r="14604" spans="10:10" ht="15" customHeight="1" x14ac:dyDescent="0.3">
      <c r="J14604" s="33"/>
    </row>
    <row r="14605" spans="10:10" ht="15" customHeight="1" x14ac:dyDescent="0.3">
      <c r="J14605" s="33"/>
    </row>
    <row r="14606" spans="10:10" ht="15" customHeight="1" x14ac:dyDescent="0.3">
      <c r="J14606" s="33"/>
    </row>
    <row r="14607" spans="10:10" ht="15" customHeight="1" x14ac:dyDescent="0.3">
      <c r="J14607" s="33"/>
    </row>
    <row r="14608" spans="10:10" ht="15" customHeight="1" x14ac:dyDescent="0.3">
      <c r="J14608" s="33"/>
    </row>
    <row r="14609" spans="10:10" ht="15" customHeight="1" x14ac:dyDescent="0.3">
      <c r="J14609" s="33"/>
    </row>
    <row r="14610" spans="10:10" ht="15" customHeight="1" x14ac:dyDescent="0.3">
      <c r="J14610" s="33"/>
    </row>
    <row r="14611" spans="10:10" ht="15" customHeight="1" x14ac:dyDescent="0.3">
      <c r="J14611" s="33"/>
    </row>
    <row r="14612" spans="10:10" ht="15" customHeight="1" x14ac:dyDescent="0.3">
      <c r="J14612" s="33"/>
    </row>
    <row r="14613" spans="10:10" ht="15" customHeight="1" x14ac:dyDescent="0.3">
      <c r="J14613" s="33"/>
    </row>
    <row r="14614" spans="10:10" ht="15" customHeight="1" x14ac:dyDescent="0.3">
      <c r="J14614" s="33"/>
    </row>
    <row r="14615" spans="10:10" ht="15" customHeight="1" x14ac:dyDescent="0.3">
      <c r="J14615" s="33"/>
    </row>
    <row r="14616" spans="10:10" ht="15" customHeight="1" x14ac:dyDescent="0.3">
      <c r="J14616" s="33"/>
    </row>
    <row r="14617" spans="10:10" ht="15" customHeight="1" x14ac:dyDescent="0.3">
      <c r="J14617" s="33"/>
    </row>
    <row r="14618" spans="10:10" ht="15" customHeight="1" x14ac:dyDescent="0.3">
      <c r="J14618" s="33"/>
    </row>
    <row r="14619" spans="10:10" ht="15" customHeight="1" x14ac:dyDescent="0.3">
      <c r="J14619" s="33"/>
    </row>
    <row r="14620" spans="10:10" ht="15" customHeight="1" x14ac:dyDescent="0.3">
      <c r="J14620" s="33"/>
    </row>
    <row r="14621" spans="10:10" ht="15" customHeight="1" x14ac:dyDescent="0.3">
      <c r="J14621" s="33"/>
    </row>
    <row r="14622" spans="10:10" ht="15" customHeight="1" x14ac:dyDescent="0.3">
      <c r="J14622" s="33"/>
    </row>
    <row r="14623" spans="10:10" ht="15" customHeight="1" x14ac:dyDescent="0.3">
      <c r="J14623" s="33"/>
    </row>
    <row r="14624" spans="10:10" ht="15" customHeight="1" x14ac:dyDescent="0.3">
      <c r="J14624" s="33"/>
    </row>
    <row r="14625" spans="10:10" ht="15" customHeight="1" x14ac:dyDescent="0.3">
      <c r="J14625" s="33"/>
    </row>
    <row r="14626" spans="10:10" ht="15" customHeight="1" x14ac:dyDescent="0.3">
      <c r="J14626" s="33"/>
    </row>
    <row r="14627" spans="10:10" ht="15" customHeight="1" x14ac:dyDescent="0.3">
      <c r="J14627" s="33"/>
    </row>
    <row r="14628" spans="10:10" ht="15" customHeight="1" x14ac:dyDescent="0.3">
      <c r="J14628" s="33"/>
    </row>
    <row r="14629" spans="10:10" ht="15" customHeight="1" x14ac:dyDescent="0.3">
      <c r="J14629" s="33"/>
    </row>
    <row r="14630" spans="10:10" ht="15" customHeight="1" x14ac:dyDescent="0.3">
      <c r="J14630" s="33"/>
    </row>
    <row r="14631" spans="10:10" ht="15" customHeight="1" x14ac:dyDescent="0.3">
      <c r="J14631" s="33"/>
    </row>
    <row r="14632" spans="10:10" ht="15" customHeight="1" x14ac:dyDescent="0.3">
      <c r="J14632" s="33"/>
    </row>
    <row r="14633" spans="10:10" ht="15" customHeight="1" x14ac:dyDescent="0.3">
      <c r="J14633" s="33"/>
    </row>
    <row r="14634" spans="10:10" ht="15" customHeight="1" x14ac:dyDescent="0.3">
      <c r="J14634" s="33"/>
    </row>
    <row r="14635" spans="10:10" ht="15" customHeight="1" x14ac:dyDescent="0.3">
      <c r="J14635" s="33"/>
    </row>
    <row r="14636" spans="10:10" ht="15" customHeight="1" x14ac:dyDescent="0.3">
      <c r="J14636" s="33"/>
    </row>
    <row r="14637" spans="10:10" ht="15" customHeight="1" x14ac:dyDescent="0.3">
      <c r="J14637" s="33"/>
    </row>
    <row r="14638" spans="10:10" ht="15" customHeight="1" x14ac:dyDescent="0.3">
      <c r="J14638" s="33"/>
    </row>
    <row r="14639" spans="10:10" ht="15" customHeight="1" x14ac:dyDescent="0.3">
      <c r="J14639" s="33"/>
    </row>
    <row r="14640" spans="10:10" ht="15" customHeight="1" x14ac:dyDescent="0.3">
      <c r="J14640" s="33"/>
    </row>
    <row r="14641" spans="10:10" ht="15" customHeight="1" x14ac:dyDescent="0.3">
      <c r="J14641" s="33"/>
    </row>
    <row r="14642" spans="10:10" ht="15" customHeight="1" x14ac:dyDescent="0.3">
      <c r="J14642" s="33"/>
    </row>
    <row r="14643" spans="10:10" ht="15" customHeight="1" x14ac:dyDescent="0.3">
      <c r="J14643" s="33"/>
    </row>
    <row r="14644" spans="10:10" ht="15" customHeight="1" x14ac:dyDescent="0.3">
      <c r="J14644" s="33"/>
    </row>
    <row r="14645" spans="10:10" ht="15" customHeight="1" x14ac:dyDescent="0.3">
      <c r="J14645" s="33"/>
    </row>
    <row r="14646" spans="10:10" ht="15" customHeight="1" x14ac:dyDescent="0.3">
      <c r="J14646" s="33"/>
    </row>
    <row r="14647" spans="10:10" ht="15" customHeight="1" x14ac:dyDescent="0.3">
      <c r="J14647" s="33"/>
    </row>
    <row r="14648" spans="10:10" ht="15" customHeight="1" x14ac:dyDescent="0.3">
      <c r="J14648" s="33"/>
    </row>
    <row r="14649" spans="10:10" ht="15" customHeight="1" x14ac:dyDescent="0.3">
      <c r="J14649" s="33"/>
    </row>
    <row r="14650" spans="10:10" ht="15" customHeight="1" x14ac:dyDescent="0.3">
      <c r="J14650" s="33"/>
    </row>
    <row r="14651" spans="10:10" ht="15" customHeight="1" x14ac:dyDescent="0.3">
      <c r="J14651" s="33"/>
    </row>
    <row r="14652" spans="10:10" ht="15" customHeight="1" x14ac:dyDescent="0.3">
      <c r="J14652" s="33"/>
    </row>
    <row r="14653" spans="10:10" ht="15" customHeight="1" x14ac:dyDescent="0.3">
      <c r="J14653" s="33"/>
    </row>
    <row r="14654" spans="10:10" ht="15" customHeight="1" x14ac:dyDescent="0.3">
      <c r="J14654" s="33"/>
    </row>
    <row r="14655" spans="10:10" ht="15" customHeight="1" x14ac:dyDescent="0.3">
      <c r="J14655" s="33"/>
    </row>
    <row r="14656" spans="10:10" ht="15" customHeight="1" x14ac:dyDescent="0.3">
      <c r="J14656" s="33"/>
    </row>
    <row r="14657" spans="10:10" ht="15" customHeight="1" x14ac:dyDescent="0.3">
      <c r="J14657" s="33"/>
    </row>
    <row r="14658" spans="10:10" ht="15" customHeight="1" x14ac:dyDescent="0.3">
      <c r="J14658" s="33"/>
    </row>
    <row r="14659" spans="10:10" ht="15" customHeight="1" x14ac:dyDescent="0.3">
      <c r="J14659" s="33"/>
    </row>
    <row r="14660" spans="10:10" ht="15" customHeight="1" x14ac:dyDescent="0.3">
      <c r="J14660" s="33"/>
    </row>
    <row r="14661" spans="10:10" ht="15" customHeight="1" x14ac:dyDescent="0.3">
      <c r="J14661" s="33"/>
    </row>
    <row r="14662" spans="10:10" ht="15" customHeight="1" x14ac:dyDescent="0.3">
      <c r="J14662" s="33"/>
    </row>
    <row r="14663" spans="10:10" ht="15" customHeight="1" x14ac:dyDescent="0.3">
      <c r="J14663" s="33"/>
    </row>
    <row r="14664" spans="10:10" ht="15" customHeight="1" x14ac:dyDescent="0.3">
      <c r="J14664" s="33"/>
    </row>
    <row r="14665" spans="10:10" ht="15" customHeight="1" x14ac:dyDescent="0.3">
      <c r="J14665" s="33"/>
    </row>
    <row r="14666" spans="10:10" ht="15" customHeight="1" x14ac:dyDescent="0.3">
      <c r="J14666" s="33"/>
    </row>
    <row r="14667" spans="10:10" ht="15" customHeight="1" x14ac:dyDescent="0.3">
      <c r="J14667" s="33"/>
    </row>
    <row r="14668" spans="10:10" ht="15" customHeight="1" x14ac:dyDescent="0.3">
      <c r="J14668" s="33"/>
    </row>
    <row r="14669" spans="10:10" ht="15" customHeight="1" x14ac:dyDescent="0.3">
      <c r="J14669" s="33"/>
    </row>
    <row r="14670" spans="10:10" ht="15" customHeight="1" x14ac:dyDescent="0.3">
      <c r="J14670" s="33"/>
    </row>
    <row r="14671" spans="10:10" ht="15" customHeight="1" x14ac:dyDescent="0.3">
      <c r="J14671" s="33"/>
    </row>
    <row r="14672" spans="10:10" ht="15" customHeight="1" x14ac:dyDescent="0.3">
      <c r="J14672" s="33"/>
    </row>
    <row r="14673" spans="10:10" ht="15" customHeight="1" x14ac:dyDescent="0.3">
      <c r="J14673" s="33"/>
    </row>
    <row r="14674" spans="10:10" ht="15" customHeight="1" x14ac:dyDescent="0.3">
      <c r="J14674" s="33"/>
    </row>
    <row r="14675" spans="10:10" ht="15" customHeight="1" x14ac:dyDescent="0.3">
      <c r="J14675" s="33"/>
    </row>
    <row r="14676" spans="10:10" ht="15" customHeight="1" x14ac:dyDescent="0.3">
      <c r="J14676" s="33"/>
    </row>
    <row r="14677" spans="10:10" ht="15" customHeight="1" x14ac:dyDescent="0.3">
      <c r="J14677" s="33"/>
    </row>
    <row r="14678" spans="10:10" ht="15" customHeight="1" x14ac:dyDescent="0.3">
      <c r="J14678" s="33"/>
    </row>
    <row r="14679" spans="10:10" ht="15" customHeight="1" x14ac:dyDescent="0.3">
      <c r="J14679" s="33"/>
    </row>
    <row r="14680" spans="10:10" ht="15" customHeight="1" x14ac:dyDescent="0.3">
      <c r="J14680" s="33"/>
    </row>
    <row r="14681" spans="10:10" ht="15" customHeight="1" x14ac:dyDescent="0.3">
      <c r="J14681" s="33"/>
    </row>
    <row r="14682" spans="10:10" ht="15" customHeight="1" x14ac:dyDescent="0.3">
      <c r="J14682" s="33"/>
    </row>
    <row r="14683" spans="10:10" ht="15" customHeight="1" x14ac:dyDescent="0.3">
      <c r="J14683" s="33"/>
    </row>
    <row r="14684" spans="10:10" ht="15" customHeight="1" x14ac:dyDescent="0.3">
      <c r="J14684" s="33"/>
    </row>
    <row r="14685" spans="10:10" ht="15" customHeight="1" x14ac:dyDescent="0.3">
      <c r="J14685" s="33"/>
    </row>
    <row r="14686" spans="10:10" ht="15" customHeight="1" x14ac:dyDescent="0.3">
      <c r="J14686" s="33"/>
    </row>
    <row r="14687" spans="10:10" ht="15" customHeight="1" x14ac:dyDescent="0.3">
      <c r="J14687" s="33"/>
    </row>
    <row r="14688" spans="10:10" ht="15" customHeight="1" x14ac:dyDescent="0.3">
      <c r="J14688" s="33"/>
    </row>
    <row r="14689" spans="10:10" ht="15" customHeight="1" x14ac:dyDescent="0.3">
      <c r="J14689" s="33"/>
    </row>
    <row r="14690" spans="10:10" ht="15" customHeight="1" x14ac:dyDescent="0.3">
      <c r="J14690" s="33"/>
    </row>
    <row r="14691" spans="10:10" ht="15" customHeight="1" x14ac:dyDescent="0.3">
      <c r="J14691" s="33"/>
    </row>
    <row r="14692" spans="10:10" ht="15" customHeight="1" x14ac:dyDescent="0.3">
      <c r="J14692" s="33"/>
    </row>
    <row r="14693" spans="10:10" ht="15" customHeight="1" x14ac:dyDescent="0.3">
      <c r="J14693" s="33"/>
    </row>
    <row r="14694" spans="10:10" ht="15" customHeight="1" x14ac:dyDescent="0.3">
      <c r="J14694" s="33"/>
    </row>
    <row r="14695" spans="10:10" ht="15" customHeight="1" x14ac:dyDescent="0.3">
      <c r="J14695" s="33"/>
    </row>
    <row r="14696" spans="10:10" ht="15" customHeight="1" x14ac:dyDescent="0.3">
      <c r="J14696" s="33"/>
    </row>
    <row r="14697" spans="10:10" ht="15" customHeight="1" x14ac:dyDescent="0.3">
      <c r="J14697" s="33"/>
    </row>
    <row r="14698" spans="10:10" ht="15" customHeight="1" x14ac:dyDescent="0.3">
      <c r="J14698" s="33"/>
    </row>
    <row r="14699" spans="10:10" ht="15" customHeight="1" x14ac:dyDescent="0.3">
      <c r="J14699" s="33"/>
    </row>
    <row r="14700" spans="10:10" ht="15" customHeight="1" x14ac:dyDescent="0.3">
      <c r="J14700" s="33"/>
    </row>
    <row r="14701" spans="10:10" ht="15" customHeight="1" x14ac:dyDescent="0.3">
      <c r="J14701" s="33"/>
    </row>
    <row r="14702" spans="10:10" ht="15" customHeight="1" x14ac:dyDescent="0.3">
      <c r="J14702" s="33"/>
    </row>
    <row r="14703" spans="10:10" ht="15" customHeight="1" x14ac:dyDescent="0.3">
      <c r="J14703" s="33"/>
    </row>
    <row r="14704" spans="10:10" ht="15" customHeight="1" x14ac:dyDescent="0.3">
      <c r="J14704" s="33"/>
    </row>
    <row r="14705" spans="10:10" ht="15" customHeight="1" x14ac:dyDescent="0.3">
      <c r="J14705" s="33"/>
    </row>
    <row r="14706" spans="10:10" ht="15" customHeight="1" x14ac:dyDescent="0.3">
      <c r="J14706" s="33"/>
    </row>
    <row r="14707" spans="10:10" ht="15" customHeight="1" x14ac:dyDescent="0.3">
      <c r="J14707" s="33"/>
    </row>
    <row r="14708" spans="10:10" ht="15" customHeight="1" x14ac:dyDescent="0.3">
      <c r="J14708" s="33"/>
    </row>
    <row r="14709" spans="10:10" ht="15" customHeight="1" x14ac:dyDescent="0.3">
      <c r="J14709" s="33"/>
    </row>
    <row r="14710" spans="10:10" ht="15" customHeight="1" x14ac:dyDescent="0.3">
      <c r="J14710" s="33"/>
    </row>
    <row r="14711" spans="10:10" ht="15" customHeight="1" x14ac:dyDescent="0.3">
      <c r="J14711" s="33"/>
    </row>
    <row r="14712" spans="10:10" ht="15" customHeight="1" x14ac:dyDescent="0.3">
      <c r="J14712" s="33"/>
    </row>
    <row r="14713" spans="10:10" ht="15" customHeight="1" x14ac:dyDescent="0.3">
      <c r="J14713" s="33"/>
    </row>
    <row r="14714" spans="10:10" ht="15" customHeight="1" x14ac:dyDescent="0.3">
      <c r="J14714" s="33"/>
    </row>
    <row r="14715" spans="10:10" ht="15" customHeight="1" x14ac:dyDescent="0.3">
      <c r="J14715" s="33"/>
    </row>
    <row r="14716" spans="10:10" ht="15" customHeight="1" x14ac:dyDescent="0.3">
      <c r="J14716" s="33"/>
    </row>
    <row r="14717" spans="10:10" ht="15" customHeight="1" x14ac:dyDescent="0.3">
      <c r="J14717" s="33"/>
    </row>
    <row r="14718" spans="10:10" ht="15" customHeight="1" x14ac:dyDescent="0.3">
      <c r="J14718" s="33"/>
    </row>
    <row r="14719" spans="10:10" ht="15" customHeight="1" x14ac:dyDescent="0.3">
      <c r="J14719" s="33"/>
    </row>
    <row r="14720" spans="10:10" ht="15" customHeight="1" x14ac:dyDescent="0.3">
      <c r="J14720" s="33"/>
    </row>
    <row r="14721" spans="10:10" ht="15" customHeight="1" x14ac:dyDescent="0.3">
      <c r="J14721" s="33"/>
    </row>
    <row r="14722" spans="10:10" ht="15" customHeight="1" x14ac:dyDescent="0.3">
      <c r="J14722" s="33"/>
    </row>
    <row r="14723" spans="10:10" ht="15" customHeight="1" x14ac:dyDescent="0.3">
      <c r="J14723" s="33"/>
    </row>
    <row r="14724" spans="10:10" ht="15" customHeight="1" x14ac:dyDescent="0.3">
      <c r="J14724" s="33"/>
    </row>
    <row r="14725" spans="10:10" ht="15" customHeight="1" x14ac:dyDescent="0.3">
      <c r="J14725" s="33"/>
    </row>
    <row r="14726" spans="10:10" ht="15" customHeight="1" x14ac:dyDescent="0.3">
      <c r="J14726" s="33"/>
    </row>
    <row r="14727" spans="10:10" ht="15" customHeight="1" x14ac:dyDescent="0.3">
      <c r="J14727" s="33"/>
    </row>
    <row r="14728" spans="10:10" ht="15" customHeight="1" x14ac:dyDescent="0.3">
      <c r="J14728" s="33"/>
    </row>
    <row r="14729" spans="10:10" ht="15" customHeight="1" x14ac:dyDescent="0.3">
      <c r="J14729" s="33"/>
    </row>
    <row r="14730" spans="10:10" ht="15" customHeight="1" x14ac:dyDescent="0.3">
      <c r="J14730" s="33"/>
    </row>
    <row r="14731" spans="10:10" ht="15" customHeight="1" x14ac:dyDescent="0.3">
      <c r="J14731" s="33"/>
    </row>
    <row r="14732" spans="10:10" ht="15" customHeight="1" x14ac:dyDescent="0.3">
      <c r="J14732" s="33"/>
    </row>
    <row r="14733" spans="10:10" ht="15" customHeight="1" x14ac:dyDescent="0.3">
      <c r="J14733" s="33"/>
    </row>
    <row r="14734" spans="10:10" ht="15" customHeight="1" x14ac:dyDescent="0.3">
      <c r="J14734" s="33"/>
    </row>
    <row r="14735" spans="10:10" ht="15" customHeight="1" x14ac:dyDescent="0.3">
      <c r="J14735" s="33"/>
    </row>
    <row r="14736" spans="10:10" ht="15" customHeight="1" x14ac:dyDescent="0.3">
      <c r="J14736" s="33"/>
    </row>
    <row r="14737" spans="10:10" ht="15" customHeight="1" x14ac:dyDescent="0.3">
      <c r="J14737" s="33"/>
    </row>
    <row r="14738" spans="10:10" ht="15" customHeight="1" x14ac:dyDescent="0.3">
      <c r="J14738" s="33"/>
    </row>
    <row r="14739" spans="10:10" ht="15" customHeight="1" x14ac:dyDescent="0.3">
      <c r="J14739" s="33"/>
    </row>
    <row r="14740" spans="10:10" ht="15" customHeight="1" x14ac:dyDescent="0.3">
      <c r="J14740" s="33"/>
    </row>
    <row r="14741" spans="10:10" ht="15" customHeight="1" x14ac:dyDescent="0.3">
      <c r="J14741" s="33"/>
    </row>
    <row r="14742" spans="10:10" ht="15" customHeight="1" x14ac:dyDescent="0.3">
      <c r="J14742" s="33"/>
    </row>
    <row r="14743" spans="10:10" ht="15" customHeight="1" x14ac:dyDescent="0.3">
      <c r="J14743" s="33"/>
    </row>
    <row r="14744" spans="10:10" ht="15" customHeight="1" x14ac:dyDescent="0.3">
      <c r="J14744" s="33"/>
    </row>
    <row r="14745" spans="10:10" ht="15" customHeight="1" x14ac:dyDescent="0.3">
      <c r="J14745" s="33"/>
    </row>
    <row r="14746" spans="10:10" ht="15" customHeight="1" x14ac:dyDescent="0.3">
      <c r="J14746" s="33"/>
    </row>
    <row r="14747" spans="10:10" ht="15" customHeight="1" x14ac:dyDescent="0.3">
      <c r="J14747" s="33"/>
    </row>
    <row r="14748" spans="10:10" ht="15" customHeight="1" x14ac:dyDescent="0.3">
      <c r="J14748" s="33"/>
    </row>
    <row r="14749" spans="10:10" ht="15" customHeight="1" x14ac:dyDescent="0.3">
      <c r="J14749" s="33"/>
    </row>
    <row r="14750" spans="10:10" ht="15" customHeight="1" x14ac:dyDescent="0.3">
      <c r="J14750" s="33"/>
    </row>
    <row r="14751" spans="10:10" ht="15" customHeight="1" x14ac:dyDescent="0.3">
      <c r="J14751" s="33"/>
    </row>
    <row r="14752" spans="10:10" ht="15" customHeight="1" x14ac:dyDescent="0.3">
      <c r="J14752" s="33"/>
    </row>
    <row r="14753" spans="10:10" ht="15" customHeight="1" x14ac:dyDescent="0.3">
      <c r="J14753" s="33"/>
    </row>
    <row r="14754" spans="10:10" ht="15" customHeight="1" x14ac:dyDescent="0.3">
      <c r="J14754" s="33"/>
    </row>
    <row r="14755" spans="10:10" ht="15" customHeight="1" x14ac:dyDescent="0.3">
      <c r="J14755" s="33"/>
    </row>
    <row r="14756" spans="10:10" ht="15" customHeight="1" x14ac:dyDescent="0.3">
      <c r="J14756" s="33"/>
    </row>
    <row r="14757" spans="10:10" ht="15" customHeight="1" x14ac:dyDescent="0.3">
      <c r="J14757" s="33"/>
    </row>
    <row r="14758" spans="10:10" ht="15" customHeight="1" x14ac:dyDescent="0.3">
      <c r="J14758" s="33"/>
    </row>
    <row r="14759" spans="10:10" ht="15" customHeight="1" x14ac:dyDescent="0.3">
      <c r="J14759" s="33"/>
    </row>
    <row r="14760" spans="10:10" ht="15" customHeight="1" x14ac:dyDescent="0.3">
      <c r="J14760" s="33"/>
    </row>
    <row r="14761" spans="10:10" ht="15" customHeight="1" x14ac:dyDescent="0.3">
      <c r="J14761" s="33"/>
    </row>
    <row r="14762" spans="10:10" ht="15" customHeight="1" x14ac:dyDescent="0.3">
      <c r="J14762" s="33"/>
    </row>
    <row r="14763" spans="10:10" ht="15" customHeight="1" x14ac:dyDescent="0.3">
      <c r="J14763" s="33"/>
    </row>
    <row r="14764" spans="10:10" ht="15" customHeight="1" x14ac:dyDescent="0.3">
      <c r="J14764" s="33"/>
    </row>
    <row r="14765" spans="10:10" ht="15" customHeight="1" x14ac:dyDescent="0.3">
      <c r="J14765" s="33"/>
    </row>
    <row r="14766" spans="10:10" ht="15" customHeight="1" x14ac:dyDescent="0.3">
      <c r="J14766" s="33"/>
    </row>
    <row r="14767" spans="10:10" ht="15" customHeight="1" x14ac:dyDescent="0.3">
      <c r="J14767" s="33"/>
    </row>
    <row r="14768" spans="10:10" ht="15" customHeight="1" x14ac:dyDescent="0.3">
      <c r="J14768" s="33"/>
    </row>
    <row r="14769" spans="10:10" ht="15" customHeight="1" x14ac:dyDescent="0.3">
      <c r="J14769" s="33"/>
    </row>
    <row r="14770" spans="10:10" ht="15" customHeight="1" x14ac:dyDescent="0.3">
      <c r="J14770" s="33"/>
    </row>
    <row r="14771" spans="10:10" ht="15" customHeight="1" x14ac:dyDescent="0.3">
      <c r="J14771" s="33"/>
    </row>
    <row r="14772" spans="10:10" ht="15" customHeight="1" x14ac:dyDescent="0.3">
      <c r="J14772" s="33"/>
    </row>
    <row r="14773" spans="10:10" ht="15" customHeight="1" x14ac:dyDescent="0.3">
      <c r="J14773" s="33"/>
    </row>
    <row r="14774" spans="10:10" ht="15" customHeight="1" x14ac:dyDescent="0.3">
      <c r="J14774" s="33"/>
    </row>
    <row r="14775" spans="10:10" ht="15" customHeight="1" x14ac:dyDescent="0.3">
      <c r="J14775" s="33"/>
    </row>
    <row r="14776" spans="10:10" ht="15" customHeight="1" x14ac:dyDescent="0.3">
      <c r="J14776" s="33"/>
    </row>
    <row r="14777" spans="10:10" ht="15" customHeight="1" x14ac:dyDescent="0.3">
      <c r="J14777" s="33"/>
    </row>
    <row r="14778" spans="10:10" ht="15" customHeight="1" x14ac:dyDescent="0.3">
      <c r="J14778" s="33"/>
    </row>
    <row r="14779" spans="10:10" ht="15" customHeight="1" x14ac:dyDescent="0.3">
      <c r="J14779" s="33"/>
    </row>
    <row r="14780" spans="10:10" ht="15" customHeight="1" x14ac:dyDescent="0.3">
      <c r="J14780" s="33"/>
    </row>
    <row r="14781" spans="10:10" ht="15" customHeight="1" x14ac:dyDescent="0.3">
      <c r="J14781" s="33"/>
    </row>
    <row r="14782" spans="10:10" ht="15" customHeight="1" x14ac:dyDescent="0.3">
      <c r="J14782" s="33"/>
    </row>
    <row r="14783" spans="10:10" ht="15" customHeight="1" x14ac:dyDescent="0.3">
      <c r="J14783" s="33"/>
    </row>
    <row r="14784" spans="10:10" ht="15" customHeight="1" x14ac:dyDescent="0.3">
      <c r="J14784" s="33"/>
    </row>
    <row r="14785" spans="10:10" ht="15" customHeight="1" x14ac:dyDescent="0.3">
      <c r="J14785" s="33"/>
    </row>
    <row r="14786" spans="10:10" ht="15" customHeight="1" x14ac:dyDescent="0.3">
      <c r="J14786" s="33"/>
    </row>
    <row r="14787" spans="10:10" ht="15" customHeight="1" x14ac:dyDescent="0.3">
      <c r="J14787" s="33"/>
    </row>
    <row r="14788" spans="10:10" ht="15" customHeight="1" x14ac:dyDescent="0.3">
      <c r="J14788" s="33"/>
    </row>
    <row r="14789" spans="10:10" ht="15" customHeight="1" x14ac:dyDescent="0.3">
      <c r="J14789" s="33"/>
    </row>
    <row r="14790" spans="10:10" ht="15" customHeight="1" x14ac:dyDescent="0.3">
      <c r="J14790" s="33"/>
    </row>
    <row r="14791" spans="10:10" ht="15" customHeight="1" x14ac:dyDescent="0.3">
      <c r="J14791" s="33"/>
    </row>
    <row r="14792" spans="10:10" ht="15" customHeight="1" x14ac:dyDescent="0.3">
      <c r="J14792" s="33"/>
    </row>
    <row r="14793" spans="10:10" ht="15" customHeight="1" x14ac:dyDescent="0.3">
      <c r="J14793" s="33"/>
    </row>
    <row r="14794" spans="10:10" ht="15" customHeight="1" x14ac:dyDescent="0.3">
      <c r="J14794" s="33"/>
    </row>
    <row r="14795" spans="10:10" ht="15" customHeight="1" x14ac:dyDescent="0.3">
      <c r="J14795" s="33"/>
    </row>
    <row r="14796" spans="10:10" ht="15" customHeight="1" x14ac:dyDescent="0.3">
      <c r="J14796" s="33"/>
    </row>
    <row r="14797" spans="10:10" ht="15" customHeight="1" x14ac:dyDescent="0.3">
      <c r="J14797" s="33"/>
    </row>
    <row r="14798" spans="10:10" ht="15" customHeight="1" x14ac:dyDescent="0.3">
      <c r="J14798" s="33"/>
    </row>
    <row r="14799" spans="10:10" ht="15" customHeight="1" x14ac:dyDescent="0.3">
      <c r="J14799" s="33"/>
    </row>
    <row r="14800" spans="10:10" ht="15" customHeight="1" x14ac:dyDescent="0.3">
      <c r="J14800" s="33"/>
    </row>
    <row r="14801" spans="10:10" ht="15" customHeight="1" x14ac:dyDescent="0.3">
      <c r="J14801" s="33"/>
    </row>
    <row r="14802" spans="10:10" ht="15" customHeight="1" x14ac:dyDescent="0.3">
      <c r="J14802" s="33"/>
    </row>
    <row r="14803" spans="10:10" ht="15" customHeight="1" x14ac:dyDescent="0.3">
      <c r="J14803" s="33"/>
    </row>
    <row r="14804" spans="10:10" ht="15" customHeight="1" x14ac:dyDescent="0.3">
      <c r="J14804" s="33"/>
    </row>
    <row r="14805" spans="10:10" ht="15" customHeight="1" x14ac:dyDescent="0.3">
      <c r="J14805" s="33"/>
    </row>
    <row r="14806" spans="10:10" ht="15" customHeight="1" x14ac:dyDescent="0.3">
      <c r="J14806" s="33"/>
    </row>
    <row r="14807" spans="10:10" ht="15" customHeight="1" x14ac:dyDescent="0.3">
      <c r="J14807" s="33"/>
    </row>
    <row r="14808" spans="10:10" ht="15" customHeight="1" x14ac:dyDescent="0.3">
      <c r="J14808" s="33"/>
    </row>
    <row r="14809" spans="10:10" ht="15" customHeight="1" x14ac:dyDescent="0.3">
      <c r="J14809" s="33"/>
    </row>
    <row r="14810" spans="10:10" ht="15" customHeight="1" x14ac:dyDescent="0.3">
      <c r="J14810" s="33"/>
    </row>
    <row r="14811" spans="10:10" ht="15" customHeight="1" x14ac:dyDescent="0.3">
      <c r="J14811" s="33"/>
    </row>
    <row r="14812" spans="10:10" ht="15" customHeight="1" x14ac:dyDescent="0.3">
      <c r="J14812" s="33"/>
    </row>
    <row r="14813" spans="10:10" ht="15" customHeight="1" x14ac:dyDescent="0.3">
      <c r="J14813" s="33"/>
    </row>
    <row r="14814" spans="10:10" ht="15" customHeight="1" x14ac:dyDescent="0.3">
      <c r="J14814" s="33"/>
    </row>
    <row r="14815" spans="10:10" ht="15" customHeight="1" x14ac:dyDescent="0.3">
      <c r="J14815" s="33"/>
    </row>
    <row r="14816" spans="10:10" ht="15" customHeight="1" x14ac:dyDescent="0.3">
      <c r="J14816" s="33"/>
    </row>
    <row r="14817" spans="10:10" ht="15" customHeight="1" x14ac:dyDescent="0.3">
      <c r="J14817" s="33"/>
    </row>
    <row r="14818" spans="10:10" ht="15" customHeight="1" x14ac:dyDescent="0.3">
      <c r="J14818" s="33"/>
    </row>
    <row r="14819" spans="10:10" ht="15" customHeight="1" x14ac:dyDescent="0.3">
      <c r="J14819" s="33"/>
    </row>
    <row r="14820" spans="10:10" ht="15" customHeight="1" x14ac:dyDescent="0.3">
      <c r="J14820" s="33"/>
    </row>
    <row r="14821" spans="10:10" ht="15" customHeight="1" x14ac:dyDescent="0.3">
      <c r="J14821" s="33"/>
    </row>
    <row r="14822" spans="10:10" ht="15" customHeight="1" x14ac:dyDescent="0.3">
      <c r="J14822" s="33"/>
    </row>
    <row r="14823" spans="10:10" ht="15" customHeight="1" x14ac:dyDescent="0.3">
      <c r="J14823" s="33"/>
    </row>
    <row r="14824" spans="10:10" ht="15" customHeight="1" x14ac:dyDescent="0.3">
      <c r="J14824" s="33"/>
    </row>
    <row r="14825" spans="10:10" ht="15" customHeight="1" x14ac:dyDescent="0.3">
      <c r="J14825" s="33"/>
    </row>
    <row r="14826" spans="10:10" ht="15" customHeight="1" x14ac:dyDescent="0.3">
      <c r="J14826" s="33"/>
    </row>
    <row r="14827" spans="10:10" ht="15" customHeight="1" x14ac:dyDescent="0.3">
      <c r="J14827" s="33"/>
    </row>
    <row r="14828" spans="10:10" ht="15" customHeight="1" x14ac:dyDescent="0.3">
      <c r="J14828" s="33"/>
    </row>
    <row r="14829" spans="10:10" ht="15" customHeight="1" x14ac:dyDescent="0.3">
      <c r="J14829" s="33"/>
    </row>
    <row r="14830" spans="10:10" ht="15" customHeight="1" x14ac:dyDescent="0.3">
      <c r="J14830" s="33"/>
    </row>
    <row r="14831" spans="10:10" ht="15" customHeight="1" x14ac:dyDescent="0.3">
      <c r="J14831" s="33"/>
    </row>
    <row r="14832" spans="10:10" ht="15" customHeight="1" x14ac:dyDescent="0.3">
      <c r="J14832" s="33"/>
    </row>
    <row r="14833" spans="10:10" ht="15" customHeight="1" x14ac:dyDescent="0.3">
      <c r="J14833" s="33"/>
    </row>
    <row r="14834" spans="10:10" ht="15" customHeight="1" x14ac:dyDescent="0.3">
      <c r="J14834" s="33"/>
    </row>
    <row r="14835" spans="10:10" ht="15" customHeight="1" x14ac:dyDescent="0.3">
      <c r="J14835" s="33"/>
    </row>
    <row r="14836" spans="10:10" ht="15" customHeight="1" x14ac:dyDescent="0.3">
      <c r="J14836" s="33"/>
    </row>
    <row r="14837" spans="10:10" ht="15" customHeight="1" x14ac:dyDescent="0.3">
      <c r="J14837" s="33"/>
    </row>
    <row r="14838" spans="10:10" ht="15" customHeight="1" x14ac:dyDescent="0.3">
      <c r="J14838" s="33"/>
    </row>
    <row r="14839" spans="10:10" ht="15" customHeight="1" x14ac:dyDescent="0.3">
      <c r="J14839" s="33"/>
    </row>
    <row r="14840" spans="10:10" ht="15" customHeight="1" x14ac:dyDescent="0.3">
      <c r="J14840" s="33"/>
    </row>
    <row r="14841" spans="10:10" ht="15" customHeight="1" x14ac:dyDescent="0.3">
      <c r="J14841" s="33"/>
    </row>
    <row r="14842" spans="10:10" ht="15" customHeight="1" x14ac:dyDescent="0.3">
      <c r="J14842" s="33"/>
    </row>
    <row r="14843" spans="10:10" ht="15" customHeight="1" x14ac:dyDescent="0.3">
      <c r="J14843" s="33"/>
    </row>
    <row r="14844" spans="10:10" ht="15" customHeight="1" x14ac:dyDescent="0.3">
      <c r="J14844" s="33"/>
    </row>
    <row r="14845" spans="10:10" ht="15" customHeight="1" x14ac:dyDescent="0.3">
      <c r="J14845" s="33"/>
    </row>
    <row r="14846" spans="10:10" ht="15" customHeight="1" x14ac:dyDescent="0.3">
      <c r="J14846" s="33"/>
    </row>
    <row r="14847" spans="10:10" ht="15" customHeight="1" x14ac:dyDescent="0.3">
      <c r="J14847" s="33"/>
    </row>
    <row r="14848" spans="10:10" ht="15" customHeight="1" x14ac:dyDescent="0.3">
      <c r="J14848" s="33"/>
    </row>
    <row r="14849" spans="10:10" ht="15" customHeight="1" x14ac:dyDescent="0.3">
      <c r="J14849" s="33"/>
    </row>
    <row r="14850" spans="10:10" ht="15" customHeight="1" x14ac:dyDescent="0.3">
      <c r="J14850" s="33"/>
    </row>
    <row r="14851" spans="10:10" ht="15" customHeight="1" x14ac:dyDescent="0.3">
      <c r="J14851" s="33"/>
    </row>
    <row r="14852" spans="10:10" ht="15" customHeight="1" x14ac:dyDescent="0.3">
      <c r="J14852" s="33"/>
    </row>
    <row r="14853" spans="10:10" ht="15" customHeight="1" x14ac:dyDescent="0.3">
      <c r="J14853" s="33"/>
    </row>
    <row r="14854" spans="10:10" ht="15" customHeight="1" x14ac:dyDescent="0.3">
      <c r="J14854" s="33"/>
    </row>
    <row r="14855" spans="10:10" ht="15" customHeight="1" x14ac:dyDescent="0.3">
      <c r="J14855" s="33"/>
    </row>
    <row r="14856" spans="10:10" ht="15" customHeight="1" x14ac:dyDescent="0.3">
      <c r="J14856" s="33"/>
    </row>
    <row r="14857" spans="10:10" ht="15" customHeight="1" x14ac:dyDescent="0.3">
      <c r="J14857" s="33"/>
    </row>
    <row r="14858" spans="10:10" ht="15" customHeight="1" x14ac:dyDescent="0.3">
      <c r="J14858" s="33"/>
    </row>
    <row r="14859" spans="10:10" ht="15" customHeight="1" x14ac:dyDescent="0.3">
      <c r="J14859" s="33"/>
    </row>
    <row r="14860" spans="10:10" ht="15" customHeight="1" x14ac:dyDescent="0.3">
      <c r="J14860" s="33"/>
    </row>
    <row r="14861" spans="10:10" ht="15" customHeight="1" x14ac:dyDescent="0.3">
      <c r="J14861" s="33"/>
    </row>
    <row r="14862" spans="10:10" ht="15" customHeight="1" x14ac:dyDescent="0.3">
      <c r="J14862" s="33"/>
    </row>
    <row r="14863" spans="10:10" ht="15" customHeight="1" x14ac:dyDescent="0.3">
      <c r="J14863" s="33"/>
    </row>
    <row r="14864" spans="10:10" ht="15" customHeight="1" x14ac:dyDescent="0.3">
      <c r="J14864" s="33"/>
    </row>
    <row r="14865" spans="10:10" ht="15" customHeight="1" x14ac:dyDescent="0.3">
      <c r="J14865" s="33"/>
    </row>
    <row r="14866" spans="10:10" ht="15" customHeight="1" x14ac:dyDescent="0.3">
      <c r="J14866" s="33"/>
    </row>
    <row r="14867" spans="10:10" ht="15" customHeight="1" x14ac:dyDescent="0.3">
      <c r="J14867" s="33"/>
    </row>
    <row r="14868" spans="10:10" ht="15" customHeight="1" x14ac:dyDescent="0.3">
      <c r="J14868" s="33"/>
    </row>
    <row r="14869" spans="10:10" ht="15" customHeight="1" x14ac:dyDescent="0.3">
      <c r="J14869" s="33"/>
    </row>
    <row r="14870" spans="10:10" ht="15" customHeight="1" x14ac:dyDescent="0.3">
      <c r="J14870" s="33"/>
    </row>
    <row r="14871" spans="10:10" ht="15" customHeight="1" x14ac:dyDescent="0.3">
      <c r="J14871" s="33"/>
    </row>
    <row r="14872" spans="10:10" ht="15" customHeight="1" x14ac:dyDescent="0.3">
      <c r="J14872" s="33"/>
    </row>
    <row r="14873" spans="10:10" ht="15" customHeight="1" x14ac:dyDescent="0.3">
      <c r="J14873" s="33"/>
    </row>
    <row r="14874" spans="10:10" ht="15" customHeight="1" x14ac:dyDescent="0.3">
      <c r="J14874" s="33"/>
    </row>
    <row r="14875" spans="10:10" ht="15" customHeight="1" x14ac:dyDescent="0.3">
      <c r="J14875" s="33"/>
    </row>
    <row r="14876" spans="10:10" ht="15" customHeight="1" x14ac:dyDescent="0.3">
      <c r="J14876" s="33"/>
    </row>
    <row r="14877" spans="10:10" ht="15" customHeight="1" x14ac:dyDescent="0.3">
      <c r="J14877" s="33"/>
    </row>
    <row r="14878" spans="10:10" ht="15" customHeight="1" x14ac:dyDescent="0.3">
      <c r="J14878" s="33"/>
    </row>
    <row r="14879" spans="10:10" ht="15" customHeight="1" x14ac:dyDescent="0.3">
      <c r="J14879" s="33"/>
    </row>
    <row r="14880" spans="10:10" ht="15" customHeight="1" x14ac:dyDescent="0.3">
      <c r="J14880" s="33"/>
    </row>
    <row r="14881" spans="10:10" ht="15" customHeight="1" x14ac:dyDescent="0.3">
      <c r="J14881" s="33"/>
    </row>
    <row r="14882" spans="10:10" ht="15" customHeight="1" x14ac:dyDescent="0.3">
      <c r="J14882" s="33"/>
    </row>
    <row r="14883" spans="10:10" ht="15" customHeight="1" x14ac:dyDescent="0.3">
      <c r="J14883" s="33"/>
    </row>
    <row r="14884" spans="10:10" ht="15" customHeight="1" x14ac:dyDescent="0.3">
      <c r="J14884" s="33"/>
    </row>
    <row r="14885" spans="10:10" ht="15" customHeight="1" x14ac:dyDescent="0.3">
      <c r="J14885" s="33"/>
    </row>
    <row r="14886" spans="10:10" ht="15" customHeight="1" x14ac:dyDescent="0.3">
      <c r="J14886" s="33"/>
    </row>
    <row r="14887" spans="10:10" ht="15" customHeight="1" x14ac:dyDescent="0.3">
      <c r="J14887" s="33"/>
    </row>
    <row r="14888" spans="10:10" ht="15" customHeight="1" x14ac:dyDescent="0.3">
      <c r="J14888" s="33"/>
    </row>
    <row r="14889" spans="10:10" ht="15" customHeight="1" x14ac:dyDescent="0.3">
      <c r="J14889" s="33"/>
    </row>
    <row r="14890" spans="10:10" ht="15" customHeight="1" x14ac:dyDescent="0.3">
      <c r="J14890" s="33"/>
    </row>
    <row r="14891" spans="10:10" ht="15" customHeight="1" x14ac:dyDescent="0.3">
      <c r="J14891" s="33"/>
    </row>
    <row r="14892" spans="10:10" ht="15" customHeight="1" x14ac:dyDescent="0.3">
      <c r="J14892" s="33"/>
    </row>
    <row r="14893" spans="10:10" ht="15" customHeight="1" x14ac:dyDescent="0.3">
      <c r="J14893" s="33"/>
    </row>
    <row r="14894" spans="10:10" ht="15" customHeight="1" x14ac:dyDescent="0.3">
      <c r="J14894" s="33"/>
    </row>
    <row r="14895" spans="10:10" ht="15" customHeight="1" x14ac:dyDescent="0.3">
      <c r="J14895" s="33"/>
    </row>
    <row r="14896" spans="10:10" ht="15" customHeight="1" x14ac:dyDescent="0.3">
      <c r="J14896" s="33"/>
    </row>
    <row r="14897" spans="10:10" ht="15" customHeight="1" x14ac:dyDescent="0.3">
      <c r="J14897" s="33"/>
    </row>
    <row r="14898" spans="10:10" ht="15" customHeight="1" x14ac:dyDescent="0.3">
      <c r="J14898" s="33"/>
    </row>
    <row r="14899" spans="10:10" ht="15" customHeight="1" x14ac:dyDescent="0.3">
      <c r="J14899" s="33"/>
    </row>
    <row r="14900" spans="10:10" ht="15" customHeight="1" x14ac:dyDescent="0.3">
      <c r="J14900" s="33"/>
    </row>
    <row r="14901" spans="10:10" ht="15" customHeight="1" x14ac:dyDescent="0.3">
      <c r="J14901" s="33"/>
    </row>
    <row r="14902" spans="10:10" ht="15" customHeight="1" x14ac:dyDescent="0.3">
      <c r="J14902" s="33"/>
    </row>
    <row r="14903" spans="10:10" ht="15" customHeight="1" x14ac:dyDescent="0.3">
      <c r="J14903" s="33"/>
    </row>
    <row r="14904" spans="10:10" ht="15" customHeight="1" x14ac:dyDescent="0.3">
      <c r="J14904" s="33"/>
    </row>
    <row r="14905" spans="10:10" ht="15" customHeight="1" x14ac:dyDescent="0.3">
      <c r="J14905" s="33"/>
    </row>
    <row r="14906" spans="10:10" ht="15" customHeight="1" x14ac:dyDescent="0.3">
      <c r="J14906" s="33"/>
    </row>
    <row r="14907" spans="10:10" ht="15" customHeight="1" x14ac:dyDescent="0.3">
      <c r="J14907" s="33"/>
    </row>
    <row r="14908" spans="10:10" ht="15" customHeight="1" x14ac:dyDescent="0.3">
      <c r="J14908" s="33"/>
    </row>
    <row r="14909" spans="10:10" ht="15" customHeight="1" x14ac:dyDescent="0.3">
      <c r="J14909" s="33"/>
    </row>
    <row r="14910" spans="10:10" ht="15" customHeight="1" x14ac:dyDescent="0.3">
      <c r="J14910" s="33"/>
    </row>
    <row r="14911" spans="10:10" ht="15" customHeight="1" x14ac:dyDescent="0.3">
      <c r="J14911" s="33"/>
    </row>
    <row r="14912" spans="10:10" ht="15" customHeight="1" x14ac:dyDescent="0.3">
      <c r="J14912" s="33"/>
    </row>
    <row r="14913" spans="10:10" ht="15" customHeight="1" x14ac:dyDescent="0.3">
      <c r="J14913" s="33"/>
    </row>
    <row r="14914" spans="10:10" ht="15" customHeight="1" x14ac:dyDescent="0.3">
      <c r="J14914" s="33"/>
    </row>
    <row r="14915" spans="10:10" ht="15" customHeight="1" x14ac:dyDescent="0.3">
      <c r="J14915" s="33"/>
    </row>
    <row r="14916" spans="10:10" ht="15" customHeight="1" x14ac:dyDescent="0.3">
      <c r="J14916" s="33"/>
    </row>
    <row r="14917" spans="10:10" ht="15" customHeight="1" x14ac:dyDescent="0.3">
      <c r="J14917" s="33"/>
    </row>
    <row r="14918" spans="10:10" ht="15" customHeight="1" x14ac:dyDescent="0.3">
      <c r="J14918" s="33"/>
    </row>
    <row r="14919" spans="10:10" ht="15" customHeight="1" x14ac:dyDescent="0.3">
      <c r="J14919" s="33"/>
    </row>
    <row r="14920" spans="10:10" ht="15" customHeight="1" x14ac:dyDescent="0.3">
      <c r="J14920" s="33"/>
    </row>
    <row r="14921" spans="10:10" ht="15" customHeight="1" x14ac:dyDescent="0.3">
      <c r="J14921" s="33"/>
    </row>
    <row r="14922" spans="10:10" ht="15" customHeight="1" x14ac:dyDescent="0.3">
      <c r="J14922" s="33"/>
    </row>
    <row r="14923" spans="10:10" ht="15" customHeight="1" x14ac:dyDescent="0.3">
      <c r="J14923" s="33"/>
    </row>
    <row r="14924" spans="10:10" ht="15" customHeight="1" x14ac:dyDescent="0.3">
      <c r="J14924" s="33"/>
    </row>
    <row r="14925" spans="10:10" ht="15" customHeight="1" x14ac:dyDescent="0.3">
      <c r="J14925" s="33"/>
    </row>
    <row r="14926" spans="10:10" ht="15" customHeight="1" x14ac:dyDescent="0.3">
      <c r="J14926" s="33"/>
    </row>
    <row r="14927" spans="10:10" ht="15" customHeight="1" x14ac:dyDescent="0.3">
      <c r="J14927" s="33"/>
    </row>
    <row r="14928" spans="10:10" ht="15" customHeight="1" x14ac:dyDescent="0.3">
      <c r="J14928" s="33"/>
    </row>
    <row r="14929" spans="10:10" ht="15" customHeight="1" x14ac:dyDescent="0.3">
      <c r="J14929" s="33"/>
    </row>
    <row r="14930" spans="10:10" ht="15" customHeight="1" x14ac:dyDescent="0.3">
      <c r="J14930" s="33"/>
    </row>
    <row r="14931" spans="10:10" ht="15" customHeight="1" x14ac:dyDescent="0.3">
      <c r="J14931" s="33"/>
    </row>
    <row r="14932" spans="10:10" ht="15" customHeight="1" x14ac:dyDescent="0.3">
      <c r="J14932" s="33"/>
    </row>
    <row r="14933" spans="10:10" ht="15" customHeight="1" x14ac:dyDescent="0.3">
      <c r="J14933" s="33"/>
    </row>
    <row r="14934" spans="10:10" ht="15" customHeight="1" x14ac:dyDescent="0.3">
      <c r="J14934" s="33"/>
    </row>
    <row r="14935" spans="10:10" ht="15" customHeight="1" x14ac:dyDescent="0.3">
      <c r="J14935" s="33"/>
    </row>
    <row r="14936" spans="10:10" ht="15" customHeight="1" x14ac:dyDescent="0.3">
      <c r="J14936" s="33"/>
    </row>
    <row r="14937" spans="10:10" ht="15" customHeight="1" x14ac:dyDescent="0.3">
      <c r="J14937" s="33"/>
    </row>
    <row r="14938" spans="10:10" ht="15" customHeight="1" x14ac:dyDescent="0.3">
      <c r="J14938" s="33"/>
    </row>
    <row r="14939" spans="10:10" ht="15" customHeight="1" x14ac:dyDescent="0.3">
      <c r="J14939" s="33"/>
    </row>
    <row r="14940" spans="10:10" ht="15" customHeight="1" x14ac:dyDescent="0.3">
      <c r="J14940" s="33"/>
    </row>
    <row r="14941" spans="10:10" ht="15" customHeight="1" x14ac:dyDescent="0.3">
      <c r="J14941" s="33"/>
    </row>
    <row r="14942" spans="10:10" ht="15" customHeight="1" x14ac:dyDescent="0.3">
      <c r="J14942" s="33"/>
    </row>
    <row r="14943" spans="10:10" ht="15" customHeight="1" x14ac:dyDescent="0.3">
      <c r="J14943" s="33"/>
    </row>
    <row r="14944" spans="10:10" ht="15" customHeight="1" x14ac:dyDescent="0.3">
      <c r="J14944" s="33"/>
    </row>
    <row r="14945" spans="10:10" ht="15" customHeight="1" x14ac:dyDescent="0.3">
      <c r="J14945" s="33"/>
    </row>
    <row r="14946" spans="10:10" ht="15" customHeight="1" x14ac:dyDescent="0.3">
      <c r="J14946" s="33"/>
    </row>
    <row r="14947" spans="10:10" ht="15" customHeight="1" x14ac:dyDescent="0.3">
      <c r="J14947" s="33"/>
    </row>
    <row r="14948" spans="10:10" ht="15" customHeight="1" x14ac:dyDescent="0.3">
      <c r="J14948" s="33"/>
    </row>
    <row r="14949" spans="10:10" ht="15" customHeight="1" x14ac:dyDescent="0.3">
      <c r="J14949" s="33"/>
    </row>
    <row r="14950" spans="10:10" ht="15" customHeight="1" x14ac:dyDescent="0.3">
      <c r="J14950" s="33"/>
    </row>
    <row r="14951" spans="10:10" ht="15" customHeight="1" x14ac:dyDescent="0.3">
      <c r="J14951" s="33"/>
    </row>
    <row r="14952" spans="10:10" ht="15" customHeight="1" x14ac:dyDescent="0.3">
      <c r="J14952" s="33"/>
    </row>
    <row r="14953" spans="10:10" ht="15" customHeight="1" x14ac:dyDescent="0.3">
      <c r="J14953" s="33"/>
    </row>
    <row r="14954" spans="10:10" ht="15" customHeight="1" x14ac:dyDescent="0.3">
      <c r="J14954" s="33"/>
    </row>
    <row r="14955" spans="10:10" ht="15" customHeight="1" x14ac:dyDescent="0.3">
      <c r="J14955" s="33"/>
    </row>
    <row r="14956" spans="10:10" ht="15" customHeight="1" x14ac:dyDescent="0.3">
      <c r="J14956" s="33"/>
    </row>
    <row r="14957" spans="10:10" ht="15" customHeight="1" x14ac:dyDescent="0.3">
      <c r="J14957" s="33"/>
    </row>
    <row r="14958" spans="10:10" ht="15" customHeight="1" x14ac:dyDescent="0.3">
      <c r="J14958" s="33"/>
    </row>
    <row r="14959" spans="10:10" ht="15" customHeight="1" x14ac:dyDescent="0.3">
      <c r="J14959" s="33"/>
    </row>
    <row r="14960" spans="10:10" ht="15" customHeight="1" x14ac:dyDescent="0.3">
      <c r="J14960" s="33"/>
    </row>
    <row r="14961" spans="10:10" ht="15" customHeight="1" x14ac:dyDescent="0.3">
      <c r="J14961" s="33"/>
    </row>
    <row r="14962" spans="10:10" ht="15" customHeight="1" x14ac:dyDescent="0.3">
      <c r="J14962" s="33"/>
    </row>
    <row r="14963" spans="10:10" ht="15" customHeight="1" x14ac:dyDescent="0.3">
      <c r="J14963" s="33"/>
    </row>
    <row r="14964" spans="10:10" ht="15" customHeight="1" x14ac:dyDescent="0.3">
      <c r="J14964" s="33"/>
    </row>
    <row r="14965" spans="10:10" ht="15" customHeight="1" x14ac:dyDescent="0.3">
      <c r="J14965" s="33"/>
    </row>
    <row r="14966" spans="10:10" ht="15" customHeight="1" x14ac:dyDescent="0.3">
      <c r="J14966" s="33"/>
    </row>
    <row r="14967" spans="10:10" ht="15" customHeight="1" x14ac:dyDescent="0.3">
      <c r="J14967" s="33"/>
    </row>
    <row r="14968" spans="10:10" ht="15" customHeight="1" x14ac:dyDescent="0.3">
      <c r="J14968" s="33"/>
    </row>
    <row r="14969" spans="10:10" ht="15" customHeight="1" x14ac:dyDescent="0.3">
      <c r="J14969" s="33"/>
    </row>
    <row r="14970" spans="10:10" ht="15" customHeight="1" x14ac:dyDescent="0.3">
      <c r="J14970" s="33"/>
    </row>
    <row r="14971" spans="10:10" ht="15" customHeight="1" x14ac:dyDescent="0.3">
      <c r="J14971" s="33"/>
    </row>
    <row r="14972" spans="10:10" ht="15" customHeight="1" x14ac:dyDescent="0.3">
      <c r="J14972" s="33"/>
    </row>
    <row r="14973" spans="10:10" ht="15" customHeight="1" x14ac:dyDescent="0.3">
      <c r="J14973" s="33"/>
    </row>
    <row r="14974" spans="10:10" ht="15" customHeight="1" x14ac:dyDescent="0.3">
      <c r="J14974" s="33"/>
    </row>
    <row r="14975" spans="10:10" ht="15" customHeight="1" x14ac:dyDescent="0.3">
      <c r="J14975" s="33"/>
    </row>
    <row r="14976" spans="10:10" ht="15" customHeight="1" x14ac:dyDescent="0.3">
      <c r="J14976" s="33"/>
    </row>
    <row r="14977" spans="10:10" ht="15" customHeight="1" x14ac:dyDescent="0.3">
      <c r="J14977" s="33"/>
    </row>
    <row r="14978" spans="10:10" ht="15" customHeight="1" x14ac:dyDescent="0.3">
      <c r="J14978" s="33"/>
    </row>
    <row r="14979" spans="10:10" ht="15" customHeight="1" x14ac:dyDescent="0.3">
      <c r="J14979" s="33"/>
    </row>
    <row r="14980" spans="10:10" ht="15" customHeight="1" x14ac:dyDescent="0.3">
      <c r="J14980" s="33"/>
    </row>
    <row r="14981" spans="10:10" ht="15" customHeight="1" x14ac:dyDescent="0.3">
      <c r="J14981" s="33"/>
    </row>
    <row r="14982" spans="10:10" ht="15" customHeight="1" x14ac:dyDescent="0.3">
      <c r="J14982" s="33"/>
    </row>
    <row r="14983" spans="10:10" ht="15" customHeight="1" x14ac:dyDescent="0.3">
      <c r="J14983" s="33"/>
    </row>
    <row r="14984" spans="10:10" ht="15" customHeight="1" x14ac:dyDescent="0.3">
      <c r="J14984" s="33"/>
    </row>
    <row r="14985" spans="10:10" ht="15" customHeight="1" x14ac:dyDescent="0.3">
      <c r="J14985" s="33"/>
    </row>
    <row r="14986" spans="10:10" ht="15" customHeight="1" x14ac:dyDescent="0.3">
      <c r="J14986" s="33"/>
    </row>
    <row r="14987" spans="10:10" ht="15" customHeight="1" x14ac:dyDescent="0.3">
      <c r="J14987" s="33"/>
    </row>
    <row r="14988" spans="10:10" ht="15" customHeight="1" x14ac:dyDescent="0.3">
      <c r="J14988" s="33"/>
    </row>
    <row r="14989" spans="10:10" ht="15" customHeight="1" x14ac:dyDescent="0.3">
      <c r="J14989" s="33"/>
    </row>
    <row r="14990" spans="10:10" ht="15" customHeight="1" x14ac:dyDescent="0.3">
      <c r="J14990" s="33"/>
    </row>
    <row r="14991" spans="10:10" ht="15" customHeight="1" x14ac:dyDescent="0.3">
      <c r="J14991" s="33"/>
    </row>
    <row r="14992" spans="10:10" ht="15" customHeight="1" x14ac:dyDescent="0.3">
      <c r="J14992" s="33"/>
    </row>
    <row r="14993" spans="10:10" ht="15" customHeight="1" x14ac:dyDescent="0.3">
      <c r="J14993" s="33"/>
    </row>
    <row r="14994" spans="10:10" ht="15" customHeight="1" x14ac:dyDescent="0.3">
      <c r="J14994" s="33"/>
    </row>
    <row r="14995" spans="10:10" ht="15" customHeight="1" x14ac:dyDescent="0.3">
      <c r="J14995" s="33"/>
    </row>
    <row r="14996" spans="10:10" ht="15" customHeight="1" x14ac:dyDescent="0.3">
      <c r="J14996" s="33"/>
    </row>
    <row r="14997" spans="10:10" ht="15" customHeight="1" x14ac:dyDescent="0.3">
      <c r="J14997" s="33"/>
    </row>
    <row r="14998" spans="10:10" ht="15" customHeight="1" x14ac:dyDescent="0.3">
      <c r="J14998" s="33"/>
    </row>
    <row r="14999" spans="10:10" ht="15" customHeight="1" x14ac:dyDescent="0.3">
      <c r="J14999" s="33"/>
    </row>
    <row r="15000" spans="10:10" ht="15" customHeight="1" x14ac:dyDescent="0.3">
      <c r="J15000" s="33"/>
    </row>
    <row r="15001" spans="10:10" ht="15" customHeight="1" x14ac:dyDescent="0.3">
      <c r="J15001" s="33"/>
    </row>
    <row r="15002" spans="10:10" ht="15" customHeight="1" x14ac:dyDescent="0.3">
      <c r="J15002" s="33"/>
    </row>
    <row r="15003" spans="10:10" ht="15" customHeight="1" x14ac:dyDescent="0.3">
      <c r="J15003" s="33"/>
    </row>
    <row r="15004" spans="10:10" ht="15" customHeight="1" x14ac:dyDescent="0.3">
      <c r="J15004" s="33"/>
    </row>
    <row r="15005" spans="10:10" ht="15" customHeight="1" x14ac:dyDescent="0.3">
      <c r="J15005" s="33"/>
    </row>
    <row r="15006" spans="10:10" ht="15" customHeight="1" x14ac:dyDescent="0.3">
      <c r="J15006" s="33"/>
    </row>
    <row r="15007" spans="10:10" ht="15" customHeight="1" x14ac:dyDescent="0.3">
      <c r="J15007" s="33"/>
    </row>
    <row r="15008" spans="10:10" ht="15" customHeight="1" x14ac:dyDescent="0.3">
      <c r="J15008" s="33"/>
    </row>
    <row r="15009" spans="10:10" ht="15" customHeight="1" x14ac:dyDescent="0.3">
      <c r="J15009" s="33"/>
    </row>
    <row r="15010" spans="10:10" ht="15" customHeight="1" x14ac:dyDescent="0.3">
      <c r="J15010" s="33"/>
    </row>
    <row r="15011" spans="10:10" ht="15" customHeight="1" x14ac:dyDescent="0.3">
      <c r="J15011" s="33"/>
    </row>
    <row r="15012" spans="10:10" ht="15" customHeight="1" x14ac:dyDescent="0.3">
      <c r="J15012" s="33"/>
    </row>
    <row r="15013" spans="10:10" ht="15" customHeight="1" x14ac:dyDescent="0.3">
      <c r="J15013" s="33"/>
    </row>
    <row r="15014" spans="10:10" ht="15" customHeight="1" x14ac:dyDescent="0.3">
      <c r="J15014" s="33"/>
    </row>
    <row r="15015" spans="10:10" ht="15" customHeight="1" x14ac:dyDescent="0.3">
      <c r="J15015" s="33"/>
    </row>
    <row r="15016" spans="10:10" ht="15" customHeight="1" x14ac:dyDescent="0.3">
      <c r="J15016" s="33"/>
    </row>
    <row r="15017" spans="10:10" ht="15" customHeight="1" x14ac:dyDescent="0.3">
      <c r="J15017" s="33"/>
    </row>
    <row r="15018" spans="10:10" ht="15" customHeight="1" x14ac:dyDescent="0.3">
      <c r="J15018" s="33"/>
    </row>
    <row r="15019" spans="10:10" ht="15" customHeight="1" x14ac:dyDescent="0.3">
      <c r="J15019" s="33"/>
    </row>
    <row r="15020" spans="10:10" ht="15" customHeight="1" x14ac:dyDescent="0.3">
      <c r="J15020" s="33"/>
    </row>
    <row r="15021" spans="10:10" ht="15" customHeight="1" x14ac:dyDescent="0.3">
      <c r="J15021" s="33"/>
    </row>
    <row r="15022" spans="10:10" ht="15" customHeight="1" x14ac:dyDescent="0.3">
      <c r="J15022" s="33"/>
    </row>
    <row r="15023" spans="10:10" ht="15" customHeight="1" x14ac:dyDescent="0.3">
      <c r="J15023" s="33"/>
    </row>
    <row r="15024" spans="10:10" ht="15" customHeight="1" x14ac:dyDescent="0.3">
      <c r="J15024" s="33"/>
    </row>
    <row r="15025" spans="10:10" ht="15" customHeight="1" x14ac:dyDescent="0.3">
      <c r="J15025" s="33"/>
    </row>
    <row r="15026" spans="10:10" ht="15" customHeight="1" x14ac:dyDescent="0.3">
      <c r="J15026" s="33"/>
    </row>
    <row r="15027" spans="10:10" ht="15" customHeight="1" x14ac:dyDescent="0.3">
      <c r="J15027" s="33"/>
    </row>
    <row r="15028" spans="10:10" ht="15" customHeight="1" x14ac:dyDescent="0.3">
      <c r="J15028" s="33"/>
    </row>
    <row r="15029" spans="10:10" ht="15" customHeight="1" x14ac:dyDescent="0.3">
      <c r="J15029" s="33"/>
    </row>
    <row r="15030" spans="10:10" ht="15" customHeight="1" x14ac:dyDescent="0.3">
      <c r="J15030" s="33"/>
    </row>
    <row r="15031" spans="10:10" ht="15" customHeight="1" x14ac:dyDescent="0.3">
      <c r="J15031" s="33"/>
    </row>
    <row r="15032" spans="10:10" ht="15" customHeight="1" x14ac:dyDescent="0.3">
      <c r="J15032" s="33"/>
    </row>
    <row r="15033" spans="10:10" ht="15" customHeight="1" x14ac:dyDescent="0.3">
      <c r="J15033" s="33"/>
    </row>
    <row r="15034" spans="10:10" ht="15" customHeight="1" x14ac:dyDescent="0.3">
      <c r="J15034" s="33"/>
    </row>
    <row r="15035" spans="10:10" ht="15" customHeight="1" x14ac:dyDescent="0.3">
      <c r="J15035" s="33"/>
    </row>
    <row r="15036" spans="10:10" ht="15" customHeight="1" x14ac:dyDescent="0.3">
      <c r="J15036" s="33"/>
    </row>
    <row r="15037" spans="10:10" ht="15" customHeight="1" x14ac:dyDescent="0.3">
      <c r="J15037" s="33"/>
    </row>
    <row r="15038" spans="10:10" ht="15" customHeight="1" x14ac:dyDescent="0.3">
      <c r="J15038" s="33"/>
    </row>
    <row r="15039" spans="10:10" ht="15" customHeight="1" x14ac:dyDescent="0.3">
      <c r="J15039" s="33"/>
    </row>
    <row r="15040" spans="10:10" ht="15" customHeight="1" x14ac:dyDescent="0.3">
      <c r="J15040" s="33"/>
    </row>
    <row r="15041" spans="10:10" ht="15" customHeight="1" x14ac:dyDescent="0.3">
      <c r="J15041" s="33"/>
    </row>
    <row r="15042" spans="10:10" ht="15" customHeight="1" x14ac:dyDescent="0.3">
      <c r="J15042" s="33"/>
    </row>
    <row r="15043" spans="10:10" ht="15" customHeight="1" x14ac:dyDescent="0.3">
      <c r="J15043" s="33"/>
    </row>
    <row r="15044" spans="10:10" ht="15" customHeight="1" x14ac:dyDescent="0.3">
      <c r="J15044" s="33"/>
    </row>
    <row r="15045" spans="10:10" ht="15" customHeight="1" x14ac:dyDescent="0.3">
      <c r="J15045" s="33"/>
    </row>
    <row r="15046" spans="10:10" ht="15" customHeight="1" x14ac:dyDescent="0.3">
      <c r="J15046" s="33"/>
    </row>
    <row r="15047" spans="10:10" ht="15" customHeight="1" x14ac:dyDescent="0.3">
      <c r="J15047" s="33"/>
    </row>
    <row r="15048" spans="10:10" ht="15" customHeight="1" x14ac:dyDescent="0.3">
      <c r="J15048" s="33"/>
    </row>
    <row r="15049" spans="10:10" ht="15" customHeight="1" x14ac:dyDescent="0.3">
      <c r="J15049" s="33"/>
    </row>
    <row r="15050" spans="10:10" ht="15" customHeight="1" x14ac:dyDescent="0.3">
      <c r="J15050" s="33"/>
    </row>
    <row r="15051" spans="10:10" ht="15" customHeight="1" x14ac:dyDescent="0.3">
      <c r="J15051" s="33"/>
    </row>
    <row r="15052" spans="10:10" ht="15" customHeight="1" x14ac:dyDescent="0.3">
      <c r="J15052" s="33"/>
    </row>
    <row r="15053" spans="10:10" ht="15" customHeight="1" x14ac:dyDescent="0.3">
      <c r="J15053" s="33"/>
    </row>
    <row r="15054" spans="10:10" ht="15" customHeight="1" x14ac:dyDescent="0.3">
      <c r="J15054" s="33"/>
    </row>
    <row r="15055" spans="10:10" ht="15" customHeight="1" x14ac:dyDescent="0.3">
      <c r="J15055" s="33"/>
    </row>
    <row r="15056" spans="10:10" ht="15" customHeight="1" x14ac:dyDescent="0.3">
      <c r="J15056" s="33"/>
    </row>
    <row r="15057" spans="10:10" ht="15" customHeight="1" x14ac:dyDescent="0.3">
      <c r="J15057" s="33"/>
    </row>
    <row r="15058" spans="10:10" ht="15" customHeight="1" x14ac:dyDescent="0.3">
      <c r="J15058" s="33"/>
    </row>
    <row r="15059" spans="10:10" ht="15" customHeight="1" x14ac:dyDescent="0.3">
      <c r="J15059" s="33"/>
    </row>
    <row r="15060" spans="10:10" ht="15" customHeight="1" x14ac:dyDescent="0.3">
      <c r="J15060" s="33"/>
    </row>
    <row r="15061" spans="10:10" ht="15" customHeight="1" x14ac:dyDescent="0.3">
      <c r="J15061" s="33"/>
    </row>
    <row r="15062" spans="10:10" ht="15" customHeight="1" x14ac:dyDescent="0.3">
      <c r="J15062" s="33"/>
    </row>
    <row r="15063" spans="10:10" ht="15" customHeight="1" x14ac:dyDescent="0.3">
      <c r="J15063" s="33"/>
    </row>
    <row r="15064" spans="10:10" ht="15" customHeight="1" x14ac:dyDescent="0.3">
      <c r="J15064" s="33"/>
    </row>
    <row r="15065" spans="10:10" ht="15" customHeight="1" x14ac:dyDescent="0.3">
      <c r="J15065" s="33"/>
    </row>
    <row r="15066" spans="10:10" ht="15" customHeight="1" x14ac:dyDescent="0.3">
      <c r="J15066" s="33"/>
    </row>
    <row r="15067" spans="10:10" ht="15" customHeight="1" x14ac:dyDescent="0.3">
      <c r="J15067" s="33"/>
    </row>
    <row r="15068" spans="10:10" ht="15" customHeight="1" x14ac:dyDescent="0.3">
      <c r="J15068" s="33"/>
    </row>
    <row r="15069" spans="10:10" ht="15" customHeight="1" x14ac:dyDescent="0.3">
      <c r="J15069" s="33"/>
    </row>
    <row r="15070" spans="10:10" ht="15" customHeight="1" x14ac:dyDescent="0.3">
      <c r="J15070" s="33"/>
    </row>
    <row r="15071" spans="10:10" ht="15" customHeight="1" x14ac:dyDescent="0.3">
      <c r="J15071" s="33"/>
    </row>
    <row r="15072" spans="10:10" ht="15" customHeight="1" x14ac:dyDescent="0.3">
      <c r="J15072" s="33"/>
    </row>
    <row r="15073" spans="10:10" ht="15" customHeight="1" x14ac:dyDescent="0.3">
      <c r="J15073" s="33"/>
    </row>
    <row r="15074" spans="10:10" ht="15" customHeight="1" x14ac:dyDescent="0.3">
      <c r="J15074" s="33"/>
    </row>
    <row r="15075" spans="10:10" ht="15" customHeight="1" x14ac:dyDescent="0.3">
      <c r="J15075" s="33"/>
    </row>
    <row r="15076" spans="10:10" ht="15" customHeight="1" x14ac:dyDescent="0.3">
      <c r="J15076" s="33"/>
    </row>
    <row r="15077" spans="10:10" ht="15" customHeight="1" x14ac:dyDescent="0.3">
      <c r="J15077" s="33"/>
    </row>
    <row r="15078" spans="10:10" ht="15" customHeight="1" x14ac:dyDescent="0.3">
      <c r="J15078" s="33"/>
    </row>
    <row r="15079" spans="10:10" ht="15" customHeight="1" x14ac:dyDescent="0.3">
      <c r="J15079" s="33"/>
    </row>
    <row r="15080" spans="10:10" ht="15" customHeight="1" x14ac:dyDescent="0.3">
      <c r="J15080" s="33"/>
    </row>
    <row r="15081" spans="10:10" ht="15" customHeight="1" x14ac:dyDescent="0.3">
      <c r="J15081" s="33"/>
    </row>
    <row r="15082" spans="10:10" ht="15" customHeight="1" x14ac:dyDescent="0.3">
      <c r="J15082" s="33"/>
    </row>
    <row r="15083" spans="10:10" ht="15" customHeight="1" x14ac:dyDescent="0.3">
      <c r="J15083" s="33"/>
    </row>
    <row r="15084" spans="10:10" ht="15" customHeight="1" x14ac:dyDescent="0.3">
      <c r="J15084" s="33"/>
    </row>
    <row r="15085" spans="10:10" ht="15" customHeight="1" x14ac:dyDescent="0.3">
      <c r="J15085" s="33"/>
    </row>
    <row r="15086" spans="10:10" ht="15" customHeight="1" x14ac:dyDescent="0.3">
      <c r="J15086" s="33"/>
    </row>
    <row r="15087" spans="10:10" ht="15" customHeight="1" x14ac:dyDescent="0.3">
      <c r="J15087" s="33"/>
    </row>
    <row r="15088" spans="10:10" ht="15" customHeight="1" x14ac:dyDescent="0.3">
      <c r="J15088" s="33"/>
    </row>
    <row r="15089" spans="10:10" ht="15" customHeight="1" x14ac:dyDescent="0.3">
      <c r="J15089" s="33"/>
    </row>
    <row r="15090" spans="10:10" ht="15" customHeight="1" x14ac:dyDescent="0.3">
      <c r="J15090" s="33"/>
    </row>
    <row r="15091" spans="10:10" ht="15" customHeight="1" x14ac:dyDescent="0.3">
      <c r="J15091" s="33"/>
    </row>
    <row r="15092" spans="10:10" ht="15" customHeight="1" x14ac:dyDescent="0.3">
      <c r="J15092" s="33"/>
    </row>
    <row r="15093" spans="10:10" ht="15" customHeight="1" x14ac:dyDescent="0.3">
      <c r="J15093" s="33"/>
    </row>
    <row r="15094" spans="10:10" ht="15" customHeight="1" x14ac:dyDescent="0.3">
      <c r="J15094" s="33"/>
    </row>
    <row r="15095" spans="10:10" ht="15" customHeight="1" x14ac:dyDescent="0.3">
      <c r="J15095" s="33"/>
    </row>
    <row r="15096" spans="10:10" ht="15" customHeight="1" x14ac:dyDescent="0.3">
      <c r="J15096" s="33"/>
    </row>
    <row r="15097" spans="10:10" ht="15" customHeight="1" x14ac:dyDescent="0.3">
      <c r="J15097" s="33"/>
    </row>
    <row r="15098" spans="10:10" ht="15" customHeight="1" x14ac:dyDescent="0.3">
      <c r="J15098" s="33"/>
    </row>
    <row r="15099" spans="10:10" ht="15" customHeight="1" x14ac:dyDescent="0.3">
      <c r="J15099" s="33"/>
    </row>
    <row r="15100" spans="10:10" ht="15" customHeight="1" x14ac:dyDescent="0.3">
      <c r="J15100" s="33"/>
    </row>
    <row r="15101" spans="10:10" ht="15" customHeight="1" x14ac:dyDescent="0.3">
      <c r="J15101" s="33"/>
    </row>
    <row r="15102" spans="10:10" ht="15" customHeight="1" x14ac:dyDescent="0.3">
      <c r="J15102" s="33"/>
    </row>
    <row r="15103" spans="10:10" ht="15" customHeight="1" x14ac:dyDescent="0.3">
      <c r="J15103" s="33"/>
    </row>
    <row r="15104" spans="10:10" ht="15" customHeight="1" x14ac:dyDescent="0.3">
      <c r="J15104" s="33"/>
    </row>
    <row r="15105" spans="10:10" ht="15" customHeight="1" x14ac:dyDescent="0.3">
      <c r="J15105" s="33"/>
    </row>
    <row r="15106" spans="10:10" ht="15" customHeight="1" x14ac:dyDescent="0.3">
      <c r="J15106" s="33"/>
    </row>
    <row r="15107" spans="10:10" ht="15" customHeight="1" x14ac:dyDescent="0.3">
      <c r="J15107" s="33"/>
    </row>
    <row r="15108" spans="10:10" ht="15" customHeight="1" x14ac:dyDescent="0.3">
      <c r="J15108" s="33"/>
    </row>
    <row r="15109" spans="10:10" ht="15" customHeight="1" x14ac:dyDescent="0.3">
      <c r="J15109" s="33"/>
    </row>
    <row r="15110" spans="10:10" ht="15" customHeight="1" x14ac:dyDescent="0.3">
      <c r="J15110" s="33"/>
    </row>
    <row r="15111" spans="10:10" ht="15" customHeight="1" x14ac:dyDescent="0.3">
      <c r="J15111" s="33"/>
    </row>
    <row r="15112" spans="10:10" ht="15" customHeight="1" x14ac:dyDescent="0.3">
      <c r="J15112" s="33"/>
    </row>
    <row r="15113" spans="10:10" ht="15" customHeight="1" x14ac:dyDescent="0.3">
      <c r="J15113" s="33"/>
    </row>
    <row r="15114" spans="10:10" ht="15" customHeight="1" x14ac:dyDescent="0.3">
      <c r="J15114" s="33"/>
    </row>
    <row r="15115" spans="10:10" ht="15" customHeight="1" x14ac:dyDescent="0.3">
      <c r="J15115" s="33"/>
    </row>
    <row r="15116" spans="10:10" ht="15" customHeight="1" x14ac:dyDescent="0.3">
      <c r="J15116" s="33"/>
    </row>
    <row r="15117" spans="10:10" ht="15" customHeight="1" x14ac:dyDescent="0.3">
      <c r="J15117" s="33"/>
    </row>
    <row r="15118" spans="10:10" ht="15" customHeight="1" x14ac:dyDescent="0.3">
      <c r="J15118" s="33"/>
    </row>
    <row r="15119" spans="10:10" ht="15" customHeight="1" x14ac:dyDescent="0.3">
      <c r="J15119" s="33"/>
    </row>
    <row r="15120" spans="10:10" ht="15" customHeight="1" x14ac:dyDescent="0.3">
      <c r="J15120" s="33"/>
    </row>
    <row r="15121" spans="10:10" ht="15" customHeight="1" x14ac:dyDescent="0.3">
      <c r="J15121" s="33"/>
    </row>
    <row r="15122" spans="10:10" ht="15" customHeight="1" x14ac:dyDescent="0.3">
      <c r="J15122" s="33"/>
    </row>
    <row r="15123" spans="10:10" ht="15" customHeight="1" x14ac:dyDescent="0.3">
      <c r="J15123" s="33"/>
    </row>
    <row r="15124" spans="10:10" ht="15" customHeight="1" x14ac:dyDescent="0.3">
      <c r="J15124" s="33"/>
    </row>
    <row r="15125" spans="10:10" ht="15" customHeight="1" x14ac:dyDescent="0.3">
      <c r="J15125" s="33"/>
    </row>
    <row r="15126" spans="10:10" ht="15" customHeight="1" x14ac:dyDescent="0.3">
      <c r="J15126" s="33"/>
    </row>
    <row r="15127" spans="10:10" ht="15" customHeight="1" x14ac:dyDescent="0.3">
      <c r="J15127" s="33"/>
    </row>
    <row r="15128" spans="10:10" ht="15" customHeight="1" x14ac:dyDescent="0.3">
      <c r="J15128" s="33"/>
    </row>
    <row r="15129" spans="10:10" ht="15" customHeight="1" x14ac:dyDescent="0.3">
      <c r="J15129" s="33"/>
    </row>
    <row r="15130" spans="10:10" ht="15" customHeight="1" x14ac:dyDescent="0.3">
      <c r="J15130" s="33"/>
    </row>
    <row r="15131" spans="10:10" ht="15" customHeight="1" x14ac:dyDescent="0.3">
      <c r="J15131" s="33"/>
    </row>
    <row r="15132" spans="10:10" ht="15" customHeight="1" x14ac:dyDescent="0.3">
      <c r="J15132" s="33"/>
    </row>
    <row r="15133" spans="10:10" ht="15" customHeight="1" x14ac:dyDescent="0.3">
      <c r="J15133" s="33"/>
    </row>
    <row r="15134" spans="10:10" ht="15" customHeight="1" x14ac:dyDescent="0.3">
      <c r="J15134" s="33"/>
    </row>
    <row r="15135" spans="10:10" ht="15" customHeight="1" x14ac:dyDescent="0.3">
      <c r="J15135" s="33"/>
    </row>
    <row r="15136" spans="10:10" ht="15" customHeight="1" x14ac:dyDescent="0.3">
      <c r="J15136" s="33"/>
    </row>
    <row r="15137" spans="10:10" ht="15" customHeight="1" x14ac:dyDescent="0.3">
      <c r="J15137" s="33"/>
    </row>
    <row r="15138" spans="10:10" ht="15" customHeight="1" x14ac:dyDescent="0.3">
      <c r="J15138" s="33"/>
    </row>
    <row r="15139" spans="10:10" ht="15" customHeight="1" x14ac:dyDescent="0.3">
      <c r="J15139" s="33"/>
    </row>
    <row r="15140" spans="10:10" ht="15" customHeight="1" x14ac:dyDescent="0.3">
      <c r="J15140" s="33"/>
    </row>
    <row r="15141" spans="10:10" ht="15" customHeight="1" x14ac:dyDescent="0.3">
      <c r="J15141" s="33"/>
    </row>
    <row r="15142" spans="10:10" ht="15" customHeight="1" x14ac:dyDescent="0.3">
      <c r="J15142" s="33"/>
    </row>
    <row r="15143" spans="10:10" ht="15" customHeight="1" x14ac:dyDescent="0.3">
      <c r="J15143" s="33"/>
    </row>
    <row r="15144" spans="10:10" ht="15" customHeight="1" x14ac:dyDescent="0.3">
      <c r="J15144" s="33"/>
    </row>
    <row r="15145" spans="10:10" ht="15" customHeight="1" x14ac:dyDescent="0.3">
      <c r="J15145" s="33"/>
    </row>
    <row r="15146" spans="10:10" ht="15" customHeight="1" x14ac:dyDescent="0.3">
      <c r="J15146" s="33"/>
    </row>
    <row r="15147" spans="10:10" ht="15" customHeight="1" x14ac:dyDescent="0.3">
      <c r="J15147" s="33"/>
    </row>
    <row r="15148" spans="10:10" ht="15" customHeight="1" x14ac:dyDescent="0.3">
      <c r="J15148" s="33"/>
    </row>
    <row r="15149" spans="10:10" ht="15" customHeight="1" x14ac:dyDescent="0.3">
      <c r="J15149" s="33"/>
    </row>
    <row r="15150" spans="10:10" ht="15" customHeight="1" x14ac:dyDescent="0.3">
      <c r="J15150" s="33"/>
    </row>
    <row r="15151" spans="10:10" ht="15" customHeight="1" x14ac:dyDescent="0.3">
      <c r="J15151" s="33"/>
    </row>
    <row r="15152" spans="10:10" ht="15" customHeight="1" x14ac:dyDescent="0.3">
      <c r="J15152" s="33"/>
    </row>
    <row r="15153" spans="10:10" ht="15" customHeight="1" x14ac:dyDescent="0.3">
      <c r="J15153" s="33"/>
    </row>
    <row r="15154" spans="10:10" ht="15" customHeight="1" x14ac:dyDescent="0.3">
      <c r="J15154" s="33"/>
    </row>
    <row r="15155" spans="10:10" ht="15" customHeight="1" x14ac:dyDescent="0.3">
      <c r="J15155" s="33"/>
    </row>
    <row r="15156" spans="10:10" ht="15" customHeight="1" x14ac:dyDescent="0.3">
      <c r="J15156" s="33"/>
    </row>
    <row r="15157" spans="10:10" ht="15" customHeight="1" x14ac:dyDescent="0.3">
      <c r="J15157" s="33"/>
    </row>
    <row r="15158" spans="10:10" ht="15" customHeight="1" x14ac:dyDescent="0.3">
      <c r="J15158" s="33"/>
    </row>
    <row r="15159" spans="10:10" ht="15" customHeight="1" x14ac:dyDescent="0.3">
      <c r="J15159" s="33"/>
    </row>
    <row r="15160" spans="10:10" ht="15" customHeight="1" x14ac:dyDescent="0.3">
      <c r="J15160" s="33"/>
    </row>
    <row r="15161" spans="10:10" ht="15" customHeight="1" x14ac:dyDescent="0.3">
      <c r="J15161" s="33"/>
    </row>
    <row r="15162" spans="10:10" ht="15" customHeight="1" x14ac:dyDescent="0.3">
      <c r="J15162" s="33"/>
    </row>
    <row r="15163" spans="10:10" ht="15" customHeight="1" x14ac:dyDescent="0.3">
      <c r="J15163" s="33"/>
    </row>
    <row r="15164" spans="10:10" ht="15" customHeight="1" x14ac:dyDescent="0.3">
      <c r="J15164" s="33"/>
    </row>
    <row r="15165" spans="10:10" ht="15" customHeight="1" x14ac:dyDescent="0.3">
      <c r="J15165" s="33"/>
    </row>
    <row r="15166" spans="10:10" ht="15" customHeight="1" x14ac:dyDescent="0.3">
      <c r="J15166" s="33"/>
    </row>
    <row r="15167" spans="10:10" ht="15" customHeight="1" x14ac:dyDescent="0.3">
      <c r="J15167" s="33"/>
    </row>
    <row r="15168" spans="10:10" ht="15" customHeight="1" x14ac:dyDescent="0.3">
      <c r="J15168" s="33"/>
    </row>
    <row r="15169" spans="10:10" ht="15" customHeight="1" x14ac:dyDescent="0.3">
      <c r="J15169" s="33"/>
    </row>
    <row r="15170" spans="10:10" ht="15" customHeight="1" x14ac:dyDescent="0.3">
      <c r="J15170" s="33"/>
    </row>
    <row r="15171" spans="10:10" ht="15" customHeight="1" x14ac:dyDescent="0.3">
      <c r="J15171" s="33"/>
    </row>
    <row r="15172" spans="10:10" ht="15" customHeight="1" x14ac:dyDescent="0.3">
      <c r="J15172" s="33"/>
    </row>
    <row r="15173" spans="10:10" ht="15" customHeight="1" x14ac:dyDescent="0.3">
      <c r="J15173" s="33"/>
    </row>
    <row r="15174" spans="10:10" ht="15" customHeight="1" x14ac:dyDescent="0.3">
      <c r="J15174" s="33"/>
    </row>
    <row r="15175" spans="10:10" ht="15" customHeight="1" x14ac:dyDescent="0.3">
      <c r="J15175" s="33"/>
    </row>
    <row r="15176" spans="10:10" ht="15" customHeight="1" x14ac:dyDescent="0.3">
      <c r="J15176" s="33"/>
    </row>
    <row r="15177" spans="10:10" ht="15" customHeight="1" x14ac:dyDescent="0.3">
      <c r="J15177" s="33"/>
    </row>
    <row r="15178" spans="10:10" ht="15" customHeight="1" x14ac:dyDescent="0.3">
      <c r="J15178" s="33"/>
    </row>
    <row r="15179" spans="10:10" ht="15" customHeight="1" x14ac:dyDescent="0.3">
      <c r="J15179" s="33"/>
    </row>
    <row r="15180" spans="10:10" ht="15" customHeight="1" x14ac:dyDescent="0.3">
      <c r="J15180" s="33"/>
    </row>
    <row r="15181" spans="10:10" ht="15" customHeight="1" x14ac:dyDescent="0.3">
      <c r="J15181" s="33"/>
    </row>
    <row r="15182" spans="10:10" ht="15" customHeight="1" x14ac:dyDescent="0.3">
      <c r="J15182" s="33"/>
    </row>
    <row r="15183" spans="10:10" ht="15" customHeight="1" x14ac:dyDescent="0.3">
      <c r="J15183" s="33"/>
    </row>
    <row r="15184" spans="10:10" ht="15" customHeight="1" x14ac:dyDescent="0.3">
      <c r="J15184" s="33"/>
    </row>
    <row r="15185" spans="10:10" ht="15" customHeight="1" x14ac:dyDescent="0.3">
      <c r="J15185" s="33"/>
    </row>
    <row r="15186" spans="10:10" ht="15" customHeight="1" x14ac:dyDescent="0.3">
      <c r="J15186" s="33"/>
    </row>
    <row r="15187" spans="10:10" ht="15" customHeight="1" x14ac:dyDescent="0.3">
      <c r="J15187" s="33"/>
    </row>
    <row r="15188" spans="10:10" ht="15" customHeight="1" x14ac:dyDescent="0.3">
      <c r="J15188" s="33"/>
    </row>
    <row r="15189" spans="10:10" ht="15" customHeight="1" x14ac:dyDescent="0.3">
      <c r="J15189" s="33"/>
    </row>
    <row r="15190" spans="10:10" ht="15" customHeight="1" x14ac:dyDescent="0.3">
      <c r="J15190" s="33"/>
    </row>
    <row r="15191" spans="10:10" ht="15" customHeight="1" x14ac:dyDescent="0.3">
      <c r="J15191" s="33"/>
    </row>
    <row r="15192" spans="10:10" ht="15" customHeight="1" x14ac:dyDescent="0.3">
      <c r="J15192" s="33"/>
    </row>
    <row r="15193" spans="10:10" ht="15" customHeight="1" x14ac:dyDescent="0.3">
      <c r="J15193" s="33"/>
    </row>
    <row r="15194" spans="10:10" ht="15" customHeight="1" x14ac:dyDescent="0.3">
      <c r="J15194" s="33"/>
    </row>
    <row r="15195" spans="10:10" ht="15" customHeight="1" x14ac:dyDescent="0.3">
      <c r="J15195" s="33"/>
    </row>
    <row r="15196" spans="10:10" ht="15" customHeight="1" x14ac:dyDescent="0.3">
      <c r="J15196" s="33"/>
    </row>
    <row r="15197" spans="10:10" ht="15" customHeight="1" x14ac:dyDescent="0.3">
      <c r="J15197" s="33"/>
    </row>
    <row r="15198" spans="10:10" ht="15" customHeight="1" x14ac:dyDescent="0.3">
      <c r="J15198" s="33"/>
    </row>
    <row r="15199" spans="10:10" ht="15" customHeight="1" x14ac:dyDescent="0.3">
      <c r="J15199" s="33"/>
    </row>
    <row r="15200" spans="10:10" ht="15" customHeight="1" x14ac:dyDescent="0.3">
      <c r="J15200" s="33"/>
    </row>
    <row r="15201" spans="10:10" ht="15" customHeight="1" x14ac:dyDescent="0.3">
      <c r="J15201" s="33"/>
    </row>
    <row r="15202" spans="10:10" ht="15" customHeight="1" x14ac:dyDescent="0.3">
      <c r="J15202" s="33"/>
    </row>
    <row r="15203" spans="10:10" ht="15" customHeight="1" x14ac:dyDescent="0.3">
      <c r="J15203" s="33"/>
    </row>
    <row r="15204" spans="10:10" ht="15" customHeight="1" x14ac:dyDescent="0.3">
      <c r="J15204" s="33"/>
    </row>
    <row r="15205" spans="10:10" ht="15" customHeight="1" x14ac:dyDescent="0.3">
      <c r="J15205" s="33"/>
    </row>
    <row r="15206" spans="10:10" ht="15" customHeight="1" x14ac:dyDescent="0.3">
      <c r="J15206" s="33"/>
    </row>
    <row r="15207" spans="10:10" ht="15" customHeight="1" x14ac:dyDescent="0.3">
      <c r="J15207" s="33"/>
    </row>
    <row r="15208" spans="10:10" ht="15" customHeight="1" x14ac:dyDescent="0.3">
      <c r="J15208" s="33"/>
    </row>
    <row r="15209" spans="10:10" ht="15" customHeight="1" x14ac:dyDescent="0.3">
      <c r="J15209" s="33"/>
    </row>
    <row r="15210" spans="10:10" ht="15" customHeight="1" x14ac:dyDescent="0.3">
      <c r="J15210" s="33"/>
    </row>
    <row r="15211" spans="10:10" ht="15" customHeight="1" x14ac:dyDescent="0.3">
      <c r="J15211" s="33"/>
    </row>
    <row r="15212" spans="10:10" ht="15" customHeight="1" x14ac:dyDescent="0.3">
      <c r="J15212" s="33"/>
    </row>
    <row r="15213" spans="10:10" ht="15" customHeight="1" x14ac:dyDescent="0.3">
      <c r="J15213" s="33"/>
    </row>
    <row r="15214" spans="10:10" ht="15" customHeight="1" x14ac:dyDescent="0.3">
      <c r="J15214" s="33"/>
    </row>
    <row r="15215" spans="10:10" ht="15" customHeight="1" x14ac:dyDescent="0.3">
      <c r="J15215" s="33"/>
    </row>
    <row r="15216" spans="10:10" ht="15" customHeight="1" x14ac:dyDescent="0.3">
      <c r="J15216" s="33"/>
    </row>
    <row r="15217" spans="10:10" ht="15" customHeight="1" x14ac:dyDescent="0.3">
      <c r="J15217" s="33"/>
    </row>
    <row r="15218" spans="10:10" ht="15" customHeight="1" x14ac:dyDescent="0.3">
      <c r="J15218" s="33"/>
    </row>
    <row r="15219" spans="10:10" ht="15" customHeight="1" x14ac:dyDescent="0.3">
      <c r="J15219" s="33"/>
    </row>
    <row r="15220" spans="10:10" ht="15" customHeight="1" x14ac:dyDescent="0.3">
      <c r="J15220" s="33"/>
    </row>
    <row r="15221" spans="10:10" ht="15" customHeight="1" x14ac:dyDescent="0.3">
      <c r="J15221" s="33"/>
    </row>
    <row r="15222" spans="10:10" ht="15" customHeight="1" x14ac:dyDescent="0.3">
      <c r="J15222" s="33"/>
    </row>
    <row r="15223" spans="10:10" ht="15" customHeight="1" x14ac:dyDescent="0.3">
      <c r="J15223" s="33"/>
    </row>
    <row r="15224" spans="10:10" ht="15" customHeight="1" x14ac:dyDescent="0.3">
      <c r="J15224" s="33"/>
    </row>
    <row r="15225" spans="10:10" ht="15" customHeight="1" x14ac:dyDescent="0.3">
      <c r="J15225" s="33"/>
    </row>
    <row r="15226" spans="10:10" ht="15" customHeight="1" x14ac:dyDescent="0.3">
      <c r="J15226" s="33"/>
    </row>
    <row r="15227" spans="10:10" ht="15" customHeight="1" x14ac:dyDescent="0.3">
      <c r="J15227" s="33"/>
    </row>
    <row r="15228" spans="10:10" ht="15" customHeight="1" x14ac:dyDescent="0.3">
      <c r="J15228" s="33"/>
    </row>
    <row r="15229" spans="10:10" ht="15" customHeight="1" x14ac:dyDescent="0.3">
      <c r="J15229" s="33"/>
    </row>
    <row r="15230" spans="10:10" ht="15" customHeight="1" x14ac:dyDescent="0.3">
      <c r="J15230" s="33"/>
    </row>
    <row r="15231" spans="10:10" ht="15" customHeight="1" x14ac:dyDescent="0.3">
      <c r="J15231" s="33"/>
    </row>
    <row r="15232" spans="10:10" ht="15" customHeight="1" x14ac:dyDescent="0.3">
      <c r="J15232" s="33"/>
    </row>
    <row r="15233" spans="10:10" ht="15" customHeight="1" x14ac:dyDescent="0.3">
      <c r="J15233" s="33"/>
    </row>
    <row r="15234" spans="10:10" ht="15" customHeight="1" x14ac:dyDescent="0.3">
      <c r="J15234" s="33"/>
    </row>
    <row r="15235" spans="10:10" ht="15" customHeight="1" x14ac:dyDescent="0.3">
      <c r="J15235" s="33"/>
    </row>
    <row r="15236" spans="10:10" ht="15" customHeight="1" x14ac:dyDescent="0.3">
      <c r="J15236" s="33"/>
    </row>
    <row r="15237" spans="10:10" ht="15" customHeight="1" x14ac:dyDescent="0.3">
      <c r="J15237" s="33"/>
    </row>
    <row r="15238" spans="10:10" ht="15" customHeight="1" x14ac:dyDescent="0.3">
      <c r="J15238" s="33"/>
    </row>
    <row r="15239" spans="10:10" ht="15" customHeight="1" x14ac:dyDescent="0.3">
      <c r="J15239" s="33"/>
    </row>
    <row r="15240" spans="10:10" ht="15" customHeight="1" x14ac:dyDescent="0.3">
      <c r="J15240" s="33"/>
    </row>
    <row r="15241" spans="10:10" ht="15" customHeight="1" x14ac:dyDescent="0.3">
      <c r="J15241" s="33"/>
    </row>
    <row r="15242" spans="10:10" ht="15" customHeight="1" x14ac:dyDescent="0.3">
      <c r="J15242" s="33"/>
    </row>
    <row r="15243" spans="10:10" ht="15" customHeight="1" x14ac:dyDescent="0.3">
      <c r="J15243" s="33"/>
    </row>
    <row r="15244" spans="10:10" ht="15" customHeight="1" x14ac:dyDescent="0.3">
      <c r="J15244" s="33"/>
    </row>
    <row r="15245" spans="10:10" ht="15" customHeight="1" x14ac:dyDescent="0.3">
      <c r="J15245" s="33"/>
    </row>
    <row r="15246" spans="10:10" ht="15" customHeight="1" x14ac:dyDescent="0.3">
      <c r="J15246" s="33"/>
    </row>
    <row r="15247" spans="10:10" ht="15" customHeight="1" x14ac:dyDescent="0.3">
      <c r="J15247" s="33"/>
    </row>
    <row r="15248" spans="10:10" ht="15" customHeight="1" x14ac:dyDescent="0.3">
      <c r="J15248" s="33"/>
    </row>
    <row r="15249" spans="10:10" ht="15" customHeight="1" x14ac:dyDescent="0.3">
      <c r="J15249" s="33"/>
    </row>
    <row r="15250" spans="10:10" ht="15" customHeight="1" x14ac:dyDescent="0.3">
      <c r="J15250" s="33"/>
    </row>
    <row r="15251" spans="10:10" ht="15" customHeight="1" x14ac:dyDescent="0.3">
      <c r="J15251" s="33"/>
    </row>
    <row r="15252" spans="10:10" ht="15" customHeight="1" x14ac:dyDescent="0.3">
      <c r="J15252" s="33"/>
    </row>
    <row r="15253" spans="10:10" ht="15" customHeight="1" x14ac:dyDescent="0.3">
      <c r="J15253" s="33"/>
    </row>
    <row r="15254" spans="10:10" ht="15" customHeight="1" x14ac:dyDescent="0.3">
      <c r="J15254" s="33"/>
    </row>
    <row r="15255" spans="10:10" ht="15" customHeight="1" x14ac:dyDescent="0.3">
      <c r="J15255" s="33"/>
    </row>
    <row r="15256" spans="10:10" ht="15" customHeight="1" x14ac:dyDescent="0.3">
      <c r="J15256" s="33"/>
    </row>
    <row r="15257" spans="10:10" ht="15" customHeight="1" x14ac:dyDescent="0.3">
      <c r="J15257" s="33"/>
    </row>
    <row r="15258" spans="10:10" ht="15" customHeight="1" x14ac:dyDescent="0.3">
      <c r="J15258" s="33"/>
    </row>
    <row r="15259" spans="10:10" ht="15" customHeight="1" x14ac:dyDescent="0.3">
      <c r="J15259" s="33"/>
    </row>
    <row r="15260" spans="10:10" ht="15" customHeight="1" x14ac:dyDescent="0.3">
      <c r="J15260" s="33"/>
    </row>
    <row r="15261" spans="10:10" ht="15" customHeight="1" x14ac:dyDescent="0.3">
      <c r="J15261" s="33"/>
    </row>
    <row r="15262" spans="10:10" ht="15" customHeight="1" x14ac:dyDescent="0.3">
      <c r="J15262" s="33"/>
    </row>
    <row r="15263" spans="10:10" ht="15" customHeight="1" x14ac:dyDescent="0.3">
      <c r="J15263" s="33"/>
    </row>
    <row r="15264" spans="10:10" ht="15" customHeight="1" x14ac:dyDescent="0.3">
      <c r="J15264" s="33"/>
    </row>
    <row r="15265" spans="10:10" ht="15" customHeight="1" x14ac:dyDescent="0.3">
      <c r="J15265" s="33"/>
    </row>
    <row r="15266" spans="10:10" ht="15" customHeight="1" x14ac:dyDescent="0.3">
      <c r="J15266" s="33"/>
    </row>
    <row r="15267" spans="10:10" ht="15" customHeight="1" x14ac:dyDescent="0.3">
      <c r="J15267" s="33"/>
    </row>
    <row r="15268" spans="10:10" ht="15" customHeight="1" x14ac:dyDescent="0.3">
      <c r="J15268" s="33"/>
    </row>
    <row r="15269" spans="10:10" ht="15" customHeight="1" x14ac:dyDescent="0.3">
      <c r="J15269" s="33"/>
    </row>
    <row r="15270" spans="10:10" ht="15" customHeight="1" x14ac:dyDescent="0.3">
      <c r="J15270" s="33"/>
    </row>
    <row r="15271" spans="10:10" ht="15" customHeight="1" x14ac:dyDescent="0.3">
      <c r="J15271" s="33"/>
    </row>
    <row r="15272" spans="10:10" ht="15" customHeight="1" x14ac:dyDescent="0.3">
      <c r="J15272" s="33"/>
    </row>
    <row r="15273" spans="10:10" ht="15" customHeight="1" x14ac:dyDescent="0.3">
      <c r="J15273" s="33"/>
    </row>
    <row r="15274" spans="10:10" ht="15" customHeight="1" x14ac:dyDescent="0.3">
      <c r="J15274" s="33"/>
    </row>
    <row r="15275" spans="10:10" ht="15" customHeight="1" x14ac:dyDescent="0.3">
      <c r="J15275" s="33"/>
    </row>
    <row r="15276" spans="10:10" ht="15" customHeight="1" x14ac:dyDescent="0.3">
      <c r="J15276" s="33"/>
    </row>
    <row r="15277" spans="10:10" ht="15" customHeight="1" x14ac:dyDescent="0.3">
      <c r="J15277" s="33"/>
    </row>
    <row r="15278" spans="10:10" ht="15" customHeight="1" x14ac:dyDescent="0.3">
      <c r="J15278" s="33"/>
    </row>
    <row r="15279" spans="10:10" ht="15" customHeight="1" x14ac:dyDescent="0.3">
      <c r="J15279" s="33"/>
    </row>
    <row r="15280" spans="10:10" ht="15" customHeight="1" x14ac:dyDescent="0.3">
      <c r="J15280" s="33"/>
    </row>
    <row r="15281" spans="10:10" ht="15" customHeight="1" x14ac:dyDescent="0.3">
      <c r="J15281" s="33"/>
    </row>
    <row r="15282" spans="10:10" ht="15" customHeight="1" x14ac:dyDescent="0.3">
      <c r="J15282" s="33"/>
    </row>
    <row r="15283" spans="10:10" ht="15" customHeight="1" x14ac:dyDescent="0.3">
      <c r="J15283" s="33"/>
    </row>
    <row r="15284" spans="10:10" ht="15" customHeight="1" x14ac:dyDescent="0.3">
      <c r="J15284" s="33"/>
    </row>
    <row r="15285" spans="10:10" ht="15" customHeight="1" x14ac:dyDescent="0.3">
      <c r="J15285" s="33"/>
    </row>
    <row r="15286" spans="10:10" ht="15" customHeight="1" x14ac:dyDescent="0.3">
      <c r="J15286" s="33"/>
    </row>
    <row r="15287" spans="10:10" ht="15" customHeight="1" x14ac:dyDescent="0.3">
      <c r="J15287" s="33"/>
    </row>
    <row r="15288" spans="10:10" ht="15" customHeight="1" x14ac:dyDescent="0.3">
      <c r="J15288" s="33"/>
    </row>
    <row r="15289" spans="10:10" ht="15" customHeight="1" x14ac:dyDescent="0.3">
      <c r="J15289" s="33"/>
    </row>
    <row r="15290" spans="10:10" ht="15" customHeight="1" x14ac:dyDescent="0.3">
      <c r="J15290" s="33"/>
    </row>
    <row r="15291" spans="10:10" ht="15" customHeight="1" x14ac:dyDescent="0.3">
      <c r="J15291" s="33"/>
    </row>
    <row r="15292" spans="10:10" ht="15" customHeight="1" x14ac:dyDescent="0.3">
      <c r="J15292" s="33"/>
    </row>
    <row r="15293" spans="10:10" ht="15" customHeight="1" x14ac:dyDescent="0.3">
      <c r="J15293" s="33"/>
    </row>
    <row r="15294" spans="10:10" ht="15" customHeight="1" x14ac:dyDescent="0.3">
      <c r="J15294" s="33"/>
    </row>
    <row r="15295" spans="10:10" ht="15" customHeight="1" x14ac:dyDescent="0.3">
      <c r="J15295" s="33"/>
    </row>
    <row r="15296" spans="10:10" ht="15" customHeight="1" x14ac:dyDescent="0.3">
      <c r="J15296" s="33"/>
    </row>
    <row r="15297" spans="10:10" ht="15" customHeight="1" x14ac:dyDescent="0.3">
      <c r="J15297" s="33"/>
    </row>
    <row r="15298" spans="10:10" ht="15" customHeight="1" x14ac:dyDescent="0.3">
      <c r="J15298" s="33"/>
    </row>
    <row r="15299" spans="10:10" ht="15" customHeight="1" x14ac:dyDescent="0.3">
      <c r="J15299" s="33"/>
    </row>
    <row r="15300" spans="10:10" ht="15" customHeight="1" x14ac:dyDescent="0.3">
      <c r="J15300" s="33"/>
    </row>
    <row r="15301" spans="10:10" ht="15" customHeight="1" x14ac:dyDescent="0.3">
      <c r="J15301" s="33"/>
    </row>
    <row r="15302" spans="10:10" ht="15" customHeight="1" x14ac:dyDescent="0.3">
      <c r="J15302" s="33"/>
    </row>
    <row r="15303" spans="10:10" ht="15" customHeight="1" x14ac:dyDescent="0.3">
      <c r="J15303" s="33"/>
    </row>
    <row r="15304" spans="10:10" ht="15" customHeight="1" x14ac:dyDescent="0.3">
      <c r="J15304" s="33"/>
    </row>
    <row r="15305" spans="10:10" ht="15" customHeight="1" x14ac:dyDescent="0.3">
      <c r="J15305" s="33"/>
    </row>
    <row r="15306" spans="10:10" ht="15" customHeight="1" x14ac:dyDescent="0.3">
      <c r="J15306" s="33"/>
    </row>
    <row r="15307" spans="10:10" ht="15" customHeight="1" x14ac:dyDescent="0.3">
      <c r="J15307" s="33"/>
    </row>
    <row r="15308" spans="10:10" ht="15" customHeight="1" x14ac:dyDescent="0.3">
      <c r="J15308" s="33"/>
    </row>
    <row r="15309" spans="10:10" ht="15" customHeight="1" x14ac:dyDescent="0.3">
      <c r="J15309" s="33"/>
    </row>
    <row r="15310" spans="10:10" ht="15" customHeight="1" x14ac:dyDescent="0.3">
      <c r="J15310" s="33"/>
    </row>
    <row r="15311" spans="10:10" ht="15" customHeight="1" x14ac:dyDescent="0.3">
      <c r="J15311" s="33"/>
    </row>
    <row r="15312" spans="10:10" ht="15" customHeight="1" x14ac:dyDescent="0.3">
      <c r="J15312" s="33"/>
    </row>
    <row r="15313" spans="10:10" ht="15" customHeight="1" x14ac:dyDescent="0.3">
      <c r="J15313" s="33"/>
    </row>
    <row r="15314" spans="10:10" ht="15" customHeight="1" x14ac:dyDescent="0.3">
      <c r="J15314" s="33"/>
    </row>
    <row r="15315" spans="10:10" ht="15" customHeight="1" x14ac:dyDescent="0.3">
      <c r="J15315" s="33"/>
    </row>
    <row r="15316" spans="10:10" ht="15" customHeight="1" x14ac:dyDescent="0.3">
      <c r="J15316" s="33"/>
    </row>
    <row r="15317" spans="10:10" ht="15" customHeight="1" x14ac:dyDescent="0.3">
      <c r="J15317" s="33"/>
    </row>
    <row r="15318" spans="10:10" ht="15" customHeight="1" x14ac:dyDescent="0.3">
      <c r="J15318" s="33"/>
    </row>
    <row r="15319" spans="10:10" ht="15" customHeight="1" x14ac:dyDescent="0.3">
      <c r="J15319" s="33"/>
    </row>
    <row r="15320" spans="10:10" ht="15" customHeight="1" x14ac:dyDescent="0.3">
      <c r="J15320" s="33"/>
    </row>
    <row r="15321" spans="10:10" ht="15" customHeight="1" x14ac:dyDescent="0.3">
      <c r="J15321" s="33"/>
    </row>
    <row r="15322" spans="10:10" ht="15" customHeight="1" x14ac:dyDescent="0.3">
      <c r="J15322" s="33"/>
    </row>
    <row r="15323" spans="10:10" ht="15" customHeight="1" x14ac:dyDescent="0.3">
      <c r="J15323" s="33"/>
    </row>
    <row r="15324" spans="10:10" ht="15" customHeight="1" x14ac:dyDescent="0.3">
      <c r="J15324" s="33"/>
    </row>
    <row r="15325" spans="10:10" ht="15" customHeight="1" x14ac:dyDescent="0.3">
      <c r="J15325" s="33"/>
    </row>
    <row r="15326" spans="10:10" ht="15" customHeight="1" x14ac:dyDescent="0.3">
      <c r="J15326" s="33"/>
    </row>
    <row r="15327" spans="10:10" ht="15" customHeight="1" x14ac:dyDescent="0.3">
      <c r="J15327" s="33"/>
    </row>
    <row r="15328" spans="10:10" ht="15" customHeight="1" x14ac:dyDescent="0.3">
      <c r="J15328" s="33"/>
    </row>
    <row r="15329" spans="10:10" ht="15" customHeight="1" x14ac:dyDescent="0.3">
      <c r="J15329" s="33"/>
    </row>
    <row r="15330" spans="10:10" ht="15" customHeight="1" x14ac:dyDescent="0.3">
      <c r="J15330" s="33"/>
    </row>
    <row r="15331" spans="10:10" ht="15" customHeight="1" x14ac:dyDescent="0.3">
      <c r="J15331" s="33"/>
    </row>
    <row r="15332" spans="10:10" ht="15" customHeight="1" x14ac:dyDescent="0.3">
      <c r="J15332" s="33"/>
    </row>
    <row r="15333" spans="10:10" ht="15" customHeight="1" x14ac:dyDescent="0.3">
      <c r="J15333" s="33"/>
    </row>
    <row r="15334" spans="10:10" ht="15" customHeight="1" x14ac:dyDescent="0.3">
      <c r="J15334" s="33"/>
    </row>
    <row r="15335" spans="10:10" ht="15" customHeight="1" x14ac:dyDescent="0.3">
      <c r="J15335" s="33"/>
    </row>
    <row r="15336" spans="10:10" ht="15" customHeight="1" x14ac:dyDescent="0.3">
      <c r="J15336" s="33"/>
    </row>
    <row r="15337" spans="10:10" ht="15" customHeight="1" x14ac:dyDescent="0.3">
      <c r="J15337" s="33"/>
    </row>
    <row r="15338" spans="10:10" ht="15" customHeight="1" x14ac:dyDescent="0.3">
      <c r="J15338" s="33"/>
    </row>
    <row r="15339" spans="10:10" ht="15" customHeight="1" x14ac:dyDescent="0.3">
      <c r="J15339" s="33"/>
    </row>
    <row r="15340" spans="10:10" ht="15" customHeight="1" x14ac:dyDescent="0.3">
      <c r="J15340" s="33"/>
    </row>
    <row r="15341" spans="10:10" ht="15" customHeight="1" x14ac:dyDescent="0.3">
      <c r="J15341" s="33"/>
    </row>
    <row r="15342" spans="10:10" ht="15" customHeight="1" x14ac:dyDescent="0.3">
      <c r="J15342" s="33"/>
    </row>
    <row r="15343" spans="10:10" ht="15" customHeight="1" x14ac:dyDescent="0.3">
      <c r="J15343" s="33"/>
    </row>
    <row r="15344" spans="10:10" ht="15" customHeight="1" x14ac:dyDescent="0.3">
      <c r="J15344" s="33"/>
    </row>
    <row r="15345" spans="10:10" ht="15" customHeight="1" x14ac:dyDescent="0.3">
      <c r="J15345" s="33"/>
    </row>
    <row r="15346" spans="10:10" ht="15" customHeight="1" x14ac:dyDescent="0.3">
      <c r="J15346" s="33"/>
    </row>
    <row r="15347" spans="10:10" ht="15" customHeight="1" x14ac:dyDescent="0.3">
      <c r="J15347" s="33"/>
    </row>
    <row r="15348" spans="10:10" ht="15" customHeight="1" x14ac:dyDescent="0.3">
      <c r="J15348" s="33"/>
    </row>
    <row r="15349" spans="10:10" ht="15" customHeight="1" x14ac:dyDescent="0.3">
      <c r="J15349" s="33"/>
    </row>
    <row r="15350" spans="10:10" ht="15" customHeight="1" x14ac:dyDescent="0.3">
      <c r="J15350" s="33"/>
    </row>
    <row r="15351" spans="10:10" ht="15" customHeight="1" x14ac:dyDescent="0.3">
      <c r="J15351" s="33"/>
    </row>
    <row r="15352" spans="10:10" ht="15" customHeight="1" x14ac:dyDescent="0.3">
      <c r="J15352" s="33"/>
    </row>
    <row r="15353" spans="10:10" ht="15" customHeight="1" x14ac:dyDescent="0.3">
      <c r="J15353" s="33"/>
    </row>
    <row r="15354" spans="10:10" ht="15" customHeight="1" x14ac:dyDescent="0.3">
      <c r="J15354" s="33"/>
    </row>
    <row r="15355" spans="10:10" ht="15" customHeight="1" x14ac:dyDescent="0.3">
      <c r="J15355" s="33"/>
    </row>
    <row r="15356" spans="10:10" ht="15" customHeight="1" x14ac:dyDescent="0.3">
      <c r="J15356" s="33"/>
    </row>
    <row r="15357" spans="10:10" ht="15" customHeight="1" x14ac:dyDescent="0.3">
      <c r="J15357" s="33"/>
    </row>
    <row r="15358" spans="10:10" ht="15" customHeight="1" x14ac:dyDescent="0.3">
      <c r="J15358" s="33"/>
    </row>
    <row r="15359" spans="10:10" ht="15" customHeight="1" x14ac:dyDescent="0.3">
      <c r="J15359" s="33"/>
    </row>
    <row r="15360" spans="10:10" ht="15" customHeight="1" x14ac:dyDescent="0.3">
      <c r="J15360" s="33"/>
    </row>
    <row r="15361" spans="10:10" ht="15" customHeight="1" x14ac:dyDescent="0.3">
      <c r="J15361" s="33"/>
    </row>
    <row r="15362" spans="10:10" ht="15" customHeight="1" x14ac:dyDescent="0.3">
      <c r="J15362" s="33"/>
    </row>
    <row r="15363" spans="10:10" ht="15" customHeight="1" x14ac:dyDescent="0.3">
      <c r="J15363" s="33"/>
    </row>
    <row r="15364" spans="10:10" ht="15" customHeight="1" x14ac:dyDescent="0.3">
      <c r="J15364" s="33"/>
    </row>
    <row r="15365" spans="10:10" ht="15" customHeight="1" x14ac:dyDescent="0.3">
      <c r="J15365" s="33"/>
    </row>
    <row r="15366" spans="10:10" ht="15" customHeight="1" x14ac:dyDescent="0.3">
      <c r="J15366" s="33"/>
    </row>
    <row r="15367" spans="10:10" ht="15" customHeight="1" x14ac:dyDescent="0.3">
      <c r="J15367" s="33"/>
    </row>
    <row r="15368" spans="10:10" ht="15" customHeight="1" x14ac:dyDescent="0.3">
      <c r="J15368" s="33"/>
    </row>
    <row r="15369" spans="10:10" ht="15" customHeight="1" x14ac:dyDescent="0.3">
      <c r="J15369" s="33"/>
    </row>
    <row r="15370" spans="10:10" ht="15" customHeight="1" x14ac:dyDescent="0.3">
      <c r="J15370" s="33"/>
    </row>
    <row r="15371" spans="10:10" ht="15" customHeight="1" x14ac:dyDescent="0.3">
      <c r="J15371" s="33"/>
    </row>
    <row r="15372" spans="10:10" ht="15" customHeight="1" x14ac:dyDescent="0.3">
      <c r="J15372" s="33"/>
    </row>
    <row r="15373" spans="10:10" ht="15" customHeight="1" x14ac:dyDescent="0.3">
      <c r="J15373" s="33"/>
    </row>
    <row r="15374" spans="10:10" ht="15" customHeight="1" x14ac:dyDescent="0.3">
      <c r="J15374" s="33"/>
    </row>
    <row r="15375" spans="10:10" ht="15" customHeight="1" x14ac:dyDescent="0.3">
      <c r="J15375" s="33"/>
    </row>
    <row r="15376" spans="10:10" ht="15" customHeight="1" x14ac:dyDescent="0.3">
      <c r="J15376" s="33"/>
    </row>
    <row r="15377" spans="10:10" ht="15" customHeight="1" x14ac:dyDescent="0.3">
      <c r="J15377" s="33"/>
    </row>
    <row r="15378" spans="10:10" ht="15" customHeight="1" x14ac:dyDescent="0.3">
      <c r="J15378" s="33"/>
    </row>
    <row r="15379" spans="10:10" ht="15" customHeight="1" x14ac:dyDescent="0.3">
      <c r="J15379" s="33"/>
    </row>
    <row r="15380" spans="10:10" ht="15" customHeight="1" x14ac:dyDescent="0.3">
      <c r="J15380" s="33"/>
    </row>
    <row r="15381" spans="10:10" ht="15" customHeight="1" x14ac:dyDescent="0.3">
      <c r="J15381" s="33"/>
    </row>
    <row r="15382" spans="10:10" ht="15" customHeight="1" x14ac:dyDescent="0.3">
      <c r="J15382" s="33"/>
    </row>
    <row r="15383" spans="10:10" ht="15" customHeight="1" x14ac:dyDescent="0.3">
      <c r="J15383" s="33"/>
    </row>
    <row r="15384" spans="10:10" ht="15" customHeight="1" x14ac:dyDescent="0.3">
      <c r="J15384" s="33"/>
    </row>
    <row r="15385" spans="10:10" ht="15" customHeight="1" x14ac:dyDescent="0.3">
      <c r="J15385" s="33"/>
    </row>
    <row r="15386" spans="10:10" ht="15" customHeight="1" x14ac:dyDescent="0.3">
      <c r="J15386" s="33"/>
    </row>
    <row r="15387" spans="10:10" ht="15" customHeight="1" x14ac:dyDescent="0.3">
      <c r="J15387" s="33"/>
    </row>
    <row r="15388" spans="10:10" ht="15" customHeight="1" x14ac:dyDescent="0.3">
      <c r="J15388" s="33"/>
    </row>
    <row r="15389" spans="10:10" ht="15" customHeight="1" x14ac:dyDescent="0.3">
      <c r="J15389" s="33"/>
    </row>
    <row r="15390" spans="10:10" ht="15" customHeight="1" x14ac:dyDescent="0.3">
      <c r="J15390" s="33"/>
    </row>
    <row r="15391" spans="10:10" ht="15" customHeight="1" x14ac:dyDescent="0.3">
      <c r="J15391" s="33"/>
    </row>
    <row r="15392" spans="10:10" ht="15" customHeight="1" x14ac:dyDescent="0.3">
      <c r="J15392" s="33"/>
    </row>
    <row r="15393" spans="10:10" ht="15" customHeight="1" x14ac:dyDescent="0.3">
      <c r="J15393" s="33"/>
    </row>
    <row r="15394" spans="10:10" ht="15" customHeight="1" x14ac:dyDescent="0.3">
      <c r="J15394" s="33"/>
    </row>
    <row r="15395" spans="10:10" ht="15" customHeight="1" x14ac:dyDescent="0.3">
      <c r="J15395" s="33"/>
    </row>
    <row r="15396" spans="10:10" ht="15" customHeight="1" x14ac:dyDescent="0.3">
      <c r="J15396" s="33"/>
    </row>
    <row r="15397" spans="10:10" ht="15" customHeight="1" x14ac:dyDescent="0.3">
      <c r="J15397" s="33"/>
    </row>
    <row r="15398" spans="10:10" ht="15" customHeight="1" x14ac:dyDescent="0.3">
      <c r="J15398" s="33"/>
    </row>
    <row r="15399" spans="10:10" ht="15" customHeight="1" x14ac:dyDescent="0.3">
      <c r="J15399" s="33"/>
    </row>
    <row r="15400" spans="10:10" ht="15" customHeight="1" x14ac:dyDescent="0.3">
      <c r="J15400" s="33"/>
    </row>
    <row r="15401" spans="10:10" ht="15" customHeight="1" x14ac:dyDescent="0.3">
      <c r="J15401" s="33"/>
    </row>
    <row r="15402" spans="10:10" ht="15" customHeight="1" x14ac:dyDescent="0.3">
      <c r="J15402" s="33"/>
    </row>
    <row r="15403" spans="10:10" ht="15" customHeight="1" x14ac:dyDescent="0.3">
      <c r="J15403" s="33"/>
    </row>
    <row r="15404" spans="10:10" ht="15" customHeight="1" x14ac:dyDescent="0.3">
      <c r="J15404" s="33"/>
    </row>
    <row r="15405" spans="10:10" ht="15" customHeight="1" x14ac:dyDescent="0.3">
      <c r="J15405" s="33"/>
    </row>
    <row r="15406" spans="10:10" ht="15" customHeight="1" x14ac:dyDescent="0.3">
      <c r="J15406" s="33"/>
    </row>
    <row r="15407" spans="10:10" ht="15" customHeight="1" x14ac:dyDescent="0.3">
      <c r="J15407" s="33"/>
    </row>
    <row r="15408" spans="10:10" ht="15" customHeight="1" x14ac:dyDescent="0.3">
      <c r="J15408" s="33"/>
    </row>
    <row r="15409" spans="10:10" ht="15" customHeight="1" x14ac:dyDescent="0.3">
      <c r="J15409" s="33"/>
    </row>
    <row r="15410" spans="10:10" ht="15" customHeight="1" x14ac:dyDescent="0.3">
      <c r="J15410" s="33"/>
    </row>
    <row r="15411" spans="10:10" ht="15" customHeight="1" x14ac:dyDescent="0.3">
      <c r="J15411" s="33"/>
    </row>
    <row r="15412" spans="10:10" ht="15" customHeight="1" x14ac:dyDescent="0.3">
      <c r="J15412" s="33"/>
    </row>
    <row r="15413" spans="10:10" ht="15" customHeight="1" x14ac:dyDescent="0.3">
      <c r="J15413" s="33"/>
    </row>
    <row r="15414" spans="10:10" ht="15" customHeight="1" x14ac:dyDescent="0.3">
      <c r="J15414" s="33"/>
    </row>
    <row r="15415" spans="10:10" ht="15" customHeight="1" x14ac:dyDescent="0.3">
      <c r="J15415" s="33"/>
    </row>
    <row r="15416" spans="10:10" ht="15" customHeight="1" x14ac:dyDescent="0.3">
      <c r="J15416" s="33"/>
    </row>
    <row r="15417" spans="10:10" ht="15" customHeight="1" x14ac:dyDescent="0.3">
      <c r="J15417" s="33"/>
    </row>
    <row r="15418" spans="10:10" ht="15" customHeight="1" x14ac:dyDescent="0.3">
      <c r="J15418" s="33"/>
    </row>
    <row r="15419" spans="10:10" ht="15" customHeight="1" x14ac:dyDescent="0.3">
      <c r="J15419" s="33"/>
    </row>
    <row r="15420" spans="10:10" ht="15" customHeight="1" x14ac:dyDescent="0.3">
      <c r="J15420" s="33"/>
    </row>
    <row r="15421" spans="10:10" ht="15" customHeight="1" x14ac:dyDescent="0.3">
      <c r="J15421" s="33"/>
    </row>
    <row r="15422" spans="10:10" ht="15" customHeight="1" x14ac:dyDescent="0.3">
      <c r="J15422" s="33"/>
    </row>
    <row r="15423" spans="10:10" ht="15" customHeight="1" x14ac:dyDescent="0.3">
      <c r="J15423" s="33"/>
    </row>
    <row r="15424" spans="10:10" ht="15" customHeight="1" x14ac:dyDescent="0.3">
      <c r="J15424" s="33"/>
    </row>
    <row r="15425" spans="10:10" ht="15" customHeight="1" x14ac:dyDescent="0.3">
      <c r="J15425" s="33"/>
    </row>
    <row r="15426" spans="10:10" ht="15" customHeight="1" x14ac:dyDescent="0.3">
      <c r="J15426" s="33"/>
    </row>
    <row r="15427" spans="10:10" ht="15" customHeight="1" x14ac:dyDescent="0.3">
      <c r="J15427" s="33"/>
    </row>
    <row r="15428" spans="10:10" ht="15" customHeight="1" x14ac:dyDescent="0.3">
      <c r="J15428" s="33"/>
    </row>
    <row r="15429" spans="10:10" ht="15" customHeight="1" x14ac:dyDescent="0.3">
      <c r="J15429" s="33"/>
    </row>
    <row r="15430" spans="10:10" ht="15" customHeight="1" x14ac:dyDescent="0.3">
      <c r="J15430" s="33"/>
    </row>
    <row r="15431" spans="10:10" ht="15" customHeight="1" x14ac:dyDescent="0.3">
      <c r="J15431" s="33"/>
    </row>
    <row r="15432" spans="10:10" ht="15" customHeight="1" x14ac:dyDescent="0.3">
      <c r="J15432" s="33"/>
    </row>
    <row r="15433" spans="10:10" ht="15" customHeight="1" x14ac:dyDescent="0.3">
      <c r="J15433" s="33"/>
    </row>
    <row r="15434" spans="10:10" ht="15" customHeight="1" x14ac:dyDescent="0.3">
      <c r="J15434" s="33"/>
    </row>
    <row r="15435" spans="10:10" ht="15" customHeight="1" x14ac:dyDescent="0.3">
      <c r="J15435" s="33"/>
    </row>
    <row r="15436" spans="10:10" ht="15" customHeight="1" x14ac:dyDescent="0.3">
      <c r="J15436" s="33"/>
    </row>
    <row r="15437" spans="10:10" ht="15" customHeight="1" x14ac:dyDescent="0.3">
      <c r="J15437" s="33"/>
    </row>
    <row r="15438" spans="10:10" ht="15" customHeight="1" x14ac:dyDescent="0.3">
      <c r="J15438" s="33"/>
    </row>
    <row r="15439" spans="10:10" ht="15" customHeight="1" x14ac:dyDescent="0.3">
      <c r="J15439" s="33"/>
    </row>
    <row r="15440" spans="10:10" ht="15" customHeight="1" x14ac:dyDescent="0.3">
      <c r="J15440" s="33"/>
    </row>
    <row r="15441" spans="10:10" ht="15" customHeight="1" x14ac:dyDescent="0.3">
      <c r="J15441" s="33"/>
    </row>
    <row r="15442" spans="10:10" ht="15" customHeight="1" x14ac:dyDescent="0.3">
      <c r="J15442" s="33"/>
    </row>
    <row r="15443" spans="10:10" ht="15" customHeight="1" x14ac:dyDescent="0.3">
      <c r="J15443" s="33"/>
    </row>
    <row r="15444" spans="10:10" ht="15" customHeight="1" x14ac:dyDescent="0.3">
      <c r="J15444" s="33"/>
    </row>
    <row r="15445" spans="10:10" ht="15" customHeight="1" x14ac:dyDescent="0.3">
      <c r="J15445" s="33"/>
    </row>
    <row r="15446" spans="10:10" ht="15" customHeight="1" x14ac:dyDescent="0.3">
      <c r="J15446" s="33"/>
    </row>
    <row r="15447" spans="10:10" ht="15" customHeight="1" x14ac:dyDescent="0.3">
      <c r="J15447" s="33"/>
    </row>
    <row r="15448" spans="10:10" ht="15" customHeight="1" x14ac:dyDescent="0.3">
      <c r="J15448" s="33"/>
    </row>
    <row r="15449" spans="10:10" ht="15" customHeight="1" x14ac:dyDescent="0.3">
      <c r="J15449" s="33"/>
    </row>
    <row r="15450" spans="10:10" ht="15" customHeight="1" x14ac:dyDescent="0.3">
      <c r="J15450" s="33"/>
    </row>
    <row r="15451" spans="10:10" ht="15" customHeight="1" x14ac:dyDescent="0.3">
      <c r="J15451" s="33"/>
    </row>
    <row r="15452" spans="10:10" ht="15" customHeight="1" x14ac:dyDescent="0.3">
      <c r="J15452" s="33"/>
    </row>
    <row r="15453" spans="10:10" ht="15" customHeight="1" x14ac:dyDescent="0.3">
      <c r="J15453" s="33"/>
    </row>
    <row r="15454" spans="10:10" ht="15" customHeight="1" x14ac:dyDescent="0.3">
      <c r="J15454" s="33"/>
    </row>
    <row r="15455" spans="10:10" ht="15" customHeight="1" x14ac:dyDescent="0.3">
      <c r="J15455" s="33"/>
    </row>
    <row r="15456" spans="10:10" ht="15" customHeight="1" x14ac:dyDescent="0.3">
      <c r="J15456" s="33"/>
    </row>
    <row r="15457" spans="10:10" ht="15" customHeight="1" x14ac:dyDescent="0.3">
      <c r="J15457" s="33"/>
    </row>
    <row r="15458" spans="10:10" ht="15" customHeight="1" x14ac:dyDescent="0.3">
      <c r="J15458" s="33"/>
    </row>
    <row r="15459" spans="10:10" ht="15" customHeight="1" x14ac:dyDescent="0.3">
      <c r="J15459" s="33"/>
    </row>
    <row r="15460" spans="10:10" ht="15" customHeight="1" x14ac:dyDescent="0.3">
      <c r="J15460" s="33"/>
    </row>
    <row r="15461" spans="10:10" ht="15" customHeight="1" x14ac:dyDescent="0.3">
      <c r="J15461" s="33"/>
    </row>
    <row r="15462" spans="10:10" ht="15" customHeight="1" x14ac:dyDescent="0.3">
      <c r="J15462" s="33"/>
    </row>
    <row r="15463" spans="10:10" ht="15" customHeight="1" x14ac:dyDescent="0.3">
      <c r="J15463" s="33"/>
    </row>
    <row r="15464" spans="10:10" ht="15" customHeight="1" x14ac:dyDescent="0.3">
      <c r="J15464" s="33"/>
    </row>
    <row r="15465" spans="10:10" ht="15" customHeight="1" x14ac:dyDescent="0.3">
      <c r="J15465" s="33"/>
    </row>
    <row r="15466" spans="10:10" ht="15" customHeight="1" x14ac:dyDescent="0.3">
      <c r="J15466" s="33"/>
    </row>
    <row r="15467" spans="10:10" ht="15" customHeight="1" x14ac:dyDescent="0.3">
      <c r="J15467" s="33"/>
    </row>
    <row r="15468" spans="10:10" ht="15" customHeight="1" x14ac:dyDescent="0.3">
      <c r="J15468" s="33"/>
    </row>
    <row r="15469" spans="10:10" ht="15" customHeight="1" x14ac:dyDescent="0.3">
      <c r="J15469" s="33"/>
    </row>
    <row r="15470" spans="10:10" ht="15" customHeight="1" x14ac:dyDescent="0.3">
      <c r="J15470" s="33"/>
    </row>
    <row r="15471" spans="10:10" ht="15" customHeight="1" x14ac:dyDescent="0.3">
      <c r="J15471" s="33"/>
    </row>
    <row r="15472" spans="10:10" ht="15" customHeight="1" x14ac:dyDescent="0.3">
      <c r="J15472" s="33"/>
    </row>
    <row r="15473" spans="10:10" ht="15" customHeight="1" x14ac:dyDescent="0.3">
      <c r="J15473" s="33"/>
    </row>
    <row r="15474" spans="10:10" ht="15" customHeight="1" x14ac:dyDescent="0.3">
      <c r="J15474" s="33"/>
    </row>
    <row r="15475" spans="10:10" ht="15" customHeight="1" x14ac:dyDescent="0.3">
      <c r="J15475" s="33"/>
    </row>
    <row r="15476" spans="10:10" ht="15" customHeight="1" x14ac:dyDescent="0.3">
      <c r="J15476" s="33"/>
    </row>
    <row r="15477" spans="10:10" ht="15" customHeight="1" x14ac:dyDescent="0.3">
      <c r="J15477" s="33"/>
    </row>
    <row r="15478" spans="10:10" ht="15" customHeight="1" x14ac:dyDescent="0.3">
      <c r="J15478" s="33"/>
    </row>
    <row r="15479" spans="10:10" ht="15" customHeight="1" x14ac:dyDescent="0.3">
      <c r="J15479" s="33"/>
    </row>
    <row r="15480" spans="10:10" ht="15" customHeight="1" x14ac:dyDescent="0.3">
      <c r="J15480" s="33"/>
    </row>
    <row r="15481" spans="10:10" ht="15" customHeight="1" x14ac:dyDescent="0.3">
      <c r="J15481" s="33"/>
    </row>
    <row r="15482" spans="10:10" ht="15" customHeight="1" x14ac:dyDescent="0.3">
      <c r="J15482" s="33"/>
    </row>
    <row r="15483" spans="10:10" ht="15" customHeight="1" x14ac:dyDescent="0.3">
      <c r="J15483" s="33"/>
    </row>
    <row r="15484" spans="10:10" ht="15" customHeight="1" x14ac:dyDescent="0.3">
      <c r="J15484" s="33"/>
    </row>
    <row r="15485" spans="10:10" ht="15" customHeight="1" x14ac:dyDescent="0.3">
      <c r="J15485" s="33"/>
    </row>
    <row r="15486" spans="10:10" ht="15" customHeight="1" x14ac:dyDescent="0.3">
      <c r="J15486" s="33"/>
    </row>
    <row r="15487" spans="10:10" ht="15" customHeight="1" x14ac:dyDescent="0.3">
      <c r="J15487" s="33"/>
    </row>
    <row r="15488" spans="10:10" ht="15" customHeight="1" x14ac:dyDescent="0.3">
      <c r="J15488" s="33"/>
    </row>
    <row r="15489" spans="10:10" ht="15" customHeight="1" x14ac:dyDescent="0.3">
      <c r="J15489" s="33"/>
    </row>
    <row r="15490" spans="10:10" ht="15" customHeight="1" x14ac:dyDescent="0.3">
      <c r="J15490" s="33"/>
    </row>
    <row r="15491" spans="10:10" ht="15" customHeight="1" x14ac:dyDescent="0.3">
      <c r="J15491" s="33"/>
    </row>
    <row r="15492" spans="10:10" ht="15" customHeight="1" x14ac:dyDescent="0.3">
      <c r="J15492" s="33"/>
    </row>
    <row r="15493" spans="10:10" ht="15" customHeight="1" x14ac:dyDescent="0.3">
      <c r="J15493" s="33"/>
    </row>
    <row r="15494" spans="10:10" ht="15" customHeight="1" x14ac:dyDescent="0.3">
      <c r="J15494" s="33"/>
    </row>
    <row r="15495" spans="10:10" ht="15" customHeight="1" x14ac:dyDescent="0.3">
      <c r="J15495" s="33"/>
    </row>
    <row r="15496" spans="10:10" ht="15" customHeight="1" x14ac:dyDescent="0.3">
      <c r="J15496" s="33"/>
    </row>
    <row r="15497" spans="10:10" ht="15" customHeight="1" x14ac:dyDescent="0.3">
      <c r="J15497" s="33"/>
    </row>
    <row r="15498" spans="10:10" ht="15" customHeight="1" x14ac:dyDescent="0.3">
      <c r="J15498" s="33"/>
    </row>
    <row r="15499" spans="10:10" ht="15" customHeight="1" x14ac:dyDescent="0.3">
      <c r="J15499" s="33"/>
    </row>
    <row r="15500" spans="10:10" ht="15" customHeight="1" x14ac:dyDescent="0.3">
      <c r="J15500" s="33"/>
    </row>
    <row r="15501" spans="10:10" ht="15" customHeight="1" x14ac:dyDescent="0.3">
      <c r="J15501" s="33"/>
    </row>
    <row r="15502" spans="10:10" ht="15" customHeight="1" x14ac:dyDescent="0.3">
      <c r="J15502" s="33"/>
    </row>
    <row r="15503" spans="10:10" ht="15" customHeight="1" x14ac:dyDescent="0.3">
      <c r="J15503" s="33"/>
    </row>
    <row r="15504" spans="10:10" ht="15" customHeight="1" x14ac:dyDescent="0.3">
      <c r="J15504" s="33"/>
    </row>
    <row r="15505" spans="10:10" ht="15" customHeight="1" x14ac:dyDescent="0.3">
      <c r="J15505" s="33"/>
    </row>
    <row r="15506" spans="10:10" ht="15" customHeight="1" x14ac:dyDescent="0.3">
      <c r="J15506" s="33"/>
    </row>
    <row r="15507" spans="10:10" ht="15" customHeight="1" x14ac:dyDescent="0.3">
      <c r="J15507" s="33"/>
    </row>
    <row r="15508" spans="10:10" ht="15" customHeight="1" x14ac:dyDescent="0.3">
      <c r="J15508" s="33"/>
    </row>
    <row r="15509" spans="10:10" ht="15" customHeight="1" x14ac:dyDescent="0.3">
      <c r="J15509" s="33"/>
    </row>
    <row r="15510" spans="10:10" ht="15" customHeight="1" x14ac:dyDescent="0.3">
      <c r="J15510" s="33"/>
    </row>
    <row r="15511" spans="10:10" ht="15" customHeight="1" x14ac:dyDescent="0.3">
      <c r="J15511" s="33"/>
    </row>
    <row r="15512" spans="10:10" ht="15" customHeight="1" x14ac:dyDescent="0.3">
      <c r="J15512" s="33"/>
    </row>
    <row r="15513" spans="10:10" ht="15" customHeight="1" x14ac:dyDescent="0.3">
      <c r="J15513" s="33"/>
    </row>
    <row r="15514" spans="10:10" ht="15" customHeight="1" x14ac:dyDescent="0.3">
      <c r="J15514" s="33"/>
    </row>
    <row r="15515" spans="10:10" ht="15" customHeight="1" x14ac:dyDescent="0.3">
      <c r="J15515" s="33"/>
    </row>
    <row r="15516" spans="10:10" ht="15" customHeight="1" x14ac:dyDescent="0.3">
      <c r="J15516" s="33"/>
    </row>
    <row r="15517" spans="10:10" ht="15" customHeight="1" x14ac:dyDescent="0.3">
      <c r="J15517" s="33"/>
    </row>
    <row r="15518" spans="10:10" ht="15" customHeight="1" x14ac:dyDescent="0.3">
      <c r="J15518" s="33"/>
    </row>
    <row r="15519" spans="10:10" ht="15" customHeight="1" x14ac:dyDescent="0.3">
      <c r="J15519" s="33"/>
    </row>
    <row r="15520" spans="10:10" ht="15" customHeight="1" x14ac:dyDescent="0.3">
      <c r="J15520" s="33"/>
    </row>
    <row r="15521" spans="10:10" ht="15" customHeight="1" x14ac:dyDescent="0.3">
      <c r="J15521" s="33"/>
    </row>
    <row r="15522" spans="10:10" ht="15" customHeight="1" x14ac:dyDescent="0.3">
      <c r="J15522" s="33"/>
    </row>
    <row r="15523" spans="10:10" ht="15" customHeight="1" x14ac:dyDescent="0.3">
      <c r="J15523" s="33"/>
    </row>
    <row r="15524" spans="10:10" ht="15" customHeight="1" x14ac:dyDescent="0.3">
      <c r="J15524" s="33"/>
    </row>
    <row r="15525" spans="10:10" ht="15" customHeight="1" x14ac:dyDescent="0.3">
      <c r="J15525" s="33"/>
    </row>
    <row r="15526" spans="10:10" ht="15" customHeight="1" x14ac:dyDescent="0.3">
      <c r="J15526" s="33"/>
    </row>
    <row r="15527" spans="10:10" ht="15" customHeight="1" x14ac:dyDescent="0.3">
      <c r="J15527" s="33"/>
    </row>
    <row r="15528" spans="10:10" ht="15" customHeight="1" x14ac:dyDescent="0.3">
      <c r="J15528" s="33"/>
    </row>
    <row r="15529" spans="10:10" ht="15" customHeight="1" x14ac:dyDescent="0.3">
      <c r="J15529" s="33"/>
    </row>
    <row r="15530" spans="10:10" ht="15" customHeight="1" x14ac:dyDescent="0.3">
      <c r="J15530" s="33"/>
    </row>
    <row r="15531" spans="10:10" ht="15" customHeight="1" x14ac:dyDescent="0.3">
      <c r="J15531" s="33"/>
    </row>
    <row r="15532" spans="10:10" ht="15" customHeight="1" x14ac:dyDescent="0.3">
      <c r="J15532" s="33"/>
    </row>
    <row r="15533" spans="10:10" ht="15" customHeight="1" x14ac:dyDescent="0.3">
      <c r="J15533" s="33"/>
    </row>
    <row r="15534" spans="10:10" ht="15" customHeight="1" x14ac:dyDescent="0.3">
      <c r="J15534" s="33"/>
    </row>
    <row r="15535" spans="10:10" ht="15" customHeight="1" x14ac:dyDescent="0.3">
      <c r="J15535" s="33"/>
    </row>
    <row r="15536" spans="10:10" ht="15" customHeight="1" x14ac:dyDescent="0.3">
      <c r="J15536" s="33"/>
    </row>
    <row r="15537" spans="10:10" ht="15" customHeight="1" x14ac:dyDescent="0.3">
      <c r="J15537" s="33"/>
    </row>
    <row r="15538" spans="10:10" ht="15" customHeight="1" x14ac:dyDescent="0.3">
      <c r="J15538" s="33"/>
    </row>
    <row r="15539" spans="10:10" ht="15" customHeight="1" x14ac:dyDescent="0.3">
      <c r="J15539" s="33"/>
    </row>
    <row r="15540" spans="10:10" ht="15" customHeight="1" x14ac:dyDescent="0.3">
      <c r="J15540" s="33"/>
    </row>
    <row r="15541" spans="10:10" ht="15" customHeight="1" x14ac:dyDescent="0.3">
      <c r="J15541" s="33"/>
    </row>
    <row r="15542" spans="10:10" ht="15" customHeight="1" x14ac:dyDescent="0.3">
      <c r="J15542" s="33"/>
    </row>
    <row r="15543" spans="10:10" ht="15" customHeight="1" x14ac:dyDescent="0.3">
      <c r="J15543" s="33"/>
    </row>
    <row r="15544" spans="10:10" ht="15" customHeight="1" x14ac:dyDescent="0.3">
      <c r="J15544" s="33"/>
    </row>
    <row r="15545" spans="10:10" ht="15" customHeight="1" x14ac:dyDescent="0.3">
      <c r="J15545" s="33"/>
    </row>
    <row r="15546" spans="10:10" ht="15" customHeight="1" x14ac:dyDescent="0.3">
      <c r="J15546" s="33"/>
    </row>
    <row r="15547" spans="10:10" ht="15" customHeight="1" x14ac:dyDescent="0.3">
      <c r="J15547" s="33"/>
    </row>
    <row r="15548" spans="10:10" ht="15" customHeight="1" x14ac:dyDescent="0.3">
      <c r="J15548" s="33"/>
    </row>
    <row r="15549" spans="10:10" ht="15" customHeight="1" x14ac:dyDescent="0.3">
      <c r="J15549" s="33"/>
    </row>
    <row r="15550" spans="10:10" ht="15" customHeight="1" x14ac:dyDescent="0.3">
      <c r="J15550" s="33"/>
    </row>
    <row r="15551" spans="10:10" ht="15" customHeight="1" x14ac:dyDescent="0.3">
      <c r="J15551" s="33"/>
    </row>
    <row r="15552" spans="10:10" ht="15" customHeight="1" x14ac:dyDescent="0.3">
      <c r="J15552" s="33"/>
    </row>
    <row r="15553" spans="10:10" ht="15" customHeight="1" x14ac:dyDescent="0.3">
      <c r="J15553" s="33"/>
    </row>
    <row r="15554" spans="10:10" ht="15" customHeight="1" x14ac:dyDescent="0.3">
      <c r="J15554" s="33"/>
    </row>
    <row r="15555" spans="10:10" ht="15" customHeight="1" x14ac:dyDescent="0.3">
      <c r="J15555" s="33"/>
    </row>
    <row r="15556" spans="10:10" ht="15" customHeight="1" x14ac:dyDescent="0.3">
      <c r="J15556" s="33"/>
    </row>
    <row r="15557" spans="10:10" ht="15" customHeight="1" x14ac:dyDescent="0.3">
      <c r="J15557" s="33"/>
    </row>
    <row r="15558" spans="10:10" ht="15" customHeight="1" x14ac:dyDescent="0.3">
      <c r="J15558" s="33"/>
    </row>
    <row r="15559" spans="10:10" ht="15" customHeight="1" x14ac:dyDescent="0.3">
      <c r="J15559" s="33"/>
    </row>
    <row r="15560" spans="10:10" ht="15" customHeight="1" x14ac:dyDescent="0.3">
      <c r="J15560" s="33"/>
    </row>
    <row r="15561" spans="10:10" ht="15" customHeight="1" x14ac:dyDescent="0.3">
      <c r="J15561" s="33"/>
    </row>
    <row r="15562" spans="10:10" ht="15" customHeight="1" x14ac:dyDescent="0.3">
      <c r="J15562" s="33"/>
    </row>
    <row r="15563" spans="10:10" ht="15" customHeight="1" x14ac:dyDescent="0.3">
      <c r="J15563" s="33"/>
    </row>
    <row r="15564" spans="10:10" ht="15" customHeight="1" x14ac:dyDescent="0.3">
      <c r="J15564" s="33"/>
    </row>
    <row r="15565" spans="10:10" ht="15" customHeight="1" x14ac:dyDescent="0.3">
      <c r="J15565" s="33"/>
    </row>
    <row r="15566" spans="10:10" ht="15" customHeight="1" x14ac:dyDescent="0.3">
      <c r="J15566" s="33"/>
    </row>
    <row r="15567" spans="10:10" ht="15" customHeight="1" x14ac:dyDescent="0.3">
      <c r="J15567" s="33"/>
    </row>
    <row r="15568" spans="10:10" ht="15" customHeight="1" x14ac:dyDescent="0.3">
      <c r="J15568" s="33"/>
    </row>
    <row r="15569" spans="10:10" ht="15" customHeight="1" x14ac:dyDescent="0.3">
      <c r="J15569" s="33"/>
    </row>
    <row r="15570" spans="10:10" ht="15" customHeight="1" x14ac:dyDescent="0.3">
      <c r="J15570" s="33"/>
    </row>
    <row r="15571" spans="10:10" ht="15" customHeight="1" x14ac:dyDescent="0.3">
      <c r="J15571" s="33"/>
    </row>
    <row r="15572" spans="10:10" ht="15" customHeight="1" x14ac:dyDescent="0.3">
      <c r="J15572" s="33"/>
    </row>
    <row r="15573" spans="10:10" ht="15" customHeight="1" x14ac:dyDescent="0.3">
      <c r="J15573" s="33"/>
    </row>
    <row r="15574" spans="10:10" ht="15" customHeight="1" x14ac:dyDescent="0.3">
      <c r="J15574" s="33"/>
    </row>
    <row r="15575" spans="10:10" ht="15" customHeight="1" x14ac:dyDescent="0.3">
      <c r="J15575" s="33"/>
    </row>
    <row r="15576" spans="10:10" ht="15" customHeight="1" x14ac:dyDescent="0.3">
      <c r="J15576" s="33"/>
    </row>
    <row r="15577" spans="10:10" ht="15" customHeight="1" x14ac:dyDescent="0.3">
      <c r="J15577" s="33"/>
    </row>
    <row r="15578" spans="10:10" ht="15" customHeight="1" x14ac:dyDescent="0.3">
      <c r="J15578" s="33"/>
    </row>
    <row r="15579" spans="10:10" ht="15" customHeight="1" x14ac:dyDescent="0.3">
      <c r="J15579" s="33"/>
    </row>
    <row r="15580" spans="10:10" ht="15" customHeight="1" x14ac:dyDescent="0.3">
      <c r="J15580" s="33"/>
    </row>
    <row r="15581" spans="10:10" ht="15" customHeight="1" x14ac:dyDescent="0.3">
      <c r="J15581" s="33"/>
    </row>
    <row r="15582" spans="10:10" ht="15" customHeight="1" x14ac:dyDescent="0.3">
      <c r="J15582" s="33"/>
    </row>
    <row r="15583" spans="10:10" ht="15" customHeight="1" x14ac:dyDescent="0.3">
      <c r="J15583" s="33"/>
    </row>
    <row r="15584" spans="10:10" ht="15" customHeight="1" x14ac:dyDescent="0.3">
      <c r="J15584" s="33"/>
    </row>
    <row r="15585" spans="10:10" ht="15" customHeight="1" x14ac:dyDescent="0.3">
      <c r="J15585" s="33"/>
    </row>
    <row r="15586" spans="10:10" ht="15" customHeight="1" x14ac:dyDescent="0.3">
      <c r="J15586" s="33"/>
    </row>
    <row r="15587" spans="10:10" ht="15" customHeight="1" x14ac:dyDescent="0.3">
      <c r="J15587" s="33"/>
    </row>
    <row r="15588" spans="10:10" ht="15" customHeight="1" x14ac:dyDescent="0.3">
      <c r="J15588" s="33"/>
    </row>
    <row r="15589" spans="10:10" ht="15" customHeight="1" x14ac:dyDescent="0.3">
      <c r="J15589" s="33"/>
    </row>
    <row r="15590" spans="10:10" ht="15" customHeight="1" x14ac:dyDescent="0.3">
      <c r="J15590" s="33"/>
    </row>
    <row r="15591" spans="10:10" ht="15" customHeight="1" x14ac:dyDescent="0.3">
      <c r="J15591" s="33"/>
    </row>
    <row r="15592" spans="10:10" ht="15" customHeight="1" x14ac:dyDescent="0.3">
      <c r="J15592" s="33"/>
    </row>
    <row r="15593" spans="10:10" ht="15" customHeight="1" x14ac:dyDescent="0.3">
      <c r="J15593" s="33"/>
    </row>
    <row r="15594" spans="10:10" ht="15" customHeight="1" x14ac:dyDescent="0.3">
      <c r="J15594" s="33"/>
    </row>
    <row r="15595" spans="10:10" ht="15" customHeight="1" x14ac:dyDescent="0.3">
      <c r="J15595" s="33"/>
    </row>
    <row r="15596" spans="10:10" ht="15" customHeight="1" x14ac:dyDescent="0.3">
      <c r="J15596" s="33"/>
    </row>
    <row r="15597" spans="10:10" ht="15" customHeight="1" x14ac:dyDescent="0.3">
      <c r="J15597" s="33"/>
    </row>
    <row r="15598" spans="10:10" ht="15" customHeight="1" x14ac:dyDescent="0.3">
      <c r="J15598" s="33"/>
    </row>
    <row r="15599" spans="10:10" ht="15" customHeight="1" x14ac:dyDescent="0.3">
      <c r="J15599" s="33"/>
    </row>
    <row r="15600" spans="10:10" ht="15" customHeight="1" x14ac:dyDescent="0.3">
      <c r="J15600" s="33"/>
    </row>
    <row r="15601" spans="10:10" ht="15" customHeight="1" x14ac:dyDescent="0.3">
      <c r="J15601" s="33"/>
    </row>
    <row r="15602" spans="10:10" ht="15" customHeight="1" x14ac:dyDescent="0.3">
      <c r="J15602" s="33"/>
    </row>
    <row r="15603" spans="10:10" ht="15" customHeight="1" x14ac:dyDescent="0.3">
      <c r="J15603" s="33"/>
    </row>
    <row r="15604" spans="10:10" ht="15" customHeight="1" x14ac:dyDescent="0.3">
      <c r="J15604" s="33"/>
    </row>
    <row r="15605" spans="10:10" ht="15" customHeight="1" x14ac:dyDescent="0.3">
      <c r="J15605" s="33"/>
    </row>
    <row r="15606" spans="10:10" ht="15" customHeight="1" x14ac:dyDescent="0.3">
      <c r="J15606" s="33"/>
    </row>
    <row r="15607" spans="10:10" ht="15" customHeight="1" x14ac:dyDescent="0.3">
      <c r="J15607" s="33"/>
    </row>
    <row r="15608" spans="10:10" ht="15" customHeight="1" x14ac:dyDescent="0.3">
      <c r="J15608" s="33"/>
    </row>
    <row r="15609" spans="10:10" ht="15" customHeight="1" x14ac:dyDescent="0.3">
      <c r="J15609" s="33"/>
    </row>
    <row r="15610" spans="10:10" ht="15" customHeight="1" x14ac:dyDescent="0.3">
      <c r="J15610" s="33"/>
    </row>
    <row r="15611" spans="10:10" ht="15" customHeight="1" x14ac:dyDescent="0.3">
      <c r="J15611" s="33"/>
    </row>
    <row r="15612" spans="10:10" ht="15" customHeight="1" x14ac:dyDescent="0.3">
      <c r="J15612" s="33"/>
    </row>
    <row r="15613" spans="10:10" ht="15" customHeight="1" x14ac:dyDescent="0.3">
      <c r="J15613" s="33"/>
    </row>
    <row r="15614" spans="10:10" ht="15" customHeight="1" x14ac:dyDescent="0.3">
      <c r="J15614" s="33"/>
    </row>
    <row r="15615" spans="10:10" ht="15" customHeight="1" x14ac:dyDescent="0.3">
      <c r="J15615" s="33"/>
    </row>
    <row r="15616" spans="10:10" ht="15" customHeight="1" x14ac:dyDescent="0.3">
      <c r="J15616" s="33"/>
    </row>
    <row r="15617" spans="10:10" ht="15" customHeight="1" x14ac:dyDescent="0.3">
      <c r="J15617" s="33"/>
    </row>
    <row r="15618" spans="10:10" ht="15" customHeight="1" x14ac:dyDescent="0.3">
      <c r="J15618" s="33"/>
    </row>
    <row r="15619" spans="10:10" ht="15" customHeight="1" x14ac:dyDescent="0.3">
      <c r="J15619" s="33"/>
    </row>
    <row r="15620" spans="10:10" ht="15" customHeight="1" x14ac:dyDescent="0.3">
      <c r="J15620" s="33"/>
    </row>
    <row r="15621" spans="10:10" ht="15" customHeight="1" x14ac:dyDescent="0.3">
      <c r="J15621" s="33"/>
    </row>
    <row r="15622" spans="10:10" ht="15" customHeight="1" x14ac:dyDescent="0.3">
      <c r="J15622" s="33"/>
    </row>
    <row r="15623" spans="10:10" ht="15" customHeight="1" x14ac:dyDescent="0.3">
      <c r="J15623" s="33"/>
    </row>
    <row r="15624" spans="10:10" ht="15" customHeight="1" x14ac:dyDescent="0.3">
      <c r="J15624" s="33"/>
    </row>
    <row r="15625" spans="10:10" ht="15" customHeight="1" x14ac:dyDescent="0.3">
      <c r="J15625" s="33"/>
    </row>
    <row r="15626" spans="10:10" ht="15" customHeight="1" x14ac:dyDescent="0.3">
      <c r="J15626" s="33"/>
    </row>
    <row r="15627" spans="10:10" ht="15" customHeight="1" x14ac:dyDescent="0.3">
      <c r="J15627" s="33"/>
    </row>
    <row r="15628" spans="10:10" ht="15" customHeight="1" x14ac:dyDescent="0.3">
      <c r="J15628" s="33"/>
    </row>
    <row r="15629" spans="10:10" ht="15" customHeight="1" x14ac:dyDescent="0.3">
      <c r="J15629" s="33"/>
    </row>
    <row r="15630" spans="10:10" ht="15" customHeight="1" x14ac:dyDescent="0.3">
      <c r="J15630" s="33"/>
    </row>
    <row r="15631" spans="10:10" ht="15" customHeight="1" x14ac:dyDescent="0.3">
      <c r="J15631" s="33"/>
    </row>
    <row r="15632" spans="10:10" ht="15" customHeight="1" x14ac:dyDescent="0.3">
      <c r="J15632" s="33"/>
    </row>
    <row r="15633" spans="10:10" ht="15" customHeight="1" x14ac:dyDescent="0.3">
      <c r="J15633" s="33"/>
    </row>
    <row r="15634" spans="10:10" ht="15" customHeight="1" x14ac:dyDescent="0.3">
      <c r="J15634" s="33"/>
    </row>
    <row r="15635" spans="10:10" ht="15" customHeight="1" x14ac:dyDescent="0.3">
      <c r="J15635" s="33"/>
    </row>
    <row r="15636" spans="10:10" ht="15" customHeight="1" x14ac:dyDescent="0.3">
      <c r="J15636" s="33"/>
    </row>
    <row r="15637" spans="10:10" ht="15" customHeight="1" x14ac:dyDescent="0.3">
      <c r="J15637" s="33"/>
    </row>
    <row r="15638" spans="10:10" ht="15" customHeight="1" x14ac:dyDescent="0.3">
      <c r="J15638" s="33"/>
    </row>
    <row r="15639" spans="10:10" ht="15" customHeight="1" x14ac:dyDescent="0.3">
      <c r="J15639" s="33"/>
    </row>
    <row r="15640" spans="10:10" ht="15" customHeight="1" x14ac:dyDescent="0.3">
      <c r="J15640" s="33"/>
    </row>
    <row r="15641" spans="10:10" ht="15" customHeight="1" x14ac:dyDescent="0.3">
      <c r="J15641" s="33"/>
    </row>
    <row r="15642" spans="10:10" ht="15" customHeight="1" x14ac:dyDescent="0.3">
      <c r="J15642" s="33"/>
    </row>
    <row r="15643" spans="10:10" ht="15" customHeight="1" x14ac:dyDescent="0.3">
      <c r="J15643" s="33"/>
    </row>
    <row r="15644" spans="10:10" ht="15" customHeight="1" x14ac:dyDescent="0.3">
      <c r="J15644" s="33"/>
    </row>
    <row r="15645" spans="10:10" ht="15" customHeight="1" x14ac:dyDescent="0.3">
      <c r="J15645" s="33"/>
    </row>
    <row r="15646" spans="10:10" ht="15" customHeight="1" x14ac:dyDescent="0.3">
      <c r="J15646" s="33"/>
    </row>
    <row r="15647" spans="10:10" ht="15" customHeight="1" x14ac:dyDescent="0.3">
      <c r="J15647" s="33"/>
    </row>
    <row r="15648" spans="10:10" ht="15" customHeight="1" x14ac:dyDescent="0.3">
      <c r="J15648" s="33"/>
    </row>
    <row r="15649" spans="10:10" ht="15" customHeight="1" x14ac:dyDescent="0.3">
      <c r="J15649" s="33"/>
    </row>
    <row r="15650" spans="10:10" ht="15" customHeight="1" x14ac:dyDescent="0.3">
      <c r="J15650" s="33"/>
    </row>
    <row r="15651" spans="10:10" ht="15" customHeight="1" x14ac:dyDescent="0.3">
      <c r="J15651" s="33"/>
    </row>
    <row r="15652" spans="10:10" ht="15" customHeight="1" x14ac:dyDescent="0.3">
      <c r="J15652" s="33"/>
    </row>
    <row r="15653" spans="10:10" ht="15" customHeight="1" x14ac:dyDescent="0.3">
      <c r="J15653" s="33"/>
    </row>
    <row r="15654" spans="10:10" ht="15" customHeight="1" x14ac:dyDescent="0.3">
      <c r="J15654" s="33"/>
    </row>
    <row r="15655" spans="10:10" ht="15" customHeight="1" x14ac:dyDescent="0.3">
      <c r="J15655" s="33"/>
    </row>
    <row r="15656" spans="10:10" ht="15" customHeight="1" x14ac:dyDescent="0.3">
      <c r="J15656" s="33"/>
    </row>
    <row r="15657" spans="10:10" ht="15" customHeight="1" x14ac:dyDescent="0.3">
      <c r="J15657" s="33"/>
    </row>
    <row r="15658" spans="10:10" ht="15" customHeight="1" x14ac:dyDescent="0.3">
      <c r="J15658" s="33"/>
    </row>
    <row r="15659" spans="10:10" ht="15" customHeight="1" x14ac:dyDescent="0.3">
      <c r="J15659" s="33"/>
    </row>
    <row r="15660" spans="10:10" ht="15" customHeight="1" x14ac:dyDescent="0.3">
      <c r="J15660" s="33"/>
    </row>
    <row r="15661" spans="10:10" ht="15" customHeight="1" x14ac:dyDescent="0.3">
      <c r="J15661" s="33"/>
    </row>
    <row r="15662" spans="10:10" ht="15" customHeight="1" x14ac:dyDescent="0.3">
      <c r="J15662" s="33"/>
    </row>
    <row r="15663" spans="10:10" ht="15" customHeight="1" x14ac:dyDescent="0.3">
      <c r="J15663" s="33"/>
    </row>
    <row r="15664" spans="10:10" ht="15" customHeight="1" x14ac:dyDescent="0.3">
      <c r="J15664" s="33"/>
    </row>
    <row r="15665" spans="10:10" ht="15" customHeight="1" x14ac:dyDescent="0.3">
      <c r="J15665" s="33"/>
    </row>
    <row r="15666" spans="10:10" ht="15" customHeight="1" x14ac:dyDescent="0.3">
      <c r="J15666" s="33"/>
    </row>
    <row r="15667" spans="10:10" ht="15" customHeight="1" x14ac:dyDescent="0.3">
      <c r="J15667" s="33"/>
    </row>
    <row r="15668" spans="10:10" ht="15" customHeight="1" x14ac:dyDescent="0.3">
      <c r="J15668" s="33"/>
    </row>
    <row r="15669" spans="10:10" ht="15" customHeight="1" x14ac:dyDescent="0.3">
      <c r="J15669" s="33"/>
    </row>
    <row r="15670" spans="10:10" ht="15" customHeight="1" x14ac:dyDescent="0.3">
      <c r="J15670" s="33"/>
    </row>
    <row r="15671" spans="10:10" ht="15" customHeight="1" x14ac:dyDescent="0.3">
      <c r="J15671" s="33"/>
    </row>
    <row r="15672" spans="10:10" ht="15" customHeight="1" x14ac:dyDescent="0.3">
      <c r="J15672" s="33"/>
    </row>
    <row r="15673" spans="10:10" ht="15" customHeight="1" x14ac:dyDescent="0.3">
      <c r="J15673" s="33"/>
    </row>
    <row r="15674" spans="10:10" ht="15" customHeight="1" x14ac:dyDescent="0.3">
      <c r="J15674" s="33"/>
    </row>
    <row r="15675" spans="10:10" ht="15" customHeight="1" x14ac:dyDescent="0.3">
      <c r="J15675" s="33"/>
    </row>
    <row r="15676" spans="10:10" ht="15" customHeight="1" x14ac:dyDescent="0.3">
      <c r="J15676" s="33"/>
    </row>
    <row r="15677" spans="10:10" ht="15" customHeight="1" x14ac:dyDescent="0.3">
      <c r="J15677" s="33"/>
    </row>
    <row r="15678" spans="10:10" ht="15" customHeight="1" x14ac:dyDescent="0.3">
      <c r="J15678" s="33"/>
    </row>
    <row r="15679" spans="10:10" ht="15" customHeight="1" x14ac:dyDescent="0.3">
      <c r="J15679" s="33"/>
    </row>
    <row r="15680" spans="10:10" ht="15" customHeight="1" x14ac:dyDescent="0.3">
      <c r="J15680" s="33"/>
    </row>
    <row r="15681" spans="10:10" ht="15" customHeight="1" x14ac:dyDescent="0.3">
      <c r="J15681" s="33"/>
    </row>
    <row r="15682" spans="10:10" ht="15" customHeight="1" x14ac:dyDescent="0.3">
      <c r="J15682" s="33"/>
    </row>
    <row r="15683" spans="10:10" ht="15" customHeight="1" x14ac:dyDescent="0.3">
      <c r="J15683" s="33"/>
    </row>
    <row r="15684" spans="10:10" ht="15" customHeight="1" x14ac:dyDescent="0.3">
      <c r="J15684" s="33"/>
    </row>
    <row r="15685" spans="10:10" ht="15" customHeight="1" x14ac:dyDescent="0.3">
      <c r="J15685" s="33"/>
    </row>
    <row r="15686" spans="10:10" ht="15" customHeight="1" x14ac:dyDescent="0.3">
      <c r="J15686" s="33"/>
    </row>
    <row r="15687" spans="10:10" ht="15" customHeight="1" x14ac:dyDescent="0.3">
      <c r="J15687" s="33"/>
    </row>
    <row r="15688" spans="10:10" ht="15" customHeight="1" x14ac:dyDescent="0.3">
      <c r="J15688" s="33"/>
    </row>
    <row r="15689" spans="10:10" ht="15" customHeight="1" x14ac:dyDescent="0.3">
      <c r="J15689" s="33"/>
    </row>
    <row r="15690" spans="10:10" ht="15" customHeight="1" x14ac:dyDescent="0.3">
      <c r="J15690" s="33"/>
    </row>
    <row r="15691" spans="10:10" ht="15" customHeight="1" x14ac:dyDescent="0.3">
      <c r="J15691" s="33"/>
    </row>
    <row r="15692" spans="10:10" ht="15" customHeight="1" x14ac:dyDescent="0.3">
      <c r="J15692" s="33"/>
    </row>
    <row r="15693" spans="10:10" ht="15" customHeight="1" x14ac:dyDescent="0.3">
      <c r="J15693" s="33"/>
    </row>
    <row r="15694" spans="10:10" ht="15" customHeight="1" x14ac:dyDescent="0.3">
      <c r="J15694" s="33"/>
    </row>
    <row r="15695" spans="10:10" ht="15" customHeight="1" x14ac:dyDescent="0.3">
      <c r="J15695" s="33"/>
    </row>
    <row r="15696" spans="10:10" ht="15" customHeight="1" x14ac:dyDescent="0.3">
      <c r="J15696" s="33"/>
    </row>
    <row r="15697" spans="10:10" ht="15" customHeight="1" x14ac:dyDescent="0.3">
      <c r="J15697" s="33"/>
    </row>
    <row r="15698" spans="10:10" ht="15" customHeight="1" x14ac:dyDescent="0.3">
      <c r="J15698" s="33"/>
    </row>
    <row r="15699" spans="10:10" ht="15" customHeight="1" x14ac:dyDescent="0.3">
      <c r="J15699" s="33"/>
    </row>
    <row r="15700" spans="10:10" ht="15" customHeight="1" x14ac:dyDescent="0.3">
      <c r="J15700" s="33"/>
    </row>
    <row r="15701" spans="10:10" ht="15" customHeight="1" x14ac:dyDescent="0.3">
      <c r="J15701" s="33"/>
    </row>
    <row r="15702" spans="10:10" ht="15" customHeight="1" x14ac:dyDescent="0.3">
      <c r="J15702" s="33"/>
    </row>
    <row r="15703" spans="10:10" ht="15" customHeight="1" x14ac:dyDescent="0.3">
      <c r="J15703" s="33"/>
    </row>
    <row r="15704" spans="10:10" ht="15" customHeight="1" x14ac:dyDescent="0.3">
      <c r="J15704" s="33"/>
    </row>
    <row r="15705" spans="10:10" ht="15" customHeight="1" x14ac:dyDescent="0.3">
      <c r="J15705" s="33"/>
    </row>
    <row r="15706" spans="10:10" ht="15" customHeight="1" x14ac:dyDescent="0.3">
      <c r="J15706" s="33"/>
    </row>
    <row r="15707" spans="10:10" ht="15" customHeight="1" x14ac:dyDescent="0.3">
      <c r="J15707" s="33"/>
    </row>
    <row r="15708" spans="10:10" ht="15" customHeight="1" x14ac:dyDescent="0.3">
      <c r="J15708" s="33"/>
    </row>
    <row r="15709" spans="10:10" ht="15" customHeight="1" x14ac:dyDescent="0.3">
      <c r="J15709" s="33"/>
    </row>
    <row r="15710" spans="10:10" ht="15" customHeight="1" x14ac:dyDescent="0.3">
      <c r="J15710" s="33"/>
    </row>
    <row r="15711" spans="10:10" ht="15" customHeight="1" x14ac:dyDescent="0.3">
      <c r="J15711" s="33"/>
    </row>
    <row r="15712" spans="10:10" ht="15" customHeight="1" x14ac:dyDescent="0.3">
      <c r="J15712" s="33"/>
    </row>
    <row r="15713" spans="10:10" ht="15" customHeight="1" x14ac:dyDescent="0.3">
      <c r="J15713" s="33"/>
    </row>
    <row r="15714" spans="10:10" ht="15" customHeight="1" x14ac:dyDescent="0.3">
      <c r="J15714" s="33"/>
    </row>
    <row r="15715" spans="10:10" ht="15" customHeight="1" x14ac:dyDescent="0.3">
      <c r="J15715" s="33"/>
    </row>
    <row r="15716" spans="10:10" ht="15" customHeight="1" x14ac:dyDescent="0.3">
      <c r="J15716" s="33"/>
    </row>
    <row r="15717" spans="10:10" ht="15" customHeight="1" x14ac:dyDescent="0.3">
      <c r="J15717" s="33"/>
    </row>
    <row r="15718" spans="10:10" ht="15" customHeight="1" x14ac:dyDescent="0.3">
      <c r="J15718" s="33"/>
    </row>
    <row r="15719" spans="10:10" ht="15" customHeight="1" x14ac:dyDescent="0.3">
      <c r="J15719" s="33"/>
    </row>
    <row r="15720" spans="10:10" ht="15" customHeight="1" x14ac:dyDescent="0.3">
      <c r="J15720" s="33"/>
    </row>
    <row r="15721" spans="10:10" ht="15" customHeight="1" x14ac:dyDescent="0.3">
      <c r="J15721" s="33"/>
    </row>
    <row r="15722" spans="10:10" ht="15" customHeight="1" x14ac:dyDescent="0.3">
      <c r="J15722" s="33"/>
    </row>
    <row r="15723" spans="10:10" ht="15" customHeight="1" x14ac:dyDescent="0.3">
      <c r="J15723" s="33"/>
    </row>
    <row r="15724" spans="10:10" ht="15" customHeight="1" x14ac:dyDescent="0.3">
      <c r="J15724" s="33"/>
    </row>
    <row r="15725" spans="10:10" ht="15" customHeight="1" x14ac:dyDescent="0.3">
      <c r="J15725" s="33"/>
    </row>
    <row r="15726" spans="10:10" ht="15" customHeight="1" x14ac:dyDescent="0.3">
      <c r="J15726" s="33"/>
    </row>
    <row r="15727" spans="10:10" ht="15" customHeight="1" x14ac:dyDescent="0.3">
      <c r="J15727" s="33"/>
    </row>
    <row r="15728" spans="10:10" ht="15" customHeight="1" x14ac:dyDescent="0.3">
      <c r="J15728" s="33"/>
    </row>
    <row r="15729" spans="10:10" ht="15" customHeight="1" x14ac:dyDescent="0.3">
      <c r="J15729" s="33"/>
    </row>
    <row r="15730" spans="10:10" ht="15" customHeight="1" x14ac:dyDescent="0.3">
      <c r="J15730" s="33"/>
    </row>
    <row r="15731" spans="10:10" ht="15" customHeight="1" x14ac:dyDescent="0.3">
      <c r="J15731" s="33"/>
    </row>
    <row r="15732" spans="10:10" ht="15" customHeight="1" x14ac:dyDescent="0.3">
      <c r="J15732" s="33"/>
    </row>
    <row r="15733" spans="10:10" ht="15" customHeight="1" x14ac:dyDescent="0.3">
      <c r="J15733" s="33"/>
    </row>
    <row r="15734" spans="10:10" ht="15" customHeight="1" x14ac:dyDescent="0.3">
      <c r="J15734" s="33"/>
    </row>
    <row r="15735" spans="10:10" ht="15" customHeight="1" x14ac:dyDescent="0.3">
      <c r="J15735" s="33"/>
    </row>
    <row r="15736" spans="10:10" ht="15" customHeight="1" x14ac:dyDescent="0.3">
      <c r="J15736" s="33"/>
    </row>
    <row r="15737" spans="10:10" ht="15" customHeight="1" x14ac:dyDescent="0.3">
      <c r="J15737" s="33"/>
    </row>
    <row r="15738" spans="10:10" ht="15" customHeight="1" x14ac:dyDescent="0.3">
      <c r="J15738" s="33"/>
    </row>
    <row r="15739" spans="10:10" ht="15" customHeight="1" x14ac:dyDescent="0.3">
      <c r="J15739" s="33"/>
    </row>
    <row r="15740" spans="10:10" ht="15" customHeight="1" x14ac:dyDescent="0.3">
      <c r="J15740" s="33"/>
    </row>
    <row r="15741" spans="10:10" ht="15" customHeight="1" x14ac:dyDescent="0.3">
      <c r="J15741" s="33"/>
    </row>
    <row r="15742" spans="10:10" ht="15" customHeight="1" x14ac:dyDescent="0.3">
      <c r="J15742" s="33"/>
    </row>
    <row r="15743" spans="10:10" ht="15" customHeight="1" x14ac:dyDescent="0.3">
      <c r="J15743" s="33"/>
    </row>
    <row r="15744" spans="10:10" ht="15" customHeight="1" x14ac:dyDescent="0.3">
      <c r="J15744" s="33"/>
    </row>
    <row r="15745" spans="10:10" ht="15" customHeight="1" x14ac:dyDescent="0.3">
      <c r="J15745" s="33"/>
    </row>
    <row r="15746" spans="10:10" ht="15" customHeight="1" x14ac:dyDescent="0.3">
      <c r="J15746" s="33"/>
    </row>
    <row r="15747" spans="10:10" ht="15" customHeight="1" x14ac:dyDescent="0.3">
      <c r="J15747" s="33"/>
    </row>
    <row r="15748" spans="10:10" ht="15" customHeight="1" x14ac:dyDescent="0.3">
      <c r="J15748" s="33"/>
    </row>
    <row r="15749" spans="10:10" ht="15" customHeight="1" x14ac:dyDescent="0.3">
      <c r="J15749" s="33"/>
    </row>
    <row r="15750" spans="10:10" ht="15" customHeight="1" x14ac:dyDescent="0.3">
      <c r="J15750" s="33"/>
    </row>
    <row r="15751" spans="10:10" ht="15" customHeight="1" x14ac:dyDescent="0.3">
      <c r="J15751" s="33"/>
    </row>
    <row r="15752" spans="10:10" ht="15" customHeight="1" x14ac:dyDescent="0.3">
      <c r="J15752" s="33"/>
    </row>
    <row r="15753" spans="10:10" ht="15" customHeight="1" x14ac:dyDescent="0.3">
      <c r="J15753" s="33"/>
    </row>
    <row r="15754" spans="10:10" ht="15" customHeight="1" x14ac:dyDescent="0.3">
      <c r="J15754" s="33"/>
    </row>
    <row r="15755" spans="10:10" ht="15" customHeight="1" x14ac:dyDescent="0.3">
      <c r="J15755" s="33"/>
    </row>
    <row r="15756" spans="10:10" ht="15" customHeight="1" x14ac:dyDescent="0.3">
      <c r="J15756" s="33"/>
    </row>
    <row r="15757" spans="10:10" ht="15" customHeight="1" x14ac:dyDescent="0.3">
      <c r="J15757" s="33"/>
    </row>
    <row r="15758" spans="10:10" ht="15" customHeight="1" x14ac:dyDescent="0.3">
      <c r="J15758" s="33"/>
    </row>
    <row r="15759" spans="10:10" ht="15" customHeight="1" x14ac:dyDescent="0.3">
      <c r="J15759" s="33"/>
    </row>
    <row r="15760" spans="10:10" ht="15" customHeight="1" x14ac:dyDescent="0.3">
      <c r="J15760" s="33"/>
    </row>
    <row r="15761" spans="10:10" ht="15" customHeight="1" x14ac:dyDescent="0.3">
      <c r="J15761" s="33"/>
    </row>
    <row r="15762" spans="10:10" ht="15" customHeight="1" x14ac:dyDescent="0.3">
      <c r="J15762" s="33"/>
    </row>
    <row r="15763" spans="10:10" ht="15" customHeight="1" x14ac:dyDescent="0.3">
      <c r="J15763" s="33"/>
    </row>
    <row r="15764" spans="10:10" ht="15" customHeight="1" x14ac:dyDescent="0.3">
      <c r="J15764" s="33"/>
    </row>
    <row r="15765" spans="10:10" ht="15" customHeight="1" x14ac:dyDescent="0.3">
      <c r="J15765" s="33"/>
    </row>
    <row r="15766" spans="10:10" ht="15" customHeight="1" x14ac:dyDescent="0.3">
      <c r="J15766" s="33"/>
    </row>
    <row r="15767" spans="10:10" ht="15" customHeight="1" x14ac:dyDescent="0.3">
      <c r="J15767" s="33"/>
    </row>
    <row r="15768" spans="10:10" ht="15" customHeight="1" x14ac:dyDescent="0.3">
      <c r="J15768" s="33"/>
    </row>
    <row r="15769" spans="10:10" ht="15" customHeight="1" x14ac:dyDescent="0.3">
      <c r="J15769" s="33"/>
    </row>
    <row r="15770" spans="10:10" ht="15" customHeight="1" x14ac:dyDescent="0.3">
      <c r="J15770" s="33"/>
    </row>
    <row r="15771" spans="10:10" ht="15" customHeight="1" x14ac:dyDescent="0.3">
      <c r="J15771" s="33"/>
    </row>
    <row r="15772" spans="10:10" ht="15" customHeight="1" x14ac:dyDescent="0.3">
      <c r="J15772" s="33"/>
    </row>
    <row r="15773" spans="10:10" ht="15" customHeight="1" x14ac:dyDescent="0.3">
      <c r="J15773" s="33"/>
    </row>
    <row r="15774" spans="10:10" ht="15" customHeight="1" x14ac:dyDescent="0.3">
      <c r="J15774" s="33"/>
    </row>
    <row r="15775" spans="10:10" ht="15" customHeight="1" x14ac:dyDescent="0.3">
      <c r="J15775" s="33"/>
    </row>
    <row r="15776" spans="10:10" ht="15" customHeight="1" x14ac:dyDescent="0.3">
      <c r="J15776" s="33"/>
    </row>
    <row r="15777" spans="10:10" ht="15" customHeight="1" x14ac:dyDescent="0.3">
      <c r="J15777" s="33"/>
    </row>
    <row r="15778" spans="10:10" ht="15" customHeight="1" x14ac:dyDescent="0.3">
      <c r="J15778" s="33"/>
    </row>
    <row r="15779" spans="10:10" ht="15" customHeight="1" x14ac:dyDescent="0.3">
      <c r="J15779" s="33"/>
    </row>
    <row r="15780" spans="10:10" ht="15" customHeight="1" x14ac:dyDescent="0.3">
      <c r="J15780" s="33"/>
    </row>
    <row r="15781" spans="10:10" ht="15" customHeight="1" x14ac:dyDescent="0.3">
      <c r="J15781" s="33"/>
    </row>
    <row r="15782" spans="10:10" ht="15" customHeight="1" x14ac:dyDescent="0.3">
      <c r="J15782" s="33"/>
    </row>
    <row r="15783" spans="10:10" ht="15" customHeight="1" x14ac:dyDescent="0.3">
      <c r="J15783" s="33"/>
    </row>
    <row r="15784" spans="10:10" ht="15" customHeight="1" x14ac:dyDescent="0.3">
      <c r="J15784" s="33"/>
    </row>
    <row r="15785" spans="10:10" ht="15" customHeight="1" x14ac:dyDescent="0.3">
      <c r="J15785" s="33"/>
    </row>
    <row r="15786" spans="10:10" ht="15" customHeight="1" x14ac:dyDescent="0.3">
      <c r="J15786" s="33"/>
    </row>
    <row r="15787" spans="10:10" ht="15" customHeight="1" x14ac:dyDescent="0.3">
      <c r="J15787" s="33"/>
    </row>
    <row r="15788" spans="10:10" ht="15" customHeight="1" x14ac:dyDescent="0.3">
      <c r="J15788" s="33"/>
    </row>
    <row r="15789" spans="10:10" ht="15" customHeight="1" x14ac:dyDescent="0.3">
      <c r="J15789" s="33"/>
    </row>
    <row r="15790" spans="10:10" ht="15" customHeight="1" x14ac:dyDescent="0.3">
      <c r="J15790" s="33"/>
    </row>
    <row r="15791" spans="10:10" ht="15" customHeight="1" x14ac:dyDescent="0.3">
      <c r="J15791" s="33"/>
    </row>
    <row r="15792" spans="10:10" ht="15" customHeight="1" x14ac:dyDescent="0.3">
      <c r="J15792" s="33"/>
    </row>
    <row r="15793" spans="10:10" ht="15" customHeight="1" x14ac:dyDescent="0.3">
      <c r="J15793" s="33"/>
    </row>
    <row r="15794" spans="10:10" ht="15" customHeight="1" x14ac:dyDescent="0.3">
      <c r="J15794" s="33"/>
    </row>
    <row r="15795" spans="10:10" ht="15" customHeight="1" x14ac:dyDescent="0.3">
      <c r="J15795" s="33"/>
    </row>
    <row r="15796" spans="10:10" ht="15" customHeight="1" x14ac:dyDescent="0.3">
      <c r="J15796" s="33"/>
    </row>
    <row r="15797" spans="10:10" ht="15" customHeight="1" x14ac:dyDescent="0.3">
      <c r="J15797" s="33"/>
    </row>
    <row r="15798" spans="10:10" ht="15" customHeight="1" x14ac:dyDescent="0.3">
      <c r="J15798" s="33"/>
    </row>
    <row r="15799" spans="10:10" ht="15" customHeight="1" x14ac:dyDescent="0.3">
      <c r="J15799" s="33"/>
    </row>
    <row r="15800" spans="10:10" ht="15" customHeight="1" x14ac:dyDescent="0.3">
      <c r="J15800" s="33"/>
    </row>
    <row r="15801" spans="10:10" ht="15" customHeight="1" x14ac:dyDescent="0.3">
      <c r="J15801" s="33"/>
    </row>
    <row r="15802" spans="10:10" ht="15" customHeight="1" x14ac:dyDescent="0.3">
      <c r="J15802" s="33"/>
    </row>
    <row r="15803" spans="10:10" ht="15" customHeight="1" x14ac:dyDescent="0.3">
      <c r="J15803" s="33"/>
    </row>
    <row r="15804" spans="10:10" ht="15" customHeight="1" x14ac:dyDescent="0.3">
      <c r="J15804" s="33"/>
    </row>
    <row r="15805" spans="10:10" ht="15" customHeight="1" x14ac:dyDescent="0.3">
      <c r="J15805" s="33"/>
    </row>
    <row r="15806" spans="10:10" ht="15" customHeight="1" x14ac:dyDescent="0.3">
      <c r="J15806" s="33"/>
    </row>
    <row r="15807" spans="10:10" ht="15" customHeight="1" x14ac:dyDescent="0.3">
      <c r="J15807" s="33"/>
    </row>
    <row r="15808" spans="10:10" ht="15" customHeight="1" x14ac:dyDescent="0.3">
      <c r="J15808" s="33"/>
    </row>
    <row r="15809" spans="10:10" ht="15" customHeight="1" x14ac:dyDescent="0.3">
      <c r="J15809" s="33"/>
    </row>
    <row r="15810" spans="10:10" ht="15" customHeight="1" x14ac:dyDescent="0.3">
      <c r="J15810" s="33"/>
    </row>
    <row r="15811" spans="10:10" ht="15" customHeight="1" x14ac:dyDescent="0.3">
      <c r="J15811" s="33"/>
    </row>
    <row r="15812" spans="10:10" ht="15" customHeight="1" x14ac:dyDescent="0.3">
      <c r="J15812" s="33"/>
    </row>
    <row r="15813" spans="10:10" ht="15" customHeight="1" x14ac:dyDescent="0.3">
      <c r="J15813" s="33"/>
    </row>
    <row r="15814" spans="10:10" ht="15" customHeight="1" x14ac:dyDescent="0.3">
      <c r="J15814" s="33"/>
    </row>
    <row r="15815" spans="10:10" ht="15" customHeight="1" x14ac:dyDescent="0.3">
      <c r="J15815" s="33"/>
    </row>
    <row r="15816" spans="10:10" ht="15" customHeight="1" x14ac:dyDescent="0.3">
      <c r="J15816" s="33"/>
    </row>
    <row r="15817" spans="10:10" ht="15" customHeight="1" x14ac:dyDescent="0.3">
      <c r="J15817" s="33"/>
    </row>
    <row r="15818" spans="10:10" ht="15" customHeight="1" x14ac:dyDescent="0.3">
      <c r="J15818" s="33"/>
    </row>
    <row r="15819" spans="10:10" ht="15" customHeight="1" x14ac:dyDescent="0.3">
      <c r="J15819" s="33"/>
    </row>
    <row r="15820" spans="10:10" ht="15" customHeight="1" x14ac:dyDescent="0.3">
      <c r="J15820" s="33"/>
    </row>
    <row r="15821" spans="10:10" ht="15" customHeight="1" x14ac:dyDescent="0.3">
      <c r="J15821" s="33"/>
    </row>
    <row r="15822" spans="10:10" ht="15" customHeight="1" x14ac:dyDescent="0.3">
      <c r="J15822" s="33"/>
    </row>
    <row r="15823" spans="10:10" ht="15" customHeight="1" x14ac:dyDescent="0.3">
      <c r="J15823" s="33"/>
    </row>
    <row r="15824" spans="10:10" ht="15" customHeight="1" x14ac:dyDescent="0.3">
      <c r="J15824" s="33"/>
    </row>
    <row r="15825" spans="10:10" ht="15" customHeight="1" x14ac:dyDescent="0.3">
      <c r="J15825" s="33"/>
    </row>
    <row r="15826" spans="10:10" ht="15" customHeight="1" x14ac:dyDescent="0.3">
      <c r="J15826" s="33"/>
    </row>
    <row r="15827" spans="10:10" ht="15" customHeight="1" x14ac:dyDescent="0.3">
      <c r="J15827" s="33"/>
    </row>
    <row r="15828" spans="10:10" ht="15" customHeight="1" x14ac:dyDescent="0.3">
      <c r="J15828" s="33"/>
    </row>
    <row r="15829" spans="10:10" ht="15" customHeight="1" x14ac:dyDescent="0.3">
      <c r="J15829" s="33"/>
    </row>
    <row r="15830" spans="10:10" ht="15" customHeight="1" x14ac:dyDescent="0.3">
      <c r="J15830" s="33"/>
    </row>
    <row r="15831" spans="10:10" ht="15" customHeight="1" x14ac:dyDescent="0.3">
      <c r="J15831" s="33"/>
    </row>
    <row r="15832" spans="10:10" ht="15" customHeight="1" x14ac:dyDescent="0.3">
      <c r="J15832" s="33"/>
    </row>
    <row r="15833" spans="10:10" ht="15" customHeight="1" x14ac:dyDescent="0.3">
      <c r="J15833" s="33"/>
    </row>
    <row r="15834" spans="10:10" ht="15" customHeight="1" x14ac:dyDescent="0.3">
      <c r="J15834" s="33"/>
    </row>
    <row r="15835" spans="10:10" ht="15" customHeight="1" x14ac:dyDescent="0.3">
      <c r="J15835" s="33"/>
    </row>
    <row r="15836" spans="10:10" ht="15" customHeight="1" x14ac:dyDescent="0.3">
      <c r="J15836" s="33"/>
    </row>
    <row r="15837" spans="10:10" ht="15" customHeight="1" x14ac:dyDescent="0.3">
      <c r="J15837" s="33"/>
    </row>
    <row r="15838" spans="10:10" ht="15" customHeight="1" x14ac:dyDescent="0.3">
      <c r="J15838" s="33"/>
    </row>
    <row r="15839" spans="10:10" ht="15" customHeight="1" x14ac:dyDescent="0.3">
      <c r="J15839" s="33"/>
    </row>
    <row r="15840" spans="10:10" ht="15" customHeight="1" x14ac:dyDescent="0.3">
      <c r="J15840" s="33"/>
    </row>
    <row r="15841" spans="10:10" ht="15" customHeight="1" x14ac:dyDescent="0.3">
      <c r="J15841" s="33"/>
    </row>
    <row r="15842" spans="10:10" ht="15" customHeight="1" x14ac:dyDescent="0.3">
      <c r="J15842" s="33"/>
    </row>
    <row r="15843" spans="10:10" ht="15" customHeight="1" x14ac:dyDescent="0.3">
      <c r="J15843" s="33"/>
    </row>
    <row r="15844" spans="10:10" ht="15" customHeight="1" x14ac:dyDescent="0.3">
      <c r="J15844" s="33"/>
    </row>
    <row r="15845" spans="10:10" ht="15" customHeight="1" x14ac:dyDescent="0.3">
      <c r="J15845" s="33"/>
    </row>
    <row r="15846" spans="10:10" ht="15" customHeight="1" x14ac:dyDescent="0.3">
      <c r="J15846" s="33"/>
    </row>
    <row r="15847" spans="10:10" ht="15" customHeight="1" x14ac:dyDescent="0.3">
      <c r="J15847" s="33"/>
    </row>
    <row r="15848" spans="10:10" ht="15" customHeight="1" x14ac:dyDescent="0.3">
      <c r="J15848" s="33"/>
    </row>
    <row r="15849" spans="10:10" ht="15" customHeight="1" x14ac:dyDescent="0.3">
      <c r="J15849" s="33"/>
    </row>
    <row r="15850" spans="10:10" ht="15" customHeight="1" x14ac:dyDescent="0.3">
      <c r="J15850" s="33"/>
    </row>
    <row r="15851" spans="10:10" ht="15" customHeight="1" x14ac:dyDescent="0.3">
      <c r="J15851" s="33"/>
    </row>
    <row r="15852" spans="10:10" ht="15" customHeight="1" x14ac:dyDescent="0.3">
      <c r="J15852" s="33"/>
    </row>
    <row r="15853" spans="10:10" ht="15" customHeight="1" x14ac:dyDescent="0.3">
      <c r="J15853" s="33"/>
    </row>
    <row r="15854" spans="10:10" ht="15" customHeight="1" x14ac:dyDescent="0.3">
      <c r="J15854" s="33"/>
    </row>
    <row r="15855" spans="10:10" ht="15" customHeight="1" x14ac:dyDescent="0.3">
      <c r="J15855" s="33"/>
    </row>
    <row r="15856" spans="10:10" ht="15" customHeight="1" x14ac:dyDescent="0.3">
      <c r="J15856" s="33"/>
    </row>
    <row r="15857" spans="10:10" ht="15" customHeight="1" x14ac:dyDescent="0.3">
      <c r="J15857" s="33"/>
    </row>
    <row r="15858" spans="10:10" ht="15" customHeight="1" x14ac:dyDescent="0.3">
      <c r="J15858" s="33"/>
    </row>
    <row r="15859" spans="10:10" ht="15" customHeight="1" x14ac:dyDescent="0.3">
      <c r="J15859" s="33"/>
    </row>
    <row r="15860" spans="10:10" ht="15" customHeight="1" x14ac:dyDescent="0.3">
      <c r="J15860" s="33"/>
    </row>
    <row r="15861" spans="10:10" ht="15" customHeight="1" x14ac:dyDescent="0.3">
      <c r="J15861" s="33"/>
    </row>
    <row r="15862" spans="10:10" ht="15" customHeight="1" x14ac:dyDescent="0.3">
      <c r="J15862" s="33"/>
    </row>
    <row r="15863" spans="10:10" ht="15" customHeight="1" x14ac:dyDescent="0.3">
      <c r="J15863" s="33"/>
    </row>
    <row r="15864" spans="10:10" ht="15" customHeight="1" x14ac:dyDescent="0.3">
      <c r="J15864" s="33"/>
    </row>
    <row r="15865" spans="10:10" ht="15" customHeight="1" x14ac:dyDescent="0.3">
      <c r="J15865" s="33"/>
    </row>
    <row r="15866" spans="10:10" ht="15" customHeight="1" x14ac:dyDescent="0.3">
      <c r="J15866" s="33"/>
    </row>
    <row r="15867" spans="10:10" ht="15" customHeight="1" x14ac:dyDescent="0.3">
      <c r="J15867" s="33"/>
    </row>
    <row r="15868" spans="10:10" ht="15" customHeight="1" x14ac:dyDescent="0.3">
      <c r="J15868" s="33"/>
    </row>
    <row r="15869" spans="10:10" ht="15" customHeight="1" x14ac:dyDescent="0.3">
      <c r="J15869" s="33"/>
    </row>
    <row r="15870" spans="10:10" ht="15" customHeight="1" x14ac:dyDescent="0.3">
      <c r="J15870" s="33"/>
    </row>
    <row r="15871" spans="10:10" ht="15" customHeight="1" x14ac:dyDescent="0.3">
      <c r="J15871" s="33"/>
    </row>
    <row r="15872" spans="10:10" ht="15" customHeight="1" x14ac:dyDescent="0.3">
      <c r="J15872" s="33"/>
    </row>
    <row r="15873" spans="10:10" ht="15" customHeight="1" x14ac:dyDescent="0.3">
      <c r="J15873" s="33"/>
    </row>
    <row r="15874" spans="10:10" ht="15" customHeight="1" x14ac:dyDescent="0.3">
      <c r="J15874" s="33"/>
    </row>
    <row r="15875" spans="10:10" ht="15" customHeight="1" x14ac:dyDescent="0.3">
      <c r="J15875" s="33"/>
    </row>
    <row r="15876" spans="10:10" ht="15" customHeight="1" x14ac:dyDescent="0.3">
      <c r="J15876" s="33"/>
    </row>
    <row r="15877" spans="10:10" ht="15" customHeight="1" x14ac:dyDescent="0.3">
      <c r="J15877" s="33"/>
    </row>
    <row r="15878" spans="10:10" ht="15" customHeight="1" x14ac:dyDescent="0.3">
      <c r="J15878" s="33"/>
    </row>
    <row r="15879" spans="10:10" ht="15" customHeight="1" x14ac:dyDescent="0.3">
      <c r="J15879" s="33"/>
    </row>
    <row r="15880" spans="10:10" ht="15" customHeight="1" x14ac:dyDescent="0.3">
      <c r="J15880" s="33"/>
    </row>
    <row r="15881" spans="10:10" ht="15" customHeight="1" x14ac:dyDescent="0.3">
      <c r="J15881" s="33"/>
    </row>
    <row r="15882" spans="10:10" ht="15" customHeight="1" x14ac:dyDescent="0.3">
      <c r="J15882" s="33"/>
    </row>
    <row r="15883" spans="10:10" ht="15" customHeight="1" x14ac:dyDescent="0.3">
      <c r="J15883" s="33"/>
    </row>
    <row r="15884" spans="10:10" ht="15" customHeight="1" x14ac:dyDescent="0.3">
      <c r="J15884" s="33"/>
    </row>
    <row r="15885" spans="10:10" ht="15" customHeight="1" x14ac:dyDescent="0.3">
      <c r="J15885" s="33"/>
    </row>
    <row r="15886" spans="10:10" ht="15" customHeight="1" x14ac:dyDescent="0.3">
      <c r="J15886" s="33"/>
    </row>
    <row r="15887" spans="10:10" ht="15" customHeight="1" x14ac:dyDescent="0.3">
      <c r="J15887" s="33"/>
    </row>
    <row r="15888" spans="10:10" ht="15" customHeight="1" x14ac:dyDescent="0.3">
      <c r="J15888" s="33"/>
    </row>
    <row r="15889" spans="10:10" ht="15" customHeight="1" x14ac:dyDescent="0.3">
      <c r="J15889" s="33"/>
    </row>
    <row r="15890" spans="10:10" ht="15" customHeight="1" x14ac:dyDescent="0.3">
      <c r="J15890" s="33"/>
    </row>
    <row r="15891" spans="10:10" ht="15" customHeight="1" x14ac:dyDescent="0.3">
      <c r="J15891" s="33"/>
    </row>
    <row r="15892" spans="10:10" ht="15" customHeight="1" x14ac:dyDescent="0.3">
      <c r="J15892" s="33"/>
    </row>
    <row r="15893" spans="10:10" ht="15" customHeight="1" x14ac:dyDescent="0.3">
      <c r="J15893" s="33"/>
    </row>
    <row r="15894" spans="10:10" ht="15" customHeight="1" x14ac:dyDescent="0.3">
      <c r="J15894" s="33"/>
    </row>
    <row r="15895" spans="10:10" ht="15" customHeight="1" x14ac:dyDescent="0.3">
      <c r="J15895" s="33"/>
    </row>
    <row r="15896" spans="10:10" ht="15" customHeight="1" x14ac:dyDescent="0.3">
      <c r="J15896" s="33"/>
    </row>
    <row r="15897" spans="10:10" ht="15" customHeight="1" x14ac:dyDescent="0.3">
      <c r="J15897" s="33"/>
    </row>
    <row r="15898" spans="10:10" ht="15" customHeight="1" x14ac:dyDescent="0.3">
      <c r="J15898" s="33"/>
    </row>
    <row r="15899" spans="10:10" ht="15" customHeight="1" x14ac:dyDescent="0.3">
      <c r="J15899" s="33"/>
    </row>
    <row r="15900" spans="10:10" ht="15" customHeight="1" x14ac:dyDescent="0.3">
      <c r="J15900" s="33"/>
    </row>
    <row r="15901" spans="10:10" ht="15" customHeight="1" x14ac:dyDescent="0.3">
      <c r="J15901" s="33"/>
    </row>
    <row r="15902" spans="10:10" ht="15" customHeight="1" x14ac:dyDescent="0.3">
      <c r="J15902" s="33"/>
    </row>
    <row r="15903" spans="10:10" ht="15" customHeight="1" x14ac:dyDescent="0.3">
      <c r="J15903" s="33"/>
    </row>
    <row r="15904" spans="10:10" ht="15" customHeight="1" x14ac:dyDescent="0.3">
      <c r="J15904" s="33"/>
    </row>
    <row r="15905" spans="10:10" ht="15" customHeight="1" x14ac:dyDescent="0.3">
      <c r="J15905" s="33"/>
    </row>
    <row r="15906" spans="10:10" ht="15" customHeight="1" x14ac:dyDescent="0.3">
      <c r="J15906" s="33"/>
    </row>
    <row r="15907" spans="10:10" ht="15" customHeight="1" x14ac:dyDescent="0.3">
      <c r="J15907" s="33"/>
    </row>
    <row r="15908" spans="10:10" ht="15" customHeight="1" x14ac:dyDescent="0.3">
      <c r="J15908" s="33"/>
    </row>
    <row r="15909" spans="10:10" ht="15" customHeight="1" x14ac:dyDescent="0.3">
      <c r="J15909" s="33"/>
    </row>
    <row r="15910" spans="10:10" ht="15" customHeight="1" x14ac:dyDescent="0.3">
      <c r="J15910" s="33"/>
    </row>
    <row r="15911" spans="10:10" ht="15" customHeight="1" x14ac:dyDescent="0.3">
      <c r="J15911" s="33"/>
    </row>
    <row r="15912" spans="10:10" ht="15" customHeight="1" x14ac:dyDescent="0.3">
      <c r="J15912" s="33"/>
    </row>
    <row r="15913" spans="10:10" ht="15" customHeight="1" x14ac:dyDescent="0.3">
      <c r="J15913" s="33"/>
    </row>
    <row r="15914" spans="10:10" ht="15" customHeight="1" x14ac:dyDescent="0.3">
      <c r="J15914" s="33"/>
    </row>
    <row r="15915" spans="10:10" ht="15" customHeight="1" x14ac:dyDescent="0.3">
      <c r="J15915" s="33"/>
    </row>
    <row r="15916" spans="10:10" ht="15" customHeight="1" x14ac:dyDescent="0.3">
      <c r="J15916" s="33"/>
    </row>
    <row r="15917" spans="10:10" ht="15" customHeight="1" x14ac:dyDescent="0.3">
      <c r="J15917" s="33"/>
    </row>
    <row r="15918" spans="10:10" ht="15" customHeight="1" x14ac:dyDescent="0.3">
      <c r="J15918" s="33"/>
    </row>
    <row r="15919" spans="10:10" ht="15" customHeight="1" x14ac:dyDescent="0.3">
      <c r="J15919" s="33"/>
    </row>
    <row r="15920" spans="10:10" ht="15" customHeight="1" x14ac:dyDescent="0.3">
      <c r="J15920" s="33"/>
    </row>
    <row r="15921" spans="10:10" ht="15" customHeight="1" x14ac:dyDescent="0.3">
      <c r="J15921" s="33"/>
    </row>
    <row r="15922" spans="10:10" ht="15" customHeight="1" x14ac:dyDescent="0.3">
      <c r="J15922" s="33"/>
    </row>
    <row r="15923" spans="10:10" ht="15" customHeight="1" x14ac:dyDescent="0.3">
      <c r="J15923" s="33"/>
    </row>
    <row r="15924" spans="10:10" ht="15" customHeight="1" x14ac:dyDescent="0.3">
      <c r="J15924" s="33"/>
    </row>
    <row r="15925" spans="10:10" ht="15" customHeight="1" x14ac:dyDescent="0.3">
      <c r="J15925" s="33"/>
    </row>
    <row r="15926" spans="10:10" ht="15" customHeight="1" x14ac:dyDescent="0.3">
      <c r="J15926" s="33"/>
    </row>
    <row r="15927" spans="10:10" ht="15" customHeight="1" x14ac:dyDescent="0.3">
      <c r="J15927" s="33"/>
    </row>
    <row r="15928" spans="10:10" ht="15" customHeight="1" x14ac:dyDescent="0.3">
      <c r="J15928" s="33"/>
    </row>
    <row r="15929" spans="10:10" ht="15" customHeight="1" x14ac:dyDescent="0.3">
      <c r="J15929" s="33"/>
    </row>
    <row r="15930" spans="10:10" ht="15" customHeight="1" x14ac:dyDescent="0.3">
      <c r="J15930" s="33"/>
    </row>
    <row r="15931" spans="10:10" ht="15" customHeight="1" x14ac:dyDescent="0.3">
      <c r="J15931" s="33"/>
    </row>
    <row r="15932" spans="10:10" ht="15" customHeight="1" x14ac:dyDescent="0.3">
      <c r="J15932" s="33"/>
    </row>
    <row r="15933" spans="10:10" ht="15" customHeight="1" x14ac:dyDescent="0.3">
      <c r="J15933" s="33"/>
    </row>
    <row r="15934" spans="10:10" ht="15" customHeight="1" x14ac:dyDescent="0.3">
      <c r="J15934" s="33"/>
    </row>
    <row r="15935" spans="10:10" ht="15" customHeight="1" x14ac:dyDescent="0.3">
      <c r="J15935" s="33"/>
    </row>
    <row r="15936" spans="10:10" ht="15" customHeight="1" x14ac:dyDescent="0.3">
      <c r="J15936" s="33"/>
    </row>
    <row r="15937" spans="10:10" ht="15" customHeight="1" x14ac:dyDescent="0.3">
      <c r="J15937" s="33"/>
    </row>
    <row r="15938" spans="10:10" ht="15" customHeight="1" x14ac:dyDescent="0.3">
      <c r="J15938" s="33"/>
    </row>
    <row r="15939" spans="10:10" ht="15" customHeight="1" x14ac:dyDescent="0.3">
      <c r="J15939" s="33"/>
    </row>
    <row r="15940" spans="10:10" ht="15" customHeight="1" x14ac:dyDescent="0.3">
      <c r="J15940" s="33"/>
    </row>
    <row r="15941" spans="10:10" ht="15" customHeight="1" x14ac:dyDescent="0.3">
      <c r="J15941" s="33"/>
    </row>
    <row r="15942" spans="10:10" ht="15" customHeight="1" x14ac:dyDescent="0.3">
      <c r="J15942" s="33"/>
    </row>
    <row r="15943" spans="10:10" ht="15" customHeight="1" x14ac:dyDescent="0.3">
      <c r="J15943" s="33"/>
    </row>
    <row r="15944" spans="10:10" ht="15" customHeight="1" x14ac:dyDescent="0.3">
      <c r="J15944" s="33"/>
    </row>
    <row r="15945" spans="10:10" ht="15" customHeight="1" x14ac:dyDescent="0.3">
      <c r="J15945" s="33"/>
    </row>
    <row r="15946" spans="10:10" ht="15" customHeight="1" x14ac:dyDescent="0.3">
      <c r="J15946" s="33"/>
    </row>
    <row r="15947" spans="10:10" ht="15" customHeight="1" x14ac:dyDescent="0.3">
      <c r="J15947" s="33"/>
    </row>
    <row r="15948" spans="10:10" ht="15" customHeight="1" x14ac:dyDescent="0.3">
      <c r="J15948" s="33"/>
    </row>
    <row r="15949" spans="10:10" ht="15" customHeight="1" x14ac:dyDescent="0.3">
      <c r="J15949" s="33"/>
    </row>
    <row r="15950" spans="10:10" ht="15" customHeight="1" x14ac:dyDescent="0.3">
      <c r="J15950" s="33"/>
    </row>
    <row r="15951" spans="10:10" ht="15" customHeight="1" x14ac:dyDescent="0.3">
      <c r="J15951" s="33"/>
    </row>
    <row r="15952" spans="10:10" ht="15" customHeight="1" x14ac:dyDescent="0.3">
      <c r="J15952" s="33"/>
    </row>
    <row r="15953" spans="10:10" ht="15" customHeight="1" x14ac:dyDescent="0.3">
      <c r="J15953" s="33"/>
    </row>
    <row r="15954" spans="10:10" ht="15" customHeight="1" x14ac:dyDescent="0.3">
      <c r="J15954" s="33"/>
    </row>
    <row r="15955" spans="10:10" ht="15" customHeight="1" x14ac:dyDescent="0.3">
      <c r="J15955" s="33"/>
    </row>
    <row r="15956" spans="10:10" ht="15" customHeight="1" x14ac:dyDescent="0.3">
      <c r="J15956" s="33"/>
    </row>
    <row r="15957" spans="10:10" ht="15" customHeight="1" x14ac:dyDescent="0.3">
      <c r="J15957" s="33"/>
    </row>
    <row r="15958" spans="10:10" ht="15" customHeight="1" x14ac:dyDescent="0.3">
      <c r="J15958" s="33"/>
    </row>
    <row r="15959" spans="10:10" ht="15" customHeight="1" x14ac:dyDescent="0.3">
      <c r="J15959" s="33"/>
    </row>
    <row r="15960" spans="10:10" ht="15" customHeight="1" x14ac:dyDescent="0.3">
      <c r="J15960" s="33"/>
    </row>
    <row r="15961" spans="10:10" ht="15" customHeight="1" x14ac:dyDescent="0.3">
      <c r="J15961" s="33"/>
    </row>
    <row r="15962" spans="10:10" ht="15" customHeight="1" x14ac:dyDescent="0.3">
      <c r="J15962" s="33"/>
    </row>
    <row r="15963" spans="10:10" ht="15" customHeight="1" x14ac:dyDescent="0.3">
      <c r="J15963" s="33"/>
    </row>
    <row r="15964" spans="10:10" ht="15" customHeight="1" x14ac:dyDescent="0.3">
      <c r="J15964" s="33"/>
    </row>
    <row r="15965" spans="10:10" ht="15" customHeight="1" x14ac:dyDescent="0.3">
      <c r="J15965" s="33"/>
    </row>
    <row r="15966" spans="10:10" ht="15" customHeight="1" x14ac:dyDescent="0.3">
      <c r="J15966" s="33"/>
    </row>
    <row r="15967" spans="10:10" ht="15" customHeight="1" x14ac:dyDescent="0.3">
      <c r="J15967" s="33"/>
    </row>
    <row r="15968" spans="10:10" ht="15" customHeight="1" x14ac:dyDescent="0.3">
      <c r="J15968" s="33"/>
    </row>
    <row r="15969" spans="10:10" ht="15" customHeight="1" x14ac:dyDescent="0.3">
      <c r="J15969" s="33"/>
    </row>
    <row r="15970" spans="10:10" ht="15" customHeight="1" x14ac:dyDescent="0.3">
      <c r="J15970" s="33"/>
    </row>
    <row r="15971" spans="10:10" ht="15" customHeight="1" x14ac:dyDescent="0.3">
      <c r="J15971" s="33"/>
    </row>
    <row r="15972" spans="10:10" ht="15" customHeight="1" x14ac:dyDescent="0.3">
      <c r="J15972" s="33"/>
    </row>
    <row r="15973" spans="10:10" ht="15" customHeight="1" x14ac:dyDescent="0.3">
      <c r="J15973" s="33"/>
    </row>
    <row r="15974" spans="10:10" ht="15" customHeight="1" x14ac:dyDescent="0.3">
      <c r="J15974" s="33"/>
    </row>
    <row r="15975" spans="10:10" ht="15" customHeight="1" x14ac:dyDescent="0.3">
      <c r="J15975" s="33"/>
    </row>
    <row r="15976" spans="10:10" ht="15" customHeight="1" x14ac:dyDescent="0.3">
      <c r="J15976" s="33"/>
    </row>
    <row r="15977" spans="10:10" ht="15" customHeight="1" x14ac:dyDescent="0.3">
      <c r="J15977" s="33"/>
    </row>
    <row r="15978" spans="10:10" ht="15" customHeight="1" x14ac:dyDescent="0.3">
      <c r="J15978" s="33"/>
    </row>
    <row r="15979" spans="10:10" ht="15" customHeight="1" x14ac:dyDescent="0.3">
      <c r="J15979" s="33"/>
    </row>
    <row r="15980" spans="10:10" ht="15" customHeight="1" x14ac:dyDescent="0.3">
      <c r="J15980" s="33"/>
    </row>
    <row r="15981" spans="10:10" ht="15" customHeight="1" x14ac:dyDescent="0.3">
      <c r="J15981" s="33"/>
    </row>
    <row r="15982" spans="10:10" ht="15" customHeight="1" x14ac:dyDescent="0.3">
      <c r="J15982" s="33"/>
    </row>
    <row r="15983" spans="10:10" ht="15" customHeight="1" x14ac:dyDescent="0.3">
      <c r="J15983" s="33"/>
    </row>
    <row r="15984" spans="10:10" ht="15" customHeight="1" x14ac:dyDescent="0.3">
      <c r="J15984" s="33"/>
    </row>
    <row r="15985" spans="10:10" ht="15" customHeight="1" x14ac:dyDescent="0.3">
      <c r="J15985" s="33"/>
    </row>
    <row r="15986" spans="10:10" ht="15" customHeight="1" x14ac:dyDescent="0.3">
      <c r="J15986" s="33"/>
    </row>
    <row r="15987" spans="10:10" ht="15" customHeight="1" x14ac:dyDescent="0.3">
      <c r="J15987" s="33"/>
    </row>
    <row r="15988" spans="10:10" ht="15" customHeight="1" x14ac:dyDescent="0.3">
      <c r="J15988" s="33"/>
    </row>
    <row r="15989" spans="10:10" ht="15" customHeight="1" x14ac:dyDescent="0.3">
      <c r="J15989" s="33"/>
    </row>
    <row r="15990" spans="10:10" ht="15" customHeight="1" x14ac:dyDescent="0.3">
      <c r="J15990" s="33"/>
    </row>
    <row r="15991" spans="10:10" ht="15" customHeight="1" x14ac:dyDescent="0.3">
      <c r="J15991" s="33"/>
    </row>
    <row r="15992" spans="10:10" ht="15" customHeight="1" x14ac:dyDescent="0.3">
      <c r="J15992" s="33"/>
    </row>
    <row r="15993" spans="10:10" ht="15" customHeight="1" x14ac:dyDescent="0.3">
      <c r="J15993" s="33"/>
    </row>
    <row r="15994" spans="10:10" ht="15" customHeight="1" x14ac:dyDescent="0.3">
      <c r="J15994" s="33"/>
    </row>
    <row r="15995" spans="10:10" ht="15" customHeight="1" x14ac:dyDescent="0.3">
      <c r="J15995" s="33"/>
    </row>
    <row r="15996" spans="10:10" ht="15" customHeight="1" x14ac:dyDescent="0.3">
      <c r="J15996" s="33"/>
    </row>
    <row r="15997" spans="10:10" ht="15" customHeight="1" x14ac:dyDescent="0.3">
      <c r="J15997" s="33"/>
    </row>
    <row r="15998" spans="10:10" ht="15" customHeight="1" x14ac:dyDescent="0.3">
      <c r="J15998" s="33"/>
    </row>
    <row r="15999" spans="10:10" ht="15" customHeight="1" x14ac:dyDescent="0.3">
      <c r="J15999" s="33"/>
    </row>
    <row r="16000" spans="10:10" ht="15" customHeight="1" x14ac:dyDescent="0.3">
      <c r="J16000" s="33"/>
    </row>
    <row r="16001" spans="10:10" ht="15" customHeight="1" x14ac:dyDescent="0.3">
      <c r="J16001" s="33"/>
    </row>
    <row r="16002" spans="10:10" ht="15" customHeight="1" x14ac:dyDescent="0.3">
      <c r="J16002" s="33"/>
    </row>
    <row r="16003" spans="10:10" ht="15" customHeight="1" x14ac:dyDescent="0.3">
      <c r="J16003" s="33"/>
    </row>
    <row r="16004" spans="10:10" ht="15" customHeight="1" x14ac:dyDescent="0.3">
      <c r="J16004" s="33"/>
    </row>
    <row r="16005" spans="10:10" ht="15" customHeight="1" x14ac:dyDescent="0.3">
      <c r="J16005" s="33"/>
    </row>
    <row r="16006" spans="10:10" ht="15" customHeight="1" x14ac:dyDescent="0.3">
      <c r="J16006" s="33"/>
    </row>
    <row r="16007" spans="10:10" ht="15" customHeight="1" x14ac:dyDescent="0.3">
      <c r="J16007" s="33"/>
    </row>
    <row r="16008" spans="10:10" ht="15" customHeight="1" x14ac:dyDescent="0.3">
      <c r="J16008" s="33"/>
    </row>
    <row r="16009" spans="10:10" ht="15" customHeight="1" x14ac:dyDescent="0.3">
      <c r="J16009" s="33"/>
    </row>
    <row r="16010" spans="10:10" ht="15" customHeight="1" x14ac:dyDescent="0.3">
      <c r="J16010" s="33"/>
    </row>
    <row r="16011" spans="10:10" ht="15" customHeight="1" x14ac:dyDescent="0.3">
      <c r="J16011" s="33"/>
    </row>
    <row r="16012" spans="10:10" ht="15" customHeight="1" x14ac:dyDescent="0.3">
      <c r="J16012" s="33"/>
    </row>
    <row r="16013" spans="10:10" ht="15" customHeight="1" x14ac:dyDescent="0.3">
      <c r="J16013" s="33"/>
    </row>
    <row r="16014" spans="10:10" ht="15" customHeight="1" x14ac:dyDescent="0.3">
      <c r="J16014" s="33"/>
    </row>
    <row r="16015" spans="10:10" ht="15" customHeight="1" x14ac:dyDescent="0.3">
      <c r="J16015" s="33"/>
    </row>
    <row r="16016" spans="10:10" ht="15" customHeight="1" x14ac:dyDescent="0.3">
      <c r="J16016" s="33"/>
    </row>
    <row r="16017" spans="10:10" ht="15" customHeight="1" x14ac:dyDescent="0.3">
      <c r="J16017" s="33"/>
    </row>
    <row r="16018" spans="10:10" ht="15" customHeight="1" x14ac:dyDescent="0.3">
      <c r="J16018" s="33"/>
    </row>
    <row r="16019" spans="10:10" ht="15" customHeight="1" x14ac:dyDescent="0.3">
      <c r="J16019" s="33"/>
    </row>
    <row r="16020" spans="10:10" ht="15" customHeight="1" x14ac:dyDescent="0.3">
      <c r="J16020" s="33"/>
    </row>
    <row r="16021" spans="10:10" ht="15" customHeight="1" x14ac:dyDescent="0.3">
      <c r="J16021" s="33"/>
    </row>
    <row r="16022" spans="10:10" ht="15" customHeight="1" x14ac:dyDescent="0.3">
      <c r="J16022" s="33"/>
    </row>
    <row r="16023" spans="10:10" ht="15" customHeight="1" x14ac:dyDescent="0.3">
      <c r="J16023" s="33"/>
    </row>
    <row r="16024" spans="10:10" ht="15" customHeight="1" x14ac:dyDescent="0.3">
      <c r="J16024" s="33"/>
    </row>
    <row r="16025" spans="10:10" ht="15" customHeight="1" x14ac:dyDescent="0.3">
      <c r="J16025" s="33"/>
    </row>
    <row r="16026" spans="10:10" ht="15" customHeight="1" x14ac:dyDescent="0.3">
      <c r="J16026" s="33"/>
    </row>
    <row r="16027" spans="10:10" ht="15" customHeight="1" x14ac:dyDescent="0.3">
      <c r="J16027" s="33"/>
    </row>
    <row r="16028" spans="10:10" ht="15" customHeight="1" x14ac:dyDescent="0.3">
      <c r="J16028" s="33"/>
    </row>
    <row r="16029" spans="10:10" ht="15" customHeight="1" x14ac:dyDescent="0.3">
      <c r="J16029" s="33"/>
    </row>
    <row r="16030" spans="10:10" ht="15" customHeight="1" x14ac:dyDescent="0.3">
      <c r="J16030" s="33"/>
    </row>
    <row r="16031" spans="10:10" ht="15" customHeight="1" x14ac:dyDescent="0.3">
      <c r="J16031" s="33"/>
    </row>
    <row r="16032" spans="10:10" ht="15" customHeight="1" x14ac:dyDescent="0.3">
      <c r="J16032" s="33"/>
    </row>
    <row r="16033" spans="10:10" ht="15" customHeight="1" x14ac:dyDescent="0.3">
      <c r="J16033" s="33"/>
    </row>
    <row r="16034" spans="10:10" ht="15" customHeight="1" x14ac:dyDescent="0.3">
      <c r="J16034" s="33"/>
    </row>
    <row r="16035" spans="10:10" ht="15" customHeight="1" x14ac:dyDescent="0.3">
      <c r="J16035" s="33"/>
    </row>
    <row r="16036" spans="10:10" ht="15" customHeight="1" x14ac:dyDescent="0.3">
      <c r="J16036" s="33"/>
    </row>
    <row r="16037" spans="10:10" ht="15" customHeight="1" x14ac:dyDescent="0.3">
      <c r="J16037" s="33"/>
    </row>
    <row r="16038" spans="10:10" ht="15" customHeight="1" x14ac:dyDescent="0.3">
      <c r="J16038" s="33"/>
    </row>
    <row r="16039" spans="10:10" ht="15" customHeight="1" x14ac:dyDescent="0.3">
      <c r="J16039" s="33"/>
    </row>
    <row r="16040" spans="10:10" ht="15" customHeight="1" x14ac:dyDescent="0.3">
      <c r="J16040" s="33"/>
    </row>
    <row r="16041" spans="10:10" ht="15" customHeight="1" x14ac:dyDescent="0.3">
      <c r="J16041" s="33"/>
    </row>
    <row r="16042" spans="10:10" ht="15" customHeight="1" x14ac:dyDescent="0.3">
      <c r="J16042" s="33"/>
    </row>
    <row r="16043" spans="10:10" ht="15" customHeight="1" x14ac:dyDescent="0.3">
      <c r="J16043" s="33"/>
    </row>
    <row r="16044" spans="10:10" ht="15" customHeight="1" x14ac:dyDescent="0.3">
      <c r="J16044" s="33"/>
    </row>
    <row r="16045" spans="10:10" ht="15" customHeight="1" x14ac:dyDescent="0.3">
      <c r="J16045" s="33"/>
    </row>
    <row r="16046" spans="10:10" ht="15" customHeight="1" x14ac:dyDescent="0.3">
      <c r="J16046" s="33"/>
    </row>
    <row r="16047" spans="10:10" ht="15" customHeight="1" x14ac:dyDescent="0.3">
      <c r="J16047" s="33"/>
    </row>
    <row r="16048" spans="10:10" ht="15" customHeight="1" x14ac:dyDescent="0.3">
      <c r="J16048" s="33"/>
    </row>
    <row r="16049" spans="10:10" ht="15" customHeight="1" x14ac:dyDescent="0.3">
      <c r="J16049" s="33"/>
    </row>
    <row r="16050" spans="10:10" ht="15" customHeight="1" x14ac:dyDescent="0.3">
      <c r="J16050" s="33"/>
    </row>
    <row r="16051" spans="10:10" ht="15" customHeight="1" x14ac:dyDescent="0.3">
      <c r="J16051" s="33"/>
    </row>
    <row r="16052" spans="10:10" ht="15" customHeight="1" x14ac:dyDescent="0.3">
      <c r="J16052" s="33"/>
    </row>
    <row r="16053" spans="10:10" ht="15" customHeight="1" x14ac:dyDescent="0.3">
      <c r="J16053" s="33"/>
    </row>
    <row r="16054" spans="10:10" ht="15" customHeight="1" x14ac:dyDescent="0.3">
      <c r="J16054" s="33"/>
    </row>
    <row r="16055" spans="10:10" ht="15" customHeight="1" x14ac:dyDescent="0.3">
      <c r="J16055" s="33"/>
    </row>
    <row r="16056" spans="10:10" ht="15" customHeight="1" x14ac:dyDescent="0.3">
      <c r="J16056" s="33"/>
    </row>
    <row r="16057" spans="10:10" ht="15" customHeight="1" x14ac:dyDescent="0.3">
      <c r="J16057" s="33"/>
    </row>
    <row r="16058" spans="10:10" ht="15" customHeight="1" x14ac:dyDescent="0.3">
      <c r="J16058" s="33"/>
    </row>
    <row r="16059" spans="10:10" ht="15" customHeight="1" x14ac:dyDescent="0.3">
      <c r="J16059" s="33"/>
    </row>
    <row r="16060" spans="10:10" ht="15" customHeight="1" x14ac:dyDescent="0.3">
      <c r="J16060" s="33"/>
    </row>
    <row r="16061" spans="10:10" ht="15" customHeight="1" x14ac:dyDescent="0.3">
      <c r="J16061" s="33"/>
    </row>
    <row r="16062" spans="10:10" ht="15" customHeight="1" x14ac:dyDescent="0.3">
      <c r="J16062" s="33"/>
    </row>
    <row r="16063" spans="10:10" ht="15" customHeight="1" x14ac:dyDescent="0.3">
      <c r="J16063" s="33"/>
    </row>
    <row r="16064" spans="10:10" ht="15" customHeight="1" x14ac:dyDescent="0.3">
      <c r="J16064" s="33"/>
    </row>
    <row r="16065" spans="10:10" ht="15" customHeight="1" x14ac:dyDescent="0.3">
      <c r="J16065" s="33"/>
    </row>
    <row r="16066" spans="10:10" ht="15" customHeight="1" x14ac:dyDescent="0.3">
      <c r="J16066" s="33"/>
    </row>
    <row r="16067" spans="10:10" ht="15" customHeight="1" x14ac:dyDescent="0.3">
      <c r="J16067" s="33"/>
    </row>
    <row r="16068" spans="10:10" ht="15" customHeight="1" x14ac:dyDescent="0.3">
      <c r="J16068" s="33"/>
    </row>
    <row r="16069" spans="10:10" ht="15" customHeight="1" x14ac:dyDescent="0.3">
      <c r="J16069" s="33"/>
    </row>
    <row r="16070" spans="10:10" ht="15" customHeight="1" x14ac:dyDescent="0.3">
      <c r="J16070" s="33"/>
    </row>
    <row r="16071" spans="10:10" ht="15" customHeight="1" x14ac:dyDescent="0.3">
      <c r="J16071" s="33"/>
    </row>
    <row r="16072" spans="10:10" ht="15" customHeight="1" x14ac:dyDescent="0.3">
      <c r="J16072" s="33"/>
    </row>
    <row r="16073" spans="10:10" ht="15" customHeight="1" x14ac:dyDescent="0.3">
      <c r="J16073" s="33"/>
    </row>
    <row r="16074" spans="10:10" ht="15" customHeight="1" x14ac:dyDescent="0.3">
      <c r="J16074" s="33"/>
    </row>
    <row r="16075" spans="10:10" ht="15" customHeight="1" x14ac:dyDescent="0.3">
      <c r="J16075" s="33"/>
    </row>
    <row r="16076" spans="10:10" ht="15" customHeight="1" x14ac:dyDescent="0.3">
      <c r="J16076" s="33"/>
    </row>
    <row r="16077" spans="10:10" ht="15" customHeight="1" x14ac:dyDescent="0.3">
      <c r="J16077" s="33"/>
    </row>
    <row r="16078" spans="10:10" ht="15" customHeight="1" x14ac:dyDescent="0.3">
      <c r="J16078" s="33"/>
    </row>
    <row r="16079" spans="10:10" ht="15" customHeight="1" x14ac:dyDescent="0.3">
      <c r="J16079" s="33"/>
    </row>
    <row r="16080" spans="10:10" ht="15" customHeight="1" x14ac:dyDescent="0.3">
      <c r="J16080" s="33"/>
    </row>
    <row r="16081" spans="10:10" ht="15" customHeight="1" x14ac:dyDescent="0.3">
      <c r="J16081" s="33"/>
    </row>
    <row r="16082" spans="10:10" ht="15" customHeight="1" x14ac:dyDescent="0.3">
      <c r="J16082" s="33"/>
    </row>
    <row r="16083" spans="10:10" ht="15" customHeight="1" x14ac:dyDescent="0.3">
      <c r="J16083" s="33"/>
    </row>
    <row r="16084" spans="10:10" ht="15" customHeight="1" x14ac:dyDescent="0.3">
      <c r="J16084" s="33"/>
    </row>
    <row r="16085" spans="10:10" ht="15" customHeight="1" x14ac:dyDescent="0.3">
      <c r="J16085" s="33"/>
    </row>
    <row r="16086" spans="10:10" ht="15" customHeight="1" x14ac:dyDescent="0.3">
      <c r="J16086" s="33"/>
    </row>
    <row r="16087" spans="10:10" ht="15" customHeight="1" x14ac:dyDescent="0.3">
      <c r="J16087" s="33"/>
    </row>
    <row r="16088" spans="10:10" ht="15" customHeight="1" x14ac:dyDescent="0.3">
      <c r="J16088" s="33"/>
    </row>
    <row r="16089" spans="10:10" ht="15" customHeight="1" x14ac:dyDescent="0.3">
      <c r="J16089" s="33"/>
    </row>
    <row r="16090" spans="10:10" ht="15" customHeight="1" x14ac:dyDescent="0.3">
      <c r="J16090" s="33"/>
    </row>
    <row r="16091" spans="10:10" ht="15" customHeight="1" x14ac:dyDescent="0.3">
      <c r="J16091" s="33"/>
    </row>
    <row r="16092" spans="10:10" ht="15" customHeight="1" x14ac:dyDescent="0.3">
      <c r="J16092" s="33"/>
    </row>
    <row r="16093" spans="10:10" ht="15" customHeight="1" x14ac:dyDescent="0.3">
      <c r="J16093" s="33"/>
    </row>
    <row r="16094" spans="10:10" ht="15" customHeight="1" x14ac:dyDescent="0.3">
      <c r="J16094" s="33"/>
    </row>
    <row r="16095" spans="10:10" ht="15" customHeight="1" x14ac:dyDescent="0.3">
      <c r="J16095" s="33"/>
    </row>
    <row r="16096" spans="10:10" ht="15" customHeight="1" x14ac:dyDescent="0.3">
      <c r="J16096" s="33"/>
    </row>
    <row r="16097" spans="10:10" ht="15" customHeight="1" x14ac:dyDescent="0.3">
      <c r="J16097" s="33"/>
    </row>
    <row r="16098" spans="10:10" ht="15" customHeight="1" x14ac:dyDescent="0.3">
      <c r="J16098" s="33"/>
    </row>
    <row r="16099" spans="10:10" ht="15" customHeight="1" x14ac:dyDescent="0.3">
      <c r="J16099" s="33"/>
    </row>
    <row r="16100" spans="10:10" ht="15" customHeight="1" x14ac:dyDescent="0.3">
      <c r="J16100" s="33"/>
    </row>
    <row r="16101" spans="10:10" ht="15" customHeight="1" x14ac:dyDescent="0.3">
      <c r="J16101" s="33"/>
    </row>
    <row r="16102" spans="10:10" ht="15" customHeight="1" x14ac:dyDescent="0.3">
      <c r="J16102" s="33"/>
    </row>
    <row r="16103" spans="10:10" ht="15" customHeight="1" x14ac:dyDescent="0.3">
      <c r="J16103" s="33"/>
    </row>
    <row r="16104" spans="10:10" ht="15" customHeight="1" x14ac:dyDescent="0.3">
      <c r="J16104" s="33"/>
    </row>
    <row r="16105" spans="10:10" ht="15" customHeight="1" x14ac:dyDescent="0.3">
      <c r="J16105" s="33"/>
    </row>
    <row r="16106" spans="10:10" ht="15" customHeight="1" x14ac:dyDescent="0.3">
      <c r="J16106" s="33"/>
    </row>
    <row r="16107" spans="10:10" ht="15" customHeight="1" x14ac:dyDescent="0.3">
      <c r="J16107" s="33"/>
    </row>
    <row r="16108" spans="10:10" ht="15" customHeight="1" x14ac:dyDescent="0.3">
      <c r="J16108" s="33"/>
    </row>
    <row r="16109" spans="10:10" ht="15" customHeight="1" x14ac:dyDescent="0.3">
      <c r="J16109" s="33"/>
    </row>
    <row r="16110" spans="10:10" ht="15" customHeight="1" x14ac:dyDescent="0.3">
      <c r="J16110" s="33"/>
    </row>
    <row r="16111" spans="10:10" ht="15" customHeight="1" x14ac:dyDescent="0.3">
      <c r="J16111" s="33"/>
    </row>
    <row r="16112" spans="10:10" ht="15" customHeight="1" x14ac:dyDescent="0.3">
      <c r="J16112" s="33"/>
    </row>
    <row r="16113" spans="10:10" ht="15" customHeight="1" x14ac:dyDescent="0.3">
      <c r="J16113" s="33"/>
    </row>
    <row r="16114" spans="10:10" ht="15" customHeight="1" x14ac:dyDescent="0.3">
      <c r="J16114" s="33"/>
    </row>
    <row r="16115" spans="10:10" ht="15" customHeight="1" x14ac:dyDescent="0.3">
      <c r="J16115" s="33"/>
    </row>
    <row r="16116" spans="10:10" ht="15" customHeight="1" x14ac:dyDescent="0.3">
      <c r="J16116" s="33"/>
    </row>
    <row r="16117" spans="10:10" ht="15" customHeight="1" x14ac:dyDescent="0.3">
      <c r="J16117" s="33"/>
    </row>
    <row r="16118" spans="10:10" ht="15" customHeight="1" x14ac:dyDescent="0.3">
      <c r="J16118" s="33"/>
    </row>
    <row r="16119" spans="10:10" ht="15" customHeight="1" x14ac:dyDescent="0.3">
      <c r="J16119" s="33"/>
    </row>
    <row r="16120" spans="10:10" ht="15" customHeight="1" x14ac:dyDescent="0.3">
      <c r="J16120" s="33"/>
    </row>
    <row r="16121" spans="10:10" ht="15" customHeight="1" x14ac:dyDescent="0.3">
      <c r="J16121" s="33"/>
    </row>
    <row r="16122" spans="10:10" ht="15" customHeight="1" x14ac:dyDescent="0.3">
      <c r="J16122" s="33"/>
    </row>
    <row r="16123" spans="10:10" ht="15" customHeight="1" x14ac:dyDescent="0.3">
      <c r="J16123" s="33"/>
    </row>
    <row r="16124" spans="10:10" ht="15" customHeight="1" x14ac:dyDescent="0.3">
      <c r="J16124" s="33"/>
    </row>
    <row r="16125" spans="10:10" ht="15" customHeight="1" x14ac:dyDescent="0.3">
      <c r="J16125" s="33"/>
    </row>
    <row r="16126" spans="10:10" ht="15" customHeight="1" x14ac:dyDescent="0.3">
      <c r="J16126" s="33"/>
    </row>
    <row r="16127" spans="10:10" ht="15" customHeight="1" x14ac:dyDescent="0.3">
      <c r="J16127" s="33"/>
    </row>
    <row r="16128" spans="10:10" ht="15" customHeight="1" x14ac:dyDescent="0.3">
      <c r="J16128" s="33"/>
    </row>
    <row r="16129" spans="10:10" ht="15" customHeight="1" x14ac:dyDescent="0.3">
      <c r="J16129" s="33"/>
    </row>
    <row r="16130" spans="10:10" ht="15" customHeight="1" x14ac:dyDescent="0.3">
      <c r="J16130" s="33"/>
    </row>
    <row r="16131" spans="10:10" ht="15" customHeight="1" x14ac:dyDescent="0.3">
      <c r="J16131" s="33"/>
    </row>
    <row r="16132" spans="10:10" ht="15" customHeight="1" x14ac:dyDescent="0.3">
      <c r="J16132" s="33"/>
    </row>
    <row r="16133" spans="10:10" ht="15" customHeight="1" x14ac:dyDescent="0.3">
      <c r="J16133" s="33"/>
    </row>
    <row r="16134" spans="10:10" ht="15" customHeight="1" x14ac:dyDescent="0.3">
      <c r="J16134" s="33"/>
    </row>
    <row r="16135" spans="10:10" ht="15" customHeight="1" x14ac:dyDescent="0.3">
      <c r="J16135" s="33"/>
    </row>
    <row r="16136" spans="10:10" ht="15" customHeight="1" x14ac:dyDescent="0.3">
      <c r="J16136" s="33"/>
    </row>
    <row r="16137" spans="10:10" ht="15" customHeight="1" x14ac:dyDescent="0.3">
      <c r="J16137" s="33"/>
    </row>
    <row r="16138" spans="10:10" ht="15" customHeight="1" x14ac:dyDescent="0.3">
      <c r="J16138" s="33"/>
    </row>
    <row r="16139" spans="10:10" ht="15" customHeight="1" x14ac:dyDescent="0.3">
      <c r="J16139" s="33"/>
    </row>
    <row r="16140" spans="10:10" ht="15" customHeight="1" x14ac:dyDescent="0.3">
      <c r="J16140" s="33"/>
    </row>
    <row r="16141" spans="10:10" ht="15" customHeight="1" x14ac:dyDescent="0.3">
      <c r="J16141" s="33"/>
    </row>
    <row r="16142" spans="10:10" ht="15" customHeight="1" x14ac:dyDescent="0.3">
      <c r="J16142" s="33"/>
    </row>
    <row r="16143" spans="10:10" ht="15" customHeight="1" x14ac:dyDescent="0.3">
      <c r="J16143" s="33"/>
    </row>
    <row r="16144" spans="10:10" ht="15" customHeight="1" x14ac:dyDescent="0.3">
      <c r="J16144" s="33"/>
    </row>
    <row r="16145" spans="10:10" ht="15" customHeight="1" x14ac:dyDescent="0.3">
      <c r="J16145" s="33"/>
    </row>
    <row r="16146" spans="10:10" ht="15" customHeight="1" x14ac:dyDescent="0.3">
      <c r="J16146" s="33"/>
    </row>
    <row r="16147" spans="10:10" ht="15" customHeight="1" x14ac:dyDescent="0.3">
      <c r="J16147" s="33"/>
    </row>
    <row r="16148" spans="10:10" ht="15" customHeight="1" x14ac:dyDescent="0.3">
      <c r="J16148" s="33"/>
    </row>
    <row r="16149" spans="10:10" ht="15" customHeight="1" x14ac:dyDescent="0.3">
      <c r="J16149" s="33"/>
    </row>
    <row r="16150" spans="10:10" ht="15" customHeight="1" x14ac:dyDescent="0.3">
      <c r="J16150" s="33"/>
    </row>
    <row r="16151" spans="10:10" ht="15" customHeight="1" x14ac:dyDescent="0.3">
      <c r="J16151" s="33"/>
    </row>
    <row r="16152" spans="10:10" ht="15" customHeight="1" x14ac:dyDescent="0.3">
      <c r="J16152" s="33"/>
    </row>
    <row r="16153" spans="10:10" ht="15" customHeight="1" x14ac:dyDescent="0.3">
      <c r="J16153" s="33"/>
    </row>
    <row r="16154" spans="10:10" ht="15" customHeight="1" x14ac:dyDescent="0.3">
      <c r="J16154" s="33"/>
    </row>
    <row r="16155" spans="10:10" ht="15" customHeight="1" x14ac:dyDescent="0.3">
      <c r="J16155" s="33"/>
    </row>
    <row r="16156" spans="10:10" ht="15" customHeight="1" x14ac:dyDescent="0.3">
      <c r="J16156" s="33"/>
    </row>
    <row r="16157" spans="10:10" ht="15" customHeight="1" x14ac:dyDescent="0.3">
      <c r="J16157" s="33"/>
    </row>
    <row r="16158" spans="10:10" ht="15" customHeight="1" x14ac:dyDescent="0.3">
      <c r="J16158" s="33"/>
    </row>
    <row r="16159" spans="10:10" ht="15" customHeight="1" x14ac:dyDescent="0.3">
      <c r="J16159" s="33"/>
    </row>
    <row r="16160" spans="10:10" ht="15" customHeight="1" x14ac:dyDescent="0.3">
      <c r="J16160" s="33"/>
    </row>
    <row r="16161" spans="10:10" ht="15" customHeight="1" x14ac:dyDescent="0.3">
      <c r="J16161" s="33"/>
    </row>
    <row r="16162" spans="10:10" ht="15" customHeight="1" x14ac:dyDescent="0.3">
      <c r="J16162" s="33"/>
    </row>
    <row r="16163" spans="10:10" ht="15" customHeight="1" x14ac:dyDescent="0.3">
      <c r="J16163" s="33"/>
    </row>
    <row r="16164" spans="10:10" ht="15" customHeight="1" x14ac:dyDescent="0.3">
      <c r="J16164" s="33"/>
    </row>
    <row r="16165" spans="10:10" ht="15" customHeight="1" x14ac:dyDescent="0.3">
      <c r="J16165" s="33"/>
    </row>
    <row r="16166" spans="10:10" ht="15" customHeight="1" x14ac:dyDescent="0.3">
      <c r="J16166" s="33"/>
    </row>
    <row r="16167" spans="10:10" ht="15" customHeight="1" x14ac:dyDescent="0.3">
      <c r="J16167" s="33"/>
    </row>
    <row r="16168" spans="10:10" ht="15" customHeight="1" x14ac:dyDescent="0.3">
      <c r="J16168" s="33"/>
    </row>
    <row r="16169" spans="10:10" ht="15" customHeight="1" x14ac:dyDescent="0.3">
      <c r="J16169" s="33"/>
    </row>
    <row r="16170" spans="10:10" ht="15" customHeight="1" x14ac:dyDescent="0.3">
      <c r="J16170" s="33"/>
    </row>
    <row r="16171" spans="10:10" ht="15" customHeight="1" x14ac:dyDescent="0.3">
      <c r="J16171" s="33"/>
    </row>
    <row r="16172" spans="10:10" ht="15" customHeight="1" x14ac:dyDescent="0.3">
      <c r="J16172" s="33"/>
    </row>
    <row r="16173" spans="10:10" ht="15" customHeight="1" x14ac:dyDescent="0.3">
      <c r="J16173" s="33"/>
    </row>
    <row r="16174" spans="10:10" ht="15" customHeight="1" x14ac:dyDescent="0.3">
      <c r="J16174" s="33"/>
    </row>
    <row r="16175" spans="10:10" ht="15" customHeight="1" x14ac:dyDescent="0.3">
      <c r="J16175" s="33"/>
    </row>
    <row r="16176" spans="10:10" ht="15" customHeight="1" x14ac:dyDescent="0.3">
      <c r="J16176" s="33"/>
    </row>
    <row r="16177" spans="10:10" ht="15" customHeight="1" x14ac:dyDescent="0.3">
      <c r="J16177" s="33"/>
    </row>
    <row r="16178" spans="10:10" ht="15" customHeight="1" x14ac:dyDescent="0.3">
      <c r="J16178" s="33"/>
    </row>
    <row r="16179" spans="10:10" ht="15" customHeight="1" x14ac:dyDescent="0.3">
      <c r="J16179" s="33"/>
    </row>
    <row r="16180" spans="10:10" ht="15" customHeight="1" x14ac:dyDescent="0.3">
      <c r="J16180" s="33"/>
    </row>
    <row r="16181" spans="10:10" ht="15" customHeight="1" x14ac:dyDescent="0.3">
      <c r="J16181" s="33"/>
    </row>
    <row r="16182" spans="10:10" ht="15" customHeight="1" x14ac:dyDescent="0.3">
      <c r="J16182" s="33"/>
    </row>
    <row r="16183" spans="10:10" ht="15" customHeight="1" x14ac:dyDescent="0.3">
      <c r="J16183" s="33"/>
    </row>
    <row r="16184" spans="10:10" ht="15" customHeight="1" x14ac:dyDescent="0.3">
      <c r="J16184" s="33"/>
    </row>
    <row r="16185" spans="10:10" ht="15" customHeight="1" x14ac:dyDescent="0.3">
      <c r="J16185" s="33"/>
    </row>
    <row r="16186" spans="10:10" ht="15" customHeight="1" x14ac:dyDescent="0.3">
      <c r="J16186" s="33"/>
    </row>
    <row r="16187" spans="10:10" ht="15" customHeight="1" x14ac:dyDescent="0.3">
      <c r="J16187" s="33"/>
    </row>
    <row r="16188" spans="10:10" ht="15" customHeight="1" x14ac:dyDescent="0.3">
      <c r="J16188" s="33"/>
    </row>
    <row r="16189" spans="10:10" ht="15" customHeight="1" x14ac:dyDescent="0.3">
      <c r="J16189" s="33"/>
    </row>
    <row r="16190" spans="10:10" ht="15" customHeight="1" x14ac:dyDescent="0.3">
      <c r="J16190" s="33"/>
    </row>
    <row r="16191" spans="10:10" ht="15" customHeight="1" x14ac:dyDescent="0.3">
      <c r="J16191" s="33"/>
    </row>
    <row r="16192" spans="10:10" ht="15" customHeight="1" x14ac:dyDescent="0.3">
      <c r="J16192" s="33"/>
    </row>
    <row r="16193" spans="10:10" ht="15" customHeight="1" x14ac:dyDescent="0.3">
      <c r="J16193" s="33"/>
    </row>
    <row r="16194" spans="10:10" ht="15" customHeight="1" x14ac:dyDescent="0.3">
      <c r="J16194" s="33"/>
    </row>
    <row r="16195" spans="10:10" ht="15" customHeight="1" x14ac:dyDescent="0.3">
      <c r="J16195" s="33"/>
    </row>
    <row r="16196" spans="10:10" ht="15" customHeight="1" x14ac:dyDescent="0.3">
      <c r="J16196" s="33"/>
    </row>
    <row r="16197" spans="10:10" ht="15" customHeight="1" x14ac:dyDescent="0.3">
      <c r="J16197" s="33"/>
    </row>
    <row r="16198" spans="10:10" ht="15" customHeight="1" x14ac:dyDescent="0.3">
      <c r="J16198" s="33"/>
    </row>
    <row r="16199" spans="10:10" ht="15" customHeight="1" x14ac:dyDescent="0.3">
      <c r="J16199" s="33"/>
    </row>
    <row r="16200" spans="10:10" ht="15" customHeight="1" x14ac:dyDescent="0.3">
      <c r="J16200" s="33"/>
    </row>
    <row r="16201" spans="10:10" ht="15" customHeight="1" x14ac:dyDescent="0.3">
      <c r="J16201" s="33"/>
    </row>
    <row r="16202" spans="10:10" ht="15" customHeight="1" x14ac:dyDescent="0.3">
      <c r="J16202" s="33"/>
    </row>
    <row r="16203" spans="10:10" ht="15" customHeight="1" x14ac:dyDescent="0.3">
      <c r="J16203" s="33"/>
    </row>
    <row r="16204" spans="10:10" ht="15" customHeight="1" x14ac:dyDescent="0.3">
      <c r="J16204" s="33"/>
    </row>
    <row r="16205" spans="10:10" ht="15" customHeight="1" x14ac:dyDescent="0.3">
      <c r="J16205" s="33"/>
    </row>
    <row r="16206" spans="10:10" ht="15" customHeight="1" x14ac:dyDescent="0.3">
      <c r="J16206" s="33"/>
    </row>
    <row r="16207" spans="10:10" ht="15" customHeight="1" x14ac:dyDescent="0.3">
      <c r="J16207" s="33"/>
    </row>
    <row r="16208" spans="10:10" ht="15" customHeight="1" x14ac:dyDescent="0.3">
      <c r="J16208" s="33"/>
    </row>
    <row r="16209" spans="10:10" ht="15" customHeight="1" x14ac:dyDescent="0.3">
      <c r="J16209" s="33"/>
    </row>
    <row r="16210" spans="10:10" ht="15" customHeight="1" x14ac:dyDescent="0.3">
      <c r="J16210" s="33"/>
    </row>
    <row r="16211" spans="10:10" ht="15" customHeight="1" x14ac:dyDescent="0.3">
      <c r="J16211" s="33"/>
    </row>
    <row r="16212" spans="10:10" ht="15" customHeight="1" x14ac:dyDescent="0.3">
      <c r="J16212" s="33"/>
    </row>
    <row r="16213" spans="10:10" ht="15" customHeight="1" x14ac:dyDescent="0.3">
      <c r="J16213" s="33"/>
    </row>
    <row r="16214" spans="10:10" ht="15" customHeight="1" x14ac:dyDescent="0.3">
      <c r="J16214" s="33"/>
    </row>
    <row r="16215" spans="10:10" ht="15" customHeight="1" x14ac:dyDescent="0.3">
      <c r="J16215" s="33"/>
    </row>
    <row r="16216" spans="10:10" ht="15" customHeight="1" x14ac:dyDescent="0.3">
      <c r="J16216" s="33"/>
    </row>
    <row r="16217" spans="10:10" ht="15" customHeight="1" x14ac:dyDescent="0.3">
      <c r="J16217" s="33"/>
    </row>
    <row r="16218" spans="10:10" ht="15" customHeight="1" x14ac:dyDescent="0.3">
      <c r="J16218" s="33"/>
    </row>
    <row r="16219" spans="10:10" ht="15" customHeight="1" x14ac:dyDescent="0.3">
      <c r="J16219" s="33"/>
    </row>
    <row r="16220" spans="10:10" ht="15" customHeight="1" x14ac:dyDescent="0.3">
      <c r="J16220" s="33"/>
    </row>
    <row r="16221" spans="10:10" ht="15" customHeight="1" x14ac:dyDescent="0.3">
      <c r="J16221" s="33"/>
    </row>
    <row r="16222" spans="10:10" ht="15" customHeight="1" x14ac:dyDescent="0.3">
      <c r="J16222" s="33"/>
    </row>
    <row r="16223" spans="10:10" ht="15" customHeight="1" x14ac:dyDescent="0.3">
      <c r="J16223" s="33"/>
    </row>
    <row r="16224" spans="10:10" ht="15" customHeight="1" x14ac:dyDescent="0.3">
      <c r="J16224" s="33"/>
    </row>
    <row r="16225" spans="10:10" ht="15" customHeight="1" x14ac:dyDescent="0.3">
      <c r="J16225" s="33"/>
    </row>
    <row r="16226" spans="10:10" ht="15" customHeight="1" x14ac:dyDescent="0.3">
      <c r="J16226" s="33"/>
    </row>
    <row r="16227" spans="10:10" ht="15" customHeight="1" x14ac:dyDescent="0.3">
      <c r="J16227" s="33"/>
    </row>
    <row r="16228" spans="10:10" ht="15" customHeight="1" x14ac:dyDescent="0.3">
      <c r="J16228" s="33"/>
    </row>
    <row r="16229" spans="10:10" ht="15" customHeight="1" x14ac:dyDescent="0.3">
      <c r="J16229" s="33"/>
    </row>
    <row r="16230" spans="10:10" ht="15" customHeight="1" x14ac:dyDescent="0.3">
      <c r="J16230" s="33"/>
    </row>
    <row r="16231" spans="10:10" ht="15" customHeight="1" x14ac:dyDescent="0.3">
      <c r="J16231" s="33"/>
    </row>
    <row r="16232" spans="10:10" ht="15" customHeight="1" x14ac:dyDescent="0.3">
      <c r="J16232" s="33"/>
    </row>
    <row r="16233" spans="10:10" ht="15" customHeight="1" x14ac:dyDescent="0.3">
      <c r="J16233" s="33"/>
    </row>
    <row r="16234" spans="10:10" ht="15" customHeight="1" x14ac:dyDescent="0.3">
      <c r="J16234" s="33"/>
    </row>
    <row r="16235" spans="10:10" ht="15" customHeight="1" x14ac:dyDescent="0.3">
      <c r="J16235" s="33"/>
    </row>
    <row r="16236" spans="10:10" ht="15" customHeight="1" x14ac:dyDescent="0.3">
      <c r="J16236" s="33"/>
    </row>
    <row r="16237" spans="10:10" ht="15" customHeight="1" x14ac:dyDescent="0.3">
      <c r="J16237" s="33"/>
    </row>
    <row r="16238" spans="10:10" ht="15" customHeight="1" x14ac:dyDescent="0.3">
      <c r="J16238" s="33"/>
    </row>
    <row r="16239" spans="10:10" ht="15" customHeight="1" x14ac:dyDescent="0.3">
      <c r="J16239" s="33"/>
    </row>
    <row r="16240" spans="10:10" ht="15" customHeight="1" x14ac:dyDescent="0.3">
      <c r="J16240" s="33"/>
    </row>
    <row r="16241" spans="10:10" ht="15" customHeight="1" x14ac:dyDescent="0.3">
      <c r="J16241" s="33"/>
    </row>
    <row r="16242" spans="10:10" ht="15" customHeight="1" x14ac:dyDescent="0.3">
      <c r="J16242" s="33"/>
    </row>
    <row r="16243" spans="10:10" ht="15" customHeight="1" x14ac:dyDescent="0.3">
      <c r="J16243" s="33"/>
    </row>
    <row r="16244" spans="10:10" ht="15" customHeight="1" x14ac:dyDescent="0.3">
      <c r="J16244" s="33"/>
    </row>
    <row r="16245" spans="10:10" ht="15" customHeight="1" x14ac:dyDescent="0.3">
      <c r="J16245" s="33"/>
    </row>
    <row r="16246" spans="10:10" ht="15" customHeight="1" x14ac:dyDescent="0.3">
      <c r="J16246" s="33"/>
    </row>
    <row r="16247" spans="10:10" ht="15" customHeight="1" x14ac:dyDescent="0.3">
      <c r="J16247" s="33"/>
    </row>
    <row r="16248" spans="10:10" ht="15" customHeight="1" x14ac:dyDescent="0.3">
      <c r="J16248" s="33"/>
    </row>
    <row r="16249" spans="10:10" ht="15" customHeight="1" x14ac:dyDescent="0.3">
      <c r="J16249" s="33"/>
    </row>
    <row r="16250" spans="10:10" ht="15" customHeight="1" x14ac:dyDescent="0.3">
      <c r="J16250" s="33"/>
    </row>
    <row r="16251" spans="10:10" ht="15" customHeight="1" x14ac:dyDescent="0.3">
      <c r="J16251" s="33"/>
    </row>
    <row r="16252" spans="10:10" ht="15" customHeight="1" x14ac:dyDescent="0.3">
      <c r="J16252" s="33"/>
    </row>
    <row r="16253" spans="10:10" ht="15" customHeight="1" x14ac:dyDescent="0.3">
      <c r="J16253" s="33"/>
    </row>
    <row r="16254" spans="10:10" ht="15" customHeight="1" x14ac:dyDescent="0.3">
      <c r="J16254" s="33"/>
    </row>
    <row r="16255" spans="10:10" ht="15" customHeight="1" x14ac:dyDescent="0.3">
      <c r="J16255" s="33"/>
    </row>
    <row r="16256" spans="10:10" ht="15" customHeight="1" x14ac:dyDescent="0.3">
      <c r="J16256" s="33"/>
    </row>
    <row r="16257" spans="10:10" ht="15" customHeight="1" x14ac:dyDescent="0.3">
      <c r="J16257" s="33"/>
    </row>
    <row r="16258" spans="10:10" ht="15" customHeight="1" x14ac:dyDescent="0.3">
      <c r="J16258" s="33"/>
    </row>
    <row r="16259" spans="10:10" ht="15" customHeight="1" x14ac:dyDescent="0.3">
      <c r="J16259" s="33"/>
    </row>
    <row r="16260" spans="10:10" ht="15" customHeight="1" x14ac:dyDescent="0.3">
      <c r="J16260" s="33"/>
    </row>
    <row r="16261" spans="10:10" ht="15" customHeight="1" x14ac:dyDescent="0.3">
      <c r="J16261" s="33"/>
    </row>
    <row r="16262" spans="10:10" ht="15" customHeight="1" x14ac:dyDescent="0.3">
      <c r="J16262" s="33"/>
    </row>
    <row r="16263" spans="10:10" ht="15" customHeight="1" x14ac:dyDescent="0.3">
      <c r="J16263" s="33"/>
    </row>
    <row r="16264" spans="10:10" ht="15" customHeight="1" x14ac:dyDescent="0.3">
      <c r="J16264" s="33"/>
    </row>
    <row r="16265" spans="10:10" ht="15" customHeight="1" x14ac:dyDescent="0.3">
      <c r="J16265" s="33"/>
    </row>
    <row r="16266" spans="10:10" ht="15" customHeight="1" x14ac:dyDescent="0.3">
      <c r="J16266" s="33"/>
    </row>
    <row r="16267" spans="10:10" ht="15" customHeight="1" x14ac:dyDescent="0.3">
      <c r="J16267" s="33"/>
    </row>
    <row r="16268" spans="10:10" ht="15" customHeight="1" x14ac:dyDescent="0.3">
      <c r="J16268" s="33"/>
    </row>
    <row r="16269" spans="10:10" ht="15" customHeight="1" x14ac:dyDescent="0.3">
      <c r="J16269" s="33"/>
    </row>
    <row r="16270" spans="10:10" ht="15" customHeight="1" x14ac:dyDescent="0.3">
      <c r="J16270" s="33"/>
    </row>
    <row r="16271" spans="10:10" ht="15" customHeight="1" x14ac:dyDescent="0.3">
      <c r="J16271" s="33"/>
    </row>
    <row r="16272" spans="10:10" ht="15" customHeight="1" x14ac:dyDescent="0.3">
      <c r="J16272" s="33"/>
    </row>
    <row r="16273" spans="10:10" ht="15" customHeight="1" x14ac:dyDescent="0.3">
      <c r="J16273" s="33"/>
    </row>
    <row r="16274" spans="10:10" ht="15" customHeight="1" x14ac:dyDescent="0.3">
      <c r="J16274" s="33"/>
    </row>
    <row r="16275" spans="10:10" ht="15" customHeight="1" x14ac:dyDescent="0.3">
      <c r="J16275" s="33"/>
    </row>
    <row r="16276" spans="10:10" ht="15" customHeight="1" x14ac:dyDescent="0.3">
      <c r="J16276" s="33"/>
    </row>
    <row r="16277" spans="10:10" ht="15" customHeight="1" x14ac:dyDescent="0.3">
      <c r="J16277" s="33"/>
    </row>
    <row r="16278" spans="10:10" ht="15" customHeight="1" x14ac:dyDescent="0.3">
      <c r="J16278" s="33"/>
    </row>
    <row r="16279" spans="10:10" ht="15" customHeight="1" x14ac:dyDescent="0.3">
      <c r="J16279" s="33"/>
    </row>
    <row r="16280" spans="10:10" ht="15" customHeight="1" x14ac:dyDescent="0.3">
      <c r="J16280" s="33"/>
    </row>
    <row r="16281" spans="10:10" ht="15" customHeight="1" x14ac:dyDescent="0.3">
      <c r="J16281" s="33"/>
    </row>
    <row r="16282" spans="10:10" ht="15" customHeight="1" x14ac:dyDescent="0.3">
      <c r="J16282" s="33"/>
    </row>
    <row r="16283" spans="10:10" ht="15" customHeight="1" x14ac:dyDescent="0.3">
      <c r="J16283" s="33"/>
    </row>
    <row r="16284" spans="10:10" ht="15" customHeight="1" x14ac:dyDescent="0.3">
      <c r="J16284" s="33"/>
    </row>
    <row r="16285" spans="10:10" ht="15" customHeight="1" x14ac:dyDescent="0.3">
      <c r="J16285" s="33"/>
    </row>
    <row r="16286" spans="10:10" ht="15" customHeight="1" x14ac:dyDescent="0.3">
      <c r="J16286" s="33"/>
    </row>
    <row r="16287" spans="10:10" ht="15" customHeight="1" x14ac:dyDescent="0.3">
      <c r="J16287" s="33"/>
    </row>
    <row r="16288" spans="10:10" ht="15" customHeight="1" x14ac:dyDescent="0.3">
      <c r="J16288" s="33"/>
    </row>
    <row r="16289" spans="10:10" ht="15" customHeight="1" x14ac:dyDescent="0.3">
      <c r="J16289" s="33"/>
    </row>
    <row r="16290" spans="10:10" ht="15" customHeight="1" x14ac:dyDescent="0.3">
      <c r="J16290" s="33"/>
    </row>
    <row r="16291" spans="10:10" ht="15" customHeight="1" x14ac:dyDescent="0.3">
      <c r="J16291" s="33"/>
    </row>
    <row r="16292" spans="10:10" ht="15" customHeight="1" x14ac:dyDescent="0.3">
      <c r="J16292" s="33"/>
    </row>
    <row r="16293" spans="10:10" ht="15" customHeight="1" x14ac:dyDescent="0.3">
      <c r="J16293" s="33"/>
    </row>
    <row r="16294" spans="10:10" ht="15" customHeight="1" x14ac:dyDescent="0.3">
      <c r="J16294" s="33"/>
    </row>
    <row r="16295" spans="10:10" ht="15" customHeight="1" x14ac:dyDescent="0.3">
      <c r="J16295" s="33"/>
    </row>
    <row r="16296" spans="10:10" ht="15" customHeight="1" x14ac:dyDescent="0.3">
      <c r="J16296" s="33"/>
    </row>
    <row r="16297" spans="10:10" ht="15" customHeight="1" x14ac:dyDescent="0.3">
      <c r="J16297" s="33"/>
    </row>
    <row r="16298" spans="10:10" ht="15" customHeight="1" x14ac:dyDescent="0.3">
      <c r="J16298" s="33"/>
    </row>
    <row r="16299" spans="10:10" ht="15" customHeight="1" x14ac:dyDescent="0.3">
      <c r="J16299" s="33"/>
    </row>
    <row r="16300" spans="10:10" ht="15" customHeight="1" x14ac:dyDescent="0.3">
      <c r="J16300" s="33"/>
    </row>
    <row r="16301" spans="10:10" ht="15" customHeight="1" x14ac:dyDescent="0.3">
      <c r="J16301" s="33"/>
    </row>
    <row r="16302" spans="10:10" ht="15" customHeight="1" x14ac:dyDescent="0.3">
      <c r="J16302" s="33"/>
    </row>
    <row r="16303" spans="10:10" ht="15" customHeight="1" x14ac:dyDescent="0.3">
      <c r="J16303" s="33"/>
    </row>
    <row r="16304" spans="10:10" ht="15" customHeight="1" x14ac:dyDescent="0.3">
      <c r="J16304" s="33"/>
    </row>
    <row r="16305" spans="10:10" ht="15" customHeight="1" x14ac:dyDescent="0.3">
      <c r="J16305" s="33"/>
    </row>
    <row r="16306" spans="10:10" ht="15" customHeight="1" x14ac:dyDescent="0.3">
      <c r="J16306" s="33"/>
    </row>
    <row r="16307" spans="10:10" ht="15" customHeight="1" x14ac:dyDescent="0.3">
      <c r="J16307" s="33"/>
    </row>
    <row r="16308" spans="10:10" ht="15" customHeight="1" x14ac:dyDescent="0.3">
      <c r="J16308" s="33"/>
    </row>
    <row r="16309" spans="10:10" ht="15" customHeight="1" x14ac:dyDescent="0.3">
      <c r="J16309" s="33"/>
    </row>
    <row r="16310" spans="10:10" ht="15" customHeight="1" x14ac:dyDescent="0.3">
      <c r="J16310" s="33"/>
    </row>
    <row r="16311" spans="10:10" ht="15" customHeight="1" x14ac:dyDescent="0.3">
      <c r="J16311" s="33"/>
    </row>
    <row r="16312" spans="10:10" ht="15" customHeight="1" x14ac:dyDescent="0.3">
      <c r="J16312" s="33"/>
    </row>
    <row r="16313" spans="10:10" ht="15" customHeight="1" x14ac:dyDescent="0.3">
      <c r="J16313" s="33"/>
    </row>
    <row r="16314" spans="10:10" ht="15" customHeight="1" x14ac:dyDescent="0.3">
      <c r="J16314" s="33"/>
    </row>
    <row r="16315" spans="10:10" ht="15" customHeight="1" x14ac:dyDescent="0.3">
      <c r="J16315" s="33"/>
    </row>
    <row r="16316" spans="10:10" ht="15" customHeight="1" x14ac:dyDescent="0.3">
      <c r="J16316" s="33"/>
    </row>
    <row r="16317" spans="10:10" ht="15" customHeight="1" x14ac:dyDescent="0.3">
      <c r="J16317" s="33"/>
    </row>
    <row r="16318" spans="10:10" ht="15" customHeight="1" x14ac:dyDescent="0.3">
      <c r="J16318" s="33"/>
    </row>
    <row r="16319" spans="10:10" ht="15" customHeight="1" x14ac:dyDescent="0.3">
      <c r="J16319" s="33"/>
    </row>
    <row r="16320" spans="10:10" ht="15" customHeight="1" x14ac:dyDescent="0.3">
      <c r="J16320" s="33"/>
    </row>
    <row r="16321" spans="10:10" ht="15" customHeight="1" x14ac:dyDescent="0.3">
      <c r="J16321" s="33"/>
    </row>
    <row r="16322" spans="10:10" ht="15" customHeight="1" x14ac:dyDescent="0.3">
      <c r="J16322" s="33"/>
    </row>
    <row r="16323" spans="10:10" ht="15" customHeight="1" x14ac:dyDescent="0.3">
      <c r="J16323" s="33"/>
    </row>
    <row r="16324" spans="10:10" ht="15" customHeight="1" x14ac:dyDescent="0.3">
      <c r="J16324" s="33"/>
    </row>
    <row r="16325" spans="10:10" ht="15" customHeight="1" x14ac:dyDescent="0.3">
      <c r="J16325" s="33"/>
    </row>
    <row r="16326" spans="10:10" ht="15" customHeight="1" x14ac:dyDescent="0.3">
      <c r="J16326" s="33"/>
    </row>
    <row r="16327" spans="10:10" ht="15" customHeight="1" x14ac:dyDescent="0.3">
      <c r="J16327" s="33"/>
    </row>
    <row r="16328" spans="10:10" ht="15" customHeight="1" x14ac:dyDescent="0.3">
      <c r="J16328" s="33"/>
    </row>
    <row r="16329" spans="10:10" ht="15" customHeight="1" x14ac:dyDescent="0.3">
      <c r="J16329" s="33"/>
    </row>
    <row r="16330" spans="10:10" ht="15" customHeight="1" x14ac:dyDescent="0.3">
      <c r="J16330" s="33"/>
    </row>
    <row r="16331" spans="10:10" ht="15" customHeight="1" x14ac:dyDescent="0.3">
      <c r="J16331" s="33"/>
    </row>
    <row r="16332" spans="10:10" ht="15" customHeight="1" x14ac:dyDescent="0.3">
      <c r="J16332" s="33"/>
    </row>
    <row r="16333" spans="10:10" ht="15" customHeight="1" x14ac:dyDescent="0.3">
      <c r="J16333" s="33"/>
    </row>
    <row r="16334" spans="10:10" ht="15" customHeight="1" x14ac:dyDescent="0.3">
      <c r="J16334" s="33"/>
    </row>
    <row r="16335" spans="10:10" ht="15" customHeight="1" x14ac:dyDescent="0.3">
      <c r="J16335" s="33"/>
    </row>
    <row r="16336" spans="10:10" ht="15" customHeight="1" x14ac:dyDescent="0.3">
      <c r="J16336" s="33"/>
    </row>
    <row r="16337" spans="10:10" ht="15" customHeight="1" x14ac:dyDescent="0.3">
      <c r="J16337" s="33"/>
    </row>
    <row r="16338" spans="10:10" ht="15" customHeight="1" x14ac:dyDescent="0.3">
      <c r="J16338" s="33"/>
    </row>
    <row r="16339" spans="10:10" ht="15" customHeight="1" x14ac:dyDescent="0.3">
      <c r="J16339" s="33"/>
    </row>
    <row r="16340" spans="10:10" ht="15" customHeight="1" x14ac:dyDescent="0.3">
      <c r="J16340" s="33"/>
    </row>
    <row r="16341" spans="10:10" ht="15" customHeight="1" x14ac:dyDescent="0.3">
      <c r="J16341" s="33"/>
    </row>
    <row r="16342" spans="10:10" ht="15" customHeight="1" x14ac:dyDescent="0.3">
      <c r="J16342" s="33"/>
    </row>
    <row r="16343" spans="10:10" ht="15" customHeight="1" x14ac:dyDescent="0.3">
      <c r="J16343" s="33"/>
    </row>
    <row r="16344" spans="10:10" ht="15" customHeight="1" x14ac:dyDescent="0.3">
      <c r="J16344" s="33"/>
    </row>
    <row r="16345" spans="10:10" ht="15" customHeight="1" x14ac:dyDescent="0.3">
      <c r="J16345" s="33"/>
    </row>
    <row r="16346" spans="10:10" ht="15" customHeight="1" x14ac:dyDescent="0.3">
      <c r="J16346" s="33"/>
    </row>
    <row r="16347" spans="10:10" ht="15" customHeight="1" x14ac:dyDescent="0.3">
      <c r="J16347" s="33"/>
    </row>
    <row r="16348" spans="10:10" ht="15" customHeight="1" x14ac:dyDescent="0.3">
      <c r="J16348" s="33"/>
    </row>
    <row r="16349" spans="10:10" ht="15" customHeight="1" x14ac:dyDescent="0.3">
      <c r="J16349" s="33"/>
    </row>
    <row r="16350" spans="10:10" ht="15" customHeight="1" x14ac:dyDescent="0.3">
      <c r="J16350" s="33"/>
    </row>
    <row r="16351" spans="10:10" ht="15" customHeight="1" x14ac:dyDescent="0.3">
      <c r="J16351" s="33"/>
    </row>
    <row r="16352" spans="10:10" ht="15" customHeight="1" x14ac:dyDescent="0.3">
      <c r="J16352" s="33"/>
    </row>
    <row r="16353" spans="10:10" ht="15" customHeight="1" x14ac:dyDescent="0.3">
      <c r="J16353" s="33"/>
    </row>
    <row r="16354" spans="10:10" ht="15" customHeight="1" x14ac:dyDescent="0.3">
      <c r="J16354" s="33"/>
    </row>
    <row r="16355" spans="10:10" ht="15" customHeight="1" x14ac:dyDescent="0.3">
      <c r="J16355" s="33"/>
    </row>
    <row r="16356" spans="10:10" ht="15" customHeight="1" x14ac:dyDescent="0.3">
      <c r="J16356" s="33"/>
    </row>
    <row r="16357" spans="10:10" ht="15" customHeight="1" x14ac:dyDescent="0.3">
      <c r="J16357" s="33"/>
    </row>
    <row r="16358" spans="10:10" ht="15" customHeight="1" x14ac:dyDescent="0.3">
      <c r="J16358" s="33"/>
    </row>
    <row r="16359" spans="10:10" ht="15" customHeight="1" x14ac:dyDescent="0.3">
      <c r="J16359" s="33"/>
    </row>
    <row r="16360" spans="10:10" ht="15" customHeight="1" x14ac:dyDescent="0.3">
      <c r="J16360" s="33"/>
    </row>
    <row r="16361" spans="10:10" ht="15" customHeight="1" x14ac:dyDescent="0.3">
      <c r="J16361" s="33"/>
    </row>
    <row r="16362" spans="10:10" ht="15" customHeight="1" x14ac:dyDescent="0.3">
      <c r="J16362" s="33"/>
    </row>
    <row r="16363" spans="10:10" ht="15" customHeight="1" x14ac:dyDescent="0.3">
      <c r="J16363" s="33"/>
    </row>
    <row r="16364" spans="10:10" ht="15" customHeight="1" x14ac:dyDescent="0.3">
      <c r="J16364" s="33"/>
    </row>
    <row r="16365" spans="10:10" ht="15" customHeight="1" x14ac:dyDescent="0.3">
      <c r="J16365" s="33"/>
    </row>
    <row r="16366" spans="10:10" ht="15" customHeight="1" x14ac:dyDescent="0.3">
      <c r="J16366" s="33"/>
    </row>
    <row r="16367" spans="10:10" ht="15" customHeight="1" x14ac:dyDescent="0.3">
      <c r="J16367" s="33"/>
    </row>
    <row r="16368" spans="10:10" ht="15" customHeight="1" x14ac:dyDescent="0.3">
      <c r="J16368" s="33"/>
    </row>
    <row r="16369" spans="10:10" ht="15" customHeight="1" x14ac:dyDescent="0.3">
      <c r="J16369" s="33"/>
    </row>
    <row r="16370" spans="10:10" ht="15" customHeight="1" x14ac:dyDescent="0.3">
      <c r="J16370" s="33"/>
    </row>
    <row r="16371" spans="10:10" ht="15" customHeight="1" x14ac:dyDescent="0.3">
      <c r="J16371" s="33"/>
    </row>
    <row r="16372" spans="10:10" ht="15" customHeight="1" x14ac:dyDescent="0.3">
      <c r="J16372" s="33"/>
    </row>
    <row r="16373" spans="10:10" ht="15" customHeight="1" x14ac:dyDescent="0.3">
      <c r="J16373" s="33"/>
    </row>
    <row r="16374" spans="10:10" ht="15" customHeight="1" x14ac:dyDescent="0.3">
      <c r="J16374" s="33"/>
    </row>
    <row r="16375" spans="10:10" ht="15" customHeight="1" x14ac:dyDescent="0.3">
      <c r="J16375" s="33"/>
    </row>
    <row r="16376" spans="10:10" ht="15" customHeight="1" x14ac:dyDescent="0.3">
      <c r="J16376" s="33"/>
    </row>
    <row r="16377" spans="10:10" ht="15" customHeight="1" x14ac:dyDescent="0.3">
      <c r="J16377" s="33"/>
    </row>
    <row r="16378" spans="10:10" ht="15" customHeight="1" x14ac:dyDescent="0.3">
      <c r="J16378" s="33"/>
    </row>
    <row r="16379" spans="10:10" ht="15" customHeight="1" x14ac:dyDescent="0.3">
      <c r="J16379" s="33"/>
    </row>
    <row r="16380" spans="10:10" ht="15" customHeight="1" x14ac:dyDescent="0.3">
      <c r="J16380" s="33"/>
    </row>
    <row r="16381" spans="10:10" ht="15" customHeight="1" x14ac:dyDescent="0.3">
      <c r="J16381" s="33"/>
    </row>
    <row r="16382" spans="10:10" ht="15" customHeight="1" x14ac:dyDescent="0.3">
      <c r="J16382" s="33"/>
    </row>
    <row r="16383" spans="10:10" ht="15" customHeight="1" x14ac:dyDescent="0.3">
      <c r="J16383" s="33"/>
    </row>
    <row r="16384" spans="10:10" ht="15" customHeight="1" x14ac:dyDescent="0.3">
      <c r="J16384" s="33"/>
    </row>
    <row r="16385" spans="10:10" ht="15" customHeight="1" x14ac:dyDescent="0.3">
      <c r="J16385" s="33"/>
    </row>
    <row r="16386" spans="10:10" ht="15" customHeight="1" x14ac:dyDescent="0.3">
      <c r="J16386" s="33"/>
    </row>
    <row r="16387" spans="10:10" ht="15" customHeight="1" x14ac:dyDescent="0.3">
      <c r="J16387" s="33"/>
    </row>
    <row r="16388" spans="10:10" ht="15" customHeight="1" x14ac:dyDescent="0.3">
      <c r="J16388" s="33"/>
    </row>
    <row r="16389" spans="10:10" ht="15" customHeight="1" x14ac:dyDescent="0.3">
      <c r="J16389" s="33"/>
    </row>
    <row r="16390" spans="10:10" ht="15" customHeight="1" x14ac:dyDescent="0.3">
      <c r="J16390" s="33"/>
    </row>
    <row r="16391" spans="10:10" ht="15" customHeight="1" x14ac:dyDescent="0.3">
      <c r="J16391" s="33"/>
    </row>
    <row r="16392" spans="10:10" ht="15" customHeight="1" x14ac:dyDescent="0.3">
      <c r="J16392" s="33"/>
    </row>
    <row r="16393" spans="10:10" ht="15" customHeight="1" x14ac:dyDescent="0.3">
      <c r="J16393" s="33"/>
    </row>
    <row r="16394" spans="10:10" ht="15" customHeight="1" x14ac:dyDescent="0.3">
      <c r="J16394" s="33"/>
    </row>
    <row r="16395" spans="10:10" ht="15" customHeight="1" x14ac:dyDescent="0.3">
      <c r="J16395" s="33"/>
    </row>
    <row r="16396" spans="10:10" ht="15" customHeight="1" x14ac:dyDescent="0.3">
      <c r="J16396" s="33"/>
    </row>
    <row r="16397" spans="10:10" ht="15" customHeight="1" x14ac:dyDescent="0.3">
      <c r="J16397" s="33"/>
    </row>
    <row r="16398" spans="10:10" ht="15" customHeight="1" x14ac:dyDescent="0.3">
      <c r="J16398" s="33"/>
    </row>
    <row r="16399" spans="10:10" ht="15" customHeight="1" x14ac:dyDescent="0.3">
      <c r="J16399" s="33"/>
    </row>
    <row r="16400" spans="10:10" ht="15" customHeight="1" x14ac:dyDescent="0.3">
      <c r="J16400" s="33"/>
    </row>
    <row r="16401" spans="10:10" ht="15" customHeight="1" x14ac:dyDescent="0.3">
      <c r="J16401" s="33"/>
    </row>
    <row r="16402" spans="10:10" ht="15" customHeight="1" x14ac:dyDescent="0.3">
      <c r="J16402" s="33"/>
    </row>
    <row r="16403" spans="10:10" ht="15" customHeight="1" x14ac:dyDescent="0.3">
      <c r="J16403" s="33"/>
    </row>
    <row r="16404" spans="10:10" ht="15" customHeight="1" x14ac:dyDescent="0.3">
      <c r="J16404" s="33"/>
    </row>
    <row r="16405" spans="10:10" ht="15" customHeight="1" x14ac:dyDescent="0.3">
      <c r="J16405" s="33"/>
    </row>
    <row r="16406" spans="10:10" ht="15" customHeight="1" x14ac:dyDescent="0.3">
      <c r="J16406" s="33"/>
    </row>
    <row r="16407" spans="10:10" ht="15" customHeight="1" x14ac:dyDescent="0.3">
      <c r="J16407" s="33"/>
    </row>
    <row r="16408" spans="10:10" ht="15" customHeight="1" x14ac:dyDescent="0.3">
      <c r="J16408" s="33"/>
    </row>
    <row r="16409" spans="10:10" ht="15" customHeight="1" x14ac:dyDescent="0.3">
      <c r="J16409" s="33"/>
    </row>
    <row r="16410" spans="10:10" ht="15" customHeight="1" x14ac:dyDescent="0.3">
      <c r="J16410" s="33"/>
    </row>
    <row r="16411" spans="10:10" ht="15" customHeight="1" x14ac:dyDescent="0.3">
      <c r="J16411" s="33"/>
    </row>
    <row r="16412" spans="10:10" ht="15" customHeight="1" x14ac:dyDescent="0.3">
      <c r="J16412" s="33"/>
    </row>
    <row r="16413" spans="10:10" ht="15" customHeight="1" x14ac:dyDescent="0.3">
      <c r="J16413" s="33"/>
    </row>
    <row r="16414" spans="10:10" ht="15" customHeight="1" x14ac:dyDescent="0.3">
      <c r="J16414" s="33"/>
    </row>
    <row r="16415" spans="10:10" ht="15" customHeight="1" x14ac:dyDescent="0.3">
      <c r="J16415" s="33"/>
    </row>
    <row r="16416" spans="10:10" ht="15" customHeight="1" x14ac:dyDescent="0.3">
      <c r="J16416" s="33"/>
    </row>
    <row r="16417" spans="10:10" ht="15" customHeight="1" x14ac:dyDescent="0.3">
      <c r="J16417" s="33"/>
    </row>
    <row r="16418" spans="10:10" ht="15" customHeight="1" x14ac:dyDescent="0.3">
      <c r="J16418" s="33"/>
    </row>
    <row r="16419" spans="10:10" ht="15" customHeight="1" x14ac:dyDescent="0.3">
      <c r="J16419" s="33"/>
    </row>
    <row r="16420" spans="10:10" ht="15" customHeight="1" x14ac:dyDescent="0.3">
      <c r="J16420" s="33"/>
    </row>
    <row r="16421" spans="10:10" ht="15" customHeight="1" x14ac:dyDescent="0.3">
      <c r="J16421" s="33"/>
    </row>
    <row r="16422" spans="10:10" ht="15" customHeight="1" x14ac:dyDescent="0.3">
      <c r="J16422" s="33"/>
    </row>
    <row r="16423" spans="10:10" ht="15" customHeight="1" x14ac:dyDescent="0.3">
      <c r="J16423" s="33"/>
    </row>
    <row r="16424" spans="10:10" ht="15" customHeight="1" x14ac:dyDescent="0.3">
      <c r="J16424" s="33"/>
    </row>
    <row r="16425" spans="10:10" ht="15" customHeight="1" x14ac:dyDescent="0.3">
      <c r="J16425" s="33"/>
    </row>
    <row r="16426" spans="10:10" ht="15" customHeight="1" x14ac:dyDescent="0.3">
      <c r="J16426" s="33"/>
    </row>
    <row r="16427" spans="10:10" ht="15" customHeight="1" x14ac:dyDescent="0.3">
      <c r="J16427" s="33"/>
    </row>
    <row r="16428" spans="10:10" ht="15" customHeight="1" x14ac:dyDescent="0.3">
      <c r="J16428" s="33"/>
    </row>
    <row r="16429" spans="10:10" ht="15" customHeight="1" x14ac:dyDescent="0.3">
      <c r="J16429" s="33"/>
    </row>
    <row r="16430" spans="10:10" ht="15" customHeight="1" x14ac:dyDescent="0.3">
      <c r="J16430" s="33"/>
    </row>
    <row r="16431" spans="10:10" ht="15" customHeight="1" x14ac:dyDescent="0.3">
      <c r="J16431" s="33"/>
    </row>
    <row r="16432" spans="10:10" ht="15" customHeight="1" x14ac:dyDescent="0.3">
      <c r="J16432" s="33"/>
    </row>
    <row r="16433" spans="10:10" ht="15" customHeight="1" x14ac:dyDescent="0.3">
      <c r="J16433" s="33"/>
    </row>
    <row r="16434" spans="10:10" ht="15" customHeight="1" x14ac:dyDescent="0.3">
      <c r="J16434" s="33"/>
    </row>
    <row r="16435" spans="10:10" ht="15" customHeight="1" x14ac:dyDescent="0.3">
      <c r="J16435" s="33"/>
    </row>
    <row r="16436" spans="10:10" ht="15" customHeight="1" x14ac:dyDescent="0.3">
      <c r="J16436" s="33"/>
    </row>
    <row r="16437" spans="10:10" ht="15" customHeight="1" x14ac:dyDescent="0.3">
      <c r="J16437" s="33"/>
    </row>
    <row r="16438" spans="10:10" ht="15" customHeight="1" x14ac:dyDescent="0.3">
      <c r="J16438" s="33"/>
    </row>
    <row r="16439" spans="10:10" ht="15" customHeight="1" x14ac:dyDescent="0.3">
      <c r="J16439" s="33"/>
    </row>
    <row r="16440" spans="10:10" ht="15" customHeight="1" x14ac:dyDescent="0.3">
      <c r="J16440" s="33"/>
    </row>
    <row r="16441" spans="10:10" ht="15" customHeight="1" x14ac:dyDescent="0.3">
      <c r="J16441" s="33"/>
    </row>
    <row r="16442" spans="10:10" ht="15" customHeight="1" x14ac:dyDescent="0.3">
      <c r="J16442" s="33"/>
    </row>
    <row r="16443" spans="10:10" ht="15" customHeight="1" x14ac:dyDescent="0.3">
      <c r="J16443" s="33"/>
    </row>
    <row r="16444" spans="10:10" ht="15" customHeight="1" x14ac:dyDescent="0.3">
      <c r="J16444" s="33"/>
    </row>
    <row r="16445" spans="10:10" ht="15" customHeight="1" x14ac:dyDescent="0.3">
      <c r="J16445" s="33"/>
    </row>
    <row r="16446" spans="10:10" ht="15" customHeight="1" x14ac:dyDescent="0.3">
      <c r="J16446" s="33"/>
    </row>
    <row r="16447" spans="10:10" ht="15" customHeight="1" x14ac:dyDescent="0.3">
      <c r="J16447" s="33"/>
    </row>
    <row r="16448" spans="10:10" ht="15" customHeight="1" x14ac:dyDescent="0.3">
      <c r="J16448" s="33"/>
    </row>
    <row r="16449" spans="10:10" ht="15" customHeight="1" x14ac:dyDescent="0.3">
      <c r="J16449" s="33"/>
    </row>
    <row r="16450" spans="10:10" ht="15" customHeight="1" x14ac:dyDescent="0.3">
      <c r="J16450" s="33"/>
    </row>
    <row r="16451" spans="10:10" ht="15" customHeight="1" x14ac:dyDescent="0.3">
      <c r="J16451" s="33"/>
    </row>
    <row r="16452" spans="10:10" ht="15" customHeight="1" x14ac:dyDescent="0.3">
      <c r="J16452" s="33"/>
    </row>
    <row r="16453" spans="10:10" ht="15" customHeight="1" x14ac:dyDescent="0.3">
      <c r="J16453" s="33"/>
    </row>
    <row r="16454" spans="10:10" ht="15" customHeight="1" x14ac:dyDescent="0.3">
      <c r="J16454" s="33"/>
    </row>
    <row r="16455" spans="10:10" ht="15" customHeight="1" x14ac:dyDescent="0.3">
      <c r="J16455" s="33"/>
    </row>
    <row r="16456" spans="10:10" ht="15" customHeight="1" x14ac:dyDescent="0.3">
      <c r="J16456" s="33"/>
    </row>
    <row r="16457" spans="10:10" ht="15" customHeight="1" x14ac:dyDescent="0.3">
      <c r="J16457" s="33"/>
    </row>
    <row r="16458" spans="10:10" ht="15" customHeight="1" x14ac:dyDescent="0.3">
      <c r="J16458" s="33"/>
    </row>
    <row r="16459" spans="10:10" ht="15" customHeight="1" x14ac:dyDescent="0.3">
      <c r="J16459" s="33"/>
    </row>
    <row r="16460" spans="10:10" ht="15" customHeight="1" x14ac:dyDescent="0.3">
      <c r="J16460" s="33"/>
    </row>
    <row r="16461" spans="10:10" ht="15" customHeight="1" x14ac:dyDescent="0.3">
      <c r="J16461" s="33"/>
    </row>
    <row r="16462" spans="10:10" ht="15" customHeight="1" x14ac:dyDescent="0.3">
      <c r="J16462" s="33"/>
    </row>
    <row r="16463" spans="10:10" ht="15" customHeight="1" x14ac:dyDescent="0.3">
      <c r="J16463" s="33"/>
    </row>
    <row r="16464" spans="10:10" ht="15" customHeight="1" x14ac:dyDescent="0.3">
      <c r="J16464" s="33"/>
    </row>
    <row r="16465" spans="10:10" ht="15" customHeight="1" x14ac:dyDescent="0.3">
      <c r="J16465" s="33"/>
    </row>
    <row r="16466" spans="10:10" ht="15" customHeight="1" x14ac:dyDescent="0.3">
      <c r="J16466" s="33"/>
    </row>
    <row r="16467" spans="10:10" ht="15" customHeight="1" x14ac:dyDescent="0.3">
      <c r="J16467" s="33"/>
    </row>
    <row r="16468" spans="10:10" ht="15" customHeight="1" x14ac:dyDescent="0.3">
      <c r="J16468" s="33"/>
    </row>
    <row r="16469" spans="10:10" ht="15" customHeight="1" x14ac:dyDescent="0.3">
      <c r="J16469" s="33"/>
    </row>
    <row r="16470" spans="10:10" ht="15" customHeight="1" x14ac:dyDescent="0.3">
      <c r="J16470" s="33"/>
    </row>
    <row r="16471" spans="10:10" ht="15" customHeight="1" x14ac:dyDescent="0.3">
      <c r="J16471" s="33"/>
    </row>
    <row r="16472" spans="10:10" ht="15" customHeight="1" x14ac:dyDescent="0.3">
      <c r="J16472" s="33"/>
    </row>
    <row r="16473" spans="10:10" ht="15" customHeight="1" x14ac:dyDescent="0.3">
      <c r="J16473" s="33"/>
    </row>
    <row r="16474" spans="10:10" ht="15" customHeight="1" x14ac:dyDescent="0.3">
      <c r="J16474" s="33"/>
    </row>
    <row r="16475" spans="10:10" ht="15" customHeight="1" x14ac:dyDescent="0.3">
      <c r="J16475" s="33"/>
    </row>
    <row r="16476" spans="10:10" ht="15" customHeight="1" x14ac:dyDescent="0.3">
      <c r="J16476" s="33"/>
    </row>
    <row r="16477" spans="10:10" ht="15" customHeight="1" x14ac:dyDescent="0.3">
      <c r="J16477" s="33"/>
    </row>
    <row r="16478" spans="10:10" ht="15" customHeight="1" x14ac:dyDescent="0.3">
      <c r="J16478" s="33"/>
    </row>
    <row r="16479" spans="10:10" ht="15" customHeight="1" x14ac:dyDescent="0.3">
      <c r="J16479" s="33"/>
    </row>
    <row r="16480" spans="10:10" ht="15" customHeight="1" x14ac:dyDescent="0.3">
      <c r="J16480" s="33"/>
    </row>
    <row r="16481" spans="10:10" ht="15" customHeight="1" x14ac:dyDescent="0.3">
      <c r="J16481" s="33"/>
    </row>
    <row r="16482" spans="10:10" ht="15" customHeight="1" x14ac:dyDescent="0.3">
      <c r="J16482" s="33"/>
    </row>
    <row r="16483" spans="10:10" ht="15" customHeight="1" x14ac:dyDescent="0.3">
      <c r="J16483" s="33"/>
    </row>
    <row r="16484" spans="10:10" ht="15" customHeight="1" x14ac:dyDescent="0.3">
      <c r="J16484" s="33"/>
    </row>
    <row r="16485" spans="10:10" ht="15" customHeight="1" x14ac:dyDescent="0.3">
      <c r="J16485" s="33"/>
    </row>
    <row r="16486" spans="10:10" ht="15" customHeight="1" x14ac:dyDescent="0.3">
      <c r="J16486" s="33"/>
    </row>
    <row r="16487" spans="10:10" ht="15" customHeight="1" x14ac:dyDescent="0.3">
      <c r="J16487" s="33"/>
    </row>
    <row r="16488" spans="10:10" ht="15" customHeight="1" x14ac:dyDescent="0.3">
      <c r="J16488" s="33"/>
    </row>
    <row r="16489" spans="10:10" ht="15" customHeight="1" x14ac:dyDescent="0.3">
      <c r="J16489" s="33"/>
    </row>
    <row r="16490" spans="10:10" ht="15" customHeight="1" x14ac:dyDescent="0.3">
      <c r="J16490" s="33"/>
    </row>
    <row r="16491" spans="10:10" ht="15" customHeight="1" x14ac:dyDescent="0.3">
      <c r="J16491" s="33"/>
    </row>
    <row r="16492" spans="10:10" ht="15" customHeight="1" x14ac:dyDescent="0.3">
      <c r="J16492" s="33"/>
    </row>
    <row r="16493" spans="10:10" ht="15" customHeight="1" x14ac:dyDescent="0.3">
      <c r="J16493" s="33"/>
    </row>
    <row r="16494" spans="10:10" ht="15" customHeight="1" x14ac:dyDescent="0.3">
      <c r="J16494" s="33"/>
    </row>
    <row r="16495" spans="10:10" ht="15" customHeight="1" x14ac:dyDescent="0.3">
      <c r="J16495" s="33"/>
    </row>
    <row r="16496" spans="10:10" ht="15" customHeight="1" x14ac:dyDescent="0.3">
      <c r="J16496" s="33"/>
    </row>
    <row r="16497" spans="10:10" ht="15" customHeight="1" x14ac:dyDescent="0.3">
      <c r="J16497" s="33"/>
    </row>
    <row r="16498" spans="10:10" ht="15" customHeight="1" x14ac:dyDescent="0.3">
      <c r="J16498" s="33"/>
    </row>
    <row r="16499" spans="10:10" ht="15" customHeight="1" x14ac:dyDescent="0.3">
      <c r="J16499" s="33"/>
    </row>
    <row r="16500" spans="10:10" ht="15" customHeight="1" x14ac:dyDescent="0.3">
      <c r="J16500" s="33"/>
    </row>
    <row r="16501" spans="10:10" ht="15" customHeight="1" x14ac:dyDescent="0.3">
      <c r="J16501" s="33"/>
    </row>
    <row r="16502" spans="10:10" ht="15" customHeight="1" x14ac:dyDescent="0.3">
      <c r="J16502" s="33"/>
    </row>
    <row r="16503" spans="10:10" ht="15" customHeight="1" x14ac:dyDescent="0.3">
      <c r="J16503" s="33"/>
    </row>
    <row r="16504" spans="10:10" ht="15" customHeight="1" x14ac:dyDescent="0.3">
      <c r="J16504" s="33"/>
    </row>
    <row r="16505" spans="10:10" ht="15" customHeight="1" x14ac:dyDescent="0.3">
      <c r="J16505" s="33"/>
    </row>
    <row r="16506" spans="10:10" ht="15" customHeight="1" x14ac:dyDescent="0.3">
      <c r="J16506" s="33"/>
    </row>
    <row r="16507" spans="10:10" ht="15" customHeight="1" x14ac:dyDescent="0.3">
      <c r="J16507" s="33"/>
    </row>
    <row r="16508" spans="10:10" ht="15" customHeight="1" x14ac:dyDescent="0.3">
      <c r="J16508" s="33"/>
    </row>
    <row r="16509" spans="10:10" ht="15" customHeight="1" x14ac:dyDescent="0.3">
      <c r="J16509" s="33"/>
    </row>
    <row r="16510" spans="10:10" ht="15" customHeight="1" x14ac:dyDescent="0.3">
      <c r="J16510" s="33"/>
    </row>
    <row r="16511" spans="10:10" ht="15" customHeight="1" x14ac:dyDescent="0.3">
      <c r="J16511" s="33"/>
    </row>
    <row r="16512" spans="10:10" ht="15" customHeight="1" x14ac:dyDescent="0.3">
      <c r="J16512" s="33"/>
    </row>
    <row r="16513" spans="10:10" ht="15" customHeight="1" x14ac:dyDescent="0.3">
      <c r="J16513" s="33"/>
    </row>
    <row r="16514" spans="10:10" ht="15" customHeight="1" x14ac:dyDescent="0.3">
      <c r="J16514" s="33"/>
    </row>
    <row r="16515" spans="10:10" ht="15" customHeight="1" x14ac:dyDescent="0.3">
      <c r="J16515" s="33"/>
    </row>
    <row r="16516" spans="10:10" ht="15" customHeight="1" x14ac:dyDescent="0.3">
      <c r="J16516" s="33"/>
    </row>
    <row r="16517" spans="10:10" ht="15" customHeight="1" x14ac:dyDescent="0.3">
      <c r="J16517" s="33"/>
    </row>
    <row r="16518" spans="10:10" ht="15" customHeight="1" x14ac:dyDescent="0.3">
      <c r="J16518" s="33"/>
    </row>
    <row r="16519" spans="10:10" ht="15" customHeight="1" x14ac:dyDescent="0.3">
      <c r="J16519" s="33"/>
    </row>
    <row r="16520" spans="10:10" ht="15" customHeight="1" x14ac:dyDescent="0.3">
      <c r="J16520" s="33"/>
    </row>
    <row r="16521" spans="10:10" ht="15" customHeight="1" x14ac:dyDescent="0.3">
      <c r="J16521" s="33"/>
    </row>
    <row r="16522" spans="10:10" ht="15" customHeight="1" x14ac:dyDescent="0.3">
      <c r="J16522" s="33"/>
    </row>
    <row r="16523" spans="10:10" ht="15" customHeight="1" x14ac:dyDescent="0.3">
      <c r="J16523" s="33"/>
    </row>
    <row r="16524" spans="10:10" ht="15" customHeight="1" x14ac:dyDescent="0.3">
      <c r="J16524" s="33"/>
    </row>
    <row r="16525" spans="10:10" ht="15" customHeight="1" x14ac:dyDescent="0.3">
      <c r="J16525" s="33"/>
    </row>
    <row r="16526" spans="10:10" ht="15" customHeight="1" x14ac:dyDescent="0.3">
      <c r="J16526" s="33"/>
    </row>
    <row r="16527" spans="10:10" ht="15" customHeight="1" x14ac:dyDescent="0.3">
      <c r="J16527" s="33"/>
    </row>
    <row r="16528" spans="10:10" ht="15" customHeight="1" x14ac:dyDescent="0.3">
      <c r="J16528" s="33"/>
    </row>
    <row r="16529" spans="10:10" ht="15" customHeight="1" x14ac:dyDescent="0.3">
      <c r="J16529" s="33"/>
    </row>
    <row r="16530" spans="10:10" ht="15" customHeight="1" x14ac:dyDescent="0.3">
      <c r="J16530" s="33"/>
    </row>
    <row r="16531" spans="10:10" ht="15" customHeight="1" x14ac:dyDescent="0.3">
      <c r="J16531" s="33"/>
    </row>
    <row r="16532" spans="10:10" ht="15" customHeight="1" x14ac:dyDescent="0.3">
      <c r="J16532" s="33"/>
    </row>
    <row r="16533" spans="10:10" ht="15" customHeight="1" x14ac:dyDescent="0.3">
      <c r="J16533" s="33"/>
    </row>
    <row r="16534" spans="10:10" ht="15" customHeight="1" x14ac:dyDescent="0.3">
      <c r="J16534" s="33"/>
    </row>
    <row r="16535" spans="10:10" ht="15" customHeight="1" x14ac:dyDescent="0.3">
      <c r="J16535" s="33"/>
    </row>
    <row r="16536" spans="10:10" ht="15" customHeight="1" x14ac:dyDescent="0.3">
      <c r="J16536" s="33"/>
    </row>
    <row r="16537" spans="10:10" ht="15" customHeight="1" x14ac:dyDescent="0.3">
      <c r="J16537" s="33"/>
    </row>
    <row r="16538" spans="10:10" ht="15" customHeight="1" x14ac:dyDescent="0.3">
      <c r="J16538" s="33"/>
    </row>
    <row r="16539" spans="10:10" ht="15" customHeight="1" x14ac:dyDescent="0.3">
      <c r="J16539" s="33"/>
    </row>
    <row r="16540" spans="10:10" ht="15" customHeight="1" x14ac:dyDescent="0.3">
      <c r="J16540" s="33"/>
    </row>
    <row r="16541" spans="10:10" ht="15" customHeight="1" x14ac:dyDescent="0.3">
      <c r="J16541" s="33"/>
    </row>
    <row r="16542" spans="10:10" ht="15" customHeight="1" x14ac:dyDescent="0.3">
      <c r="J16542" s="33"/>
    </row>
    <row r="16543" spans="10:10" ht="15" customHeight="1" x14ac:dyDescent="0.3">
      <c r="J16543" s="33"/>
    </row>
    <row r="16544" spans="10:10" ht="15" customHeight="1" x14ac:dyDescent="0.3">
      <c r="J16544" s="33"/>
    </row>
    <row r="16545" spans="10:10" ht="15" customHeight="1" x14ac:dyDescent="0.3">
      <c r="J16545" s="33"/>
    </row>
    <row r="16546" spans="10:10" ht="15" customHeight="1" x14ac:dyDescent="0.3">
      <c r="J16546" s="33"/>
    </row>
    <row r="16547" spans="10:10" ht="15" customHeight="1" x14ac:dyDescent="0.3">
      <c r="J16547" s="33"/>
    </row>
    <row r="16548" spans="10:10" ht="15" customHeight="1" x14ac:dyDescent="0.3">
      <c r="J16548" s="33"/>
    </row>
    <row r="16549" spans="10:10" ht="15" customHeight="1" x14ac:dyDescent="0.3">
      <c r="J16549" s="33"/>
    </row>
    <row r="16550" spans="10:10" ht="15" customHeight="1" x14ac:dyDescent="0.3">
      <c r="J16550" s="33"/>
    </row>
    <row r="16551" spans="10:10" ht="15" customHeight="1" x14ac:dyDescent="0.3">
      <c r="J16551" s="33"/>
    </row>
    <row r="16552" spans="10:10" ht="15" customHeight="1" x14ac:dyDescent="0.3">
      <c r="J16552" s="33"/>
    </row>
    <row r="16553" spans="10:10" ht="15" customHeight="1" x14ac:dyDescent="0.3">
      <c r="J16553" s="33"/>
    </row>
    <row r="16554" spans="10:10" ht="15" customHeight="1" x14ac:dyDescent="0.3">
      <c r="J16554" s="33"/>
    </row>
    <row r="16555" spans="10:10" ht="15" customHeight="1" x14ac:dyDescent="0.3">
      <c r="J16555" s="33"/>
    </row>
    <row r="16556" spans="10:10" ht="15" customHeight="1" x14ac:dyDescent="0.3">
      <c r="J16556" s="33"/>
    </row>
    <row r="16557" spans="10:10" ht="15" customHeight="1" x14ac:dyDescent="0.3">
      <c r="J16557" s="33"/>
    </row>
    <row r="16558" spans="10:10" ht="15" customHeight="1" x14ac:dyDescent="0.3">
      <c r="J16558" s="33"/>
    </row>
    <row r="16559" spans="10:10" ht="15" customHeight="1" x14ac:dyDescent="0.3">
      <c r="J16559" s="33"/>
    </row>
    <row r="16560" spans="10:10" ht="15" customHeight="1" x14ac:dyDescent="0.3">
      <c r="J16560" s="33"/>
    </row>
    <row r="16561" spans="10:10" ht="15" customHeight="1" x14ac:dyDescent="0.3">
      <c r="J16561" s="33"/>
    </row>
    <row r="16562" spans="10:10" ht="15" customHeight="1" x14ac:dyDescent="0.3">
      <c r="J16562" s="33"/>
    </row>
    <row r="16563" spans="10:10" ht="15" customHeight="1" x14ac:dyDescent="0.3">
      <c r="J16563" s="33"/>
    </row>
    <row r="16564" spans="10:10" ht="15" customHeight="1" x14ac:dyDescent="0.3">
      <c r="J16564" s="33"/>
    </row>
    <row r="16565" spans="10:10" ht="15" customHeight="1" x14ac:dyDescent="0.3">
      <c r="J16565" s="33"/>
    </row>
    <row r="16566" spans="10:10" ht="15" customHeight="1" x14ac:dyDescent="0.3">
      <c r="J16566" s="33"/>
    </row>
    <row r="16567" spans="10:10" ht="15" customHeight="1" x14ac:dyDescent="0.3">
      <c r="J16567" s="33"/>
    </row>
    <row r="16568" spans="10:10" ht="15" customHeight="1" x14ac:dyDescent="0.3">
      <c r="J16568" s="33"/>
    </row>
    <row r="16569" spans="10:10" ht="15" customHeight="1" x14ac:dyDescent="0.3">
      <c r="J16569" s="33"/>
    </row>
    <row r="16570" spans="10:10" ht="15" customHeight="1" x14ac:dyDescent="0.3">
      <c r="J16570" s="33"/>
    </row>
    <row r="16571" spans="10:10" ht="15" customHeight="1" x14ac:dyDescent="0.3">
      <c r="J16571" s="33"/>
    </row>
    <row r="16572" spans="10:10" ht="15" customHeight="1" x14ac:dyDescent="0.3">
      <c r="J16572" s="33"/>
    </row>
    <row r="16573" spans="10:10" ht="15" customHeight="1" x14ac:dyDescent="0.3">
      <c r="J16573" s="33"/>
    </row>
    <row r="16574" spans="10:10" ht="15" customHeight="1" x14ac:dyDescent="0.3">
      <c r="J16574" s="33"/>
    </row>
    <row r="16575" spans="10:10" ht="15" customHeight="1" x14ac:dyDescent="0.3">
      <c r="J16575" s="33"/>
    </row>
    <row r="16576" spans="10:10" ht="15" customHeight="1" x14ac:dyDescent="0.3">
      <c r="J16576" s="33"/>
    </row>
    <row r="16577" spans="10:10" ht="15" customHeight="1" x14ac:dyDescent="0.3">
      <c r="J16577" s="33"/>
    </row>
    <row r="16578" spans="10:10" ht="15" customHeight="1" x14ac:dyDescent="0.3">
      <c r="J16578" s="33"/>
    </row>
    <row r="16579" spans="10:10" ht="15" customHeight="1" x14ac:dyDescent="0.3">
      <c r="J16579" s="33"/>
    </row>
    <row r="16580" spans="10:10" ht="15" customHeight="1" x14ac:dyDescent="0.3">
      <c r="J16580" s="33"/>
    </row>
    <row r="16581" spans="10:10" ht="15" customHeight="1" x14ac:dyDescent="0.3">
      <c r="J16581" s="33"/>
    </row>
    <row r="16582" spans="10:10" ht="15" customHeight="1" x14ac:dyDescent="0.3">
      <c r="J16582" s="33"/>
    </row>
    <row r="16583" spans="10:10" ht="15" customHeight="1" x14ac:dyDescent="0.3">
      <c r="J16583" s="33"/>
    </row>
    <row r="16584" spans="10:10" ht="15" customHeight="1" x14ac:dyDescent="0.3">
      <c r="J16584" s="33"/>
    </row>
    <row r="16585" spans="10:10" ht="15" customHeight="1" x14ac:dyDescent="0.3">
      <c r="J16585" s="33"/>
    </row>
    <row r="16586" spans="10:10" ht="15" customHeight="1" x14ac:dyDescent="0.3">
      <c r="J16586" s="33"/>
    </row>
    <row r="16587" spans="10:10" ht="15" customHeight="1" x14ac:dyDescent="0.3">
      <c r="J16587" s="33"/>
    </row>
    <row r="16588" spans="10:10" ht="15" customHeight="1" x14ac:dyDescent="0.3">
      <c r="J16588" s="33"/>
    </row>
    <row r="16589" spans="10:10" ht="15" customHeight="1" x14ac:dyDescent="0.3">
      <c r="J16589" s="33"/>
    </row>
    <row r="16590" spans="10:10" ht="15" customHeight="1" x14ac:dyDescent="0.3">
      <c r="J16590" s="33"/>
    </row>
    <row r="16591" spans="10:10" ht="15" customHeight="1" x14ac:dyDescent="0.3">
      <c r="J16591" s="33"/>
    </row>
    <row r="16592" spans="10:10" ht="15" customHeight="1" x14ac:dyDescent="0.3">
      <c r="J16592" s="33"/>
    </row>
    <row r="16593" spans="10:10" ht="15" customHeight="1" x14ac:dyDescent="0.3">
      <c r="J16593" s="33"/>
    </row>
    <row r="16594" spans="10:10" ht="15" customHeight="1" x14ac:dyDescent="0.3">
      <c r="J16594" s="33"/>
    </row>
    <row r="16595" spans="10:10" ht="15" customHeight="1" x14ac:dyDescent="0.3">
      <c r="J16595" s="33"/>
    </row>
    <row r="16596" spans="10:10" ht="15" customHeight="1" x14ac:dyDescent="0.3">
      <c r="J16596" s="33"/>
    </row>
    <row r="16597" spans="10:10" ht="15" customHeight="1" x14ac:dyDescent="0.3">
      <c r="J16597" s="33"/>
    </row>
    <row r="16598" spans="10:10" ht="15" customHeight="1" x14ac:dyDescent="0.3">
      <c r="J16598" s="33"/>
    </row>
    <row r="16599" spans="10:10" ht="15" customHeight="1" x14ac:dyDescent="0.3">
      <c r="J16599" s="33"/>
    </row>
    <row r="16600" spans="10:10" ht="15" customHeight="1" x14ac:dyDescent="0.3">
      <c r="J16600" s="33"/>
    </row>
    <row r="16601" spans="10:10" ht="15" customHeight="1" x14ac:dyDescent="0.3">
      <c r="J16601" s="33"/>
    </row>
    <row r="16602" spans="10:10" ht="15" customHeight="1" x14ac:dyDescent="0.3">
      <c r="J16602" s="33"/>
    </row>
    <row r="16603" spans="10:10" ht="15" customHeight="1" x14ac:dyDescent="0.3">
      <c r="J16603" s="33"/>
    </row>
    <row r="16604" spans="10:10" ht="15" customHeight="1" x14ac:dyDescent="0.3">
      <c r="J16604" s="33"/>
    </row>
    <row r="16605" spans="10:10" ht="15" customHeight="1" x14ac:dyDescent="0.3">
      <c r="J16605" s="33"/>
    </row>
    <row r="16606" spans="10:10" ht="15" customHeight="1" x14ac:dyDescent="0.3">
      <c r="J16606" s="33"/>
    </row>
    <row r="16607" spans="10:10" ht="15" customHeight="1" x14ac:dyDescent="0.3">
      <c r="J16607" s="33"/>
    </row>
    <row r="16608" spans="10:10" ht="15" customHeight="1" x14ac:dyDescent="0.3">
      <c r="J16608" s="33"/>
    </row>
    <row r="16609" spans="10:10" ht="15" customHeight="1" x14ac:dyDescent="0.3">
      <c r="J16609" s="33"/>
    </row>
    <row r="16610" spans="10:10" ht="15" customHeight="1" x14ac:dyDescent="0.3">
      <c r="J16610" s="33"/>
    </row>
    <row r="16611" spans="10:10" ht="15" customHeight="1" x14ac:dyDescent="0.3">
      <c r="J16611" s="33"/>
    </row>
    <row r="16612" spans="10:10" ht="15" customHeight="1" x14ac:dyDescent="0.3">
      <c r="J16612" s="33"/>
    </row>
    <row r="16613" spans="10:10" ht="15" customHeight="1" x14ac:dyDescent="0.3">
      <c r="J16613" s="33"/>
    </row>
    <row r="16614" spans="10:10" ht="15" customHeight="1" x14ac:dyDescent="0.3">
      <c r="J16614" s="33"/>
    </row>
    <row r="16615" spans="10:10" ht="15" customHeight="1" x14ac:dyDescent="0.3">
      <c r="J16615" s="33"/>
    </row>
    <row r="16616" spans="10:10" ht="15" customHeight="1" x14ac:dyDescent="0.3">
      <c r="J16616" s="33"/>
    </row>
    <row r="16617" spans="10:10" ht="15" customHeight="1" x14ac:dyDescent="0.3">
      <c r="J16617" s="33"/>
    </row>
    <row r="16618" spans="10:10" ht="15" customHeight="1" x14ac:dyDescent="0.3">
      <c r="J16618" s="33"/>
    </row>
    <row r="16619" spans="10:10" ht="15" customHeight="1" x14ac:dyDescent="0.3">
      <c r="J16619" s="33"/>
    </row>
    <row r="16620" spans="10:10" ht="15" customHeight="1" x14ac:dyDescent="0.3">
      <c r="J16620" s="33"/>
    </row>
    <row r="16621" spans="10:10" ht="15" customHeight="1" x14ac:dyDescent="0.3">
      <c r="J16621" s="33"/>
    </row>
    <row r="16622" spans="10:10" ht="15" customHeight="1" x14ac:dyDescent="0.3">
      <c r="J16622" s="33"/>
    </row>
    <row r="16623" spans="10:10" ht="15" customHeight="1" x14ac:dyDescent="0.3">
      <c r="J16623" s="33"/>
    </row>
    <row r="16624" spans="10:10" ht="15" customHeight="1" x14ac:dyDescent="0.3">
      <c r="J16624" s="33"/>
    </row>
    <row r="16625" spans="10:10" ht="15" customHeight="1" x14ac:dyDescent="0.3">
      <c r="J16625" s="33"/>
    </row>
    <row r="16626" spans="10:10" ht="15" customHeight="1" x14ac:dyDescent="0.3">
      <c r="J16626" s="33"/>
    </row>
    <row r="16627" spans="10:10" ht="15" customHeight="1" x14ac:dyDescent="0.3">
      <c r="J16627" s="33"/>
    </row>
    <row r="16628" spans="10:10" ht="15" customHeight="1" x14ac:dyDescent="0.3">
      <c r="J16628" s="33"/>
    </row>
    <row r="16629" spans="10:10" ht="15" customHeight="1" x14ac:dyDescent="0.3">
      <c r="J16629" s="33"/>
    </row>
    <row r="16630" spans="10:10" ht="15" customHeight="1" x14ac:dyDescent="0.3">
      <c r="J16630" s="33"/>
    </row>
    <row r="16631" spans="10:10" ht="15" customHeight="1" x14ac:dyDescent="0.3">
      <c r="J16631" s="33"/>
    </row>
    <row r="16632" spans="10:10" ht="15" customHeight="1" x14ac:dyDescent="0.3">
      <c r="J16632" s="33"/>
    </row>
    <row r="16633" spans="10:10" ht="15" customHeight="1" x14ac:dyDescent="0.3">
      <c r="J16633" s="33"/>
    </row>
    <row r="16634" spans="10:10" ht="15" customHeight="1" x14ac:dyDescent="0.3">
      <c r="J16634" s="33"/>
    </row>
    <row r="16635" spans="10:10" ht="15" customHeight="1" x14ac:dyDescent="0.3">
      <c r="J16635" s="33"/>
    </row>
    <row r="16636" spans="10:10" ht="15" customHeight="1" x14ac:dyDescent="0.3">
      <c r="J16636" s="33"/>
    </row>
    <row r="16637" spans="10:10" ht="15" customHeight="1" x14ac:dyDescent="0.3">
      <c r="J16637" s="33"/>
    </row>
    <row r="16638" spans="10:10" ht="15" customHeight="1" x14ac:dyDescent="0.3">
      <c r="J16638" s="33"/>
    </row>
    <row r="16639" spans="10:10" ht="15" customHeight="1" x14ac:dyDescent="0.3">
      <c r="J16639" s="33"/>
    </row>
    <row r="16640" spans="10:10" ht="15" customHeight="1" x14ac:dyDescent="0.3">
      <c r="J16640" s="33"/>
    </row>
    <row r="16641" spans="10:10" ht="15" customHeight="1" x14ac:dyDescent="0.3">
      <c r="J16641" s="33"/>
    </row>
    <row r="16642" spans="10:10" ht="15" customHeight="1" x14ac:dyDescent="0.3">
      <c r="J16642" s="33"/>
    </row>
    <row r="16643" spans="10:10" ht="15" customHeight="1" x14ac:dyDescent="0.3">
      <c r="J16643" s="33"/>
    </row>
    <row r="16644" spans="10:10" ht="15" customHeight="1" x14ac:dyDescent="0.3">
      <c r="J16644" s="33"/>
    </row>
    <row r="16645" spans="10:10" ht="15" customHeight="1" x14ac:dyDescent="0.3">
      <c r="J16645" s="33"/>
    </row>
    <row r="16646" spans="10:10" ht="15" customHeight="1" x14ac:dyDescent="0.3">
      <c r="J16646" s="33"/>
    </row>
    <row r="16647" spans="10:10" ht="15" customHeight="1" x14ac:dyDescent="0.3">
      <c r="J16647" s="33"/>
    </row>
    <row r="16648" spans="10:10" ht="15" customHeight="1" x14ac:dyDescent="0.3">
      <c r="J16648" s="33"/>
    </row>
    <row r="16649" spans="10:10" ht="15" customHeight="1" x14ac:dyDescent="0.3">
      <c r="J16649" s="33"/>
    </row>
    <row r="16650" spans="10:10" ht="15" customHeight="1" x14ac:dyDescent="0.3">
      <c r="J16650" s="33"/>
    </row>
    <row r="16651" spans="10:10" ht="15" customHeight="1" x14ac:dyDescent="0.3">
      <c r="J16651" s="33"/>
    </row>
    <row r="16652" spans="10:10" ht="15" customHeight="1" x14ac:dyDescent="0.3">
      <c r="J16652" s="33"/>
    </row>
    <row r="16653" spans="10:10" ht="15" customHeight="1" x14ac:dyDescent="0.3">
      <c r="J16653" s="33"/>
    </row>
    <row r="16654" spans="10:10" ht="15" customHeight="1" x14ac:dyDescent="0.3">
      <c r="J16654" s="33"/>
    </row>
    <row r="16655" spans="10:10" ht="15" customHeight="1" x14ac:dyDescent="0.3">
      <c r="J16655" s="33"/>
    </row>
    <row r="16656" spans="10:10" ht="15" customHeight="1" x14ac:dyDescent="0.3">
      <c r="J16656" s="33"/>
    </row>
    <row r="16657" spans="10:10" ht="15" customHeight="1" x14ac:dyDescent="0.3">
      <c r="J16657" s="33"/>
    </row>
    <row r="16658" spans="10:10" ht="15" customHeight="1" x14ac:dyDescent="0.3">
      <c r="J16658" s="33"/>
    </row>
    <row r="16659" spans="10:10" ht="15" customHeight="1" x14ac:dyDescent="0.3">
      <c r="J16659" s="33"/>
    </row>
    <row r="16660" spans="10:10" ht="15" customHeight="1" x14ac:dyDescent="0.3">
      <c r="J16660" s="33"/>
    </row>
    <row r="16661" spans="10:10" ht="15" customHeight="1" x14ac:dyDescent="0.3">
      <c r="J16661" s="33"/>
    </row>
    <row r="16662" spans="10:10" ht="15" customHeight="1" x14ac:dyDescent="0.3">
      <c r="J16662" s="33"/>
    </row>
    <row r="16663" spans="10:10" ht="15" customHeight="1" x14ac:dyDescent="0.3">
      <c r="J16663" s="33"/>
    </row>
    <row r="16664" spans="10:10" ht="15" customHeight="1" x14ac:dyDescent="0.3">
      <c r="J16664" s="33"/>
    </row>
    <row r="16665" spans="10:10" ht="15" customHeight="1" x14ac:dyDescent="0.3">
      <c r="J16665" s="33"/>
    </row>
    <row r="16666" spans="10:10" ht="15" customHeight="1" x14ac:dyDescent="0.3">
      <c r="J16666" s="33"/>
    </row>
    <row r="16667" spans="10:10" ht="15" customHeight="1" x14ac:dyDescent="0.3">
      <c r="J16667" s="33"/>
    </row>
    <row r="16668" spans="10:10" ht="15" customHeight="1" x14ac:dyDescent="0.3">
      <c r="J16668" s="33"/>
    </row>
    <row r="16669" spans="10:10" ht="15" customHeight="1" x14ac:dyDescent="0.3">
      <c r="J16669" s="33"/>
    </row>
    <row r="16670" spans="10:10" ht="15" customHeight="1" x14ac:dyDescent="0.3">
      <c r="J16670" s="33"/>
    </row>
    <row r="16671" spans="10:10" ht="15" customHeight="1" x14ac:dyDescent="0.3">
      <c r="J16671" s="33"/>
    </row>
    <row r="16672" spans="10:10" ht="15" customHeight="1" x14ac:dyDescent="0.3">
      <c r="J16672" s="33"/>
    </row>
    <row r="16673" spans="10:10" ht="15" customHeight="1" x14ac:dyDescent="0.3">
      <c r="J16673" s="33"/>
    </row>
    <row r="16674" spans="10:10" ht="15" customHeight="1" x14ac:dyDescent="0.3">
      <c r="J16674" s="33"/>
    </row>
    <row r="16675" spans="10:10" ht="15" customHeight="1" x14ac:dyDescent="0.3">
      <c r="J16675" s="33"/>
    </row>
    <row r="16676" spans="10:10" ht="15" customHeight="1" x14ac:dyDescent="0.3">
      <c r="J16676" s="33"/>
    </row>
    <row r="16677" spans="10:10" ht="15" customHeight="1" x14ac:dyDescent="0.3">
      <c r="J16677" s="33"/>
    </row>
    <row r="16678" spans="10:10" ht="15" customHeight="1" x14ac:dyDescent="0.3">
      <c r="J16678" s="33"/>
    </row>
    <row r="16679" spans="10:10" ht="15" customHeight="1" x14ac:dyDescent="0.3">
      <c r="J16679" s="33"/>
    </row>
    <row r="16680" spans="10:10" ht="15" customHeight="1" x14ac:dyDescent="0.3">
      <c r="J16680" s="33"/>
    </row>
    <row r="16681" spans="10:10" ht="15" customHeight="1" x14ac:dyDescent="0.3">
      <c r="J16681" s="33"/>
    </row>
    <row r="16682" spans="10:10" ht="15" customHeight="1" x14ac:dyDescent="0.3">
      <c r="J16682" s="33"/>
    </row>
    <row r="16683" spans="10:10" ht="15" customHeight="1" x14ac:dyDescent="0.3">
      <c r="J16683" s="33"/>
    </row>
    <row r="16684" spans="10:10" ht="15" customHeight="1" x14ac:dyDescent="0.3">
      <c r="J16684" s="33"/>
    </row>
    <row r="16685" spans="10:10" ht="15" customHeight="1" x14ac:dyDescent="0.3">
      <c r="J16685" s="33"/>
    </row>
    <row r="16686" spans="10:10" ht="15" customHeight="1" x14ac:dyDescent="0.3">
      <c r="J16686" s="33"/>
    </row>
    <row r="16687" spans="10:10" ht="15" customHeight="1" x14ac:dyDescent="0.3">
      <c r="J16687" s="33"/>
    </row>
    <row r="16688" spans="10:10" ht="15" customHeight="1" x14ac:dyDescent="0.3">
      <c r="J16688" s="33"/>
    </row>
    <row r="16689" spans="10:10" ht="15" customHeight="1" x14ac:dyDescent="0.3">
      <c r="J16689" s="33"/>
    </row>
    <row r="16690" spans="10:10" ht="15" customHeight="1" x14ac:dyDescent="0.3">
      <c r="J16690" s="33"/>
    </row>
    <row r="16691" spans="10:10" ht="15" customHeight="1" x14ac:dyDescent="0.3">
      <c r="J16691" s="33"/>
    </row>
    <row r="16692" spans="10:10" ht="15" customHeight="1" x14ac:dyDescent="0.3">
      <c r="J16692" s="33"/>
    </row>
    <row r="16693" spans="10:10" ht="15" customHeight="1" x14ac:dyDescent="0.3">
      <c r="J16693" s="33"/>
    </row>
    <row r="16694" spans="10:10" ht="15" customHeight="1" x14ac:dyDescent="0.3">
      <c r="J16694" s="33"/>
    </row>
    <row r="16695" spans="10:10" ht="15" customHeight="1" x14ac:dyDescent="0.3">
      <c r="J16695" s="33"/>
    </row>
    <row r="16696" spans="10:10" ht="15" customHeight="1" x14ac:dyDescent="0.3">
      <c r="J16696" s="33"/>
    </row>
    <row r="16697" spans="10:10" ht="15" customHeight="1" x14ac:dyDescent="0.3">
      <c r="J16697" s="33"/>
    </row>
    <row r="16698" spans="10:10" ht="15" customHeight="1" x14ac:dyDescent="0.3">
      <c r="J16698" s="33"/>
    </row>
    <row r="16699" spans="10:10" ht="15" customHeight="1" x14ac:dyDescent="0.3">
      <c r="J16699" s="33"/>
    </row>
    <row r="16700" spans="10:10" ht="15" customHeight="1" x14ac:dyDescent="0.3">
      <c r="J16700" s="33"/>
    </row>
    <row r="16701" spans="10:10" ht="15" customHeight="1" x14ac:dyDescent="0.3">
      <c r="J16701" s="33"/>
    </row>
    <row r="16702" spans="10:10" ht="15" customHeight="1" x14ac:dyDescent="0.3">
      <c r="J16702" s="33"/>
    </row>
    <row r="16703" spans="10:10" ht="15" customHeight="1" x14ac:dyDescent="0.3">
      <c r="J16703" s="33"/>
    </row>
    <row r="16704" spans="10:10" ht="15" customHeight="1" x14ac:dyDescent="0.3">
      <c r="J16704" s="33"/>
    </row>
    <row r="16705" spans="10:10" ht="15" customHeight="1" x14ac:dyDescent="0.3">
      <c r="J16705" s="33"/>
    </row>
    <row r="16706" spans="10:10" ht="15" customHeight="1" x14ac:dyDescent="0.3">
      <c r="J16706" s="33"/>
    </row>
    <row r="16707" spans="10:10" ht="15" customHeight="1" x14ac:dyDescent="0.3">
      <c r="J16707" s="33"/>
    </row>
    <row r="16708" spans="10:10" ht="15" customHeight="1" x14ac:dyDescent="0.3">
      <c r="J16708" s="33"/>
    </row>
    <row r="16709" spans="10:10" ht="15" customHeight="1" x14ac:dyDescent="0.3">
      <c r="J16709" s="33"/>
    </row>
    <row r="16710" spans="10:10" ht="15" customHeight="1" x14ac:dyDescent="0.3">
      <c r="J16710" s="33"/>
    </row>
    <row r="16711" spans="10:10" ht="15" customHeight="1" x14ac:dyDescent="0.3">
      <c r="J16711" s="33"/>
    </row>
    <row r="16712" spans="10:10" ht="15" customHeight="1" x14ac:dyDescent="0.3">
      <c r="J16712" s="33"/>
    </row>
    <row r="16713" spans="10:10" ht="15" customHeight="1" x14ac:dyDescent="0.3">
      <c r="J16713" s="33"/>
    </row>
    <row r="16714" spans="10:10" ht="15" customHeight="1" x14ac:dyDescent="0.3">
      <c r="J16714" s="33"/>
    </row>
    <row r="16715" spans="10:10" ht="15" customHeight="1" x14ac:dyDescent="0.3">
      <c r="J16715" s="33"/>
    </row>
    <row r="16716" spans="10:10" ht="15" customHeight="1" x14ac:dyDescent="0.3">
      <c r="J16716" s="33"/>
    </row>
    <row r="16717" spans="10:10" ht="15" customHeight="1" x14ac:dyDescent="0.3">
      <c r="J16717" s="33"/>
    </row>
    <row r="16718" spans="10:10" ht="15" customHeight="1" x14ac:dyDescent="0.3">
      <c r="J16718" s="33"/>
    </row>
    <row r="16719" spans="10:10" ht="15" customHeight="1" x14ac:dyDescent="0.3">
      <c r="J16719" s="33"/>
    </row>
    <row r="16720" spans="10:10" ht="15" customHeight="1" x14ac:dyDescent="0.3">
      <c r="J16720" s="33"/>
    </row>
    <row r="16721" spans="10:10" ht="15" customHeight="1" x14ac:dyDescent="0.3">
      <c r="J16721" s="33"/>
    </row>
    <row r="16722" spans="10:10" ht="15" customHeight="1" x14ac:dyDescent="0.3">
      <c r="J16722" s="33"/>
    </row>
    <row r="16723" spans="10:10" ht="15" customHeight="1" x14ac:dyDescent="0.3">
      <c r="J16723" s="33"/>
    </row>
    <row r="16724" spans="10:10" ht="15" customHeight="1" x14ac:dyDescent="0.3">
      <c r="J16724" s="33"/>
    </row>
    <row r="16725" spans="10:10" ht="15" customHeight="1" x14ac:dyDescent="0.3">
      <c r="J16725" s="33"/>
    </row>
    <row r="16726" spans="10:10" ht="15" customHeight="1" x14ac:dyDescent="0.3">
      <c r="J16726" s="33"/>
    </row>
    <row r="16727" spans="10:10" ht="15" customHeight="1" x14ac:dyDescent="0.3">
      <c r="J16727" s="33"/>
    </row>
    <row r="16728" spans="10:10" ht="15" customHeight="1" x14ac:dyDescent="0.3">
      <c r="J16728" s="33"/>
    </row>
    <row r="16729" spans="10:10" ht="15" customHeight="1" x14ac:dyDescent="0.3">
      <c r="J16729" s="33"/>
    </row>
    <row r="16730" spans="10:10" ht="15" customHeight="1" x14ac:dyDescent="0.3">
      <c r="J16730" s="33"/>
    </row>
    <row r="16731" spans="10:10" ht="15" customHeight="1" x14ac:dyDescent="0.3">
      <c r="J16731" s="33"/>
    </row>
    <row r="16732" spans="10:10" ht="15" customHeight="1" x14ac:dyDescent="0.3">
      <c r="J16732" s="33"/>
    </row>
    <row r="16733" spans="10:10" ht="15" customHeight="1" x14ac:dyDescent="0.3">
      <c r="J16733" s="33"/>
    </row>
    <row r="16734" spans="10:10" ht="15" customHeight="1" x14ac:dyDescent="0.3">
      <c r="J16734" s="33"/>
    </row>
    <row r="16735" spans="10:10" ht="15" customHeight="1" x14ac:dyDescent="0.3">
      <c r="J16735" s="33"/>
    </row>
    <row r="16736" spans="10:10" ht="15" customHeight="1" x14ac:dyDescent="0.3">
      <c r="J16736" s="33"/>
    </row>
    <row r="16737" spans="10:10" ht="15" customHeight="1" x14ac:dyDescent="0.3">
      <c r="J16737" s="33"/>
    </row>
    <row r="16738" spans="10:10" ht="15" customHeight="1" x14ac:dyDescent="0.3">
      <c r="J16738" s="33"/>
    </row>
    <row r="16739" spans="10:10" ht="15" customHeight="1" x14ac:dyDescent="0.3">
      <c r="J16739" s="33"/>
    </row>
    <row r="16740" spans="10:10" ht="15" customHeight="1" x14ac:dyDescent="0.3">
      <c r="J16740" s="33"/>
    </row>
    <row r="16741" spans="10:10" ht="15" customHeight="1" x14ac:dyDescent="0.3">
      <c r="J16741" s="33"/>
    </row>
    <row r="16742" spans="10:10" ht="15" customHeight="1" x14ac:dyDescent="0.3">
      <c r="J16742" s="33"/>
    </row>
    <row r="16743" spans="10:10" ht="15" customHeight="1" x14ac:dyDescent="0.3">
      <c r="J16743" s="33"/>
    </row>
    <row r="16744" spans="10:10" ht="15" customHeight="1" x14ac:dyDescent="0.3">
      <c r="J16744" s="33"/>
    </row>
    <row r="16745" spans="10:10" ht="15" customHeight="1" x14ac:dyDescent="0.3">
      <c r="J16745" s="33"/>
    </row>
    <row r="16746" spans="10:10" ht="15" customHeight="1" x14ac:dyDescent="0.3">
      <c r="J16746" s="33"/>
    </row>
    <row r="16747" spans="10:10" ht="15" customHeight="1" x14ac:dyDescent="0.3">
      <c r="J16747" s="33"/>
    </row>
    <row r="16748" spans="10:10" ht="15" customHeight="1" x14ac:dyDescent="0.3">
      <c r="J16748" s="33"/>
    </row>
    <row r="16749" spans="10:10" ht="15" customHeight="1" x14ac:dyDescent="0.3">
      <c r="J16749" s="33"/>
    </row>
    <row r="16750" spans="10:10" ht="15" customHeight="1" x14ac:dyDescent="0.3">
      <c r="J16750" s="33"/>
    </row>
    <row r="16751" spans="10:10" ht="15" customHeight="1" x14ac:dyDescent="0.3">
      <c r="J16751" s="33"/>
    </row>
    <row r="16752" spans="10:10" ht="15" customHeight="1" x14ac:dyDescent="0.3">
      <c r="J16752" s="33"/>
    </row>
    <row r="16753" spans="10:10" ht="15" customHeight="1" x14ac:dyDescent="0.3">
      <c r="J16753" s="33"/>
    </row>
    <row r="16754" spans="10:10" ht="15" customHeight="1" x14ac:dyDescent="0.3">
      <c r="J16754" s="33"/>
    </row>
    <row r="16755" spans="10:10" ht="15" customHeight="1" x14ac:dyDescent="0.3">
      <c r="J16755" s="33"/>
    </row>
    <row r="16756" spans="10:10" ht="15" customHeight="1" x14ac:dyDescent="0.3">
      <c r="J16756" s="33"/>
    </row>
    <row r="16757" spans="10:10" ht="15" customHeight="1" x14ac:dyDescent="0.3">
      <c r="J16757" s="33"/>
    </row>
    <row r="16758" spans="10:10" ht="15" customHeight="1" x14ac:dyDescent="0.3">
      <c r="J16758" s="33"/>
    </row>
    <row r="16759" spans="10:10" ht="15" customHeight="1" x14ac:dyDescent="0.3">
      <c r="J16759" s="33"/>
    </row>
    <row r="16760" spans="10:10" ht="15" customHeight="1" x14ac:dyDescent="0.3">
      <c r="J16760" s="33"/>
    </row>
    <row r="16761" spans="10:10" ht="15" customHeight="1" x14ac:dyDescent="0.3">
      <c r="J16761" s="33"/>
    </row>
    <row r="16762" spans="10:10" ht="15" customHeight="1" x14ac:dyDescent="0.3">
      <c r="J16762" s="33"/>
    </row>
    <row r="16763" spans="10:10" ht="15" customHeight="1" x14ac:dyDescent="0.3">
      <c r="J16763" s="33"/>
    </row>
    <row r="16764" spans="10:10" ht="15" customHeight="1" x14ac:dyDescent="0.3">
      <c r="J16764" s="33"/>
    </row>
    <row r="16765" spans="10:10" ht="15" customHeight="1" x14ac:dyDescent="0.3">
      <c r="J16765" s="33"/>
    </row>
    <row r="16766" spans="10:10" ht="15" customHeight="1" x14ac:dyDescent="0.3">
      <c r="J16766" s="33"/>
    </row>
    <row r="16767" spans="10:10" ht="15" customHeight="1" x14ac:dyDescent="0.3">
      <c r="J16767" s="33"/>
    </row>
    <row r="16768" spans="10:10" ht="15" customHeight="1" x14ac:dyDescent="0.3">
      <c r="J16768" s="33"/>
    </row>
    <row r="16769" spans="10:10" ht="15" customHeight="1" x14ac:dyDescent="0.3">
      <c r="J16769" s="33"/>
    </row>
    <row r="16770" spans="10:10" ht="15" customHeight="1" x14ac:dyDescent="0.3">
      <c r="J16770" s="33"/>
    </row>
    <row r="16771" spans="10:10" ht="15" customHeight="1" x14ac:dyDescent="0.3">
      <c r="J16771" s="33"/>
    </row>
    <row r="16772" spans="10:10" ht="15" customHeight="1" x14ac:dyDescent="0.3">
      <c r="J16772" s="33"/>
    </row>
    <row r="16773" spans="10:10" ht="15" customHeight="1" x14ac:dyDescent="0.3">
      <c r="J16773" s="33"/>
    </row>
    <row r="16774" spans="10:10" ht="15" customHeight="1" x14ac:dyDescent="0.3">
      <c r="J16774" s="33"/>
    </row>
    <row r="16775" spans="10:10" ht="15" customHeight="1" x14ac:dyDescent="0.3">
      <c r="J16775" s="33"/>
    </row>
    <row r="16776" spans="10:10" ht="15" customHeight="1" x14ac:dyDescent="0.3">
      <c r="J16776" s="33"/>
    </row>
    <row r="16777" spans="10:10" ht="15" customHeight="1" x14ac:dyDescent="0.3">
      <c r="J16777" s="33"/>
    </row>
    <row r="16778" spans="10:10" ht="15" customHeight="1" x14ac:dyDescent="0.3">
      <c r="J16778" s="33"/>
    </row>
    <row r="16779" spans="10:10" ht="15" customHeight="1" x14ac:dyDescent="0.3">
      <c r="J16779" s="33"/>
    </row>
    <row r="16780" spans="10:10" ht="15" customHeight="1" x14ac:dyDescent="0.3">
      <c r="J16780" s="33"/>
    </row>
    <row r="16781" spans="10:10" ht="15" customHeight="1" x14ac:dyDescent="0.3">
      <c r="J16781" s="33"/>
    </row>
    <row r="16782" spans="10:10" ht="15" customHeight="1" x14ac:dyDescent="0.3">
      <c r="J16782" s="33"/>
    </row>
    <row r="16783" spans="10:10" ht="15" customHeight="1" x14ac:dyDescent="0.3">
      <c r="J16783" s="33"/>
    </row>
    <row r="16784" spans="10:10" ht="15" customHeight="1" x14ac:dyDescent="0.3">
      <c r="J16784" s="33"/>
    </row>
    <row r="16785" spans="10:10" ht="15" customHeight="1" x14ac:dyDescent="0.3">
      <c r="J16785" s="33"/>
    </row>
    <row r="16786" spans="10:10" ht="15" customHeight="1" x14ac:dyDescent="0.3">
      <c r="J16786" s="33"/>
    </row>
    <row r="16787" spans="10:10" ht="15" customHeight="1" x14ac:dyDescent="0.3">
      <c r="J16787" s="33"/>
    </row>
    <row r="16788" spans="10:10" ht="15" customHeight="1" x14ac:dyDescent="0.3">
      <c r="J16788" s="33"/>
    </row>
    <row r="16789" spans="10:10" ht="15" customHeight="1" x14ac:dyDescent="0.3">
      <c r="J16789" s="33"/>
    </row>
    <row r="16790" spans="10:10" ht="15" customHeight="1" x14ac:dyDescent="0.3">
      <c r="J16790" s="33"/>
    </row>
    <row r="16791" spans="10:10" ht="15" customHeight="1" x14ac:dyDescent="0.3">
      <c r="J16791" s="33"/>
    </row>
    <row r="16792" spans="10:10" ht="15" customHeight="1" x14ac:dyDescent="0.3">
      <c r="J16792" s="33"/>
    </row>
    <row r="16793" spans="10:10" ht="15" customHeight="1" x14ac:dyDescent="0.3">
      <c r="J16793" s="33"/>
    </row>
    <row r="16794" spans="10:10" ht="15" customHeight="1" x14ac:dyDescent="0.3">
      <c r="J16794" s="33"/>
    </row>
    <row r="16795" spans="10:10" ht="15" customHeight="1" x14ac:dyDescent="0.3">
      <c r="J16795" s="33"/>
    </row>
    <row r="16796" spans="10:10" ht="15" customHeight="1" x14ac:dyDescent="0.3">
      <c r="J16796" s="33"/>
    </row>
    <row r="16797" spans="10:10" ht="15" customHeight="1" x14ac:dyDescent="0.3">
      <c r="J16797" s="33"/>
    </row>
    <row r="16798" spans="10:10" ht="15" customHeight="1" x14ac:dyDescent="0.3">
      <c r="J16798" s="33"/>
    </row>
    <row r="16799" spans="10:10" ht="15" customHeight="1" x14ac:dyDescent="0.3">
      <c r="J16799" s="33"/>
    </row>
    <row r="16800" spans="10:10" ht="15" customHeight="1" x14ac:dyDescent="0.3">
      <c r="J16800" s="33"/>
    </row>
    <row r="16801" spans="10:10" ht="15" customHeight="1" x14ac:dyDescent="0.3">
      <c r="J16801" s="33"/>
    </row>
    <row r="16802" spans="10:10" ht="15" customHeight="1" x14ac:dyDescent="0.3">
      <c r="J16802" s="33"/>
    </row>
    <row r="16803" spans="10:10" ht="15" customHeight="1" x14ac:dyDescent="0.3">
      <c r="J16803" s="33"/>
    </row>
    <row r="16804" spans="10:10" ht="15" customHeight="1" x14ac:dyDescent="0.3">
      <c r="J16804" s="33"/>
    </row>
    <row r="16805" spans="10:10" ht="15" customHeight="1" x14ac:dyDescent="0.3">
      <c r="J16805" s="33"/>
    </row>
    <row r="16806" spans="10:10" ht="15" customHeight="1" x14ac:dyDescent="0.3">
      <c r="J16806" s="33"/>
    </row>
    <row r="16807" spans="10:10" ht="15" customHeight="1" x14ac:dyDescent="0.3">
      <c r="J16807" s="33"/>
    </row>
    <row r="16808" spans="10:10" ht="15" customHeight="1" x14ac:dyDescent="0.3">
      <c r="J16808" s="33"/>
    </row>
    <row r="16809" spans="10:10" ht="15" customHeight="1" x14ac:dyDescent="0.3">
      <c r="J16809" s="33"/>
    </row>
    <row r="16810" spans="10:10" ht="15" customHeight="1" x14ac:dyDescent="0.3">
      <c r="J16810" s="33"/>
    </row>
    <row r="16811" spans="10:10" ht="15" customHeight="1" x14ac:dyDescent="0.3">
      <c r="J16811" s="33"/>
    </row>
    <row r="16812" spans="10:10" ht="15" customHeight="1" x14ac:dyDescent="0.3">
      <c r="J16812" s="33"/>
    </row>
    <row r="16813" spans="10:10" ht="15" customHeight="1" x14ac:dyDescent="0.3">
      <c r="J16813" s="33"/>
    </row>
    <row r="16814" spans="10:10" ht="15" customHeight="1" x14ac:dyDescent="0.3">
      <c r="J16814" s="33"/>
    </row>
    <row r="16815" spans="10:10" ht="15" customHeight="1" x14ac:dyDescent="0.3">
      <c r="J16815" s="33"/>
    </row>
    <row r="16816" spans="10:10" ht="15" customHeight="1" x14ac:dyDescent="0.3">
      <c r="J16816" s="33"/>
    </row>
    <row r="16817" spans="10:10" ht="15" customHeight="1" x14ac:dyDescent="0.3">
      <c r="J16817" s="33"/>
    </row>
    <row r="16818" spans="10:10" ht="15" customHeight="1" x14ac:dyDescent="0.3">
      <c r="J16818" s="33"/>
    </row>
    <row r="16819" spans="10:10" ht="15" customHeight="1" x14ac:dyDescent="0.3">
      <c r="J16819" s="33"/>
    </row>
    <row r="16820" spans="10:10" ht="15" customHeight="1" x14ac:dyDescent="0.3">
      <c r="J16820" s="33"/>
    </row>
    <row r="16821" spans="10:10" ht="15" customHeight="1" x14ac:dyDescent="0.3">
      <c r="J16821" s="33"/>
    </row>
    <row r="16822" spans="10:10" ht="15" customHeight="1" x14ac:dyDescent="0.3">
      <c r="J16822" s="33"/>
    </row>
    <row r="16823" spans="10:10" ht="15" customHeight="1" x14ac:dyDescent="0.3">
      <c r="J16823" s="33"/>
    </row>
    <row r="16824" spans="10:10" ht="15" customHeight="1" x14ac:dyDescent="0.3">
      <c r="J16824" s="33"/>
    </row>
    <row r="16825" spans="10:10" ht="15" customHeight="1" x14ac:dyDescent="0.3">
      <c r="J16825" s="33"/>
    </row>
    <row r="16826" spans="10:10" ht="15" customHeight="1" x14ac:dyDescent="0.3">
      <c r="J16826" s="33"/>
    </row>
    <row r="16827" spans="10:10" ht="15" customHeight="1" x14ac:dyDescent="0.3">
      <c r="J16827" s="33"/>
    </row>
    <row r="16828" spans="10:10" ht="15" customHeight="1" x14ac:dyDescent="0.3">
      <c r="J16828" s="33"/>
    </row>
    <row r="16829" spans="10:10" ht="15" customHeight="1" x14ac:dyDescent="0.3">
      <c r="J16829" s="33"/>
    </row>
    <row r="16830" spans="10:10" ht="15" customHeight="1" x14ac:dyDescent="0.3">
      <c r="J16830" s="33"/>
    </row>
    <row r="16831" spans="10:10" ht="15" customHeight="1" x14ac:dyDescent="0.3">
      <c r="J16831" s="33"/>
    </row>
    <row r="16832" spans="10:10" ht="15" customHeight="1" x14ac:dyDescent="0.3">
      <c r="J16832" s="33"/>
    </row>
    <row r="16833" spans="10:10" ht="15" customHeight="1" x14ac:dyDescent="0.3">
      <c r="J16833" s="33"/>
    </row>
    <row r="16834" spans="10:10" ht="15" customHeight="1" x14ac:dyDescent="0.3">
      <c r="J16834" s="33"/>
    </row>
    <row r="16835" spans="10:10" ht="15" customHeight="1" x14ac:dyDescent="0.3">
      <c r="J16835" s="33"/>
    </row>
    <row r="16836" spans="10:10" ht="15" customHeight="1" x14ac:dyDescent="0.3">
      <c r="J16836" s="33"/>
    </row>
    <row r="16837" spans="10:10" ht="15" customHeight="1" x14ac:dyDescent="0.3">
      <c r="J16837" s="33"/>
    </row>
    <row r="16838" spans="10:10" ht="15" customHeight="1" x14ac:dyDescent="0.3">
      <c r="J16838" s="33"/>
    </row>
    <row r="16839" spans="10:10" ht="15" customHeight="1" x14ac:dyDescent="0.3">
      <c r="J16839" s="33"/>
    </row>
    <row r="16840" spans="10:10" ht="15" customHeight="1" x14ac:dyDescent="0.3">
      <c r="J16840" s="33"/>
    </row>
    <row r="16841" spans="10:10" ht="15" customHeight="1" x14ac:dyDescent="0.3">
      <c r="J16841" s="33"/>
    </row>
    <row r="16842" spans="10:10" ht="15" customHeight="1" x14ac:dyDescent="0.3">
      <c r="J16842" s="33"/>
    </row>
    <row r="16843" spans="10:10" ht="15" customHeight="1" x14ac:dyDescent="0.3">
      <c r="J16843" s="33"/>
    </row>
    <row r="16844" spans="10:10" ht="15" customHeight="1" x14ac:dyDescent="0.3">
      <c r="J16844" s="33"/>
    </row>
    <row r="16845" spans="10:10" ht="15" customHeight="1" x14ac:dyDescent="0.3">
      <c r="J16845" s="33"/>
    </row>
    <row r="16846" spans="10:10" ht="15" customHeight="1" x14ac:dyDescent="0.3">
      <c r="J16846" s="33"/>
    </row>
    <row r="16847" spans="10:10" ht="15" customHeight="1" x14ac:dyDescent="0.3">
      <c r="J16847" s="33"/>
    </row>
    <row r="16848" spans="10:10" ht="15" customHeight="1" x14ac:dyDescent="0.3">
      <c r="J16848" s="33"/>
    </row>
    <row r="16849" spans="10:10" ht="15" customHeight="1" x14ac:dyDescent="0.3">
      <c r="J16849" s="33"/>
    </row>
    <row r="16850" spans="10:10" ht="15" customHeight="1" x14ac:dyDescent="0.3">
      <c r="J16850" s="33"/>
    </row>
    <row r="16851" spans="10:10" ht="15" customHeight="1" x14ac:dyDescent="0.3">
      <c r="J16851" s="33"/>
    </row>
    <row r="16852" spans="10:10" ht="15" customHeight="1" x14ac:dyDescent="0.3">
      <c r="J16852" s="33"/>
    </row>
    <row r="16853" spans="10:10" ht="15" customHeight="1" x14ac:dyDescent="0.3">
      <c r="J16853" s="33"/>
    </row>
    <row r="16854" spans="10:10" ht="15" customHeight="1" x14ac:dyDescent="0.3">
      <c r="J16854" s="33"/>
    </row>
    <row r="16855" spans="10:10" ht="15" customHeight="1" x14ac:dyDescent="0.3">
      <c r="J16855" s="33"/>
    </row>
    <row r="16856" spans="10:10" ht="15" customHeight="1" x14ac:dyDescent="0.3">
      <c r="J16856" s="33"/>
    </row>
    <row r="16857" spans="10:10" ht="15" customHeight="1" x14ac:dyDescent="0.3">
      <c r="J16857" s="33"/>
    </row>
    <row r="16858" spans="10:10" ht="15" customHeight="1" x14ac:dyDescent="0.3">
      <c r="J16858" s="33"/>
    </row>
    <row r="16859" spans="10:10" ht="15" customHeight="1" x14ac:dyDescent="0.3">
      <c r="J16859" s="33"/>
    </row>
    <row r="16860" spans="10:10" ht="15" customHeight="1" x14ac:dyDescent="0.3">
      <c r="J16860" s="33"/>
    </row>
    <row r="16861" spans="10:10" ht="15" customHeight="1" x14ac:dyDescent="0.3">
      <c r="J16861" s="33"/>
    </row>
    <row r="16862" spans="10:10" ht="15" customHeight="1" x14ac:dyDescent="0.3">
      <c r="J16862" s="33"/>
    </row>
    <row r="16863" spans="10:10" ht="15" customHeight="1" x14ac:dyDescent="0.3">
      <c r="J16863" s="33"/>
    </row>
    <row r="16864" spans="10:10" ht="15" customHeight="1" x14ac:dyDescent="0.3">
      <c r="J16864" s="33"/>
    </row>
    <row r="16865" spans="10:10" ht="15" customHeight="1" x14ac:dyDescent="0.3">
      <c r="J16865" s="33"/>
    </row>
    <row r="16866" spans="10:10" ht="15" customHeight="1" x14ac:dyDescent="0.3">
      <c r="J16866" s="33"/>
    </row>
    <row r="16867" spans="10:10" ht="15" customHeight="1" x14ac:dyDescent="0.3">
      <c r="J16867" s="33"/>
    </row>
    <row r="16868" spans="10:10" ht="15" customHeight="1" x14ac:dyDescent="0.3">
      <c r="J16868" s="33"/>
    </row>
    <row r="16869" spans="10:10" ht="15" customHeight="1" x14ac:dyDescent="0.3">
      <c r="J16869" s="33"/>
    </row>
    <row r="16870" spans="10:10" ht="15" customHeight="1" x14ac:dyDescent="0.3">
      <c r="J16870" s="33"/>
    </row>
    <row r="16871" spans="10:10" ht="15" customHeight="1" x14ac:dyDescent="0.3">
      <c r="J16871" s="33"/>
    </row>
    <row r="16872" spans="10:10" ht="15" customHeight="1" x14ac:dyDescent="0.3">
      <c r="J16872" s="33"/>
    </row>
    <row r="16873" spans="10:10" ht="15" customHeight="1" x14ac:dyDescent="0.3">
      <c r="J16873" s="33"/>
    </row>
    <row r="16874" spans="10:10" ht="15" customHeight="1" x14ac:dyDescent="0.3">
      <c r="J16874" s="33"/>
    </row>
    <row r="16875" spans="10:10" ht="15" customHeight="1" x14ac:dyDescent="0.3">
      <c r="J16875" s="33"/>
    </row>
    <row r="16876" spans="10:10" ht="15" customHeight="1" x14ac:dyDescent="0.3">
      <c r="J16876" s="33"/>
    </row>
    <row r="16877" spans="10:10" ht="15" customHeight="1" x14ac:dyDescent="0.3">
      <c r="J16877" s="33"/>
    </row>
    <row r="16878" spans="10:10" ht="15" customHeight="1" x14ac:dyDescent="0.3">
      <c r="J16878" s="33"/>
    </row>
    <row r="16879" spans="10:10" ht="15" customHeight="1" x14ac:dyDescent="0.3">
      <c r="J16879" s="33"/>
    </row>
    <row r="16880" spans="10:10" ht="15" customHeight="1" x14ac:dyDescent="0.3">
      <c r="J16880" s="33"/>
    </row>
    <row r="16881" spans="10:10" ht="15" customHeight="1" x14ac:dyDescent="0.3">
      <c r="J16881" s="33"/>
    </row>
    <row r="16882" spans="10:10" ht="15" customHeight="1" x14ac:dyDescent="0.3">
      <c r="J16882" s="33"/>
    </row>
    <row r="16883" spans="10:10" ht="15" customHeight="1" x14ac:dyDescent="0.3">
      <c r="J16883" s="33"/>
    </row>
    <row r="16884" spans="10:10" ht="15" customHeight="1" x14ac:dyDescent="0.3">
      <c r="J16884" s="33"/>
    </row>
    <row r="16885" spans="10:10" ht="15" customHeight="1" x14ac:dyDescent="0.3">
      <c r="J16885" s="33"/>
    </row>
    <row r="16886" spans="10:10" ht="15" customHeight="1" x14ac:dyDescent="0.3">
      <c r="J16886" s="33"/>
    </row>
    <row r="16887" spans="10:10" ht="15" customHeight="1" x14ac:dyDescent="0.3">
      <c r="J16887" s="33"/>
    </row>
    <row r="16888" spans="10:10" ht="15" customHeight="1" x14ac:dyDescent="0.3">
      <c r="J16888" s="33"/>
    </row>
    <row r="16889" spans="10:10" ht="15" customHeight="1" x14ac:dyDescent="0.3">
      <c r="J16889" s="33"/>
    </row>
    <row r="16890" spans="10:10" ht="15" customHeight="1" x14ac:dyDescent="0.3">
      <c r="J16890" s="33"/>
    </row>
    <row r="16891" spans="10:10" ht="15" customHeight="1" x14ac:dyDescent="0.3">
      <c r="J16891" s="33"/>
    </row>
    <row r="16892" spans="10:10" ht="15" customHeight="1" x14ac:dyDescent="0.3">
      <c r="J16892" s="33"/>
    </row>
    <row r="16893" spans="10:10" ht="15" customHeight="1" x14ac:dyDescent="0.3">
      <c r="J16893" s="33"/>
    </row>
    <row r="16894" spans="10:10" ht="15" customHeight="1" x14ac:dyDescent="0.3">
      <c r="J16894" s="33"/>
    </row>
    <row r="16895" spans="10:10" ht="15" customHeight="1" x14ac:dyDescent="0.3">
      <c r="J16895" s="33"/>
    </row>
    <row r="16896" spans="10:10" ht="15" customHeight="1" x14ac:dyDescent="0.3">
      <c r="J16896" s="33"/>
    </row>
    <row r="16897" spans="10:10" ht="15" customHeight="1" x14ac:dyDescent="0.3">
      <c r="J16897" s="33"/>
    </row>
    <row r="16898" spans="10:10" ht="15" customHeight="1" x14ac:dyDescent="0.3">
      <c r="J16898" s="33"/>
    </row>
    <row r="16899" spans="10:10" ht="15" customHeight="1" x14ac:dyDescent="0.3">
      <c r="J16899" s="33"/>
    </row>
    <row r="16900" spans="10:10" ht="15" customHeight="1" x14ac:dyDescent="0.3">
      <c r="J16900" s="33"/>
    </row>
    <row r="16901" spans="10:10" ht="15" customHeight="1" x14ac:dyDescent="0.3">
      <c r="J16901" s="33"/>
    </row>
    <row r="16902" spans="10:10" ht="15" customHeight="1" x14ac:dyDescent="0.3">
      <c r="J16902" s="33"/>
    </row>
    <row r="16903" spans="10:10" ht="15" customHeight="1" x14ac:dyDescent="0.3">
      <c r="J16903" s="33"/>
    </row>
    <row r="16904" spans="10:10" ht="15" customHeight="1" x14ac:dyDescent="0.3">
      <c r="J16904" s="33"/>
    </row>
    <row r="16905" spans="10:10" ht="15" customHeight="1" x14ac:dyDescent="0.3">
      <c r="J16905" s="33"/>
    </row>
    <row r="16906" spans="10:10" ht="15" customHeight="1" x14ac:dyDescent="0.3">
      <c r="J16906" s="33"/>
    </row>
    <row r="16907" spans="10:10" ht="15" customHeight="1" x14ac:dyDescent="0.3">
      <c r="J16907" s="33"/>
    </row>
    <row r="16908" spans="10:10" ht="15" customHeight="1" x14ac:dyDescent="0.3">
      <c r="J16908" s="33"/>
    </row>
    <row r="16909" spans="10:10" ht="15" customHeight="1" x14ac:dyDescent="0.3">
      <c r="J16909" s="33"/>
    </row>
    <row r="16910" spans="10:10" ht="15" customHeight="1" x14ac:dyDescent="0.3">
      <c r="J16910" s="33"/>
    </row>
    <row r="16911" spans="10:10" ht="15" customHeight="1" x14ac:dyDescent="0.3">
      <c r="J16911" s="33"/>
    </row>
    <row r="16912" spans="10:10" ht="15" customHeight="1" x14ac:dyDescent="0.3">
      <c r="J16912" s="33"/>
    </row>
    <row r="16913" spans="10:10" ht="15" customHeight="1" x14ac:dyDescent="0.3">
      <c r="J16913" s="33"/>
    </row>
    <row r="16914" spans="10:10" ht="15" customHeight="1" x14ac:dyDescent="0.3">
      <c r="J16914" s="33"/>
    </row>
    <row r="16915" spans="10:10" ht="15" customHeight="1" x14ac:dyDescent="0.3">
      <c r="J16915" s="33"/>
    </row>
    <row r="16916" spans="10:10" ht="15" customHeight="1" x14ac:dyDescent="0.3">
      <c r="J16916" s="33"/>
    </row>
    <row r="16917" spans="10:10" ht="15" customHeight="1" x14ac:dyDescent="0.3">
      <c r="J16917" s="33"/>
    </row>
    <row r="16918" spans="10:10" ht="15" customHeight="1" x14ac:dyDescent="0.3">
      <c r="J16918" s="33"/>
    </row>
    <row r="16919" spans="10:10" ht="15" customHeight="1" x14ac:dyDescent="0.3">
      <c r="J16919" s="33"/>
    </row>
    <row r="16920" spans="10:10" ht="15" customHeight="1" x14ac:dyDescent="0.3">
      <c r="J16920" s="33"/>
    </row>
    <row r="16921" spans="10:10" ht="15" customHeight="1" x14ac:dyDescent="0.3">
      <c r="J16921" s="33"/>
    </row>
    <row r="16922" spans="10:10" ht="15" customHeight="1" x14ac:dyDescent="0.3">
      <c r="J16922" s="33"/>
    </row>
    <row r="16923" spans="10:10" ht="15" customHeight="1" x14ac:dyDescent="0.3">
      <c r="J16923" s="33"/>
    </row>
    <row r="16924" spans="10:10" ht="15" customHeight="1" x14ac:dyDescent="0.3">
      <c r="J16924" s="33"/>
    </row>
    <row r="16925" spans="10:10" ht="15" customHeight="1" x14ac:dyDescent="0.3">
      <c r="J16925" s="33"/>
    </row>
    <row r="16926" spans="10:10" ht="15" customHeight="1" x14ac:dyDescent="0.3">
      <c r="J16926" s="33"/>
    </row>
    <row r="16927" spans="10:10" ht="15" customHeight="1" x14ac:dyDescent="0.3">
      <c r="J16927" s="33"/>
    </row>
    <row r="16928" spans="10:10" ht="15" customHeight="1" x14ac:dyDescent="0.3">
      <c r="J16928" s="33"/>
    </row>
    <row r="16929" spans="10:10" ht="15" customHeight="1" x14ac:dyDescent="0.3">
      <c r="J16929" s="33"/>
    </row>
    <row r="16930" spans="10:10" ht="15" customHeight="1" x14ac:dyDescent="0.3">
      <c r="J16930" s="33"/>
    </row>
    <row r="16931" spans="10:10" ht="15" customHeight="1" x14ac:dyDescent="0.3">
      <c r="J16931" s="33"/>
    </row>
    <row r="16932" spans="10:10" ht="15" customHeight="1" x14ac:dyDescent="0.3">
      <c r="J16932" s="33"/>
    </row>
    <row r="16933" spans="10:10" ht="15" customHeight="1" x14ac:dyDescent="0.3">
      <c r="J16933" s="33"/>
    </row>
    <row r="16934" spans="10:10" ht="15" customHeight="1" x14ac:dyDescent="0.3">
      <c r="J16934" s="33"/>
    </row>
    <row r="16935" spans="10:10" ht="15" customHeight="1" x14ac:dyDescent="0.3">
      <c r="J16935" s="33"/>
    </row>
    <row r="16936" spans="10:10" ht="15" customHeight="1" x14ac:dyDescent="0.3">
      <c r="J16936" s="33"/>
    </row>
    <row r="16937" spans="10:10" ht="15" customHeight="1" x14ac:dyDescent="0.3">
      <c r="J16937" s="33"/>
    </row>
    <row r="16938" spans="10:10" ht="15" customHeight="1" x14ac:dyDescent="0.3">
      <c r="J16938" s="33"/>
    </row>
    <row r="16939" spans="10:10" ht="15" customHeight="1" x14ac:dyDescent="0.3">
      <c r="J16939" s="33"/>
    </row>
    <row r="16940" spans="10:10" ht="15" customHeight="1" x14ac:dyDescent="0.3">
      <c r="J16940" s="33"/>
    </row>
    <row r="16941" spans="10:10" ht="15" customHeight="1" x14ac:dyDescent="0.3">
      <c r="J16941" s="33"/>
    </row>
    <row r="16942" spans="10:10" ht="15" customHeight="1" x14ac:dyDescent="0.3">
      <c r="J16942" s="33"/>
    </row>
    <row r="16943" spans="10:10" ht="15" customHeight="1" x14ac:dyDescent="0.3">
      <c r="J16943" s="33"/>
    </row>
    <row r="16944" spans="10:10" ht="15" customHeight="1" x14ac:dyDescent="0.3">
      <c r="J16944" s="33"/>
    </row>
    <row r="16945" spans="10:10" ht="15" customHeight="1" x14ac:dyDescent="0.3">
      <c r="J16945" s="33"/>
    </row>
    <row r="16946" spans="10:10" ht="15" customHeight="1" x14ac:dyDescent="0.3">
      <c r="J16946" s="33"/>
    </row>
    <row r="16947" spans="10:10" ht="15" customHeight="1" x14ac:dyDescent="0.3">
      <c r="J16947" s="33"/>
    </row>
    <row r="16948" spans="10:10" ht="15" customHeight="1" x14ac:dyDescent="0.3">
      <c r="J16948" s="33"/>
    </row>
    <row r="16949" spans="10:10" ht="15" customHeight="1" x14ac:dyDescent="0.3">
      <c r="J16949" s="33"/>
    </row>
    <row r="16950" spans="10:10" ht="15" customHeight="1" x14ac:dyDescent="0.3">
      <c r="J16950" s="33"/>
    </row>
    <row r="16951" spans="10:10" ht="15" customHeight="1" x14ac:dyDescent="0.3">
      <c r="J16951" s="33"/>
    </row>
    <row r="16952" spans="10:10" ht="15" customHeight="1" x14ac:dyDescent="0.3">
      <c r="J16952" s="33"/>
    </row>
    <row r="16953" spans="10:10" ht="15" customHeight="1" x14ac:dyDescent="0.3">
      <c r="J16953" s="33"/>
    </row>
    <row r="16954" spans="10:10" ht="15" customHeight="1" x14ac:dyDescent="0.3">
      <c r="J16954" s="33"/>
    </row>
    <row r="16955" spans="10:10" ht="15" customHeight="1" x14ac:dyDescent="0.3">
      <c r="J16955" s="33"/>
    </row>
    <row r="16956" spans="10:10" ht="15" customHeight="1" x14ac:dyDescent="0.3">
      <c r="J16956" s="33"/>
    </row>
    <row r="16957" spans="10:10" ht="15" customHeight="1" x14ac:dyDescent="0.3">
      <c r="J16957" s="33"/>
    </row>
    <row r="16958" spans="10:10" ht="15" customHeight="1" x14ac:dyDescent="0.3">
      <c r="J16958" s="33"/>
    </row>
    <row r="16959" spans="10:10" ht="15" customHeight="1" x14ac:dyDescent="0.3">
      <c r="J16959" s="33"/>
    </row>
    <row r="16960" spans="10:10" ht="15" customHeight="1" x14ac:dyDescent="0.3">
      <c r="J16960" s="33"/>
    </row>
    <row r="16961" spans="10:10" ht="15" customHeight="1" x14ac:dyDescent="0.3">
      <c r="J16961" s="33"/>
    </row>
    <row r="16962" spans="10:10" ht="15" customHeight="1" x14ac:dyDescent="0.3">
      <c r="J16962" s="33"/>
    </row>
    <row r="16963" spans="10:10" ht="15" customHeight="1" x14ac:dyDescent="0.3">
      <c r="J16963" s="33"/>
    </row>
    <row r="16964" spans="10:10" ht="15" customHeight="1" x14ac:dyDescent="0.3">
      <c r="J16964" s="33"/>
    </row>
    <row r="16965" spans="10:10" ht="15" customHeight="1" x14ac:dyDescent="0.3">
      <c r="J16965" s="33"/>
    </row>
    <row r="16966" spans="10:10" ht="15" customHeight="1" x14ac:dyDescent="0.3">
      <c r="J16966" s="33"/>
    </row>
    <row r="16967" spans="10:10" ht="15" customHeight="1" x14ac:dyDescent="0.3">
      <c r="J16967" s="33"/>
    </row>
    <row r="16968" spans="10:10" ht="15" customHeight="1" x14ac:dyDescent="0.3">
      <c r="J16968" s="33"/>
    </row>
    <row r="16969" spans="10:10" ht="15" customHeight="1" x14ac:dyDescent="0.3">
      <c r="J16969" s="33"/>
    </row>
    <row r="16970" spans="10:10" ht="15" customHeight="1" x14ac:dyDescent="0.3">
      <c r="J16970" s="33"/>
    </row>
    <row r="16971" spans="10:10" ht="15" customHeight="1" x14ac:dyDescent="0.3">
      <c r="J16971" s="33"/>
    </row>
    <row r="16972" spans="10:10" ht="15" customHeight="1" x14ac:dyDescent="0.3">
      <c r="J16972" s="33"/>
    </row>
    <row r="16973" spans="10:10" ht="15" customHeight="1" x14ac:dyDescent="0.3">
      <c r="J16973" s="33"/>
    </row>
    <row r="16974" spans="10:10" ht="15" customHeight="1" x14ac:dyDescent="0.3">
      <c r="J16974" s="33"/>
    </row>
    <row r="16975" spans="10:10" ht="15" customHeight="1" x14ac:dyDescent="0.3">
      <c r="J16975" s="33"/>
    </row>
    <row r="16976" spans="10:10" ht="15" customHeight="1" x14ac:dyDescent="0.3">
      <c r="J16976" s="33"/>
    </row>
    <row r="16977" spans="10:10" ht="15" customHeight="1" x14ac:dyDescent="0.3">
      <c r="J16977" s="33"/>
    </row>
    <row r="16978" spans="10:10" ht="15" customHeight="1" x14ac:dyDescent="0.3">
      <c r="J16978" s="33"/>
    </row>
    <row r="16979" spans="10:10" ht="15" customHeight="1" x14ac:dyDescent="0.3">
      <c r="J16979" s="33"/>
    </row>
    <row r="16980" spans="10:10" ht="15" customHeight="1" x14ac:dyDescent="0.3">
      <c r="J16980" s="33"/>
    </row>
    <row r="16981" spans="10:10" ht="15" customHeight="1" x14ac:dyDescent="0.3">
      <c r="J16981" s="33"/>
    </row>
    <row r="16982" spans="10:10" ht="15" customHeight="1" x14ac:dyDescent="0.3">
      <c r="J16982" s="33"/>
    </row>
    <row r="16983" spans="10:10" ht="15" customHeight="1" x14ac:dyDescent="0.3">
      <c r="J16983" s="33"/>
    </row>
    <row r="16984" spans="10:10" ht="15" customHeight="1" x14ac:dyDescent="0.3">
      <c r="J16984" s="33"/>
    </row>
    <row r="16985" spans="10:10" ht="15" customHeight="1" x14ac:dyDescent="0.3">
      <c r="J16985" s="33"/>
    </row>
    <row r="16986" spans="10:10" ht="15" customHeight="1" x14ac:dyDescent="0.3">
      <c r="J16986" s="33"/>
    </row>
    <row r="16987" spans="10:10" ht="15" customHeight="1" x14ac:dyDescent="0.3">
      <c r="J16987" s="33"/>
    </row>
    <row r="16988" spans="10:10" ht="15" customHeight="1" x14ac:dyDescent="0.3">
      <c r="J16988" s="33"/>
    </row>
    <row r="16989" spans="10:10" ht="15" customHeight="1" x14ac:dyDescent="0.3">
      <c r="J16989" s="33"/>
    </row>
    <row r="16990" spans="10:10" ht="15" customHeight="1" x14ac:dyDescent="0.3">
      <c r="J16990" s="33"/>
    </row>
    <row r="16991" spans="10:10" ht="15" customHeight="1" x14ac:dyDescent="0.3">
      <c r="J16991" s="33"/>
    </row>
    <row r="16992" spans="10:10" ht="15" customHeight="1" x14ac:dyDescent="0.3">
      <c r="J16992" s="33"/>
    </row>
    <row r="16993" spans="10:10" ht="15" customHeight="1" x14ac:dyDescent="0.3">
      <c r="J16993" s="33"/>
    </row>
    <row r="16994" spans="10:10" ht="15" customHeight="1" x14ac:dyDescent="0.3">
      <c r="J16994" s="33"/>
    </row>
    <row r="16995" spans="10:10" ht="15" customHeight="1" x14ac:dyDescent="0.3">
      <c r="J16995" s="33"/>
    </row>
    <row r="16996" spans="10:10" ht="15" customHeight="1" x14ac:dyDescent="0.3">
      <c r="J16996" s="33"/>
    </row>
    <row r="16997" spans="10:10" ht="15" customHeight="1" x14ac:dyDescent="0.3">
      <c r="J16997" s="33"/>
    </row>
    <row r="16998" spans="10:10" ht="15" customHeight="1" x14ac:dyDescent="0.3">
      <c r="J16998" s="33"/>
    </row>
    <row r="16999" spans="10:10" ht="15" customHeight="1" x14ac:dyDescent="0.3">
      <c r="J16999" s="33"/>
    </row>
    <row r="17000" spans="10:10" ht="15" customHeight="1" x14ac:dyDescent="0.3">
      <c r="J17000" s="33"/>
    </row>
    <row r="17001" spans="10:10" ht="15" customHeight="1" x14ac:dyDescent="0.3">
      <c r="J17001" s="33"/>
    </row>
    <row r="17002" spans="10:10" ht="15" customHeight="1" x14ac:dyDescent="0.3">
      <c r="J17002" s="33"/>
    </row>
    <row r="17003" spans="10:10" ht="15" customHeight="1" x14ac:dyDescent="0.3">
      <c r="J17003" s="33"/>
    </row>
    <row r="17004" spans="10:10" ht="15" customHeight="1" x14ac:dyDescent="0.3">
      <c r="J17004" s="33"/>
    </row>
    <row r="17005" spans="10:10" ht="15" customHeight="1" x14ac:dyDescent="0.3">
      <c r="J17005" s="33"/>
    </row>
    <row r="17006" spans="10:10" ht="15" customHeight="1" x14ac:dyDescent="0.3">
      <c r="J17006" s="33"/>
    </row>
    <row r="17007" spans="10:10" ht="15" customHeight="1" x14ac:dyDescent="0.3">
      <c r="J17007" s="33"/>
    </row>
    <row r="17008" spans="10:10" ht="15" customHeight="1" x14ac:dyDescent="0.3">
      <c r="J17008" s="33"/>
    </row>
    <row r="17009" spans="10:10" ht="15" customHeight="1" x14ac:dyDescent="0.3">
      <c r="J17009" s="33"/>
    </row>
    <row r="17010" spans="10:10" ht="15" customHeight="1" x14ac:dyDescent="0.3">
      <c r="J17010" s="33"/>
    </row>
    <row r="17011" spans="10:10" ht="15" customHeight="1" x14ac:dyDescent="0.3">
      <c r="J17011" s="33"/>
    </row>
    <row r="17012" spans="10:10" ht="15" customHeight="1" x14ac:dyDescent="0.3">
      <c r="J17012" s="33"/>
    </row>
    <row r="17013" spans="10:10" ht="15" customHeight="1" x14ac:dyDescent="0.3">
      <c r="J17013" s="33"/>
    </row>
    <row r="17014" spans="10:10" ht="15" customHeight="1" x14ac:dyDescent="0.3">
      <c r="J17014" s="33"/>
    </row>
    <row r="17015" spans="10:10" ht="15" customHeight="1" x14ac:dyDescent="0.3">
      <c r="J17015" s="33"/>
    </row>
    <row r="17016" spans="10:10" ht="15" customHeight="1" x14ac:dyDescent="0.3">
      <c r="J17016" s="33"/>
    </row>
    <row r="17017" spans="10:10" ht="15" customHeight="1" x14ac:dyDescent="0.3">
      <c r="J17017" s="33"/>
    </row>
    <row r="17018" spans="10:10" ht="15" customHeight="1" x14ac:dyDescent="0.3">
      <c r="J17018" s="33"/>
    </row>
    <row r="17019" spans="10:10" ht="15" customHeight="1" x14ac:dyDescent="0.3">
      <c r="J17019" s="33"/>
    </row>
    <row r="17020" spans="10:10" ht="15" customHeight="1" x14ac:dyDescent="0.3">
      <c r="J17020" s="33"/>
    </row>
    <row r="17021" spans="10:10" ht="15" customHeight="1" x14ac:dyDescent="0.3">
      <c r="J17021" s="33"/>
    </row>
    <row r="17022" spans="10:10" ht="15" customHeight="1" x14ac:dyDescent="0.3">
      <c r="J17022" s="33"/>
    </row>
    <row r="17023" spans="10:10" ht="15" customHeight="1" x14ac:dyDescent="0.3">
      <c r="J17023" s="33"/>
    </row>
    <row r="17024" spans="10:10" ht="15" customHeight="1" x14ac:dyDescent="0.3">
      <c r="J17024" s="33"/>
    </row>
    <row r="17025" spans="10:10" ht="15" customHeight="1" x14ac:dyDescent="0.3">
      <c r="J17025" s="33"/>
    </row>
    <row r="17026" spans="10:10" ht="15" customHeight="1" x14ac:dyDescent="0.3">
      <c r="J17026" s="33"/>
    </row>
    <row r="17027" spans="10:10" ht="15" customHeight="1" x14ac:dyDescent="0.3">
      <c r="J17027" s="33"/>
    </row>
    <row r="17028" spans="10:10" ht="15" customHeight="1" x14ac:dyDescent="0.3">
      <c r="J17028" s="33"/>
    </row>
    <row r="17029" spans="10:10" ht="15" customHeight="1" x14ac:dyDescent="0.3">
      <c r="J17029" s="33"/>
    </row>
    <row r="17030" spans="10:10" ht="15" customHeight="1" x14ac:dyDescent="0.3">
      <c r="J17030" s="33"/>
    </row>
    <row r="17031" spans="10:10" ht="15" customHeight="1" x14ac:dyDescent="0.3">
      <c r="J17031" s="33"/>
    </row>
    <row r="17032" spans="10:10" ht="15" customHeight="1" x14ac:dyDescent="0.3">
      <c r="J17032" s="33"/>
    </row>
    <row r="17033" spans="10:10" ht="15" customHeight="1" x14ac:dyDescent="0.3">
      <c r="J17033" s="33"/>
    </row>
    <row r="17034" spans="10:10" ht="15" customHeight="1" x14ac:dyDescent="0.3">
      <c r="J17034" s="33"/>
    </row>
    <row r="17035" spans="10:10" ht="15" customHeight="1" x14ac:dyDescent="0.3">
      <c r="J17035" s="33"/>
    </row>
    <row r="17036" spans="10:10" ht="15" customHeight="1" x14ac:dyDescent="0.3">
      <c r="J17036" s="33"/>
    </row>
    <row r="17037" spans="10:10" ht="15" customHeight="1" x14ac:dyDescent="0.3">
      <c r="J17037" s="33"/>
    </row>
    <row r="17038" spans="10:10" ht="15" customHeight="1" x14ac:dyDescent="0.3">
      <c r="J17038" s="33"/>
    </row>
    <row r="17039" spans="10:10" ht="15" customHeight="1" x14ac:dyDescent="0.3">
      <c r="J17039" s="33"/>
    </row>
    <row r="17040" spans="10:10" ht="15" customHeight="1" x14ac:dyDescent="0.3">
      <c r="J17040" s="33"/>
    </row>
    <row r="17041" spans="10:10" ht="15" customHeight="1" x14ac:dyDescent="0.3">
      <c r="J17041" s="33"/>
    </row>
    <row r="17042" spans="10:10" ht="15" customHeight="1" x14ac:dyDescent="0.3">
      <c r="J17042" s="33"/>
    </row>
    <row r="17043" spans="10:10" ht="15" customHeight="1" x14ac:dyDescent="0.3">
      <c r="J17043" s="33"/>
    </row>
    <row r="17044" spans="10:10" ht="15" customHeight="1" x14ac:dyDescent="0.3">
      <c r="J17044" s="33"/>
    </row>
    <row r="17045" spans="10:10" ht="15" customHeight="1" x14ac:dyDescent="0.3">
      <c r="J17045" s="33"/>
    </row>
    <row r="17046" spans="10:10" ht="15" customHeight="1" x14ac:dyDescent="0.3">
      <c r="J17046" s="33"/>
    </row>
    <row r="17047" spans="10:10" ht="15" customHeight="1" x14ac:dyDescent="0.3">
      <c r="J17047" s="33"/>
    </row>
    <row r="17048" spans="10:10" ht="15" customHeight="1" x14ac:dyDescent="0.3">
      <c r="J17048" s="33"/>
    </row>
    <row r="17049" spans="10:10" ht="15" customHeight="1" x14ac:dyDescent="0.3">
      <c r="J17049" s="33"/>
    </row>
    <row r="17050" spans="10:10" ht="15" customHeight="1" x14ac:dyDescent="0.3">
      <c r="J17050" s="33"/>
    </row>
    <row r="17051" spans="10:10" ht="15" customHeight="1" x14ac:dyDescent="0.3">
      <c r="J17051" s="33"/>
    </row>
    <row r="17052" spans="10:10" ht="15" customHeight="1" x14ac:dyDescent="0.3">
      <c r="J17052" s="33"/>
    </row>
    <row r="17053" spans="10:10" ht="15" customHeight="1" x14ac:dyDescent="0.3">
      <c r="J17053" s="33"/>
    </row>
    <row r="17054" spans="10:10" ht="15" customHeight="1" x14ac:dyDescent="0.3">
      <c r="J17054" s="33"/>
    </row>
    <row r="17055" spans="10:10" ht="15" customHeight="1" x14ac:dyDescent="0.3">
      <c r="J17055" s="33"/>
    </row>
    <row r="17056" spans="10:10" ht="15" customHeight="1" x14ac:dyDescent="0.3">
      <c r="J17056" s="33"/>
    </row>
    <row r="17057" spans="10:10" ht="15" customHeight="1" x14ac:dyDescent="0.3">
      <c r="J17057" s="33"/>
    </row>
    <row r="17058" spans="10:10" ht="15" customHeight="1" x14ac:dyDescent="0.3">
      <c r="J17058" s="33"/>
    </row>
    <row r="17059" spans="10:10" ht="15" customHeight="1" x14ac:dyDescent="0.3">
      <c r="J17059" s="33"/>
    </row>
    <row r="17060" spans="10:10" ht="15" customHeight="1" x14ac:dyDescent="0.3">
      <c r="J17060" s="33"/>
    </row>
    <row r="17061" spans="10:10" ht="15" customHeight="1" x14ac:dyDescent="0.3">
      <c r="J17061" s="33"/>
    </row>
    <row r="17062" spans="10:10" ht="15" customHeight="1" x14ac:dyDescent="0.3">
      <c r="J17062" s="33"/>
    </row>
    <row r="17063" spans="10:10" ht="15" customHeight="1" x14ac:dyDescent="0.3">
      <c r="J17063" s="33"/>
    </row>
    <row r="17064" spans="10:10" ht="15" customHeight="1" x14ac:dyDescent="0.3">
      <c r="J17064" s="33"/>
    </row>
    <row r="17065" spans="10:10" ht="15" customHeight="1" x14ac:dyDescent="0.3">
      <c r="J17065" s="33"/>
    </row>
    <row r="17066" spans="10:10" ht="15" customHeight="1" x14ac:dyDescent="0.3">
      <c r="J17066" s="33"/>
    </row>
    <row r="17067" spans="10:10" ht="15" customHeight="1" x14ac:dyDescent="0.3">
      <c r="J17067" s="33"/>
    </row>
    <row r="17068" spans="10:10" ht="15" customHeight="1" x14ac:dyDescent="0.3">
      <c r="J17068" s="33"/>
    </row>
    <row r="17069" spans="10:10" ht="15" customHeight="1" x14ac:dyDescent="0.3">
      <c r="J17069" s="33"/>
    </row>
    <row r="17070" spans="10:10" ht="15" customHeight="1" x14ac:dyDescent="0.3">
      <c r="J17070" s="33"/>
    </row>
    <row r="17071" spans="10:10" ht="15" customHeight="1" x14ac:dyDescent="0.3">
      <c r="J17071" s="33"/>
    </row>
    <row r="17072" spans="10:10" ht="15" customHeight="1" x14ac:dyDescent="0.3">
      <c r="J17072" s="33"/>
    </row>
    <row r="17073" spans="10:10" ht="15" customHeight="1" x14ac:dyDescent="0.3">
      <c r="J17073" s="33"/>
    </row>
    <row r="17074" spans="10:10" ht="15" customHeight="1" x14ac:dyDescent="0.3">
      <c r="J17074" s="33"/>
    </row>
    <row r="17075" spans="10:10" ht="15" customHeight="1" x14ac:dyDescent="0.3">
      <c r="J17075" s="33"/>
    </row>
    <row r="17076" spans="10:10" ht="15" customHeight="1" x14ac:dyDescent="0.3">
      <c r="J17076" s="33"/>
    </row>
    <row r="17077" spans="10:10" ht="15" customHeight="1" x14ac:dyDescent="0.3">
      <c r="J17077" s="33"/>
    </row>
    <row r="17078" spans="10:10" ht="15" customHeight="1" x14ac:dyDescent="0.3">
      <c r="J17078" s="33"/>
    </row>
    <row r="17079" spans="10:10" ht="15" customHeight="1" x14ac:dyDescent="0.3">
      <c r="J17079" s="33"/>
    </row>
    <row r="17080" spans="10:10" ht="15" customHeight="1" x14ac:dyDescent="0.3">
      <c r="J17080" s="33"/>
    </row>
    <row r="17081" spans="10:10" ht="15" customHeight="1" x14ac:dyDescent="0.3">
      <c r="J17081" s="33"/>
    </row>
    <row r="17082" spans="10:10" ht="15" customHeight="1" x14ac:dyDescent="0.3">
      <c r="J17082" s="33"/>
    </row>
    <row r="17083" spans="10:10" ht="15" customHeight="1" x14ac:dyDescent="0.3">
      <c r="J17083" s="33"/>
    </row>
    <row r="17084" spans="10:10" ht="15" customHeight="1" x14ac:dyDescent="0.3">
      <c r="J17084" s="33"/>
    </row>
    <row r="17085" spans="10:10" ht="15" customHeight="1" x14ac:dyDescent="0.3">
      <c r="J17085" s="33"/>
    </row>
    <row r="17086" spans="10:10" ht="15" customHeight="1" x14ac:dyDescent="0.3">
      <c r="J17086" s="33"/>
    </row>
    <row r="17087" spans="10:10" ht="15" customHeight="1" x14ac:dyDescent="0.3">
      <c r="J17087" s="33"/>
    </row>
    <row r="17088" spans="10:10" ht="15" customHeight="1" x14ac:dyDescent="0.3">
      <c r="J17088" s="33"/>
    </row>
    <row r="17089" spans="10:10" ht="15" customHeight="1" x14ac:dyDescent="0.3">
      <c r="J17089" s="33"/>
    </row>
    <row r="17090" spans="10:10" ht="15" customHeight="1" x14ac:dyDescent="0.3">
      <c r="J17090" s="33"/>
    </row>
    <row r="17091" spans="10:10" ht="15" customHeight="1" x14ac:dyDescent="0.3">
      <c r="J17091" s="33"/>
    </row>
    <row r="17092" spans="10:10" ht="15" customHeight="1" x14ac:dyDescent="0.3">
      <c r="J17092" s="33"/>
    </row>
    <row r="17093" spans="10:10" ht="15" customHeight="1" x14ac:dyDescent="0.3">
      <c r="J17093" s="33"/>
    </row>
    <row r="17094" spans="10:10" ht="15" customHeight="1" x14ac:dyDescent="0.3">
      <c r="J17094" s="33"/>
    </row>
    <row r="17095" spans="10:10" ht="15" customHeight="1" x14ac:dyDescent="0.3">
      <c r="J17095" s="33"/>
    </row>
    <row r="17096" spans="10:10" ht="15" customHeight="1" x14ac:dyDescent="0.3">
      <c r="J17096" s="33"/>
    </row>
    <row r="17097" spans="10:10" ht="15" customHeight="1" x14ac:dyDescent="0.3">
      <c r="J17097" s="33"/>
    </row>
    <row r="17098" spans="10:10" ht="15" customHeight="1" x14ac:dyDescent="0.3">
      <c r="J17098" s="33"/>
    </row>
    <row r="17099" spans="10:10" ht="15" customHeight="1" x14ac:dyDescent="0.3">
      <c r="J17099" s="33"/>
    </row>
    <row r="17100" spans="10:10" ht="15" customHeight="1" x14ac:dyDescent="0.3">
      <c r="J17100" s="33"/>
    </row>
    <row r="17101" spans="10:10" ht="15" customHeight="1" x14ac:dyDescent="0.3">
      <c r="J17101" s="33"/>
    </row>
    <row r="17102" spans="10:10" ht="15" customHeight="1" x14ac:dyDescent="0.3">
      <c r="J17102" s="33"/>
    </row>
    <row r="17103" spans="10:10" ht="15" customHeight="1" x14ac:dyDescent="0.3">
      <c r="J17103" s="33"/>
    </row>
    <row r="17104" spans="10:10" ht="15" customHeight="1" x14ac:dyDescent="0.3">
      <c r="J17104" s="33"/>
    </row>
    <row r="17105" spans="10:10" ht="15" customHeight="1" x14ac:dyDescent="0.3">
      <c r="J17105" s="33"/>
    </row>
    <row r="17106" spans="10:10" ht="15" customHeight="1" x14ac:dyDescent="0.3">
      <c r="J17106" s="33"/>
    </row>
    <row r="17107" spans="10:10" ht="15" customHeight="1" x14ac:dyDescent="0.3">
      <c r="J17107" s="33"/>
    </row>
    <row r="17108" spans="10:10" ht="15" customHeight="1" x14ac:dyDescent="0.3">
      <c r="J17108" s="33"/>
    </row>
    <row r="17109" spans="10:10" ht="15" customHeight="1" x14ac:dyDescent="0.3">
      <c r="J17109" s="33"/>
    </row>
    <row r="17110" spans="10:10" ht="15" customHeight="1" x14ac:dyDescent="0.3">
      <c r="J17110" s="33"/>
    </row>
    <row r="17111" spans="10:10" ht="15" customHeight="1" x14ac:dyDescent="0.3">
      <c r="J17111" s="33"/>
    </row>
    <row r="17112" spans="10:10" ht="15" customHeight="1" x14ac:dyDescent="0.3">
      <c r="J17112" s="33"/>
    </row>
    <row r="17113" spans="10:10" ht="15" customHeight="1" x14ac:dyDescent="0.3">
      <c r="J17113" s="33"/>
    </row>
    <row r="17114" spans="10:10" ht="15" customHeight="1" x14ac:dyDescent="0.3">
      <c r="J17114" s="33"/>
    </row>
    <row r="17115" spans="10:10" ht="15" customHeight="1" x14ac:dyDescent="0.3">
      <c r="J17115" s="33"/>
    </row>
    <row r="17116" spans="10:10" ht="15" customHeight="1" x14ac:dyDescent="0.3">
      <c r="J17116" s="33"/>
    </row>
    <row r="17117" spans="10:10" ht="15" customHeight="1" x14ac:dyDescent="0.3">
      <c r="J17117" s="33"/>
    </row>
    <row r="17118" spans="10:10" ht="15" customHeight="1" x14ac:dyDescent="0.3">
      <c r="J17118" s="33"/>
    </row>
    <row r="17119" spans="10:10" ht="15" customHeight="1" x14ac:dyDescent="0.3">
      <c r="J17119" s="33"/>
    </row>
    <row r="17120" spans="10:10" ht="15" customHeight="1" x14ac:dyDescent="0.3">
      <c r="J17120" s="33"/>
    </row>
    <row r="17121" spans="10:10" ht="15" customHeight="1" x14ac:dyDescent="0.3">
      <c r="J17121" s="33"/>
    </row>
    <row r="17122" spans="10:10" ht="15" customHeight="1" x14ac:dyDescent="0.3">
      <c r="J17122" s="33"/>
    </row>
    <row r="17123" spans="10:10" ht="15" customHeight="1" x14ac:dyDescent="0.3">
      <c r="J17123" s="33"/>
    </row>
    <row r="17124" spans="10:10" ht="15" customHeight="1" x14ac:dyDescent="0.3">
      <c r="J17124" s="33"/>
    </row>
    <row r="17125" spans="10:10" ht="15" customHeight="1" x14ac:dyDescent="0.3">
      <c r="J17125" s="33"/>
    </row>
    <row r="17126" spans="10:10" ht="15" customHeight="1" x14ac:dyDescent="0.3">
      <c r="J17126" s="33"/>
    </row>
    <row r="17127" spans="10:10" ht="15" customHeight="1" x14ac:dyDescent="0.3">
      <c r="J17127" s="33"/>
    </row>
    <row r="17128" spans="10:10" ht="15" customHeight="1" x14ac:dyDescent="0.3">
      <c r="J17128" s="33"/>
    </row>
    <row r="17129" spans="10:10" ht="15" customHeight="1" x14ac:dyDescent="0.3">
      <c r="J17129" s="33"/>
    </row>
    <row r="17130" spans="10:10" ht="15" customHeight="1" x14ac:dyDescent="0.3">
      <c r="J17130" s="33"/>
    </row>
    <row r="17131" spans="10:10" ht="15" customHeight="1" x14ac:dyDescent="0.3">
      <c r="J17131" s="33"/>
    </row>
    <row r="17132" spans="10:10" ht="15" customHeight="1" x14ac:dyDescent="0.3">
      <c r="J17132" s="33"/>
    </row>
    <row r="17133" spans="10:10" ht="15" customHeight="1" x14ac:dyDescent="0.3">
      <c r="J17133" s="33"/>
    </row>
    <row r="17134" spans="10:10" ht="15" customHeight="1" x14ac:dyDescent="0.3">
      <c r="J17134" s="33"/>
    </row>
    <row r="17135" spans="10:10" ht="15" customHeight="1" x14ac:dyDescent="0.3">
      <c r="J17135" s="33"/>
    </row>
    <row r="17136" spans="10:10" ht="15" customHeight="1" x14ac:dyDescent="0.3">
      <c r="J17136" s="33"/>
    </row>
    <row r="17137" spans="10:10" ht="15" customHeight="1" x14ac:dyDescent="0.3">
      <c r="J17137" s="33"/>
    </row>
    <row r="17138" spans="10:10" ht="15" customHeight="1" x14ac:dyDescent="0.3">
      <c r="J17138" s="33"/>
    </row>
    <row r="17139" spans="10:10" ht="15" customHeight="1" x14ac:dyDescent="0.3">
      <c r="J17139" s="33"/>
    </row>
    <row r="17140" spans="10:10" ht="15" customHeight="1" x14ac:dyDescent="0.3">
      <c r="J17140" s="33"/>
    </row>
    <row r="17141" spans="10:10" ht="15" customHeight="1" x14ac:dyDescent="0.3">
      <c r="J17141" s="33"/>
    </row>
    <row r="17142" spans="10:10" ht="15" customHeight="1" x14ac:dyDescent="0.3">
      <c r="J17142" s="33"/>
    </row>
    <row r="17143" spans="10:10" ht="15" customHeight="1" x14ac:dyDescent="0.3">
      <c r="J17143" s="33"/>
    </row>
    <row r="17144" spans="10:10" ht="15" customHeight="1" x14ac:dyDescent="0.3">
      <c r="J17144" s="33"/>
    </row>
    <row r="17145" spans="10:10" ht="15" customHeight="1" x14ac:dyDescent="0.3">
      <c r="J17145" s="33"/>
    </row>
    <row r="17146" spans="10:10" ht="15" customHeight="1" x14ac:dyDescent="0.3">
      <c r="J17146" s="33"/>
    </row>
    <row r="17147" spans="10:10" ht="15" customHeight="1" x14ac:dyDescent="0.3">
      <c r="J17147" s="33"/>
    </row>
    <row r="17148" spans="10:10" ht="15" customHeight="1" x14ac:dyDescent="0.3">
      <c r="J17148" s="33"/>
    </row>
    <row r="17149" spans="10:10" ht="15" customHeight="1" x14ac:dyDescent="0.3">
      <c r="J17149" s="33"/>
    </row>
    <row r="17150" spans="10:10" ht="15" customHeight="1" x14ac:dyDescent="0.3">
      <c r="J17150" s="33"/>
    </row>
    <row r="17151" spans="10:10" ht="15" customHeight="1" x14ac:dyDescent="0.3">
      <c r="J17151" s="33"/>
    </row>
    <row r="17152" spans="10:10" ht="15" customHeight="1" x14ac:dyDescent="0.3">
      <c r="J17152" s="33"/>
    </row>
    <row r="17153" spans="10:10" ht="15" customHeight="1" x14ac:dyDescent="0.3">
      <c r="J17153" s="33"/>
    </row>
    <row r="17154" spans="10:10" ht="15" customHeight="1" x14ac:dyDescent="0.3">
      <c r="J17154" s="33"/>
    </row>
    <row r="17155" spans="10:10" ht="15" customHeight="1" x14ac:dyDescent="0.3">
      <c r="J17155" s="33"/>
    </row>
    <row r="17156" spans="10:10" ht="15" customHeight="1" x14ac:dyDescent="0.3">
      <c r="J17156" s="33"/>
    </row>
    <row r="17157" spans="10:10" ht="15" customHeight="1" x14ac:dyDescent="0.3">
      <c r="J17157" s="33"/>
    </row>
    <row r="17158" spans="10:10" ht="15" customHeight="1" x14ac:dyDescent="0.3">
      <c r="J17158" s="33"/>
    </row>
    <row r="17159" spans="10:10" ht="15" customHeight="1" x14ac:dyDescent="0.3">
      <c r="J17159" s="33"/>
    </row>
    <row r="17160" spans="10:10" ht="15" customHeight="1" x14ac:dyDescent="0.3">
      <c r="J17160" s="33"/>
    </row>
    <row r="17161" spans="10:10" ht="15" customHeight="1" x14ac:dyDescent="0.3">
      <c r="J17161" s="33"/>
    </row>
    <row r="17162" spans="10:10" ht="15" customHeight="1" x14ac:dyDescent="0.3">
      <c r="J17162" s="33"/>
    </row>
    <row r="17163" spans="10:10" ht="15" customHeight="1" x14ac:dyDescent="0.3">
      <c r="J17163" s="33"/>
    </row>
    <row r="17164" spans="10:10" ht="15" customHeight="1" x14ac:dyDescent="0.3">
      <c r="J17164" s="33"/>
    </row>
    <row r="17165" spans="10:10" ht="15" customHeight="1" x14ac:dyDescent="0.3">
      <c r="J17165" s="33"/>
    </row>
    <row r="17166" spans="10:10" ht="15" customHeight="1" x14ac:dyDescent="0.3">
      <c r="J17166" s="33"/>
    </row>
    <row r="17167" spans="10:10" ht="15" customHeight="1" x14ac:dyDescent="0.3">
      <c r="J17167" s="33"/>
    </row>
    <row r="17168" spans="10:10" ht="15" customHeight="1" x14ac:dyDescent="0.3">
      <c r="J17168" s="33"/>
    </row>
    <row r="17169" spans="10:10" ht="15" customHeight="1" x14ac:dyDescent="0.3">
      <c r="J17169" s="33"/>
    </row>
    <row r="17170" spans="10:10" ht="15" customHeight="1" x14ac:dyDescent="0.3">
      <c r="J17170" s="33"/>
    </row>
    <row r="17171" spans="10:10" ht="15" customHeight="1" x14ac:dyDescent="0.3">
      <c r="J17171" s="33"/>
    </row>
    <row r="17172" spans="10:10" ht="15" customHeight="1" x14ac:dyDescent="0.3">
      <c r="J17172" s="33"/>
    </row>
    <row r="17173" spans="10:10" ht="15" customHeight="1" x14ac:dyDescent="0.3">
      <c r="J17173" s="33"/>
    </row>
    <row r="17174" spans="10:10" ht="15" customHeight="1" x14ac:dyDescent="0.3">
      <c r="J17174" s="33"/>
    </row>
    <row r="17175" spans="10:10" ht="15" customHeight="1" x14ac:dyDescent="0.3">
      <c r="J17175" s="33"/>
    </row>
    <row r="17176" spans="10:10" ht="15" customHeight="1" x14ac:dyDescent="0.3">
      <c r="J17176" s="33"/>
    </row>
    <row r="17177" spans="10:10" ht="15" customHeight="1" x14ac:dyDescent="0.3">
      <c r="J17177" s="33"/>
    </row>
    <row r="17178" spans="10:10" ht="15" customHeight="1" x14ac:dyDescent="0.3">
      <c r="J17178" s="33"/>
    </row>
    <row r="17179" spans="10:10" ht="15" customHeight="1" x14ac:dyDescent="0.3">
      <c r="J17179" s="33"/>
    </row>
    <row r="17180" spans="10:10" ht="15" customHeight="1" x14ac:dyDescent="0.3">
      <c r="J17180" s="33"/>
    </row>
    <row r="17181" spans="10:10" ht="15" customHeight="1" x14ac:dyDescent="0.3">
      <c r="J17181" s="33"/>
    </row>
    <row r="17182" spans="10:10" ht="15" customHeight="1" x14ac:dyDescent="0.3">
      <c r="J17182" s="33"/>
    </row>
    <row r="17183" spans="10:10" ht="15" customHeight="1" x14ac:dyDescent="0.3">
      <c r="J17183" s="33"/>
    </row>
    <row r="17184" spans="10:10" ht="15" customHeight="1" x14ac:dyDescent="0.3">
      <c r="J17184" s="33"/>
    </row>
    <row r="17185" spans="10:10" ht="15" customHeight="1" x14ac:dyDescent="0.3">
      <c r="J17185" s="33"/>
    </row>
    <row r="17186" spans="10:10" ht="15" customHeight="1" x14ac:dyDescent="0.3">
      <c r="J17186" s="33"/>
    </row>
    <row r="17187" spans="10:10" ht="15" customHeight="1" x14ac:dyDescent="0.3">
      <c r="J17187" s="33"/>
    </row>
    <row r="17188" spans="10:10" ht="15" customHeight="1" x14ac:dyDescent="0.3">
      <c r="J17188" s="33"/>
    </row>
    <row r="17189" spans="10:10" ht="15" customHeight="1" x14ac:dyDescent="0.3">
      <c r="J17189" s="33"/>
    </row>
    <row r="17190" spans="10:10" ht="15" customHeight="1" x14ac:dyDescent="0.3">
      <c r="J17190" s="33"/>
    </row>
    <row r="17191" spans="10:10" ht="15" customHeight="1" x14ac:dyDescent="0.3">
      <c r="J17191" s="33"/>
    </row>
    <row r="17192" spans="10:10" ht="15" customHeight="1" x14ac:dyDescent="0.3">
      <c r="J17192" s="33"/>
    </row>
    <row r="17193" spans="10:10" ht="15" customHeight="1" x14ac:dyDescent="0.3">
      <c r="J17193" s="33"/>
    </row>
    <row r="17194" spans="10:10" ht="15" customHeight="1" x14ac:dyDescent="0.3">
      <c r="J17194" s="33"/>
    </row>
    <row r="17195" spans="10:10" ht="15" customHeight="1" x14ac:dyDescent="0.3">
      <c r="J17195" s="33"/>
    </row>
    <row r="17196" spans="10:10" ht="15" customHeight="1" x14ac:dyDescent="0.3">
      <c r="J17196" s="33"/>
    </row>
    <row r="17197" spans="10:10" ht="15" customHeight="1" x14ac:dyDescent="0.3">
      <c r="J17197" s="33"/>
    </row>
    <row r="17198" spans="10:10" ht="15" customHeight="1" x14ac:dyDescent="0.3">
      <c r="J17198" s="33"/>
    </row>
    <row r="17199" spans="10:10" ht="15" customHeight="1" x14ac:dyDescent="0.3">
      <c r="J17199" s="33"/>
    </row>
    <row r="17200" spans="10:10" ht="15" customHeight="1" x14ac:dyDescent="0.3">
      <c r="J17200" s="33"/>
    </row>
    <row r="17201" spans="10:10" ht="15" customHeight="1" x14ac:dyDescent="0.3">
      <c r="J17201" s="33"/>
    </row>
    <row r="17202" spans="10:10" ht="15" customHeight="1" x14ac:dyDescent="0.3">
      <c r="J17202" s="33"/>
    </row>
    <row r="17203" spans="10:10" ht="15" customHeight="1" x14ac:dyDescent="0.3">
      <c r="J17203" s="33"/>
    </row>
    <row r="17204" spans="10:10" ht="15" customHeight="1" x14ac:dyDescent="0.3">
      <c r="J17204" s="33"/>
    </row>
    <row r="17205" spans="10:10" ht="15" customHeight="1" x14ac:dyDescent="0.3">
      <c r="J17205" s="33"/>
    </row>
    <row r="17206" spans="10:10" ht="15" customHeight="1" x14ac:dyDescent="0.3">
      <c r="J17206" s="33"/>
    </row>
    <row r="17207" spans="10:10" ht="15" customHeight="1" x14ac:dyDescent="0.3">
      <c r="J17207" s="33"/>
    </row>
    <row r="17208" spans="10:10" ht="15" customHeight="1" x14ac:dyDescent="0.3">
      <c r="J17208" s="33"/>
    </row>
    <row r="17209" spans="10:10" ht="15" customHeight="1" x14ac:dyDescent="0.3">
      <c r="J17209" s="33"/>
    </row>
    <row r="17210" spans="10:10" ht="15" customHeight="1" x14ac:dyDescent="0.3">
      <c r="J17210" s="33"/>
    </row>
    <row r="17211" spans="10:10" ht="15" customHeight="1" x14ac:dyDescent="0.3">
      <c r="J17211" s="33"/>
    </row>
    <row r="17212" spans="10:10" ht="15" customHeight="1" x14ac:dyDescent="0.3">
      <c r="J17212" s="33"/>
    </row>
    <row r="17213" spans="10:10" ht="15" customHeight="1" x14ac:dyDescent="0.3">
      <c r="J17213" s="33"/>
    </row>
    <row r="17214" spans="10:10" ht="15" customHeight="1" x14ac:dyDescent="0.3">
      <c r="J17214" s="33"/>
    </row>
    <row r="17215" spans="10:10" ht="15" customHeight="1" x14ac:dyDescent="0.3">
      <c r="J17215" s="33"/>
    </row>
    <row r="17216" spans="10:10" ht="15" customHeight="1" x14ac:dyDescent="0.3">
      <c r="J17216" s="33"/>
    </row>
    <row r="17217" spans="10:10" ht="15" customHeight="1" x14ac:dyDescent="0.3">
      <c r="J17217" s="33"/>
    </row>
    <row r="17218" spans="10:10" ht="15" customHeight="1" x14ac:dyDescent="0.3">
      <c r="J17218" s="33"/>
    </row>
    <row r="17219" spans="10:10" ht="15" customHeight="1" x14ac:dyDescent="0.3">
      <c r="J17219" s="33"/>
    </row>
    <row r="17220" spans="10:10" ht="15" customHeight="1" x14ac:dyDescent="0.3">
      <c r="J17220" s="33"/>
    </row>
    <row r="17221" spans="10:10" ht="15" customHeight="1" x14ac:dyDescent="0.3">
      <c r="J17221" s="33"/>
    </row>
    <row r="17222" spans="10:10" ht="15" customHeight="1" x14ac:dyDescent="0.3">
      <c r="J17222" s="33"/>
    </row>
    <row r="17223" spans="10:10" ht="15" customHeight="1" x14ac:dyDescent="0.3">
      <c r="J17223" s="33"/>
    </row>
    <row r="17224" spans="10:10" ht="15" customHeight="1" x14ac:dyDescent="0.3">
      <c r="J17224" s="33"/>
    </row>
    <row r="17225" spans="10:10" ht="15" customHeight="1" x14ac:dyDescent="0.3">
      <c r="J17225" s="33"/>
    </row>
    <row r="17226" spans="10:10" ht="15" customHeight="1" x14ac:dyDescent="0.3">
      <c r="J17226" s="33"/>
    </row>
    <row r="17227" spans="10:10" ht="15" customHeight="1" x14ac:dyDescent="0.3">
      <c r="J17227" s="33"/>
    </row>
    <row r="17228" spans="10:10" ht="15" customHeight="1" x14ac:dyDescent="0.3">
      <c r="J17228" s="33"/>
    </row>
    <row r="17229" spans="10:10" ht="15" customHeight="1" x14ac:dyDescent="0.3">
      <c r="J17229" s="33"/>
    </row>
    <row r="17230" spans="10:10" ht="15" customHeight="1" x14ac:dyDescent="0.3">
      <c r="J17230" s="33"/>
    </row>
    <row r="17231" spans="10:10" ht="15" customHeight="1" x14ac:dyDescent="0.3">
      <c r="J17231" s="33"/>
    </row>
    <row r="17232" spans="10:10" ht="15" customHeight="1" x14ac:dyDescent="0.3">
      <c r="J17232" s="33"/>
    </row>
    <row r="17233" spans="10:10" ht="15" customHeight="1" x14ac:dyDescent="0.3">
      <c r="J17233" s="33"/>
    </row>
    <row r="17234" spans="10:10" ht="15" customHeight="1" x14ac:dyDescent="0.3">
      <c r="J17234" s="33"/>
    </row>
    <row r="17235" spans="10:10" ht="15" customHeight="1" x14ac:dyDescent="0.3">
      <c r="J17235" s="33"/>
    </row>
    <row r="17236" spans="10:10" ht="15" customHeight="1" x14ac:dyDescent="0.3">
      <c r="J17236" s="33"/>
    </row>
    <row r="17237" spans="10:10" ht="15" customHeight="1" x14ac:dyDescent="0.3">
      <c r="J17237" s="33"/>
    </row>
    <row r="17238" spans="10:10" ht="15" customHeight="1" x14ac:dyDescent="0.3">
      <c r="J17238" s="33"/>
    </row>
    <row r="17239" spans="10:10" ht="15" customHeight="1" x14ac:dyDescent="0.3">
      <c r="J17239" s="33"/>
    </row>
    <row r="17240" spans="10:10" ht="15" customHeight="1" x14ac:dyDescent="0.3">
      <c r="J17240" s="33"/>
    </row>
    <row r="17241" spans="10:10" ht="15" customHeight="1" x14ac:dyDescent="0.3">
      <c r="J17241" s="33"/>
    </row>
    <row r="17242" spans="10:10" ht="15" customHeight="1" x14ac:dyDescent="0.3">
      <c r="J17242" s="33"/>
    </row>
    <row r="17243" spans="10:10" ht="15" customHeight="1" x14ac:dyDescent="0.3">
      <c r="J17243" s="33"/>
    </row>
    <row r="17244" spans="10:10" ht="15" customHeight="1" x14ac:dyDescent="0.3">
      <c r="J17244" s="33"/>
    </row>
    <row r="17245" spans="10:10" ht="15" customHeight="1" x14ac:dyDescent="0.3">
      <c r="J17245" s="33"/>
    </row>
    <row r="17246" spans="10:10" ht="15" customHeight="1" x14ac:dyDescent="0.3">
      <c r="J17246" s="33"/>
    </row>
    <row r="17247" spans="10:10" ht="15" customHeight="1" x14ac:dyDescent="0.3">
      <c r="J17247" s="33"/>
    </row>
    <row r="17248" spans="10:10" ht="15" customHeight="1" x14ac:dyDescent="0.3">
      <c r="J17248" s="33"/>
    </row>
    <row r="17249" spans="10:10" ht="15" customHeight="1" x14ac:dyDescent="0.3">
      <c r="J17249" s="33"/>
    </row>
    <row r="17250" spans="10:10" ht="15" customHeight="1" x14ac:dyDescent="0.3">
      <c r="J17250" s="33"/>
    </row>
    <row r="17251" spans="10:10" ht="15" customHeight="1" x14ac:dyDescent="0.3">
      <c r="J17251" s="33"/>
    </row>
    <row r="17252" spans="10:10" ht="15" customHeight="1" x14ac:dyDescent="0.3">
      <c r="J17252" s="33"/>
    </row>
    <row r="17253" spans="10:10" ht="15" customHeight="1" x14ac:dyDescent="0.3">
      <c r="J17253" s="33"/>
    </row>
    <row r="17254" spans="10:10" ht="15" customHeight="1" x14ac:dyDescent="0.3">
      <c r="J17254" s="33"/>
    </row>
    <row r="17255" spans="10:10" ht="15" customHeight="1" x14ac:dyDescent="0.3">
      <c r="J17255" s="33"/>
    </row>
    <row r="17256" spans="10:10" ht="15" customHeight="1" x14ac:dyDescent="0.3">
      <c r="J17256" s="33"/>
    </row>
    <row r="17257" spans="10:10" ht="15" customHeight="1" x14ac:dyDescent="0.3">
      <c r="J17257" s="33"/>
    </row>
    <row r="17258" spans="10:10" ht="15" customHeight="1" x14ac:dyDescent="0.3">
      <c r="J17258" s="33"/>
    </row>
    <row r="17259" spans="10:10" ht="15" customHeight="1" x14ac:dyDescent="0.3">
      <c r="J17259" s="33"/>
    </row>
    <row r="17260" spans="10:10" ht="15" customHeight="1" x14ac:dyDescent="0.3">
      <c r="J17260" s="33"/>
    </row>
    <row r="17261" spans="10:10" ht="15" customHeight="1" x14ac:dyDescent="0.3">
      <c r="J17261" s="33"/>
    </row>
    <row r="17262" spans="10:10" ht="15" customHeight="1" x14ac:dyDescent="0.3">
      <c r="J17262" s="33"/>
    </row>
    <row r="17263" spans="10:10" ht="15" customHeight="1" x14ac:dyDescent="0.3">
      <c r="J17263" s="33"/>
    </row>
    <row r="17264" spans="10:10" ht="15" customHeight="1" x14ac:dyDescent="0.3">
      <c r="J17264" s="33"/>
    </row>
    <row r="17265" spans="10:10" ht="15" customHeight="1" x14ac:dyDescent="0.3">
      <c r="J17265" s="33"/>
    </row>
    <row r="17266" spans="10:10" ht="15" customHeight="1" x14ac:dyDescent="0.3">
      <c r="J17266" s="33"/>
    </row>
    <row r="17267" spans="10:10" ht="15" customHeight="1" x14ac:dyDescent="0.3">
      <c r="J17267" s="33"/>
    </row>
    <row r="17268" spans="10:10" ht="15" customHeight="1" x14ac:dyDescent="0.3">
      <c r="J17268" s="33"/>
    </row>
    <row r="17269" spans="10:10" ht="15" customHeight="1" x14ac:dyDescent="0.3">
      <c r="J17269" s="33"/>
    </row>
    <row r="17270" spans="10:10" ht="15" customHeight="1" x14ac:dyDescent="0.3">
      <c r="J17270" s="33"/>
    </row>
    <row r="17271" spans="10:10" ht="15" customHeight="1" x14ac:dyDescent="0.3">
      <c r="J17271" s="33"/>
    </row>
    <row r="17272" spans="10:10" ht="15" customHeight="1" x14ac:dyDescent="0.3">
      <c r="J17272" s="33"/>
    </row>
    <row r="17273" spans="10:10" ht="15" customHeight="1" x14ac:dyDescent="0.3">
      <c r="J17273" s="33"/>
    </row>
    <row r="17274" spans="10:10" ht="15" customHeight="1" x14ac:dyDescent="0.3">
      <c r="J17274" s="33"/>
    </row>
    <row r="17275" spans="10:10" ht="15" customHeight="1" x14ac:dyDescent="0.3">
      <c r="J17275" s="33"/>
    </row>
    <row r="17276" spans="10:10" ht="15" customHeight="1" x14ac:dyDescent="0.3">
      <c r="J17276" s="33"/>
    </row>
    <row r="17277" spans="10:10" ht="15" customHeight="1" x14ac:dyDescent="0.3">
      <c r="J17277" s="33"/>
    </row>
    <row r="17278" spans="10:10" ht="15" customHeight="1" x14ac:dyDescent="0.3">
      <c r="J17278" s="33"/>
    </row>
    <row r="17279" spans="10:10" ht="15" customHeight="1" x14ac:dyDescent="0.3">
      <c r="J17279" s="33"/>
    </row>
    <row r="17280" spans="10:10" ht="15" customHeight="1" x14ac:dyDescent="0.3">
      <c r="J17280" s="33"/>
    </row>
    <row r="17281" spans="10:10" ht="15" customHeight="1" x14ac:dyDescent="0.3">
      <c r="J17281" s="33"/>
    </row>
    <row r="17282" spans="10:10" ht="15" customHeight="1" x14ac:dyDescent="0.3">
      <c r="J17282" s="33"/>
    </row>
    <row r="17283" spans="10:10" ht="15" customHeight="1" x14ac:dyDescent="0.3">
      <c r="J17283" s="33"/>
    </row>
    <row r="17284" spans="10:10" ht="15" customHeight="1" x14ac:dyDescent="0.3">
      <c r="J17284" s="33"/>
    </row>
    <row r="17285" spans="10:10" ht="15" customHeight="1" x14ac:dyDescent="0.3">
      <c r="J17285" s="33"/>
    </row>
    <row r="17286" spans="10:10" ht="15" customHeight="1" x14ac:dyDescent="0.3">
      <c r="J17286" s="33"/>
    </row>
    <row r="17287" spans="10:10" ht="15" customHeight="1" x14ac:dyDescent="0.3">
      <c r="J17287" s="33"/>
    </row>
    <row r="17288" spans="10:10" ht="15" customHeight="1" x14ac:dyDescent="0.3">
      <c r="J17288" s="33"/>
    </row>
    <row r="17289" spans="10:10" ht="15" customHeight="1" x14ac:dyDescent="0.3">
      <c r="J17289" s="33"/>
    </row>
    <row r="17290" spans="10:10" ht="15" customHeight="1" x14ac:dyDescent="0.3">
      <c r="J17290" s="33"/>
    </row>
    <row r="17291" spans="10:10" ht="15" customHeight="1" x14ac:dyDescent="0.3">
      <c r="J17291" s="33"/>
    </row>
    <row r="17292" spans="10:10" ht="15" customHeight="1" x14ac:dyDescent="0.3">
      <c r="J17292" s="33"/>
    </row>
    <row r="17293" spans="10:10" ht="15" customHeight="1" x14ac:dyDescent="0.3">
      <c r="J17293" s="33"/>
    </row>
    <row r="17294" spans="10:10" ht="15" customHeight="1" x14ac:dyDescent="0.3">
      <c r="J17294" s="33"/>
    </row>
    <row r="17295" spans="10:10" ht="15" customHeight="1" x14ac:dyDescent="0.3">
      <c r="J17295" s="33"/>
    </row>
    <row r="17296" spans="10:10" ht="15" customHeight="1" x14ac:dyDescent="0.3">
      <c r="J17296" s="33"/>
    </row>
    <row r="17297" spans="10:10" ht="15" customHeight="1" x14ac:dyDescent="0.3">
      <c r="J17297" s="33"/>
    </row>
    <row r="17298" spans="10:10" ht="15" customHeight="1" x14ac:dyDescent="0.3">
      <c r="J17298" s="33"/>
    </row>
    <row r="17299" spans="10:10" ht="15" customHeight="1" x14ac:dyDescent="0.3">
      <c r="J17299" s="33"/>
    </row>
    <row r="17300" spans="10:10" ht="15" customHeight="1" x14ac:dyDescent="0.3">
      <c r="J17300" s="33"/>
    </row>
    <row r="17301" spans="10:10" ht="15" customHeight="1" x14ac:dyDescent="0.3">
      <c r="J17301" s="33"/>
    </row>
    <row r="17302" spans="10:10" ht="15" customHeight="1" x14ac:dyDescent="0.3">
      <c r="J17302" s="33"/>
    </row>
    <row r="17303" spans="10:10" ht="15" customHeight="1" x14ac:dyDescent="0.3">
      <c r="J17303" s="33"/>
    </row>
    <row r="17304" spans="10:10" ht="15" customHeight="1" x14ac:dyDescent="0.3">
      <c r="J17304" s="33"/>
    </row>
    <row r="17305" spans="10:10" ht="15" customHeight="1" x14ac:dyDescent="0.3">
      <c r="J17305" s="33"/>
    </row>
    <row r="17306" spans="10:10" ht="15" customHeight="1" x14ac:dyDescent="0.3">
      <c r="J17306" s="33"/>
    </row>
    <row r="17307" spans="10:10" ht="15" customHeight="1" x14ac:dyDescent="0.3">
      <c r="J17307" s="33"/>
    </row>
    <row r="17308" spans="10:10" ht="15" customHeight="1" x14ac:dyDescent="0.3">
      <c r="J17308" s="33"/>
    </row>
    <row r="17309" spans="10:10" ht="15" customHeight="1" x14ac:dyDescent="0.3">
      <c r="J17309" s="33"/>
    </row>
    <row r="17310" spans="10:10" ht="15" customHeight="1" x14ac:dyDescent="0.3">
      <c r="J17310" s="33"/>
    </row>
    <row r="17311" spans="10:10" ht="15" customHeight="1" x14ac:dyDescent="0.3">
      <c r="J17311" s="33"/>
    </row>
    <row r="17312" spans="10:10" ht="15" customHeight="1" x14ac:dyDescent="0.3">
      <c r="J17312" s="33"/>
    </row>
    <row r="17313" spans="10:10" ht="15" customHeight="1" x14ac:dyDescent="0.3">
      <c r="J17313" s="33"/>
    </row>
    <row r="17314" spans="10:10" ht="15" customHeight="1" x14ac:dyDescent="0.3">
      <c r="J17314" s="33"/>
    </row>
    <row r="17315" spans="10:10" ht="15" customHeight="1" x14ac:dyDescent="0.3">
      <c r="J17315" s="33"/>
    </row>
    <row r="17316" spans="10:10" ht="15" customHeight="1" x14ac:dyDescent="0.3">
      <c r="J17316" s="33"/>
    </row>
    <row r="17317" spans="10:10" ht="15" customHeight="1" x14ac:dyDescent="0.3">
      <c r="J17317" s="33"/>
    </row>
    <row r="17318" spans="10:10" ht="15" customHeight="1" x14ac:dyDescent="0.3">
      <c r="J17318" s="33"/>
    </row>
    <row r="17319" spans="10:10" ht="15" customHeight="1" x14ac:dyDescent="0.3">
      <c r="J17319" s="33"/>
    </row>
    <row r="17320" spans="10:10" ht="15" customHeight="1" x14ac:dyDescent="0.3">
      <c r="J17320" s="33"/>
    </row>
    <row r="17321" spans="10:10" ht="15" customHeight="1" x14ac:dyDescent="0.3">
      <c r="J17321" s="33"/>
    </row>
    <row r="17322" spans="10:10" ht="15" customHeight="1" x14ac:dyDescent="0.3">
      <c r="J17322" s="33"/>
    </row>
    <row r="17323" spans="10:10" ht="15" customHeight="1" x14ac:dyDescent="0.3">
      <c r="J17323" s="33"/>
    </row>
    <row r="17324" spans="10:10" ht="15" customHeight="1" x14ac:dyDescent="0.3">
      <c r="J17324" s="33"/>
    </row>
    <row r="17325" spans="10:10" ht="15" customHeight="1" x14ac:dyDescent="0.3">
      <c r="J17325" s="33"/>
    </row>
    <row r="17326" spans="10:10" ht="15" customHeight="1" x14ac:dyDescent="0.3">
      <c r="J17326" s="33"/>
    </row>
    <row r="17327" spans="10:10" ht="15" customHeight="1" x14ac:dyDescent="0.3">
      <c r="J17327" s="33"/>
    </row>
    <row r="17328" spans="10:10" ht="15" customHeight="1" x14ac:dyDescent="0.3">
      <c r="J17328" s="33"/>
    </row>
    <row r="17329" spans="10:10" ht="15" customHeight="1" x14ac:dyDescent="0.3">
      <c r="J17329" s="33"/>
    </row>
    <row r="17330" spans="10:10" ht="15" customHeight="1" x14ac:dyDescent="0.3">
      <c r="J17330" s="33"/>
    </row>
    <row r="17331" spans="10:10" ht="15" customHeight="1" x14ac:dyDescent="0.3">
      <c r="J17331" s="33"/>
    </row>
    <row r="17332" spans="10:10" ht="15" customHeight="1" x14ac:dyDescent="0.3">
      <c r="J17332" s="33"/>
    </row>
    <row r="17333" spans="10:10" ht="15" customHeight="1" x14ac:dyDescent="0.3">
      <c r="J17333" s="33"/>
    </row>
    <row r="17334" spans="10:10" ht="15" customHeight="1" x14ac:dyDescent="0.3">
      <c r="J17334" s="33"/>
    </row>
    <row r="17335" spans="10:10" ht="15" customHeight="1" x14ac:dyDescent="0.3">
      <c r="J17335" s="33"/>
    </row>
    <row r="17336" spans="10:10" ht="15" customHeight="1" x14ac:dyDescent="0.3">
      <c r="J17336" s="33"/>
    </row>
    <row r="17337" spans="10:10" ht="15" customHeight="1" x14ac:dyDescent="0.3">
      <c r="J17337" s="33"/>
    </row>
    <row r="17338" spans="10:10" ht="15" customHeight="1" x14ac:dyDescent="0.3">
      <c r="J17338" s="33"/>
    </row>
    <row r="17339" spans="10:10" ht="15" customHeight="1" x14ac:dyDescent="0.3">
      <c r="J17339" s="33"/>
    </row>
    <row r="17340" spans="10:10" ht="15" customHeight="1" x14ac:dyDescent="0.3">
      <c r="J17340" s="33"/>
    </row>
    <row r="17341" spans="10:10" ht="15" customHeight="1" x14ac:dyDescent="0.3">
      <c r="J17341" s="33"/>
    </row>
    <row r="17342" spans="10:10" ht="15" customHeight="1" x14ac:dyDescent="0.3">
      <c r="J17342" s="33"/>
    </row>
    <row r="17343" spans="10:10" ht="15" customHeight="1" x14ac:dyDescent="0.3">
      <c r="J17343" s="33"/>
    </row>
    <row r="17344" spans="10:10" ht="15" customHeight="1" x14ac:dyDescent="0.3">
      <c r="J17344" s="33"/>
    </row>
    <row r="17345" spans="10:10" ht="15" customHeight="1" x14ac:dyDescent="0.3">
      <c r="J17345" s="33"/>
    </row>
    <row r="17346" spans="10:10" ht="15" customHeight="1" x14ac:dyDescent="0.3">
      <c r="J17346" s="33"/>
    </row>
    <row r="17347" spans="10:10" ht="15" customHeight="1" x14ac:dyDescent="0.3">
      <c r="J17347" s="33"/>
    </row>
    <row r="17348" spans="10:10" ht="15" customHeight="1" x14ac:dyDescent="0.3">
      <c r="J17348" s="33"/>
    </row>
    <row r="17349" spans="10:10" ht="15" customHeight="1" x14ac:dyDescent="0.3">
      <c r="J17349" s="33"/>
    </row>
    <row r="17350" spans="10:10" ht="15" customHeight="1" x14ac:dyDescent="0.3">
      <c r="J17350" s="33"/>
    </row>
    <row r="17351" spans="10:10" ht="15" customHeight="1" x14ac:dyDescent="0.3">
      <c r="J17351" s="33"/>
    </row>
    <row r="17352" spans="10:10" ht="15" customHeight="1" x14ac:dyDescent="0.3">
      <c r="J17352" s="33"/>
    </row>
    <row r="17353" spans="10:10" ht="15" customHeight="1" x14ac:dyDescent="0.3">
      <c r="J17353" s="33"/>
    </row>
    <row r="17354" spans="10:10" ht="15" customHeight="1" x14ac:dyDescent="0.3">
      <c r="J17354" s="33"/>
    </row>
    <row r="17355" spans="10:10" ht="15" customHeight="1" x14ac:dyDescent="0.3">
      <c r="J17355" s="33"/>
    </row>
    <row r="17356" spans="10:10" ht="15" customHeight="1" x14ac:dyDescent="0.3">
      <c r="J17356" s="33"/>
    </row>
    <row r="17357" spans="10:10" ht="15" customHeight="1" x14ac:dyDescent="0.3">
      <c r="J17357" s="33"/>
    </row>
    <row r="17358" spans="10:10" ht="15" customHeight="1" x14ac:dyDescent="0.3">
      <c r="J17358" s="33"/>
    </row>
    <row r="17359" spans="10:10" ht="15" customHeight="1" x14ac:dyDescent="0.3">
      <c r="J17359" s="33"/>
    </row>
    <row r="17360" spans="10:10" ht="15" customHeight="1" x14ac:dyDescent="0.3">
      <c r="J17360" s="33"/>
    </row>
    <row r="17361" spans="10:10" ht="15" customHeight="1" x14ac:dyDescent="0.3">
      <c r="J17361" s="33"/>
    </row>
    <row r="17362" spans="10:10" ht="15" customHeight="1" x14ac:dyDescent="0.3">
      <c r="J17362" s="33"/>
    </row>
    <row r="17363" spans="10:10" ht="15" customHeight="1" x14ac:dyDescent="0.3">
      <c r="J17363" s="33"/>
    </row>
    <row r="17364" spans="10:10" ht="15" customHeight="1" x14ac:dyDescent="0.3">
      <c r="J17364" s="33"/>
    </row>
    <row r="17365" spans="10:10" ht="15" customHeight="1" x14ac:dyDescent="0.3">
      <c r="J17365" s="33"/>
    </row>
    <row r="17366" spans="10:10" ht="15" customHeight="1" x14ac:dyDescent="0.3">
      <c r="J17366" s="33"/>
    </row>
    <row r="17367" spans="10:10" ht="15" customHeight="1" x14ac:dyDescent="0.3">
      <c r="J17367" s="33"/>
    </row>
    <row r="17368" spans="10:10" ht="15" customHeight="1" x14ac:dyDescent="0.3">
      <c r="J17368" s="33"/>
    </row>
    <row r="17369" spans="10:10" ht="15" customHeight="1" x14ac:dyDescent="0.3">
      <c r="J17369" s="33"/>
    </row>
    <row r="17370" spans="10:10" ht="15" customHeight="1" x14ac:dyDescent="0.3">
      <c r="J17370" s="33"/>
    </row>
    <row r="17371" spans="10:10" ht="15" customHeight="1" x14ac:dyDescent="0.3">
      <c r="J17371" s="33"/>
    </row>
    <row r="17372" spans="10:10" ht="15" customHeight="1" x14ac:dyDescent="0.3">
      <c r="J17372" s="33"/>
    </row>
    <row r="17373" spans="10:10" ht="15" customHeight="1" x14ac:dyDescent="0.3">
      <c r="J17373" s="33"/>
    </row>
    <row r="17374" spans="10:10" ht="15" customHeight="1" x14ac:dyDescent="0.3">
      <c r="J17374" s="33"/>
    </row>
    <row r="17375" spans="10:10" ht="15" customHeight="1" x14ac:dyDescent="0.3">
      <c r="J17375" s="33"/>
    </row>
    <row r="17376" spans="10:10" ht="15" customHeight="1" x14ac:dyDescent="0.3">
      <c r="J17376" s="33"/>
    </row>
    <row r="17377" spans="10:10" ht="15" customHeight="1" x14ac:dyDescent="0.3">
      <c r="J17377" s="33"/>
    </row>
    <row r="17378" spans="10:10" ht="15" customHeight="1" x14ac:dyDescent="0.3">
      <c r="J17378" s="33"/>
    </row>
    <row r="17379" spans="10:10" ht="15" customHeight="1" x14ac:dyDescent="0.3">
      <c r="J17379" s="33"/>
    </row>
    <row r="17380" spans="10:10" ht="15" customHeight="1" x14ac:dyDescent="0.3">
      <c r="J17380" s="33"/>
    </row>
    <row r="17381" spans="10:10" ht="15" customHeight="1" x14ac:dyDescent="0.3">
      <c r="J17381" s="33"/>
    </row>
    <row r="17382" spans="10:10" ht="15" customHeight="1" x14ac:dyDescent="0.3">
      <c r="J17382" s="33"/>
    </row>
    <row r="17383" spans="10:10" ht="15" customHeight="1" x14ac:dyDescent="0.3">
      <c r="J17383" s="33"/>
    </row>
    <row r="17384" spans="10:10" ht="15" customHeight="1" x14ac:dyDescent="0.3">
      <c r="J17384" s="33"/>
    </row>
    <row r="17385" spans="10:10" ht="15" customHeight="1" x14ac:dyDescent="0.3">
      <c r="J17385" s="33"/>
    </row>
    <row r="17386" spans="10:10" ht="15" customHeight="1" x14ac:dyDescent="0.3">
      <c r="J17386" s="33"/>
    </row>
    <row r="17387" spans="10:10" ht="15" customHeight="1" x14ac:dyDescent="0.3">
      <c r="J17387" s="33"/>
    </row>
    <row r="17388" spans="10:10" ht="15" customHeight="1" x14ac:dyDescent="0.3">
      <c r="J17388" s="33"/>
    </row>
    <row r="17389" spans="10:10" ht="15" customHeight="1" x14ac:dyDescent="0.3">
      <c r="J17389" s="33"/>
    </row>
    <row r="17390" spans="10:10" ht="15" customHeight="1" x14ac:dyDescent="0.3">
      <c r="J17390" s="33"/>
    </row>
    <row r="17391" spans="10:10" ht="15" customHeight="1" x14ac:dyDescent="0.3">
      <c r="J17391" s="33"/>
    </row>
    <row r="17392" spans="10:10" ht="15" customHeight="1" x14ac:dyDescent="0.3">
      <c r="J17392" s="33"/>
    </row>
    <row r="17393" spans="10:10" ht="15" customHeight="1" x14ac:dyDescent="0.3">
      <c r="J17393" s="33"/>
    </row>
    <row r="17394" spans="10:10" ht="15" customHeight="1" x14ac:dyDescent="0.3">
      <c r="J17394" s="33"/>
    </row>
    <row r="17395" spans="10:10" ht="15" customHeight="1" x14ac:dyDescent="0.3">
      <c r="J17395" s="33"/>
    </row>
    <row r="17396" spans="10:10" ht="15" customHeight="1" x14ac:dyDescent="0.3">
      <c r="J17396" s="33"/>
    </row>
    <row r="17397" spans="10:10" ht="15" customHeight="1" x14ac:dyDescent="0.3">
      <c r="J17397" s="33"/>
    </row>
    <row r="17398" spans="10:10" ht="15" customHeight="1" x14ac:dyDescent="0.3">
      <c r="J17398" s="33"/>
    </row>
    <row r="17399" spans="10:10" ht="15" customHeight="1" x14ac:dyDescent="0.3">
      <c r="J17399" s="33"/>
    </row>
    <row r="17400" spans="10:10" ht="15" customHeight="1" x14ac:dyDescent="0.3">
      <c r="J17400" s="33"/>
    </row>
    <row r="17401" spans="10:10" ht="15" customHeight="1" x14ac:dyDescent="0.3">
      <c r="J17401" s="33"/>
    </row>
    <row r="17402" spans="10:10" ht="15" customHeight="1" x14ac:dyDescent="0.3">
      <c r="J17402" s="33"/>
    </row>
    <row r="17403" spans="10:10" ht="15" customHeight="1" x14ac:dyDescent="0.3">
      <c r="J17403" s="33"/>
    </row>
    <row r="17404" spans="10:10" ht="15" customHeight="1" x14ac:dyDescent="0.3">
      <c r="J17404" s="33"/>
    </row>
    <row r="17405" spans="10:10" ht="15" customHeight="1" x14ac:dyDescent="0.3">
      <c r="J17405" s="33"/>
    </row>
    <row r="17406" spans="10:10" ht="15" customHeight="1" x14ac:dyDescent="0.3">
      <c r="J17406" s="33"/>
    </row>
    <row r="17407" spans="10:10" ht="15" customHeight="1" x14ac:dyDescent="0.3">
      <c r="J17407" s="33"/>
    </row>
    <row r="17408" spans="10:10" ht="15" customHeight="1" x14ac:dyDescent="0.3">
      <c r="J17408" s="33"/>
    </row>
    <row r="17409" spans="10:10" ht="15" customHeight="1" x14ac:dyDescent="0.3">
      <c r="J17409" s="33"/>
    </row>
    <row r="17410" spans="10:10" ht="15" customHeight="1" x14ac:dyDescent="0.3">
      <c r="J17410" s="33"/>
    </row>
    <row r="17411" spans="10:10" ht="15" customHeight="1" x14ac:dyDescent="0.3">
      <c r="J17411" s="33"/>
    </row>
    <row r="17412" spans="10:10" ht="15" customHeight="1" x14ac:dyDescent="0.3">
      <c r="J17412" s="33"/>
    </row>
    <row r="17413" spans="10:10" ht="15" customHeight="1" x14ac:dyDescent="0.3">
      <c r="J17413" s="33"/>
    </row>
    <row r="17414" spans="10:10" ht="15" customHeight="1" x14ac:dyDescent="0.3">
      <c r="J17414" s="33"/>
    </row>
    <row r="17415" spans="10:10" ht="15" customHeight="1" x14ac:dyDescent="0.3">
      <c r="J17415" s="33"/>
    </row>
    <row r="17416" spans="10:10" ht="15" customHeight="1" x14ac:dyDescent="0.3">
      <c r="J17416" s="33"/>
    </row>
    <row r="17417" spans="10:10" ht="15" customHeight="1" x14ac:dyDescent="0.3">
      <c r="J17417" s="33"/>
    </row>
    <row r="17418" spans="10:10" ht="15" customHeight="1" x14ac:dyDescent="0.3">
      <c r="J17418" s="33"/>
    </row>
    <row r="17419" spans="10:10" ht="15" customHeight="1" x14ac:dyDescent="0.3">
      <c r="J17419" s="33"/>
    </row>
    <row r="17420" spans="10:10" ht="15" customHeight="1" x14ac:dyDescent="0.3">
      <c r="J17420" s="33"/>
    </row>
    <row r="17421" spans="10:10" ht="15" customHeight="1" x14ac:dyDescent="0.3">
      <c r="J17421" s="33"/>
    </row>
    <row r="17422" spans="10:10" ht="15" customHeight="1" x14ac:dyDescent="0.3">
      <c r="J17422" s="33"/>
    </row>
    <row r="17423" spans="10:10" ht="15" customHeight="1" x14ac:dyDescent="0.3">
      <c r="J17423" s="33"/>
    </row>
    <row r="17424" spans="10:10" ht="15" customHeight="1" x14ac:dyDescent="0.3">
      <c r="J17424" s="33"/>
    </row>
    <row r="17425" spans="10:10" ht="15" customHeight="1" x14ac:dyDescent="0.3">
      <c r="J17425" s="33"/>
    </row>
    <row r="17426" spans="10:10" ht="15" customHeight="1" x14ac:dyDescent="0.3">
      <c r="J17426" s="33"/>
    </row>
    <row r="17427" spans="10:10" ht="15" customHeight="1" x14ac:dyDescent="0.3">
      <c r="J17427" s="33"/>
    </row>
    <row r="17428" spans="10:10" ht="15" customHeight="1" x14ac:dyDescent="0.3">
      <c r="J17428" s="33"/>
    </row>
    <row r="17429" spans="10:10" ht="15" customHeight="1" x14ac:dyDescent="0.3">
      <c r="J17429" s="33"/>
    </row>
    <row r="17430" spans="10:10" ht="15" customHeight="1" x14ac:dyDescent="0.3">
      <c r="J17430" s="33"/>
    </row>
    <row r="17431" spans="10:10" ht="15" customHeight="1" x14ac:dyDescent="0.3">
      <c r="J17431" s="33"/>
    </row>
    <row r="17432" spans="10:10" ht="15" customHeight="1" x14ac:dyDescent="0.3">
      <c r="J17432" s="33"/>
    </row>
    <row r="17433" spans="10:10" ht="15" customHeight="1" x14ac:dyDescent="0.3">
      <c r="J17433" s="33"/>
    </row>
    <row r="17434" spans="10:10" ht="15" customHeight="1" x14ac:dyDescent="0.3">
      <c r="J17434" s="33"/>
    </row>
    <row r="17435" spans="10:10" ht="15" customHeight="1" x14ac:dyDescent="0.3">
      <c r="J17435" s="33"/>
    </row>
    <row r="17436" spans="10:10" ht="15" customHeight="1" x14ac:dyDescent="0.3">
      <c r="J17436" s="33"/>
    </row>
    <row r="17437" spans="10:10" ht="15" customHeight="1" x14ac:dyDescent="0.3">
      <c r="J17437" s="33"/>
    </row>
    <row r="17438" spans="10:10" ht="15" customHeight="1" x14ac:dyDescent="0.3">
      <c r="J17438" s="33"/>
    </row>
    <row r="17439" spans="10:10" ht="15" customHeight="1" x14ac:dyDescent="0.3">
      <c r="J17439" s="33"/>
    </row>
    <row r="17440" spans="10:10" ht="15" customHeight="1" x14ac:dyDescent="0.3">
      <c r="J17440" s="33"/>
    </row>
    <row r="17441" spans="10:10" ht="15" customHeight="1" x14ac:dyDescent="0.3">
      <c r="J17441" s="33"/>
    </row>
    <row r="17442" spans="10:10" ht="15" customHeight="1" x14ac:dyDescent="0.3">
      <c r="J17442" s="33"/>
    </row>
    <row r="17443" spans="10:10" ht="15" customHeight="1" x14ac:dyDescent="0.3">
      <c r="J17443" s="33"/>
    </row>
    <row r="17444" spans="10:10" ht="15" customHeight="1" x14ac:dyDescent="0.3">
      <c r="J17444" s="33"/>
    </row>
    <row r="17445" spans="10:10" ht="15" customHeight="1" x14ac:dyDescent="0.3">
      <c r="J17445" s="33"/>
    </row>
    <row r="17446" spans="10:10" ht="15" customHeight="1" x14ac:dyDescent="0.3">
      <c r="J17446" s="33"/>
    </row>
    <row r="17447" spans="10:10" ht="15" customHeight="1" x14ac:dyDescent="0.3">
      <c r="J17447" s="33"/>
    </row>
    <row r="17448" spans="10:10" ht="15" customHeight="1" x14ac:dyDescent="0.3">
      <c r="J17448" s="33"/>
    </row>
    <row r="17449" spans="10:10" ht="15" customHeight="1" x14ac:dyDescent="0.3">
      <c r="J17449" s="33"/>
    </row>
    <row r="17450" spans="10:10" ht="15" customHeight="1" x14ac:dyDescent="0.3">
      <c r="J17450" s="33"/>
    </row>
    <row r="17451" spans="10:10" ht="15" customHeight="1" x14ac:dyDescent="0.3">
      <c r="J17451" s="33"/>
    </row>
    <row r="17452" spans="10:10" ht="15" customHeight="1" x14ac:dyDescent="0.3">
      <c r="J17452" s="33"/>
    </row>
    <row r="17453" spans="10:10" ht="15" customHeight="1" x14ac:dyDescent="0.3">
      <c r="J17453" s="33"/>
    </row>
    <row r="17454" spans="10:10" ht="15" customHeight="1" x14ac:dyDescent="0.3">
      <c r="J17454" s="33"/>
    </row>
    <row r="17455" spans="10:10" ht="15" customHeight="1" x14ac:dyDescent="0.3">
      <c r="J17455" s="33"/>
    </row>
    <row r="17456" spans="10:10" ht="15" customHeight="1" x14ac:dyDescent="0.3">
      <c r="J17456" s="33"/>
    </row>
    <row r="17457" spans="10:10" ht="15" customHeight="1" x14ac:dyDescent="0.3">
      <c r="J17457" s="33"/>
    </row>
    <row r="17458" spans="10:10" ht="15" customHeight="1" x14ac:dyDescent="0.3">
      <c r="J17458" s="33"/>
    </row>
    <row r="17459" spans="10:10" ht="15" customHeight="1" x14ac:dyDescent="0.3">
      <c r="J17459" s="33"/>
    </row>
    <row r="17460" spans="10:10" ht="15" customHeight="1" x14ac:dyDescent="0.3">
      <c r="J17460" s="33"/>
    </row>
    <row r="17461" spans="10:10" ht="15" customHeight="1" x14ac:dyDescent="0.3">
      <c r="J17461" s="33"/>
    </row>
    <row r="17462" spans="10:10" ht="15" customHeight="1" x14ac:dyDescent="0.3">
      <c r="J17462" s="33"/>
    </row>
    <row r="17463" spans="10:10" ht="15" customHeight="1" x14ac:dyDescent="0.3">
      <c r="J17463" s="33"/>
    </row>
    <row r="17464" spans="10:10" ht="15" customHeight="1" x14ac:dyDescent="0.3">
      <c r="J17464" s="33"/>
    </row>
    <row r="17465" spans="10:10" ht="15" customHeight="1" x14ac:dyDescent="0.3">
      <c r="J17465" s="33"/>
    </row>
    <row r="17466" spans="10:10" ht="15" customHeight="1" x14ac:dyDescent="0.3">
      <c r="J17466" s="33"/>
    </row>
    <row r="17467" spans="10:10" ht="15" customHeight="1" x14ac:dyDescent="0.3">
      <c r="J17467" s="33"/>
    </row>
    <row r="17468" spans="10:10" ht="15" customHeight="1" x14ac:dyDescent="0.3">
      <c r="J17468" s="33"/>
    </row>
    <row r="17469" spans="10:10" ht="15" customHeight="1" x14ac:dyDescent="0.3">
      <c r="J17469" s="33"/>
    </row>
    <row r="17470" spans="10:10" ht="15" customHeight="1" x14ac:dyDescent="0.3">
      <c r="J17470" s="33"/>
    </row>
    <row r="17471" spans="10:10" ht="15" customHeight="1" x14ac:dyDescent="0.3">
      <c r="J17471" s="33"/>
    </row>
    <row r="17472" spans="10:10" ht="15" customHeight="1" x14ac:dyDescent="0.3">
      <c r="J17472" s="33"/>
    </row>
    <row r="17473" spans="10:10" ht="15" customHeight="1" x14ac:dyDescent="0.3">
      <c r="J17473" s="33"/>
    </row>
    <row r="17474" spans="10:10" ht="15" customHeight="1" x14ac:dyDescent="0.3">
      <c r="J17474" s="33"/>
    </row>
    <row r="17475" spans="10:10" ht="15" customHeight="1" x14ac:dyDescent="0.3">
      <c r="J17475" s="33"/>
    </row>
    <row r="17476" spans="10:10" ht="15" customHeight="1" x14ac:dyDescent="0.3">
      <c r="J17476" s="33"/>
    </row>
    <row r="17477" spans="10:10" ht="15" customHeight="1" x14ac:dyDescent="0.3">
      <c r="J17477" s="33"/>
    </row>
    <row r="17478" spans="10:10" ht="15" customHeight="1" x14ac:dyDescent="0.3">
      <c r="J17478" s="33"/>
    </row>
    <row r="17479" spans="10:10" ht="15" customHeight="1" x14ac:dyDescent="0.3">
      <c r="J17479" s="33"/>
    </row>
    <row r="17480" spans="10:10" ht="15" customHeight="1" x14ac:dyDescent="0.3">
      <c r="J17480" s="33"/>
    </row>
    <row r="17481" spans="10:10" ht="15" customHeight="1" x14ac:dyDescent="0.3">
      <c r="J17481" s="33"/>
    </row>
    <row r="17482" spans="10:10" ht="15" customHeight="1" x14ac:dyDescent="0.3">
      <c r="J17482" s="33"/>
    </row>
    <row r="17483" spans="10:10" ht="15" customHeight="1" x14ac:dyDescent="0.3">
      <c r="J17483" s="33"/>
    </row>
    <row r="17484" spans="10:10" ht="15" customHeight="1" x14ac:dyDescent="0.3">
      <c r="J17484" s="33"/>
    </row>
    <row r="17485" spans="10:10" ht="15" customHeight="1" x14ac:dyDescent="0.3">
      <c r="J17485" s="33"/>
    </row>
    <row r="17486" spans="10:10" ht="15" customHeight="1" x14ac:dyDescent="0.3">
      <c r="J17486" s="33"/>
    </row>
    <row r="17487" spans="10:10" ht="15" customHeight="1" x14ac:dyDescent="0.3">
      <c r="J17487" s="33"/>
    </row>
    <row r="17488" spans="10:10" ht="15" customHeight="1" x14ac:dyDescent="0.3">
      <c r="J17488" s="33"/>
    </row>
    <row r="17489" spans="10:10" ht="15" customHeight="1" x14ac:dyDescent="0.3">
      <c r="J17489" s="33"/>
    </row>
    <row r="17490" spans="10:10" ht="15" customHeight="1" x14ac:dyDescent="0.3">
      <c r="J17490" s="33"/>
    </row>
    <row r="17491" spans="10:10" ht="15" customHeight="1" x14ac:dyDescent="0.3">
      <c r="J17491" s="33"/>
    </row>
    <row r="17492" spans="10:10" ht="15" customHeight="1" x14ac:dyDescent="0.3">
      <c r="J17492" s="33"/>
    </row>
    <row r="17493" spans="10:10" ht="15" customHeight="1" x14ac:dyDescent="0.3">
      <c r="J17493" s="33"/>
    </row>
    <row r="17494" spans="10:10" ht="15" customHeight="1" x14ac:dyDescent="0.3">
      <c r="J17494" s="33"/>
    </row>
    <row r="17495" spans="10:10" ht="15" customHeight="1" x14ac:dyDescent="0.3">
      <c r="J17495" s="33"/>
    </row>
    <row r="17496" spans="10:10" ht="15" customHeight="1" x14ac:dyDescent="0.3">
      <c r="J17496" s="33"/>
    </row>
    <row r="17497" spans="10:10" ht="15" customHeight="1" x14ac:dyDescent="0.3">
      <c r="J17497" s="33"/>
    </row>
    <row r="17498" spans="10:10" ht="15" customHeight="1" x14ac:dyDescent="0.3">
      <c r="J17498" s="33"/>
    </row>
    <row r="17499" spans="10:10" ht="15" customHeight="1" x14ac:dyDescent="0.3">
      <c r="J17499" s="33"/>
    </row>
    <row r="17500" spans="10:10" ht="15" customHeight="1" x14ac:dyDescent="0.3">
      <c r="J17500" s="33"/>
    </row>
    <row r="17501" spans="10:10" ht="15" customHeight="1" x14ac:dyDescent="0.3">
      <c r="J17501" s="33"/>
    </row>
    <row r="17502" spans="10:10" ht="15" customHeight="1" x14ac:dyDescent="0.3">
      <c r="J17502" s="33"/>
    </row>
    <row r="17503" spans="10:10" ht="15" customHeight="1" x14ac:dyDescent="0.3">
      <c r="J17503" s="33"/>
    </row>
    <row r="17504" spans="10:10" ht="15" customHeight="1" x14ac:dyDescent="0.3">
      <c r="J17504" s="33"/>
    </row>
    <row r="17505" spans="10:10" ht="15" customHeight="1" x14ac:dyDescent="0.3">
      <c r="J17505" s="33"/>
    </row>
    <row r="17506" spans="10:10" ht="15" customHeight="1" x14ac:dyDescent="0.3">
      <c r="J17506" s="33"/>
    </row>
    <row r="17507" spans="10:10" ht="15" customHeight="1" x14ac:dyDescent="0.3">
      <c r="J17507" s="33"/>
    </row>
    <row r="17508" spans="10:10" ht="15" customHeight="1" x14ac:dyDescent="0.3">
      <c r="J17508" s="33"/>
    </row>
    <row r="17509" spans="10:10" ht="15" customHeight="1" x14ac:dyDescent="0.3">
      <c r="J17509" s="33"/>
    </row>
    <row r="17510" spans="10:10" ht="15" customHeight="1" x14ac:dyDescent="0.3">
      <c r="J17510" s="33"/>
    </row>
    <row r="17511" spans="10:10" ht="15" customHeight="1" x14ac:dyDescent="0.3">
      <c r="J17511" s="33"/>
    </row>
    <row r="17512" spans="10:10" ht="15" customHeight="1" x14ac:dyDescent="0.3">
      <c r="J17512" s="33"/>
    </row>
    <row r="17513" spans="10:10" ht="15" customHeight="1" x14ac:dyDescent="0.3">
      <c r="J17513" s="33"/>
    </row>
    <row r="17514" spans="10:10" ht="15" customHeight="1" x14ac:dyDescent="0.3">
      <c r="J17514" s="33"/>
    </row>
    <row r="17515" spans="10:10" ht="15" customHeight="1" x14ac:dyDescent="0.3">
      <c r="J17515" s="33"/>
    </row>
    <row r="17516" spans="10:10" ht="15" customHeight="1" x14ac:dyDescent="0.3">
      <c r="J17516" s="33"/>
    </row>
    <row r="17517" spans="10:10" ht="15" customHeight="1" x14ac:dyDescent="0.3">
      <c r="J17517" s="33"/>
    </row>
    <row r="17518" spans="10:10" ht="15" customHeight="1" x14ac:dyDescent="0.3">
      <c r="J17518" s="33"/>
    </row>
    <row r="17519" spans="10:10" ht="15" customHeight="1" x14ac:dyDescent="0.3">
      <c r="J17519" s="33"/>
    </row>
    <row r="17520" spans="10:10" ht="15" customHeight="1" x14ac:dyDescent="0.3">
      <c r="J17520" s="33"/>
    </row>
    <row r="17521" spans="10:10" ht="15" customHeight="1" x14ac:dyDescent="0.3">
      <c r="J17521" s="33"/>
    </row>
    <row r="17522" spans="10:10" ht="15" customHeight="1" x14ac:dyDescent="0.3">
      <c r="J17522" s="33"/>
    </row>
    <row r="17523" spans="10:10" ht="15" customHeight="1" x14ac:dyDescent="0.3">
      <c r="J17523" s="33"/>
    </row>
    <row r="17524" spans="10:10" ht="15" customHeight="1" x14ac:dyDescent="0.3">
      <c r="J17524" s="33"/>
    </row>
    <row r="17525" spans="10:10" ht="15" customHeight="1" x14ac:dyDescent="0.3">
      <c r="J17525" s="33"/>
    </row>
    <row r="17526" spans="10:10" ht="15" customHeight="1" x14ac:dyDescent="0.3">
      <c r="J17526" s="33"/>
    </row>
    <row r="17527" spans="10:10" ht="15" customHeight="1" x14ac:dyDescent="0.3">
      <c r="J17527" s="33"/>
    </row>
    <row r="17528" spans="10:10" ht="15" customHeight="1" x14ac:dyDescent="0.3">
      <c r="J17528" s="33"/>
    </row>
    <row r="17529" spans="10:10" ht="15" customHeight="1" x14ac:dyDescent="0.3">
      <c r="J17529" s="33"/>
    </row>
    <row r="17530" spans="10:10" ht="15" customHeight="1" x14ac:dyDescent="0.3">
      <c r="J17530" s="33"/>
    </row>
    <row r="17531" spans="10:10" ht="15" customHeight="1" x14ac:dyDescent="0.3">
      <c r="J17531" s="33"/>
    </row>
    <row r="17532" spans="10:10" ht="15" customHeight="1" x14ac:dyDescent="0.3">
      <c r="J17532" s="33"/>
    </row>
    <row r="17533" spans="10:10" ht="15" customHeight="1" x14ac:dyDescent="0.3">
      <c r="J17533" s="33"/>
    </row>
    <row r="17534" spans="10:10" ht="15" customHeight="1" x14ac:dyDescent="0.3">
      <c r="J17534" s="33"/>
    </row>
    <row r="17535" spans="10:10" ht="15" customHeight="1" x14ac:dyDescent="0.3">
      <c r="J17535" s="33"/>
    </row>
    <row r="17536" spans="10:10" ht="15" customHeight="1" x14ac:dyDescent="0.3">
      <c r="J17536" s="33"/>
    </row>
    <row r="17537" spans="10:10" ht="15" customHeight="1" x14ac:dyDescent="0.3">
      <c r="J17537" s="33"/>
    </row>
    <row r="17538" spans="10:10" ht="15" customHeight="1" x14ac:dyDescent="0.3">
      <c r="J17538" s="33"/>
    </row>
    <row r="17539" spans="10:10" ht="15" customHeight="1" x14ac:dyDescent="0.3">
      <c r="J17539" s="33"/>
    </row>
    <row r="17540" spans="10:10" ht="15" customHeight="1" x14ac:dyDescent="0.3">
      <c r="J17540" s="33"/>
    </row>
    <row r="17541" spans="10:10" ht="15" customHeight="1" x14ac:dyDescent="0.3">
      <c r="J17541" s="33"/>
    </row>
    <row r="17542" spans="10:10" ht="15" customHeight="1" x14ac:dyDescent="0.3">
      <c r="J17542" s="33"/>
    </row>
    <row r="17543" spans="10:10" ht="15" customHeight="1" x14ac:dyDescent="0.3">
      <c r="J17543" s="33"/>
    </row>
    <row r="17544" spans="10:10" ht="15" customHeight="1" x14ac:dyDescent="0.3">
      <c r="J17544" s="33"/>
    </row>
    <row r="17545" spans="10:10" ht="15" customHeight="1" x14ac:dyDescent="0.3">
      <c r="J17545" s="33"/>
    </row>
    <row r="17546" spans="10:10" ht="15" customHeight="1" x14ac:dyDescent="0.3">
      <c r="J17546" s="33"/>
    </row>
    <row r="17547" spans="10:10" ht="15" customHeight="1" x14ac:dyDescent="0.3">
      <c r="J17547" s="33"/>
    </row>
    <row r="17548" spans="10:10" ht="15" customHeight="1" x14ac:dyDescent="0.3">
      <c r="J17548" s="33"/>
    </row>
    <row r="17549" spans="10:10" ht="15" customHeight="1" x14ac:dyDescent="0.3">
      <c r="J17549" s="33"/>
    </row>
    <row r="17550" spans="10:10" ht="15" customHeight="1" x14ac:dyDescent="0.3">
      <c r="J17550" s="33"/>
    </row>
    <row r="17551" spans="10:10" ht="15" customHeight="1" x14ac:dyDescent="0.3">
      <c r="J17551" s="33"/>
    </row>
    <row r="17552" spans="10:10" ht="15" customHeight="1" x14ac:dyDescent="0.3">
      <c r="J17552" s="33"/>
    </row>
    <row r="17553" spans="10:10" ht="15" customHeight="1" x14ac:dyDescent="0.3">
      <c r="J17553" s="33"/>
    </row>
    <row r="17554" spans="10:10" ht="15" customHeight="1" x14ac:dyDescent="0.3">
      <c r="J17554" s="33"/>
    </row>
    <row r="17555" spans="10:10" ht="15" customHeight="1" x14ac:dyDescent="0.3">
      <c r="J17555" s="33"/>
    </row>
    <row r="17556" spans="10:10" ht="15" customHeight="1" x14ac:dyDescent="0.3">
      <c r="J17556" s="33"/>
    </row>
    <row r="17557" spans="10:10" ht="15" customHeight="1" x14ac:dyDescent="0.3">
      <c r="J17557" s="33"/>
    </row>
    <row r="17558" spans="10:10" ht="15" customHeight="1" x14ac:dyDescent="0.3">
      <c r="J17558" s="33"/>
    </row>
    <row r="17559" spans="10:10" ht="15" customHeight="1" x14ac:dyDescent="0.3">
      <c r="J17559" s="33"/>
    </row>
    <row r="17560" spans="10:10" ht="15" customHeight="1" x14ac:dyDescent="0.3">
      <c r="J17560" s="33"/>
    </row>
    <row r="17561" spans="10:10" ht="15" customHeight="1" x14ac:dyDescent="0.3">
      <c r="J17561" s="33"/>
    </row>
    <row r="17562" spans="10:10" ht="15" customHeight="1" x14ac:dyDescent="0.3">
      <c r="J17562" s="33"/>
    </row>
    <row r="17563" spans="10:10" ht="15" customHeight="1" x14ac:dyDescent="0.3">
      <c r="J17563" s="33"/>
    </row>
    <row r="17564" spans="10:10" ht="15" customHeight="1" x14ac:dyDescent="0.3">
      <c r="J17564" s="33"/>
    </row>
    <row r="17565" spans="10:10" ht="15" customHeight="1" x14ac:dyDescent="0.3">
      <c r="J17565" s="33"/>
    </row>
    <row r="17566" spans="10:10" ht="15" customHeight="1" x14ac:dyDescent="0.3">
      <c r="J17566" s="33"/>
    </row>
    <row r="17567" spans="10:10" ht="15" customHeight="1" x14ac:dyDescent="0.3">
      <c r="J17567" s="33"/>
    </row>
    <row r="17568" spans="10:10" ht="15" customHeight="1" x14ac:dyDescent="0.3">
      <c r="J17568" s="33"/>
    </row>
    <row r="17569" spans="10:10" ht="15" customHeight="1" x14ac:dyDescent="0.3">
      <c r="J17569" s="33"/>
    </row>
    <row r="17570" spans="10:10" ht="15" customHeight="1" x14ac:dyDescent="0.3">
      <c r="J17570" s="33"/>
    </row>
    <row r="17571" spans="10:10" ht="15" customHeight="1" x14ac:dyDescent="0.3">
      <c r="J17571" s="33"/>
    </row>
    <row r="17572" spans="10:10" ht="15" customHeight="1" x14ac:dyDescent="0.3">
      <c r="J17572" s="33"/>
    </row>
    <row r="17573" spans="10:10" ht="15" customHeight="1" x14ac:dyDescent="0.3">
      <c r="J17573" s="33"/>
    </row>
    <row r="17574" spans="10:10" ht="15" customHeight="1" x14ac:dyDescent="0.3">
      <c r="J17574" s="33"/>
    </row>
    <row r="17575" spans="10:10" ht="15" customHeight="1" x14ac:dyDescent="0.3">
      <c r="J17575" s="33"/>
    </row>
    <row r="17576" spans="10:10" ht="15" customHeight="1" x14ac:dyDescent="0.3">
      <c r="J17576" s="33"/>
    </row>
    <row r="17577" spans="10:10" ht="15" customHeight="1" x14ac:dyDescent="0.3">
      <c r="J17577" s="33"/>
    </row>
    <row r="17578" spans="10:10" ht="15" customHeight="1" x14ac:dyDescent="0.3">
      <c r="J17578" s="33"/>
    </row>
    <row r="17579" spans="10:10" ht="15" customHeight="1" x14ac:dyDescent="0.3">
      <c r="J17579" s="33"/>
    </row>
    <row r="17580" spans="10:10" ht="15" customHeight="1" x14ac:dyDescent="0.3">
      <c r="J17580" s="33"/>
    </row>
    <row r="17581" spans="10:10" ht="15" customHeight="1" x14ac:dyDescent="0.3">
      <c r="J17581" s="33"/>
    </row>
    <row r="17582" spans="10:10" ht="15" customHeight="1" x14ac:dyDescent="0.3">
      <c r="J17582" s="33"/>
    </row>
    <row r="17583" spans="10:10" ht="15" customHeight="1" x14ac:dyDescent="0.3">
      <c r="J17583" s="33"/>
    </row>
    <row r="17584" spans="10:10" ht="15" customHeight="1" x14ac:dyDescent="0.3">
      <c r="J17584" s="33"/>
    </row>
    <row r="17585" spans="10:10" ht="15" customHeight="1" x14ac:dyDescent="0.3">
      <c r="J17585" s="33"/>
    </row>
    <row r="17586" spans="10:10" ht="15" customHeight="1" x14ac:dyDescent="0.3">
      <c r="J17586" s="33"/>
    </row>
    <row r="17587" spans="10:10" ht="15" customHeight="1" x14ac:dyDescent="0.3">
      <c r="J17587" s="33"/>
    </row>
    <row r="17588" spans="10:10" ht="15" customHeight="1" x14ac:dyDescent="0.3">
      <c r="J17588" s="33"/>
    </row>
    <row r="17589" spans="10:10" ht="15" customHeight="1" x14ac:dyDescent="0.3">
      <c r="J17589" s="33"/>
    </row>
    <row r="17590" spans="10:10" ht="15" customHeight="1" x14ac:dyDescent="0.3">
      <c r="J17590" s="33"/>
    </row>
    <row r="17591" spans="10:10" ht="15" customHeight="1" x14ac:dyDescent="0.3">
      <c r="J17591" s="33"/>
    </row>
    <row r="17592" spans="10:10" ht="15" customHeight="1" x14ac:dyDescent="0.3">
      <c r="J17592" s="33"/>
    </row>
    <row r="17593" spans="10:10" ht="15" customHeight="1" x14ac:dyDescent="0.3">
      <c r="J17593" s="33"/>
    </row>
    <row r="17594" spans="10:10" ht="15" customHeight="1" x14ac:dyDescent="0.3">
      <c r="J17594" s="33"/>
    </row>
    <row r="17595" spans="10:10" ht="15" customHeight="1" x14ac:dyDescent="0.3">
      <c r="J17595" s="33"/>
    </row>
    <row r="17596" spans="10:10" ht="15" customHeight="1" x14ac:dyDescent="0.3">
      <c r="J17596" s="33"/>
    </row>
    <row r="17597" spans="10:10" ht="15" customHeight="1" x14ac:dyDescent="0.3">
      <c r="J17597" s="33"/>
    </row>
    <row r="17598" spans="10:10" ht="15" customHeight="1" x14ac:dyDescent="0.3">
      <c r="J17598" s="33"/>
    </row>
    <row r="17599" spans="10:10" ht="15" customHeight="1" x14ac:dyDescent="0.3">
      <c r="J17599" s="33"/>
    </row>
    <row r="17600" spans="10:10" ht="15" customHeight="1" x14ac:dyDescent="0.3">
      <c r="J17600" s="33"/>
    </row>
    <row r="17601" spans="10:10" ht="15" customHeight="1" x14ac:dyDescent="0.3">
      <c r="J17601" s="33"/>
    </row>
    <row r="17602" spans="10:10" ht="15" customHeight="1" x14ac:dyDescent="0.3">
      <c r="J17602" s="33"/>
    </row>
    <row r="17603" spans="10:10" ht="15" customHeight="1" x14ac:dyDescent="0.3">
      <c r="J17603" s="33"/>
    </row>
    <row r="17604" spans="10:10" ht="15" customHeight="1" x14ac:dyDescent="0.3">
      <c r="J17604" s="33"/>
    </row>
    <row r="17605" spans="10:10" ht="15" customHeight="1" x14ac:dyDescent="0.3">
      <c r="J17605" s="33"/>
    </row>
    <row r="17606" spans="10:10" ht="15" customHeight="1" x14ac:dyDescent="0.3">
      <c r="J17606" s="33"/>
    </row>
    <row r="17607" spans="10:10" ht="15" customHeight="1" x14ac:dyDescent="0.3">
      <c r="J17607" s="33"/>
    </row>
    <row r="17608" spans="10:10" ht="15" customHeight="1" x14ac:dyDescent="0.3">
      <c r="J17608" s="33"/>
    </row>
    <row r="17609" spans="10:10" ht="15" customHeight="1" x14ac:dyDescent="0.3">
      <c r="J17609" s="33"/>
    </row>
    <row r="17610" spans="10:10" ht="15" customHeight="1" x14ac:dyDescent="0.3">
      <c r="J17610" s="33"/>
    </row>
    <row r="17611" spans="10:10" ht="15" customHeight="1" x14ac:dyDescent="0.3">
      <c r="J17611" s="33"/>
    </row>
    <row r="17612" spans="10:10" ht="15" customHeight="1" x14ac:dyDescent="0.3">
      <c r="J17612" s="33"/>
    </row>
    <row r="17613" spans="10:10" ht="15" customHeight="1" x14ac:dyDescent="0.3">
      <c r="J17613" s="33"/>
    </row>
    <row r="17614" spans="10:10" ht="15" customHeight="1" x14ac:dyDescent="0.3">
      <c r="J17614" s="33"/>
    </row>
    <row r="17615" spans="10:10" ht="15" customHeight="1" x14ac:dyDescent="0.3">
      <c r="J17615" s="33"/>
    </row>
    <row r="17616" spans="10:10" ht="15" customHeight="1" x14ac:dyDescent="0.3">
      <c r="J17616" s="33"/>
    </row>
    <row r="17617" spans="10:10" ht="15" customHeight="1" x14ac:dyDescent="0.3">
      <c r="J17617" s="33"/>
    </row>
    <row r="17618" spans="10:10" ht="15" customHeight="1" x14ac:dyDescent="0.3">
      <c r="J17618" s="33"/>
    </row>
    <row r="17619" spans="10:10" ht="15" customHeight="1" x14ac:dyDescent="0.3">
      <c r="J17619" s="33"/>
    </row>
    <row r="17620" spans="10:10" ht="15" customHeight="1" x14ac:dyDescent="0.3">
      <c r="J17620" s="33"/>
    </row>
    <row r="17621" spans="10:10" ht="15" customHeight="1" x14ac:dyDescent="0.3">
      <c r="J17621" s="33"/>
    </row>
    <row r="17622" spans="10:10" ht="15" customHeight="1" x14ac:dyDescent="0.3">
      <c r="J17622" s="33"/>
    </row>
    <row r="17623" spans="10:10" ht="15" customHeight="1" x14ac:dyDescent="0.3">
      <c r="J17623" s="33"/>
    </row>
    <row r="17624" spans="10:10" ht="15" customHeight="1" x14ac:dyDescent="0.3">
      <c r="J17624" s="33"/>
    </row>
    <row r="17625" spans="10:10" ht="15" customHeight="1" x14ac:dyDescent="0.3">
      <c r="J17625" s="33"/>
    </row>
    <row r="17626" spans="10:10" ht="15" customHeight="1" x14ac:dyDescent="0.3">
      <c r="J17626" s="33"/>
    </row>
    <row r="17627" spans="10:10" ht="15" customHeight="1" x14ac:dyDescent="0.3">
      <c r="J17627" s="33"/>
    </row>
    <row r="17628" spans="10:10" ht="15" customHeight="1" x14ac:dyDescent="0.3">
      <c r="J17628" s="33"/>
    </row>
    <row r="17629" spans="10:10" ht="15" customHeight="1" x14ac:dyDescent="0.3">
      <c r="J17629" s="33"/>
    </row>
    <row r="17630" spans="10:10" ht="15" customHeight="1" x14ac:dyDescent="0.3">
      <c r="J17630" s="33"/>
    </row>
    <row r="17631" spans="10:10" ht="15" customHeight="1" x14ac:dyDescent="0.3">
      <c r="J17631" s="33"/>
    </row>
    <row r="17632" spans="10:10" ht="15" customHeight="1" x14ac:dyDescent="0.3">
      <c r="J17632" s="33"/>
    </row>
    <row r="17633" spans="10:10" ht="15" customHeight="1" x14ac:dyDescent="0.3">
      <c r="J17633" s="33"/>
    </row>
    <row r="17634" spans="10:10" ht="15" customHeight="1" x14ac:dyDescent="0.3">
      <c r="J17634" s="33"/>
    </row>
    <row r="17635" spans="10:10" ht="15" customHeight="1" x14ac:dyDescent="0.3">
      <c r="J17635" s="33"/>
    </row>
    <row r="17636" spans="10:10" ht="15" customHeight="1" x14ac:dyDescent="0.3">
      <c r="J17636" s="33"/>
    </row>
    <row r="17637" spans="10:10" ht="15" customHeight="1" x14ac:dyDescent="0.3">
      <c r="J17637" s="33"/>
    </row>
    <row r="17638" spans="10:10" ht="15" customHeight="1" x14ac:dyDescent="0.3">
      <c r="J17638" s="33"/>
    </row>
    <row r="17639" spans="10:10" ht="15" customHeight="1" x14ac:dyDescent="0.3">
      <c r="J17639" s="33"/>
    </row>
    <row r="17640" spans="10:10" ht="15" customHeight="1" x14ac:dyDescent="0.3">
      <c r="J17640" s="33"/>
    </row>
    <row r="17641" spans="10:10" ht="15" customHeight="1" x14ac:dyDescent="0.3">
      <c r="J17641" s="33"/>
    </row>
    <row r="17642" spans="10:10" ht="15" customHeight="1" x14ac:dyDescent="0.3">
      <c r="J17642" s="33"/>
    </row>
    <row r="17643" spans="10:10" ht="15" customHeight="1" x14ac:dyDescent="0.3">
      <c r="J17643" s="33"/>
    </row>
    <row r="17644" spans="10:10" ht="15" customHeight="1" x14ac:dyDescent="0.3">
      <c r="J17644" s="33"/>
    </row>
    <row r="17645" spans="10:10" ht="15" customHeight="1" x14ac:dyDescent="0.3">
      <c r="J17645" s="33"/>
    </row>
    <row r="17646" spans="10:10" ht="15" customHeight="1" x14ac:dyDescent="0.3">
      <c r="J17646" s="33"/>
    </row>
    <row r="17647" spans="10:10" ht="15" customHeight="1" x14ac:dyDescent="0.3">
      <c r="J17647" s="33"/>
    </row>
    <row r="17648" spans="10:10" ht="15" customHeight="1" x14ac:dyDescent="0.3">
      <c r="J17648" s="33"/>
    </row>
    <row r="17649" spans="10:10" ht="15" customHeight="1" x14ac:dyDescent="0.3">
      <c r="J17649" s="33"/>
    </row>
    <row r="17650" spans="10:10" ht="15" customHeight="1" x14ac:dyDescent="0.3">
      <c r="J17650" s="33"/>
    </row>
    <row r="17651" spans="10:10" ht="15" customHeight="1" x14ac:dyDescent="0.3">
      <c r="J17651" s="33"/>
    </row>
    <row r="17652" spans="10:10" ht="15" customHeight="1" x14ac:dyDescent="0.3">
      <c r="J17652" s="33"/>
    </row>
    <row r="17653" spans="10:10" ht="15" customHeight="1" x14ac:dyDescent="0.3">
      <c r="J17653" s="33"/>
    </row>
    <row r="17654" spans="10:10" ht="15" customHeight="1" x14ac:dyDescent="0.3">
      <c r="J17654" s="33"/>
    </row>
    <row r="17655" spans="10:10" ht="15" customHeight="1" x14ac:dyDescent="0.3">
      <c r="J17655" s="33"/>
    </row>
    <row r="17656" spans="10:10" ht="15" customHeight="1" x14ac:dyDescent="0.3">
      <c r="J17656" s="33"/>
    </row>
    <row r="17657" spans="10:10" ht="15" customHeight="1" x14ac:dyDescent="0.3">
      <c r="J17657" s="33"/>
    </row>
    <row r="17658" spans="10:10" ht="15" customHeight="1" x14ac:dyDescent="0.3">
      <c r="J17658" s="33"/>
    </row>
    <row r="17659" spans="10:10" ht="15" customHeight="1" x14ac:dyDescent="0.3">
      <c r="J17659" s="33"/>
    </row>
    <row r="17660" spans="10:10" ht="15" customHeight="1" x14ac:dyDescent="0.3">
      <c r="J17660" s="33"/>
    </row>
    <row r="17661" spans="10:10" ht="15" customHeight="1" x14ac:dyDescent="0.3">
      <c r="J17661" s="33"/>
    </row>
    <row r="17662" spans="10:10" ht="15" customHeight="1" x14ac:dyDescent="0.3">
      <c r="J17662" s="33"/>
    </row>
    <row r="17663" spans="10:10" ht="15" customHeight="1" x14ac:dyDescent="0.3">
      <c r="J17663" s="33"/>
    </row>
    <row r="17664" spans="10:10" ht="15" customHeight="1" x14ac:dyDescent="0.3">
      <c r="J17664" s="33"/>
    </row>
    <row r="17665" spans="10:10" ht="15" customHeight="1" x14ac:dyDescent="0.3">
      <c r="J17665" s="33"/>
    </row>
    <row r="17666" spans="10:10" ht="15" customHeight="1" x14ac:dyDescent="0.3">
      <c r="J17666" s="33"/>
    </row>
    <row r="17667" spans="10:10" ht="15" customHeight="1" x14ac:dyDescent="0.3">
      <c r="J17667" s="33"/>
    </row>
    <row r="17668" spans="10:10" ht="15" customHeight="1" x14ac:dyDescent="0.3">
      <c r="J17668" s="33"/>
    </row>
    <row r="17669" spans="10:10" ht="15" customHeight="1" x14ac:dyDescent="0.3">
      <c r="J17669" s="33"/>
    </row>
    <row r="17670" spans="10:10" ht="15" customHeight="1" x14ac:dyDescent="0.3">
      <c r="J17670" s="33"/>
    </row>
    <row r="17671" spans="10:10" ht="15" customHeight="1" x14ac:dyDescent="0.3">
      <c r="J17671" s="33"/>
    </row>
    <row r="17672" spans="10:10" ht="15" customHeight="1" x14ac:dyDescent="0.3">
      <c r="J17672" s="33"/>
    </row>
    <row r="17673" spans="10:10" ht="15" customHeight="1" x14ac:dyDescent="0.3">
      <c r="J17673" s="33"/>
    </row>
    <row r="17674" spans="10:10" ht="15" customHeight="1" x14ac:dyDescent="0.3">
      <c r="J17674" s="33"/>
    </row>
    <row r="17675" spans="10:10" ht="15" customHeight="1" x14ac:dyDescent="0.3">
      <c r="J17675" s="33"/>
    </row>
    <row r="17676" spans="10:10" ht="15" customHeight="1" x14ac:dyDescent="0.3">
      <c r="J17676" s="33"/>
    </row>
    <row r="17677" spans="10:10" ht="15" customHeight="1" x14ac:dyDescent="0.3">
      <c r="J17677" s="33"/>
    </row>
    <row r="17678" spans="10:10" ht="15" customHeight="1" x14ac:dyDescent="0.3">
      <c r="J17678" s="33"/>
    </row>
    <row r="17679" spans="10:10" ht="15" customHeight="1" x14ac:dyDescent="0.3">
      <c r="J17679" s="33"/>
    </row>
    <row r="17680" spans="10:10" ht="15" customHeight="1" x14ac:dyDescent="0.3">
      <c r="J17680" s="33"/>
    </row>
    <row r="17681" spans="10:10" ht="15" customHeight="1" x14ac:dyDescent="0.3">
      <c r="J17681" s="33"/>
    </row>
    <row r="17682" spans="10:10" ht="15" customHeight="1" x14ac:dyDescent="0.3">
      <c r="J17682" s="33"/>
    </row>
    <row r="17683" spans="10:10" ht="15" customHeight="1" x14ac:dyDescent="0.3">
      <c r="J17683" s="33"/>
    </row>
    <row r="17684" spans="10:10" ht="15" customHeight="1" x14ac:dyDescent="0.3">
      <c r="J17684" s="33"/>
    </row>
    <row r="17685" spans="10:10" ht="15" customHeight="1" x14ac:dyDescent="0.3">
      <c r="J17685" s="33"/>
    </row>
    <row r="17686" spans="10:10" ht="15" customHeight="1" x14ac:dyDescent="0.3">
      <c r="J17686" s="33"/>
    </row>
    <row r="17687" spans="10:10" ht="15" customHeight="1" x14ac:dyDescent="0.3">
      <c r="J17687" s="33"/>
    </row>
    <row r="17688" spans="10:10" ht="15" customHeight="1" x14ac:dyDescent="0.3">
      <c r="J17688" s="33"/>
    </row>
    <row r="17689" spans="10:10" ht="15" customHeight="1" x14ac:dyDescent="0.3">
      <c r="J17689" s="33"/>
    </row>
    <row r="17690" spans="10:10" ht="15" customHeight="1" x14ac:dyDescent="0.3">
      <c r="J17690" s="33"/>
    </row>
    <row r="17691" spans="10:10" ht="15" customHeight="1" x14ac:dyDescent="0.3">
      <c r="J17691" s="33"/>
    </row>
    <row r="17692" spans="10:10" ht="15" customHeight="1" x14ac:dyDescent="0.3">
      <c r="J17692" s="33"/>
    </row>
    <row r="17693" spans="10:10" ht="15" customHeight="1" x14ac:dyDescent="0.3">
      <c r="J17693" s="33"/>
    </row>
    <row r="17694" spans="10:10" ht="15" customHeight="1" x14ac:dyDescent="0.3">
      <c r="J17694" s="33"/>
    </row>
    <row r="17695" spans="10:10" ht="15" customHeight="1" x14ac:dyDescent="0.3">
      <c r="J17695" s="33"/>
    </row>
    <row r="17696" spans="10:10" ht="15" customHeight="1" x14ac:dyDescent="0.3">
      <c r="J17696" s="33"/>
    </row>
    <row r="17697" spans="10:10" ht="15" customHeight="1" x14ac:dyDescent="0.3">
      <c r="J17697" s="33"/>
    </row>
    <row r="17698" spans="10:10" ht="15" customHeight="1" x14ac:dyDescent="0.3">
      <c r="J17698" s="33"/>
    </row>
    <row r="17699" spans="10:10" ht="15" customHeight="1" x14ac:dyDescent="0.3">
      <c r="J17699" s="33"/>
    </row>
    <row r="17700" spans="10:10" ht="15" customHeight="1" x14ac:dyDescent="0.3">
      <c r="J17700" s="33"/>
    </row>
    <row r="17701" spans="10:10" ht="15" customHeight="1" x14ac:dyDescent="0.3">
      <c r="J17701" s="33"/>
    </row>
    <row r="17702" spans="10:10" ht="15" customHeight="1" x14ac:dyDescent="0.3">
      <c r="J17702" s="33"/>
    </row>
    <row r="17703" spans="10:10" ht="15" customHeight="1" x14ac:dyDescent="0.3">
      <c r="J17703" s="33"/>
    </row>
    <row r="17704" spans="10:10" ht="15" customHeight="1" x14ac:dyDescent="0.3">
      <c r="J17704" s="33"/>
    </row>
    <row r="17705" spans="10:10" ht="15" customHeight="1" x14ac:dyDescent="0.3">
      <c r="J17705" s="33"/>
    </row>
    <row r="17706" spans="10:10" ht="15" customHeight="1" x14ac:dyDescent="0.3">
      <c r="J17706" s="33"/>
    </row>
    <row r="17707" spans="10:10" ht="15" customHeight="1" x14ac:dyDescent="0.3">
      <c r="J17707" s="33"/>
    </row>
    <row r="17708" spans="10:10" ht="15" customHeight="1" x14ac:dyDescent="0.3">
      <c r="J17708" s="33"/>
    </row>
    <row r="17709" spans="10:10" ht="15" customHeight="1" x14ac:dyDescent="0.3">
      <c r="J17709" s="33"/>
    </row>
    <row r="17710" spans="10:10" ht="15" customHeight="1" x14ac:dyDescent="0.3">
      <c r="J17710" s="33"/>
    </row>
    <row r="17711" spans="10:10" ht="15" customHeight="1" x14ac:dyDescent="0.3">
      <c r="J17711" s="33"/>
    </row>
    <row r="17712" spans="10:10" ht="15" customHeight="1" x14ac:dyDescent="0.3">
      <c r="J17712" s="33"/>
    </row>
    <row r="17713" spans="10:10" ht="15" customHeight="1" x14ac:dyDescent="0.3">
      <c r="J17713" s="33"/>
    </row>
    <row r="17714" spans="10:10" ht="15" customHeight="1" x14ac:dyDescent="0.3">
      <c r="J17714" s="33"/>
    </row>
    <row r="17715" spans="10:10" ht="15" customHeight="1" x14ac:dyDescent="0.3">
      <c r="J17715" s="33"/>
    </row>
    <row r="17716" spans="10:10" ht="15" customHeight="1" x14ac:dyDescent="0.3">
      <c r="J17716" s="33"/>
    </row>
    <row r="17717" spans="10:10" ht="15" customHeight="1" x14ac:dyDescent="0.3">
      <c r="J17717" s="33"/>
    </row>
    <row r="17718" spans="10:10" ht="15" customHeight="1" x14ac:dyDescent="0.3">
      <c r="J17718" s="33"/>
    </row>
    <row r="17719" spans="10:10" ht="15" customHeight="1" x14ac:dyDescent="0.3">
      <c r="J17719" s="33"/>
    </row>
    <row r="17720" spans="10:10" ht="15" customHeight="1" x14ac:dyDescent="0.3">
      <c r="J17720" s="33"/>
    </row>
    <row r="17721" spans="10:10" ht="15" customHeight="1" x14ac:dyDescent="0.3">
      <c r="J17721" s="33"/>
    </row>
    <row r="17722" spans="10:10" ht="15" customHeight="1" x14ac:dyDescent="0.3">
      <c r="J17722" s="33"/>
    </row>
    <row r="17723" spans="10:10" ht="15" customHeight="1" x14ac:dyDescent="0.3">
      <c r="J17723" s="33"/>
    </row>
    <row r="17724" spans="10:10" ht="15" customHeight="1" x14ac:dyDescent="0.3">
      <c r="J17724" s="33"/>
    </row>
    <row r="17725" spans="10:10" ht="15" customHeight="1" x14ac:dyDescent="0.3">
      <c r="J17725" s="33"/>
    </row>
    <row r="17726" spans="10:10" ht="15" customHeight="1" x14ac:dyDescent="0.3">
      <c r="J17726" s="33"/>
    </row>
    <row r="17727" spans="10:10" ht="15" customHeight="1" x14ac:dyDescent="0.3">
      <c r="J17727" s="33"/>
    </row>
    <row r="17728" spans="10:10" ht="15" customHeight="1" x14ac:dyDescent="0.3">
      <c r="J17728" s="33"/>
    </row>
    <row r="17729" spans="10:10" ht="15" customHeight="1" x14ac:dyDescent="0.3">
      <c r="J17729" s="33"/>
    </row>
    <row r="17730" spans="10:10" ht="15" customHeight="1" x14ac:dyDescent="0.3">
      <c r="J17730" s="33"/>
    </row>
    <row r="17731" spans="10:10" ht="15" customHeight="1" x14ac:dyDescent="0.3">
      <c r="J17731" s="33"/>
    </row>
    <row r="17732" spans="10:10" ht="15" customHeight="1" x14ac:dyDescent="0.3">
      <c r="J17732" s="33"/>
    </row>
    <row r="17733" spans="10:10" ht="15" customHeight="1" x14ac:dyDescent="0.3">
      <c r="J17733" s="33"/>
    </row>
    <row r="17734" spans="10:10" ht="15" customHeight="1" x14ac:dyDescent="0.3">
      <c r="J17734" s="33"/>
    </row>
    <row r="17735" spans="10:10" ht="15" customHeight="1" x14ac:dyDescent="0.3">
      <c r="J17735" s="33"/>
    </row>
    <row r="17736" spans="10:10" ht="15" customHeight="1" x14ac:dyDescent="0.3">
      <c r="J17736" s="33"/>
    </row>
    <row r="17737" spans="10:10" ht="15" customHeight="1" x14ac:dyDescent="0.3">
      <c r="J17737" s="33"/>
    </row>
    <row r="17738" spans="10:10" ht="15" customHeight="1" x14ac:dyDescent="0.3">
      <c r="J17738" s="33"/>
    </row>
    <row r="17739" spans="10:10" ht="15" customHeight="1" x14ac:dyDescent="0.3">
      <c r="J17739" s="33"/>
    </row>
    <row r="17740" spans="10:10" ht="15" customHeight="1" x14ac:dyDescent="0.3">
      <c r="J17740" s="33"/>
    </row>
    <row r="17741" spans="10:10" ht="15" customHeight="1" x14ac:dyDescent="0.3">
      <c r="J17741" s="33"/>
    </row>
    <row r="17742" spans="10:10" ht="15" customHeight="1" x14ac:dyDescent="0.3">
      <c r="J17742" s="33"/>
    </row>
    <row r="17743" spans="10:10" ht="15" customHeight="1" x14ac:dyDescent="0.3">
      <c r="J17743" s="33"/>
    </row>
    <row r="17744" spans="10:10" ht="15" customHeight="1" x14ac:dyDescent="0.3">
      <c r="J17744" s="33"/>
    </row>
    <row r="17745" spans="10:10" ht="15" customHeight="1" x14ac:dyDescent="0.3">
      <c r="J17745" s="33"/>
    </row>
    <row r="17746" spans="10:10" ht="15" customHeight="1" x14ac:dyDescent="0.3">
      <c r="J17746" s="33"/>
    </row>
    <row r="17747" spans="10:10" ht="15" customHeight="1" x14ac:dyDescent="0.3">
      <c r="J17747" s="33"/>
    </row>
    <row r="17748" spans="10:10" ht="15" customHeight="1" x14ac:dyDescent="0.3">
      <c r="J17748" s="33"/>
    </row>
    <row r="17749" spans="10:10" ht="15" customHeight="1" x14ac:dyDescent="0.3">
      <c r="J17749" s="33"/>
    </row>
    <row r="17750" spans="10:10" ht="15" customHeight="1" x14ac:dyDescent="0.3">
      <c r="J17750" s="33"/>
    </row>
    <row r="17751" spans="10:10" ht="15" customHeight="1" x14ac:dyDescent="0.3">
      <c r="J17751" s="33"/>
    </row>
    <row r="17752" spans="10:10" ht="15" customHeight="1" x14ac:dyDescent="0.3">
      <c r="J17752" s="33"/>
    </row>
    <row r="17753" spans="10:10" ht="15" customHeight="1" x14ac:dyDescent="0.3">
      <c r="J17753" s="33"/>
    </row>
    <row r="17754" spans="10:10" ht="15" customHeight="1" x14ac:dyDescent="0.3">
      <c r="J17754" s="33"/>
    </row>
    <row r="17755" spans="10:10" ht="15" customHeight="1" x14ac:dyDescent="0.3">
      <c r="J17755" s="33"/>
    </row>
    <row r="17756" spans="10:10" ht="15" customHeight="1" x14ac:dyDescent="0.3">
      <c r="J17756" s="33"/>
    </row>
    <row r="17757" spans="10:10" ht="15" customHeight="1" x14ac:dyDescent="0.3">
      <c r="J17757" s="33"/>
    </row>
    <row r="17758" spans="10:10" ht="15" customHeight="1" x14ac:dyDescent="0.3">
      <c r="J17758" s="33"/>
    </row>
    <row r="17759" spans="10:10" ht="15" customHeight="1" x14ac:dyDescent="0.3">
      <c r="J17759" s="33"/>
    </row>
    <row r="17760" spans="10:10" ht="15" customHeight="1" x14ac:dyDescent="0.3">
      <c r="J17760" s="33"/>
    </row>
    <row r="17761" spans="10:10" ht="15" customHeight="1" x14ac:dyDescent="0.3">
      <c r="J17761" s="33"/>
    </row>
    <row r="17762" spans="10:10" ht="15" customHeight="1" x14ac:dyDescent="0.3">
      <c r="J17762" s="33"/>
    </row>
    <row r="17763" spans="10:10" ht="15" customHeight="1" x14ac:dyDescent="0.3">
      <c r="J17763" s="33"/>
    </row>
    <row r="17764" spans="10:10" ht="15" customHeight="1" x14ac:dyDescent="0.3">
      <c r="J17764" s="33"/>
    </row>
    <row r="17765" spans="10:10" ht="15" customHeight="1" x14ac:dyDescent="0.3">
      <c r="J17765" s="33"/>
    </row>
    <row r="17766" spans="10:10" ht="15" customHeight="1" x14ac:dyDescent="0.3">
      <c r="J17766" s="33"/>
    </row>
    <row r="17767" spans="10:10" ht="15" customHeight="1" x14ac:dyDescent="0.3">
      <c r="J17767" s="33"/>
    </row>
    <row r="17768" spans="10:10" ht="15" customHeight="1" x14ac:dyDescent="0.3">
      <c r="J17768" s="33"/>
    </row>
    <row r="17769" spans="10:10" ht="15" customHeight="1" x14ac:dyDescent="0.3">
      <c r="J17769" s="33"/>
    </row>
    <row r="17770" spans="10:10" ht="15" customHeight="1" x14ac:dyDescent="0.3">
      <c r="J17770" s="33"/>
    </row>
    <row r="17771" spans="10:10" ht="15" customHeight="1" x14ac:dyDescent="0.3">
      <c r="J17771" s="33"/>
    </row>
    <row r="17772" spans="10:10" ht="15" customHeight="1" x14ac:dyDescent="0.3">
      <c r="J17772" s="33"/>
    </row>
    <row r="17773" spans="10:10" ht="15" customHeight="1" x14ac:dyDescent="0.3">
      <c r="J17773" s="33"/>
    </row>
    <row r="17774" spans="10:10" ht="15" customHeight="1" x14ac:dyDescent="0.3">
      <c r="J17774" s="33"/>
    </row>
    <row r="17775" spans="10:10" ht="15" customHeight="1" x14ac:dyDescent="0.3">
      <c r="J17775" s="33"/>
    </row>
    <row r="17776" spans="10:10" ht="15" customHeight="1" x14ac:dyDescent="0.3">
      <c r="J17776" s="33"/>
    </row>
    <row r="17777" spans="10:10" ht="15" customHeight="1" x14ac:dyDescent="0.3">
      <c r="J17777" s="33"/>
    </row>
    <row r="17778" spans="10:10" ht="15" customHeight="1" x14ac:dyDescent="0.3">
      <c r="J17778" s="33"/>
    </row>
    <row r="17779" spans="10:10" ht="15" customHeight="1" x14ac:dyDescent="0.3">
      <c r="J17779" s="33"/>
    </row>
    <row r="17780" spans="10:10" ht="15" customHeight="1" x14ac:dyDescent="0.3">
      <c r="J17780" s="33"/>
    </row>
    <row r="17781" spans="10:10" ht="15" customHeight="1" x14ac:dyDescent="0.3">
      <c r="J17781" s="33"/>
    </row>
    <row r="17782" spans="10:10" ht="15" customHeight="1" x14ac:dyDescent="0.3">
      <c r="J17782" s="33"/>
    </row>
    <row r="17783" spans="10:10" ht="15" customHeight="1" x14ac:dyDescent="0.3">
      <c r="J17783" s="33"/>
    </row>
    <row r="17784" spans="10:10" ht="15" customHeight="1" x14ac:dyDescent="0.3">
      <c r="J17784" s="33"/>
    </row>
    <row r="17785" spans="10:10" ht="15" customHeight="1" x14ac:dyDescent="0.3">
      <c r="J17785" s="33"/>
    </row>
    <row r="17786" spans="10:10" ht="15" customHeight="1" x14ac:dyDescent="0.3">
      <c r="J17786" s="33"/>
    </row>
    <row r="17787" spans="10:10" ht="15" customHeight="1" x14ac:dyDescent="0.3">
      <c r="J17787" s="33"/>
    </row>
    <row r="17788" spans="10:10" ht="15" customHeight="1" x14ac:dyDescent="0.3">
      <c r="J17788" s="33"/>
    </row>
    <row r="17789" spans="10:10" ht="15" customHeight="1" x14ac:dyDescent="0.3">
      <c r="J17789" s="33"/>
    </row>
    <row r="17790" spans="10:10" ht="15" customHeight="1" x14ac:dyDescent="0.3">
      <c r="J17790" s="33"/>
    </row>
    <row r="17791" spans="10:10" ht="15" customHeight="1" x14ac:dyDescent="0.3">
      <c r="J17791" s="33"/>
    </row>
    <row r="17792" spans="10:10" ht="15" customHeight="1" x14ac:dyDescent="0.3">
      <c r="J17792" s="33"/>
    </row>
    <row r="17793" spans="10:10" ht="15" customHeight="1" x14ac:dyDescent="0.3">
      <c r="J17793" s="33"/>
    </row>
    <row r="17794" spans="10:10" ht="15" customHeight="1" x14ac:dyDescent="0.3">
      <c r="J17794" s="33"/>
    </row>
    <row r="17795" spans="10:10" ht="15" customHeight="1" x14ac:dyDescent="0.3">
      <c r="J17795" s="33"/>
    </row>
    <row r="17796" spans="10:10" ht="15" customHeight="1" x14ac:dyDescent="0.3">
      <c r="J17796" s="33"/>
    </row>
    <row r="17797" spans="10:10" ht="15" customHeight="1" x14ac:dyDescent="0.3">
      <c r="J17797" s="33"/>
    </row>
    <row r="17798" spans="10:10" ht="15" customHeight="1" x14ac:dyDescent="0.3">
      <c r="J17798" s="33"/>
    </row>
    <row r="17799" spans="10:10" ht="15" customHeight="1" x14ac:dyDescent="0.3">
      <c r="J17799" s="33"/>
    </row>
    <row r="17800" spans="10:10" ht="15" customHeight="1" x14ac:dyDescent="0.3">
      <c r="J17800" s="33"/>
    </row>
    <row r="17801" spans="10:10" ht="15" customHeight="1" x14ac:dyDescent="0.3">
      <c r="J17801" s="33"/>
    </row>
    <row r="17802" spans="10:10" ht="15" customHeight="1" x14ac:dyDescent="0.3">
      <c r="J17802" s="33"/>
    </row>
    <row r="17803" spans="10:10" ht="15" customHeight="1" x14ac:dyDescent="0.3">
      <c r="J17803" s="33"/>
    </row>
    <row r="17804" spans="10:10" ht="15" customHeight="1" x14ac:dyDescent="0.3">
      <c r="J17804" s="33"/>
    </row>
    <row r="17805" spans="10:10" ht="15" customHeight="1" x14ac:dyDescent="0.3">
      <c r="J17805" s="33"/>
    </row>
    <row r="17806" spans="10:10" ht="15" customHeight="1" x14ac:dyDescent="0.3">
      <c r="J17806" s="33"/>
    </row>
    <row r="17807" spans="10:10" ht="15" customHeight="1" x14ac:dyDescent="0.3">
      <c r="J17807" s="33"/>
    </row>
    <row r="17808" spans="10:10" ht="15" customHeight="1" x14ac:dyDescent="0.3">
      <c r="J17808" s="33"/>
    </row>
    <row r="17809" spans="10:10" ht="15" customHeight="1" x14ac:dyDescent="0.3">
      <c r="J17809" s="33"/>
    </row>
    <row r="17810" spans="10:10" ht="15" customHeight="1" x14ac:dyDescent="0.3">
      <c r="J17810" s="33"/>
    </row>
    <row r="17811" spans="10:10" ht="15" customHeight="1" x14ac:dyDescent="0.3">
      <c r="J17811" s="33"/>
    </row>
    <row r="17812" spans="10:10" ht="15" customHeight="1" x14ac:dyDescent="0.3">
      <c r="J17812" s="33"/>
    </row>
    <row r="17813" spans="10:10" ht="15" customHeight="1" x14ac:dyDescent="0.3">
      <c r="J17813" s="33"/>
    </row>
    <row r="17814" spans="10:10" ht="15" customHeight="1" x14ac:dyDescent="0.3">
      <c r="J17814" s="33"/>
    </row>
    <row r="17815" spans="10:10" ht="15" customHeight="1" x14ac:dyDescent="0.3">
      <c r="J17815" s="33"/>
    </row>
    <row r="17816" spans="10:10" ht="15" customHeight="1" x14ac:dyDescent="0.3">
      <c r="J17816" s="33"/>
    </row>
    <row r="17817" spans="10:10" ht="15" customHeight="1" x14ac:dyDescent="0.3">
      <c r="J17817" s="33"/>
    </row>
    <row r="17818" spans="10:10" ht="15" customHeight="1" x14ac:dyDescent="0.3">
      <c r="J17818" s="33"/>
    </row>
    <row r="17819" spans="10:10" ht="15" customHeight="1" x14ac:dyDescent="0.3">
      <c r="J17819" s="33"/>
    </row>
    <row r="17820" spans="10:10" ht="15" customHeight="1" x14ac:dyDescent="0.3">
      <c r="J17820" s="33"/>
    </row>
    <row r="17821" spans="10:10" ht="15" customHeight="1" x14ac:dyDescent="0.3">
      <c r="J17821" s="33"/>
    </row>
    <row r="17822" spans="10:10" ht="15" customHeight="1" x14ac:dyDescent="0.3">
      <c r="J17822" s="33"/>
    </row>
    <row r="17823" spans="10:10" ht="15" customHeight="1" x14ac:dyDescent="0.3">
      <c r="J17823" s="33"/>
    </row>
    <row r="17824" spans="10:10" ht="15" customHeight="1" x14ac:dyDescent="0.3">
      <c r="J17824" s="33"/>
    </row>
    <row r="17825" spans="10:10" ht="15" customHeight="1" x14ac:dyDescent="0.3">
      <c r="J17825" s="33"/>
    </row>
    <row r="17826" spans="10:10" ht="15" customHeight="1" x14ac:dyDescent="0.3">
      <c r="J17826" s="33"/>
    </row>
    <row r="17827" spans="10:10" ht="15" customHeight="1" x14ac:dyDescent="0.3">
      <c r="J17827" s="33"/>
    </row>
    <row r="17828" spans="10:10" ht="15" customHeight="1" x14ac:dyDescent="0.3">
      <c r="J17828" s="33"/>
    </row>
    <row r="17829" spans="10:10" ht="15" customHeight="1" x14ac:dyDescent="0.3">
      <c r="J17829" s="33"/>
    </row>
    <row r="17830" spans="10:10" ht="15" customHeight="1" x14ac:dyDescent="0.3">
      <c r="J17830" s="33"/>
    </row>
    <row r="17831" spans="10:10" ht="15" customHeight="1" x14ac:dyDescent="0.3">
      <c r="J17831" s="33"/>
    </row>
    <row r="17832" spans="10:10" ht="15" customHeight="1" x14ac:dyDescent="0.3">
      <c r="J17832" s="33"/>
    </row>
    <row r="17833" spans="10:10" ht="15" customHeight="1" x14ac:dyDescent="0.3">
      <c r="J17833" s="33"/>
    </row>
    <row r="17834" spans="10:10" ht="15" customHeight="1" x14ac:dyDescent="0.3">
      <c r="J17834" s="33"/>
    </row>
    <row r="17835" spans="10:10" ht="15" customHeight="1" x14ac:dyDescent="0.3">
      <c r="J17835" s="33"/>
    </row>
    <row r="17836" spans="10:10" ht="15" customHeight="1" x14ac:dyDescent="0.3">
      <c r="J17836" s="33"/>
    </row>
    <row r="17837" spans="10:10" ht="15" customHeight="1" x14ac:dyDescent="0.3">
      <c r="J17837" s="33"/>
    </row>
    <row r="17838" spans="10:10" ht="15" customHeight="1" x14ac:dyDescent="0.3">
      <c r="J17838" s="33"/>
    </row>
    <row r="17839" spans="10:10" ht="15" customHeight="1" x14ac:dyDescent="0.3">
      <c r="J17839" s="33"/>
    </row>
    <row r="17840" spans="10:10" ht="15" customHeight="1" x14ac:dyDescent="0.3">
      <c r="J17840" s="33"/>
    </row>
    <row r="17841" spans="10:10" ht="15" customHeight="1" x14ac:dyDescent="0.3">
      <c r="J17841" s="33"/>
    </row>
    <row r="17842" spans="10:10" ht="15" customHeight="1" x14ac:dyDescent="0.3">
      <c r="J17842" s="33"/>
    </row>
    <row r="17843" spans="10:10" ht="15" customHeight="1" x14ac:dyDescent="0.3">
      <c r="J17843" s="33"/>
    </row>
    <row r="17844" spans="10:10" ht="15" customHeight="1" x14ac:dyDescent="0.3">
      <c r="J17844" s="33"/>
    </row>
    <row r="17845" spans="10:10" ht="15" customHeight="1" x14ac:dyDescent="0.3">
      <c r="J17845" s="33"/>
    </row>
    <row r="17846" spans="10:10" ht="15" customHeight="1" x14ac:dyDescent="0.3">
      <c r="J17846" s="33"/>
    </row>
    <row r="17847" spans="10:10" ht="15" customHeight="1" x14ac:dyDescent="0.3">
      <c r="J17847" s="33"/>
    </row>
    <row r="17848" spans="10:10" ht="15" customHeight="1" x14ac:dyDescent="0.3">
      <c r="J17848" s="33"/>
    </row>
    <row r="17849" spans="10:10" ht="15" customHeight="1" x14ac:dyDescent="0.3">
      <c r="J17849" s="33"/>
    </row>
    <row r="17850" spans="10:10" ht="15" customHeight="1" x14ac:dyDescent="0.3">
      <c r="J17850" s="33"/>
    </row>
    <row r="17851" spans="10:10" ht="15" customHeight="1" x14ac:dyDescent="0.3">
      <c r="J17851" s="33"/>
    </row>
    <row r="17852" spans="10:10" ht="15" customHeight="1" x14ac:dyDescent="0.3">
      <c r="J17852" s="33"/>
    </row>
    <row r="17853" spans="10:10" ht="15" customHeight="1" x14ac:dyDescent="0.3">
      <c r="J17853" s="33"/>
    </row>
    <row r="17854" spans="10:10" ht="15" customHeight="1" x14ac:dyDescent="0.3">
      <c r="J17854" s="33"/>
    </row>
    <row r="17855" spans="10:10" ht="15" customHeight="1" x14ac:dyDescent="0.3">
      <c r="J17855" s="33"/>
    </row>
    <row r="17856" spans="10:10" ht="15" customHeight="1" x14ac:dyDescent="0.3">
      <c r="J17856" s="33"/>
    </row>
    <row r="17857" spans="10:10" ht="15" customHeight="1" x14ac:dyDescent="0.3">
      <c r="J17857" s="33"/>
    </row>
    <row r="17858" spans="10:10" ht="15" customHeight="1" x14ac:dyDescent="0.3">
      <c r="J17858" s="33"/>
    </row>
    <row r="17859" spans="10:10" ht="15" customHeight="1" x14ac:dyDescent="0.3">
      <c r="J17859" s="33"/>
    </row>
    <row r="17860" spans="10:10" ht="15" customHeight="1" x14ac:dyDescent="0.3">
      <c r="J17860" s="33"/>
    </row>
    <row r="17861" spans="10:10" ht="15" customHeight="1" x14ac:dyDescent="0.3">
      <c r="J17861" s="33"/>
    </row>
    <row r="17862" spans="10:10" ht="15" customHeight="1" x14ac:dyDescent="0.3">
      <c r="J17862" s="33"/>
    </row>
    <row r="17863" spans="10:10" ht="15" customHeight="1" x14ac:dyDescent="0.3">
      <c r="J17863" s="33"/>
    </row>
    <row r="17864" spans="10:10" ht="15" customHeight="1" x14ac:dyDescent="0.3">
      <c r="J17864" s="33"/>
    </row>
    <row r="17865" spans="10:10" ht="15" customHeight="1" x14ac:dyDescent="0.3">
      <c r="J17865" s="33"/>
    </row>
    <row r="17866" spans="10:10" ht="15" customHeight="1" x14ac:dyDescent="0.3">
      <c r="J17866" s="33"/>
    </row>
    <row r="17867" spans="10:10" ht="15" customHeight="1" x14ac:dyDescent="0.3">
      <c r="J17867" s="33"/>
    </row>
    <row r="17868" spans="10:10" ht="15" customHeight="1" x14ac:dyDescent="0.3">
      <c r="J17868" s="33"/>
    </row>
    <row r="17869" spans="10:10" ht="15" customHeight="1" x14ac:dyDescent="0.3">
      <c r="J17869" s="33"/>
    </row>
    <row r="17870" spans="10:10" ht="15" customHeight="1" x14ac:dyDescent="0.3">
      <c r="J17870" s="33"/>
    </row>
    <row r="17871" spans="10:10" ht="15" customHeight="1" x14ac:dyDescent="0.3">
      <c r="J17871" s="33"/>
    </row>
    <row r="17872" spans="10:10" ht="15" customHeight="1" x14ac:dyDescent="0.3">
      <c r="J17872" s="33"/>
    </row>
    <row r="17873" spans="10:10" ht="15" customHeight="1" x14ac:dyDescent="0.3">
      <c r="J17873" s="33"/>
    </row>
    <row r="17874" spans="10:10" ht="15" customHeight="1" x14ac:dyDescent="0.3">
      <c r="J17874" s="33"/>
    </row>
    <row r="17875" spans="10:10" ht="15" customHeight="1" x14ac:dyDescent="0.3">
      <c r="J17875" s="33"/>
    </row>
    <row r="17876" spans="10:10" ht="15" customHeight="1" x14ac:dyDescent="0.3">
      <c r="J17876" s="33"/>
    </row>
    <row r="17877" spans="10:10" ht="15" customHeight="1" x14ac:dyDescent="0.3">
      <c r="J17877" s="33"/>
    </row>
    <row r="17878" spans="10:10" ht="15" customHeight="1" x14ac:dyDescent="0.3">
      <c r="J17878" s="33"/>
    </row>
    <row r="17879" spans="10:10" ht="15" customHeight="1" x14ac:dyDescent="0.3">
      <c r="J17879" s="33"/>
    </row>
    <row r="17880" spans="10:10" ht="15" customHeight="1" x14ac:dyDescent="0.3">
      <c r="J17880" s="33"/>
    </row>
    <row r="17881" spans="10:10" ht="15" customHeight="1" x14ac:dyDescent="0.3">
      <c r="J17881" s="33"/>
    </row>
    <row r="17882" spans="10:10" ht="15" customHeight="1" x14ac:dyDescent="0.3">
      <c r="J17882" s="33"/>
    </row>
    <row r="17883" spans="10:10" ht="15" customHeight="1" x14ac:dyDescent="0.3">
      <c r="J17883" s="33"/>
    </row>
    <row r="17884" spans="10:10" ht="15" customHeight="1" x14ac:dyDescent="0.3">
      <c r="J17884" s="33"/>
    </row>
    <row r="17885" spans="10:10" ht="15" customHeight="1" x14ac:dyDescent="0.3">
      <c r="J17885" s="33"/>
    </row>
    <row r="17886" spans="10:10" ht="15" customHeight="1" x14ac:dyDescent="0.3">
      <c r="J17886" s="33"/>
    </row>
    <row r="17887" spans="10:10" ht="15" customHeight="1" x14ac:dyDescent="0.3">
      <c r="J17887" s="33"/>
    </row>
    <row r="17888" spans="10:10" ht="15" customHeight="1" x14ac:dyDescent="0.3">
      <c r="J17888" s="33"/>
    </row>
    <row r="17889" spans="10:10" ht="15" customHeight="1" x14ac:dyDescent="0.3">
      <c r="J17889" s="33"/>
    </row>
    <row r="17890" spans="10:10" ht="15" customHeight="1" x14ac:dyDescent="0.3">
      <c r="J17890" s="33"/>
    </row>
    <row r="17891" spans="10:10" ht="15" customHeight="1" x14ac:dyDescent="0.3">
      <c r="J17891" s="33"/>
    </row>
    <row r="17892" spans="10:10" ht="15" customHeight="1" x14ac:dyDescent="0.3">
      <c r="J17892" s="33"/>
    </row>
    <row r="17893" spans="10:10" ht="15" customHeight="1" x14ac:dyDescent="0.3">
      <c r="J17893" s="33"/>
    </row>
    <row r="17894" spans="10:10" ht="15" customHeight="1" x14ac:dyDescent="0.3">
      <c r="J17894" s="33"/>
    </row>
    <row r="17895" spans="10:10" ht="15" customHeight="1" x14ac:dyDescent="0.3">
      <c r="J17895" s="33"/>
    </row>
    <row r="17896" spans="10:10" ht="15" customHeight="1" x14ac:dyDescent="0.3">
      <c r="J17896" s="33"/>
    </row>
    <row r="17897" spans="10:10" ht="15" customHeight="1" x14ac:dyDescent="0.3">
      <c r="J17897" s="33"/>
    </row>
    <row r="17898" spans="10:10" ht="15" customHeight="1" x14ac:dyDescent="0.3">
      <c r="J17898" s="33"/>
    </row>
    <row r="17899" spans="10:10" ht="15" customHeight="1" x14ac:dyDescent="0.3">
      <c r="J17899" s="33"/>
    </row>
    <row r="17900" spans="10:10" ht="15" customHeight="1" x14ac:dyDescent="0.3">
      <c r="J17900" s="33"/>
    </row>
    <row r="17901" spans="10:10" ht="15" customHeight="1" x14ac:dyDescent="0.3">
      <c r="J17901" s="33"/>
    </row>
    <row r="17902" spans="10:10" ht="15" customHeight="1" x14ac:dyDescent="0.3">
      <c r="J17902" s="33"/>
    </row>
    <row r="17903" spans="10:10" ht="15" customHeight="1" x14ac:dyDescent="0.3">
      <c r="J17903" s="33"/>
    </row>
    <row r="17904" spans="10:10" ht="15" customHeight="1" x14ac:dyDescent="0.3">
      <c r="J17904" s="33"/>
    </row>
    <row r="17905" spans="10:10" ht="15" customHeight="1" x14ac:dyDescent="0.3">
      <c r="J17905" s="33"/>
    </row>
    <row r="17906" spans="10:10" ht="15" customHeight="1" x14ac:dyDescent="0.3">
      <c r="J17906" s="33"/>
    </row>
    <row r="17907" spans="10:10" ht="15" customHeight="1" x14ac:dyDescent="0.3">
      <c r="J17907" s="33"/>
    </row>
    <row r="17908" spans="10:10" ht="15" customHeight="1" x14ac:dyDescent="0.3">
      <c r="J17908" s="33"/>
    </row>
    <row r="17909" spans="10:10" ht="15" customHeight="1" x14ac:dyDescent="0.3">
      <c r="J17909" s="33"/>
    </row>
    <row r="17910" spans="10:10" ht="15" customHeight="1" x14ac:dyDescent="0.3">
      <c r="J17910" s="33"/>
    </row>
    <row r="17911" spans="10:10" ht="15" customHeight="1" x14ac:dyDescent="0.3">
      <c r="J17911" s="33"/>
    </row>
    <row r="17912" spans="10:10" ht="15" customHeight="1" x14ac:dyDescent="0.3">
      <c r="J17912" s="33"/>
    </row>
    <row r="17913" spans="10:10" ht="15" customHeight="1" x14ac:dyDescent="0.3">
      <c r="J17913" s="33"/>
    </row>
    <row r="17914" spans="10:10" ht="15" customHeight="1" x14ac:dyDescent="0.3">
      <c r="J17914" s="33"/>
    </row>
    <row r="17915" spans="10:10" ht="15" customHeight="1" x14ac:dyDescent="0.3">
      <c r="J17915" s="33"/>
    </row>
    <row r="17916" spans="10:10" ht="15" customHeight="1" x14ac:dyDescent="0.3">
      <c r="J17916" s="33"/>
    </row>
    <row r="17917" spans="10:10" ht="15" customHeight="1" x14ac:dyDescent="0.3">
      <c r="J17917" s="33"/>
    </row>
    <row r="17918" spans="10:10" ht="15" customHeight="1" x14ac:dyDescent="0.3">
      <c r="J17918" s="33"/>
    </row>
    <row r="17919" spans="10:10" ht="15" customHeight="1" x14ac:dyDescent="0.3">
      <c r="J17919" s="33"/>
    </row>
    <row r="17920" spans="10:10" ht="15" customHeight="1" x14ac:dyDescent="0.3">
      <c r="J17920" s="33"/>
    </row>
    <row r="17921" spans="10:10" ht="15" customHeight="1" x14ac:dyDescent="0.3">
      <c r="J17921" s="33"/>
    </row>
    <row r="17922" spans="10:10" ht="15" customHeight="1" x14ac:dyDescent="0.3">
      <c r="J17922" s="33"/>
    </row>
    <row r="17923" spans="10:10" ht="15" customHeight="1" x14ac:dyDescent="0.3">
      <c r="J17923" s="33"/>
    </row>
    <row r="17924" spans="10:10" ht="15" customHeight="1" x14ac:dyDescent="0.3">
      <c r="J17924" s="33"/>
    </row>
    <row r="17925" spans="10:10" ht="15" customHeight="1" x14ac:dyDescent="0.3">
      <c r="J17925" s="33"/>
    </row>
    <row r="17926" spans="10:10" ht="15" customHeight="1" x14ac:dyDescent="0.3">
      <c r="J17926" s="33"/>
    </row>
    <row r="17927" spans="10:10" ht="15" customHeight="1" x14ac:dyDescent="0.3">
      <c r="J17927" s="33"/>
    </row>
    <row r="17928" spans="10:10" ht="15" customHeight="1" x14ac:dyDescent="0.3">
      <c r="J17928" s="33"/>
    </row>
    <row r="17929" spans="10:10" ht="15" customHeight="1" x14ac:dyDescent="0.3">
      <c r="J17929" s="33"/>
    </row>
    <row r="17930" spans="10:10" ht="15" customHeight="1" x14ac:dyDescent="0.3">
      <c r="J17930" s="33"/>
    </row>
    <row r="17931" spans="10:10" ht="15" customHeight="1" x14ac:dyDescent="0.3">
      <c r="J17931" s="33"/>
    </row>
    <row r="17932" spans="10:10" ht="15" customHeight="1" x14ac:dyDescent="0.3">
      <c r="J17932" s="33"/>
    </row>
    <row r="17933" spans="10:10" ht="15" customHeight="1" x14ac:dyDescent="0.3">
      <c r="J17933" s="33"/>
    </row>
    <row r="17934" spans="10:10" ht="15" customHeight="1" x14ac:dyDescent="0.3">
      <c r="J17934" s="33"/>
    </row>
    <row r="17935" spans="10:10" ht="15" customHeight="1" x14ac:dyDescent="0.3">
      <c r="J17935" s="33"/>
    </row>
    <row r="17936" spans="10:10" ht="15" customHeight="1" x14ac:dyDescent="0.3">
      <c r="J17936" s="33"/>
    </row>
    <row r="17937" spans="10:10" ht="15" customHeight="1" x14ac:dyDescent="0.3">
      <c r="J17937" s="33"/>
    </row>
    <row r="17938" spans="10:10" ht="15" customHeight="1" x14ac:dyDescent="0.3">
      <c r="J17938" s="33"/>
    </row>
    <row r="17939" spans="10:10" ht="15" customHeight="1" x14ac:dyDescent="0.3">
      <c r="J17939" s="33"/>
    </row>
    <row r="17940" spans="10:10" ht="15" customHeight="1" x14ac:dyDescent="0.3">
      <c r="J17940" s="33"/>
    </row>
    <row r="17941" spans="10:10" ht="15" customHeight="1" x14ac:dyDescent="0.3">
      <c r="J17941" s="33"/>
    </row>
    <row r="17942" spans="10:10" ht="15" customHeight="1" x14ac:dyDescent="0.3">
      <c r="J17942" s="33"/>
    </row>
    <row r="17943" spans="10:10" ht="15" customHeight="1" x14ac:dyDescent="0.3">
      <c r="J17943" s="33"/>
    </row>
    <row r="17944" spans="10:10" ht="15" customHeight="1" x14ac:dyDescent="0.3">
      <c r="J17944" s="33"/>
    </row>
    <row r="17945" spans="10:10" ht="15" customHeight="1" x14ac:dyDescent="0.3">
      <c r="J17945" s="33"/>
    </row>
    <row r="17946" spans="10:10" ht="15" customHeight="1" x14ac:dyDescent="0.3">
      <c r="J17946" s="33"/>
    </row>
    <row r="17947" spans="10:10" ht="15" customHeight="1" x14ac:dyDescent="0.3">
      <c r="J17947" s="33"/>
    </row>
    <row r="17948" spans="10:10" ht="15" customHeight="1" x14ac:dyDescent="0.3">
      <c r="J17948" s="33"/>
    </row>
    <row r="17949" spans="10:10" ht="15" customHeight="1" x14ac:dyDescent="0.3">
      <c r="J17949" s="33"/>
    </row>
    <row r="17950" spans="10:10" ht="15" customHeight="1" x14ac:dyDescent="0.3">
      <c r="J17950" s="33"/>
    </row>
    <row r="17951" spans="10:10" ht="15" customHeight="1" x14ac:dyDescent="0.3">
      <c r="J17951" s="33"/>
    </row>
    <row r="17952" spans="10:10" ht="15" customHeight="1" x14ac:dyDescent="0.3">
      <c r="J17952" s="33"/>
    </row>
    <row r="17953" spans="10:10" ht="15" customHeight="1" x14ac:dyDescent="0.3">
      <c r="J17953" s="33"/>
    </row>
    <row r="17954" spans="10:10" ht="15" customHeight="1" x14ac:dyDescent="0.3">
      <c r="J17954" s="33"/>
    </row>
    <row r="17955" spans="10:10" ht="15" customHeight="1" x14ac:dyDescent="0.3">
      <c r="J17955" s="33"/>
    </row>
    <row r="17956" spans="10:10" ht="15" customHeight="1" x14ac:dyDescent="0.3">
      <c r="J17956" s="33"/>
    </row>
    <row r="17957" spans="10:10" ht="15" customHeight="1" x14ac:dyDescent="0.3">
      <c r="J17957" s="33"/>
    </row>
    <row r="17958" spans="10:10" ht="15" customHeight="1" x14ac:dyDescent="0.3">
      <c r="J17958" s="33"/>
    </row>
    <row r="17959" spans="10:10" ht="15" customHeight="1" x14ac:dyDescent="0.3">
      <c r="J17959" s="33"/>
    </row>
    <row r="17960" spans="10:10" ht="15" customHeight="1" x14ac:dyDescent="0.3">
      <c r="J17960" s="33"/>
    </row>
    <row r="17961" spans="10:10" ht="15" customHeight="1" x14ac:dyDescent="0.3">
      <c r="J17961" s="33"/>
    </row>
    <row r="17962" spans="10:10" ht="15" customHeight="1" x14ac:dyDescent="0.3">
      <c r="J17962" s="33"/>
    </row>
    <row r="17963" spans="10:10" ht="15" customHeight="1" x14ac:dyDescent="0.3">
      <c r="J17963" s="33"/>
    </row>
    <row r="17964" spans="10:10" ht="15" customHeight="1" x14ac:dyDescent="0.3">
      <c r="J17964" s="33"/>
    </row>
    <row r="17965" spans="10:10" ht="15" customHeight="1" x14ac:dyDescent="0.3">
      <c r="J17965" s="33"/>
    </row>
    <row r="17966" spans="10:10" ht="15" customHeight="1" x14ac:dyDescent="0.3">
      <c r="J17966" s="33"/>
    </row>
    <row r="17967" spans="10:10" ht="15" customHeight="1" x14ac:dyDescent="0.3">
      <c r="J17967" s="33"/>
    </row>
    <row r="17968" spans="10:10" ht="15" customHeight="1" x14ac:dyDescent="0.3">
      <c r="J17968" s="33"/>
    </row>
    <row r="17969" spans="10:10" ht="15" customHeight="1" x14ac:dyDescent="0.3">
      <c r="J17969" s="33"/>
    </row>
    <row r="17970" spans="10:10" ht="15" customHeight="1" x14ac:dyDescent="0.3">
      <c r="J17970" s="33"/>
    </row>
    <row r="17971" spans="10:10" ht="15" customHeight="1" x14ac:dyDescent="0.3">
      <c r="J17971" s="33"/>
    </row>
    <row r="17972" spans="10:10" ht="15" customHeight="1" x14ac:dyDescent="0.3">
      <c r="J17972" s="33"/>
    </row>
    <row r="17973" spans="10:10" ht="15" customHeight="1" x14ac:dyDescent="0.3">
      <c r="J17973" s="33"/>
    </row>
    <row r="17974" spans="10:10" ht="15" customHeight="1" x14ac:dyDescent="0.3">
      <c r="J17974" s="33"/>
    </row>
    <row r="17975" spans="10:10" ht="15" customHeight="1" x14ac:dyDescent="0.3">
      <c r="J17975" s="33"/>
    </row>
    <row r="17976" spans="10:10" ht="15" customHeight="1" x14ac:dyDescent="0.3">
      <c r="J17976" s="33"/>
    </row>
    <row r="17977" spans="10:10" ht="15" customHeight="1" x14ac:dyDescent="0.3">
      <c r="J17977" s="33"/>
    </row>
    <row r="17978" spans="10:10" ht="15" customHeight="1" x14ac:dyDescent="0.3">
      <c r="J17978" s="33"/>
    </row>
    <row r="17979" spans="10:10" ht="15" customHeight="1" x14ac:dyDescent="0.3">
      <c r="J17979" s="33"/>
    </row>
    <row r="17980" spans="10:10" ht="15" customHeight="1" x14ac:dyDescent="0.3">
      <c r="J17980" s="33"/>
    </row>
    <row r="17981" spans="10:10" ht="15" customHeight="1" x14ac:dyDescent="0.3">
      <c r="J17981" s="33"/>
    </row>
    <row r="17982" spans="10:10" ht="15" customHeight="1" x14ac:dyDescent="0.3">
      <c r="J17982" s="33"/>
    </row>
    <row r="17983" spans="10:10" ht="15" customHeight="1" x14ac:dyDescent="0.3">
      <c r="J17983" s="33"/>
    </row>
    <row r="17984" spans="10:10" ht="15" customHeight="1" x14ac:dyDescent="0.3">
      <c r="J17984" s="33"/>
    </row>
    <row r="17985" spans="10:10" ht="15" customHeight="1" x14ac:dyDescent="0.3">
      <c r="J17985" s="33"/>
    </row>
    <row r="17986" spans="10:10" ht="15" customHeight="1" x14ac:dyDescent="0.3">
      <c r="J17986" s="33"/>
    </row>
    <row r="17987" spans="10:10" ht="15" customHeight="1" x14ac:dyDescent="0.3">
      <c r="J17987" s="33"/>
    </row>
    <row r="17988" spans="10:10" ht="15" customHeight="1" x14ac:dyDescent="0.3">
      <c r="J17988" s="33"/>
    </row>
    <row r="17989" spans="10:10" ht="15" customHeight="1" x14ac:dyDescent="0.3">
      <c r="J17989" s="33"/>
    </row>
    <row r="17990" spans="10:10" ht="15" customHeight="1" x14ac:dyDescent="0.3">
      <c r="J17990" s="33"/>
    </row>
    <row r="17991" spans="10:10" ht="15" customHeight="1" x14ac:dyDescent="0.3">
      <c r="J17991" s="33"/>
    </row>
    <row r="17992" spans="10:10" ht="15" customHeight="1" x14ac:dyDescent="0.3">
      <c r="J17992" s="33"/>
    </row>
    <row r="17993" spans="10:10" ht="15" customHeight="1" x14ac:dyDescent="0.3">
      <c r="J17993" s="33"/>
    </row>
    <row r="17994" spans="10:10" ht="15" customHeight="1" x14ac:dyDescent="0.3">
      <c r="J17994" s="33"/>
    </row>
    <row r="17995" spans="10:10" ht="15" customHeight="1" x14ac:dyDescent="0.3">
      <c r="J17995" s="33"/>
    </row>
    <row r="17996" spans="10:10" ht="15" customHeight="1" x14ac:dyDescent="0.3">
      <c r="J17996" s="33"/>
    </row>
    <row r="17997" spans="10:10" ht="15" customHeight="1" x14ac:dyDescent="0.3">
      <c r="J17997" s="33"/>
    </row>
    <row r="17998" spans="10:10" ht="15" customHeight="1" x14ac:dyDescent="0.3">
      <c r="J17998" s="33"/>
    </row>
    <row r="17999" spans="10:10" ht="15" customHeight="1" x14ac:dyDescent="0.3">
      <c r="J17999" s="33"/>
    </row>
    <row r="18000" spans="10:10" ht="15" customHeight="1" x14ac:dyDescent="0.3">
      <c r="J18000" s="33"/>
    </row>
    <row r="18001" spans="10:10" ht="15" customHeight="1" x14ac:dyDescent="0.3">
      <c r="J18001" s="33"/>
    </row>
    <row r="18002" spans="10:10" ht="15" customHeight="1" x14ac:dyDescent="0.3">
      <c r="J18002" s="33"/>
    </row>
    <row r="18003" spans="10:10" ht="15" customHeight="1" x14ac:dyDescent="0.3">
      <c r="J18003" s="33"/>
    </row>
    <row r="18004" spans="10:10" ht="15" customHeight="1" x14ac:dyDescent="0.3">
      <c r="J18004" s="33"/>
    </row>
    <row r="18005" spans="10:10" ht="15" customHeight="1" x14ac:dyDescent="0.3">
      <c r="J18005" s="33"/>
    </row>
    <row r="18006" spans="10:10" ht="15" customHeight="1" x14ac:dyDescent="0.3">
      <c r="J18006" s="33"/>
    </row>
    <row r="18007" spans="10:10" ht="15" customHeight="1" x14ac:dyDescent="0.3">
      <c r="J18007" s="33"/>
    </row>
    <row r="18008" spans="10:10" ht="15" customHeight="1" x14ac:dyDescent="0.3">
      <c r="J18008" s="33"/>
    </row>
    <row r="18009" spans="10:10" ht="15" customHeight="1" x14ac:dyDescent="0.3">
      <c r="J18009" s="33"/>
    </row>
    <row r="18010" spans="10:10" ht="15" customHeight="1" x14ac:dyDescent="0.3">
      <c r="J18010" s="33"/>
    </row>
    <row r="18011" spans="10:10" ht="15" customHeight="1" x14ac:dyDescent="0.3">
      <c r="J18011" s="33"/>
    </row>
    <row r="18012" spans="10:10" ht="15" customHeight="1" x14ac:dyDescent="0.3">
      <c r="J18012" s="33"/>
    </row>
    <row r="18013" spans="10:10" ht="15" customHeight="1" x14ac:dyDescent="0.3">
      <c r="J18013" s="33"/>
    </row>
    <row r="18014" spans="10:10" ht="15" customHeight="1" x14ac:dyDescent="0.3">
      <c r="J18014" s="33"/>
    </row>
    <row r="18015" spans="10:10" ht="15" customHeight="1" x14ac:dyDescent="0.3">
      <c r="J18015" s="33"/>
    </row>
    <row r="18016" spans="10:10" ht="15" customHeight="1" x14ac:dyDescent="0.3">
      <c r="J18016" s="33"/>
    </row>
    <row r="18017" spans="10:10" ht="15" customHeight="1" x14ac:dyDescent="0.3">
      <c r="J18017" s="33"/>
    </row>
    <row r="18018" spans="10:10" ht="15" customHeight="1" x14ac:dyDescent="0.3">
      <c r="J18018" s="33"/>
    </row>
    <row r="18019" spans="10:10" ht="15" customHeight="1" x14ac:dyDescent="0.3">
      <c r="J18019" s="33"/>
    </row>
    <row r="18020" spans="10:10" ht="15" customHeight="1" x14ac:dyDescent="0.3">
      <c r="J18020" s="33"/>
    </row>
    <row r="18021" spans="10:10" ht="15" customHeight="1" x14ac:dyDescent="0.3">
      <c r="J18021" s="33"/>
    </row>
    <row r="18022" spans="10:10" ht="15" customHeight="1" x14ac:dyDescent="0.3">
      <c r="J18022" s="33"/>
    </row>
    <row r="18023" spans="10:10" ht="15" customHeight="1" x14ac:dyDescent="0.3">
      <c r="J18023" s="33"/>
    </row>
    <row r="18024" spans="10:10" ht="15" customHeight="1" x14ac:dyDescent="0.3">
      <c r="J18024" s="33"/>
    </row>
    <row r="18025" spans="10:10" ht="15" customHeight="1" x14ac:dyDescent="0.3">
      <c r="J18025" s="33"/>
    </row>
    <row r="18026" spans="10:10" ht="15" customHeight="1" x14ac:dyDescent="0.3">
      <c r="J18026" s="33"/>
    </row>
    <row r="18027" spans="10:10" ht="15" customHeight="1" x14ac:dyDescent="0.3">
      <c r="J18027" s="33"/>
    </row>
    <row r="18028" spans="10:10" ht="15" customHeight="1" x14ac:dyDescent="0.3">
      <c r="J18028" s="33"/>
    </row>
    <row r="18029" spans="10:10" ht="15" customHeight="1" x14ac:dyDescent="0.3">
      <c r="J18029" s="33"/>
    </row>
    <row r="18030" spans="10:10" ht="15" customHeight="1" x14ac:dyDescent="0.3">
      <c r="J18030" s="33"/>
    </row>
    <row r="18031" spans="10:10" ht="15" customHeight="1" x14ac:dyDescent="0.3">
      <c r="J18031" s="33"/>
    </row>
    <row r="18032" spans="10:10" ht="15" customHeight="1" x14ac:dyDescent="0.3">
      <c r="J18032" s="33"/>
    </row>
    <row r="18033" spans="10:10" ht="15" customHeight="1" x14ac:dyDescent="0.3">
      <c r="J18033" s="33"/>
    </row>
    <row r="18034" spans="10:10" ht="15" customHeight="1" x14ac:dyDescent="0.3">
      <c r="J18034" s="33"/>
    </row>
    <row r="18035" spans="10:10" ht="15" customHeight="1" x14ac:dyDescent="0.3">
      <c r="J18035" s="33"/>
    </row>
    <row r="18036" spans="10:10" ht="15" customHeight="1" x14ac:dyDescent="0.3">
      <c r="J18036" s="33"/>
    </row>
    <row r="18037" spans="10:10" ht="15" customHeight="1" x14ac:dyDescent="0.3">
      <c r="J18037" s="33"/>
    </row>
    <row r="18038" spans="10:10" ht="15" customHeight="1" x14ac:dyDescent="0.3">
      <c r="J18038" s="33"/>
    </row>
    <row r="18039" spans="10:10" ht="15" customHeight="1" x14ac:dyDescent="0.3">
      <c r="J18039" s="33"/>
    </row>
    <row r="18040" spans="10:10" ht="15" customHeight="1" x14ac:dyDescent="0.3">
      <c r="J18040" s="33"/>
    </row>
    <row r="18041" spans="10:10" ht="15" customHeight="1" x14ac:dyDescent="0.3">
      <c r="J18041" s="33"/>
    </row>
    <row r="18042" spans="10:10" ht="15" customHeight="1" x14ac:dyDescent="0.3">
      <c r="J18042" s="33"/>
    </row>
    <row r="18043" spans="10:10" ht="15" customHeight="1" x14ac:dyDescent="0.3">
      <c r="J18043" s="33"/>
    </row>
    <row r="18044" spans="10:10" ht="15" customHeight="1" x14ac:dyDescent="0.3">
      <c r="J18044" s="33"/>
    </row>
    <row r="18045" spans="10:10" ht="15" customHeight="1" x14ac:dyDescent="0.3">
      <c r="J18045" s="33"/>
    </row>
    <row r="18046" spans="10:10" ht="15" customHeight="1" x14ac:dyDescent="0.3">
      <c r="J18046" s="33"/>
    </row>
    <row r="18047" spans="10:10" ht="15" customHeight="1" x14ac:dyDescent="0.3">
      <c r="J18047" s="33"/>
    </row>
    <row r="18048" spans="10:10" ht="15" customHeight="1" x14ac:dyDescent="0.3">
      <c r="J18048" s="33"/>
    </row>
    <row r="18049" spans="10:10" ht="15" customHeight="1" x14ac:dyDescent="0.3">
      <c r="J18049" s="33"/>
    </row>
    <row r="18050" spans="10:10" ht="15" customHeight="1" x14ac:dyDescent="0.3">
      <c r="J18050" s="33"/>
    </row>
    <row r="18051" spans="10:10" ht="15" customHeight="1" x14ac:dyDescent="0.3">
      <c r="J18051" s="33"/>
    </row>
    <row r="18052" spans="10:10" ht="15" customHeight="1" x14ac:dyDescent="0.3">
      <c r="J18052" s="33"/>
    </row>
    <row r="18053" spans="10:10" ht="15" customHeight="1" x14ac:dyDescent="0.3">
      <c r="J18053" s="33"/>
    </row>
    <row r="18054" spans="10:10" ht="15" customHeight="1" x14ac:dyDescent="0.3">
      <c r="J18054" s="33"/>
    </row>
    <row r="18055" spans="10:10" ht="15" customHeight="1" x14ac:dyDescent="0.3">
      <c r="J18055" s="33"/>
    </row>
    <row r="18056" spans="10:10" ht="15" customHeight="1" x14ac:dyDescent="0.3">
      <c r="J18056" s="33"/>
    </row>
    <row r="18057" spans="10:10" ht="15" customHeight="1" x14ac:dyDescent="0.3">
      <c r="J18057" s="33"/>
    </row>
    <row r="18058" spans="10:10" ht="15" customHeight="1" x14ac:dyDescent="0.3">
      <c r="J18058" s="33"/>
    </row>
    <row r="18059" spans="10:10" ht="15" customHeight="1" x14ac:dyDescent="0.3">
      <c r="J18059" s="33"/>
    </row>
    <row r="18060" spans="10:10" ht="15" customHeight="1" x14ac:dyDescent="0.3">
      <c r="J18060" s="33"/>
    </row>
    <row r="18061" spans="10:10" ht="15" customHeight="1" x14ac:dyDescent="0.3">
      <c r="J18061" s="33"/>
    </row>
    <row r="18062" spans="10:10" ht="15" customHeight="1" x14ac:dyDescent="0.3">
      <c r="J18062" s="33"/>
    </row>
    <row r="18063" spans="10:10" ht="15" customHeight="1" x14ac:dyDescent="0.3">
      <c r="J18063" s="33"/>
    </row>
    <row r="18064" spans="10:10" ht="15" customHeight="1" x14ac:dyDescent="0.3">
      <c r="J18064" s="33"/>
    </row>
    <row r="18065" spans="10:10" ht="15" customHeight="1" x14ac:dyDescent="0.3">
      <c r="J18065" s="33"/>
    </row>
    <row r="18066" spans="10:10" ht="15" customHeight="1" x14ac:dyDescent="0.3">
      <c r="J18066" s="33"/>
    </row>
    <row r="18067" spans="10:10" ht="15" customHeight="1" x14ac:dyDescent="0.3">
      <c r="J18067" s="33"/>
    </row>
    <row r="18068" spans="10:10" ht="15" customHeight="1" x14ac:dyDescent="0.3">
      <c r="J18068" s="33"/>
    </row>
    <row r="18069" spans="10:10" ht="15" customHeight="1" x14ac:dyDescent="0.3">
      <c r="J18069" s="33"/>
    </row>
    <row r="18070" spans="10:10" ht="15" customHeight="1" x14ac:dyDescent="0.3">
      <c r="J18070" s="33"/>
    </row>
    <row r="18071" spans="10:10" ht="15" customHeight="1" x14ac:dyDescent="0.3">
      <c r="J18071" s="33"/>
    </row>
    <row r="18072" spans="10:10" ht="15" customHeight="1" x14ac:dyDescent="0.3">
      <c r="J18072" s="33"/>
    </row>
    <row r="18073" spans="10:10" ht="15" customHeight="1" x14ac:dyDescent="0.3">
      <c r="J18073" s="33"/>
    </row>
    <row r="18074" spans="10:10" ht="15" customHeight="1" x14ac:dyDescent="0.3">
      <c r="J18074" s="33"/>
    </row>
    <row r="18075" spans="10:10" ht="15" customHeight="1" x14ac:dyDescent="0.3">
      <c r="J18075" s="33"/>
    </row>
    <row r="18076" spans="10:10" ht="15" customHeight="1" x14ac:dyDescent="0.3">
      <c r="J18076" s="33"/>
    </row>
    <row r="18077" spans="10:10" ht="15" customHeight="1" x14ac:dyDescent="0.3">
      <c r="J18077" s="33"/>
    </row>
    <row r="18078" spans="10:10" ht="15" customHeight="1" x14ac:dyDescent="0.3">
      <c r="J18078" s="33"/>
    </row>
    <row r="18079" spans="10:10" ht="15" customHeight="1" x14ac:dyDescent="0.3">
      <c r="J18079" s="33"/>
    </row>
    <row r="18080" spans="10:10" ht="15" customHeight="1" x14ac:dyDescent="0.3">
      <c r="J18080" s="33"/>
    </row>
    <row r="18081" spans="10:10" ht="15" customHeight="1" x14ac:dyDescent="0.3">
      <c r="J18081" s="33"/>
    </row>
    <row r="18082" spans="10:10" ht="15" customHeight="1" x14ac:dyDescent="0.3">
      <c r="J18082" s="33"/>
    </row>
    <row r="18083" spans="10:10" ht="15" customHeight="1" x14ac:dyDescent="0.3">
      <c r="J18083" s="33"/>
    </row>
    <row r="18084" spans="10:10" ht="15" customHeight="1" x14ac:dyDescent="0.3">
      <c r="J18084" s="33"/>
    </row>
    <row r="18085" spans="10:10" ht="15" customHeight="1" x14ac:dyDescent="0.3">
      <c r="J18085" s="33"/>
    </row>
    <row r="18086" spans="10:10" ht="15" customHeight="1" x14ac:dyDescent="0.3">
      <c r="J18086" s="33"/>
    </row>
    <row r="18087" spans="10:10" ht="15" customHeight="1" x14ac:dyDescent="0.3">
      <c r="J18087" s="33"/>
    </row>
    <row r="18088" spans="10:10" ht="15" customHeight="1" x14ac:dyDescent="0.3">
      <c r="J18088" s="33"/>
    </row>
    <row r="18089" spans="10:10" ht="15" customHeight="1" x14ac:dyDescent="0.3">
      <c r="J18089" s="33"/>
    </row>
    <row r="18090" spans="10:10" ht="15" customHeight="1" x14ac:dyDescent="0.3">
      <c r="J18090" s="33"/>
    </row>
    <row r="18091" spans="10:10" ht="15" customHeight="1" x14ac:dyDescent="0.3">
      <c r="J18091" s="33"/>
    </row>
    <row r="18092" spans="10:10" ht="15" customHeight="1" x14ac:dyDescent="0.3">
      <c r="J18092" s="33"/>
    </row>
    <row r="18093" spans="10:10" ht="15" customHeight="1" x14ac:dyDescent="0.3">
      <c r="J18093" s="33"/>
    </row>
    <row r="18094" spans="10:10" ht="15" customHeight="1" x14ac:dyDescent="0.3">
      <c r="J18094" s="33"/>
    </row>
    <row r="18095" spans="10:10" ht="15" customHeight="1" x14ac:dyDescent="0.3">
      <c r="J18095" s="33"/>
    </row>
    <row r="18096" spans="10:10" ht="15" customHeight="1" x14ac:dyDescent="0.3">
      <c r="J18096" s="33"/>
    </row>
    <row r="18097" spans="10:10" ht="15" customHeight="1" x14ac:dyDescent="0.3">
      <c r="J18097" s="33"/>
    </row>
    <row r="18098" spans="10:10" ht="15" customHeight="1" x14ac:dyDescent="0.3">
      <c r="J18098" s="33"/>
    </row>
    <row r="18099" spans="10:10" ht="15" customHeight="1" x14ac:dyDescent="0.3">
      <c r="J18099" s="33"/>
    </row>
    <row r="18100" spans="10:10" ht="15" customHeight="1" x14ac:dyDescent="0.3">
      <c r="J18100" s="33"/>
    </row>
    <row r="18101" spans="10:10" ht="15" customHeight="1" x14ac:dyDescent="0.3">
      <c r="J18101" s="33"/>
    </row>
    <row r="18102" spans="10:10" ht="15" customHeight="1" x14ac:dyDescent="0.3">
      <c r="J18102" s="33"/>
    </row>
    <row r="18103" spans="10:10" ht="15" customHeight="1" x14ac:dyDescent="0.3">
      <c r="J18103" s="33"/>
    </row>
    <row r="18104" spans="10:10" ht="15" customHeight="1" x14ac:dyDescent="0.3">
      <c r="J18104" s="33"/>
    </row>
    <row r="18105" spans="10:10" ht="15" customHeight="1" x14ac:dyDescent="0.3">
      <c r="J18105" s="33"/>
    </row>
    <row r="18106" spans="10:10" ht="15" customHeight="1" x14ac:dyDescent="0.3">
      <c r="J18106" s="33"/>
    </row>
    <row r="18107" spans="10:10" ht="15" customHeight="1" x14ac:dyDescent="0.3">
      <c r="J18107" s="33"/>
    </row>
    <row r="18108" spans="10:10" ht="15" customHeight="1" x14ac:dyDescent="0.3">
      <c r="J18108" s="33"/>
    </row>
    <row r="18109" spans="10:10" ht="15" customHeight="1" x14ac:dyDescent="0.3">
      <c r="J18109" s="33"/>
    </row>
    <row r="18110" spans="10:10" ht="15" customHeight="1" x14ac:dyDescent="0.3">
      <c r="J18110" s="33"/>
    </row>
    <row r="18111" spans="10:10" ht="15" customHeight="1" x14ac:dyDescent="0.3">
      <c r="J18111" s="33"/>
    </row>
    <row r="18112" spans="10:10" ht="15" customHeight="1" x14ac:dyDescent="0.3">
      <c r="J18112" s="33"/>
    </row>
    <row r="18113" spans="10:10" ht="15" customHeight="1" x14ac:dyDescent="0.3">
      <c r="J18113" s="33"/>
    </row>
    <row r="18114" spans="10:10" ht="15" customHeight="1" x14ac:dyDescent="0.3">
      <c r="J18114" s="33"/>
    </row>
    <row r="18115" spans="10:10" ht="15" customHeight="1" x14ac:dyDescent="0.3">
      <c r="J18115" s="33"/>
    </row>
    <row r="18116" spans="10:10" ht="15" customHeight="1" x14ac:dyDescent="0.3">
      <c r="J18116" s="33"/>
    </row>
    <row r="18117" spans="10:10" ht="15" customHeight="1" x14ac:dyDescent="0.3">
      <c r="J18117" s="33"/>
    </row>
    <row r="18118" spans="10:10" ht="15" customHeight="1" x14ac:dyDescent="0.3">
      <c r="J18118" s="33"/>
    </row>
    <row r="18119" spans="10:10" ht="15" customHeight="1" x14ac:dyDescent="0.3">
      <c r="J18119" s="33"/>
    </row>
    <row r="18120" spans="10:10" ht="15" customHeight="1" x14ac:dyDescent="0.3">
      <c r="J18120" s="33"/>
    </row>
    <row r="18121" spans="10:10" ht="15" customHeight="1" x14ac:dyDescent="0.3">
      <c r="J18121" s="33"/>
    </row>
    <row r="18122" spans="10:10" ht="15" customHeight="1" x14ac:dyDescent="0.3">
      <c r="J18122" s="33"/>
    </row>
    <row r="18123" spans="10:10" ht="15" customHeight="1" x14ac:dyDescent="0.3">
      <c r="J18123" s="33"/>
    </row>
    <row r="18124" spans="10:10" ht="15" customHeight="1" x14ac:dyDescent="0.3">
      <c r="J18124" s="33"/>
    </row>
    <row r="18125" spans="10:10" ht="15" customHeight="1" x14ac:dyDescent="0.3">
      <c r="J18125" s="33"/>
    </row>
    <row r="18126" spans="10:10" ht="15" customHeight="1" x14ac:dyDescent="0.3">
      <c r="J18126" s="33"/>
    </row>
    <row r="18127" spans="10:10" ht="15" customHeight="1" x14ac:dyDescent="0.3">
      <c r="J18127" s="33"/>
    </row>
    <row r="18128" spans="10:10" ht="15" customHeight="1" x14ac:dyDescent="0.3">
      <c r="J18128" s="33"/>
    </row>
    <row r="18129" spans="10:10" ht="15" customHeight="1" x14ac:dyDescent="0.3">
      <c r="J18129" s="33"/>
    </row>
    <row r="18130" spans="10:10" ht="15" customHeight="1" x14ac:dyDescent="0.3">
      <c r="J18130" s="33"/>
    </row>
    <row r="18131" spans="10:10" ht="15" customHeight="1" x14ac:dyDescent="0.3">
      <c r="J18131" s="33"/>
    </row>
    <row r="18132" spans="10:10" ht="15" customHeight="1" x14ac:dyDescent="0.3">
      <c r="J18132" s="33"/>
    </row>
    <row r="18133" spans="10:10" ht="15" customHeight="1" x14ac:dyDescent="0.3">
      <c r="J18133" s="33"/>
    </row>
    <row r="18134" spans="10:10" ht="15" customHeight="1" x14ac:dyDescent="0.3">
      <c r="J18134" s="33"/>
    </row>
    <row r="18135" spans="10:10" ht="15" customHeight="1" x14ac:dyDescent="0.3">
      <c r="J18135" s="33"/>
    </row>
    <row r="18136" spans="10:10" ht="15" customHeight="1" x14ac:dyDescent="0.3">
      <c r="J18136" s="33"/>
    </row>
    <row r="18137" spans="10:10" ht="15" customHeight="1" x14ac:dyDescent="0.3">
      <c r="J18137" s="33"/>
    </row>
    <row r="18138" spans="10:10" ht="15" customHeight="1" x14ac:dyDescent="0.3">
      <c r="J18138" s="33"/>
    </row>
    <row r="18139" spans="10:10" ht="15" customHeight="1" x14ac:dyDescent="0.3">
      <c r="J18139" s="33"/>
    </row>
    <row r="18140" spans="10:10" ht="15" customHeight="1" x14ac:dyDescent="0.3">
      <c r="J18140" s="33"/>
    </row>
    <row r="18141" spans="10:10" ht="15" customHeight="1" x14ac:dyDescent="0.3">
      <c r="J18141" s="33"/>
    </row>
    <row r="18142" spans="10:10" ht="15" customHeight="1" x14ac:dyDescent="0.3">
      <c r="J18142" s="33"/>
    </row>
    <row r="18143" spans="10:10" ht="15" customHeight="1" x14ac:dyDescent="0.3">
      <c r="J18143" s="33"/>
    </row>
    <row r="18144" spans="10:10" ht="15" customHeight="1" x14ac:dyDescent="0.3">
      <c r="J18144" s="33"/>
    </row>
    <row r="18145" spans="10:10" ht="15" customHeight="1" x14ac:dyDescent="0.3">
      <c r="J18145" s="33"/>
    </row>
    <row r="18146" spans="10:10" ht="15" customHeight="1" x14ac:dyDescent="0.3">
      <c r="J18146" s="33"/>
    </row>
    <row r="18147" spans="10:10" ht="15" customHeight="1" x14ac:dyDescent="0.3">
      <c r="J18147" s="33"/>
    </row>
    <row r="18148" spans="10:10" ht="15" customHeight="1" x14ac:dyDescent="0.3">
      <c r="J18148" s="33"/>
    </row>
    <row r="18149" spans="10:10" ht="15" customHeight="1" x14ac:dyDescent="0.3">
      <c r="J18149" s="33"/>
    </row>
    <row r="18150" spans="10:10" ht="15" customHeight="1" x14ac:dyDescent="0.3">
      <c r="J18150" s="33"/>
    </row>
    <row r="18151" spans="10:10" ht="15" customHeight="1" x14ac:dyDescent="0.3">
      <c r="J18151" s="33"/>
    </row>
    <row r="18152" spans="10:10" ht="15" customHeight="1" x14ac:dyDescent="0.3">
      <c r="J18152" s="33"/>
    </row>
    <row r="18153" spans="10:10" ht="15" customHeight="1" x14ac:dyDescent="0.3">
      <c r="J18153" s="33"/>
    </row>
    <row r="18154" spans="10:10" ht="15" customHeight="1" x14ac:dyDescent="0.3">
      <c r="J18154" s="33"/>
    </row>
    <row r="18155" spans="10:10" ht="15" customHeight="1" x14ac:dyDescent="0.3">
      <c r="J18155" s="33"/>
    </row>
    <row r="18156" spans="10:10" ht="15" customHeight="1" x14ac:dyDescent="0.3">
      <c r="J18156" s="33"/>
    </row>
    <row r="18157" spans="10:10" ht="15" customHeight="1" x14ac:dyDescent="0.3">
      <c r="J18157" s="33"/>
    </row>
    <row r="18158" spans="10:10" ht="15" customHeight="1" x14ac:dyDescent="0.3">
      <c r="J18158" s="33"/>
    </row>
    <row r="18159" spans="10:10" ht="15" customHeight="1" x14ac:dyDescent="0.3">
      <c r="J18159" s="33"/>
    </row>
    <row r="18160" spans="10:10" ht="15" customHeight="1" x14ac:dyDescent="0.3">
      <c r="J18160" s="33"/>
    </row>
    <row r="18161" spans="10:10" ht="15" customHeight="1" x14ac:dyDescent="0.3">
      <c r="J18161" s="33"/>
    </row>
    <row r="18162" spans="10:10" ht="15" customHeight="1" x14ac:dyDescent="0.3">
      <c r="J18162" s="33"/>
    </row>
    <row r="18163" spans="10:10" ht="15" customHeight="1" x14ac:dyDescent="0.3">
      <c r="J18163" s="33"/>
    </row>
    <row r="18164" spans="10:10" ht="15" customHeight="1" x14ac:dyDescent="0.3">
      <c r="J18164" s="33"/>
    </row>
    <row r="18165" spans="10:10" ht="15" customHeight="1" x14ac:dyDescent="0.3">
      <c r="J18165" s="33"/>
    </row>
    <row r="18166" spans="10:10" ht="15" customHeight="1" x14ac:dyDescent="0.3">
      <c r="J18166" s="33"/>
    </row>
    <row r="18167" spans="10:10" ht="15" customHeight="1" x14ac:dyDescent="0.3">
      <c r="J18167" s="33"/>
    </row>
    <row r="18168" spans="10:10" ht="15" customHeight="1" x14ac:dyDescent="0.3">
      <c r="J18168" s="33"/>
    </row>
    <row r="18169" spans="10:10" ht="15" customHeight="1" x14ac:dyDescent="0.3">
      <c r="J18169" s="33"/>
    </row>
    <row r="18170" spans="10:10" ht="15" customHeight="1" x14ac:dyDescent="0.3">
      <c r="J18170" s="33"/>
    </row>
    <row r="18171" spans="10:10" ht="15" customHeight="1" x14ac:dyDescent="0.3">
      <c r="J18171" s="33"/>
    </row>
    <row r="18172" spans="10:10" ht="15" customHeight="1" x14ac:dyDescent="0.3">
      <c r="J18172" s="33"/>
    </row>
    <row r="18173" spans="10:10" ht="15" customHeight="1" x14ac:dyDescent="0.3">
      <c r="J18173" s="33"/>
    </row>
    <row r="18174" spans="10:10" ht="15" customHeight="1" x14ac:dyDescent="0.3">
      <c r="J18174" s="33"/>
    </row>
    <row r="18175" spans="10:10" ht="15" customHeight="1" x14ac:dyDescent="0.3">
      <c r="J18175" s="33"/>
    </row>
    <row r="18176" spans="10:10" ht="15" customHeight="1" x14ac:dyDescent="0.3">
      <c r="J18176" s="33"/>
    </row>
    <row r="18177" spans="10:10" ht="15" customHeight="1" x14ac:dyDescent="0.3">
      <c r="J18177" s="33"/>
    </row>
    <row r="18178" spans="10:10" ht="15" customHeight="1" x14ac:dyDescent="0.3">
      <c r="J18178" s="33"/>
    </row>
    <row r="18179" spans="10:10" ht="15" customHeight="1" x14ac:dyDescent="0.3">
      <c r="J18179" s="33"/>
    </row>
    <row r="18180" spans="10:10" ht="15" customHeight="1" x14ac:dyDescent="0.3">
      <c r="J18180" s="33"/>
    </row>
    <row r="18181" spans="10:10" ht="15" customHeight="1" x14ac:dyDescent="0.3">
      <c r="J18181" s="33"/>
    </row>
    <row r="18182" spans="10:10" ht="15" customHeight="1" x14ac:dyDescent="0.3">
      <c r="J18182" s="33"/>
    </row>
    <row r="18183" spans="10:10" ht="15" customHeight="1" x14ac:dyDescent="0.3">
      <c r="J18183" s="33"/>
    </row>
    <row r="18184" spans="10:10" ht="15" customHeight="1" x14ac:dyDescent="0.3">
      <c r="J18184" s="33"/>
    </row>
    <row r="18185" spans="10:10" ht="15" customHeight="1" x14ac:dyDescent="0.3">
      <c r="J18185" s="33"/>
    </row>
    <row r="18186" spans="10:10" ht="15" customHeight="1" x14ac:dyDescent="0.3">
      <c r="J18186" s="33"/>
    </row>
    <row r="18187" spans="10:10" ht="15" customHeight="1" x14ac:dyDescent="0.3">
      <c r="J18187" s="33"/>
    </row>
    <row r="18188" spans="10:10" ht="15" customHeight="1" x14ac:dyDescent="0.3">
      <c r="J18188" s="33"/>
    </row>
    <row r="18189" spans="10:10" ht="15" customHeight="1" x14ac:dyDescent="0.3">
      <c r="J18189" s="33"/>
    </row>
    <row r="18190" spans="10:10" ht="15" customHeight="1" x14ac:dyDescent="0.3">
      <c r="J18190" s="33"/>
    </row>
    <row r="18191" spans="10:10" ht="15" customHeight="1" x14ac:dyDescent="0.3">
      <c r="J18191" s="33"/>
    </row>
    <row r="18192" spans="10:10" ht="15" customHeight="1" x14ac:dyDescent="0.3">
      <c r="J18192" s="33"/>
    </row>
    <row r="18193" spans="10:10" ht="15" customHeight="1" x14ac:dyDescent="0.3">
      <c r="J18193" s="33"/>
    </row>
    <row r="18194" spans="10:10" ht="15" customHeight="1" x14ac:dyDescent="0.3">
      <c r="J18194" s="33"/>
    </row>
    <row r="18195" spans="10:10" ht="15" customHeight="1" x14ac:dyDescent="0.3">
      <c r="J18195" s="33"/>
    </row>
    <row r="18196" spans="10:10" ht="15" customHeight="1" x14ac:dyDescent="0.3">
      <c r="J18196" s="33"/>
    </row>
    <row r="18197" spans="10:10" ht="15" customHeight="1" x14ac:dyDescent="0.3">
      <c r="J18197" s="33"/>
    </row>
    <row r="18198" spans="10:10" ht="15" customHeight="1" x14ac:dyDescent="0.3">
      <c r="J18198" s="33"/>
    </row>
    <row r="18199" spans="10:10" ht="15" customHeight="1" x14ac:dyDescent="0.3">
      <c r="J18199" s="33"/>
    </row>
    <row r="18200" spans="10:10" ht="15" customHeight="1" x14ac:dyDescent="0.3">
      <c r="J18200" s="33"/>
    </row>
    <row r="18201" spans="10:10" ht="15" customHeight="1" x14ac:dyDescent="0.3">
      <c r="J18201" s="33"/>
    </row>
    <row r="18202" spans="10:10" ht="15" customHeight="1" x14ac:dyDescent="0.3">
      <c r="J18202" s="33"/>
    </row>
    <row r="18203" spans="10:10" ht="15" customHeight="1" x14ac:dyDescent="0.3">
      <c r="J18203" s="33"/>
    </row>
    <row r="18204" spans="10:10" ht="15" customHeight="1" x14ac:dyDescent="0.3">
      <c r="J18204" s="33"/>
    </row>
    <row r="18205" spans="10:10" ht="15" customHeight="1" x14ac:dyDescent="0.3">
      <c r="J18205" s="33"/>
    </row>
    <row r="18206" spans="10:10" ht="15" customHeight="1" x14ac:dyDescent="0.3">
      <c r="J18206" s="33"/>
    </row>
    <row r="18207" spans="10:10" ht="15" customHeight="1" x14ac:dyDescent="0.3">
      <c r="J18207" s="33"/>
    </row>
    <row r="18208" spans="10:10" ht="15" customHeight="1" x14ac:dyDescent="0.3">
      <c r="J18208" s="33"/>
    </row>
    <row r="18209" spans="10:10" ht="15" customHeight="1" x14ac:dyDescent="0.3">
      <c r="J18209" s="33"/>
    </row>
    <row r="18210" spans="10:10" ht="15" customHeight="1" x14ac:dyDescent="0.3">
      <c r="J18210" s="33"/>
    </row>
    <row r="18211" spans="10:10" ht="15" customHeight="1" x14ac:dyDescent="0.3">
      <c r="J18211" s="33"/>
    </row>
    <row r="18212" spans="10:10" ht="15" customHeight="1" x14ac:dyDescent="0.3">
      <c r="J18212" s="33"/>
    </row>
    <row r="18213" spans="10:10" ht="15" customHeight="1" x14ac:dyDescent="0.3">
      <c r="J18213" s="33"/>
    </row>
    <row r="18214" spans="10:10" ht="15" customHeight="1" x14ac:dyDescent="0.3">
      <c r="J18214" s="33"/>
    </row>
    <row r="18215" spans="10:10" ht="15" customHeight="1" x14ac:dyDescent="0.3">
      <c r="J18215" s="33"/>
    </row>
    <row r="18216" spans="10:10" ht="15" customHeight="1" x14ac:dyDescent="0.3">
      <c r="J18216" s="33"/>
    </row>
    <row r="18217" spans="10:10" ht="15" customHeight="1" x14ac:dyDescent="0.3">
      <c r="J18217" s="33"/>
    </row>
    <row r="18218" spans="10:10" ht="15" customHeight="1" x14ac:dyDescent="0.3">
      <c r="J18218" s="33"/>
    </row>
    <row r="18219" spans="10:10" ht="15" customHeight="1" x14ac:dyDescent="0.3">
      <c r="J18219" s="33"/>
    </row>
    <row r="18220" spans="10:10" ht="15" customHeight="1" x14ac:dyDescent="0.3">
      <c r="J18220" s="33"/>
    </row>
    <row r="18221" spans="10:10" ht="15" customHeight="1" x14ac:dyDescent="0.3">
      <c r="J18221" s="33"/>
    </row>
    <row r="18222" spans="10:10" ht="15" customHeight="1" x14ac:dyDescent="0.3">
      <c r="J18222" s="33"/>
    </row>
    <row r="18223" spans="10:10" ht="15" customHeight="1" x14ac:dyDescent="0.3">
      <c r="J18223" s="33"/>
    </row>
    <row r="18224" spans="10:10" ht="15" customHeight="1" x14ac:dyDescent="0.3">
      <c r="J18224" s="33"/>
    </row>
    <row r="18225" spans="10:10" ht="15" customHeight="1" x14ac:dyDescent="0.3">
      <c r="J18225" s="33"/>
    </row>
    <row r="18226" spans="10:10" ht="15" customHeight="1" x14ac:dyDescent="0.3">
      <c r="J18226" s="33"/>
    </row>
    <row r="18227" spans="10:10" ht="15" customHeight="1" x14ac:dyDescent="0.3">
      <c r="J18227" s="33"/>
    </row>
    <row r="18228" spans="10:10" ht="15" customHeight="1" x14ac:dyDescent="0.3">
      <c r="J18228" s="33"/>
    </row>
    <row r="18229" spans="10:10" ht="15" customHeight="1" x14ac:dyDescent="0.3">
      <c r="J18229" s="33"/>
    </row>
    <row r="18230" spans="10:10" ht="15" customHeight="1" x14ac:dyDescent="0.3">
      <c r="J18230" s="33"/>
    </row>
    <row r="18231" spans="10:10" ht="15" customHeight="1" x14ac:dyDescent="0.3">
      <c r="J18231" s="33"/>
    </row>
    <row r="18232" spans="10:10" ht="15" customHeight="1" x14ac:dyDescent="0.3">
      <c r="J18232" s="33"/>
    </row>
    <row r="18233" spans="10:10" ht="15" customHeight="1" x14ac:dyDescent="0.3">
      <c r="J18233" s="33"/>
    </row>
    <row r="18234" spans="10:10" ht="15" customHeight="1" x14ac:dyDescent="0.3">
      <c r="J18234" s="33"/>
    </row>
    <row r="18235" spans="10:10" ht="15" customHeight="1" x14ac:dyDescent="0.3">
      <c r="J18235" s="33"/>
    </row>
    <row r="18236" spans="10:10" ht="15" customHeight="1" x14ac:dyDescent="0.3">
      <c r="J18236" s="33"/>
    </row>
    <row r="18237" spans="10:10" ht="15" customHeight="1" x14ac:dyDescent="0.3">
      <c r="J18237" s="33"/>
    </row>
    <row r="18238" spans="10:10" ht="15" customHeight="1" x14ac:dyDescent="0.3">
      <c r="J18238" s="33"/>
    </row>
    <row r="18239" spans="10:10" ht="15" customHeight="1" x14ac:dyDescent="0.3">
      <c r="J18239" s="33"/>
    </row>
    <row r="18240" spans="10:10" ht="15" customHeight="1" x14ac:dyDescent="0.3">
      <c r="J18240" s="33"/>
    </row>
    <row r="18241" spans="10:10" ht="15" customHeight="1" x14ac:dyDescent="0.3">
      <c r="J18241" s="33"/>
    </row>
    <row r="18242" spans="10:10" ht="15" customHeight="1" x14ac:dyDescent="0.3">
      <c r="J18242" s="33"/>
    </row>
    <row r="18243" spans="10:10" ht="15" customHeight="1" x14ac:dyDescent="0.3">
      <c r="J18243" s="33"/>
    </row>
    <row r="18244" spans="10:10" ht="15" customHeight="1" x14ac:dyDescent="0.3">
      <c r="J18244" s="33"/>
    </row>
    <row r="18245" spans="10:10" ht="15" customHeight="1" x14ac:dyDescent="0.3">
      <c r="J18245" s="33"/>
    </row>
    <row r="18246" spans="10:10" ht="15" customHeight="1" x14ac:dyDescent="0.3">
      <c r="J18246" s="33"/>
    </row>
    <row r="18247" spans="10:10" ht="15" customHeight="1" x14ac:dyDescent="0.3">
      <c r="J18247" s="33"/>
    </row>
    <row r="18248" spans="10:10" ht="15" customHeight="1" x14ac:dyDescent="0.3">
      <c r="J18248" s="33"/>
    </row>
    <row r="18249" spans="10:10" ht="15" customHeight="1" x14ac:dyDescent="0.3">
      <c r="J18249" s="33"/>
    </row>
    <row r="18250" spans="10:10" ht="15" customHeight="1" x14ac:dyDescent="0.3">
      <c r="J18250" s="33"/>
    </row>
    <row r="18251" spans="10:10" ht="15" customHeight="1" x14ac:dyDescent="0.3">
      <c r="J18251" s="33"/>
    </row>
    <row r="18252" spans="10:10" ht="15" customHeight="1" x14ac:dyDescent="0.3">
      <c r="J18252" s="33"/>
    </row>
    <row r="18253" spans="10:10" ht="15" customHeight="1" x14ac:dyDescent="0.3">
      <c r="J18253" s="33"/>
    </row>
    <row r="18254" spans="10:10" ht="15" customHeight="1" x14ac:dyDescent="0.3">
      <c r="J18254" s="33"/>
    </row>
    <row r="18255" spans="10:10" ht="15" customHeight="1" x14ac:dyDescent="0.3">
      <c r="J18255" s="33"/>
    </row>
    <row r="18256" spans="10:10" ht="15" customHeight="1" x14ac:dyDescent="0.3">
      <c r="J18256" s="33"/>
    </row>
    <row r="18257" spans="10:10" ht="15" customHeight="1" x14ac:dyDescent="0.3">
      <c r="J18257" s="33"/>
    </row>
    <row r="18258" spans="10:10" ht="15" customHeight="1" x14ac:dyDescent="0.3">
      <c r="J18258" s="33"/>
    </row>
    <row r="18259" spans="10:10" ht="15" customHeight="1" x14ac:dyDescent="0.3">
      <c r="J18259" s="33"/>
    </row>
    <row r="18260" spans="10:10" ht="15" customHeight="1" x14ac:dyDescent="0.3">
      <c r="J18260" s="33"/>
    </row>
    <row r="18261" spans="10:10" ht="15" customHeight="1" x14ac:dyDescent="0.3">
      <c r="J18261" s="33"/>
    </row>
    <row r="18262" spans="10:10" ht="15" customHeight="1" x14ac:dyDescent="0.3">
      <c r="J18262" s="33"/>
    </row>
    <row r="18263" spans="10:10" ht="15" customHeight="1" x14ac:dyDescent="0.3">
      <c r="J18263" s="33"/>
    </row>
    <row r="18264" spans="10:10" ht="15" customHeight="1" x14ac:dyDescent="0.3">
      <c r="J18264" s="33"/>
    </row>
    <row r="18265" spans="10:10" ht="15" customHeight="1" x14ac:dyDescent="0.3">
      <c r="J18265" s="33"/>
    </row>
    <row r="18266" spans="10:10" ht="15" customHeight="1" x14ac:dyDescent="0.3">
      <c r="J18266" s="33"/>
    </row>
    <row r="18267" spans="10:10" ht="15" customHeight="1" x14ac:dyDescent="0.3">
      <c r="J18267" s="33"/>
    </row>
    <row r="18268" spans="10:10" ht="15" customHeight="1" x14ac:dyDescent="0.3">
      <c r="J18268" s="33"/>
    </row>
    <row r="18269" spans="10:10" ht="15" customHeight="1" x14ac:dyDescent="0.3">
      <c r="J18269" s="33"/>
    </row>
    <row r="18270" spans="10:10" ht="15" customHeight="1" x14ac:dyDescent="0.3">
      <c r="J18270" s="33"/>
    </row>
    <row r="18271" spans="10:10" ht="15" customHeight="1" x14ac:dyDescent="0.3">
      <c r="J18271" s="33"/>
    </row>
    <row r="18272" spans="10:10" ht="15" customHeight="1" x14ac:dyDescent="0.3">
      <c r="J18272" s="33"/>
    </row>
    <row r="18273" spans="10:10" ht="15" customHeight="1" x14ac:dyDescent="0.3">
      <c r="J18273" s="33"/>
    </row>
    <row r="18274" spans="10:10" ht="15" customHeight="1" x14ac:dyDescent="0.3">
      <c r="J18274" s="33"/>
    </row>
    <row r="18275" spans="10:10" ht="15" customHeight="1" x14ac:dyDescent="0.3">
      <c r="J18275" s="33"/>
    </row>
    <row r="18276" spans="10:10" ht="15" customHeight="1" x14ac:dyDescent="0.3">
      <c r="J18276" s="33"/>
    </row>
    <row r="18277" spans="10:10" ht="15" customHeight="1" x14ac:dyDescent="0.3">
      <c r="J18277" s="33"/>
    </row>
    <row r="18278" spans="10:10" ht="15" customHeight="1" x14ac:dyDescent="0.3">
      <c r="J18278" s="33"/>
    </row>
    <row r="18279" spans="10:10" ht="15" customHeight="1" x14ac:dyDescent="0.3">
      <c r="J18279" s="33"/>
    </row>
    <row r="18280" spans="10:10" ht="15" customHeight="1" x14ac:dyDescent="0.3">
      <c r="J18280" s="33"/>
    </row>
    <row r="18281" spans="10:10" ht="15" customHeight="1" x14ac:dyDescent="0.3">
      <c r="J18281" s="33"/>
    </row>
    <row r="18282" spans="10:10" ht="15" customHeight="1" x14ac:dyDescent="0.3">
      <c r="J18282" s="33"/>
    </row>
    <row r="18283" spans="10:10" ht="15" customHeight="1" x14ac:dyDescent="0.3">
      <c r="J18283" s="33"/>
    </row>
    <row r="18284" spans="10:10" ht="15" customHeight="1" x14ac:dyDescent="0.3">
      <c r="J18284" s="33"/>
    </row>
    <row r="18285" spans="10:10" ht="15" customHeight="1" x14ac:dyDescent="0.3">
      <c r="J18285" s="33"/>
    </row>
    <row r="18286" spans="10:10" ht="15" customHeight="1" x14ac:dyDescent="0.3">
      <c r="J18286" s="33"/>
    </row>
    <row r="18287" spans="10:10" ht="15" customHeight="1" x14ac:dyDescent="0.3">
      <c r="J18287" s="33"/>
    </row>
    <row r="18288" spans="10:10" ht="15" customHeight="1" x14ac:dyDescent="0.3">
      <c r="J18288" s="33"/>
    </row>
    <row r="18289" spans="10:10" ht="15" customHeight="1" x14ac:dyDescent="0.3">
      <c r="J18289" s="33"/>
    </row>
    <row r="18290" spans="10:10" ht="15" customHeight="1" x14ac:dyDescent="0.3">
      <c r="J18290" s="33"/>
    </row>
    <row r="18291" spans="10:10" ht="15" customHeight="1" x14ac:dyDescent="0.3">
      <c r="J18291" s="33"/>
    </row>
    <row r="18292" spans="10:10" ht="15" customHeight="1" x14ac:dyDescent="0.3">
      <c r="J18292" s="33"/>
    </row>
    <row r="18293" spans="10:10" ht="15" customHeight="1" x14ac:dyDescent="0.3">
      <c r="J18293" s="33"/>
    </row>
    <row r="18294" spans="10:10" ht="15" customHeight="1" x14ac:dyDescent="0.3">
      <c r="J18294" s="33"/>
    </row>
    <row r="18295" spans="10:10" ht="15" customHeight="1" x14ac:dyDescent="0.3">
      <c r="J18295" s="33"/>
    </row>
    <row r="18296" spans="10:10" ht="15" customHeight="1" x14ac:dyDescent="0.3">
      <c r="J18296" s="33"/>
    </row>
    <row r="18297" spans="10:10" ht="15" customHeight="1" x14ac:dyDescent="0.3">
      <c r="J18297" s="33"/>
    </row>
    <row r="18298" spans="10:10" ht="15" customHeight="1" x14ac:dyDescent="0.3">
      <c r="J18298" s="33"/>
    </row>
    <row r="18299" spans="10:10" ht="15" customHeight="1" x14ac:dyDescent="0.3">
      <c r="J18299" s="33"/>
    </row>
    <row r="18300" spans="10:10" ht="15" customHeight="1" x14ac:dyDescent="0.3">
      <c r="J18300" s="33"/>
    </row>
    <row r="18301" spans="10:10" ht="15" customHeight="1" x14ac:dyDescent="0.3">
      <c r="J18301" s="33"/>
    </row>
    <row r="18302" spans="10:10" ht="15" customHeight="1" x14ac:dyDescent="0.3">
      <c r="J18302" s="33"/>
    </row>
    <row r="18303" spans="10:10" ht="15" customHeight="1" x14ac:dyDescent="0.3">
      <c r="J18303" s="33"/>
    </row>
    <row r="18304" spans="10:10" ht="15" customHeight="1" x14ac:dyDescent="0.3">
      <c r="J18304" s="33"/>
    </row>
    <row r="18305" spans="10:10" ht="15" customHeight="1" x14ac:dyDescent="0.3">
      <c r="J18305" s="33"/>
    </row>
    <row r="18306" spans="10:10" ht="15" customHeight="1" x14ac:dyDescent="0.3">
      <c r="J18306" s="33"/>
    </row>
    <row r="18307" spans="10:10" ht="15" customHeight="1" x14ac:dyDescent="0.3">
      <c r="J18307" s="33"/>
    </row>
    <row r="18308" spans="10:10" ht="15" customHeight="1" x14ac:dyDescent="0.3">
      <c r="J18308" s="33"/>
    </row>
    <row r="18309" spans="10:10" ht="15" customHeight="1" x14ac:dyDescent="0.3">
      <c r="J18309" s="33"/>
    </row>
    <row r="18310" spans="10:10" ht="15" customHeight="1" x14ac:dyDescent="0.3">
      <c r="J18310" s="33"/>
    </row>
    <row r="18311" spans="10:10" ht="15" customHeight="1" x14ac:dyDescent="0.3">
      <c r="J18311" s="33"/>
    </row>
    <row r="18312" spans="10:10" ht="15" customHeight="1" x14ac:dyDescent="0.3">
      <c r="J18312" s="33"/>
    </row>
    <row r="18313" spans="10:10" ht="15" customHeight="1" x14ac:dyDescent="0.3">
      <c r="J18313" s="33"/>
    </row>
    <row r="18314" spans="10:10" ht="15" customHeight="1" x14ac:dyDescent="0.3">
      <c r="J18314" s="33"/>
    </row>
    <row r="18315" spans="10:10" ht="15" customHeight="1" x14ac:dyDescent="0.3">
      <c r="J18315" s="33"/>
    </row>
    <row r="18316" spans="10:10" ht="15" customHeight="1" x14ac:dyDescent="0.3">
      <c r="J18316" s="33"/>
    </row>
    <row r="18317" spans="10:10" ht="15" customHeight="1" x14ac:dyDescent="0.3">
      <c r="J18317" s="33"/>
    </row>
    <row r="18318" spans="10:10" ht="15" customHeight="1" x14ac:dyDescent="0.3">
      <c r="J18318" s="33"/>
    </row>
    <row r="18319" spans="10:10" ht="15" customHeight="1" x14ac:dyDescent="0.3">
      <c r="J18319" s="33"/>
    </row>
    <row r="18320" spans="10:10" ht="15" customHeight="1" x14ac:dyDescent="0.3">
      <c r="J18320" s="33"/>
    </row>
    <row r="18321" spans="10:10" ht="15" customHeight="1" x14ac:dyDescent="0.3">
      <c r="J18321" s="33"/>
    </row>
    <row r="18322" spans="10:10" ht="15" customHeight="1" x14ac:dyDescent="0.3">
      <c r="J18322" s="33"/>
    </row>
    <row r="18323" spans="10:10" ht="15" customHeight="1" x14ac:dyDescent="0.3">
      <c r="J18323" s="33"/>
    </row>
    <row r="18324" spans="10:10" ht="15" customHeight="1" x14ac:dyDescent="0.3">
      <c r="J18324" s="33"/>
    </row>
    <row r="18325" spans="10:10" ht="15" customHeight="1" x14ac:dyDescent="0.3">
      <c r="J18325" s="33"/>
    </row>
    <row r="18326" spans="10:10" ht="15" customHeight="1" x14ac:dyDescent="0.3">
      <c r="J18326" s="33"/>
    </row>
    <row r="18327" spans="10:10" ht="15" customHeight="1" x14ac:dyDescent="0.3">
      <c r="J18327" s="33"/>
    </row>
    <row r="18328" spans="10:10" ht="15" customHeight="1" x14ac:dyDescent="0.3">
      <c r="J18328" s="33"/>
    </row>
    <row r="18329" spans="10:10" ht="15" customHeight="1" x14ac:dyDescent="0.3">
      <c r="J18329" s="33"/>
    </row>
    <row r="18330" spans="10:10" ht="15" customHeight="1" x14ac:dyDescent="0.3">
      <c r="J18330" s="33"/>
    </row>
    <row r="18331" spans="10:10" ht="15" customHeight="1" x14ac:dyDescent="0.3">
      <c r="J18331" s="33"/>
    </row>
    <row r="18332" spans="10:10" ht="15" customHeight="1" x14ac:dyDescent="0.3">
      <c r="J18332" s="33"/>
    </row>
    <row r="18333" spans="10:10" ht="15" customHeight="1" x14ac:dyDescent="0.3">
      <c r="J18333" s="33"/>
    </row>
    <row r="18334" spans="10:10" ht="15" customHeight="1" x14ac:dyDescent="0.3">
      <c r="J18334" s="33"/>
    </row>
    <row r="18335" spans="10:10" ht="15" customHeight="1" x14ac:dyDescent="0.3">
      <c r="J18335" s="33"/>
    </row>
    <row r="18336" spans="10:10" ht="15" customHeight="1" x14ac:dyDescent="0.3">
      <c r="J18336" s="33"/>
    </row>
    <row r="18337" spans="10:10" ht="15" customHeight="1" x14ac:dyDescent="0.3">
      <c r="J18337" s="33"/>
    </row>
    <row r="18338" spans="10:10" ht="15" customHeight="1" x14ac:dyDescent="0.3">
      <c r="J18338" s="33"/>
    </row>
    <row r="18339" spans="10:10" ht="15" customHeight="1" x14ac:dyDescent="0.3">
      <c r="J18339" s="33"/>
    </row>
    <row r="18340" spans="10:10" ht="15" customHeight="1" x14ac:dyDescent="0.3">
      <c r="J18340" s="33"/>
    </row>
    <row r="18341" spans="10:10" ht="15" customHeight="1" x14ac:dyDescent="0.3">
      <c r="J18341" s="33"/>
    </row>
    <row r="18342" spans="10:10" ht="15" customHeight="1" x14ac:dyDescent="0.3">
      <c r="J18342" s="33"/>
    </row>
    <row r="18343" spans="10:10" ht="15" customHeight="1" x14ac:dyDescent="0.3">
      <c r="J18343" s="33"/>
    </row>
    <row r="18344" spans="10:10" ht="15" customHeight="1" x14ac:dyDescent="0.3">
      <c r="J18344" s="33"/>
    </row>
    <row r="18345" spans="10:10" ht="15" customHeight="1" x14ac:dyDescent="0.3">
      <c r="J18345" s="33"/>
    </row>
    <row r="18346" spans="10:10" ht="15" customHeight="1" x14ac:dyDescent="0.3">
      <c r="J18346" s="33"/>
    </row>
    <row r="18347" spans="10:10" ht="15" customHeight="1" x14ac:dyDescent="0.3">
      <c r="J18347" s="33"/>
    </row>
    <row r="18348" spans="10:10" ht="15" customHeight="1" x14ac:dyDescent="0.3">
      <c r="J18348" s="33"/>
    </row>
    <row r="18349" spans="10:10" ht="15" customHeight="1" x14ac:dyDescent="0.3">
      <c r="J18349" s="33"/>
    </row>
    <row r="18350" spans="10:10" ht="15" customHeight="1" x14ac:dyDescent="0.3">
      <c r="J18350" s="33"/>
    </row>
    <row r="18351" spans="10:10" ht="15" customHeight="1" x14ac:dyDescent="0.3">
      <c r="J18351" s="33"/>
    </row>
    <row r="18352" spans="10:10" ht="15" customHeight="1" x14ac:dyDescent="0.3">
      <c r="J18352" s="33"/>
    </row>
    <row r="18353" spans="10:10" ht="15" customHeight="1" x14ac:dyDescent="0.3">
      <c r="J18353" s="33"/>
    </row>
    <row r="18354" spans="10:10" ht="15" customHeight="1" x14ac:dyDescent="0.3">
      <c r="J18354" s="33"/>
    </row>
    <row r="18355" spans="10:10" ht="15" customHeight="1" x14ac:dyDescent="0.3">
      <c r="J18355" s="33"/>
    </row>
    <row r="18356" spans="10:10" ht="15" customHeight="1" x14ac:dyDescent="0.3">
      <c r="J18356" s="33"/>
    </row>
    <row r="18357" spans="10:10" ht="15" customHeight="1" x14ac:dyDescent="0.3">
      <c r="J18357" s="33"/>
    </row>
    <row r="18358" spans="10:10" ht="15" customHeight="1" x14ac:dyDescent="0.3">
      <c r="J18358" s="33"/>
    </row>
    <row r="18359" spans="10:10" ht="15" customHeight="1" x14ac:dyDescent="0.3">
      <c r="J18359" s="33"/>
    </row>
    <row r="18360" spans="10:10" ht="15" customHeight="1" x14ac:dyDescent="0.3">
      <c r="J18360" s="33"/>
    </row>
    <row r="18361" spans="10:10" ht="15" customHeight="1" x14ac:dyDescent="0.3">
      <c r="J18361" s="33"/>
    </row>
    <row r="18362" spans="10:10" ht="15" customHeight="1" x14ac:dyDescent="0.3">
      <c r="J18362" s="33"/>
    </row>
    <row r="18363" spans="10:10" ht="15" customHeight="1" x14ac:dyDescent="0.3">
      <c r="J18363" s="33"/>
    </row>
    <row r="18364" spans="10:10" ht="15" customHeight="1" x14ac:dyDescent="0.3">
      <c r="J18364" s="33"/>
    </row>
    <row r="18365" spans="10:10" ht="15" customHeight="1" x14ac:dyDescent="0.3">
      <c r="J18365" s="33"/>
    </row>
    <row r="18366" spans="10:10" ht="15" customHeight="1" x14ac:dyDescent="0.3">
      <c r="J18366" s="33"/>
    </row>
    <row r="18367" spans="10:10" ht="15" customHeight="1" x14ac:dyDescent="0.3">
      <c r="J18367" s="33"/>
    </row>
    <row r="18368" spans="10:10" ht="15" customHeight="1" x14ac:dyDescent="0.3">
      <c r="J18368" s="33"/>
    </row>
    <row r="18369" spans="10:10" ht="15" customHeight="1" x14ac:dyDescent="0.3">
      <c r="J18369" s="33"/>
    </row>
    <row r="18370" spans="10:10" ht="15" customHeight="1" x14ac:dyDescent="0.3">
      <c r="J18370" s="33"/>
    </row>
    <row r="18371" spans="10:10" ht="15" customHeight="1" x14ac:dyDescent="0.3">
      <c r="J18371" s="33"/>
    </row>
    <row r="18372" spans="10:10" ht="15" customHeight="1" x14ac:dyDescent="0.3">
      <c r="J18372" s="33"/>
    </row>
    <row r="18373" spans="10:10" ht="15" customHeight="1" x14ac:dyDescent="0.3">
      <c r="J18373" s="33"/>
    </row>
    <row r="18374" spans="10:10" ht="15" customHeight="1" x14ac:dyDescent="0.3">
      <c r="J18374" s="33"/>
    </row>
    <row r="18375" spans="10:10" ht="15" customHeight="1" x14ac:dyDescent="0.3">
      <c r="J18375" s="33"/>
    </row>
    <row r="18376" spans="10:10" ht="15" customHeight="1" x14ac:dyDescent="0.3">
      <c r="J18376" s="33"/>
    </row>
    <row r="18377" spans="10:10" ht="15" customHeight="1" x14ac:dyDescent="0.3">
      <c r="J18377" s="33"/>
    </row>
    <row r="18378" spans="10:10" ht="15" customHeight="1" x14ac:dyDescent="0.3">
      <c r="J18378" s="33"/>
    </row>
    <row r="18379" spans="10:10" ht="15" customHeight="1" x14ac:dyDescent="0.3">
      <c r="J18379" s="33"/>
    </row>
    <row r="18380" spans="10:10" ht="15" customHeight="1" x14ac:dyDescent="0.3">
      <c r="J18380" s="33"/>
    </row>
    <row r="18381" spans="10:10" ht="15" customHeight="1" x14ac:dyDescent="0.3">
      <c r="J18381" s="33"/>
    </row>
    <row r="18382" spans="10:10" ht="15" customHeight="1" x14ac:dyDescent="0.3">
      <c r="J18382" s="33"/>
    </row>
    <row r="18383" spans="10:10" ht="15" customHeight="1" x14ac:dyDescent="0.3">
      <c r="J18383" s="33"/>
    </row>
    <row r="18384" spans="10:10" ht="15" customHeight="1" x14ac:dyDescent="0.3">
      <c r="J18384" s="33"/>
    </row>
    <row r="18385" spans="10:10" ht="15" customHeight="1" x14ac:dyDescent="0.3">
      <c r="J18385" s="33"/>
    </row>
    <row r="18386" spans="10:10" ht="15" customHeight="1" x14ac:dyDescent="0.3">
      <c r="J18386" s="33"/>
    </row>
    <row r="18387" spans="10:10" ht="15" customHeight="1" x14ac:dyDescent="0.3">
      <c r="J18387" s="33"/>
    </row>
    <row r="18388" spans="10:10" ht="15" customHeight="1" x14ac:dyDescent="0.3">
      <c r="J18388" s="33"/>
    </row>
    <row r="18389" spans="10:10" ht="15" customHeight="1" x14ac:dyDescent="0.3">
      <c r="J18389" s="33"/>
    </row>
    <row r="18390" spans="10:10" ht="15" customHeight="1" x14ac:dyDescent="0.3">
      <c r="J18390" s="33"/>
    </row>
    <row r="18391" spans="10:10" ht="15" customHeight="1" x14ac:dyDescent="0.3">
      <c r="J18391" s="33"/>
    </row>
    <row r="18392" spans="10:10" ht="15" customHeight="1" x14ac:dyDescent="0.3">
      <c r="J18392" s="33"/>
    </row>
    <row r="18393" spans="10:10" ht="15" customHeight="1" x14ac:dyDescent="0.3">
      <c r="J18393" s="33"/>
    </row>
    <row r="18394" spans="10:10" ht="15" customHeight="1" x14ac:dyDescent="0.3">
      <c r="J18394" s="33"/>
    </row>
    <row r="18395" spans="10:10" ht="15" customHeight="1" x14ac:dyDescent="0.3">
      <c r="J18395" s="33"/>
    </row>
    <row r="18396" spans="10:10" ht="15" customHeight="1" x14ac:dyDescent="0.3">
      <c r="J18396" s="33"/>
    </row>
    <row r="18397" spans="10:10" ht="15" customHeight="1" x14ac:dyDescent="0.3">
      <c r="J18397" s="33"/>
    </row>
    <row r="18398" spans="10:10" ht="15" customHeight="1" x14ac:dyDescent="0.3">
      <c r="J18398" s="33"/>
    </row>
    <row r="18399" spans="10:10" ht="15" customHeight="1" x14ac:dyDescent="0.3">
      <c r="J18399" s="33"/>
    </row>
    <row r="18400" spans="10:10" ht="15" customHeight="1" x14ac:dyDescent="0.3">
      <c r="J18400" s="33"/>
    </row>
    <row r="18401" spans="10:10" ht="15" customHeight="1" x14ac:dyDescent="0.3">
      <c r="J18401" s="33"/>
    </row>
    <row r="18402" spans="10:10" ht="15" customHeight="1" x14ac:dyDescent="0.3">
      <c r="J18402" s="33"/>
    </row>
    <row r="18403" spans="10:10" ht="15" customHeight="1" x14ac:dyDescent="0.3">
      <c r="J18403" s="33"/>
    </row>
    <row r="18404" spans="10:10" ht="15" customHeight="1" x14ac:dyDescent="0.3">
      <c r="J18404" s="33"/>
    </row>
    <row r="18405" spans="10:10" ht="15" customHeight="1" x14ac:dyDescent="0.3">
      <c r="J18405" s="33"/>
    </row>
    <row r="18406" spans="10:10" ht="15" customHeight="1" x14ac:dyDescent="0.3">
      <c r="J18406" s="33"/>
    </row>
    <row r="18407" spans="10:10" ht="15" customHeight="1" x14ac:dyDescent="0.3">
      <c r="J18407" s="33"/>
    </row>
    <row r="18408" spans="10:10" ht="15" customHeight="1" x14ac:dyDescent="0.3">
      <c r="J18408" s="33"/>
    </row>
    <row r="18409" spans="10:10" ht="15" customHeight="1" x14ac:dyDescent="0.3">
      <c r="J18409" s="33"/>
    </row>
    <row r="18410" spans="10:10" ht="15" customHeight="1" x14ac:dyDescent="0.3">
      <c r="J18410" s="33"/>
    </row>
    <row r="18411" spans="10:10" ht="15" customHeight="1" x14ac:dyDescent="0.3">
      <c r="J18411" s="33"/>
    </row>
    <row r="18412" spans="10:10" ht="15" customHeight="1" x14ac:dyDescent="0.3">
      <c r="J18412" s="33"/>
    </row>
    <row r="18413" spans="10:10" ht="15" customHeight="1" x14ac:dyDescent="0.3">
      <c r="J18413" s="33"/>
    </row>
    <row r="18414" spans="10:10" ht="15" customHeight="1" x14ac:dyDescent="0.3">
      <c r="J18414" s="33"/>
    </row>
    <row r="18415" spans="10:10" ht="15" customHeight="1" x14ac:dyDescent="0.3">
      <c r="J18415" s="33"/>
    </row>
    <row r="18416" spans="10:10" ht="15" customHeight="1" x14ac:dyDescent="0.3">
      <c r="J18416" s="33"/>
    </row>
    <row r="18417" spans="10:10" ht="15" customHeight="1" x14ac:dyDescent="0.3">
      <c r="J18417" s="33"/>
    </row>
    <row r="18418" spans="10:10" ht="15" customHeight="1" x14ac:dyDescent="0.3">
      <c r="J18418" s="33"/>
    </row>
    <row r="18419" spans="10:10" ht="15" customHeight="1" x14ac:dyDescent="0.3">
      <c r="J18419" s="33"/>
    </row>
    <row r="18420" spans="10:10" ht="15" customHeight="1" x14ac:dyDescent="0.3">
      <c r="J18420" s="33"/>
    </row>
    <row r="18421" spans="10:10" ht="15" customHeight="1" x14ac:dyDescent="0.3">
      <c r="J18421" s="33"/>
    </row>
    <row r="18422" spans="10:10" ht="15" customHeight="1" x14ac:dyDescent="0.3">
      <c r="J18422" s="33"/>
    </row>
    <row r="18423" spans="10:10" ht="15" customHeight="1" x14ac:dyDescent="0.3">
      <c r="J18423" s="33"/>
    </row>
    <row r="18424" spans="10:10" ht="15" customHeight="1" x14ac:dyDescent="0.3">
      <c r="J18424" s="33"/>
    </row>
    <row r="18425" spans="10:10" ht="15" customHeight="1" x14ac:dyDescent="0.3">
      <c r="J18425" s="33"/>
    </row>
    <row r="18426" spans="10:10" ht="15" customHeight="1" x14ac:dyDescent="0.3">
      <c r="J18426" s="33"/>
    </row>
    <row r="18427" spans="10:10" ht="15" customHeight="1" x14ac:dyDescent="0.3">
      <c r="J18427" s="33"/>
    </row>
    <row r="18428" spans="10:10" ht="15" customHeight="1" x14ac:dyDescent="0.3">
      <c r="J18428" s="33"/>
    </row>
    <row r="18429" spans="10:10" ht="15" customHeight="1" x14ac:dyDescent="0.3">
      <c r="J18429" s="33"/>
    </row>
    <row r="18430" spans="10:10" ht="15" customHeight="1" x14ac:dyDescent="0.3">
      <c r="J18430" s="33"/>
    </row>
    <row r="18431" spans="10:10" ht="15" customHeight="1" x14ac:dyDescent="0.3">
      <c r="J18431" s="33"/>
    </row>
    <row r="18432" spans="10:10" ht="15" customHeight="1" x14ac:dyDescent="0.3">
      <c r="J18432" s="33"/>
    </row>
    <row r="18433" spans="10:10" ht="15" customHeight="1" x14ac:dyDescent="0.3">
      <c r="J18433" s="33"/>
    </row>
    <row r="18434" spans="10:10" ht="15" customHeight="1" x14ac:dyDescent="0.3">
      <c r="J18434" s="33"/>
    </row>
    <row r="18435" spans="10:10" ht="15" customHeight="1" x14ac:dyDescent="0.3">
      <c r="J18435" s="33"/>
    </row>
    <row r="18436" spans="10:10" ht="15" customHeight="1" x14ac:dyDescent="0.3">
      <c r="J18436" s="33"/>
    </row>
    <row r="18437" spans="10:10" ht="15" customHeight="1" x14ac:dyDescent="0.3">
      <c r="J18437" s="33"/>
    </row>
    <row r="18438" spans="10:10" ht="15" customHeight="1" x14ac:dyDescent="0.3">
      <c r="J18438" s="33"/>
    </row>
    <row r="18439" spans="10:10" ht="15" customHeight="1" x14ac:dyDescent="0.3">
      <c r="J18439" s="33"/>
    </row>
    <row r="18440" spans="10:10" ht="15" customHeight="1" x14ac:dyDescent="0.3">
      <c r="J18440" s="33"/>
    </row>
    <row r="18441" spans="10:10" ht="15" customHeight="1" x14ac:dyDescent="0.3">
      <c r="J18441" s="33"/>
    </row>
    <row r="18442" spans="10:10" ht="15" customHeight="1" x14ac:dyDescent="0.3">
      <c r="J18442" s="33"/>
    </row>
    <row r="18443" spans="10:10" ht="15" customHeight="1" x14ac:dyDescent="0.3">
      <c r="J18443" s="33"/>
    </row>
    <row r="18444" spans="10:10" ht="15" customHeight="1" x14ac:dyDescent="0.3">
      <c r="J18444" s="33"/>
    </row>
    <row r="18445" spans="10:10" ht="15" customHeight="1" x14ac:dyDescent="0.3">
      <c r="J18445" s="33"/>
    </row>
    <row r="18446" spans="10:10" ht="15" customHeight="1" x14ac:dyDescent="0.3">
      <c r="J18446" s="33"/>
    </row>
    <row r="18447" spans="10:10" ht="15" customHeight="1" x14ac:dyDescent="0.3">
      <c r="J18447" s="33"/>
    </row>
    <row r="18448" spans="10:10" ht="15" customHeight="1" x14ac:dyDescent="0.3">
      <c r="J18448" s="33"/>
    </row>
    <row r="18449" spans="10:10" ht="15" customHeight="1" x14ac:dyDescent="0.3">
      <c r="J18449" s="33"/>
    </row>
    <row r="18450" spans="10:10" ht="15" customHeight="1" x14ac:dyDescent="0.3">
      <c r="J18450" s="33"/>
    </row>
    <row r="18451" spans="10:10" ht="15" customHeight="1" x14ac:dyDescent="0.3">
      <c r="J18451" s="33"/>
    </row>
    <row r="18452" spans="10:10" ht="15" customHeight="1" x14ac:dyDescent="0.3">
      <c r="J18452" s="33"/>
    </row>
    <row r="18453" spans="10:10" ht="15" customHeight="1" x14ac:dyDescent="0.3">
      <c r="J18453" s="33"/>
    </row>
    <row r="18454" spans="10:10" ht="15" customHeight="1" x14ac:dyDescent="0.3">
      <c r="J18454" s="33"/>
    </row>
    <row r="18455" spans="10:10" ht="15" customHeight="1" x14ac:dyDescent="0.3">
      <c r="J18455" s="33"/>
    </row>
    <row r="18456" spans="10:10" ht="15" customHeight="1" x14ac:dyDescent="0.3">
      <c r="J18456" s="33"/>
    </row>
    <row r="18457" spans="10:10" ht="15" customHeight="1" x14ac:dyDescent="0.3">
      <c r="J18457" s="33"/>
    </row>
    <row r="18458" spans="10:10" ht="15" customHeight="1" x14ac:dyDescent="0.3">
      <c r="J18458" s="33"/>
    </row>
    <row r="18459" spans="10:10" ht="15" customHeight="1" x14ac:dyDescent="0.3">
      <c r="J18459" s="33"/>
    </row>
    <row r="18460" spans="10:10" ht="15" customHeight="1" x14ac:dyDescent="0.3">
      <c r="J18460" s="33"/>
    </row>
    <row r="18461" spans="10:10" ht="15" customHeight="1" x14ac:dyDescent="0.3">
      <c r="J18461" s="33"/>
    </row>
    <row r="18462" spans="10:10" ht="15" customHeight="1" x14ac:dyDescent="0.3">
      <c r="J18462" s="33"/>
    </row>
    <row r="18463" spans="10:10" ht="15" customHeight="1" x14ac:dyDescent="0.3">
      <c r="J18463" s="33"/>
    </row>
    <row r="18464" spans="10:10" ht="15" customHeight="1" x14ac:dyDescent="0.3">
      <c r="J18464" s="33"/>
    </row>
    <row r="18465" spans="10:10" ht="15" customHeight="1" x14ac:dyDescent="0.3">
      <c r="J18465" s="33"/>
    </row>
    <row r="18466" spans="10:10" ht="15" customHeight="1" x14ac:dyDescent="0.3">
      <c r="J18466" s="33"/>
    </row>
    <row r="18467" spans="10:10" ht="15" customHeight="1" x14ac:dyDescent="0.3">
      <c r="J18467" s="33"/>
    </row>
    <row r="18468" spans="10:10" ht="15" customHeight="1" x14ac:dyDescent="0.3">
      <c r="J18468" s="33"/>
    </row>
    <row r="18469" spans="10:10" ht="15" customHeight="1" x14ac:dyDescent="0.3">
      <c r="J18469" s="33"/>
    </row>
    <row r="18470" spans="10:10" ht="15" customHeight="1" x14ac:dyDescent="0.3">
      <c r="J18470" s="33"/>
    </row>
    <row r="18471" spans="10:10" ht="15" customHeight="1" x14ac:dyDescent="0.3">
      <c r="J18471" s="33"/>
    </row>
    <row r="18472" spans="10:10" ht="15" customHeight="1" x14ac:dyDescent="0.3">
      <c r="J18472" s="33"/>
    </row>
    <row r="18473" spans="10:10" ht="15" customHeight="1" x14ac:dyDescent="0.3">
      <c r="J18473" s="33"/>
    </row>
    <row r="18474" spans="10:10" ht="15" customHeight="1" x14ac:dyDescent="0.3">
      <c r="J18474" s="33"/>
    </row>
    <row r="18475" spans="10:10" ht="15" customHeight="1" x14ac:dyDescent="0.3">
      <c r="J18475" s="33"/>
    </row>
    <row r="18476" spans="10:10" ht="15" customHeight="1" x14ac:dyDescent="0.3">
      <c r="J18476" s="33"/>
    </row>
    <row r="18477" spans="10:10" ht="15" customHeight="1" x14ac:dyDescent="0.3">
      <c r="J18477" s="33"/>
    </row>
    <row r="18478" spans="10:10" ht="15" customHeight="1" x14ac:dyDescent="0.3">
      <c r="J18478" s="33"/>
    </row>
    <row r="18479" spans="10:10" ht="15" customHeight="1" x14ac:dyDescent="0.3">
      <c r="J18479" s="33"/>
    </row>
    <row r="18480" spans="10:10" ht="15" customHeight="1" x14ac:dyDescent="0.3">
      <c r="J18480" s="33"/>
    </row>
    <row r="18481" spans="10:10" ht="15" customHeight="1" x14ac:dyDescent="0.3">
      <c r="J18481" s="33"/>
    </row>
    <row r="18482" spans="10:10" ht="15" customHeight="1" x14ac:dyDescent="0.3">
      <c r="J18482" s="33"/>
    </row>
    <row r="18483" spans="10:10" ht="15" customHeight="1" x14ac:dyDescent="0.3">
      <c r="J18483" s="33"/>
    </row>
    <row r="18484" spans="10:10" ht="15" customHeight="1" x14ac:dyDescent="0.3">
      <c r="J18484" s="33"/>
    </row>
    <row r="18485" spans="10:10" ht="15" customHeight="1" x14ac:dyDescent="0.3">
      <c r="J18485" s="33"/>
    </row>
    <row r="18486" spans="10:10" ht="15" customHeight="1" x14ac:dyDescent="0.3">
      <c r="J18486" s="33"/>
    </row>
    <row r="18487" spans="10:10" ht="15" customHeight="1" x14ac:dyDescent="0.3">
      <c r="J18487" s="33"/>
    </row>
    <row r="18488" spans="10:10" ht="15" customHeight="1" x14ac:dyDescent="0.3">
      <c r="J18488" s="33"/>
    </row>
    <row r="18489" spans="10:10" ht="15" customHeight="1" x14ac:dyDescent="0.3">
      <c r="J18489" s="33"/>
    </row>
    <row r="18490" spans="10:10" ht="15" customHeight="1" x14ac:dyDescent="0.3">
      <c r="J18490" s="33"/>
    </row>
    <row r="18491" spans="10:10" ht="15" customHeight="1" x14ac:dyDescent="0.3">
      <c r="J18491" s="33"/>
    </row>
    <row r="18492" spans="10:10" ht="15" customHeight="1" x14ac:dyDescent="0.3">
      <c r="J18492" s="33"/>
    </row>
    <row r="18493" spans="10:10" ht="15" customHeight="1" x14ac:dyDescent="0.3">
      <c r="J18493" s="33"/>
    </row>
    <row r="18494" spans="10:10" ht="15" customHeight="1" x14ac:dyDescent="0.3">
      <c r="J18494" s="33"/>
    </row>
    <row r="18495" spans="10:10" ht="15" customHeight="1" x14ac:dyDescent="0.3">
      <c r="J18495" s="33"/>
    </row>
    <row r="18496" spans="10:10" ht="15" customHeight="1" x14ac:dyDescent="0.3">
      <c r="J18496" s="33"/>
    </row>
    <row r="18497" spans="10:10" ht="15" customHeight="1" x14ac:dyDescent="0.3">
      <c r="J18497" s="33"/>
    </row>
    <row r="18498" spans="10:10" ht="15" customHeight="1" x14ac:dyDescent="0.3">
      <c r="J18498" s="33"/>
    </row>
    <row r="18499" spans="10:10" ht="15" customHeight="1" x14ac:dyDescent="0.3">
      <c r="J18499" s="33"/>
    </row>
    <row r="18500" spans="10:10" ht="15" customHeight="1" x14ac:dyDescent="0.3">
      <c r="J18500" s="33"/>
    </row>
    <row r="18501" spans="10:10" ht="15" customHeight="1" x14ac:dyDescent="0.3">
      <c r="J18501" s="33"/>
    </row>
    <row r="18502" spans="10:10" ht="15" customHeight="1" x14ac:dyDescent="0.3">
      <c r="J18502" s="33"/>
    </row>
    <row r="18503" spans="10:10" ht="15" customHeight="1" x14ac:dyDescent="0.3">
      <c r="J18503" s="33"/>
    </row>
    <row r="18504" spans="10:10" ht="15" customHeight="1" x14ac:dyDescent="0.3">
      <c r="J18504" s="33"/>
    </row>
    <row r="18505" spans="10:10" ht="15" customHeight="1" x14ac:dyDescent="0.3">
      <c r="J18505" s="33"/>
    </row>
    <row r="18506" spans="10:10" ht="15" customHeight="1" x14ac:dyDescent="0.3">
      <c r="J18506" s="33"/>
    </row>
    <row r="18507" spans="10:10" ht="15" customHeight="1" x14ac:dyDescent="0.3">
      <c r="J18507" s="33"/>
    </row>
    <row r="18508" spans="10:10" ht="15" customHeight="1" x14ac:dyDescent="0.3">
      <c r="J18508" s="33"/>
    </row>
    <row r="18509" spans="10:10" ht="15" customHeight="1" x14ac:dyDescent="0.3">
      <c r="J18509" s="33"/>
    </row>
    <row r="18510" spans="10:10" ht="15" customHeight="1" x14ac:dyDescent="0.3">
      <c r="J18510" s="33"/>
    </row>
    <row r="18511" spans="10:10" ht="15" customHeight="1" x14ac:dyDescent="0.3">
      <c r="J18511" s="33"/>
    </row>
    <row r="18512" spans="10:10" ht="15" customHeight="1" x14ac:dyDescent="0.3">
      <c r="J18512" s="33"/>
    </row>
    <row r="18513" spans="10:10" ht="15" customHeight="1" x14ac:dyDescent="0.3">
      <c r="J18513" s="33"/>
    </row>
    <row r="18514" spans="10:10" ht="15" customHeight="1" x14ac:dyDescent="0.3">
      <c r="J18514" s="33"/>
    </row>
    <row r="18515" spans="10:10" ht="15" customHeight="1" x14ac:dyDescent="0.3">
      <c r="J18515" s="33"/>
    </row>
    <row r="18516" spans="10:10" ht="15" customHeight="1" x14ac:dyDescent="0.3">
      <c r="J18516" s="33"/>
    </row>
    <row r="18517" spans="10:10" ht="15" customHeight="1" x14ac:dyDescent="0.3">
      <c r="J18517" s="33"/>
    </row>
    <row r="18518" spans="10:10" ht="15" customHeight="1" x14ac:dyDescent="0.3">
      <c r="J18518" s="33"/>
    </row>
    <row r="18519" spans="10:10" ht="15" customHeight="1" x14ac:dyDescent="0.3">
      <c r="J18519" s="33"/>
    </row>
    <row r="18520" spans="10:10" ht="15" customHeight="1" x14ac:dyDescent="0.3">
      <c r="J18520" s="33"/>
    </row>
    <row r="18521" spans="10:10" ht="15" customHeight="1" x14ac:dyDescent="0.3">
      <c r="J18521" s="33"/>
    </row>
    <row r="18522" spans="10:10" ht="15" customHeight="1" x14ac:dyDescent="0.3">
      <c r="J18522" s="33"/>
    </row>
    <row r="18523" spans="10:10" ht="15" customHeight="1" x14ac:dyDescent="0.3">
      <c r="J18523" s="33"/>
    </row>
    <row r="18524" spans="10:10" ht="15" customHeight="1" x14ac:dyDescent="0.3">
      <c r="J18524" s="33"/>
    </row>
    <row r="18525" spans="10:10" ht="15" customHeight="1" x14ac:dyDescent="0.3">
      <c r="J18525" s="33"/>
    </row>
    <row r="18526" spans="10:10" ht="15" customHeight="1" x14ac:dyDescent="0.3">
      <c r="J18526" s="33"/>
    </row>
    <row r="18527" spans="10:10" ht="15" customHeight="1" x14ac:dyDescent="0.3">
      <c r="J18527" s="33"/>
    </row>
    <row r="18528" spans="10:10" ht="15" customHeight="1" x14ac:dyDescent="0.3">
      <c r="J18528" s="33"/>
    </row>
    <row r="18529" spans="10:10" ht="15" customHeight="1" x14ac:dyDescent="0.3">
      <c r="J18529" s="33"/>
    </row>
    <row r="18530" spans="10:10" ht="15" customHeight="1" x14ac:dyDescent="0.3">
      <c r="J18530" s="33"/>
    </row>
    <row r="18531" spans="10:10" ht="15" customHeight="1" x14ac:dyDescent="0.3">
      <c r="J18531" s="33"/>
    </row>
    <row r="18532" spans="10:10" ht="15" customHeight="1" x14ac:dyDescent="0.3">
      <c r="J18532" s="33"/>
    </row>
    <row r="18533" spans="10:10" ht="15" customHeight="1" x14ac:dyDescent="0.3">
      <c r="J18533" s="33"/>
    </row>
    <row r="18534" spans="10:10" ht="15" customHeight="1" x14ac:dyDescent="0.3">
      <c r="J18534" s="33"/>
    </row>
    <row r="18535" spans="10:10" ht="15" customHeight="1" x14ac:dyDescent="0.3">
      <c r="J18535" s="33"/>
    </row>
    <row r="18536" spans="10:10" ht="15" customHeight="1" x14ac:dyDescent="0.3">
      <c r="J18536" s="33"/>
    </row>
    <row r="18537" spans="10:10" ht="15" customHeight="1" x14ac:dyDescent="0.3">
      <c r="J18537" s="33"/>
    </row>
    <row r="18538" spans="10:10" ht="15" customHeight="1" x14ac:dyDescent="0.3">
      <c r="J18538" s="33"/>
    </row>
    <row r="18539" spans="10:10" ht="15" customHeight="1" x14ac:dyDescent="0.3">
      <c r="J18539" s="33"/>
    </row>
    <row r="18540" spans="10:10" ht="15" customHeight="1" x14ac:dyDescent="0.3">
      <c r="J18540" s="33"/>
    </row>
    <row r="18541" spans="10:10" ht="15" customHeight="1" x14ac:dyDescent="0.3">
      <c r="J18541" s="33"/>
    </row>
    <row r="18542" spans="10:10" ht="15" customHeight="1" x14ac:dyDescent="0.3">
      <c r="J18542" s="33"/>
    </row>
    <row r="18543" spans="10:10" ht="15" customHeight="1" x14ac:dyDescent="0.3">
      <c r="J18543" s="33"/>
    </row>
    <row r="18544" spans="10:10" ht="15" customHeight="1" x14ac:dyDescent="0.3">
      <c r="J18544" s="33"/>
    </row>
    <row r="18545" spans="10:10" ht="15" customHeight="1" x14ac:dyDescent="0.3">
      <c r="J18545" s="33"/>
    </row>
    <row r="18546" spans="10:10" ht="15" customHeight="1" x14ac:dyDescent="0.3">
      <c r="J18546" s="33"/>
    </row>
    <row r="18547" spans="10:10" ht="15" customHeight="1" x14ac:dyDescent="0.3">
      <c r="J18547" s="33"/>
    </row>
    <row r="18548" spans="10:10" ht="15" customHeight="1" x14ac:dyDescent="0.3">
      <c r="J18548" s="33"/>
    </row>
    <row r="18549" spans="10:10" ht="15" customHeight="1" x14ac:dyDescent="0.3">
      <c r="J18549" s="33"/>
    </row>
    <row r="18550" spans="10:10" ht="15" customHeight="1" x14ac:dyDescent="0.3">
      <c r="J18550" s="33"/>
    </row>
    <row r="18551" spans="10:10" ht="15" customHeight="1" x14ac:dyDescent="0.3">
      <c r="J18551" s="33"/>
    </row>
    <row r="18552" spans="10:10" ht="15" customHeight="1" x14ac:dyDescent="0.3">
      <c r="J18552" s="33"/>
    </row>
    <row r="18553" spans="10:10" ht="15" customHeight="1" x14ac:dyDescent="0.3">
      <c r="J18553" s="33"/>
    </row>
    <row r="18554" spans="10:10" ht="15" customHeight="1" x14ac:dyDescent="0.3">
      <c r="J18554" s="33"/>
    </row>
    <row r="18555" spans="10:10" ht="15" customHeight="1" x14ac:dyDescent="0.3">
      <c r="J18555" s="33"/>
    </row>
    <row r="18556" spans="10:10" ht="15" customHeight="1" x14ac:dyDescent="0.3">
      <c r="J18556" s="33"/>
    </row>
    <row r="18557" spans="10:10" ht="15" customHeight="1" x14ac:dyDescent="0.3">
      <c r="J18557" s="33"/>
    </row>
    <row r="18558" spans="10:10" ht="15" customHeight="1" x14ac:dyDescent="0.3">
      <c r="J18558" s="33"/>
    </row>
    <row r="18559" spans="10:10" ht="15" customHeight="1" x14ac:dyDescent="0.3">
      <c r="J18559" s="33"/>
    </row>
    <row r="18560" spans="10:10" ht="15" customHeight="1" x14ac:dyDescent="0.3">
      <c r="J18560" s="33"/>
    </row>
    <row r="18561" spans="10:10" ht="15" customHeight="1" x14ac:dyDescent="0.3">
      <c r="J18561" s="33"/>
    </row>
    <row r="18562" spans="10:10" ht="15" customHeight="1" x14ac:dyDescent="0.3">
      <c r="J18562" s="33"/>
    </row>
    <row r="18563" spans="10:10" ht="15" customHeight="1" x14ac:dyDescent="0.3">
      <c r="J18563" s="33"/>
    </row>
    <row r="18564" spans="10:10" ht="15" customHeight="1" x14ac:dyDescent="0.3">
      <c r="J18564" s="33"/>
    </row>
    <row r="18565" spans="10:10" ht="15" customHeight="1" x14ac:dyDescent="0.3">
      <c r="J18565" s="33"/>
    </row>
    <row r="18566" spans="10:10" ht="15" customHeight="1" x14ac:dyDescent="0.3">
      <c r="J18566" s="33"/>
    </row>
    <row r="18567" spans="10:10" ht="15" customHeight="1" x14ac:dyDescent="0.3">
      <c r="J18567" s="33"/>
    </row>
    <row r="18568" spans="10:10" ht="15" customHeight="1" x14ac:dyDescent="0.3">
      <c r="J18568" s="33"/>
    </row>
    <row r="18569" spans="10:10" ht="15" customHeight="1" x14ac:dyDescent="0.3">
      <c r="J18569" s="33"/>
    </row>
    <row r="18570" spans="10:10" ht="15" customHeight="1" x14ac:dyDescent="0.3">
      <c r="J18570" s="33"/>
    </row>
    <row r="18571" spans="10:10" ht="15" customHeight="1" x14ac:dyDescent="0.3">
      <c r="J18571" s="33"/>
    </row>
    <row r="18572" spans="10:10" ht="15" customHeight="1" x14ac:dyDescent="0.3">
      <c r="J18572" s="33"/>
    </row>
    <row r="18573" spans="10:10" ht="15" customHeight="1" x14ac:dyDescent="0.3">
      <c r="J18573" s="33"/>
    </row>
    <row r="18574" spans="10:10" ht="15" customHeight="1" x14ac:dyDescent="0.3">
      <c r="J18574" s="33"/>
    </row>
    <row r="18575" spans="10:10" ht="15" customHeight="1" x14ac:dyDescent="0.3">
      <c r="J18575" s="33"/>
    </row>
    <row r="18576" spans="10:10" ht="15" customHeight="1" x14ac:dyDescent="0.3">
      <c r="J18576" s="33"/>
    </row>
    <row r="18577" spans="10:10" ht="15" customHeight="1" x14ac:dyDescent="0.3">
      <c r="J18577" s="33"/>
    </row>
    <row r="18578" spans="10:10" ht="15" customHeight="1" x14ac:dyDescent="0.3">
      <c r="J18578" s="33"/>
    </row>
    <row r="18579" spans="10:10" ht="15" customHeight="1" x14ac:dyDescent="0.3">
      <c r="J18579" s="33"/>
    </row>
    <row r="18580" spans="10:10" ht="15" customHeight="1" x14ac:dyDescent="0.3">
      <c r="J18580" s="33"/>
    </row>
    <row r="18581" spans="10:10" ht="15" customHeight="1" x14ac:dyDescent="0.3">
      <c r="J18581" s="33"/>
    </row>
    <row r="18582" spans="10:10" ht="15" customHeight="1" x14ac:dyDescent="0.3">
      <c r="J18582" s="33"/>
    </row>
    <row r="18583" spans="10:10" ht="15" customHeight="1" x14ac:dyDescent="0.3">
      <c r="J18583" s="33"/>
    </row>
    <row r="18584" spans="10:10" ht="15" customHeight="1" x14ac:dyDescent="0.3">
      <c r="J18584" s="33"/>
    </row>
    <row r="18585" spans="10:10" ht="15" customHeight="1" x14ac:dyDescent="0.3">
      <c r="J18585" s="33"/>
    </row>
    <row r="18586" spans="10:10" ht="15" customHeight="1" x14ac:dyDescent="0.3">
      <c r="J18586" s="33"/>
    </row>
    <row r="18587" spans="10:10" ht="15" customHeight="1" x14ac:dyDescent="0.3">
      <c r="J18587" s="33"/>
    </row>
    <row r="18588" spans="10:10" ht="15" customHeight="1" x14ac:dyDescent="0.3">
      <c r="J18588" s="33"/>
    </row>
    <row r="18589" spans="10:10" ht="15" customHeight="1" x14ac:dyDescent="0.3">
      <c r="J18589" s="33"/>
    </row>
    <row r="18590" spans="10:10" ht="15" customHeight="1" x14ac:dyDescent="0.3">
      <c r="J18590" s="33"/>
    </row>
    <row r="18591" spans="10:10" ht="15" customHeight="1" x14ac:dyDescent="0.3">
      <c r="J18591" s="33"/>
    </row>
    <row r="18592" spans="10:10" ht="15" customHeight="1" x14ac:dyDescent="0.3">
      <c r="J18592" s="33"/>
    </row>
    <row r="18593" spans="10:10" ht="15" customHeight="1" x14ac:dyDescent="0.3">
      <c r="J18593" s="33"/>
    </row>
    <row r="18594" spans="10:10" ht="15" customHeight="1" x14ac:dyDescent="0.3">
      <c r="J18594" s="33"/>
    </row>
    <row r="18595" spans="10:10" ht="15" customHeight="1" x14ac:dyDescent="0.3">
      <c r="J18595" s="33"/>
    </row>
    <row r="18596" spans="10:10" ht="15" customHeight="1" x14ac:dyDescent="0.3">
      <c r="J18596" s="33"/>
    </row>
    <row r="18597" spans="10:10" ht="15" customHeight="1" x14ac:dyDescent="0.3">
      <c r="J18597" s="33"/>
    </row>
    <row r="18598" spans="10:10" ht="15" customHeight="1" x14ac:dyDescent="0.3">
      <c r="J18598" s="33"/>
    </row>
    <row r="18599" spans="10:10" ht="15" customHeight="1" x14ac:dyDescent="0.3">
      <c r="J18599" s="33"/>
    </row>
    <row r="18600" spans="10:10" ht="15" customHeight="1" x14ac:dyDescent="0.3">
      <c r="J18600" s="33"/>
    </row>
    <row r="18601" spans="10:10" ht="15" customHeight="1" x14ac:dyDescent="0.3">
      <c r="J18601" s="33"/>
    </row>
    <row r="18602" spans="10:10" ht="15" customHeight="1" x14ac:dyDescent="0.3">
      <c r="J18602" s="33"/>
    </row>
    <row r="18603" spans="10:10" ht="15" customHeight="1" x14ac:dyDescent="0.3">
      <c r="J18603" s="33"/>
    </row>
    <row r="18604" spans="10:10" ht="15" customHeight="1" x14ac:dyDescent="0.3">
      <c r="J18604" s="33"/>
    </row>
    <row r="18605" spans="10:10" ht="15" customHeight="1" x14ac:dyDescent="0.3">
      <c r="J18605" s="33"/>
    </row>
    <row r="18606" spans="10:10" ht="15" customHeight="1" x14ac:dyDescent="0.3">
      <c r="J18606" s="33"/>
    </row>
    <row r="18607" spans="10:10" ht="15" customHeight="1" x14ac:dyDescent="0.3">
      <c r="J18607" s="33"/>
    </row>
    <row r="18608" spans="10:10" ht="15" customHeight="1" x14ac:dyDescent="0.3">
      <c r="J18608" s="33"/>
    </row>
    <row r="18609" spans="10:10" ht="15" customHeight="1" x14ac:dyDescent="0.3">
      <c r="J18609" s="33"/>
    </row>
    <row r="18610" spans="10:10" ht="15" customHeight="1" x14ac:dyDescent="0.3">
      <c r="J18610" s="33"/>
    </row>
    <row r="18611" spans="10:10" ht="15" customHeight="1" x14ac:dyDescent="0.3">
      <c r="J18611" s="33"/>
    </row>
    <row r="18612" spans="10:10" ht="15" customHeight="1" x14ac:dyDescent="0.3">
      <c r="J18612" s="33"/>
    </row>
    <row r="18613" spans="10:10" ht="15" customHeight="1" x14ac:dyDescent="0.3">
      <c r="J18613" s="33"/>
    </row>
    <row r="18614" spans="10:10" ht="15" customHeight="1" x14ac:dyDescent="0.3">
      <c r="J18614" s="33"/>
    </row>
    <row r="18615" spans="10:10" ht="15" customHeight="1" x14ac:dyDescent="0.3">
      <c r="J18615" s="33"/>
    </row>
    <row r="18616" spans="10:10" ht="15" customHeight="1" x14ac:dyDescent="0.3">
      <c r="J18616" s="33"/>
    </row>
    <row r="18617" spans="10:10" ht="15" customHeight="1" x14ac:dyDescent="0.3">
      <c r="J18617" s="33"/>
    </row>
    <row r="18618" spans="10:10" ht="15" customHeight="1" x14ac:dyDescent="0.3">
      <c r="J18618" s="33"/>
    </row>
    <row r="18619" spans="10:10" ht="15" customHeight="1" x14ac:dyDescent="0.3">
      <c r="J18619" s="33"/>
    </row>
    <row r="18620" spans="10:10" ht="15" customHeight="1" x14ac:dyDescent="0.3">
      <c r="J18620" s="33"/>
    </row>
    <row r="18621" spans="10:10" ht="15" customHeight="1" x14ac:dyDescent="0.3">
      <c r="J18621" s="33"/>
    </row>
    <row r="18622" spans="10:10" ht="15" customHeight="1" x14ac:dyDescent="0.3">
      <c r="J18622" s="33"/>
    </row>
    <row r="18623" spans="10:10" ht="15" customHeight="1" x14ac:dyDescent="0.3">
      <c r="J18623" s="33"/>
    </row>
    <row r="18624" spans="10:10" ht="15" customHeight="1" x14ac:dyDescent="0.3">
      <c r="J18624" s="33"/>
    </row>
    <row r="18625" spans="10:10" ht="15" customHeight="1" x14ac:dyDescent="0.3">
      <c r="J18625" s="33"/>
    </row>
    <row r="18626" spans="10:10" ht="15" customHeight="1" x14ac:dyDescent="0.3">
      <c r="J18626" s="33"/>
    </row>
    <row r="18627" spans="10:10" ht="15" customHeight="1" x14ac:dyDescent="0.3">
      <c r="J18627" s="33"/>
    </row>
    <row r="18628" spans="10:10" ht="15" customHeight="1" x14ac:dyDescent="0.3">
      <c r="J18628" s="33"/>
    </row>
    <row r="18629" spans="10:10" ht="15" customHeight="1" x14ac:dyDescent="0.3">
      <c r="J18629" s="33"/>
    </row>
    <row r="18630" spans="10:10" ht="15" customHeight="1" x14ac:dyDescent="0.3">
      <c r="J18630" s="33"/>
    </row>
    <row r="18631" spans="10:10" ht="15" customHeight="1" x14ac:dyDescent="0.3">
      <c r="J18631" s="33"/>
    </row>
    <row r="18632" spans="10:10" ht="15" customHeight="1" x14ac:dyDescent="0.3">
      <c r="J18632" s="33"/>
    </row>
    <row r="18633" spans="10:10" ht="15" customHeight="1" x14ac:dyDescent="0.3">
      <c r="J18633" s="33"/>
    </row>
    <row r="18634" spans="10:10" ht="15" customHeight="1" x14ac:dyDescent="0.3">
      <c r="J18634" s="33"/>
    </row>
    <row r="18635" spans="10:10" ht="15" customHeight="1" x14ac:dyDescent="0.3">
      <c r="J18635" s="33"/>
    </row>
    <row r="18636" spans="10:10" ht="15" customHeight="1" x14ac:dyDescent="0.3">
      <c r="J18636" s="33"/>
    </row>
    <row r="18637" spans="10:10" ht="15" customHeight="1" x14ac:dyDescent="0.3">
      <c r="J18637" s="33"/>
    </row>
    <row r="18638" spans="10:10" ht="15" customHeight="1" x14ac:dyDescent="0.3">
      <c r="J18638" s="33"/>
    </row>
    <row r="18639" spans="10:10" ht="15" customHeight="1" x14ac:dyDescent="0.3">
      <c r="J18639" s="33"/>
    </row>
    <row r="18640" spans="10:10" ht="15" customHeight="1" x14ac:dyDescent="0.3">
      <c r="J18640" s="33"/>
    </row>
    <row r="18641" spans="10:10" ht="15" customHeight="1" x14ac:dyDescent="0.3">
      <c r="J18641" s="33"/>
    </row>
    <row r="18642" spans="10:10" ht="15" customHeight="1" x14ac:dyDescent="0.3">
      <c r="J18642" s="33"/>
    </row>
    <row r="18643" spans="10:10" ht="15" customHeight="1" x14ac:dyDescent="0.3">
      <c r="J18643" s="33"/>
    </row>
    <row r="18644" spans="10:10" ht="15" customHeight="1" x14ac:dyDescent="0.3">
      <c r="J18644" s="33"/>
    </row>
    <row r="18645" spans="10:10" ht="15" customHeight="1" x14ac:dyDescent="0.3">
      <c r="J18645" s="33"/>
    </row>
    <row r="18646" spans="10:10" ht="15" customHeight="1" x14ac:dyDescent="0.3">
      <c r="J18646" s="33"/>
    </row>
    <row r="18647" spans="10:10" ht="15" customHeight="1" x14ac:dyDescent="0.3">
      <c r="J18647" s="33"/>
    </row>
    <row r="18648" spans="10:10" ht="15" customHeight="1" x14ac:dyDescent="0.3">
      <c r="J18648" s="33"/>
    </row>
    <row r="18649" spans="10:10" ht="15" customHeight="1" x14ac:dyDescent="0.3">
      <c r="J18649" s="33"/>
    </row>
    <row r="18650" spans="10:10" ht="15" customHeight="1" x14ac:dyDescent="0.3">
      <c r="J18650" s="33"/>
    </row>
    <row r="18651" spans="10:10" ht="15" customHeight="1" x14ac:dyDescent="0.3">
      <c r="J18651" s="33"/>
    </row>
    <row r="18652" spans="10:10" ht="15" customHeight="1" x14ac:dyDescent="0.3">
      <c r="J18652" s="33"/>
    </row>
    <row r="18653" spans="10:10" ht="15" customHeight="1" x14ac:dyDescent="0.3">
      <c r="J18653" s="33"/>
    </row>
    <row r="18654" spans="10:10" ht="15" customHeight="1" x14ac:dyDescent="0.3">
      <c r="J18654" s="33"/>
    </row>
    <row r="18655" spans="10:10" ht="15" customHeight="1" x14ac:dyDescent="0.3">
      <c r="J18655" s="33"/>
    </row>
    <row r="18656" spans="10:10" ht="15" customHeight="1" x14ac:dyDescent="0.3">
      <c r="J18656" s="33"/>
    </row>
    <row r="18657" spans="10:10" ht="15" customHeight="1" x14ac:dyDescent="0.3">
      <c r="J18657" s="33"/>
    </row>
    <row r="18658" spans="10:10" ht="15" customHeight="1" x14ac:dyDescent="0.3">
      <c r="J18658" s="33"/>
    </row>
    <row r="18659" spans="10:10" ht="15" customHeight="1" x14ac:dyDescent="0.3">
      <c r="J18659" s="33"/>
    </row>
    <row r="18660" spans="10:10" ht="15" customHeight="1" x14ac:dyDescent="0.3">
      <c r="J18660" s="33"/>
    </row>
    <row r="18661" spans="10:10" ht="15" customHeight="1" x14ac:dyDescent="0.3">
      <c r="J18661" s="33"/>
    </row>
    <row r="18662" spans="10:10" ht="15" customHeight="1" x14ac:dyDescent="0.3">
      <c r="J18662" s="33"/>
    </row>
    <row r="18663" spans="10:10" ht="15" customHeight="1" x14ac:dyDescent="0.3">
      <c r="J18663" s="33"/>
    </row>
    <row r="18664" spans="10:10" ht="15" customHeight="1" x14ac:dyDescent="0.3">
      <c r="J18664" s="33"/>
    </row>
    <row r="18665" spans="10:10" ht="15" customHeight="1" x14ac:dyDescent="0.3">
      <c r="J18665" s="33"/>
    </row>
    <row r="18666" spans="10:10" ht="15" customHeight="1" x14ac:dyDescent="0.3">
      <c r="J18666" s="33"/>
    </row>
    <row r="18667" spans="10:10" ht="15" customHeight="1" x14ac:dyDescent="0.3">
      <c r="J18667" s="33"/>
    </row>
    <row r="18668" spans="10:10" ht="15" customHeight="1" x14ac:dyDescent="0.3">
      <c r="J18668" s="33"/>
    </row>
    <row r="18669" spans="10:10" ht="15" customHeight="1" x14ac:dyDescent="0.3">
      <c r="J18669" s="33"/>
    </row>
    <row r="18670" spans="10:10" ht="15" customHeight="1" x14ac:dyDescent="0.3">
      <c r="J18670" s="33"/>
    </row>
    <row r="18671" spans="10:10" ht="15" customHeight="1" x14ac:dyDescent="0.3">
      <c r="J18671" s="33"/>
    </row>
    <row r="18672" spans="10:10" ht="15" customHeight="1" x14ac:dyDescent="0.3">
      <c r="J18672" s="33"/>
    </row>
    <row r="18673" spans="10:10" ht="15" customHeight="1" x14ac:dyDescent="0.3">
      <c r="J18673" s="33"/>
    </row>
    <row r="18674" spans="10:10" ht="15" customHeight="1" x14ac:dyDescent="0.3">
      <c r="J18674" s="33"/>
    </row>
    <row r="18675" spans="10:10" ht="15" customHeight="1" x14ac:dyDescent="0.3">
      <c r="J18675" s="33"/>
    </row>
    <row r="18676" spans="10:10" ht="15" customHeight="1" x14ac:dyDescent="0.3">
      <c r="J18676" s="33"/>
    </row>
    <row r="18677" spans="10:10" ht="15" customHeight="1" x14ac:dyDescent="0.3">
      <c r="J18677" s="33"/>
    </row>
    <row r="18678" spans="10:10" ht="15" customHeight="1" x14ac:dyDescent="0.3">
      <c r="J18678" s="33"/>
    </row>
    <row r="18679" spans="10:10" ht="15" customHeight="1" x14ac:dyDescent="0.3">
      <c r="J18679" s="33"/>
    </row>
    <row r="18680" spans="10:10" ht="15" customHeight="1" x14ac:dyDescent="0.3">
      <c r="J18680" s="33"/>
    </row>
    <row r="18681" spans="10:10" ht="15" customHeight="1" x14ac:dyDescent="0.3">
      <c r="J18681" s="33"/>
    </row>
    <row r="18682" spans="10:10" ht="15" customHeight="1" x14ac:dyDescent="0.3">
      <c r="J18682" s="33"/>
    </row>
    <row r="18683" spans="10:10" ht="15" customHeight="1" x14ac:dyDescent="0.3">
      <c r="J18683" s="33"/>
    </row>
    <row r="18684" spans="10:10" ht="15" customHeight="1" x14ac:dyDescent="0.3">
      <c r="J18684" s="33"/>
    </row>
    <row r="18685" spans="10:10" ht="15" customHeight="1" x14ac:dyDescent="0.3">
      <c r="J18685" s="33"/>
    </row>
    <row r="18686" spans="10:10" ht="15" customHeight="1" x14ac:dyDescent="0.3">
      <c r="J18686" s="33"/>
    </row>
    <row r="18687" spans="10:10" ht="15" customHeight="1" x14ac:dyDescent="0.3">
      <c r="J18687" s="33"/>
    </row>
    <row r="18688" spans="10:10" ht="15" customHeight="1" x14ac:dyDescent="0.3">
      <c r="J18688" s="33"/>
    </row>
    <row r="18689" spans="10:10" ht="15" customHeight="1" x14ac:dyDescent="0.3">
      <c r="J18689" s="33"/>
    </row>
    <row r="18690" spans="10:10" ht="15" customHeight="1" x14ac:dyDescent="0.3">
      <c r="J18690" s="33"/>
    </row>
    <row r="18691" spans="10:10" ht="15" customHeight="1" x14ac:dyDescent="0.3">
      <c r="J18691" s="33"/>
    </row>
    <row r="18692" spans="10:10" ht="15" customHeight="1" x14ac:dyDescent="0.3">
      <c r="J18692" s="33"/>
    </row>
    <row r="18693" spans="10:10" ht="15" customHeight="1" x14ac:dyDescent="0.3">
      <c r="J18693" s="33"/>
    </row>
    <row r="18694" spans="10:10" ht="15" customHeight="1" x14ac:dyDescent="0.3">
      <c r="J18694" s="33"/>
    </row>
    <row r="18695" spans="10:10" ht="15" customHeight="1" x14ac:dyDescent="0.3">
      <c r="J18695" s="33"/>
    </row>
    <row r="18696" spans="10:10" ht="15" customHeight="1" x14ac:dyDescent="0.3">
      <c r="J18696" s="33"/>
    </row>
    <row r="18697" spans="10:10" ht="15" customHeight="1" x14ac:dyDescent="0.3">
      <c r="J18697" s="33"/>
    </row>
    <row r="18698" spans="10:10" ht="15" customHeight="1" x14ac:dyDescent="0.3">
      <c r="J18698" s="33"/>
    </row>
    <row r="18699" spans="10:10" ht="15" customHeight="1" x14ac:dyDescent="0.3">
      <c r="J18699" s="33"/>
    </row>
    <row r="18700" spans="10:10" ht="15" customHeight="1" x14ac:dyDescent="0.3">
      <c r="J18700" s="33"/>
    </row>
    <row r="18701" spans="10:10" ht="15" customHeight="1" x14ac:dyDescent="0.3">
      <c r="J18701" s="33"/>
    </row>
    <row r="18702" spans="10:10" ht="15" customHeight="1" x14ac:dyDescent="0.3">
      <c r="J18702" s="33"/>
    </row>
    <row r="18703" spans="10:10" ht="15" customHeight="1" x14ac:dyDescent="0.3">
      <c r="J18703" s="33"/>
    </row>
    <row r="18704" spans="10:10" ht="15" customHeight="1" x14ac:dyDescent="0.3">
      <c r="J18704" s="33"/>
    </row>
    <row r="18705" spans="10:10" ht="15" customHeight="1" x14ac:dyDescent="0.3">
      <c r="J18705" s="33"/>
    </row>
    <row r="18706" spans="10:10" ht="15" customHeight="1" x14ac:dyDescent="0.3">
      <c r="J18706" s="33"/>
    </row>
    <row r="18707" spans="10:10" ht="15" customHeight="1" x14ac:dyDescent="0.3">
      <c r="J18707" s="33"/>
    </row>
    <row r="18708" spans="10:10" ht="15" customHeight="1" x14ac:dyDescent="0.3">
      <c r="J18708" s="33"/>
    </row>
    <row r="18709" spans="10:10" ht="15" customHeight="1" x14ac:dyDescent="0.3">
      <c r="J18709" s="33"/>
    </row>
    <row r="18710" spans="10:10" ht="15" customHeight="1" x14ac:dyDescent="0.3">
      <c r="J18710" s="33"/>
    </row>
    <row r="18711" spans="10:10" ht="15" customHeight="1" x14ac:dyDescent="0.3">
      <c r="J18711" s="33"/>
    </row>
    <row r="18712" spans="10:10" ht="15" customHeight="1" x14ac:dyDescent="0.3">
      <c r="J18712" s="33"/>
    </row>
    <row r="18713" spans="10:10" ht="15" customHeight="1" x14ac:dyDescent="0.3">
      <c r="J18713" s="33"/>
    </row>
    <row r="18714" spans="10:10" ht="15" customHeight="1" x14ac:dyDescent="0.3">
      <c r="J18714" s="33"/>
    </row>
    <row r="18715" spans="10:10" ht="15" customHeight="1" x14ac:dyDescent="0.3">
      <c r="J18715" s="33"/>
    </row>
    <row r="18716" spans="10:10" ht="15" customHeight="1" x14ac:dyDescent="0.3">
      <c r="J18716" s="33"/>
    </row>
    <row r="18717" spans="10:10" ht="15" customHeight="1" x14ac:dyDescent="0.3">
      <c r="J18717" s="33"/>
    </row>
    <row r="18718" spans="10:10" ht="15" customHeight="1" x14ac:dyDescent="0.3">
      <c r="J18718" s="33"/>
    </row>
    <row r="18719" spans="10:10" ht="15" customHeight="1" x14ac:dyDescent="0.3">
      <c r="J18719" s="33"/>
    </row>
    <row r="18720" spans="10:10" ht="15" customHeight="1" x14ac:dyDescent="0.3">
      <c r="J18720" s="33"/>
    </row>
    <row r="18721" spans="10:10" ht="15" customHeight="1" x14ac:dyDescent="0.3">
      <c r="J18721" s="33"/>
    </row>
    <row r="18722" spans="10:10" ht="15" customHeight="1" x14ac:dyDescent="0.3">
      <c r="J18722" s="33"/>
    </row>
    <row r="18723" spans="10:10" ht="15" customHeight="1" x14ac:dyDescent="0.3">
      <c r="J18723" s="33"/>
    </row>
    <row r="18724" spans="10:10" ht="15" customHeight="1" x14ac:dyDescent="0.3">
      <c r="J18724" s="33"/>
    </row>
    <row r="18725" spans="10:10" ht="15" customHeight="1" x14ac:dyDescent="0.3">
      <c r="J18725" s="33"/>
    </row>
    <row r="18726" spans="10:10" ht="15" customHeight="1" x14ac:dyDescent="0.3">
      <c r="J18726" s="33"/>
    </row>
    <row r="18727" spans="10:10" ht="15" customHeight="1" x14ac:dyDescent="0.3">
      <c r="J18727" s="33"/>
    </row>
    <row r="18728" spans="10:10" ht="15" customHeight="1" x14ac:dyDescent="0.3">
      <c r="J18728" s="33"/>
    </row>
    <row r="18729" spans="10:10" ht="15" customHeight="1" x14ac:dyDescent="0.3">
      <c r="J18729" s="33"/>
    </row>
    <row r="18730" spans="10:10" ht="15" customHeight="1" x14ac:dyDescent="0.3">
      <c r="J18730" s="33"/>
    </row>
    <row r="18731" spans="10:10" ht="15" customHeight="1" x14ac:dyDescent="0.3">
      <c r="J18731" s="33"/>
    </row>
    <row r="18732" spans="10:10" ht="15" customHeight="1" x14ac:dyDescent="0.3">
      <c r="J18732" s="33"/>
    </row>
    <row r="18733" spans="10:10" ht="15" customHeight="1" x14ac:dyDescent="0.3">
      <c r="J18733" s="33"/>
    </row>
    <row r="18734" spans="10:10" ht="15" customHeight="1" x14ac:dyDescent="0.3">
      <c r="J18734" s="33"/>
    </row>
    <row r="18735" spans="10:10" ht="15" customHeight="1" x14ac:dyDescent="0.3">
      <c r="J18735" s="33"/>
    </row>
    <row r="18736" spans="10:10" ht="15" customHeight="1" x14ac:dyDescent="0.3">
      <c r="J18736" s="33"/>
    </row>
    <row r="18737" spans="10:10" ht="15" customHeight="1" x14ac:dyDescent="0.3">
      <c r="J18737" s="33"/>
    </row>
    <row r="18738" spans="10:10" ht="15" customHeight="1" x14ac:dyDescent="0.3">
      <c r="J18738" s="33"/>
    </row>
    <row r="18739" spans="10:10" ht="15" customHeight="1" x14ac:dyDescent="0.3">
      <c r="J18739" s="33"/>
    </row>
    <row r="18740" spans="10:10" ht="15" customHeight="1" x14ac:dyDescent="0.3">
      <c r="J18740" s="33"/>
    </row>
    <row r="18741" spans="10:10" ht="15" customHeight="1" x14ac:dyDescent="0.3">
      <c r="J18741" s="33"/>
    </row>
    <row r="18742" spans="10:10" ht="15" customHeight="1" x14ac:dyDescent="0.3">
      <c r="J18742" s="33"/>
    </row>
    <row r="18743" spans="10:10" ht="15" customHeight="1" x14ac:dyDescent="0.3">
      <c r="J18743" s="33"/>
    </row>
    <row r="18744" spans="10:10" ht="15" customHeight="1" x14ac:dyDescent="0.3">
      <c r="J18744" s="33"/>
    </row>
    <row r="18745" spans="10:10" ht="15" customHeight="1" x14ac:dyDescent="0.3">
      <c r="J18745" s="33"/>
    </row>
    <row r="18746" spans="10:10" ht="15" customHeight="1" x14ac:dyDescent="0.3">
      <c r="J18746" s="33"/>
    </row>
    <row r="18747" spans="10:10" ht="15" customHeight="1" x14ac:dyDescent="0.3">
      <c r="J18747" s="33"/>
    </row>
    <row r="18748" spans="10:10" ht="15" customHeight="1" x14ac:dyDescent="0.3">
      <c r="J18748" s="33"/>
    </row>
    <row r="18749" spans="10:10" ht="15" customHeight="1" x14ac:dyDescent="0.3">
      <c r="J18749" s="33"/>
    </row>
    <row r="18750" spans="10:10" ht="15" customHeight="1" x14ac:dyDescent="0.3">
      <c r="J18750" s="33"/>
    </row>
    <row r="18751" spans="10:10" ht="15" customHeight="1" x14ac:dyDescent="0.3">
      <c r="J18751" s="33"/>
    </row>
    <row r="18752" spans="10:10" ht="15" customHeight="1" x14ac:dyDescent="0.3">
      <c r="J18752" s="33"/>
    </row>
    <row r="18753" spans="10:10" ht="15" customHeight="1" x14ac:dyDescent="0.3">
      <c r="J18753" s="33"/>
    </row>
    <row r="18754" spans="10:10" ht="15" customHeight="1" x14ac:dyDescent="0.3">
      <c r="J18754" s="33"/>
    </row>
    <row r="18755" spans="10:10" ht="15" customHeight="1" x14ac:dyDescent="0.3">
      <c r="J18755" s="33"/>
    </row>
    <row r="18756" spans="10:10" ht="15" customHeight="1" x14ac:dyDescent="0.3">
      <c r="J18756" s="33"/>
    </row>
    <row r="18757" spans="10:10" ht="15" customHeight="1" x14ac:dyDescent="0.3">
      <c r="J18757" s="33"/>
    </row>
    <row r="18758" spans="10:10" ht="15" customHeight="1" x14ac:dyDescent="0.3">
      <c r="J18758" s="33"/>
    </row>
    <row r="18759" spans="10:10" ht="15" customHeight="1" x14ac:dyDescent="0.3">
      <c r="J18759" s="33"/>
    </row>
    <row r="18760" spans="10:10" ht="15" customHeight="1" x14ac:dyDescent="0.3">
      <c r="J18760" s="33"/>
    </row>
    <row r="18761" spans="10:10" ht="15" customHeight="1" x14ac:dyDescent="0.3">
      <c r="J18761" s="33"/>
    </row>
    <row r="18762" spans="10:10" ht="15" customHeight="1" x14ac:dyDescent="0.3">
      <c r="J18762" s="33"/>
    </row>
    <row r="18763" spans="10:10" ht="15" customHeight="1" x14ac:dyDescent="0.3">
      <c r="J18763" s="33"/>
    </row>
    <row r="18764" spans="10:10" ht="15" customHeight="1" x14ac:dyDescent="0.3">
      <c r="J18764" s="33"/>
    </row>
    <row r="18765" spans="10:10" ht="15" customHeight="1" x14ac:dyDescent="0.3">
      <c r="J18765" s="33"/>
    </row>
    <row r="18766" spans="10:10" ht="15" customHeight="1" x14ac:dyDescent="0.3">
      <c r="J18766" s="33"/>
    </row>
    <row r="18767" spans="10:10" ht="15" customHeight="1" x14ac:dyDescent="0.3">
      <c r="J18767" s="33"/>
    </row>
    <row r="18768" spans="10:10" ht="15" customHeight="1" x14ac:dyDescent="0.3">
      <c r="J18768" s="33"/>
    </row>
    <row r="18769" spans="10:10" ht="15" customHeight="1" x14ac:dyDescent="0.3">
      <c r="J18769" s="33"/>
    </row>
    <row r="18770" spans="10:10" ht="15" customHeight="1" x14ac:dyDescent="0.3">
      <c r="J18770" s="33"/>
    </row>
    <row r="18771" spans="10:10" ht="15" customHeight="1" x14ac:dyDescent="0.3">
      <c r="J18771" s="33"/>
    </row>
    <row r="18772" spans="10:10" ht="15" customHeight="1" x14ac:dyDescent="0.3">
      <c r="J18772" s="33"/>
    </row>
    <row r="18773" spans="10:10" ht="15" customHeight="1" x14ac:dyDescent="0.3">
      <c r="J18773" s="33"/>
    </row>
    <row r="18774" spans="10:10" ht="15" customHeight="1" x14ac:dyDescent="0.3">
      <c r="J18774" s="33"/>
    </row>
    <row r="18775" spans="10:10" ht="15" customHeight="1" x14ac:dyDescent="0.3">
      <c r="J18775" s="33"/>
    </row>
    <row r="18776" spans="10:10" ht="15" customHeight="1" x14ac:dyDescent="0.3">
      <c r="J18776" s="33"/>
    </row>
    <row r="18777" spans="10:10" ht="15" customHeight="1" x14ac:dyDescent="0.3">
      <c r="J18777" s="33"/>
    </row>
    <row r="18778" spans="10:10" ht="15" customHeight="1" x14ac:dyDescent="0.3">
      <c r="J18778" s="33"/>
    </row>
    <row r="18779" spans="10:10" ht="15" customHeight="1" x14ac:dyDescent="0.3">
      <c r="J18779" s="33"/>
    </row>
    <row r="18780" spans="10:10" ht="15" customHeight="1" x14ac:dyDescent="0.3">
      <c r="J18780" s="33"/>
    </row>
    <row r="18781" spans="10:10" ht="15" customHeight="1" x14ac:dyDescent="0.3">
      <c r="J18781" s="33"/>
    </row>
    <row r="18782" spans="10:10" ht="15" customHeight="1" x14ac:dyDescent="0.3">
      <c r="J18782" s="33"/>
    </row>
    <row r="18783" spans="10:10" ht="15" customHeight="1" x14ac:dyDescent="0.3">
      <c r="J18783" s="33"/>
    </row>
    <row r="18784" spans="10:10" ht="15" customHeight="1" x14ac:dyDescent="0.3">
      <c r="J18784" s="33"/>
    </row>
    <row r="18785" spans="10:10" ht="15" customHeight="1" x14ac:dyDescent="0.3">
      <c r="J18785" s="33"/>
    </row>
    <row r="18786" spans="10:10" ht="15" customHeight="1" x14ac:dyDescent="0.3">
      <c r="J18786" s="33"/>
    </row>
    <row r="18787" spans="10:10" ht="15" customHeight="1" x14ac:dyDescent="0.3">
      <c r="J18787" s="33"/>
    </row>
    <row r="18788" spans="10:10" ht="15" customHeight="1" x14ac:dyDescent="0.3">
      <c r="J18788" s="33"/>
    </row>
    <row r="18789" spans="10:10" ht="15" customHeight="1" x14ac:dyDescent="0.3">
      <c r="J18789" s="33"/>
    </row>
    <row r="18790" spans="10:10" ht="15" customHeight="1" x14ac:dyDescent="0.3">
      <c r="J18790" s="33"/>
    </row>
    <row r="18791" spans="10:10" ht="15" customHeight="1" x14ac:dyDescent="0.3">
      <c r="J18791" s="33"/>
    </row>
    <row r="18792" spans="10:10" ht="15" customHeight="1" x14ac:dyDescent="0.3">
      <c r="J18792" s="33"/>
    </row>
    <row r="18793" spans="10:10" ht="15" customHeight="1" x14ac:dyDescent="0.3">
      <c r="J18793" s="33"/>
    </row>
    <row r="18794" spans="10:10" ht="15" customHeight="1" x14ac:dyDescent="0.3">
      <c r="J18794" s="33"/>
    </row>
    <row r="18795" spans="10:10" ht="15" customHeight="1" x14ac:dyDescent="0.3">
      <c r="J18795" s="33"/>
    </row>
    <row r="18796" spans="10:10" ht="15" customHeight="1" x14ac:dyDescent="0.3">
      <c r="J18796" s="33"/>
    </row>
    <row r="18797" spans="10:10" ht="15" customHeight="1" x14ac:dyDescent="0.3">
      <c r="J18797" s="33"/>
    </row>
    <row r="18798" spans="10:10" ht="15" customHeight="1" x14ac:dyDescent="0.3">
      <c r="J18798" s="33"/>
    </row>
    <row r="18799" spans="10:10" ht="15" customHeight="1" x14ac:dyDescent="0.3">
      <c r="J18799" s="33"/>
    </row>
    <row r="18800" spans="10:10" ht="15" customHeight="1" x14ac:dyDescent="0.3">
      <c r="J18800" s="33"/>
    </row>
    <row r="18801" spans="10:10" ht="15" customHeight="1" x14ac:dyDescent="0.3">
      <c r="J18801" s="33"/>
    </row>
    <row r="18802" spans="10:10" ht="15" customHeight="1" x14ac:dyDescent="0.3">
      <c r="J18802" s="33"/>
    </row>
    <row r="18803" spans="10:10" ht="15" customHeight="1" x14ac:dyDescent="0.3">
      <c r="J18803" s="33"/>
    </row>
    <row r="18804" spans="10:10" ht="15" customHeight="1" x14ac:dyDescent="0.3">
      <c r="J18804" s="33"/>
    </row>
    <row r="18805" spans="10:10" ht="15" customHeight="1" x14ac:dyDescent="0.3">
      <c r="J18805" s="33"/>
    </row>
    <row r="18806" spans="10:10" ht="15" customHeight="1" x14ac:dyDescent="0.3">
      <c r="J18806" s="33"/>
    </row>
    <row r="18807" spans="10:10" ht="15" customHeight="1" x14ac:dyDescent="0.3">
      <c r="J18807" s="33"/>
    </row>
    <row r="18808" spans="10:10" ht="15" customHeight="1" x14ac:dyDescent="0.3">
      <c r="J18808" s="33"/>
    </row>
    <row r="18809" spans="10:10" ht="15" customHeight="1" x14ac:dyDescent="0.3">
      <c r="J18809" s="33"/>
    </row>
    <row r="18810" spans="10:10" ht="15" customHeight="1" x14ac:dyDescent="0.3">
      <c r="J18810" s="33"/>
    </row>
    <row r="18811" spans="10:10" ht="15" customHeight="1" x14ac:dyDescent="0.3">
      <c r="J18811" s="33"/>
    </row>
    <row r="18812" spans="10:10" ht="15" customHeight="1" x14ac:dyDescent="0.3">
      <c r="J18812" s="33"/>
    </row>
    <row r="18813" spans="10:10" ht="15" customHeight="1" x14ac:dyDescent="0.3">
      <c r="J18813" s="33"/>
    </row>
    <row r="18814" spans="10:10" ht="15" customHeight="1" x14ac:dyDescent="0.3">
      <c r="J18814" s="33"/>
    </row>
    <row r="18815" spans="10:10" ht="15" customHeight="1" x14ac:dyDescent="0.3">
      <c r="J18815" s="33"/>
    </row>
    <row r="18816" spans="10:10" ht="15" customHeight="1" x14ac:dyDescent="0.3">
      <c r="J18816" s="33"/>
    </row>
    <row r="18817" spans="10:10" ht="15" customHeight="1" x14ac:dyDescent="0.3">
      <c r="J18817" s="33"/>
    </row>
    <row r="18818" spans="10:10" ht="15" customHeight="1" x14ac:dyDescent="0.3">
      <c r="J18818" s="33"/>
    </row>
    <row r="18819" spans="10:10" ht="15" customHeight="1" x14ac:dyDescent="0.3">
      <c r="J18819" s="33"/>
    </row>
    <row r="18820" spans="10:10" ht="15" customHeight="1" x14ac:dyDescent="0.3">
      <c r="J18820" s="33"/>
    </row>
    <row r="18821" spans="10:10" ht="15" customHeight="1" x14ac:dyDescent="0.3">
      <c r="J18821" s="33"/>
    </row>
    <row r="18822" spans="10:10" ht="15" customHeight="1" x14ac:dyDescent="0.3">
      <c r="J18822" s="33"/>
    </row>
    <row r="18823" spans="10:10" ht="15" customHeight="1" x14ac:dyDescent="0.3">
      <c r="J18823" s="33"/>
    </row>
    <row r="18824" spans="10:10" ht="15" customHeight="1" x14ac:dyDescent="0.3">
      <c r="J18824" s="33"/>
    </row>
    <row r="18825" spans="10:10" ht="15" customHeight="1" x14ac:dyDescent="0.3">
      <c r="J18825" s="33"/>
    </row>
    <row r="18826" spans="10:10" ht="15" customHeight="1" x14ac:dyDescent="0.3">
      <c r="J18826" s="33"/>
    </row>
    <row r="18827" spans="10:10" ht="15" customHeight="1" x14ac:dyDescent="0.3">
      <c r="J18827" s="33"/>
    </row>
    <row r="18828" spans="10:10" ht="15" customHeight="1" x14ac:dyDescent="0.3">
      <c r="J18828" s="33"/>
    </row>
    <row r="18829" spans="10:10" ht="15" customHeight="1" x14ac:dyDescent="0.3">
      <c r="J18829" s="33"/>
    </row>
    <row r="18830" spans="10:10" ht="15" customHeight="1" x14ac:dyDescent="0.3">
      <c r="J18830" s="33"/>
    </row>
    <row r="18831" spans="10:10" ht="15" customHeight="1" x14ac:dyDescent="0.3">
      <c r="J18831" s="33"/>
    </row>
    <row r="18832" spans="10:10" ht="15" customHeight="1" x14ac:dyDescent="0.3">
      <c r="J18832" s="33"/>
    </row>
    <row r="18833" spans="10:10" ht="15" customHeight="1" x14ac:dyDescent="0.3">
      <c r="J18833" s="33"/>
    </row>
    <row r="18834" spans="10:10" ht="15" customHeight="1" x14ac:dyDescent="0.3">
      <c r="J18834" s="33"/>
    </row>
    <row r="18835" spans="10:10" ht="15" customHeight="1" x14ac:dyDescent="0.3">
      <c r="J18835" s="33"/>
    </row>
    <row r="18836" spans="10:10" ht="15" customHeight="1" x14ac:dyDescent="0.3">
      <c r="J18836" s="33"/>
    </row>
    <row r="18837" spans="10:10" ht="15" customHeight="1" x14ac:dyDescent="0.3">
      <c r="J18837" s="33"/>
    </row>
    <row r="18838" spans="10:10" ht="15" customHeight="1" x14ac:dyDescent="0.3">
      <c r="J18838" s="33"/>
    </row>
    <row r="18839" spans="10:10" ht="15" customHeight="1" x14ac:dyDescent="0.3">
      <c r="J18839" s="33"/>
    </row>
    <row r="18840" spans="10:10" ht="15" customHeight="1" x14ac:dyDescent="0.3">
      <c r="J18840" s="33"/>
    </row>
    <row r="18841" spans="10:10" ht="15" customHeight="1" x14ac:dyDescent="0.3">
      <c r="J18841" s="33"/>
    </row>
    <row r="18842" spans="10:10" ht="15" customHeight="1" x14ac:dyDescent="0.3">
      <c r="J18842" s="33"/>
    </row>
    <row r="18843" spans="10:10" ht="15" customHeight="1" x14ac:dyDescent="0.3">
      <c r="J18843" s="33"/>
    </row>
    <row r="18844" spans="10:10" ht="15" customHeight="1" x14ac:dyDescent="0.3">
      <c r="J18844" s="33"/>
    </row>
    <row r="18845" spans="10:10" ht="15" customHeight="1" x14ac:dyDescent="0.3">
      <c r="J18845" s="33"/>
    </row>
    <row r="18846" spans="10:10" ht="15" customHeight="1" x14ac:dyDescent="0.3">
      <c r="J18846" s="33"/>
    </row>
    <row r="18847" spans="10:10" ht="15" customHeight="1" x14ac:dyDescent="0.3">
      <c r="J18847" s="33"/>
    </row>
    <row r="18848" spans="10:10" ht="15" customHeight="1" x14ac:dyDescent="0.3">
      <c r="J18848" s="33"/>
    </row>
    <row r="18849" spans="10:10" ht="15" customHeight="1" x14ac:dyDescent="0.3">
      <c r="J18849" s="33"/>
    </row>
    <row r="18850" spans="10:10" ht="15" customHeight="1" x14ac:dyDescent="0.3">
      <c r="J18850" s="33"/>
    </row>
    <row r="18851" spans="10:10" ht="15" customHeight="1" x14ac:dyDescent="0.3">
      <c r="J18851" s="33"/>
    </row>
    <row r="18852" spans="10:10" ht="15" customHeight="1" x14ac:dyDescent="0.3">
      <c r="J18852" s="33"/>
    </row>
    <row r="18853" spans="10:10" ht="15" customHeight="1" x14ac:dyDescent="0.3">
      <c r="J18853" s="33"/>
    </row>
    <row r="18854" spans="10:10" ht="15" customHeight="1" x14ac:dyDescent="0.3">
      <c r="J18854" s="33"/>
    </row>
    <row r="18855" spans="10:10" ht="15" customHeight="1" x14ac:dyDescent="0.3">
      <c r="J18855" s="33"/>
    </row>
    <row r="18856" spans="10:10" ht="15" customHeight="1" x14ac:dyDescent="0.3">
      <c r="J18856" s="33"/>
    </row>
    <row r="18857" spans="10:10" ht="15" customHeight="1" x14ac:dyDescent="0.3">
      <c r="J18857" s="33"/>
    </row>
    <row r="18858" spans="10:10" ht="15" customHeight="1" x14ac:dyDescent="0.3">
      <c r="J18858" s="33"/>
    </row>
    <row r="18859" spans="10:10" ht="15" customHeight="1" x14ac:dyDescent="0.3">
      <c r="J18859" s="33"/>
    </row>
    <row r="18860" spans="10:10" ht="15" customHeight="1" x14ac:dyDescent="0.3">
      <c r="J18860" s="33"/>
    </row>
    <row r="18861" spans="10:10" ht="15" customHeight="1" x14ac:dyDescent="0.3">
      <c r="J18861" s="33"/>
    </row>
    <row r="18862" spans="10:10" ht="15" customHeight="1" x14ac:dyDescent="0.3">
      <c r="J18862" s="33"/>
    </row>
    <row r="18863" spans="10:10" ht="15" customHeight="1" x14ac:dyDescent="0.3">
      <c r="J18863" s="33"/>
    </row>
    <row r="18864" spans="10:10" ht="15" customHeight="1" x14ac:dyDescent="0.3">
      <c r="J18864" s="33"/>
    </row>
    <row r="18865" spans="10:10" ht="15" customHeight="1" x14ac:dyDescent="0.3">
      <c r="J18865" s="33"/>
    </row>
    <row r="18866" spans="10:10" ht="15" customHeight="1" x14ac:dyDescent="0.3">
      <c r="J18866" s="33"/>
    </row>
    <row r="18867" spans="10:10" ht="15" customHeight="1" x14ac:dyDescent="0.3">
      <c r="J18867" s="33"/>
    </row>
    <row r="18868" spans="10:10" ht="15" customHeight="1" x14ac:dyDescent="0.3">
      <c r="J18868" s="33"/>
    </row>
    <row r="18869" spans="10:10" ht="15" customHeight="1" x14ac:dyDescent="0.3">
      <c r="J18869" s="33"/>
    </row>
    <row r="18870" spans="10:10" ht="15" customHeight="1" x14ac:dyDescent="0.3">
      <c r="J18870" s="33"/>
    </row>
    <row r="18871" spans="10:10" ht="15" customHeight="1" x14ac:dyDescent="0.3">
      <c r="J18871" s="33"/>
    </row>
    <row r="18872" spans="10:10" ht="15" customHeight="1" x14ac:dyDescent="0.3">
      <c r="J18872" s="33"/>
    </row>
    <row r="18873" spans="10:10" ht="15" customHeight="1" x14ac:dyDescent="0.3">
      <c r="J18873" s="33"/>
    </row>
    <row r="18874" spans="10:10" ht="15" customHeight="1" x14ac:dyDescent="0.3">
      <c r="J18874" s="33"/>
    </row>
    <row r="18875" spans="10:10" ht="15" customHeight="1" x14ac:dyDescent="0.3">
      <c r="J18875" s="33"/>
    </row>
    <row r="18876" spans="10:10" ht="15" customHeight="1" x14ac:dyDescent="0.3">
      <c r="J18876" s="33"/>
    </row>
    <row r="18877" spans="10:10" ht="15" customHeight="1" x14ac:dyDescent="0.3">
      <c r="J18877" s="33"/>
    </row>
    <row r="18878" spans="10:10" ht="15" customHeight="1" x14ac:dyDescent="0.3">
      <c r="J18878" s="33"/>
    </row>
    <row r="18879" spans="10:10" ht="15" customHeight="1" x14ac:dyDescent="0.3">
      <c r="J18879" s="33"/>
    </row>
    <row r="18880" spans="10:10" ht="15" customHeight="1" x14ac:dyDescent="0.3">
      <c r="J18880" s="33"/>
    </row>
    <row r="18881" spans="10:10" ht="15" customHeight="1" x14ac:dyDescent="0.3">
      <c r="J18881" s="33"/>
    </row>
    <row r="18882" spans="10:10" ht="15" customHeight="1" x14ac:dyDescent="0.3">
      <c r="J18882" s="33"/>
    </row>
    <row r="18883" spans="10:10" ht="15" customHeight="1" x14ac:dyDescent="0.3">
      <c r="J18883" s="33"/>
    </row>
    <row r="18884" spans="10:10" ht="15" customHeight="1" x14ac:dyDescent="0.3">
      <c r="J18884" s="33"/>
    </row>
    <row r="18885" spans="10:10" ht="15" customHeight="1" x14ac:dyDescent="0.3">
      <c r="J18885" s="33"/>
    </row>
    <row r="18886" spans="10:10" ht="15" customHeight="1" x14ac:dyDescent="0.3">
      <c r="J18886" s="33"/>
    </row>
    <row r="18887" spans="10:10" ht="15" customHeight="1" x14ac:dyDescent="0.3">
      <c r="J18887" s="33"/>
    </row>
    <row r="18888" spans="10:10" ht="15" customHeight="1" x14ac:dyDescent="0.3">
      <c r="J18888" s="33"/>
    </row>
    <row r="18889" spans="10:10" ht="15" customHeight="1" x14ac:dyDescent="0.3">
      <c r="J18889" s="33"/>
    </row>
    <row r="18890" spans="10:10" ht="15" customHeight="1" x14ac:dyDescent="0.3">
      <c r="J18890" s="33"/>
    </row>
    <row r="18891" spans="10:10" ht="15" customHeight="1" x14ac:dyDescent="0.3">
      <c r="J18891" s="33"/>
    </row>
    <row r="18892" spans="10:10" ht="15" customHeight="1" x14ac:dyDescent="0.3">
      <c r="J18892" s="33"/>
    </row>
    <row r="18893" spans="10:10" ht="15" customHeight="1" x14ac:dyDescent="0.3">
      <c r="J18893" s="33"/>
    </row>
    <row r="18894" spans="10:10" ht="15" customHeight="1" x14ac:dyDescent="0.3">
      <c r="J18894" s="33"/>
    </row>
    <row r="18895" spans="10:10" ht="15" customHeight="1" x14ac:dyDescent="0.3">
      <c r="J18895" s="33"/>
    </row>
    <row r="18896" spans="10:10" ht="15" customHeight="1" x14ac:dyDescent="0.3">
      <c r="J18896" s="33"/>
    </row>
    <row r="18897" spans="10:10" ht="15" customHeight="1" x14ac:dyDescent="0.3">
      <c r="J18897" s="33"/>
    </row>
    <row r="18898" spans="10:10" ht="15" customHeight="1" x14ac:dyDescent="0.3">
      <c r="J18898" s="33"/>
    </row>
    <row r="18899" spans="10:10" ht="15" customHeight="1" x14ac:dyDescent="0.3">
      <c r="J18899" s="33"/>
    </row>
    <row r="18900" spans="10:10" ht="15" customHeight="1" x14ac:dyDescent="0.3">
      <c r="J18900" s="33"/>
    </row>
    <row r="18901" spans="10:10" ht="15" customHeight="1" x14ac:dyDescent="0.3">
      <c r="J18901" s="33"/>
    </row>
    <row r="18902" spans="10:10" ht="15" customHeight="1" x14ac:dyDescent="0.3">
      <c r="J18902" s="33"/>
    </row>
    <row r="18903" spans="10:10" ht="15" customHeight="1" x14ac:dyDescent="0.3">
      <c r="J18903" s="33"/>
    </row>
    <row r="18904" spans="10:10" ht="15" customHeight="1" x14ac:dyDescent="0.3">
      <c r="J18904" s="33"/>
    </row>
    <row r="18905" spans="10:10" ht="15" customHeight="1" x14ac:dyDescent="0.3">
      <c r="J18905" s="33"/>
    </row>
    <row r="18906" spans="10:10" ht="15" customHeight="1" x14ac:dyDescent="0.3">
      <c r="J18906" s="33"/>
    </row>
    <row r="18907" spans="10:10" ht="15" customHeight="1" x14ac:dyDescent="0.3">
      <c r="J18907" s="33"/>
    </row>
    <row r="18908" spans="10:10" ht="15" customHeight="1" x14ac:dyDescent="0.3">
      <c r="J18908" s="33"/>
    </row>
    <row r="18909" spans="10:10" ht="15" customHeight="1" x14ac:dyDescent="0.3">
      <c r="J18909" s="33"/>
    </row>
    <row r="18910" spans="10:10" ht="15" customHeight="1" x14ac:dyDescent="0.3">
      <c r="J18910" s="33"/>
    </row>
    <row r="18911" spans="10:10" ht="15" customHeight="1" x14ac:dyDescent="0.3">
      <c r="J18911" s="33"/>
    </row>
    <row r="18912" spans="10:10" ht="15" customHeight="1" x14ac:dyDescent="0.3">
      <c r="J18912" s="33"/>
    </row>
    <row r="18913" spans="10:10" ht="15" customHeight="1" x14ac:dyDescent="0.3">
      <c r="J18913" s="33"/>
    </row>
    <row r="18914" spans="10:10" ht="15" customHeight="1" x14ac:dyDescent="0.3">
      <c r="J18914" s="33"/>
    </row>
    <row r="18915" spans="10:10" ht="15" customHeight="1" x14ac:dyDescent="0.3">
      <c r="J18915" s="33"/>
    </row>
    <row r="18916" spans="10:10" ht="15" customHeight="1" x14ac:dyDescent="0.3">
      <c r="J18916" s="33"/>
    </row>
    <row r="18917" spans="10:10" ht="15" customHeight="1" x14ac:dyDescent="0.3">
      <c r="J18917" s="33"/>
    </row>
    <row r="18918" spans="10:10" ht="15" customHeight="1" x14ac:dyDescent="0.3">
      <c r="J18918" s="33"/>
    </row>
    <row r="18919" spans="10:10" ht="15" customHeight="1" x14ac:dyDescent="0.3">
      <c r="J18919" s="33"/>
    </row>
    <row r="18920" spans="10:10" ht="15" customHeight="1" x14ac:dyDescent="0.3">
      <c r="J18920" s="33"/>
    </row>
    <row r="18921" spans="10:10" ht="15" customHeight="1" x14ac:dyDescent="0.3">
      <c r="J18921" s="33"/>
    </row>
    <row r="18922" spans="10:10" ht="15" customHeight="1" x14ac:dyDescent="0.3">
      <c r="J18922" s="33"/>
    </row>
    <row r="18923" spans="10:10" ht="15" customHeight="1" x14ac:dyDescent="0.3">
      <c r="J18923" s="33"/>
    </row>
    <row r="18924" spans="10:10" ht="15" customHeight="1" x14ac:dyDescent="0.3">
      <c r="J18924" s="33"/>
    </row>
    <row r="18925" spans="10:10" ht="15" customHeight="1" x14ac:dyDescent="0.3">
      <c r="J18925" s="33"/>
    </row>
    <row r="18926" spans="10:10" ht="15" customHeight="1" x14ac:dyDescent="0.3">
      <c r="J18926" s="33"/>
    </row>
    <row r="18927" spans="10:10" ht="15" customHeight="1" x14ac:dyDescent="0.3">
      <c r="J18927" s="33"/>
    </row>
    <row r="18928" spans="10:10" ht="15" customHeight="1" x14ac:dyDescent="0.3">
      <c r="J18928" s="33"/>
    </row>
    <row r="18929" spans="10:10" ht="15" customHeight="1" x14ac:dyDescent="0.3">
      <c r="J18929" s="33"/>
    </row>
    <row r="18930" spans="10:10" ht="15" customHeight="1" x14ac:dyDescent="0.3">
      <c r="J18930" s="33"/>
    </row>
    <row r="18931" spans="10:10" ht="15" customHeight="1" x14ac:dyDescent="0.3">
      <c r="J18931" s="33"/>
    </row>
    <row r="18932" spans="10:10" ht="15" customHeight="1" x14ac:dyDescent="0.3">
      <c r="J18932" s="33"/>
    </row>
    <row r="18933" spans="10:10" ht="15" customHeight="1" x14ac:dyDescent="0.3">
      <c r="J18933" s="33"/>
    </row>
    <row r="18934" spans="10:10" ht="15" customHeight="1" x14ac:dyDescent="0.3">
      <c r="J18934" s="33"/>
    </row>
    <row r="18935" spans="10:10" ht="15" customHeight="1" x14ac:dyDescent="0.3">
      <c r="J18935" s="33"/>
    </row>
    <row r="18936" spans="10:10" ht="15" customHeight="1" x14ac:dyDescent="0.3">
      <c r="J18936" s="33"/>
    </row>
    <row r="18937" spans="10:10" ht="15" customHeight="1" x14ac:dyDescent="0.3">
      <c r="J18937" s="33"/>
    </row>
    <row r="18938" spans="10:10" ht="15" customHeight="1" x14ac:dyDescent="0.3">
      <c r="J18938" s="33"/>
    </row>
    <row r="18939" spans="10:10" ht="15" customHeight="1" x14ac:dyDescent="0.3">
      <c r="J18939" s="33"/>
    </row>
    <row r="18940" spans="10:10" ht="15" customHeight="1" x14ac:dyDescent="0.3">
      <c r="J18940" s="33"/>
    </row>
    <row r="18941" spans="10:10" ht="15" customHeight="1" x14ac:dyDescent="0.3">
      <c r="J18941" s="33"/>
    </row>
    <row r="18942" spans="10:10" ht="15" customHeight="1" x14ac:dyDescent="0.3">
      <c r="J18942" s="33"/>
    </row>
    <row r="18943" spans="10:10" ht="15" customHeight="1" x14ac:dyDescent="0.3">
      <c r="J18943" s="33"/>
    </row>
    <row r="18944" spans="10:10" ht="15" customHeight="1" x14ac:dyDescent="0.3">
      <c r="J18944" s="33"/>
    </row>
    <row r="18945" spans="10:10" ht="15" customHeight="1" x14ac:dyDescent="0.3">
      <c r="J18945" s="33"/>
    </row>
    <row r="18946" spans="10:10" ht="15" customHeight="1" x14ac:dyDescent="0.3">
      <c r="J18946" s="33"/>
    </row>
    <row r="18947" spans="10:10" ht="15" customHeight="1" x14ac:dyDescent="0.3">
      <c r="J18947" s="33"/>
    </row>
    <row r="18948" spans="10:10" ht="15" customHeight="1" x14ac:dyDescent="0.3">
      <c r="J18948" s="33"/>
    </row>
    <row r="18949" spans="10:10" ht="15" customHeight="1" x14ac:dyDescent="0.3">
      <c r="J18949" s="33"/>
    </row>
    <row r="18950" spans="10:10" ht="15" customHeight="1" x14ac:dyDescent="0.3">
      <c r="J18950" s="33"/>
    </row>
    <row r="18951" spans="10:10" ht="15" customHeight="1" x14ac:dyDescent="0.3">
      <c r="J18951" s="33"/>
    </row>
    <row r="18952" spans="10:10" ht="15" customHeight="1" x14ac:dyDescent="0.3">
      <c r="J18952" s="33"/>
    </row>
    <row r="18953" spans="10:10" ht="15" customHeight="1" x14ac:dyDescent="0.3">
      <c r="J18953" s="33"/>
    </row>
    <row r="18954" spans="10:10" ht="15" customHeight="1" x14ac:dyDescent="0.3">
      <c r="J18954" s="33"/>
    </row>
    <row r="18955" spans="10:10" ht="15" customHeight="1" x14ac:dyDescent="0.3">
      <c r="J18955" s="33"/>
    </row>
    <row r="18956" spans="10:10" ht="15" customHeight="1" x14ac:dyDescent="0.3">
      <c r="J18956" s="33"/>
    </row>
    <row r="18957" spans="10:10" ht="15" customHeight="1" x14ac:dyDescent="0.3">
      <c r="J18957" s="33"/>
    </row>
    <row r="18958" spans="10:10" ht="15" customHeight="1" x14ac:dyDescent="0.3">
      <c r="J18958" s="33"/>
    </row>
    <row r="18959" spans="10:10" ht="15" customHeight="1" x14ac:dyDescent="0.3">
      <c r="J18959" s="33"/>
    </row>
    <row r="18960" spans="10:10" ht="15" customHeight="1" x14ac:dyDescent="0.3">
      <c r="J18960" s="33"/>
    </row>
    <row r="18961" spans="10:10" ht="15" customHeight="1" x14ac:dyDescent="0.3">
      <c r="J18961" s="33"/>
    </row>
    <row r="18962" spans="10:10" ht="15" customHeight="1" x14ac:dyDescent="0.3">
      <c r="J18962" s="33"/>
    </row>
    <row r="18963" spans="10:10" ht="15" customHeight="1" x14ac:dyDescent="0.3">
      <c r="J18963" s="33"/>
    </row>
    <row r="18964" spans="10:10" ht="15" customHeight="1" x14ac:dyDescent="0.3">
      <c r="J18964" s="33"/>
    </row>
    <row r="18965" spans="10:10" ht="15" customHeight="1" x14ac:dyDescent="0.3">
      <c r="J18965" s="33"/>
    </row>
    <row r="18966" spans="10:10" ht="15" customHeight="1" x14ac:dyDescent="0.3">
      <c r="J18966" s="33"/>
    </row>
    <row r="18967" spans="10:10" ht="15" customHeight="1" x14ac:dyDescent="0.3">
      <c r="J18967" s="33"/>
    </row>
    <row r="18968" spans="10:10" ht="15" customHeight="1" x14ac:dyDescent="0.3">
      <c r="J18968" s="33"/>
    </row>
    <row r="18969" spans="10:10" ht="15" customHeight="1" x14ac:dyDescent="0.3">
      <c r="J18969" s="33"/>
    </row>
    <row r="18970" spans="10:10" ht="15" customHeight="1" x14ac:dyDescent="0.3">
      <c r="J18970" s="33"/>
    </row>
    <row r="18971" spans="10:10" ht="15" customHeight="1" x14ac:dyDescent="0.3">
      <c r="J18971" s="33"/>
    </row>
    <row r="18972" spans="10:10" ht="15" customHeight="1" x14ac:dyDescent="0.3">
      <c r="J18972" s="33"/>
    </row>
    <row r="18973" spans="10:10" ht="15" customHeight="1" x14ac:dyDescent="0.3">
      <c r="J18973" s="33"/>
    </row>
    <row r="18974" spans="10:10" ht="15" customHeight="1" x14ac:dyDescent="0.3">
      <c r="J18974" s="33"/>
    </row>
    <row r="18975" spans="10:10" ht="15" customHeight="1" x14ac:dyDescent="0.3">
      <c r="J18975" s="33"/>
    </row>
    <row r="18976" spans="10:10" ht="15" customHeight="1" x14ac:dyDescent="0.3">
      <c r="J18976" s="33"/>
    </row>
    <row r="18977" spans="10:10" ht="15" customHeight="1" x14ac:dyDescent="0.3">
      <c r="J18977" s="33"/>
    </row>
    <row r="18978" spans="10:10" ht="15" customHeight="1" x14ac:dyDescent="0.3">
      <c r="J18978" s="33"/>
    </row>
    <row r="18979" spans="10:10" ht="15" customHeight="1" x14ac:dyDescent="0.3">
      <c r="J18979" s="33"/>
    </row>
    <row r="18980" spans="10:10" ht="15" customHeight="1" x14ac:dyDescent="0.3">
      <c r="J18980" s="33"/>
    </row>
    <row r="18981" spans="10:10" ht="15" customHeight="1" x14ac:dyDescent="0.3">
      <c r="J18981" s="33"/>
    </row>
    <row r="18982" spans="10:10" ht="15" customHeight="1" x14ac:dyDescent="0.3">
      <c r="J18982" s="33"/>
    </row>
    <row r="18983" spans="10:10" ht="15" customHeight="1" x14ac:dyDescent="0.3">
      <c r="J18983" s="33"/>
    </row>
    <row r="18984" spans="10:10" ht="15" customHeight="1" x14ac:dyDescent="0.3">
      <c r="J18984" s="33"/>
    </row>
    <row r="18985" spans="10:10" ht="15" customHeight="1" x14ac:dyDescent="0.3">
      <c r="J18985" s="33"/>
    </row>
    <row r="18986" spans="10:10" ht="15" customHeight="1" x14ac:dyDescent="0.3">
      <c r="J18986" s="33"/>
    </row>
    <row r="18987" spans="10:10" ht="15" customHeight="1" x14ac:dyDescent="0.3">
      <c r="J18987" s="33"/>
    </row>
    <row r="18988" spans="10:10" ht="15" customHeight="1" x14ac:dyDescent="0.3">
      <c r="J18988" s="33"/>
    </row>
    <row r="18989" spans="10:10" ht="15" customHeight="1" x14ac:dyDescent="0.3">
      <c r="J18989" s="33"/>
    </row>
    <row r="18990" spans="10:10" ht="15" customHeight="1" x14ac:dyDescent="0.3">
      <c r="J18990" s="33"/>
    </row>
    <row r="18991" spans="10:10" ht="15" customHeight="1" x14ac:dyDescent="0.3">
      <c r="J18991" s="33"/>
    </row>
    <row r="18992" spans="10:10" ht="15" customHeight="1" x14ac:dyDescent="0.3">
      <c r="J18992" s="33"/>
    </row>
    <row r="18993" spans="10:10" ht="15" customHeight="1" x14ac:dyDescent="0.3">
      <c r="J18993" s="33"/>
    </row>
    <row r="18994" spans="10:10" ht="15" customHeight="1" x14ac:dyDescent="0.3">
      <c r="J18994" s="33"/>
    </row>
    <row r="18995" spans="10:10" ht="15" customHeight="1" x14ac:dyDescent="0.3">
      <c r="J18995" s="33"/>
    </row>
    <row r="18996" spans="10:10" ht="15" customHeight="1" x14ac:dyDescent="0.3">
      <c r="J18996" s="33"/>
    </row>
    <row r="18997" spans="10:10" ht="15" customHeight="1" x14ac:dyDescent="0.3">
      <c r="J18997" s="33"/>
    </row>
    <row r="18998" spans="10:10" ht="15" customHeight="1" x14ac:dyDescent="0.3">
      <c r="J18998" s="33"/>
    </row>
    <row r="18999" spans="10:10" ht="15" customHeight="1" x14ac:dyDescent="0.3">
      <c r="J18999" s="33"/>
    </row>
    <row r="19000" spans="10:10" ht="15" customHeight="1" x14ac:dyDescent="0.3">
      <c r="J19000" s="33"/>
    </row>
    <row r="19001" spans="10:10" ht="15" customHeight="1" x14ac:dyDescent="0.3">
      <c r="J19001" s="33"/>
    </row>
    <row r="19002" spans="10:10" ht="15" customHeight="1" x14ac:dyDescent="0.3">
      <c r="J19002" s="33"/>
    </row>
    <row r="19003" spans="10:10" ht="15" customHeight="1" x14ac:dyDescent="0.3">
      <c r="J19003" s="33"/>
    </row>
    <row r="19004" spans="10:10" ht="15" customHeight="1" x14ac:dyDescent="0.3">
      <c r="J19004" s="33"/>
    </row>
    <row r="19005" spans="10:10" ht="15" customHeight="1" x14ac:dyDescent="0.3">
      <c r="J19005" s="33"/>
    </row>
    <row r="19006" spans="10:10" ht="15" customHeight="1" x14ac:dyDescent="0.3">
      <c r="J19006" s="33"/>
    </row>
    <row r="19007" spans="10:10" ht="15" customHeight="1" x14ac:dyDescent="0.3">
      <c r="J19007" s="33"/>
    </row>
    <row r="19008" spans="10:10" ht="15" customHeight="1" x14ac:dyDescent="0.3">
      <c r="J19008" s="33"/>
    </row>
    <row r="19009" spans="10:10" ht="15" customHeight="1" x14ac:dyDescent="0.3">
      <c r="J19009" s="33"/>
    </row>
    <row r="19010" spans="10:10" ht="15" customHeight="1" x14ac:dyDescent="0.3">
      <c r="J19010" s="33"/>
    </row>
    <row r="19011" spans="10:10" ht="15" customHeight="1" x14ac:dyDescent="0.3">
      <c r="J19011" s="33"/>
    </row>
    <row r="19012" spans="10:10" ht="15" customHeight="1" x14ac:dyDescent="0.3">
      <c r="J19012" s="33"/>
    </row>
    <row r="19013" spans="10:10" ht="15" customHeight="1" x14ac:dyDescent="0.3">
      <c r="J19013" s="33"/>
    </row>
    <row r="19014" spans="10:10" ht="15" customHeight="1" x14ac:dyDescent="0.3">
      <c r="J19014" s="33"/>
    </row>
    <row r="19015" spans="10:10" ht="15" customHeight="1" x14ac:dyDescent="0.3">
      <c r="J19015" s="33"/>
    </row>
    <row r="19016" spans="10:10" ht="15" customHeight="1" x14ac:dyDescent="0.3">
      <c r="J19016" s="33"/>
    </row>
    <row r="19017" spans="10:10" ht="15" customHeight="1" x14ac:dyDescent="0.3">
      <c r="J19017" s="33"/>
    </row>
    <row r="19018" spans="10:10" ht="15" customHeight="1" x14ac:dyDescent="0.3">
      <c r="J19018" s="33"/>
    </row>
    <row r="19019" spans="10:10" ht="15" customHeight="1" x14ac:dyDescent="0.3">
      <c r="J19019" s="33"/>
    </row>
    <row r="19020" spans="10:10" ht="15" customHeight="1" x14ac:dyDescent="0.3">
      <c r="J19020" s="33"/>
    </row>
    <row r="19021" spans="10:10" ht="15" customHeight="1" x14ac:dyDescent="0.3">
      <c r="J19021" s="33"/>
    </row>
    <row r="19022" spans="10:10" ht="15" customHeight="1" x14ac:dyDescent="0.3">
      <c r="J19022" s="33"/>
    </row>
    <row r="19023" spans="10:10" ht="15" customHeight="1" x14ac:dyDescent="0.3">
      <c r="J19023" s="33"/>
    </row>
    <row r="19024" spans="10:10" ht="15" customHeight="1" x14ac:dyDescent="0.3">
      <c r="J19024" s="33"/>
    </row>
    <row r="19025" spans="10:10" ht="15" customHeight="1" x14ac:dyDescent="0.3">
      <c r="J19025" s="33"/>
    </row>
    <row r="19026" spans="10:10" ht="15" customHeight="1" x14ac:dyDescent="0.3">
      <c r="J19026" s="33"/>
    </row>
    <row r="19027" spans="10:10" ht="15" customHeight="1" x14ac:dyDescent="0.3">
      <c r="J19027" s="33"/>
    </row>
    <row r="19028" spans="10:10" ht="15" customHeight="1" x14ac:dyDescent="0.3">
      <c r="J19028" s="33"/>
    </row>
    <row r="19029" spans="10:10" ht="15" customHeight="1" x14ac:dyDescent="0.3">
      <c r="J19029" s="33"/>
    </row>
    <row r="19030" spans="10:10" ht="15" customHeight="1" x14ac:dyDescent="0.3">
      <c r="J19030" s="33"/>
    </row>
    <row r="19031" spans="10:10" ht="15" customHeight="1" x14ac:dyDescent="0.3">
      <c r="J19031" s="33"/>
    </row>
    <row r="19032" spans="10:10" ht="15" customHeight="1" x14ac:dyDescent="0.3">
      <c r="J19032" s="33"/>
    </row>
    <row r="19033" spans="10:10" ht="15" customHeight="1" x14ac:dyDescent="0.3">
      <c r="J19033" s="33"/>
    </row>
    <row r="19034" spans="10:10" ht="15" customHeight="1" x14ac:dyDescent="0.3">
      <c r="J19034" s="33"/>
    </row>
    <row r="19035" spans="10:10" ht="15" customHeight="1" x14ac:dyDescent="0.3">
      <c r="J19035" s="33"/>
    </row>
    <row r="19036" spans="10:10" ht="15" customHeight="1" x14ac:dyDescent="0.3">
      <c r="J19036" s="33"/>
    </row>
    <row r="19037" spans="10:10" ht="15" customHeight="1" x14ac:dyDescent="0.3">
      <c r="J19037" s="33"/>
    </row>
    <row r="19038" spans="10:10" ht="15" customHeight="1" x14ac:dyDescent="0.3">
      <c r="J19038" s="33"/>
    </row>
    <row r="19039" spans="10:10" ht="15" customHeight="1" x14ac:dyDescent="0.3">
      <c r="J19039" s="33"/>
    </row>
    <row r="19040" spans="10:10" ht="15" customHeight="1" x14ac:dyDescent="0.3">
      <c r="J19040" s="33"/>
    </row>
    <row r="19041" spans="10:10" ht="15" customHeight="1" x14ac:dyDescent="0.3">
      <c r="J19041" s="33"/>
    </row>
    <row r="19042" spans="10:10" ht="15" customHeight="1" x14ac:dyDescent="0.3">
      <c r="J19042" s="33"/>
    </row>
    <row r="19043" spans="10:10" ht="15" customHeight="1" x14ac:dyDescent="0.3">
      <c r="J19043" s="33"/>
    </row>
    <row r="19044" spans="10:10" ht="15" customHeight="1" x14ac:dyDescent="0.3">
      <c r="J19044" s="33"/>
    </row>
    <row r="19045" spans="10:10" ht="15" customHeight="1" x14ac:dyDescent="0.3">
      <c r="J19045" s="33"/>
    </row>
    <row r="19046" spans="10:10" ht="15" customHeight="1" x14ac:dyDescent="0.3">
      <c r="J19046" s="33"/>
    </row>
    <row r="19047" spans="10:10" ht="15" customHeight="1" x14ac:dyDescent="0.3">
      <c r="J19047" s="33"/>
    </row>
    <row r="19048" spans="10:10" ht="15" customHeight="1" x14ac:dyDescent="0.3">
      <c r="J19048" s="33"/>
    </row>
    <row r="19049" spans="10:10" ht="15" customHeight="1" x14ac:dyDescent="0.3">
      <c r="J19049" s="33"/>
    </row>
    <row r="19050" spans="10:10" ht="15" customHeight="1" x14ac:dyDescent="0.3">
      <c r="J19050" s="33"/>
    </row>
    <row r="19051" spans="10:10" ht="15" customHeight="1" x14ac:dyDescent="0.3">
      <c r="J19051" s="33"/>
    </row>
    <row r="19052" spans="10:10" ht="15" customHeight="1" x14ac:dyDescent="0.3">
      <c r="J19052" s="33"/>
    </row>
    <row r="19053" spans="10:10" ht="15" customHeight="1" x14ac:dyDescent="0.3">
      <c r="J19053" s="33"/>
    </row>
    <row r="19054" spans="10:10" ht="15" customHeight="1" x14ac:dyDescent="0.3">
      <c r="J19054" s="33"/>
    </row>
    <row r="19055" spans="10:10" ht="15" customHeight="1" x14ac:dyDescent="0.3">
      <c r="J19055" s="33"/>
    </row>
    <row r="19056" spans="10:10" ht="15" customHeight="1" x14ac:dyDescent="0.3">
      <c r="J19056" s="33"/>
    </row>
    <row r="19057" spans="10:10" ht="15" customHeight="1" x14ac:dyDescent="0.3">
      <c r="J19057" s="33"/>
    </row>
    <row r="19058" spans="10:10" ht="15" customHeight="1" x14ac:dyDescent="0.3">
      <c r="J19058" s="33"/>
    </row>
    <row r="19059" spans="10:10" ht="15" customHeight="1" x14ac:dyDescent="0.3">
      <c r="J19059" s="33"/>
    </row>
    <row r="19060" spans="10:10" ht="15" customHeight="1" x14ac:dyDescent="0.3">
      <c r="J19060" s="33"/>
    </row>
    <row r="19061" spans="10:10" ht="15" customHeight="1" x14ac:dyDescent="0.3">
      <c r="J19061" s="33"/>
    </row>
    <row r="19062" spans="10:10" ht="15" customHeight="1" x14ac:dyDescent="0.3">
      <c r="J19062" s="33"/>
    </row>
    <row r="19063" spans="10:10" ht="15" customHeight="1" x14ac:dyDescent="0.3">
      <c r="J19063" s="33"/>
    </row>
    <row r="19064" spans="10:10" ht="15" customHeight="1" x14ac:dyDescent="0.3">
      <c r="J19064" s="33"/>
    </row>
    <row r="19065" spans="10:10" ht="15" customHeight="1" x14ac:dyDescent="0.3">
      <c r="J19065" s="33"/>
    </row>
    <row r="19066" spans="10:10" ht="15" customHeight="1" x14ac:dyDescent="0.3">
      <c r="J19066" s="33"/>
    </row>
    <row r="19067" spans="10:10" ht="15" customHeight="1" x14ac:dyDescent="0.3">
      <c r="J19067" s="33"/>
    </row>
    <row r="19068" spans="10:10" ht="15" customHeight="1" x14ac:dyDescent="0.3">
      <c r="J19068" s="33"/>
    </row>
    <row r="19069" spans="10:10" ht="15" customHeight="1" x14ac:dyDescent="0.3">
      <c r="J19069" s="33"/>
    </row>
    <row r="19070" spans="10:10" ht="15" customHeight="1" x14ac:dyDescent="0.3">
      <c r="J19070" s="33"/>
    </row>
    <row r="19071" spans="10:10" ht="15" customHeight="1" x14ac:dyDescent="0.3">
      <c r="J19071" s="33"/>
    </row>
    <row r="19072" spans="10:10" ht="15" customHeight="1" x14ac:dyDescent="0.3">
      <c r="J19072" s="33"/>
    </row>
    <row r="19073" spans="10:10" ht="15" customHeight="1" x14ac:dyDescent="0.3">
      <c r="J19073" s="33"/>
    </row>
    <row r="19074" spans="10:10" ht="15" customHeight="1" x14ac:dyDescent="0.3">
      <c r="J19074" s="33"/>
    </row>
    <row r="19075" spans="10:10" ht="15" customHeight="1" x14ac:dyDescent="0.3">
      <c r="J19075" s="33"/>
    </row>
    <row r="19076" spans="10:10" ht="15" customHeight="1" x14ac:dyDescent="0.3">
      <c r="J19076" s="33"/>
    </row>
    <row r="19077" spans="10:10" ht="15" customHeight="1" x14ac:dyDescent="0.3">
      <c r="J19077" s="33"/>
    </row>
    <row r="19078" spans="10:10" ht="15" customHeight="1" x14ac:dyDescent="0.3">
      <c r="J19078" s="33"/>
    </row>
    <row r="19079" spans="10:10" ht="15" customHeight="1" x14ac:dyDescent="0.3">
      <c r="J19079" s="33"/>
    </row>
    <row r="19080" spans="10:10" ht="15" customHeight="1" x14ac:dyDescent="0.3">
      <c r="J19080" s="33"/>
    </row>
    <row r="19081" spans="10:10" ht="15" customHeight="1" x14ac:dyDescent="0.3">
      <c r="J19081" s="33"/>
    </row>
    <row r="19082" spans="10:10" ht="15" customHeight="1" x14ac:dyDescent="0.3">
      <c r="J19082" s="33"/>
    </row>
    <row r="19083" spans="10:10" ht="15" customHeight="1" x14ac:dyDescent="0.3">
      <c r="J19083" s="33"/>
    </row>
    <row r="19084" spans="10:10" ht="15" customHeight="1" x14ac:dyDescent="0.3">
      <c r="J19084" s="33"/>
    </row>
    <row r="19085" spans="10:10" ht="15" customHeight="1" x14ac:dyDescent="0.3">
      <c r="J19085" s="33"/>
    </row>
    <row r="19086" spans="10:10" ht="15" customHeight="1" x14ac:dyDescent="0.3">
      <c r="J19086" s="33"/>
    </row>
    <row r="19087" spans="10:10" ht="15" customHeight="1" x14ac:dyDescent="0.3">
      <c r="J19087" s="33"/>
    </row>
    <row r="19088" spans="10:10" ht="15" customHeight="1" x14ac:dyDescent="0.3">
      <c r="J19088" s="33"/>
    </row>
    <row r="19089" spans="10:10" ht="15" customHeight="1" x14ac:dyDescent="0.3">
      <c r="J19089" s="33"/>
    </row>
    <row r="19090" spans="10:10" ht="15" customHeight="1" x14ac:dyDescent="0.3">
      <c r="J19090" s="33"/>
    </row>
    <row r="19091" spans="10:10" ht="15" customHeight="1" x14ac:dyDescent="0.3">
      <c r="J19091" s="33"/>
    </row>
    <row r="19092" spans="10:10" ht="15" customHeight="1" x14ac:dyDescent="0.3">
      <c r="J19092" s="33"/>
    </row>
    <row r="19093" spans="10:10" ht="15" customHeight="1" x14ac:dyDescent="0.3">
      <c r="J19093" s="33"/>
    </row>
    <row r="19094" spans="10:10" ht="15" customHeight="1" x14ac:dyDescent="0.3">
      <c r="J19094" s="33"/>
    </row>
    <row r="19095" spans="10:10" ht="15" customHeight="1" x14ac:dyDescent="0.3">
      <c r="J19095" s="33"/>
    </row>
    <row r="19096" spans="10:10" ht="15" customHeight="1" x14ac:dyDescent="0.3">
      <c r="J19096" s="33"/>
    </row>
    <row r="19097" spans="10:10" ht="15" customHeight="1" x14ac:dyDescent="0.3">
      <c r="J19097" s="33"/>
    </row>
    <row r="19098" spans="10:10" ht="15" customHeight="1" x14ac:dyDescent="0.3">
      <c r="J19098" s="33"/>
    </row>
    <row r="19099" spans="10:10" ht="15" customHeight="1" x14ac:dyDescent="0.3">
      <c r="J19099" s="33"/>
    </row>
    <row r="19100" spans="10:10" ht="15" customHeight="1" x14ac:dyDescent="0.3">
      <c r="J19100" s="33"/>
    </row>
    <row r="19101" spans="10:10" ht="15" customHeight="1" x14ac:dyDescent="0.3">
      <c r="J19101" s="33"/>
    </row>
    <row r="19102" spans="10:10" ht="15" customHeight="1" x14ac:dyDescent="0.3">
      <c r="J19102" s="33"/>
    </row>
    <row r="19103" spans="10:10" ht="15" customHeight="1" x14ac:dyDescent="0.3">
      <c r="J19103" s="33"/>
    </row>
    <row r="19104" spans="10:10" ht="15" customHeight="1" x14ac:dyDescent="0.3">
      <c r="J19104" s="33"/>
    </row>
    <row r="19105" spans="10:10" ht="15" customHeight="1" x14ac:dyDescent="0.3">
      <c r="J19105" s="33"/>
    </row>
    <row r="19106" spans="10:10" ht="15" customHeight="1" x14ac:dyDescent="0.3">
      <c r="J19106" s="33"/>
    </row>
    <row r="19107" spans="10:10" ht="15" customHeight="1" x14ac:dyDescent="0.3">
      <c r="J19107" s="33"/>
    </row>
    <row r="19108" spans="10:10" ht="15" customHeight="1" x14ac:dyDescent="0.3">
      <c r="J19108" s="33"/>
    </row>
    <row r="19109" spans="10:10" ht="15" customHeight="1" x14ac:dyDescent="0.3">
      <c r="J19109" s="33"/>
    </row>
    <row r="19110" spans="10:10" ht="15" customHeight="1" x14ac:dyDescent="0.3">
      <c r="J19110" s="33"/>
    </row>
    <row r="19111" spans="10:10" ht="15" customHeight="1" x14ac:dyDescent="0.3">
      <c r="J19111" s="33"/>
    </row>
    <row r="19112" spans="10:10" ht="15" customHeight="1" x14ac:dyDescent="0.3">
      <c r="J19112" s="33"/>
    </row>
    <row r="19113" spans="10:10" ht="15" customHeight="1" x14ac:dyDescent="0.3">
      <c r="J19113" s="33"/>
    </row>
    <row r="19114" spans="10:10" ht="15" customHeight="1" x14ac:dyDescent="0.3">
      <c r="J19114" s="33"/>
    </row>
    <row r="19115" spans="10:10" ht="15" customHeight="1" x14ac:dyDescent="0.3">
      <c r="J19115" s="33"/>
    </row>
    <row r="19116" spans="10:10" ht="15" customHeight="1" x14ac:dyDescent="0.3">
      <c r="J19116" s="33"/>
    </row>
    <row r="19117" spans="10:10" ht="15" customHeight="1" x14ac:dyDescent="0.3">
      <c r="J19117" s="33"/>
    </row>
    <row r="19118" spans="10:10" ht="15" customHeight="1" x14ac:dyDescent="0.3">
      <c r="J19118" s="33"/>
    </row>
    <row r="19119" spans="10:10" ht="15" customHeight="1" x14ac:dyDescent="0.3">
      <c r="J19119" s="33"/>
    </row>
    <row r="19120" spans="10:10" ht="15" customHeight="1" x14ac:dyDescent="0.3">
      <c r="J19120" s="33"/>
    </row>
    <row r="19121" spans="10:10" ht="15" customHeight="1" x14ac:dyDescent="0.3">
      <c r="J19121" s="33"/>
    </row>
    <row r="19122" spans="10:10" ht="15" customHeight="1" x14ac:dyDescent="0.3">
      <c r="J19122" s="33"/>
    </row>
    <row r="19123" spans="10:10" ht="15" customHeight="1" x14ac:dyDescent="0.3">
      <c r="J19123" s="33"/>
    </row>
    <row r="19124" spans="10:10" ht="15" customHeight="1" x14ac:dyDescent="0.3">
      <c r="J19124" s="33"/>
    </row>
    <row r="19125" spans="10:10" ht="15" customHeight="1" x14ac:dyDescent="0.3">
      <c r="J19125" s="33"/>
    </row>
    <row r="19126" spans="10:10" ht="15" customHeight="1" x14ac:dyDescent="0.3">
      <c r="J19126" s="33"/>
    </row>
    <row r="19127" spans="10:10" ht="15" customHeight="1" x14ac:dyDescent="0.3">
      <c r="J19127" s="33"/>
    </row>
    <row r="19128" spans="10:10" ht="15" customHeight="1" x14ac:dyDescent="0.3">
      <c r="J19128" s="33"/>
    </row>
    <row r="19129" spans="10:10" ht="15" customHeight="1" x14ac:dyDescent="0.3">
      <c r="J19129" s="33"/>
    </row>
    <row r="19130" spans="10:10" ht="15" customHeight="1" x14ac:dyDescent="0.3">
      <c r="J19130" s="33"/>
    </row>
    <row r="19131" spans="10:10" ht="15" customHeight="1" x14ac:dyDescent="0.3">
      <c r="J19131" s="33"/>
    </row>
    <row r="19132" spans="10:10" ht="15" customHeight="1" x14ac:dyDescent="0.3">
      <c r="J19132" s="33"/>
    </row>
    <row r="19133" spans="10:10" ht="15" customHeight="1" x14ac:dyDescent="0.3">
      <c r="J19133" s="33"/>
    </row>
    <row r="19134" spans="10:10" ht="15" customHeight="1" x14ac:dyDescent="0.3">
      <c r="J19134" s="33"/>
    </row>
    <row r="19135" spans="10:10" ht="15" customHeight="1" x14ac:dyDescent="0.3">
      <c r="J19135" s="33"/>
    </row>
    <row r="19136" spans="10:10" ht="15" customHeight="1" x14ac:dyDescent="0.3">
      <c r="J19136" s="33"/>
    </row>
    <row r="19137" spans="10:10" ht="15" customHeight="1" x14ac:dyDescent="0.3">
      <c r="J19137" s="33"/>
    </row>
    <row r="19138" spans="10:10" ht="15" customHeight="1" x14ac:dyDescent="0.3">
      <c r="J19138" s="33"/>
    </row>
    <row r="19139" spans="10:10" ht="15" customHeight="1" x14ac:dyDescent="0.3">
      <c r="J19139" s="33"/>
    </row>
    <row r="19140" spans="10:10" ht="15" customHeight="1" x14ac:dyDescent="0.3">
      <c r="J19140" s="33"/>
    </row>
    <row r="19141" spans="10:10" ht="15" customHeight="1" x14ac:dyDescent="0.3">
      <c r="J19141" s="33"/>
    </row>
    <row r="19142" spans="10:10" ht="15" customHeight="1" x14ac:dyDescent="0.3">
      <c r="J19142" s="33"/>
    </row>
    <row r="19143" spans="10:10" ht="15" customHeight="1" x14ac:dyDescent="0.3">
      <c r="J19143" s="33"/>
    </row>
    <row r="19144" spans="10:10" ht="15" customHeight="1" x14ac:dyDescent="0.3">
      <c r="J19144" s="33"/>
    </row>
    <row r="19145" spans="10:10" ht="15" customHeight="1" x14ac:dyDescent="0.3">
      <c r="J19145" s="33"/>
    </row>
    <row r="19146" spans="10:10" ht="15" customHeight="1" x14ac:dyDescent="0.3">
      <c r="J19146" s="33"/>
    </row>
    <row r="19147" spans="10:10" ht="15" customHeight="1" x14ac:dyDescent="0.3">
      <c r="J19147" s="33"/>
    </row>
    <row r="19148" spans="10:10" ht="15" customHeight="1" x14ac:dyDescent="0.3">
      <c r="J19148" s="33"/>
    </row>
    <row r="19149" spans="10:10" ht="15" customHeight="1" x14ac:dyDescent="0.3">
      <c r="J19149" s="33"/>
    </row>
    <row r="19150" spans="10:10" ht="15" customHeight="1" x14ac:dyDescent="0.3">
      <c r="J19150" s="33"/>
    </row>
    <row r="19151" spans="10:10" ht="15" customHeight="1" x14ac:dyDescent="0.3">
      <c r="J19151" s="33"/>
    </row>
    <row r="19152" spans="10:10" ht="15" customHeight="1" x14ac:dyDescent="0.3">
      <c r="J19152" s="33"/>
    </row>
    <row r="19153" spans="10:10" ht="15" customHeight="1" x14ac:dyDescent="0.3">
      <c r="J19153" s="33"/>
    </row>
    <row r="19154" spans="10:10" ht="15" customHeight="1" x14ac:dyDescent="0.3">
      <c r="J19154" s="33"/>
    </row>
    <row r="19155" spans="10:10" ht="15" customHeight="1" x14ac:dyDescent="0.3">
      <c r="J19155" s="33"/>
    </row>
    <row r="19156" spans="10:10" ht="15" customHeight="1" x14ac:dyDescent="0.3">
      <c r="J19156" s="33"/>
    </row>
    <row r="19157" spans="10:10" ht="15" customHeight="1" x14ac:dyDescent="0.3">
      <c r="J19157" s="33"/>
    </row>
    <row r="19158" spans="10:10" ht="15" customHeight="1" x14ac:dyDescent="0.3">
      <c r="J19158" s="33"/>
    </row>
    <row r="19159" spans="10:10" ht="15" customHeight="1" x14ac:dyDescent="0.3">
      <c r="J19159" s="33"/>
    </row>
    <row r="19160" spans="10:10" ht="15" customHeight="1" x14ac:dyDescent="0.3">
      <c r="J19160" s="33"/>
    </row>
    <row r="19161" spans="10:10" ht="15" customHeight="1" x14ac:dyDescent="0.3">
      <c r="J19161" s="33"/>
    </row>
    <row r="19162" spans="10:10" ht="15" customHeight="1" x14ac:dyDescent="0.3">
      <c r="J19162" s="33"/>
    </row>
    <row r="19163" spans="10:10" ht="15" customHeight="1" x14ac:dyDescent="0.3">
      <c r="J19163" s="33"/>
    </row>
    <row r="19164" spans="10:10" ht="15" customHeight="1" x14ac:dyDescent="0.3">
      <c r="J19164" s="33"/>
    </row>
    <row r="19165" spans="10:10" ht="15" customHeight="1" x14ac:dyDescent="0.3">
      <c r="J19165" s="33"/>
    </row>
    <row r="19166" spans="10:10" ht="15" customHeight="1" x14ac:dyDescent="0.3">
      <c r="J19166" s="33"/>
    </row>
    <row r="19167" spans="10:10" ht="15" customHeight="1" x14ac:dyDescent="0.3">
      <c r="J19167" s="33"/>
    </row>
    <row r="19168" spans="10:10" ht="15" customHeight="1" x14ac:dyDescent="0.3">
      <c r="J19168" s="33"/>
    </row>
    <row r="19169" spans="10:10" ht="15" customHeight="1" x14ac:dyDescent="0.3">
      <c r="J19169" s="33"/>
    </row>
    <row r="19170" spans="10:10" ht="15" customHeight="1" x14ac:dyDescent="0.3">
      <c r="J19170" s="33"/>
    </row>
    <row r="19171" spans="10:10" ht="15" customHeight="1" x14ac:dyDescent="0.3">
      <c r="J19171" s="33"/>
    </row>
    <row r="19172" spans="10:10" ht="15" customHeight="1" x14ac:dyDescent="0.3">
      <c r="J19172" s="33"/>
    </row>
    <row r="19173" spans="10:10" ht="15" customHeight="1" x14ac:dyDescent="0.3">
      <c r="J19173" s="33"/>
    </row>
    <row r="19174" spans="10:10" ht="15" customHeight="1" x14ac:dyDescent="0.3">
      <c r="J19174" s="33"/>
    </row>
    <row r="19175" spans="10:10" ht="15" customHeight="1" x14ac:dyDescent="0.3">
      <c r="J19175" s="33"/>
    </row>
    <row r="19176" spans="10:10" ht="15" customHeight="1" x14ac:dyDescent="0.3">
      <c r="J19176" s="33"/>
    </row>
    <row r="19177" spans="10:10" ht="15" customHeight="1" x14ac:dyDescent="0.3">
      <c r="J19177" s="33"/>
    </row>
    <row r="19178" spans="10:10" ht="15" customHeight="1" x14ac:dyDescent="0.3">
      <c r="J19178" s="33"/>
    </row>
    <row r="19179" spans="10:10" ht="15" customHeight="1" x14ac:dyDescent="0.3">
      <c r="J19179" s="33"/>
    </row>
    <row r="19180" spans="10:10" ht="15" customHeight="1" x14ac:dyDescent="0.3">
      <c r="J19180" s="33"/>
    </row>
    <row r="19181" spans="10:10" ht="15" customHeight="1" x14ac:dyDescent="0.3">
      <c r="J19181" s="33"/>
    </row>
    <row r="19182" spans="10:10" ht="15" customHeight="1" x14ac:dyDescent="0.3">
      <c r="J19182" s="33"/>
    </row>
    <row r="19183" spans="10:10" ht="15" customHeight="1" x14ac:dyDescent="0.3">
      <c r="J19183" s="33"/>
    </row>
    <row r="19184" spans="10:10" ht="15" customHeight="1" x14ac:dyDescent="0.3">
      <c r="J19184" s="33"/>
    </row>
    <row r="19185" spans="10:10" ht="15" customHeight="1" x14ac:dyDescent="0.3">
      <c r="J19185" s="33"/>
    </row>
    <row r="19186" spans="10:10" ht="15" customHeight="1" x14ac:dyDescent="0.3">
      <c r="J19186" s="33"/>
    </row>
    <row r="19187" spans="10:10" ht="15" customHeight="1" x14ac:dyDescent="0.3">
      <c r="J19187" s="33"/>
    </row>
    <row r="19188" spans="10:10" ht="15" customHeight="1" x14ac:dyDescent="0.3">
      <c r="J19188" s="33"/>
    </row>
    <row r="19189" spans="10:10" ht="15" customHeight="1" x14ac:dyDescent="0.3">
      <c r="J19189" s="33"/>
    </row>
    <row r="19190" spans="10:10" ht="15" customHeight="1" x14ac:dyDescent="0.3">
      <c r="J19190" s="33"/>
    </row>
    <row r="19191" spans="10:10" ht="15" customHeight="1" x14ac:dyDescent="0.3">
      <c r="J19191" s="33"/>
    </row>
    <row r="19192" spans="10:10" ht="15" customHeight="1" x14ac:dyDescent="0.3">
      <c r="J19192" s="33"/>
    </row>
    <row r="19193" spans="10:10" ht="15" customHeight="1" x14ac:dyDescent="0.3">
      <c r="J19193" s="33"/>
    </row>
    <row r="19194" spans="10:10" ht="15" customHeight="1" x14ac:dyDescent="0.3">
      <c r="J19194" s="33"/>
    </row>
    <row r="19195" spans="10:10" ht="15" customHeight="1" x14ac:dyDescent="0.3">
      <c r="J19195" s="33"/>
    </row>
    <row r="19196" spans="10:10" ht="15" customHeight="1" x14ac:dyDescent="0.3">
      <c r="J19196" s="33"/>
    </row>
    <row r="19197" spans="10:10" ht="15" customHeight="1" x14ac:dyDescent="0.3">
      <c r="J19197" s="33"/>
    </row>
    <row r="19198" spans="10:10" ht="15" customHeight="1" x14ac:dyDescent="0.3">
      <c r="J19198" s="33"/>
    </row>
    <row r="19199" spans="10:10" ht="15" customHeight="1" x14ac:dyDescent="0.3">
      <c r="J19199" s="33"/>
    </row>
    <row r="19200" spans="10:10" ht="15" customHeight="1" x14ac:dyDescent="0.3">
      <c r="J19200" s="33"/>
    </row>
    <row r="19201" spans="10:10" ht="15" customHeight="1" x14ac:dyDescent="0.3">
      <c r="J19201" s="33"/>
    </row>
    <row r="19202" spans="10:10" ht="15" customHeight="1" x14ac:dyDescent="0.3">
      <c r="J19202" s="33"/>
    </row>
    <row r="19203" spans="10:10" ht="15" customHeight="1" x14ac:dyDescent="0.3">
      <c r="J19203" s="33"/>
    </row>
    <row r="19204" spans="10:10" ht="15" customHeight="1" x14ac:dyDescent="0.3">
      <c r="J19204" s="33"/>
    </row>
    <row r="19205" spans="10:10" ht="15" customHeight="1" x14ac:dyDescent="0.3">
      <c r="J19205" s="33"/>
    </row>
    <row r="19206" spans="10:10" ht="15" customHeight="1" x14ac:dyDescent="0.3">
      <c r="J19206" s="33"/>
    </row>
    <row r="19207" spans="10:10" ht="15" customHeight="1" x14ac:dyDescent="0.3">
      <c r="J19207" s="33"/>
    </row>
    <row r="19208" spans="10:10" ht="15" customHeight="1" x14ac:dyDescent="0.3">
      <c r="J19208" s="33"/>
    </row>
    <row r="19209" spans="10:10" ht="15" customHeight="1" x14ac:dyDescent="0.3">
      <c r="J19209" s="33"/>
    </row>
    <row r="19210" spans="10:10" ht="15" customHeight="1" x14ac:dyDescent="0.3">
      <c r="J19210" s="33"/>
    </row>
    <row r="19211" spans="10:10" ht="15" customHeight="1" x14ac:dyDescent="0.3">
      <c r="J19211" s="33"/>
    </row>
    <row r="19212" spans="10:10" ht="15" customHeight="1" x14ac:dyDescent="0.3">
      <c r="J19212" s="33"/>
    </row>
    <row r="19213" spans="10:10" ht="15" customHeight="1" x14ac:dyDescent="0.3">
      <c r="J19213" s="33"/>
    </row>
    <row r="19214" spans="10:10" ht="15" customHeight="1" x14ac:dyDescent="0.3">
      <c r="J19214" s="33"/>
    </row>
    <row r="19215" spans="10:10" ht="15" customHeight="1" x14ac:dyDescent="0.3">
      <c r="J19215" s="33"/>
    </row>
    <row r="19216" spans="10:10" ht="15" customHeight="1" x14ac:dyDescent="0.3">
      <c r="J19216" s="33"/>
    </row>
    <row r="19217" spans="10:10" ht="15" customHeight="1" x14ac:dyDescent="0.3">
      <c r="J19217" s="33"/>
    </row>
    <row r="19218" spans="10:10" ht="15" customHeight="1" x14ac:dyDescent="0.3">
      <c r="J19218" s="33"/>
    </row>
    <row r="19219" spans="10:10" ht="15" customHeight="1" x14ac:dyDescent="0.3">
      <c r="J19219" s="33"/>
    </row>
    <row r="19220" spans="10:10" ht="15" customHeight="1" x14ac:dyDescent="0.3">
      <c r="J19220" s="33"/>
    </row>
    <row r="19221" spans="10:10" ht="15" customHeight="1" x14ac:dyDescent="0.3">
      <c r="J19221" s="33"/>
    </row>
    <row r="19222" spans="10:10" ht="15" customHeight="1" x14ac:dyDescent="0.3">
      <c r="J19222" s="33"/>
    </row>
    <row r="19223" spans="10:10" ht="15" customHeight="1" x14ac:dyDescent="0.3">
      <c r="J19223" s="33"/>
    </row>
    <row r="19224" spans="10:10" ht="15" customHeight="1" x14ac:dyDescent="0.3">
      <c r="J19224" s="33"/>
    </row>
    <row r="19225" spans="10:10" ht="15" customHeight="1" x14ac:dyDescent="0.3">
      <c r="J19225" s="33"/>
    </row>
    <row r="19226" spans="10:10" ht="15" customHeight="1" x14ac:dyDescent="0.3">
      <c r="J19226" s="33"/>
    </row>
    <row r="19227" spans="10:10" ht="15" customHeight="1" x14ac:dyDescent="0.3">
      <c r="J19227" s="33"/>
    </row>
    <row r="19228" spans="10:10" ht="15" customHeight="1" x14ac:dyDescent="0.3">
      <c r="J19228" s="33"/>
    </row>
    <row r="19229" spans="10:10" ht="15" customHeight="1" x14ac:dyDescent="0.3">
      <c r="J19229" s="33"/>
    </row>
    <row r="19230" spans="10:10" ht="15" customHeight="1" x14ac:dyDescent="0.3">
      <c r="J19230" s="33"/>
    </row>
    <row r="19231" spans="10:10" ht="15" customHeight="1" x14ac:dyDescent="0.3">
      <c r="J19231" s="33"/>
    </row>
    <row r="19232" spans="10:10" ht="15" customHeight="1" x14ac:dyDescent="0.3">
      <c r="J19232" s="33"/>
    </row>
    <row r="19233" spans="10:10" ht="15" customHeight="1" x14ac:dyDescent="0.3">
      <c r="J19233" s="33"/>
    </row>
    <row r="19234" spans="10:10" ht="15" customHeight="1" x14ac:dyDescent="0.3">
      <c r="J19234" s="33"/>
    </row>
    <row r="19235" spans="10:10" ht="15" customHeight="1" x14ac:dyDescent="0.3">
      <c r="J19235" s="33"/>
    </row>
    <row r="19236" spans="10:10" ht="15" customHeight="1" x14ac:dyDescent="0.3">
      <c r="J19236" s="33"/>
    </row>
    <row r="19237" spans="10:10" ht="15" customHeight="1" x14ac:dyDescent="0.3">
      <c r="J19237" s="33"/>
    </row>
    <row r="19238" spans="10:10" ht="15" customHeight="1" x14ac:dyDescent="0.3">
      <c r="J19238" s="33"/>
    </row>
    <row r="19239" spans="10:10" ht="15" customHeight="1" x14ac:dyDescent="0.3">
      <c r="J19239" s="33"/>
    </row>
    <row r="19240" spans="10:10" ht="15" customHeight="1" x14ac:dyDescent="0.3">
      <c r="J19240" s="33"/>
    </row>
    <row r="19241" spans="10:10" ht="15" customHeight="1" x14ac:dyDescent="0.3">
      <c r="J19241" s="33"/>
    </row>
    <row r="19242" spans="10:10" ht="15" customHeight="1" x14ac:dyDescent="0.3">
      <c r="J19242" s="33"/>
    </row>
    <row r="19243" spans="10:10" ht="15" customHeight="1" x14ac:dyDescent="0.3">
      <c r="J19243" s="33"/>
    </row>
    <row r="19244" spans="10:10" ht="15" customHeight="1" x14ac:dyDescent="0.3">
      <c r="J19244" s="33"/>
    </row>
    <row r="19245" spans="10:10" ht="15" customHeight="1" x14ac:dyDescent="0.3">
      <c r="J19245" s="33"/>
    </row>
    <row r="19246" spans="10:10" ht="15" customHeight="1" x14ac:dyDescent="0.3">
      <c r="J19246" s="33"/>
    </row>
    <row r="19247" spans="10:10" ht="15" customHeight="1" x14ac:dyDescent="0.3">
      <c r="J19247" s="33"/>
    </row>
    <row r="19248" spans="10:10" ht="15" customHeight="1" x14ac:dyDescent="0.3">
      <c r="J19248" s="33"/>
    </row>
    <row r="19249" spans="10:10" ht="15" customHeight="1" x14ac:dyDescent="0.3">
      <c r="J19249" s="33"/>
    </row>
    <row r="19250" spans="10:10" ht="15" customHeight="1" x14ac:dyDescent="0.3">
      <c r="J19250" s="33"/>
    </row>
    <row r="19251" spans="10:10" ht="15" customHeight="1" x14ac:dyDescent="0.3">
      <c r="J19251" s="33"/>
    </row>
    <row r="19252" spans="10:10" ht="15" customHeight="1" x14ac:dyDescent="0.3">
      <c r="J19252" s="33"/>
    </row>
    <row r="19253" spans="10:10" ht="15" customHeight="1" x14ac:dyDescent="0.3">
      <c r="J19253" s="33"/>
    </row>
    <row r="19254" spans="10:10" ht="15" customHeight="1" x14ac:dyDescent="0.3">
      <c r="J19254" s="33"/>
    </row>
    <row r="19255" spans="10:10" ht="15" customHeight="1" x14ac:dyDescent="0.3">
      <c r="J19255" s="33"/>
    </row>
    <row r="19256" spans="10:10" ht="15" customHeight="1" x14ac:dyDescent="0.3">
      <c r="J19256" s="33"/>
    </row>
    <row r="19257" spans="10:10" ht="15" customHeight="1" x14ac:dyDescent="0.3">
      <c r="J19257" s="33"/>
    </row>
    <row r="19258" spans="10:10" ht="15" customHeight="1" x14ac:dyDescent="0.3">
      <c r="J19258" s="33"/>
    </row>
    <row r="19259" spans="10:10" ht="15" customHeight="1" x14ac:dyDescent="0.3">
      <c r="J19259" s="33"/>
    </row>
    <row r="19260" spans="10:10" ht="15" customHeight="1" x14ac:dyDescent="0.3">
      <c r="J19260" s="33"/>
    </row>
    <row r="19261" spans="10:10" ht="15" customHeight="1" x14ac:dyDescent="0.3">
      <c r="J19261" s="33"/>
    </row>
    <row r="19262" spans="10:10" ht="15" customHeight="1" x14ac:dyDescent="0.3">
      <c r="J19262" s="33"/>
    </row>
    <row r="19263" spans="10:10" ht="15" customHeight="1" x14ac:dyDescent="0.3">
      <c r="J19263" s="33"/>
    </row>
    <row r="19264" spans="10:10" ht="15" customHeight="1" x14ac:dyDescent="0.3">
      <c r="J19264" s="33"/>
    </row>
    <row r="19265" spans="10:10" ht="15" customHeight="1" x14ac:dyDescent="0.3">
      <c r="J19265" s="33"/>
    </row>
    <row r="19266" spans="10:10" ht="15" customHeight="1" x14ac:dyDescent="0.3">
      <c r="J19266" s="33"/>
    </row>
    <row r="19267" spans="10:10" ht="15" customHeight="1" x14ac:dyDescent="0.3">
      <c r="J19267" s="33"/>
    </row>
    <row r="19268" spans="10:10" ht="15" customHeight="1" x14ac:dyDescent="0.3">
      <c r="J19268" s="33"/>
    </row>
    <row r="19269" spans="10:10" ht="15" customHeight="1" x14ac:dyDescent="0.3">
      <c r="J19269" s="33"/>
    </row>
    <row r="19270" spans="10:10" ht="15" customHeight="1" x14ac:dyDescent="0.3">
      <c r="J19270" s="33"/>
    </row>
    <row r="19271" spans="10:10" ht="15" customHeight="1" x14ac:dyDescent="0.3">
      <c r="J19271" s="33"/>
    </row>
    <row r="19272" spans="10:10" ht="15" customHeight="1" x14ac:dyDescent="0.3">
      <c r="J19272" s="33"/>
    </row>
    <row r="19273" spans="10:10" ht="15" customHeight="1" x14ac:dyDescent="0.3">
      <c r="J19273" s="33"/>
    </row>
    <row r="19274" spans="10:10" ht="15" customHeight="1" x14ac:dyDescent="0.3">
      <c r="J19274" s="33"/>
    </row>
    <row r="19275" spans="10:10" ht="15" customHeight="1" x14ac:dyDescent="0.3">
      <c r="J19275" s="33"/>
    </row>
    <row r="19276" spans="10:10" ht="15" customHeight="1" x14ac:dyDescent="0.3">
      <c r="J19276" s="33"/>
    </row>
    <row r="19277" spans="10:10" ht="15" customHeight="1" x14ac:dyDescent="0.3">
      <c r="J19277" s="33"/>
    </row>
    <row r="19278" spans="10:10" ht="15" customHeight="1" x14ac:dyDescent="0.3">
      <c r="J19278" s="33"/>
    </row>
    <row r="19279" spans="10:10" ht="15" customHeight="1" x14ac:dyDescent="0.3">
      <c r="J19279" s="33"/>
    </row>
    <row r="19280" spans="10:10" ht="15" customHeight="1" x14ac:dyDescent="0.3">
      <c r="J19280" s="33"/>
    </row>
    <row r="19281" spans="10:10" ht="15" customHeight="1" x14ac:dyDescent="0.3">
      <c r="J19281" s="33"/>
    </row>
    <row r="19282" spans="10:10" ht="15" customHeight="1" x14ac:dyDescent="0.3">
      <c r="J19282" s="33"/>
    </row>
    <row r="19283" spans="10:10" ht="15" customHeight="1" x14ac:dyDescent="0.3">
      <c r="J19283" s="33"/>
    </row>
    <row r="19284" spans="10:10" ht="15" customHeight="1" x14ac:dyDescent="0.3">
      <c r="J19284" s="33"/>
    </row>
    <row r="19285" spans="10:10" ht="15" customHeight="1" x14ac:dyDescent="0.3">
      <c r="J19285" s="33"/>
    </row>
    <row r="19286" spans="10:10" ht="15" customHeight="1" x14ac:dyDescent="0.3">
      <c r="J19286" s="33"/>
    </row>
    <row r="19287" spans="10:10" ht="15" customHeight="1" x14ac:dyDescent="0.3">
      <c r="J19287" s="33"/>
    </row>
    <row r="19288" spans="10:10" ht="15" customHeight="1" x14ac:dyDescent="0.3">
      <c r="J19288" s="33"/>
    </row>
    <row r="19289" spans="10:10" ht="15" customHeight="1" x14ac:dyDescent="0.3">
      <c r="J19289" s="33"/>
    </row>
    <row r="19290" spans="10:10" ht="15" customHeight="1" x14ac:dyDescent="0.3">
      <c r="J19290" s="33"/>
    </row>
    <row r="19291" spans="10:10" ht="15" customHeight="1" x14ac:dyDescent="0.3">
      <c r="J19291" s="33"/>
    </row>
    <row r="19292" spans="10:10" ht="15" customHeight="1" x14ac:dyDescent="0.3">
      <c r="J19292" s="33"/>
    </row>
    <row r="19293" spans="10:10" ht="15" customHeight="1" x14ac:dyDescent="0.3">
      <c r="J19293" s="33"/>
    </row>
    <row r="19294" spans="10:10" ht="15" customHeight="1" x14ac:dyDescent="0.3">
      <c r="J19294" s="33"/>
    </row>
    <row r="19295" spans="10:10" ht="15" customHeight="1" x14ac:dyDescent="0.3">
      <c r="J19295" s="33"/>
    </row>
    <row r="19296" spans="10:10" ht="15" customHeight="1" x14ac:dyDescent="0.3">
      <c r="J19296" s="33"/>
    </row>
    <row r="19297" spans="10:10" ht="15" customHeight="1" x14ac:dyDescent="0.3">
      <c r="J19297" s="33"/>
    </row>
    <row r="19298" spans="10:10" ht="15" customHeight="1" x14ac:dyDescent="0.3">
      <c r="J19298" s="33"/>
    </row>
    <row r="19299" spans="10:10" ht="15" customHeight="1" x14ac:dyDescent="0.3">
      <c r="J19299" s="33"/>
    </row>
    <row r="19300" spans="10:10" ht="15" customHeight="1" x14ac:dyDescent="0.3">
      <c r="J19300" s="33"/>
    </row>
    <row r="19301" spans="10:10" ht="15" customHeight="1" x14ac:dyDescent="0.3">
      <c r="J19301" s="33"/>
    </row>
    <row r="19302" spans="10:10" ht="15" customHeight="1" x14ac:dyDescent="0.3">
      <c r="J19302" s="33"/>
    </row>
    <row r="19303" spans="10:10" ht="15" customHeight="1" x14ac:dyDescent="0.3">
      <c r="J19303" s="33"/>
    </row>
    <row r="19304" spans="10:10" ht="15" customHeight="1" x14ac:dyDescent="0.3">
      <c r="J19304" s="33"/>
    </row>
    <row r="19305" spans="10:10" ht="15" customHeight="1" x14ac:dyDescent="0.3">
      <c r="J19305" s="33"/>
    </row>
    <row r="19306" spans="10:10" ht="15" customHeight="1" x14ac:dyDescent="0.3">
      <c r="J19306" s="33"/>
    </row>
    <row r="19307" spans="10:10" ht="15" customHeight="1" x14ac:dyDescent="0.3">
      <c r="J19307" s="33"/>
    </row>
    <row r="19308" spans="10:10" ht="15" customHeight="1" x14ac:dyDescent="0.3">
      <c r="J19308" s="33"/>
    </row>
    <row r="19309" spans="10:10" ht="15" customHeight="1" x14ac:dyDescent="0.3">
      <c r="J19309" s="33"/>
    </row>
    <row r="19310" spans="10:10" ht="15" customHeight="1" x14ac:dyDescent="0.3">
      <c r="J19310" s="33"/>
    </row>
    <row r="19311" spans="10:10" ht="15" customHeight="1" x14ac:dyDescent="0.3">
      <c r="J19311" s="33"/>
    </row>
    <row r="19312" spans="10:10" ht="15" customHeight="1" x14ac:dyDescent="0.3">
      <c r="J19312" s="33"/>
    </row>
    <row r="19313" spans="10:10" ht="15" customHeight="1" x14ac:dyDescent="0.3">
      <c r="J19313" s="33"/>
    </row>
    <row r="19314" spans="10:10" ht="15" customHeight="1" x14ac:dyDescent="0.3">
      <c r="J19314" s="33"/>
    </row>
    <row r="19315" spans="10:10" ht="15" customHeight="1" x14ac:dyDescent="0.3">
      <c r="J19315" s="33"/>
    </row>
    <row r="19316" spans="10:10" ht="15" customHeight="1" x14ac:dyDescent="0.3">
      <c r="J19316" s="33"/>
    </row>
    <row r="19317" spans="10:10" ht="15" customHeight="1" x14ac:dyDescent="0.3">
      <c r="J19317" s="33"/>
    </row>
    <row r="19318" spans="10:10" ht="15" customHeight="1" x14ac:dyDescent="0.3">
      <c r="J19318" s="33"/>
    </row>
    <row r="19319" spans="10:10" ht="15" customHeight="1" x14ac:dyDescent="0.3">
      <c r="J19319" s="33"/>
    </row>
    <row r="19320" spans="10:10" ht="15" customHeight="1" x14ac:dyDescent="0.3">
      <c r="J19320" s="33"/>
    </row>
    <row r="19321" spans="10:10" ht="15" customHeight="1" x14ac:dyDescent="0.3">
      <c r="J19321" s="33"/>
    </row>
    <row r="19322" spans="10:10" ht="15" customHeight="1" x14ac:dyDescent="0.3">
      <c r="J19322" s="33"/>
    </row>
    <row r="19323" spans="10:10" ht="15" customHeight="1" x14ac:dyDescent="0.3">
      <c r="J19323" s="33"/>
    </row>
    <row r="19324" spans="10:10" ht="15" customHeight="1" x14ac:dyDescent="0.3">
      <c r="J19324" s="33"/>
    </row>
    <row r="19325" spans="10:10" ht="15" customHeight="1" x14ac:dyDescent="0.3">
      <c r="J19325" s="33"/>
    </row>
    <row r="19326" spans="10:10" ht="15" customHeight="1" x14ac:dyDescent="0.3">
      <c r="J19326" s="33"/>
    </row>
    <row r="19327" spans="10:10" ht="15" customHeight="1" x14ac:dyDescent="0.3">
      <c r="J19327" s="33"/>
    </row>
    <row r="19328" spans="10:10" ht="15" customHeight="1" x14ac:dyDescent="0.3">
      <c r="J19328" s="33"/>
    </row>
    <row r="19329" spans="10:10" ht="15" customHeight="1" x14ac:dyDescent="0.3">
      <c r="J19329" s="33"/>
    </row>
    <row r="19330" spans="10:10" ht="15" customHeight="1" x14ac:dyDescent="0.3">
      <c r="J19330" s="33"/>
    </row>
    <row r="19331" spans="10:10" ht="15" customHeight="1" x14ac:dyDescent="0.3">
      <c r="J19331" s="33"/>
    </row>
    <row r="19332" spans="10:10" ht="15" customHeight="1" x14ac:dyDescent="0.3">
      <c r="J19332" s="33"/>
    </row>
    <row r="19333" spans="10:10" ht="15" customHeight="1" x14ac:dyDescent="0.3">
      <c r="J19333" s="33"/>
    </row>
    <row r="19334" spans="10:10" ht="15" customHeight="1" x14ac:dyDescent="0.3">
      <c r="J19334" s="33"/>
    </row>
    <row r="19335" spans="10:10" ht="15" customHeight="1" x14ac:dyDescent="0.3">
      <c r="J19335" s="33"/>
    </row>
    <row r="19336" spans="10:10" ht="15" customHeight="1" x14ac:dyDescent="0.3">
      <c r="J19336" s="33"/>
    </row>
    <row r="19337" spans="10:10" ht="15" customHeight="1" x14ac:dyDescent="0.3">
      <c r="J19337" s="33"/>
    </row>
    <row r="19338" spans="10:10" ht="15" customHeight="1" x14ac:dyDescent="0.3">
      <c r="J19338" s="33"/>
    </row>
    <row r="19339" spans="10:10" ht="15" customHeight="1" x14ac:dyDescent="0.3">
      <c r="J19339" s="33"/>
    </row>
    <row r="19340" spans="10:10" ht="15" customHeight="1" x14ac:dyDescent="0.3">
      <c r="J19340" s="33"/>
    </row>
    <row r="19341" spans="10:10" ht="15" customHeight="1" x14ac:dyDescent="0.3">
      <c r="J19341" s="33"/>
    </row>
    <row r="19342" spans="10:10" ht="15" customHeight="1" x14ac:dyDescent="0.3">
      <c r="J19342" s="33"/>
    </row>
    <row r="19343" spans="10:10" ht="15" customHeight="1" x14ac:dyDescent="0.3">
      <c r="J19343" s="33"/>
    </row>
    <row r="19344" spans="10:10" ht="15" customHeight="1" x14ac:dyDescent="0.3">
      <c r="J19344" s="33"/>
    </row>
    <row r="19345" spans="10:10" ht="15" customHeight="1" x14ac:dyDescent="0.3">
      <c r="J19345" s="33"/>
    </row>
    <row r="19346" spans="10:10" ht="15" customHeight="1" x14ac:dyDescent="0.3">
      <c r="J19346" s="33"/>
    </row>
    <row r="19347" spans="10:10" ht="15" customHeight="1" x14ac:dyDescent="0.3">
      <c r="J19347" s="33"/>
    </row>
    <row r="19348" spans="10:10" ht="15" customHeight="1" x14ac:dyDescent="0.3">
      <c r="J19348" s="33"/>
    </row>
    <row r="19349" spans="10:10" ht="15" customHeight="1" x14ac:dyDescent="0.3">
      <c r="J19349" s="33"/>
    </row>
    <row r="19350" spans="10:10" ht="15" customHeight="1" x14ac:dyDescent="0.3">
      <c r="J19350" s="33"/>
    </row>
    <row r="19351" spans="10:10" ht="15" customHeight="1" x14ac:dyDescent="0.3">
      <c r="J19351" s="33"/>
    </row>
    <row r="19352" spans="10:10" ht="15" customHeight="1" x14ac:dyDescent="0.3">
      <c r="J19352" s="33"/>
    </row>
    <row r="19353" spans="10:10" ht="15" customHeight="1" x14ac:dyDescent="0.3">
      <c r="J19353" s="33"/>
    </row>
    <row r="19354" spans="10:10" ht="15" customHeight="1" x14ac:dyDescent="0.3">
      <c r="J19354" s="33"/>
    </row>
    <row r="19355" spans="10:10" ht="15" customHeight="1" x14ac:dyDescent="0.3">
      <c r="J19355" s="33"/>
    </row>
    <row r="19356" spans="10:10" ht="15" customHeight="1" x14ac:dyDescent="0.3">
      <c r="J19356" s="33"/>
    </row>
    <row r="19357" spans="10:10" ht="15" customHeight="1" x14ac:dyDescent="0.3">
      <c r="J19357" s="33"/>
    </row>
    <row r="19358" spans="10:10" ht="15" customHeight="1" x14ac:dyDescent="0.3">
      <c r="J19358" s="33"/>
    </row>
    <row r="19359" spans="10:10" ht="15" customHeight="1" x14ac:dyDescent="0.3">
      <c r="J19359" s="33"/>
    </row>
    <row r="19360" spans="10:10" ht="15" customHeight="1" x14ac:dyDescent="0.3">
      <c r="J19360" s="33"/>
    </row>
    <row r="19361" spans="10:10" ht="15" customHeight="1" x14ac:dyDescent="0.3">
      <c r="J19361" s="33"/>
    </row>
    <row r="19362" spans="10:10" ht="15" customHeight="1" x14ac:dyDescent="0.3">
      <c r="J19362" s="33"/>
    </row>
    <row r="19363" spans="10:10" ht="15" customHeight="1" x14ac:dyDescent="0.3">
      <c r="J19363" s="33"/>
    </row>
    <row r="19364" spans="10:10" ht="15" customHeight="1" x14ac:dyDescent="0.3">
      <c r="J19364" s="33"/>
    </row>
    <row r="19365" spans="10:10" ht="15" customHeight="1" x14ac:dyDescent="0.3">
      <c r="J19365" s="33"/>
    </row>
    <row r="19366" spans="10:10" ht="15" customHeight="1" x14ac:dyDescent="0.3">
      <c r="J19366" s="33"/>
    </row>
    <row r="19367" spans="10:10" ht="15" customHeight="1" x14ac:dyDescent="0.3">
      <c r="J19367" s="33"/>
    </row>
    <row r="19368" spans="10:10" ht="15" customHeight="1" x14ac:dyDescent="0.3">
      <c r="J19368" s="33"/>
    </row>
    <row r="19369" spans="10:10" ht="15" customHeight="1" x14ac:dyDescent="0.3">
      <c r="J19369" s="33"/>
    </row>
    <row r="19370" spans="10:10" ht="15" customHeight="1" x14ac:dyDescent="0.3">
      <c r="J19370" s="33"/>
    </row>
    <row r="19371" spans="10:10" ht="15" customHeight="1" x14ac:dyDescent="0.3">
      <c r="J19371" s="33"/>
    </row>
    <row r="19372" spans="10:10" ht="15" customHeight="1" x14ac:dyDescent="0.3">
      <c r="J19372" s="33"/>
    </row>
    <row r="19373" spans="10:10" ht="15" customHeight="1" x14ac:dyDescent="0.3">
      <c r="J19373" s="33"/>
    </row>
    <row r="19374" spans="10:10" ht="15" customHeight="1" x14ac:dyDescent="0.3">
      <c r="J19374" s="33"/>
    </row>
    <row r="19375" spans="10:10" ht="15" customHeight="1" x14ac:dyDescent="0.3">
      <c r="J19375" s="33"/>
    </row>
    <row r="19376" spans="10:10" ht="15" customHeight="1" x14ac:dyDescent="0.3">
      <c r="J19376" s="33"/>
    </row>
    <row r="19377" spans="10:10" ht="15" customHeight="1" x14ac:dyDescent="0.3">
      <c r="J19377" s="33"/>
    </row>
    <row r="19378" spans="10:10" ht="15" customHeight="1" x14ac:dyDescent="0.3">
      <c r="J19378" s="33"/>
    </row>
    <row r="19379" spans="10:10" ht="15" customHeight="1" x14ac:dyDescent="0.3">
      <c r="J19379" s="33"/>
    </row>
    <row r="19380" spans="10:10" ht="15" customHeight="1" x14ac:dyDescent="0.3">
      <c r="J19380" s="33"/>
    </row>
    <row r="19381" spans="10:10" ht="15" customHeight="1" x14ac:dyDescent="0.3">
      <c r="J19381" s="33"/>
    </row>
    <row r="19382" spans="10:10" ht="15" customHeight="1" x14ac:dyDescent="0.3">
      <c r="J19382" s="33"/>
    </row>
    <row r="19383" spans="10:10" ht="15" customHeight="1" x14ac:dyDescent="0.3">
      <c r="J19383" s="33"/>
    </row>
    <row r="19384" spans="10:10" ht="15" customHeight="1" x14ac:dyDescent="0.3">
      <c r="J19384" s="33"/>
    </row>
    <row r="19385" spans="10:10" ht="15" customHeight="1" x14ac:dyDescent="0.3">
      <c r="J19385" s="33"/>
    </row>
    <row r="19386" spans="10:10" ht="15" customHeight="1" x14ac:dyDescent="0.3">
      <c r="J19386" s="33"/>
    </row>
    <row r="19387" spans="10:10" ht="15" customHeight="1" x14ac:dyDescent="0.3">
      <c r="J19387" s="33"/>
    </row>
    <row r="19388" spans="10:10" ht="15" customHeight="1" x14ac:dyDescent="0.3">
      <c r="J19388" s="33"/>
    </row>
    <row r="19389" spans="10:10" ht="15" customHeight="1" x14ac:dyDescent="0.3">
      <c r="J19389" s="33"/>
    </row>
    <row r="19390" spans="10:10" ht="15" customHeight="1" x14ac:dyDescent="0.3">
      <c r="J19390" s="33"/>
    </row>
    <row r="19391" spans="10:10" ht="15" customHeight="1" x14ac:dyDescent="0.3">
      <c r="J19391" s="33"/>
    </row>
    <row r="19392" spans="10:10" ht="15" customHeight="1" x14ac:dyDescent="0.3">
      <c r="J19392" s="33"/>
    </row>
    <row r="19393" spans="10:10" ht="15" customHeight="1" x14ac:dyDescent="0.3">
      <c r="J19393" s="33"/>
    </row>
    <row r="19394" spans="10:10" ht="15" customHeight="1" x14ac:dyDescent="0.3">
      <c r="J19394" s="33"/>
    </row>
    <row r="19395" spans="10:10" ht="15" customHeight="1" x14ac:dyDescent="0.3">
      <c r="J19395" s="33"/>
    </row>
    <row r="19396" spans="10:10" ht="15" customHeight="1" x14ac:dyDescent="0.3">
      <c r="J19396" s="33"/>
    </row>
    <row r="19397" spans="10:10" ht="15" customHeight="1" x14ac:dyDescent="0.3">
      <c r="J19397" s="33"/>
    </row>
    <row r="19398" spans="10:10" ht="15" customHeight="1" x14ac:dyDescent="0.3">
      <c r="J19398" s="33"/>
    </row>
    <row r="19399" spans="10:10" ht="15" customHeight="1" x14ac:dyDescent="0.3">
      <c r="J19399" s="33"/>
    </row>
    <row r="19400" spans="10:10" ht="15" customHeight="1" x14ac:dyDescent="0.3">
      <c r="J19400" s="33"/>
    </row>
    <row r="19401" spans="10:10" ht="15" customHeight="1" x14ac:dyDescent="0.3">
      <c r="J19401" s="33"/>
    </row>
    <row r="19402" spans="10:10" ht="15" customHeight="1" x14ac:dyDescent="0.3">
      <c r="J19402" s="33"/>
    </row>
    <row r="19403" spans="10:10" ht="15" customHeight="1" x14ac:dyDescent="0.3">
      <c r="J19403" s="33"/>
    </row>
    <row r="19404" spans="10:10" ht="15" customHeight="1" x14ac:dyDescent="0.3">
      <c r="J19404" s="33"/>
    </row>
    <row r="19405" spans="10:10" ht="15" customHeight="1" x14ac:dyDescent="0.3">
      <c r="J19405" s="33"/>
    </row>
    <row r="19406" spans="10:10" ht="15" customHeight="1" x14ac:dyDescent="0.3">
      <c r="J19406" s="33"/>
    </row>
    <row r="19407" spans="10:10" ht="15" customHeight="1" x14ac:dyDescent="0.3">
      <c r="J19407" s="33"/>
    </row>
    <row r="19408" spans="10:10" ht="15" customHeight="1" x14ac:dyDescent="0.3">
      <c r="J19408" s="33"/>
    </row>
    <row r="19409" spans="10:10" ht="15" customHeight="1" x14ac:dyDescent="0.3">
      <c r="J19409" s="33"/>
    </row>
    <row r="19410" spans="10:10" ht="15" customHeight="1" x14ac:dyDescent="0.3">
      <c r="J19410" s="33"/>
    </row>
    <row r="19411" spans="10:10" ht="15" customHeight="1" x14ac:dyDescent="0.3">
      <c r="J19411" s="33"/>
    </row>
    <row r="19412" spans="10:10" ht="15" customHeight="1" x14ac:dyDescent="0.3">
      <c r="J19412" s="33"/>
    </row>
    <row r="19413" spans="10:10" ht="15" customHeight="1" x14ac:dyDescent="0.3">
      <c r="J19413" s="33"/>
    </row>
    <row r="19414" spans="10:10" ht="15" customHeight="1" x14ac:dyDescent="0.3">
      <c r="J19414" s="33"/>
    </row>
    <row r="19415" spans="10:10" ht="15" customHeight="1" x14ac:dyDescent="0.3">
      <c r="J19415" s="33"/>
    </row>
    <row r="19416" spans="10:10" ht="15" customHeight="1" x14ac:dyDescent="0.3">
      <c r="J19416" s="33"/>
    </row>
    <row r="19417" spans="10:10" ht="15" customHeight="1" x14ac:dyDescent="0.3">
      <c r="J19417" s="33"/>
    </row>
    <row r="19418" spans="10:10" ht="15" customHeight="1" x14ac:dyDescent="0.3">
      <c r="J19418" s="33"/>
    </row>
    <row r="19419" spans="10:10" ht="15" customHeight="1" x14ac:dyDescent="0.3">
      <c r="J19419" s="33"/>
    </row>
    <row r="19420" spans="10:10" ht="15" customHeight="1" x14ac:dyDescent="0.3">
      <c r="J19420" s="33"/>
    </row>
    <row r="19421" spans="10:10" ht="15" customHeight="1" x14ac:dyDescent="0.3">
      <c r="J19421" s="33"/>
    </row>
    <row r="19422" spans="10:10" ht="15" customHeight="1" x14ac:dyDescent="0.3">
      <c r="J19422" s="33"/>
    </row>
    <row r="19423" spans="10:10" ht="15" customHeight="1" x14ac:dyDescent="0.3">
      <c r="J19423" s="33"/>
    </row>
    <row r="19424" spans="10:10" ht="15" customHeight="1" x14ac:dyDescent="0.3">
      <c r="J19424" s="33"/>
    </row>
    <row r="19425" spans="10:10" ht="15" customHeight="1" x14ac:dyDescent="0.3">
      <c r="J19425" s="33"/>
    </row>
    <row r="19426" spans="10:10" ht="15" customHeight="1" x14ac:dyDescent="0.3">
      <c r="J19426" s="33"/>
    </row>
    <row r="19427" spans="10:10" ht="15" customHeight="1" x14ac:dyDescent="0.3">
      <c r="J19427" s="33"/>
    </row>
    <row r="19428" spans="10:10" ht="15" customHeight="1" x14ac:dyDescent="0.3">
      <c r="J19428" s="33"/>
    </row>
    <row r="19429" spans="10:10" ht="15" customHeight="1" x14ac:dyDescent="0.3">
      <c r="J19429" s="33"/>
    </row>
    <row r="19430" spans="10:10" ht="15" customHeight="1" x14ac:dyDescent="0.3">
      <c r="J19430" s="33"/>
    </row>
    <row r="19431" spans="10:10" ht="15" customHeight="1" x14ac:dyDescent="0.3">
      <c r="J19431" s="33"/>
    </row>
    <row r="19432" spans="10:10" ht="15" customHeight="1" x14ac:dyDescent="0.3">
      <c r="J19432" s="33"/>
    </row>
    <row r="19433" spans="10:10" ht="15" customHeight="1" x14ac:dyDescent="0.3">
      <c r="J19433" s="33"/>
    </row>
    <row r="19434" spans="10:10" ht="15" customHeight="1" x14ac:dyDescent="0.3">
      <c r="J19434" s="33"/>
    </row>
    <row r="19435" spans="10:10" ht="15" customHeight="1" x14ac:dyDescent="0.3">
      <c r="J19435" s="33"/>
    </row>
    <row r="19436" spans="10:10" ht="15" customHeight="1" x14ac:dyDescent="0.3">
      <c r="J19436" s="33"/>
    </row>
    <row r="19437" spans="10:10" ht="15" customHeight="1" x14ac:dyDescent="0.3">
      <c r="J19437" s="33"/>
    </row>
    <row r="19438" spans="10:10" ht="15" customHeight="1" x14ac:dyDescent="0.3">
      <c r="J19438" s="33"/>
    </row>
    <row r="19439" spans="10:10" ht="15" customHeight="1" x14ac:dyDescent="0.3">
      <c r="J19439" s="33"/>
    </row>
    <row r="19440" spans="10:10" ht="15" customHeight="1" x14ac:dyDescent="0.3">
      <c r="J19440" s="33"/>
    </row>
    <row r="19441" spans="10:10" ht="15" customHeight="1" x14ac:dyDescent="0.3">
      <c r="J19441" s="33"/>
    </row>
    <row r="19442" spans="10:10" ht="15" customHeight="1" x14ac:dyDescent="0.3">
      <c r="J19442" s="33"/>
    </row>
    <row r="19443" spans="10:10" ht="15" customHeight="1" x14ac:dyDescent="0.3">
      <c r="J19443" s="33"/>
    </row>
    <row r="19444" spans="10:10" ht="15" customHeight="1" x14ac:dyDescent="0.3">
      <c r="J19444" s="33"/>
    </row>
    <row r="19445" spans="10:10" ht="15" customHeight="1" x14ac:dyDescent="0.3">
      <c r="J19445" s="33"/>
    </row>
    <row r="19446" spans="10:10" ht="15" customHeight="1" x14ac:dyDescent="0.3">
      <c r="J19446" s="33"/>
    </row>
    <row r="19447" spans="10:10" ht="15" customHeight="1" x14ac:dyDescent="0.3">
      <c r="J19447" s="33"/>
    </row>
    <row r="19448" spans="10:10" ht="15" customHeight="1" x14ac:dyDescent="0.3">
      <c r="J19448" s="33"/>
    </row>
    <row r="19449" spans="10:10" ht="15" customHeight="1" x14ac:dyDescent="0.3">
      <c r="J19449" s="33"/>
    </row>
    <row r="19450" spans="10:10" ht="15" customHeight="1" x14ac:dyDescent="0.3">
      <c r="J19450" s="33"/>
    </row>
    <row r="19451" spans="10:10" ht="15" customHeight="1" x14ac:dyDescent="0.3">
      <c r="J19451" s="33"/>
    </row>
    <row r="19452" spans="10:10" ht="15" customHeight="1" x14ac:dyDescent="0.3">
      <c r="J19452" s="33"/>
    </row>
    <row r="19453" spans="10:10" ht="15" customHeight="1" x14ac:dyDescent="0.3">
      <c r="J19453" s="33"/>
    </row>
    <row r="19454" spans="10:10" ht="15" customHeight="1" x14ac:dyDescent="0.3">
      <c r="J19454" s="33"/>
    </row>
    <row r="19455" spans="10:10" ht="15" customHeight="1" x14ac:dyDescent="0.3">
      <c r="J19455" s="33"/>
    </row>
    <row r="19456" spans="10:10" ht="15" customHeight="1" x14ac:dyDescent="0.3">
      <c r="J19456" s="33"/>
    </row>
    <row r="19457" spans="10:10" ht="15" customHeight="1" x14ac:dyDescent="0.3">
      <c r="J19457" s="33"/>
    </row>
    <row r="19458" spans="10:10" ht="15" customHeight="1" x14ac:dyDescent="0.3">
      <c r="J19458" s="33"/>
    </row>
    <row r="19459" spans="10:10" ht="15" customHeight="1" x14ac:dyDescent="0.3">
      <c r="J19459" s="33"/>
    </row>
    <row r="19460" spans="10:10" ht="15" customHeight="1" x14ac:dyDescent="0.3">
      <c r="J19460" s="33"/>
    </row>
    <row r="19461" spans="10:10" ht="15" customHeight="1" x14ac:dyDescent="0.3">
      <c r="J19461" s="33"/>
    </row>
    <row r="19462" spans="10:10" ht="15" customHeight="1" x14ac:dyDescent="0.3">
      <c r="J19462" s="33"/>
    </row>
    <row r="19463" spans="10:10" ht="15" customHeight="1" x14ac:dyDescent="0.3">
      <c r="J19463" s="33"/>
    </row>
    <row r="19464" spans="10:10" ht="15" customHeight="1" x14ac:dyDescent="0.3">
      <c r="J19464" s="33"/>
    </row>
    <row r="19465" spans="10:10" ht="15" customHeight="1" x14ac:dyDescent="0.3">
      <c r="J19465" s="33"/>
    </row>
    <row r="19466" spans="10:10" ht="15" customHeight="1" x14ac:dyDescent="0.3">
      <c r="J19466" s="33"/>
    </row>
    <row r="19467" spans="10:10" ht="15" customHeight="1" x14ac:dyDescent="0.3">
      <c r="J19467" s="33"/>
    </row>
    <row r="19468" spans="10:10" ht="15" customHeight="1" x14ac:dyDescent="0.3">
      <c r="J19468" s="33"/>
    </row>
    <row r="19469" spans="10:10" ht="15" customHeight="1" x14ac:dyDescent="0.3">
      <c r="J19469" s="33"/>
    </row>
    <row r="19470" spans="10:10" ht="15" customHeight="1" x14ac:dyDescent="0.3">
      <c r="J19470" s="33"/>
    </row>
    <row r="19471" spans="10:10" ht="15" customHeight="1" x14ac:dyDescent="0.3">
      <c r="J19471" s="33"/>
    </row>
    <row r="19472" spans="10:10" ht="15" customHeight="1" x14ac:dyDescent="0.3">
      <c r="J19472" s="33"/>
    </row>
    <row r="19473" spans="10:10" ht="15" customHeight="1" x14ac:dyDescent="0.3">
      <c r="J19473" s="33"/>
    </row>
    <row r="19474" spans="10:10" ht="15" customHeight="1" x14ac:dyDescent="0.3">
      <c r="J19474" s="33"/>
    </row>
    <row r="19475" spans="10:10" ht="15" customHeight="1" x14ac:dyDescent="0.3">
      <c r="J19475" s="33"/>
    </row>
    <row r="19476" spans="10:10" ht="15" customHeight="1" x14ac:dyDescent="0.3">
      <c r="J19476" s="33"/>
    </row>
    <row r="19477" spans="10:10" ht="15" customHeight="1" x14ac:dyDescent="0.3">
      <c r="J19477" s="33"/>
    </row>
    <row r="19478" spans="10:10" ht="15" customHeight="1" x14ac:dyDescent="0.3">
      <c r="J19478" s="33"/>
    </row>
    <row r="19479" spans="10:10" ht="15" customHeight="1" x14ac:dyDescent="0.3">
      <c r="J19479" s="33"/>
    </row>
    <row r="19480" spans="10:10" ht="15" customHeight="1" x14ac:dyDescent="0.3">
      <c r="J19480" s="33"/>
    </row>
    <row r="19481" spans="10:10" ht="15" customHeight="1" x14ac:dyDescent="0.3">
      <c r="J19481" s="33"/>
    </row>
    <row r="19482" spans="10:10" ht="15" customHeight="1" x14ac:dyDescent="0.3">
      <c r="J19482" s="33"/>
    </row>
    <row r="19483" spans="10:10" ht="15" customHeight="1" x14ac:dyDescent="0.3">
      <c r="J19483" s="33"/>
    </row>
    <row r="19484" spans="10:10" ht="15" customHeight="1" x14ac:dyDescent="0.3">
      <c r="J19484" s="33"/>
    </row>
    <row r="19485" spans="10:10" ht="15" customHeight="1" x14ac:dyDescent="0.3">
      <c r="J19485" s="33"/>
    </row>
    <row r="19486" spans="10:10" ht="15" customHeight="1" x14ac:dyDescent="0.3">
      <c r="J19486" s="33"/>
    </row>
    <row r="19487" spans="10:10" ht="15" customHeight="1" x14ac:dyDescent="0.3">
      <c r="J19487" s="33"/>
    </row>
    <row r="19488" spans="10:10" ht="15" customHeight="1" x14ac:dyDescent="0.3">
      <c r="J19488" s="33"/>
    </row>
    <row r="19489" spans="10:10" ht="15" customHeight="1" x14ac:dyDescent="0.3">
      <c r="J19489" s="33"/>
    </row>
    <row r="19490" spans="10:10" ht="15" customHeight="1" x14ac:dyDescent="0.3">
      <c r="J19490" s="33"/>
    </row>
    <row r="19491" spans="10:10" ht="15" customHeight="1" x14ac:dyDescent="0.3">
      <c r="J19491" s="33"/>
    </row>
    <row r="19492" spans="10:10" ht="15" customHeight="1" x14ac:dyDescent="0.3">
      <c r="J19492" s="33"/>
    </row>
    <row r="19493" spans="10:10" ht="15" customHeight="1" x14ac:dyDescent="0.3">
      <c r="J19493" s="33"/>
    </row>
    <row r="19494" spans="10:10" ht="15" customHeight="1" x14ac:dyDescent="0.3">
      <c r="J19494" s="33"/>
    </row>
    <row r="19495" spans="10:10" ht="15" customHeight="1" x14ac:dyDescent="0.3">
      <c r="J19495" s="33"/>
    </row>
    <row r="19496" spans="10:10" ht="15" customHeight="1" x14ac:dyDescent="0.3">
      <c r="J19496" s="33"/>
    </row>
    <row r="19497" spans="10:10" ht="15" customHeight="1" x14ac:dyDescent="0.3">
      <c r="J19497" s="33"/>
    </row>
    <row r="19498" spans="10:10" ht="15" customHeight="1" x14ac:dyDescent="0.3">
      <c r="J19498" s="33"/>
    </row>
    <row r="19499" spans="10:10" ht="15" customHeight="1" x14ac:dyDescent="0.3">
      <c r="J19499" s="33"/>
    </row>
    <row r="19500" spans="10:10" ht="15" customHeight="1" x14ac:dyDescent="0.3">
      <c r="J19500" s="33"/>
    </row>
    <row r="19501" spans="10:10" ht="15" customHeight="1" x14ac:dyDescent="0.3">
      <c r="J19501" s="33"/>
    </row>
    <row r="19502" spans="10:10" ht="15" customHeight="1" x14ac:dyDescent="0.3">
      <c r="J19502" s="33"/>
    </row>
    <row r="19503" spans="10:10" ht="15" customHeight="1" x14ac:dyDescent="0.3">
      <c r="J19503" s="33"/>
    </row>
    <row r="19504" spans="10:10" ht="15" customHeight="1" x14ac:dyDescent="0.3">
      <c r="J19504" s="33"/>
    </row>
    <row r="19505" spans="10:10" ht="15" customHeight="1" x14ac:dyDescent="0.3">
      <c r="J19505" s="33"/>
    </row>
    <row r="19506" spans="10:10" ht="15" customHeight="1" x14ac:dyDescent="0.3">
      <c r="J19506" s="33"/>
    </row>
    <row r="19507" spans="10:10" ht="15" customHeight="1" x14ac:dyDescent="0.3">
      <c r="J19507" s="33"/>
    </row>
    <row r="19508" spans="10:10" ht="15" customHeight="1" x14ac:dyDescent="0.3">
      <c r="J19508" s="33"/>
    </row>
    <row r="19509" spans="10:10" ht="15" customHeight="1" x14ac:dyDescent="0.3">
      <c r="J19509" s="33"/>
    </row>
    <row r="19510" spans="10:10" ht="15" customHeight="1" x14ac:dyDescent="0.3">
      <c r="J19510" s="33"/>
    </row>
    <row r="19511" spans="10:10" ht="15" customHeight="1" x14ac:dyDescent="0.3">
      <c r="J19511" s="33"/>
    </row>
    <row r="19512" spans="10:10" ht="15" customHeight="1" x14ac:dyDescent="0.3">
      <c r="J19512" s="33"/>
    </row>
    <row r="19513" spans="10:10" ht="15" customHeight="1" x14ac:dyDescent="0.3">
      <c r="J19513" s="33"/>
    </row>
    <row r="19514" spans="10:10" ht="15" customHeight="1" x14ac:dyDescent="0.3">
      <c r="J19514" s="33"/>
    </row>
    <row r="19515" spans="10:10" ht="15" customHeight="1" x14ac:dyDescent="0.3">
      <c r="J19515" s="33"/>
    </row>
    <row r="19516" spans="10:10" ht="15" customHeight="1" x14ac:dyDescent="0.3">
      <c r="J19516" s="33"/>
    </row>
    <row r="19517" spans="10:10" ht="15" customHeight="1" x14ac:dyDescent="0.3">
      <c r="J19517" s="33"/>
    </row>
    <row r="19518" spans="10:10" ht="15" customHeight="1" x14ac:dyDescent="0.3">
      <c r="J19518" s="33"/>
    </row>
    <row r="19519" spans="10:10" ht="15" customHeight="1" x14ac:dyDescent="0.3">
      <c r="J19519" s="33"/>
    </row>
    <row r="19520" spans="10:10" ht="15" customHeight="1" x14ac:dyDescent="0.3">
      <c r="J19520" s="33"/>
    </row>
    <row r="19521" spans="10:10" ht="15" customHeight="1" x14ac:dyDescent="0.3">
      <c r="J19521" s="33"/>
    </row>
    <row r="19522" spans="10:10" ht="15" customHeight="1" x14ac:dyDescent="0.3">
      <c r="J19522" s="33"/>
    </row>
    <row r="19523" spans="10:10" ht="15" customHeight="1" x14ac:dyDescent="0.3">
      <c r="J19523" s="33"/>
    </row>
    <row r="19524" spans="10:10" ht="15" customHeight="1" x14ac:dyDescent="0.3">
      <c r="J19524" s="33"/>
    </row>
    <row r="19525" spans="10:10" ht="15" customHeight="1" x14ac:dyDescent="0.3">
      <c r="J19525" s="33"/>
    </row>
    <row r="19526" spans="10:10" ht="15" customHeight="1" x14ac:dyDescent="0.3">
      <c r="J19526" s="33"/>
    </row>
    <row r="19527" spans="10:10" ht="15" customHeight="1" x14ac:dyDescent="0.3">
      <c r="J19527" s="33"/>
    </row>
    <row r="19528" spans="10:10" ht="15" customHeight="1" x14ac:dyDescent="0.3">
      <c r="J19528" s="33"/>
    </row>
    <row r="19529" spans="10:10" ht="15" customHeight="1" x14ac:dyDescent="0.3">
      <c r="J19529" s="33"/>
    </row>
    <row r="19530" spans="10:10" ht="15" customHeight="1" x14ac:dyDescent="0.3">
      <c r="J19530" s="33"/>
    </row>
    <row r="19531" spans="10:10" ht="15" customHeight="1" x14ac:dyDescent="0.3">
      <c r="J19531" s="33"/>
    </row>
    <row r="19532" spans="10:10" ht="15" customHeight="1" x14ac:dyDescent="0.3">
      <c r="J19532" s="33"/>
    </row>
    <row r="19533" spans="10:10" ht="15" customHeight="1" x14ac:dyDescent="0.3">
      <c r="J19533" s="33"/>
    </row>
    <row r="19534" spans="10:10" ht="15" customHeight="1" x14ac:dyDescent="0.3">
      <c r="J19534" s="33"/>
    </row>
    <row r="19535" spans="10:10" ht="15" customHeight="1" x14ac:dyDescent="0.3">
      <c r="J19535" s="33"/>
    </row>
    <row r="19536" spans="10:10" ht="15" customHeight="1" x14ac:dyDescent="0.3">
      <c r="J19536" s="33"/>
    </row>
    <row r="19537" spans="10:10" ht="15" customHeight="1" x14ac:dyDescent="0.3">
      <c r="J19537" s="33"/>
    </row>
    <row r="19538" spans="10:10" ht="15" customHeight="1" x14ac:dyDescent="0.3">
      <c r="J19538" s="33"/>
    </row>
    <row r="19539" spans="10:10" ht="15" customHeight="1" x14ac:dyDescent="0.3">
      <c r="J19539" s="33"/>
    </row>
    <row r="19540" spans="10:10" ht="15" customHeight="1" x14ac:dyDescent="0.3">
      <c r="J19540" s="33"/>
    </row>
    <row r="19541" spans="10:10" ht="15" customHeight="1" x14ac:dyDescent="0.3">
      <c r="J19541" s="33"/>
    </row>
    <row r="19542" spans="10:10" ht="15" customHeight="1" x14ac:dyDescent="0.3">
      <c r="J19542" s="33"/>
    </row>
    <row r="19543" spans="10:10" ht="15" customHeight="1" x14ac:dyDescent="0.3">
      <c r="J19543" s="33"/>
    </row>
    <row r="19544" spans="10:10" ht="15" customHeight="1" x14ac:dyDescent="0.3">
      <c r="J19544" s="33"/>
    </row>
    <row r="19545" spans="10:10" ht="15" customHeight="1" x14ac:dyDescent="0.3">
      <c r="J19545" s="33"/>
    </row>
    <row r="19546" spans="10:10" ht="15" customHeight="1" x14ac:dyDescent="0.3">
      <c r="J19546" s="33"/>
    </row>
    <row r="19547" spans="10:10" ht="15" customHeight="1" x14ac:dyDescent="0.3">
      <c r="J19547" s="33"/>
    </row>
    <row r="19548" spans="10:10" ht="15" customHeight="1" x14ac:dyDescent="0.3">
      <c r="J19548" s="33"/>
    </row>
    <row r="19549" spans="10:10" ht="15" customHeight="1" x14ac:dyDescent="0.3">
      <c r="J19549" s="33"/>
    </row>
    <row r="19550" spans="10:10" ht="15" customHeight="1" x14ac:dyDescent="0.3">
      <c r="J19550" s="33"/>
    </row>
    <row r="19551" spans="10:10" ht="15" customHeight="1" x14ac:dyDescent="0.3">
      <c r="J19551" s="33"/>
    </row>
    <row r="19552" spans="10:10" ht="15" customHeight="1" x14ac:dyDescent="0.3">
      <c r="J19552" s="33"/>
    </row>
    <row r="19553" spans="10:10" ht="15" customHeight="1" x14ac:dyDescent="0.3">
      <c r="J19553" s="33"/>
    </row>
    <row r="19554" spans="10:10" ht="15" customHeight="1" x14ac:dyDescent="0.3">
      <c r="J19554" s="33"/>
    </row>
    <row r="19555" spans="10:10" ht="15" customHeight="1" x14ac:dyDescent="0.3">
      <c r="J19555" s="33"/>
    </row>
    <row r="19556" spans="10:10" ht="15" customHeight="1" x14ac:dyDescent="0.3">
      <c r="J19556" s="33"/>
    </row>
    <row r="19557" spans="10:10" ht="15" customHeight="1" x14ac:dyDescent="0.3">
      <c r="J19557" s="33"/>
    </row>
    <row r="19558" spans="10:10" ht="15" customHeight="1" x14ac:dyDescent="0.3">
      <c r="J19558" s="33"/>
    </row>
    <row r="19559" spans="10:10" ht="15" customHeight="1" x14ac:dyDescent="0.3">
      <c r="J19559" s="33"/>
    </row>
    <row r="19560" spans="10:10" ht="15" customHeight="1" x14ac:dyDescent="0.3">
      <c r="J19560" s="33"/>
    </row>
    <row r="19561" spans="10:10" ht="15" customHeight="1" x14ac:dyDescent="0.3">
      <c r="J19561" s="33"/>
    </row>
    <row r="19562" spans="10:10" ht="15" customHeight="1" x14ac:dyDescent="0.3">
      <c r="J19562" s="33"/>
    </row>
    <row r="19563" spans="10:10" ht="15" customHeight="1" x14ac:dyDescent="0.3">
      <c r="J19563" s="33"/>
    </row>
    <row r="19564" spans="10:10" ht="15" customHeight="1" x14ac:dyDescent="0.3">
      <c r="J19564" s="33"/>
    </row>
    <row r="19565" spans="10:10" ht="15" customHeight="1" x14ac:dyDescent="0.3">
      <c r="J19565" s="33"/>
    </row>
    <row r="19566" spans="10:10" ht="15" customHeight="1" x14ac:dyDescent="0.3">
      <c r="J19566" s="33"/>
    </row>
    <row r="19567" spans="10:10" ht="15" customHeight="1" x14ac:dyDescent="0.3">
      <c r="J19567" s="33"/>
    </row>
    <row r="19568" spans="10:10" ht="15" customHeight="1" x14ac:dyDescent="0.3">
      <c r="J19568" s="33"/>
    </row>
    <row r="19569" spans="10:10" ht="15" customHeight="1" x14ac:dyDescent="0.3">
      <c r="J19569" s="33"/>
    </row>
    <row r="19570" spans="10:10" ht="15" customHeight="1" x14ac:dyDescent="0.3">
      <c r="J19570" s="33"/>
    </row>
    <row r="19571" spans="10:10" ht="15" customHeight="1" x14ac:dyDescent="0.3">
      <c r="J19571" s="33"/>
    </row>
    <row r="19572" spans="10:10" ht="15" customHeight="1" x14ac:dyDescent="0.3">
      <c r="J19572" s="33"/>
    </row>
    <row r="19573" spans="10:10" ht="15" customHeight="1" x14ac:dyDescent="0.3">
      <c r="J19573" s="33"/>
    </row>
    <row r="19574" spans="10:10" ht="15" customHeight="1" x14ac:dyDescent="0.3">
      <c r="J19574" s="33"/>
    </row>
    <row r="19575" spans="10:10" ht="15" customHeight="1" x14ac:dyDescent="0.3">
      <c r="J19575" s="33"/>
    </row>
    <row r="19576" spans="10:10" ht="15" customHeight="1" x14ac:dyDescent="0.3">
      <c r="J19576" s="33"/>
    </row>
    <row r="19577" spans="10:10" ht="15" customHeight="1" x14ac:dyDescent="0.3">
      <c r="J19577" s="33"/>
    </row>
    <row r="19578" spans="10:10" ht="15" customHeight="1" x14ac:dyDescent="0.3">
      <c r="J19578" s="33"/>
    </row>
    <row r="19579" spans="10:10" ht="15" customHeight="1" x14ac:dyDescent="0.3">
      <c r="J19579" s="33"/>
    </row>
    <row r="19580" spans="10:10" ht="15" customHeight="1" x14ac:dyDescent="0.3">
      <c r="J19580" s="33"/>
    </row>
    <row r="19581" spans="10:10" ht="15" customHeight="1" x14ac:dyDescent="0.3">
      <c r="J19581" s="33"/>
    </row>
    <row r="19582" spans="10:10" ht="15" customHeight="1" x14ac:dyDescent="0.3">
      <c r="J19582" s="33"/>
    </row>
    <row r="19583" spans="10:10" ht="15" customHeight="1" x14ac:dyDescent="0.3">
      <c r="J19583" s="33"/>
    </row>
    <row r="19584" spans="10:10" ht="15" customHeight="1" x14ac:dyDescent="0.3">
      <c r="J19584" s="33"/>
    </row>
    <row r="19585" spans="10:10" ht="15" customHeight="1" x14ac:dyDescent="0.3">
      <c r="J19585" s="33"/>
    </row>
    <row r="19586" spans="10:10" ht="15" customHeight="1" x14ac:dyDescent="0.3">
      <c r="J19586" s="33"/>
    </row>
    <row r="19587" spans="10:10" ht="15" customHeight="1" x14ac:dyDescent="0.3">
      <c r="J19587" s="33"/>
    </row>
    <row r="19588" spans="10:10" ht="15" customHeight="1" x14ac:dyDescent="0.3">
      <c r="J19588" s="33"/>
    </row>
    <row r="19589" spans="10:10" ht="15" customHeight="1" x14ac:dyDescent="0.3">
      <c r="J19589" s="33"/>
    </row>
    <row r="19590" spans="10:10" ht="15" customHeight="1" x14ac:dyDescent="0.3">
      <c r="J19590" s="33"/>
    </row>
    <row r="19591" spans="10:10" ht="15" customHeight="1" x14ac:dyDescent="0.3">
      <c r="J19591" s="33"/>
    </row>
    <row r="19592" spans="10:10" ht="15" customHeight="1" x14ac:dyDescent="0.3">
      <c r="J19592" s="33"/>
    </row>
    <row r="19593" spans="10:10" ht="15" customHeight="1" x14ac:dyDescent="0.3">
      <c r="J19593" s="33"/>
    </row>
    <row r="19594" spans="10:10" ht="15" customHeight="1" x14ac:dyDescent="0.3">
      <c r="J19594" s="33"/>
    </row>
    <row r="19595" spans="10:10" ht="15" customHeight="1" x14ac:dyDescent="0.3">
      <c r="J19595" s="33"/>
    </row>
    <row r="19596" spans="10:10" ht="15" customHeight="1" x14ac:dyDescent="0.3">
      <c r="J19596" s="33"/>
    </row>
    <row r="19597" spans="10:10" ht="15" customHeight="1" x14ac:dyDescent="0.3">
      <c r="J19597" s="33"/>
    </row>
    <row r="19598" spans="10:10" ht="15" customHeight="1" x14ac:dyDescent="0.3">
      <c r="J19598" s="33"/>
    </row>
    <row r="19599" spans="10:10" ht="15" customHeight="1" x14ac:dyDescent="0.3">
      <c r="J19599" s="33"/>
    </row>
    <row r="19600" spans="10:10" ht="15" customHeight="1" x14ac:dyDescent="0.3">
      <c r="J19600" s="33"/>
    </row>
    <row r="19601" spans="10:10" ht="15" customHeight="1" x14ac:dyDescent="0.3">
      <c r="J19601" s="33"/>
    </row>
    <row r="19602" spans="10:10" ht="15" customHeight="1" x14ac:dyDescent="0.3">
      <c r="J19602" s="33"/>
    </row>
    <row r="19603" spans="10:10" ht="15" customHeight="1" x14ac:dyDescent="0.3">
      <c r="J19603" s="33"/>
    </row>
    <row r="19604" spans="10:10" ht="15" customHeight="1" x14ac:dyDescent="0.3">
      <c r="J19604" s="33"/>
    </row>
    <row r="19605" spans="10:10" ht="15" customHeight="1" x14ac:dyDescent="0.3">
      <c r="J19605" s="33"/>
    </row>
    <row r="19606" spans="10:10" ht="15" customHeight="1" x14ac:dyDescent="0.3">
      <c r="J19606" s="33"/>
    </row>
    <row r="19607" spans="10:10" ht="15" customHeight="1" x14ac:dyDescent="0.3">
      <c r="J19607" s="33"/>
    </row>
    <row r="19608" spans="10:10" ht="15" customHeight="1" x14ac:dyDescent="0.3">
      <c r="J19608" s="33"/>
    </row>
    <row r="19609" spans="10:10" ht="15" customHeight="1" x14ac:dyDescent="0.3">
      <c r="J19609" s="33"/>
    </row>
    <row r="19610" spans="10:10" ht="15" customHeight="1" x14ac:dyDescent="0.3">
      <c r="J19610" s="33"/>
    </row>
    <row r="19611" spans="10:10" ht="15" customHeight="1" x14ac:dyDescent="0.3">
      <c r="J19611" s="33"/>
    </row>
    <row r="19612" spans="10:10" ht="15" customHeight="1" x14ac:dyDescent="0.3">
      <c r="J19612" s="33"/>
    </row>
    <row r="19613" spans="10:10" ht="15" customHeight="1" x14ac:dyDescent="0.3">
      <c r="J19613" s="33"/>
    </row>
    <row r="19614" spans="10:10" ht="15" customHeight="1" x14ac:dyDescent="0.3">
      <c r="J19614" s="33"/>
    </row>
    <row r="19615" spans="10:10" ht="15" customHeight="1" x14ac:dyDescent="0.3">
      <c r="J19615" s="33"/>
    </row>
    <row r="19616" spans="10:10" ht="15" customHeight="1" x14ac:dyDescent="0.3">
      <c r="J19616" s="33"/>
    </row>
    <row r="19617" spans="10:10" ht="15" customHeight="1" x14ac:dyDescent="0.3">
      <c r="J19617" s="33"/>
    </row>
    <row r="19618" spans="10:10" ht="15" customHeight="1" x14ac:dyDescent="0.3">
      <c r="J19618" s="33"/>
    </row>
    <row r="19619" spans="10:10" ht="15" customHeight="1" x14ac:dyDescent="0.3">
      <c r="J19619" s="33"/>
    </row>
    <row r="19620" spans="10:10" ht="15" customHeight="1" x14ac:dyDescent="0.3">
      <c r="J19620" s="33"/>
    </row>
    <row r="19621" spans="10:10" ht="15" customHeight="1" x14ac:dyDescent="0.3">
      <c r="J19621" s="33"/>
    </row>
    <row r="19622" spans="10:10" ht="15" customHeight="1" x14ac:dyDescent="0.3">
      <c r="J19622" s="33"/>
    </row>
    <row r="19623" spans="10:10" ht="15" customHeight="1" x14ac:dyDescent="0.3">
      <c r="J19623" s="33"/>
    </row>
    <row r="19624" spans="10:10" ht="15" customHeight="1" x14ac:dyDescent="0.3">
      <c r="J19624" s="33"/>
    </row>
    <row r="19625" spans="10:10" ht="15" customHeight="1" x14ac:dyDescent="0.3">
      <c r="J19625" s="33"/>
    </row>
    <row r="19626" spans="10:10" ht="15" customHeight="1" x14ac:dyDescent="0.3">
      <c r="J19626" s="33"/>
    </row>
    <row r="19627" spans="10:10" ht="15" customHeight="1" x14ac:dyDescent="0.3">
      <c r="J19627" s="33"/>
    </row>
    <row r="19628" spans="10:10" ht="15" customHeight="1" x14ac:dyDescent="0.3">
      <c r="J19628" s="33"/>
    </row>
    <row r="19629" spans="10:10" ht="15" customHeight="1" x14ac:dyDescent="0.3">
      <c r="J19629" s="33"/>
    </row>
    <row r="19630" spans="10:10" ht="15" customHeight="1" x14ac:dyDescent="0.3">
      <c r="J19630" s="33"/>
    </row>
    <row r="19631" spans="10:10" ht="15" customHeight="1" x14ac:dyDescent="0.3">
      <c r="J19631" s="33"/>
    </row>
    <row r="19632" spans="10:10" ht="15" customHeight="1" x14ac:dyDescent="0.3">
      <c r="J19632" s="33"/>
    </row>
    <row r="19633" spans="10:10" ht="15" customHeight="1" x14ac:dyDescent="0.3">
      <c r="J19633" s="33"/>
    </row>
    <row r="19634" spans="10:10" ht="15" customHeight="1" x14ac:dyDescent="0.3">
      <c r="J19634" s="33"/>
    </row>
    <row r="19635" spans="10:10" ht="15" customHeight="1" x14ac:dyDescent="0.3">
      <c r="J19635" s="33"/>
    </row>
    <row r="19636" spans="10:10" ht="15" customHeight="1" x14ac:dyDescent="0.3">
      <c r="J19636" s="33"/>
    </row>
    <row r="19637" spans="10:10" ht="15" customHeight="1" x14ac:dyDescent="0.3">
      <c r="J19637" s="33"/>
    </row>
    <row r="19638" spans="10:10" ht="15" customHeight="1" x14ac:dyDescent="0.3">
      <c r="J19638" s="33"/>
    </row>
    <row r="19639" spans="10:10" ht="15" customHeight="1" x14ac:dyDescent="0.3">
      <c r="J19639" s="33"/>
    </row>
    <row r="19640" spans="10:10" ht="15" customHeight="1" x14ac:dyDescent="0.3">
      <c r="J19640" s="33"/>
    </row>
    <row r="19641" spans="10:10" ht="15" customHeight="1" x14ac:dyDescent="0.3">
      <c r="J19641" s="33"/>
    </row>
    <row r="19642" spans="10:10" ht="15" customHeight="1" x14ac:dyDescent="0.3">
      <c r="J19642" s="33"/>
    </row>
    <row r="19643" spans="10:10" ht="15" customHeight="1" x14ac:dyDescent="0.3">
      <c r="J19643" s="33"/>
    </row>
    <row r="19644" spans="10:10" ht="15" customHeight="1" x14ac:dyDescent="0.3">
      <c r="J19644" s="33"/>
    </row>
    <row r="19645" spans="10:10" ht="15" customHeight="1" x14ac:dyDescent="0.3">
      <c r="J19645" s="33"/>
    </row>
    <row r="19646" spans="10:10" ht="15" customHeight="1" x14ac:dyDescent="0.3">
      <c r="J19646" s="33"/>
    </row>
    <row r="19647" spans="10:10" ht="15" customHeight="1" x14ac:dyDescent="0.3">
      <c r="J19647" s="33"/>
    </row>
    <row r="19648" spans="10:10" ht="15" customHeight="1" x14ac:dyDescent="0.3">
      <c r="J19648" s="33"/>
    </row>
    <row r="19649" spans="10:10" ht="15" customHeight="1" x14ac:dyDescent="0.3">
      <c r="J19649" s="33"/>
    </row>
    <row r="19650" spans="10:10" ht="15" customHeight="1" x14ac:dyDescent="0.3">
      <c r="J19650" s="33"/>
    </row>
    <row r="19651" spans="10:10" ht="15" customHeight="1" x14ac:dyDescent="0.3">
      <c r="J19651" s="33"/>
    </row>
    <row r="19652" spans="10:10" ht="15" customHeight="1" x14ac:dyDescent="0.3">
      <c r="J19652" s="33"/>
    </row>
    <row r="19653" spans="10:10" ht="15" customHeight="1" x14ac:dyDescent="0.3">
      <c r="J19653" s="33"/>
    </row>
    <row r="19654" spans="10:10" ht="15" customHeight="1" x14ac:dyDescent="0.3">
      <c r="J19654" s="33"/>
    </row>
    <row r="19655" spans="10:10" ht="15" customHeight="1" x14ac:dyDescent="0.3">
      <c r="J19655" s="33"/>
    </row>
    <row r="19656" spans="10:10" ht="15" customHeight="1" x14ac:dyDescent="0.3">
      <c r="J19656" s="33"/>
    </row>
    <row r="19657" spans="10:10" ht="15" customHeight="1" x14ac:dyDescent="0.3">
      <c r="J19657" s="33"/>
    </row>
    <row r="19658" spans="10:10" ht="15" customHeight="1" x14ac:dyDescent="0.3">
      <c r="J19658" s="33"/>
    </row>
    <row r="19659" spans="10:10" ht="15" customHeight="1" x14ac:dyDescent="0.3">
      <c r="J19659" s="33"/>
    </row>
    <row r="19660" spans="10:10" ht="15" customHeight="1" x14ac:dyDescent="0.3">
      <c r="J19660" s="33"/>
    </row>
    <row r="19661" spans="10:10" ht="15" customHeight="1" x14ac:dyDescent="0.3">
      <c r="J19661" s="33"/>
    </row>
    <row r="19662" spans="10:10" ht="15" customHeight="1" x14ac:dyDescent="0.3">
      <c r="J19662" s="33"/>
    </row>
    <row r="19663" spans="10:10" ht="15" customHeight="1" x14ac:dyDescent="0.3">
      <c r="J19663" s="33"/>
    </row>
    <row r="19664" spans="10:10" ht="15" customHeight="1" x14ac:dyDescent="0.3">
      <c r="J19664" s="33"/>
    </row>
    <row r="19665" spans="10:10" ht="15" customHeight="1" x14ac:dyDescent="0.3">
      <c r="J19665" s="33"/>
    </row>
    <row r="19666" spans="10:10" ht="15" customHeight="1" x14ac:dyDescent="0.3">
      <c r="J19666" s="33"/>
    </row>
    <row r="19667" spans="10:10" ht="15" customHeight="1" x14ac:dyDescent="0.3">
      <c r="J19667" s="33"/>
    </row>
    <row r="19668" spans="10:10" ht="15" customHeight="1" x14ac:dyDescent="0.3">
      <c r="J19668" s="33"/>
    </row>
    <row r="19669" spans="10:10" ht="15" customHeight="1" x14ac:dyDescent="0.3">
      <c r="J19669" s="33"/>
    </row>
    <row r="19670" spans="10:10" ht="15" customHeight="1" x14ac:dyDescent="0.3">
      <c r="J19670" s="33"/>
    </row>
    <row r="19671" spans="10:10" ht="15" customHeight="1" x14ac:dyDescent="0.3">
      <c r="J19671" s="33"/>
    </row>
    <row r="19672" spans="10:10" ht="15" customHeight="1" x14ac:dyDescent="0.3">
      <c r="J19672" s="33"/>
    </row>
    <row r="19673" spans="10:10" ht="15" customHeight="1" x14ac:dyDescent="0.3">
      <c r="J19673" s="33"/>
    </row>
    <row r="19674" spans="10:10" ht="15" customHeight="1" x14ac:dyDescent="0.3">
      <c r="J19674" s="33"/>
    </row>
    <row r="19675" spans="10:10" ht="15" customHeight="1" x14ac:dyDescent="0.3">
      <c r="J19675" s="33"/>
    </row>
    <row r="19676" spans="10:10" ht="15" customHeight="1" x14ac:dyDescent="0.3">
      <c r="J19676" s="33"/>
    </row>
    <row r="19677" spans="10:10" ht="15" customHeight="1" x14ac:dyDescent="0.3">
      <c r="J19677" s="33"/>
    </row>
    <row r="19678" spans="10:10" ht="15" customHeight="1" x14ac:dyDescent="0.3">
      <c r="J19678" s="33"/>
    </row>
    <row r="19679" spans="10:10" ht="15" customHeight="1" x14ac:dyDescent="0.3">
      <c r="J19679" s="33"/>
    </row>
    <row r="19680" spans="10:10" ht="15" customHeight="1" x14ac:dyDescent="0.3">
      <c r="J19680" s="33"/>
    </row>
    <row r="19681" spans="10:10" ht="15" customHeight="1" x14ac:dyDescent="0.3">
      <c r="J19681" s="33"/>
    </row>
    <row r="19682" spans="10:10" ht="15" customHeight="1" x14ac:dyDescent="0.3">
      <c r="J19682" s="33"/>
    </row>
    <row r="19683" spans="10:10" ht="15" customHeight="1" x14ac:dyDescent="0.3">
      <c r="J19683" s="33"/>
    </row>
    <row r="19684" spans="10:10" ht="15" customHeight="1" x14ac:dyDescent="0.3">
      <c r="J19684" s="33"/>
    </row>
    <row r="19685" spans="10:10" ht="15" customHeight="1" x14ac:dyDescent="0.3">
      <c r="J19685" s="33"/>
    </row>
    <row r="19686" spans="10:10" ht="15" customHeight="1" x14ac:dyDescent="0.3">
      <c r="J19686" s="33"/>
    </row>
    <row r="19687" spans="10:10" ht="15" customHeight="1" x14ac:dyDescent="0.3">
      <c r="J19687" s="33"/>
    </row>
    <row r="19688" spans="10:10" ht="15" customHeight="1" x14ac:dyDescent="0.3">
      <c r="J19688" s="33"/>
    </row>
    <row r="19689" spans="10:10" ht="15" customHeight="1" x14ac:dyDescent="0.3">
      <c r="J19689" s="33"/>
    </row>
    <row r="19690" spans="10:10" ht="15" customHeight="1" x14ac:dyDescent="0.3">
      <c r="J19690" s="33"/>
    </row>
    <row r="19691" spans="10:10" ht="15" customHeight="1" x14ac:dyDescent="0.3">
      <c r="J19691" s="33"/>
    </row>
    <row r="19692" spans="10:10" ht="15" customHeight="1" x14ac:dyDescent="0.3">
      <c r="J19692" s="33"/>
    </row>
    <row r="19693" spans="10:10" ht="15" customHeight="1" x14ac:dyDescent="0.3">
      <c r="J19693" s="33"/>
    </row>
    <row r="19694" spans="10:10" ht="15" customHeight="1" x14ac:dyDescent="0.3">
      <c r="J19694" s="33"/>
    </row>
    <row r="19695" spans="10:10" ht="15" customHeight="1" x14ac:dyDescent="0.3">
      <c r="J19695" s="33"/>
    </row>
    <row r="19696" spans="10:10" ht="15" customHeight="1" x14ac:dyDescent="0.3">
      <c r="J19696" s="33"/>
    </row>
    <row r="19697" spans="10:10" ht="15" customHeight="1" x14ac:dyDescent="0.3">
      <c r="J19697" s="33"/>
    </row>
    <row r="19698" spans="10:10" ht="15" customHeight="1" x14ac:dyDescent="0.3">
      <c r="J19698" s="33"/>
    </row>
    <row r="19699" spans="10:10" ht="15" customHeight="1" x14ac:dyDescent="0.3">
      <c r="J19699" s="33"/>
    </row>
    <row r="19700" spans="10:10" ht="15" customHeight="1" x14ac:dyDescent="0.3">
      <c r="J19700" s="33"/>
    </row>
    <row r="19701" spans="10:10" ht="15" customHeight="1" x14ac:dyDescent="0.3">
      <c r="J19701" s="33"/>
    </row>
    <row r="19702" spans="10:10" ht="15" customHeight="1" x14ac:dyDescent="0.3">
      <c r="J19702" s="33"/>
    </row>
    <row r="19703" spans="10:10" ht="15" customHeight="1" x14ac:dyDescent="0.3">
      <c r="J19703" s="33"/>
    </row>
    <row r="19704" spans="10:10" ht="15" customHeight="1" x14ac:dyDescent="0.3">
      <c r="J19704" s="33"/>
    </row>
    <row r="19705" spans="10:10" ht="15" customHeight="1" x14ac:dyDescent="0.3">
      <c r="J19705" s="33"/>
    </row>
    <row r="19706" spans="10:10" ht="15" customHeight="1" x14ac:dyDescent="0.3">
      <c r="J19706" s="33"/>
    </row>
    <row r="19707" spans="10:10" ht="15" customHeight="1" x14ac:dyDescent="0.3">
      <c r="J19707" s="33"/>
    </row>
    <row r="19708" spans="10:10" ht="15" customHeight="1" x14ac:dyDescent="0.3">
      <c r="J19708" s="33"/>
    </row>
    <row r="19709" spans="10:10" ht="15" customHeight="1" x14ac:dyDescent="0.3">
      <c r="J19709" s="33"/>
    </row>
    <row r="19710" spans="10:10" ht="15" customHeight="1" x14ac:dyDescent="0.3">
      <c r="J19710" s="33"/>
    </row>
    <row r="19711" spans="10:10" ht="15" customHeight="1" x14ac:dyDescent="0.3">
      <c r="J19711" s="33"/>
    </row>
    <row r="19712" spans="10:10" ht="15" customHeight="1" x14ac:dyDescent="0.3">
      <c r="J19712" s="33"/>
    </row>
    <row r="19713" spans="10:10" ht="15" customHeight="1" x14ac:dyDescent="0.3">
      <c r="J19713" s="33"/>
    </row>
    <row r="19714" spans="10:10" ht="15" customHeight="1" x14ac:dyDescent="0.3">
      <c r="J19714" s="33"/>
    </row>
    <row r="19715" spans="10:10" ht="15" customHeight="1" x14ac:dyDescent="0.3">
      <c r="J19715" s="33"/>
    </row>
    <row r="19716" spans="10:10" ht="15" customHeight="1" x14ac:dyDescent="0.3">
      <c r="J19716" s="33"/>
    </row>
    <row r="19717" spans="10:10" ht="15" customHeight="1" x14ac:dyDescent="0.3">
      <c r="J19717" s="33"/>
    </row>
    <row r="19718" spans="10:10" ht="15" customHeight="1" x14ac:dyDescent="0.3">
      <c r="J19718" s="33"/>
    </row>
    <row r="19719" spans="10:10" ht="15" customHeight="1" x14ac:dyDescent="0.3">
      <c r="J19719" s="33"/>
    </row>
    <row r="19720" spans="10:10" ht="15" customHeight="1" x14ac:dyDescent="0.3">
      <c r="J19720" s="33"/>
    </row>
    <row r="19721" spans="10:10" ht="15" customHeight="1" x14ac:dyDescent="0.3">
      <c r="J19721" s="33"/>
    </row>
    <row r="19722" spans="10:10" ht="15" customHeight="1" x14ac:dyDescent="0.3">
      <c r="J19722" s="33"/>
    </row>
    <row r="19723" spans="10:10" ht="15" customHeight="1" x14ac:dyDescent="0.3">
      <c r="J19723" s="33"/>
    </row>
    <row r="19724" spans="10:10" ht="15" customHeight="1" x14ac:dyDescent="0.3">
      <c r="J19724" s="33"/>
    </row>
    <row r="19725" spans="10:10" ht="15" customHeight="1" x14ac:dyDescent="0.3">
      <c r="J19725" s="33"/>
    </row>
    <row r="19726" spans="10:10" ht="15" customHeight="1" x14ac:dyDescent="0.3">
      <c r="J19726" s="33"/>
    </row>
    <row r="19727" spans="10:10" ht="15" customHeight="1" x14ac:dyDescent="0.3">
      <c r="J19727" s="33"/>
    </row>
    <row r="19728" spans="10:10" ht="15" customHeight="1" x14ac:dyDescent="0.3">
      <c r="J19728" s="33"/>
    </row>
    <row r="19729" spans="10:10" ht="15" customHeight="1" x14ac:dyDescent="0.3">
      <c r="J19729" s="33"/>
    </row>
    <row r="19730" spans="10:10" ht="15" customHeight="1" x14ac:dyDescent="0.3">
      <c r="J19730" s="33"/>
    </row>
    <row r="19731" spans="10:10" ht="15" customHeight="1" x14ac:dyDescent="0.3">
      <c r="J19731" s="33"/>
    </row>
    <row r="19732" spans="10:10" ht="15" customHeight="1" x14ac:dyDescent="0.3">
      <c r="J19732" s="33"/>
    </row>
    <row r="19733" spans="10:10" ht="15" customHeight="1" x14ac:dyDescent="0.3">
      <c r="J19733" s="33"/>
    </row>
    <row r="19734" spans="10:10" ht="15" customHeight="1" x14ac:dyDescent="0.3">
      <c r="J19734" s="33"/>
    </row>
    <row r="19735" spans="10:10" ht="15" customHeight="1" x14ac:dyDescent="0.3">
      <c r="J19735" s="33"/>
    </row>
    <row r="19736" spans="10:10" ht="15" customHeight="1" x14ac:dyDescent="0.3">
      <c r="J19736" s="33"/>
    </row>
    <row r="19737" spans="10:10" ht="15" customHeight="1" x14ac:dyDescent="0.3">
      <c r="J19737" s="33"/>
    </row>
    <row r="19738" spans="10:10" ht="15" customHeight="1" x14ac:dyDescent="0.3">
      <c r="J19738" s="33"/>
    </row>
    <row r="19739" spans="10:10" ht="15" customHeight="1" x14ac:dyDescent="0.3">
      <c r="J19739" s="33"/>
    </row>
    <row r="19740" spans="10:10" ht="15" customHeight="1" x14ac:dyDescent="0.3">
      <c r="J19740" s="33"/>
    </row>
    <row r="19741" spans="10:10" ht="15" customHeight="1" x14ac:dyDescent="0.3">
      <c r="J19741" s="33"/>
    </row>
    <row r="19742" spans="10:10" ht="15" customHeight="1" x14ac:dyDescent="0.3">
      <c r="J19742" s="33"/>
    </row>
    <row r="19743" spans="10:10" ht="15" customHeight="1" x14ac:dyDescent="0.3">
      <c r="J19743" s="33"/>
    </row>
    <row r="19744" spans="10:10" ht="15" customHeight="1" x14ac:dyDescent="0.3">
      <c r="J19744" s="33"/>
    </row>
    <row r="19745" spans="10:10" ht="15" customHeight="1" x14ac:dyDescent="0.3">
      <c r="J19745" s="33"/>
    </row>
    <row r="19746" spans="10:10" ht="15" customHeight="1" x14ac:dyDescent="0.3">
      <c r="J19746" s="33"/>
    </row>
    <row r="19747" spans="10:10" ht="15" customHeight="1" x14ac:dyDescent="0.3">
      <c r="J19747" s="33"/>
    </row>
    <row r="19748" spans="10:10" ht="15" customHeight="1" x14ac:dyDescent="0.3">
      <c r="J19748" s="33"/>
    </row>
    <row r="19749" spans="10:10" ht="15" customHeight="1" x14ac:dyDescent="0.3">
      <c r="J19749" s="33"/>
    </row>
    <row r="19750" spans="10:10" ht="15" customHeight="1" x14ac:dyDescent="0.3">
      <c r="J19750" s="33"/>
    </row>
    <row r="19751" spans="10:10" ht="15" customHeight="1" x14ac:dyDescent="0.3">
      <c r="J19751" s="33"/>
    </row>
    <row r="19752" spans="10:10" ht="15" customHeight="1" x14ac:dyDescent="0.3">
      <c r="J19752" s="33"/>
    </row>
    <row r="19753" spans="10:10" ht="15" customHeight="1" x14ac:dyDescent="0.3">
      <c r="J19753" s="33"/>
    </row>
    <row r="19754" spans="10:10" ht="15" customHeight="1" x14ac:dyDescent="0.3">
      <c r="J19754" s="33"/>
    </row>
    <row r="19755" spans="10:10" ht="15" customHeight="1" x14ac:dyDescent="0.3">
      <c r="J19755" s="33"/>
    </row>
    <row r="19756" spans="10:10" ht="15" customHeight="1" x14ac:dyDescent="0.3">
      <c r="J19756" s="33"/>
    </row>
    <row r="19757" spans="10:10" ht="15" customHeight="1" x14ac:dyDescent="0.3">
      <c r="J19757" s="33"/>
    </row>
    <row r="19758" spans="10:10" ht="15" customHeight="1" x14ac:dyDescent="0.3">
      <c r="J19758" s="33"/>
    </row>
    <row r="19759" spans="10:10" ht="15" customHeight="1" x14ac:dyDescent="0.3">
      <c r="J19759" s="33"/>
    </row>
    <row r="19760" spans="10:10" ht="15" customHeight="1" x14ac:dyDescent="0.3">
      <c r="J19760" s="33"/>
    </row>
    <row r="19761" spans="10:10" ht="15" customHeight="1" x14ac:dyDescent="0.3">
      <c r="J19761" s="33"/>
    </row>
    <row r="19762" spans="10:10" ht="15" customHeight="1" x14ac:dyDescent="0.3">
      <c r="J19762" s="33"/>
    </row>
    <row r="19763" spans="10:10" ht="15" customHeight="1" x14ac:dyDescent="0.3">
      <c r="J19763" s="33"/>
    </row>
    <row r="19764" spans="10:10" ht="15" customHeight="1" x14ac:dyDescent="0.3">
      <c r="J19764" s="33"/>
    </row>
    <row r="19765" spans="10:10" ht="15" customHeight="1" x14ac:dyDescent="0.3">
      <c r="J19765" s="33"/>
    </row>
    <row r="19766" spans="10:10" ht="15" customHeight="1" x14ac:dyDescent="0.3">
      <c r="J19766" s="33"/>
    </row>
    <row r="19767" spans="10:10" ht="15" customHeight="1" x14ac:dyDescent="0.3">
      <c r="J19767" s="33"/>
    </row>
    <row r="19768" spans="10:10" ht="15" customHeight="1" x14ac:dyDescent="0.3">
      <c r="J19768" s="33"/>
    </row>
    <row r="19769" spans="10:10" ht="15" customHeight="1" x14ac:dyDescent="0.3">
      <c r="J19769" s="33"/>
    </row>
    <row r="19770" spans="10:10" ht="15" customHeight="1" x14ac:dyDescent="0.3">
      <c r="J19770" s="33"/>
    </row>
    <row r="19771" spans="10:10" ht="15" customHeight="1" x14ac:dyDescent="0.3">
      <c r="J19771" s="33"/>
    </row>
    <row r="19772" spans="10:10" ht="15" customHeight="1" x14ac:dyDescent="0.3">
      <c r="J19772" s="33"/>
    </row>
    <row r="19773" spans="10:10" ht="15" customHeight="1" x14ac:dyDescent="0.3">
      <c r="J19773" s="33"/>
    </row>
    <row r="19774" spans="10:10" ht="15" customHeight="1" x14ac:dyDescent="0.3">
      <c r="J19774" s="33"/>
    </row>
    <row r="19775" spans="10:10" ht="15" customHeight="1" x14ac:dyDescent="0.3">
      <c r="J19775" s="33"/>
    </row>
    <row r="19776" spans="10:10" ht="15" customHeight="1" x14ac:dyDescent="0.3">
      <c r="J19776" s="33"/>
    </row>
    <row r="19777" spans="10:10" ht="15" customHeight="1" x14ac:dyDescent="0.3">
      <c r="J19777" s="33"/>
    </row>
    <row r="19778" spans="10:10" ht="15" customHeight="1" x14ac:dyDescent="0.3">
      <c r="J19778" s="33"/>
    </row>
    <row r="19779" spans="10:10" ht="15" customHeight="1" x14ac:dyDescent="0.3">
      <c r="J19779" s="33"/>
    </row>
    <row r="19780" spans="10:10" ht="15" customHeight="1" x14ac:dyDescent="0.3">
      <c r="J19780" s="33"/>
    </row>
    <row r="19781" spans="10:10" ht="15" customHeight="1" x14ac:dyDescent="0.3">
      <c r="J19781" s="33"/>
    </row>
    <row r="19782" spans="10:10" ht="15" customHeight="1" x14ac:dyDescent="0.3">
      <c r="J19782" s="33"/>
    </row>
    <row r="19783" spans="10:10" ht="15" customHeight="1" x14ac:dyDescent="0.3">
      <c r="J19783" s="33"/>
    </row>
    <row r="19784" spans="10:10" ht="15" customHeight="1" x14ac:dyDescent="0.3">
      <c r="J19784" s="33"/>
    </row>
    <row r="19785" spans="10:10" ht="15" customHeight="1" x14ac:dyDescent="0.3">
      <c r="J19785" s="33"/>
    </row>
    <row r="19786" spans="10:10" ht="15" customHeight="1" x14ac:dyDescent="0.3">
      <c r="J19786" s="33"/>
    </row>
    <row r="19787" spans="10:10" ht="15" customHeight="1" x14ac:dyDescent="0.3">
      <c r="J19787" s="33"/>
    </row>
    <row r="19788" spans="10:10" ht="15" customHeight="1" x14ac:dyDescent="0.3">
      <c r="J19788" s="33"/>
    </row>
    <row r="19789" spans="10:10" ht="15" customHeight="1" x14ac:dyDescent="0.3">
      <c r="J19789" s="33"/>
    </row>
    <row r="19790" spans="10:10" ht="15" customHeight="1" x14ac:dyDescent="0.3">
      <c r="J19790" s="33"/>
    </row>
    <row r="19791" spans="10:10" ht="15" customHeight="1" x14ac:dyDescent="0.3">
      <c r="J19791" s="33"/>
    </row>
    <row r="19792" spans="10:10" ht="15" customHeight="1" x14ac:dyDescent="0.3">
      <c r="J19792" s="33"/>
    </row>
    <row r="19793" spans="10:10" ht="15" customHeight="1" x14ac:dyDescent="0.3">
      <c r="J19793" s="33"/>
    </row>
    <row r="19794" spans="10:10" ht="15" customHeight="1" x14ac:dyDescent="0.3">
      <c r="J19794" s="33"/>
    </row>
    <row r="19795" spans="10:10" ht="15" customHeight="1" x14ac:dyDescent="0.3">
      <c r="J19795" s="33"/>
    </row>
    <row r="19796" spans="10:10" ht="15" customHeight="1" x14ac:dyDescent="0.3">
      <c r="J19796" s="33"/>
    </row>
    <row r="19797" spans="10:10" ht="15" customHeight="1" x14ac:dyDescent="0.3">
      <c r="J19797" s="33"/>
    </row>
    <row r="19798" spans="10:10" ht="15" customHeight="1" x14ac:dyDescent="0.3">
      <c r="J19798" s="33"/>
    </row>
    <row r="19799" spans="10:10" ht="15" customHeight="1" x14ac:dyDescent="0.3">
      <c r="J19799" s="33"/>
    </row>
    <row r="19800" spans="10:10" ht="15" customHeight="1" x14ac:dyDescent="0.3">
      <c r="J19800" s="33"/>
    </row>
    <row r="19801" spans="10:10" ht="15" customHeight="1" x14ac:dyDescent="0.3">
      <c r="J19801" s="33"/>
    </row>
    <row r="19802" spans="10:10" ht="15" customHeight="1" x14ac:dyDescent="0.3">
      <c r="J19802" s="33"/>
    </row>
    <row r="19803" spans="10:10" ht="15" customHeight="1" x14ac:dyDescent="0.3">
      <c r="J19803" s="33"/>
    </row>
    <row r="19804" spans="10:10" ht="15" customHeight="1" x14ac:dyDescent="0.3">
      <c r="J19804" s="33"/>
    </row>
    <row r="19805" spans="10:10" ht="15" customHeight="1" x14ac:dyDescent="0.3">
      <c r="J19805" s="33"/>
    </row>
    <row r="19806" spans="10:10" ht="15" customHeight="1" x14ac:dyDescent="0.3">
      <c r="J19806" s="33"/>
    </row>
    <row r="19807" spans="10:10" ht="15" customHeight="1" x14ac:dyDescent="0.3">
      <c r="J19807" s="33"/>
    </row>
    <row r="19808" spans="10:10" ht="15" customHeight="1" x14ac:dyDescent="0.3">
      <c r="J19808" s="33"/>
    </row>
    <row r="19809" spans="10:10" ht="15" customHeight="1" x14ac:dyDescent="0.3">
      <c r="J19809" s="33"/>
    </row>
    <row r="19810" spans="10:10" ht="15" customHeight="1" x14ac:dyDescent="0.3">
      <c r="J19810" s="33"/>
    </row>
    <row r="19811" spans="10:10" ht="15" customHeight="1" x14ac:dyDescent="0.3">
      <c r="J19811" s="33"/>
    </row>
    <row r="19812" spans="10:10" ht="15" customHeight="1" x14ac:dyDescent="0.3">
      <c r="J19812" s="33"/>
    </row>
    <row r="19813" spans="10:10" ht="15" customHeight="1" x14ac:dyDescent="0.3">
      <c r="J19813" s="33"/>
    </row>
    <row r="19814" spans="10:10" ht="15" customHeight="1" x14ac:dyDescent="0.3">
      <c r="J19814" s="33"/>
    </row>
    <row r="19815" spans="10:10" ht="15" customHeight="1" x14ac:dyDescent="0.3">
      <c r="J19815" s="33"/>
    </row>
    <row r="19816" spans="10:10" ht="15" customHeight="1" x14ac:dyDescent="0.3">
      <c r="J19816" s="33"/>
    </row>
    <row r="19817" spans="10:10" ht="15" customHeight="1" x14ac:dyDescent="0.3">
      <c r="J19817" s="33"/>
    </row>
    <row r="19818" spans="10:10" ht="15" customHeight="1" x14ac:dyDescent="0.3">
      <c r="J19818" s="33"/>
    </row>
    <row r="19819" spans="10:10" ht="15" customHeight="1" x14ac:dyDescent="0.3">
      <c r="J19819" s="33"/>
    </row>
    <row r="19820" spans="10:10" ht="15" customHeight="1" x14ac:dyDescent="0.3">
      <c r="J19820" s="33"/>
    </row>
    <row r="19821" spans="10:10" ht="15" customHeight="1" x14ac:dyDescent="0.3">
      <c r="J19821" s="33"/>
    </row>
    <row r="19822" spans="10:10" ht="15" customHeight="1" x14ac:dyDescent="0.3">
      <c r="J19822" s="33"/>
    </row>
    <row r="19823" spans="10:10" ht="15" customHeight="1" x14ac:dyDescent="0.3">
      <c r="J19823" s="33"/>
    </row>
    <row r="19824" spans="10:10" ht="15" customHeight="1" x14ac:dyDescent="0.3">
      <c r="J19824" s="33"/>
    </row>
    <row r="19825" spans="10:10" ht="15" customHeight="1" x14ac:dyDescent="0.3">
      <c r="J19825" s="33"/>
    </row>
    <row r="19826" spans="10:10" ht="15" customHeight="1" x14ac:dyDescent="0.3">
      <c r="J19826" s="33"/>
    </row>
    <row r="19827" spans="10:10" ht="15" customHeight="1" x14ac:dyDescent="0.3">
      <c r="J19827" s="33"/>
    </row>
    <row r="19828" spans="10:10" ht="15" customHeight="1" x14ac:dyDescent="0.3">
      <c r="J19828" s="33"/>
    </row>
    <row r="19829" spans="10:10" ht="15" customHeight="1" x14ac:dyDescent="0.3">
      <c r="J19829" s="33"/>
    </row>
    <row r="19830" spans="10:10" ht="15" customHeight="1" x14ac:dyDescent="0.3">
      <c r="J19830" s="33"/>
    </row>
    <row r="19831" spans="10:10" ht="15" customHeight="1" x14ac:dyDescent="0.3">
      <c r="J19831" s="33"/>
    </row>
    <row r="19832" spans="10:10" ht="15" customHeight="1" x14ac:dyDescent="0.3">
      <c r="J19832" s="33"/>
    </row>
    <row r="19833" spans="10:10" ht="15" customHeight="1" x14ac:dyDescent="0.3">
      <c r="J19833" s="33"/>
    </row>
    <row r="19834" spans="10:10" ht="15" customHeight="1" x14ac:dyDescent="0.3">
      <c r="J19834" s="33"/>
    </row>
    <row r="19835" spans="10:10" ht="15" customHeight="1" x14ac:dyDescent="0.3">
      <c r="J19835" s="33"/>
    </row>
    <row r="19836" spans="10:10" ht="15" customHeight="1" x14ac:dyDescent="0.3">
      <c r="J19836" s="33"/>
    </row>
    <row r="19837" spans="10:10" ht="15" customHeight="1" x14ac:dyDescent="0.3">
      <c r="J19837" s="33"/>
    </row>
    <row r="19838" spans="10:10" ht="15" customHeight="1" x14ac:dyDescent="0.3">
      <c r="J19838" s="33"/>
    </row>
    <row r="19839" spans="10:10" ht="15" customHeight="1" x14ac:dyDescent="0.3">
      <c r="J19839" s="33"/>
    </row>
    <row r="19840" spans="10:10" ht="15" customHeight="1" x14ac:dyDescent="0.3">
      <c r="J19840" s="33"/>
    </row>
    <row r="19841" spans="10:10" ht="15" customHeight="1" x14ac:dyDescent="0.3">
      <c r="J19841" s="33"/>
    </row>
    <row r="19842" spans="10:10" ht="15" customHeight="1" x14ac:dyDescent="0.3">
      <c r="J19842" s="33"/>
    </row>
    <row r="19843" spans="10:10" ht="15" customHeight="1" x14ac:dyDescent="0.3">
      <c r="J19843" s="33"/>
    </row>
    <row r="19844" spans="10:10" ht="15" customHeight="1" x14ac:dyDescent="0.3">
      <c r="J19844" s="33"/>
    </row>
    <row r="19845" spans="10:10" ht="15" customHeight="1" x14ac:dyDescent="0.3">
      <c r="J19845" s="33"/>
    </row>
    <row r="19846" spans="10:10" ht="15" customHeight="1" x14ac:dyDescent="0.3">
      <c r="J19846" s="33"/>
    </row>
    <row r="19847" spans="10:10" ht="15" customHeight="1" x14ac:dyDescent="0.3">
      <c r="J19847" s="33"/>
    </row>
    <row r="19848" spans="10:10" ht="15" customHeight="1" x14ac:dyDescent="0.3">
      <c r="J19848" s="33"/>
    </row>
    <row r="19849" spans="10:10" ht="15" customHeight="1" x14ac:dyDescent="0.3">
      <c r="J19849" s="33"/>
    </row>
    <row r="19850" spans="10:10" ht="15" customHeight="1" x14ac:dyDescent="0.3">
      <c r="J19850" s="33"/>
    </row>
    <row r="19851" spans="10:10" ht="15" customHeight="1" x14ac:dyDescent="0.3">
      <c r="J19851" s="33"/>
    </row>
    <row r="19852" spans="10:10" ht="15" customHeight="1" x14ac:dyDescent="0.3">
      <c r="J19852" s="33"/>
    </row>
    <row r="19853" spans="10:10" ht="15" customHeight="1" x14ac:dyDescent="0.3">
      <c r="J19853" s="33"/>
    </row>
    <row r="19854" spans="10:10" ht="15" customHeight="1" x14ac:dyDescent="0.3">
      <c r="J19854" s="33"/>
    </row>
    <row r="19855" spans="10:10" ht="15" customHeight="1" x14ac:dyDescent="0.3">
      <c r="J19855" s="33"/>
    </row>
    <row r="19856" spans="10:10" ht="15" customHeight="1" x14ac:dyDescent="0.3">
      <c r="J19856" s="33"/>
    </row>
    <row r="19857" spans="10:10" ht="15" customHeight="1" x14ac:dyDescent="0.3">
      <c r="J19857" s="33"/>
    </row>
    <row r="19858" spans="10:10" ht="15" customHeight="1" x14ac:dyDescent="0.3">
      <c r="J19858" s="33"/>
    </row>
    <row r="19859" spans="10:10" ht="15" customHeight="1" x14ac:dyDescent="0.3">
      <c r="J19859" s="33"/>
    </row>
    <row r="19860" spans="10:10" ht="15" customHeight="1" x14ac:dyDescent="0.3">
      <c r="J19860" s="33"/>
    </row>
    <row r="19861" spans="10:10" ht="15" customHeight="1" x14ac:dyDescent="0.3">
      <c r="J19861" s="33"/>
    </row>
    <row r="19862" spans="10:10" ht="15" customHeight="1" x14ac:dyDescent="0.3">
      <c r="J19862" s="33"/>
    </row>
    <row r="19863" spans="10:10" ht="15" customHeight="1" x14ac:dyDescent="0.3">
      <c r="J19863" s="33"/>
    </row>
    <row r="19864" spans="10:10" ht="15" customHeight="1" x14ac:dyDescent="0.3">
      <c r="J19864" s="33"/>
    </row>
    <row r="19865" spans="10:10" ht="15" customHeight="1" x14ac:dyDescent="0.3">
      <c r="J19865" s="33"/>
    </row>
    <row r="19866" spans="10:10" ht="15" customHeight="1" x14ac:dyDescent="0.3">
      <c r="J19866" s="33"/>
    </row>
    <row r="19867" spans="10:10" ht="15" customHeight="1" x14ac:dyDescent="0.3">
      <c r="J19867" s="33"/>
    </row>
    <row r="19868" spans="10:10" ht="15" customHeight="1" x14ac:dyDescent="0.3">
      <c r="J19868" s="33"/>
    </row>
    <row r="19869" spans="10:10" ht="15" customHeight="1" x14ac:dyDescent="0.3">
      <c r="J19869" s="33"/>
    </row>
    <row r="19870" spans="10:10" ht="15" customHeight="1" x14ac:dyDescent="0.3">
      <c r="J19870" s="33"/>
    </row>
    <row r="19871" spans="10:10" ht="15" customHeight="1" x14ac:dyDescent="0.3">
      <c r="J19871" s="33"/>
    </row>
    <row r="19872" spans="10:10" ht="15" customHeight="1" x14ac:dyDescent="0.3">
      <c r="J19872" s="33"/>
    </row>
    <row r="19873" spans="10:10" ht="15" customHeight="1" x14ac:dyDescent="0.3">
      <c r="J19873" s="33"/>
    </row>
    <row r="19874" spans="10:10" ht="15" customHeight="1" x14ac:dyDescent="0.3">
      <c r="J19874" s="33"/>
    </row>
    <row r="19875" spans="10:10" ht="15" customHeight="1" x14ac:dyDescent="0.3">
      <c r="J19875" s="33"/>
    </row>
    <row r="19876" spans="10:10" ht="15" customHeight="1" x14ac:dyDescent="0.3">
      <c r="J19876" s="33"/>
    </row>
    <row r="19877" spans="10:10" ht="15" customHeight="1" x14ac:dyDescent="0.3">
      <c r="J19877" s="33"/>
    </row>
    <row r="19878" spans="10:10" ht="15" customHeight="1" x14ac:dyDescent="0.3">
      <c r="J19878" s="33"/>
    </row>
    <row r="19879" spans="10:10" ht="15" customHeight="1" x14ac:dyDescent="0.3">
      <c r="J19879" s="33"/>
    </row>
    <row r="19880" spans="10:10" ht="15" customHeight="1" x14ac:dyDescent="0.3">
      <c r="J19880" s="33"/>
    </row>
    <row r="19881" spans="10:10" ht="15" customHeight="1" x14ac:dyDescent="0.3">
      <c r="J19881" s="33"/>
    </row>
    <row r="19882" spans="10:10" ht="15" customHeight="1" x14ac:dyDescent="0.3">
      <c r="J19882" s="33"/>
    </row>
    <row r="19883" spans="10:10" ht="15" customHeight="1" x14ac:dyDescent="0.3">
      <c r="J19883" s="33"/>
    </row>
    <row r="19884" spans="10:10" ht="15" customHeight="1" x14ac:dyDescent="0.3">
      <c r="J19884" s="33"/>
    </row>
    <row r="19885" spans="10:10" ht="15" customHeight="1" x14ac:dyDescent="0.3">
      <c r="J19885" s="33"/>
    </row>
    <row r="19886" spans="10:10" ht="15" customHeight="1" x14ac:dyDescent="0.3">
      <c r="J19886" s="33"/>
    </row>
    <row r="19887" spans="10:10" ht="15" customHeight="1" x14ac:dyDescent="0.3">
      <c r="J19887" s="33"/>
    </row>
    <row r="19888" spans="10:10" ht="15" customHeight="1" x14ac:dyDescent="0.3">
      <c r="J19888" s="33"/>
    </row>
    <row r="19889" spans="10:10" ht="15" customHeight="1" x14ac:dyDescent="0.3">
      <c r="J19889" s="33"/>
    </row>
    <row r="19890" spans="10:10" ht="15" customHeight="1" x14ac:dyDescent="0.3">
      <c r="J19890" s="33"/>
    </row>
    <row r="19891" spans="10:10" ht="15" customHeight="1" x14ac:dyDescent="0.3">
      <c r="J19891" s="33"/>
    </row>
    <row r="19892" spans="10:10" ht="15" customHeight="1" x14ac:dyDescent="0.3">
      <c r="J19892" s="33"/>
    </row>
    <row r="19893" spans="10:10" ht="15" customHeight="1" x14ac:dyDescent="0.3">
      <c r="J19893" s="33"/>
    </row>
    <row r="19894" spans="10:10" ht="15" customHeight="1" x14ac:dyDescent="0.3">
      <c r="J19894" s="33"/>
    </row>
    <row r="19895" spans="10:10" ht="15" customHeight="1" x14ac:dyDescent="0.3">
      <c r="J19895" s="33"/>
    </row>
    <row r="19896" spans="10:10" ht="15" customHeight="1" x14ac:dyDescent="0.3">
      <c r="J19896" s="33"/>
    </row>
    <row r="19897" spans="10:10" ht="15" customHeight="1" x14ac:dyDescent="0.3">
      <c r="J19897" s="33"/>
    </row>
    <row r="19898" spans="10:10" ht="15" customHeight="1" x14ac:dyDescent="0.3">
      <c r="J19898" s="33"/>
    </row>
    <row r="19899" spans="10:10" ht="15" customHeight="1" x14ac:dyDescent="0.3">
      <c r="J19899" s="33"/>
    </row>
    <row r="19900" spans="10:10" ht="15" customHeight="1" x14ac:dyDescent="0.3">
      <c r="J19900" s="33"/>
    </row>
    <row r="19901" spans="10:10" ht="15" customHeight="1" x14ac:dyDescent="0.3">
      <c r="J19901" s="33"/>
    </row>
    <row r="19902" spans="10:10" ht="15" customHeight="1" x14ac:dyDescent="0.3">
      <c r="J19902" s="33"/>
    </row>
    <row r="19903" spans="10:10" ht="15" customHeight="1" x14ac:dyDescent="0.3">
      <c r="J19903" s="33"/>
    </row>
    <row r="19904" spans="10:10" ht="15" customHeight="1" x14ac:dyDescent="0.3">
      <c r="J19904" s="33"/>
    </row>
    <row r="19905" spans="10:10" ht="15" customHeight="1" x14ac:dyDescent="0.3">
      <c r="J19905" s="33"/>
    </row>
    <row r="19906" spans="10:10" ht="15" customHeight="1" x14ac:dyDescent="0.3">
      <c r="J19906" s="33"/>
    </row>
    <row r="19907" spans="10:10" ht="15" customHeight="1" x14ac:dyDescent="0.3">
      <c r="J19907" s="33"/>
    </row>
    <row r="19908" spans="10:10" ht="15" customHeight="1" x14ac:dyDescent="0.3">
      <c r="J19908" s="33"/>
    </row>
    <row r="19909" spans="10:10" ht="15" customHeight="1" x14ac:dyDescent="0.3">
      <c r="J19909" s="33"/>
    </row>
    <row r="19910" spans="10:10" ht="15" customHeight="1" x14ac:dyDescent="0.3">
      <c r="J19910" s="33"/>
    </row>
    <row r="19911" spans="10:10" ht="15" customHeight="1" x14ac:dyDescent="0.3">
      <c r="J19911" s="33"/>
    </row>
    <row r="19912" spans="10:10" ht="15" customHeight="1" x14ac:dyDescent="0.3">
      <c r="J19912" s="33"/>
    </row>
    <row r="19913" spans="10:10" ht="15" customHeight="1" x14ac:dyDescent="0.3">
      <c r="J19913" s="33"/>
    </row>
    <row r="19914" spans="10:10" ht="15" customHeight="1" x14ac:dyDescent="0.3">
      <c r="J19914" s="33"/>
    </row>
    <row r="19915" spans="10:10" ht="15" customHeight="1" x14ac:dyDescent="0.3">
      <c r="J19915" s="33"/>
    </row>
    <row r="19916" spans="10:10" ht="15" customHeight="1" x14ac:dyDescent="0.3">
      <c r="J19916" s="33"/>
    </row>
    <row r="19917" spans="10:10" ht="15" customHeight="1" x14ac:dyDescent="0.3">
      <c r="J19917" s="33"/>
    </row>
    <row r="19918" spans="10:10" ht="15" customHeight="1" x14ac:dyDescent="0.3">
      <c r="J19918" s="33"/>
    </row>
    <row r="19919" spans="10:10" ht="15" customHeight="1" x14ac:dyDescent="0.3">
      <c r="J19919" s="33"/>
    </row>
    <row r="19920" spans="10:10" ht="15" customHeight="1" x14ac:dyDescent="0.3">
      <c r="J19920" s="33"/>
    </row>
    <row r="19921" spans="10:10" ht="15" customHeight="1" x14ac:dyDescent="0.3">
      <c r="J19921" s="33"/>
    </row>
    <row r="19922" spans="10:10" ht="15" customHeight="1" x14ac:dyDescent="0.3">
      <c r="J19922" s="33"/>
    </row>
    <row r="19923" spans="10:10" ht="15" customHeight="1" x14ac:dyDescent="0.3">
      <c r="J19923" s="33"/>
    </row>
    <row r="19924" spans="10:10" ht="15" customHeight="1" x14ac:dyDescent="0.3">
      <c r="J19924" s="33"/>
    </row>
    <row r="19925" spans="10:10" ht="15" customHeight="1" x14ac:dyDescent="0.3">
      <c r="J19925" s="33"/>
    </row>
    <row r="19926" spans="10:10" ht="15" customHeight="1" x14ac:dyDescent="0.3">
      <c r="J19926" s="33"/>
    </row>
    <row r="19927" spans="10:10" ht="15" customHeight="1" x14ac:dyDescent="0.3">
      <c r="J19927" s="33"/>
    </row>
    <row r="19928" spans="10:10" ht="15" customHeight="1" x14ac:dyDescent="0.3">
      <c r="J19928" s="33"/>
    </row>
    <row r="19929" spans="10:10" ht="15" customHeight="1" x14ac:dyDescent="0.3">
      <c r="J19929" s="33"/>
    </row>
    <row r="19930" spans="10:10" ht="15" customHeight="1" x14ac:dyDescent="0.3">
      <c r="J19930" s="33"/>
    </row>
    <row r="19931" spans="10:10" ht="15" customHeight="1" x14ac:dyDescent="0.3">
      <c r="J19931" s="33"/>
    </row>
    <row r="19932" spans="10:10" ht="15" customHeight="1" x14ac:dyDescent="0.3">
      <c r="J19932" s="33"/>
    </row>
    <row r="19933" spans="10:10" ht="15" customHeight="1" x14ac:dyDescent="0.3">
      <c r="J19933" s="33"/>
    </row>
    <row r="19934" spans="10:10" ht="15" customHeight="1" x14ac:dyDescent="0.3">
      <c r="J19934" s="33"/>
    </row>
    <row r="19935" spans="10:10" ht="15" customHeight="1" x14ac:dyDescent="0.3">
      <c r="J19935" s="33"/>
    </row>
    <row r="19936" spans="10:10" ht="15" customHeight="1" x14ac:dyDescent="0.3">
      <c r="J19936" s="33"/>
    </row>
    <row r="19937" spans="10:10" ht="15" customHeight="1" x14ac:dyDescent="0.3">
      <c r="J19937" s="33"/>
    </row>
    <row r="19938" spans="10:10" ht="15" customHeight="1" x14ac:dyDescent="0.3">
      <c r="J19938" s="33"/>
    </row>
    <row r="19939" spans="10:10" ht="15" customHeight="1" x14ac:dyDescent="0.3">
      <c r="J19939" s="33"/>
    </row>
    <row r="19940" spans="10:10" ht="15" customHeight="1" x14ac:dyDescent="0.3">
      <c r="J19940" s="33"/>
    </row>
    <row r="19941" spans="10:10" ht="15" customHeight="1" x14ac:dyDescent="0.3">
      <c r="J19941" s="33"/>
    </row>
    <row r="19942" spans="10:10" ht="15" customHeight="1" x14ac:dyDescent="0.3">
      <c r="J19942" s="33"/>
    </row>
    <row r="19943" spans="10:10" ht="15" customHeight="1" x14ac:dyDescent="0.3">
      <c r="J19943" s="33"/>
    </row>
    <row r="19944" spans="10:10" ht="15" customHeight="1" x14ac:dyDescent="0.3">
      <c r="J19944" s="33"/>
    </row>
    <row r="19945" spans="10:10" ht="15" customHeight="1" x14ac:dyDescent="0.3">
      <c r="J19945" s="33"/>
    </row>
    <row r="19946" spans="10:10" ht="15" customHeight="1" x14ac:dyDescent="0.3">
      <c r="J19946" s="33"/>
    </row>
    <row r="19947" spans="10:10" ht="15" customHeight="1" x14ac:dyDescent="0.3">
      <c r="J19947" s="33"/>
    </row>
    <row r="19948" spans="10:10" ht="15" customHeight="1" x14ac:dyDescent="0.3">
      <c r="J19948" s="33"/>
    </row>
    <row r="19949" spans="10:10" ht="15" customHeight="1" x14ac:dyDescent="0.3">
      <c r="J19949" s="33"/>
    </row>
    <row r="19950" spans="10:10" ht="15" customHeight="1" x14ac:dyDescent="0.3">
      <c r="J19950" s="33"/>
    </row>
    <row r="19951" spans="10:10" ht="15" customHeight="1" x14ac:dyDescent="0.3">
      <c r="J19951" s="33"/>
    </row>
    <row r="19952" spans="10:10" ht="15" customHeight="1" x14ac:dyDescent="0.3">
      <c r="J19952" s="33"/>
    </row>
    <row r="19953" spans="10:10" ht="15" customHeight="1" x14ac:dyDescent="0.3">
      <c r="J19953" s="33"/>
    </row>
    <row r="19954" spans="10:10" ht="15" customHeight="1" x14ac:dyDescent="0.3">
      <c r="J19954" s="33"/>
    </row>
    <row r="19955" spans="10:10" ht="15" customHeight="1" x14ac:dyDescent="0.3">
      <c r="J19955" s="33"/>
    </row>
    <row r="19956" spans="10:10" ht="15" customHeight="1" x14ac:dyDescent="0.3">
      <c r="J19956" s="33"/>
    </row>
    <row r="19957" spans="10:10" ht="15" customHeight="1" x14ac:dyDescent="0.3">
      <c r="J19957" s="33"/>
    </row>
    <row r="19958" spans="10:10" ht="15" customHeight="1" x14ac:dyDescent="0.3">
      <c r="J19958" s="33"/>
    </row>
    <row r="19959" spans="10:10" ht="15" customHeight="1" x14ac:dyDescent="0.3">
      <c r="J19959" s="33"/>
    </row>
    <row r="19960" spans="10:10" ht="15" customHeight="1" x14ac:dyDescent="0.3">
      <c r="J19960" s="33"/>
    </row>
    <row r="19961" spans="10:10" ht="15" customHeight="1" x14ac:dyDescent="0.3">
      <c r="J19961" s="33"/>
    </row>
    <row r="19962" spans="10:10" ht="15" customHeight="1" x14ac:dyDescent="0.3">
      <c r="J19962" s="33"/>
    </row>
    <row r="19963" spans="10:10" ht="15" customHeight="1" x14ac:dyDescent="0.3">
      <c r="J19963" s="33"/>
    </row>
    <row r="19964" spans="10:10" ht="15" customHeight="1" x14ac:dyDescent="0.3">
      <c r="J19964" s="33"/>
    </row>
    <row r="19965" spans="10:10" ht="15" customHeight="1" x14ac:dyDescent="0.3">
      <c r="J19965" s="33"/>
    </row>
    <row r="19966" spans="10:10" ht="15" customHeight="1" x14ac:dyDescent="0.3">
      <c r="J19966" s="33"/>
    </row>
    <row r="19967" spans="10:10" ht="15" customHeight="1" x14ac:dyDescent="0.3">
      <c r="J19967" s="33"/>
    </row>
    <row r="19968" spans="10:10" ht="15" customHeight="1" x14ac:dyDescent="0.3">
      <c r="J19968" s="33"/>
    </row>
    <row r="19969" spans="10:10" ht="15" customHeight="1" x14ac:dyDescent="0.3">
      <c r="J19969" s="33"/>
    </row>
    <row r="19970" spans="10:10" ht="15" customHeight="1" x14ac:dyDescent="0.3">
      <c r="J19970" s="33"/>
    </row>
    <row r="19971" spans="10:10" ht="15" customHeight="1" x14ac:dyDescent="0.3">
      <c r="J19971" s="33"/>
    </row>
    <row r="19972" spans="10:10" ht="15" customHeight="1" x14ac:dyDescent="0.3">
      <c r="J19972" s="33"/>
    </row>
    <row r="19973" spans="10:10" ht="15" customHeight="1" x14ac:dyDescent="0.3">
      <c r="J19973" s="33"/>
    </row>
    <row r="19974" spans="10:10" ht="15" customHeight="1" x14ac:dyDescent="0.3">
      <c r="J19974" s="33"/>
    </row>
    <row r="19975" spans="10:10" ht="15" customHeight="1" x14ac:dyDescent="0.3">
      <c r="J19975" s="33"/>
    </row>
    <row r="19976" spans="10:10" ht="15" customHeight="1" x14ac:dyDescent="0.3">
      <c r="J19976" s="33"/>
    </row>
    <row r="19977" spans="10:10" ht="15" customHeight="1" x14ac:dyDescent="0.3">
      <c r="J19977" s="33"/>
    </row>
    <row r="19978" spans="10:10" ht="15" customHeight="1" x14ac:dyDescent="0.3">
      <c r="J19978" s="33"/>
    </row>
    <row r="19979" spans="10:10" ht="15" customHeight="1" x14ac:dyDescent="0.3">
      <c r="J19979" s="33"/>
    </row>
    <row r="19980" spans="10:10" ht="15" customHeight="1" x14ac:dyDescent="0.3">
      <c r="J19980" s="33"/>
    </row>
    <row r="19981" spans="10:10" ht="15" customHeight="1" x14ac:dyDescent="0.3">
      <c r="J19981" s="33"/>
    </row>
    <row r="19982" spans="10:10" ht="15" customHeight="1" x14ac:dyDescent="0.3">
      <c r="J19982" s="33"/>
    </row>
    <row r="19983" spans="10:10" ht="15" customHeight="1" x14ac:dyDescent="0.3">
      <c r="J19983" s="33"/>
    </row>
    <row r="19984" spans="10:10" ht="15" customHeight="1" x14ac:dyDescent="0.3">
      <c r="J19984" s="33"/>
    </row>
    <row r="19985" spans="10:10" ht="15" customHeight="1" x14ac:dyDescent="0.3">
      <c r="J19985" s="33"/>
    </row>
    <row r="19986" spans="10:10" ht="15" customHeight="1" x14ac:dyDescent="0.3">
      <c r="J19986" s="33"/>
    </row>
    <row r="19987" spans="10:10" ht="15" customHeight="1" x14ac:dyDescent="0.3">
      <c r="J19987" s="33"/>
    </row>
    <row r="19988" spans="10:10" ht="15" customHeight="1" x14ac:dyDescent="0.3">
      <c r="J19988" s="33"/>
    </row>
    <row r="19989" spans="10:10" ht="15" customHeight="1" x14ac:dyDescent="0.3">
      <c r="J19989" s="33"/>
    </row>
    <row r="19990" spans="10:10" ht="15" customHeight="1" x14ac:dyDescent="0.3">
      <c r="J19990" s="33"/>
    </row>
    <row r="19991" spans="10:10" ht="15" customHeight="1" x14ac:dyDescent="0.3">
      <c r="J19991" s="33"/>
    </row>
    <row r="19992" spans="10:10" ht="15" customHeight="1" x14ac:dyDescent="0.3">
      <c r="J19992" s="33"/>
    </row>
    <row r="19993" spans="10:10" ht="15" customHeight="1" x14ac:dyDescent="0.3">
      <c r="J19993" s="33"/>
    </row>
    <row r="19994" spans="10:10" ht="15" customHeight="1" x14ac:dyDescent="0.3">
      <c r="J19994" s="33"/>
    </row>
    <row r="19995" spans="10:10" ht="15" customHeight="1" x14ac:dyDescent="0.3">
      <c r="J19995" s="33"/>
    </row>
    <row r="19996" spans="10:10" ht="15" customHeight="1" x14ac:dyDescent="0.3">
      <c r="J19996" s="33"/>
    </row>
    <row r="19997" spans="10:10" ht="15" customHeight="1" x14ac:dyDescent="0.3">
      <c r="J19997" s="33"/>
    </row>
    <row r="19998" spans="10:10" ht="15" customHeight="1" x14ac:dyDescent="0.3">
      <c r="J19998" s="33"/>
    </row>
    <row r="19999" spans="10:10" ht="15" customHeight="1" x14ac:dyDescent="0.3">
      <c r="J19999" s="33"/>
    </row>
    <row r="20000" spans="10:10" ht="15" customHeight="1" x14ac:dyDescent="0.3">
      <c r="J20000" s="33"/>
    </row>
    <row r="20001" spans="10:10" ht="15" customHeight="1" x14ac:dyDescent="0.3">
      <c r="J20001" s="33"/>
    </row>
    <row r="20002" spans="10:10" ht="15" customHeight="1" x14ac:dyDescent="0.3">
      <c r="J20002" s="33"/>
    </row>
    <row r="20003" spans="10:10" ht="15" customHeight="1" x14ac:dyDescent="0.3">
      <c r="J20003" s="33"/>
    </row>
    <row r="20004" spans="10:10" ht="15" customHeight="1" x14ac:dyDescent="0.3">
      <c r="J20004" s="33"/>
    </row>
    <row r="20005" spans="10:10" ht="15" customHeight="1" x14ac:dyDescent="0.3">
      <c r="J20005" s="33"/>
    </row>
    <row r="20006" spans="10:10" ht="15" customHeight="1" x14ac:dyDescent="0.3">
      <c r="J20006" s="33"/>
    </row>
    <row r="20007" spans="10:10" ht="15" customHeight="1" x14ac:dyDescent="0.3">
      <c r="J20007" s="33"/>
    </row>
    <row r="20008" spans="10:10" ht="15" customHeight="1" x14ac:dyDescent="0.3">
      <c r="J20008" s="33"/>
    </row>
    <row r="20009" spans="10:10" ht="15" customHeight="1" x14ac:dyDescent="0.3">
      <c r="J20009" s="33"/>
    </row>
    <row r="20010" spans="10:10" ht="15" customHeight="1" x14ac:dyDescent="0.3">
      <c r="J20010" s="33"/>
    </row>
    <row r="20011" spans="10:10" ht="15" customHeight="1" x14ac:dyDescent="0.3">
      <c r="J20011" s="33"/>
    </row>
    <row r="20012" spans="10:10" ht="15" customHeight="1" x14ac:dyDescent="0.3">
      <c r="J20012" s="33"/>
    </row>
    <row r="20013" spans="10:10" ht="15" customHeight="1" x14ac:dyDescent="0.3">
      <c r="J20013" s="33"/>
    </row>
    <row r="20014" spans="10:10" ht="15" customHeight="1" x14ac:dyDescent="0.3">
      <c r="J20014" s="33"/>
    </row>
    <row r="20015" spans="10:10" ht="15" customHeight="1" x14ac:dyDescent="0.3">
      <c r="J20015" s="33"/>
    </row>
    <row r="20016" spans="10:10" ht="15" customHeight="1" x14ac:dyDescent="0.3">
      <c r="J20016" s="33"/>
    </row>
    <row r="20017" spans="10:10" ht="15" customHeight="1" x14ac:dyDescent="0.3">
      <c r="J20017" s="33"/>
    </row>
    <row r="20018" spans="10:10" ht="15" customHeight="1" x14ac:dyDescent="0.3">
      <c r="J20018" s="33"/>
    </row>
    <row r="20019" spans="10:10" ht="15" customHeight="1" x14ac:dyDescent="0.3">
      <c r="J20019" s="33"/>
    </row>
    <row r="20020" spans="10:10" ht="15" customHeight="1" x14ac:dyDescent="0.3">
      <c r="J20020" s="33"/>
    </row>
    <row r="20021" spans="10:10" ht="15" customHeight="1" x14ac:dyDescent="0.3">
      <c r="J20021" s="33"/>
    </row>
    <row r="20022" spans="10:10" ht="15" customHeight="1" x14ac:dyDescent="0.3">
      <c r="J20022" s="33"/>
    </row>
    <row r="20023" spans="10:10" ht="15" customHeight="1" x14ac:dyDescent="0.3">
      <c r="J20023" s="33"/>
    </row>
    <row r="20024" spans="10:10" ht="15" customHeight="1" x14ac:dyDescent="0.3">
      <c r="J20024" s="33"/>
    </row>
    <row r="20025" spans="10:10" ht="15" customHeight="1" x14ac:dyDescent="0.3">
      <c r="J20025" s="33"/>
    </row>
    <row r="20026" spans="10:10" ht="15" customHeight="1" x14ac:dyDescent="0.3">
      <c r="J20026" s="33"/>
    </row>
    <row r="20027" spans="10:10" ht="15" customHeight="1" x14ac:dyDescent="0.3">
      <c r="J20027" s="33"/>
    </row>
    <row r="20028" spans="10:10" ht="15" customHeight="1" x14ac:dyDescent="0.3">
      <c r="J20028" s="33"/>
    </row>
    <row r="20029" spans="10:10" ht="15" customHeight="1" x14ac:dyDescent="0.3">
      <c r="J20029" s="33"/>
    </row>
    <row r="20030" spans="10:10" ht="15" customHeight="1" x14ac:dyDescent="0.3">
      <c r="J20030" s="33"/>
    </row>
    <row r="20031" spans="10:10" ht="15" customHeight="1" x14ac:dyDescent="0.3">
      <c r="J20031" s="33"/>
    </row>
    <row r="20032" spans="10:10" ht="15" customHeight="1" x14ac:dyDescent="0.3">
      <c r="J20032" s="33"/>
    </row>
    <row r="20033" spans="10:10" ht="15" customHeight="1" x14ac:dyDescent="0.3">
      <c r="J20033" s="33"/>
    </row>
    <row r="20034" spans="10:10" ht="15" customHeight="1" x14ac:dyDescent="0.3">
      <c r="J20034" s="33"/>
    </row>
    <row r="20035" spans="10:10" ht="15" customHeight="1" x14ac:dyDescent="0.3">
      <c r="J20035" s="33"/>
    </row>
    <row r="20036" spans="10:10" ht="15" customHeight="1" x14ac:dyDescent="0.3">
      <c r="J20036" s="33"/>
    </row>
    <row r="20037" spans="10:10" ht="15" customHeight="1" x14ac:dyDescent="0.3">
      <c r="J20037" s="33"/>
    </row>
    <row r="20038" spans="10:10" ht="15" customHeight="1" x14ac:dyDescent="0.3">
      <c r="J20038" s="33"/>
    </row>
    <row r="20039" spans="10:10" ht="15" customHeight="1" x14ac:dyDescent="0.3">
      <c r="J20039" s="33"/>
    </row>
    <row r="20040" spans="10:10" ht="15" customHeight="1" x14ac:dyDescent="0.3">
      <c r="J20040" s="33"/>
    </row>
    <row r="20041" spans="10:10" ht="15" customHeight="1" x14ac:dyDescent="0.3">
      <c r="J20041" s="33"/>
    </row>
    <row r="20042" spans="10:10" ht="15" customHeight="1" x14ac:dyDescent="0.3">
      <c r="J20042" s="33"/>
    </row>
    <row r="20043" spans="10:10" ht="15" customHeight="1" x14ac:dyDescent="0.3">
      <c r="J20043" s="33"/>
    </row>
    <row r="20044" spans="10:10" ht="15" customHeight="1" x14ac:dyDescent="0.3">
      <c r="J20044" s="33"/>
    </row>
    <row r="20045" spans="10:10" ht="15" customHeight="1" x14ac:dyDescent="0.3">
      <c r="J20045" s="33"/>
    </row>
    <row r="20046" spans="10:10" ht="15" customHeight="1" x14ac:dyDescent="0.3">
      <c r="J20046" s="33"/>
    </row>
    <row r="20047" spans="10:10" ht="15" customHeight="1" x14ac:dyDescent="0.3">
      <c r="J20047" s="33"/>
    </row>
    <row r="20048" spans="10:10" ht="15" customHeight="1" x14ac:dyDescent="0.3">
      <c r="J20048" s="33"/>
    </row>
    <row r="20049" spans="10:10" ht="15" customHeight="1" x14ac:dyDescent="0.3">
      <c r="J20049" s="33"/>
    </row>
    <row r="20050" spans="10:10" ht="15" customHeight="1" x14ac:dyDescent="0.3">
      <c r="J20050" s="33"/>
    </row>
    <row r="20051" spans="10:10" ht="15" customHeight="1" x14ac:dyDescent="0.3">
      <c r="J20051" s="33"/>
    </row>
    <row r="20052" spans="10:10" ht="15" customHeight="1" x14ac:dyDescent="0.3">
      <c r="J20052" s="33"/>
    </row>
    <row r="20053" spans="10:10" ht="15" customHeight="1" x14ac:dyDescent="0.3">
      <c r="J20053" s="33"/>
    </row>
    <row r="20054" spans="10:10" ht="15" customHeight="1" x14ac:dyDescent="0.3">
      <c r="J20054" s="33"/>
    </row>
    <row r="20055" spans="10:10" ht="15" customHeight="1" x14ac:dyDescent="0.3">
      <c r="J20055" s="33"/>
    </row>
    <row r="20056" spans="10:10" ht="15" customHeight="1" x14ac:dyDescent="0.3">
      <c r="J20056" s="33"/>
    </row>
    <row r="20057" spans="10:10" ht="15" customHeight="1" x14ac:dyDescent="0.3">
      <c r="J20057" s="33"/>
    </row>
    <row r="20058" spans="10:10" ht="15" customHeight="1" x14ac:dyDescent="0.3">
      <c r="J20058" s="33"/>
    </row>
    <row r="20059" spans="10:10" ht="15" customHeight="1" x14ac:dyDescent="0.3">
      <c r="J20059" s="33"/>
    </row>
    <row r="20060" spans="10:10" ht="15" customHeight="1" x14ac:dyDescent="0.3">
      <c r="J20060" s="33"/>
    </row>
    <row r="20061" spans="10:10" ht="15" customHeight="1" x14ac:dyDescent="0.3">
      <c r="J20061" s="33"/>
    </row>
    <row r="20062" spans="10:10" ht="15" customHeight="1" x14ac:dyDescent="0.3">
      <c r="J20062" s="33"/>
    </row>
    <row r="20063" spans="10:10" ht="15" customHeight="1" x14ac:dyDescent="0.3">
      <c r="J20063" s="33"/>
    </row>
    <row r="20064" spans="10:10" ht="15" customHeight="1" x14ac:dyDescent="0.3">
      <c r="J20064" s="33"/>
    </row>
    <row r="20065" spans="10:10" ht="15" customHeight="1" x14ac:dyDescent="0.3">
      <c r="J20065" s="33"/>
    </row>
    <row r="20066" spans="10:10" ht="15" customHeight="1" x14ac:dyDescent="0.3">
      <c r="J20066" s="33"/>
    </row>
    <row r="20067" spans="10:10" ht="15" customHeight="1" x14ac:dyDescent="0.3">
      <c r="J20067" s="33"/>
    </row>
    <row r="20068" spans="10:10" ht="15" customHeight="1" x14ac:dyDescent="0.3">
      <c r="J20068" s="33"/>
    </row>
    <row r="20069" spans="10:10" ht="15" customHeight="1" x14ac:dyDescent="0.3">
      <c r="J20069" s="33"/>
    </row>
    <row r="20070" spans="10:10" ht="15" customHeight="1" x14ac:dyDescent="0.3">
      <c r="J20070" s="33"/>
    </row>
    <row r="20071" spans="10:10" ht="15" customHeight="1" x14ac:dyDescent="0.3">
      <c r="J20071" s="33"/>
    </row>
    <row r="20072" spans="10:10" ht="15" customHeight="1" x14ac:dyDescent="0.3">
      <c r="J20072" s="33"/>
    </row>
    <row r="20073" spans="10:10" ht="15" customHeight="1" x14ac:dyDescent="0.3">
      <c r="J20073" s="33"/>
    </row>
    <row r="20074" spans="10:10" ht="15" customHeight="1" x14ac:dyDescent="0.3">
      <c r="J20074" s="33"/>
    </row>
    <row r="20075" spans="10:10" ht="15" customHeight="1" x14ac:dyDescent="0.3">
      <c r="J20075" s="33"/>
    </row>
    <row r="20076" spans="10:10" ht="15" customHeight="1" x14ac:dyDescent="0.3">
      <c r="J20076" s="33"/>
    </row>
    <row r="20077" spans="10:10" ht="15" customHeight="1" x14ac:dyDescent="0.3">
      <c r="J20077" s="33"/>
    </row>
    <row r="20078" spans="10:10" ht="15" customHeight="1" x14ac:dyDescent="0.3">
      <c r="J20078" s="33"/>
    </row>
    <row r="20079" spans="10:10" ht="15" customHeight="1" x14ac:dyDescent="0.3">
      <c r="J20079" s="33"/>
    </row>
    <row r="20080" spans="10:10" ht="15" customHeight="1" x14ac:dyDescent="0.3">
      <c r="J20080" s="33"/>
    </row>
    <row r="20081" spans="10:10" ht="15" customHeight="1" x14ac:dyDescent="0.3">
      <c r="J20081" s="33"/>
    </row>
    <row r="20082" spans="10:10" ht="15" customHeight="1" x14ac:dyDescent="0.3">
      <c r="J20082" s="33"/>
    </row>
    <row r="20083" spans="10:10" ht="15" customHeight="1" x14ac:dyDescent="0.3">
      <c r="J20083" s="33"/>
    </row>
    <row r="20084" spans="10:10" ht="15" customHeight="1" x14ac:dyDescent="0.3">
      <c r="J20084" s="33"/>
    </row>
    <row r="20085" spans="10:10" ht="15" customHeight="1" x14ac:dyDescent="0.3">
      <c r="J20085" s="33"/>
    </row>
    <row r="20086" spans="10:10" ht="15" customHeight="1" x14ac:dyDescent="0.3">
      <c r="J20086" s="33"/>
    </row>
    <row r="20087" spans="10:10" ht="15" customHeight="1" x14ac:dyDescent="0.3">
      <c r="J20087" s="33"/>
    </row>
    <row r="20088" spans="10:10" ht="15" customHeight="1" x14ac:dyDescent="0.3">
      <c r="J20088" s="33"/>
    </row>
    <row r="20089" spans="10:10" ht="15" customHeight="1" x14ac:dyDescent="0.3">
      <c r="J20089" s="33"/>
    </row>
    <row r="20090" spans="10:10" ht="15" customHeight="1" x14ac:dyDescent="0.3">
      <c r="J20090" s="33"/>
    </row>
    <row r="20091" spans="10:10" ht="15" customHeight="1" x14ac:dyDescent="0.3">
      <c r="J20091" s="33"/>
    </row>
    <row r="20092" spans="10:10" ht="15" customHeight="1" x14ac:dyDescent="0.3">
      <c r="J20092" s="33"/>
    </row>
    <row r="20093" spans="10:10" ht="15" customHeight="1" x14ac:dyDescent="0.3">
      <c r="J20093" s="33"/>
    </row>
    <row r="20094" spans="10:10" ht="15" customHeight="1" x14ac:dyDescent="0.3">
      <c r="J20094" s="33"/>
    </row>
    <row r="20095" spans="10:10" ht="15" customHeight="1" x14ac:dyDescent="0.3">
      <c r="J20095" s="33"/>
    </row>
    <row r="20096" spans="10:10" ht="15" customHeight="1" x14ac:dyDescent="0.3">
      <c r="J20096" s="33"/>
    </row>
    <row r="20097" spans="10:10" ht="15" customHeight="1" x14ac:dyDescent="0.3">
      <c r="J20097" s="33"/>
    </row>
    <row r="20098" spans="10:10" ht="15" customHeight="1" x14ac:dyDescent="0.3">
      <c r="J20098" s="33"/>
    </row>
    <row r="20099" spans="10:10" ht="15" customHeight="1" x14ac:dyDescent="0.3">
      <c r="J20099" s="33"/>
    </row>
    <row r="20100" spans="10:10" ht="15" customHeight="1" x14ac:dyDescent="0.3">
      <c r="J20100" s="33"/>
    </row>
    <row r="20101" spans="10:10" ht="15" customHeight="1" x14ac:dyDescent="0.3">
      <c r="J20101" s="33"/>
    </row>
    <row r="20102" spans="10:10" ht="15" customHeight="1" x14ac:dyDescent="0.3">
      <c r="J20102" s="33"/>
    </row>
    <row r="20103" spans="10:10" ht="15" customHeight="1" x14ac:dyDescent="0.3">
      <c r="J20103" s="33"/>
    </row>
    <row r="20104" spans="10:10" ht="15" customHeight="1" x14ac:dyDescent="0.3">
      <c r="J20104" s="33"/>
    </row>
    <row r="20105" spans="10:10" ht="15" customHeight="1" x14ac:dyDescent="0.3">
      <c r="J20105" s="33"/>
    </row>
    <row r="20106" spans="10:10" ht="15" customHeight="1" x14ac:dyDescent="0.3">
      <c r="J20106" s="33"/>
    </row>
    <row r="20107" spans="10:10" ht="15" customHeight="1" x14ac:dyDescent="0.3">
      <c r="J20107" s="33"/>
    </row>
    <row r="20108" spans="10:10" ht="15" customHeight="1" x14ac:dyDescent="0.3">
      <c r="J20108" s="33"/>
    </row>
    <row r="20109" spans="10:10" ht="15" customHeight="1" x14ac:dyDescent="0.3">
      <c r="J20109" s="33"/>
    </row>
    <row r="20110" spans="10:10" ht="15" customHeight="1" x14ac:dyDescent="0.3">
      <c r="J20110" s="33"/>
    </row>
    <row r="20111" spans="10:10" ht="15" customHeight="1" x14ac:dyDescent="0.3">
      <c r="J20111" s="33"/>
    </row>
    <row r="20112" spans="10:10" ht="15" customHeight="1" x14ac:dyDescent="0.3">
      <c r="J20112" s="33"/>
    </row>
    <row r="20113" spans="10:10" ht="15" customHeight="1" x14ac:dyDescent="0.3">
      <c r="J20113" s="33"/>
    </row>
    <row r="20114" spans="10:10" ht="15" customHeight="1" x14ac:dyDescent="0.3">
      <c r="J20114" s="33"/>
    </row>
    <row r="20115" spans="10:10" ht="15" customHeight="1" x14ac:dyDescent="0.3">
      <c r="J20115" s="33"/>
    </row>
    <row r="20116" spans="10:10" ht="15" customHeight="1" x14ac:dyDescent="0.3">
      <c r="J20116" s="33"/>
    </row>
    <row r="20117" spans="10:10" ht="15" customHeight="1" x14ac:dyDescent="0.3">
      <c r="J20117" s="33"/>
    </row>
    <row r="20118" spans="10:10" ht="15" customHeight="1" x14ac:dyDescent="0.3">
      <c r="J20118" s="33"/>
    </row>
    <row r="20119" spans="10:10" ht="15" customHeight="1" x14ac:dyDescent="0.3">
      <c r="J20119" s="33"/>
    </row>
    <row r="20120" spans="10:10" ht="15" customHeight="1" x14ac:dyDescent="0.3">
      <c r="J20120" s="33"/>
    </row>
    <row r="20121" spans="10:10" ht="15" customHeight="1" x14ac:dyDescent="0.3">
      <c r="J20121" s="33"/>
    </row>
    <row r="20122" spans="10:10" ht="15" customHeight="1" x14ac:dyDescent="0.3">
      <c r="J20122" s="33"/>
    </row>
    <row r="20123" spans="10:10" ht="15" customHeight="1" x14ac:dyDescent="0.3">
      <c r="J20123" s="33"/>
    </row>
    <row r="20124" spans="10:10" ht="15" customHeight="1" x14ac:dyDescent="0.3">
      <c r="J20124" s="33"/>
    </row>
    <row r="20125" spans="10:10" ht="15" customHeight="1" x14ac:dyDescent="0.3">
      <c r="J20125" s="33"/>
    </row>
    <row r="20126" spans="10:10" ht="15" customHeight="1" x14ac:dyDescent="0.3">
      <c r="J20126" s="33"/>
    </row>
    <row r="20127" spans="10:10" ht="15" customHeight="1" x14ac:dyDescent="0.3">
      <c r="J20127" s="33"/>
    </row>
    <row r="20128" spans="10:10" ht="15" customHeight="1" x14ac:dyDescent="0.3">
      <c r="J20128" s="33"/>
    </row>
    <row r="20129" spans="10:10" ht="15" customHeight="1" x14ac:dyDescent="0.3">
      <c r="J20129" s="33"/>
    </row>
    <row r="20130" spans="10:10" ht="15" customHeight="1" x14ac:dyDescent="0.3">
      <c r="J20130" s="33"/>
    </row>
    <row r="20131" spans="10:10" ht="15" customHeight="1" x14ac:dyDescent="0.3">
      <c r="J20131" s="33"/>
    </row>
    <row r="20132" spans="10:10" ht="15" customHeight="1" x14ac:dyDescent="0.3">
      <c r="J20132" s="33"/>
    </row>
    <row r="20133" spans="10:10" ht="15" customHeight="1" x14ac:dyDescent="0.3">
      <c r="J20133" s="33"/>
    </row>
    <row r="20134" spans="10:10" ht="15" customHeight="1" x14ac:dyDescent="0.3">
      <c r="J20134" s="33"/>
    </row>
    <row r="20135" spans="10:10" ht="15" customHeight="1" x14ac:dyDescent="0.3">
      <c r="J20135" s="33"/>
    </row>
    <row r="20136" spans="10:10" ht="15" customHeight="1" x14ac:dyDescent="0.3">
      <c r="J20136" s="33"/>
    </row>
    <row r="20137" spans="10:10" ht="15" customHeight="1" x14ac:dyDescent="0.3">
      <c r="J20137" s="33"/>
    </row>
    <row r="20138" spans="10:10" ht="15" customHeight="1" x14ac:dyDescent="0.3">
      <c r="J20138" s="33"/>
    </row>
    <row r="20139" spans="10:10" ht="15" customHeight="1" x14ac:dyDescent="0.3">
      <c r="J20139" s="33"/>
    </row>
    <row r="20140" spans="10:10" ht="15" customHeight="1" x14ac:dyDescent="0.3">
      <c r="J20140" s="33"/>
    </row>
    <row r="20141" spans="10:10" ht="15" customHeight="1" x14ac:dyDescent="0.3">
      <c r="J20141" s="33"/>
    </row>
    <row r="20142" spans="10:10" ht="15" customHeight="1" x14ac:dyDescent="0.3">
      <c r="J20142" s="33"/>
    </row>
    <row r="20143" spans="10:10" ht="15" customHeight="1" x14ac:dyDescent="0.3">
      <c r="J20143" s="33"/>
    </row>
    <row r="20144" spans="10:10" ht="15" customHeight="1" x14ac:dyDescent="0.3">
      <c r="J20144" s="33"/>
    </row>
    <row r="20145" spans="10:10" ht="15" customHeight="1" x14ac:dyDescent="0.3">
      <c r="J20145" s="33"/>
    </row>
    <row r="20146" spans="10:10" ht="15" customHeight="1" x14ac:dyDescent="0.3">
      <c r="J20146" s="33"/>
    </row>
    <row r="20147" spans="10:10" ht="15" customHeight="1" x14ac:dyDescent="0.3">
      <c r="J20147" s="33"/>
    </row>
    <row r="20148" spans="10:10" ht="15" customHeight="1" x14ac:dyDescent="0.3">
      <c r="J20148" s="33"/>
    </row>
    <row r="20149" spans="10:10" ht="15" customHeight="1" x14ac:dyDescent="0.3">
      <c r="J20149" s="33"/>
    </row>
    <row r="20150" spans="10:10" ht="15" customHeight="1" x14ac:dyDescent="0.3">
      <c r="J20150" s="33"/>
    </row>
    <row r="20151" spans="10:10" ht="15" customHeight="1" x14ac:dyDescent="0.3">
      <c r="J20151" s="33"/>
    </row>
    <row r="20152" spans="10:10" ht="15" customHeight="1" x14ac:dyDescent="0.3">
      <c r="J20152" s="33"/>
    </row>
    <row r="20153" spans="10:10" ht="15" customHeight="1" x14ac:dyDescent="0.3">
      <c r="J20153" s="33"/>
    </row>
    <row r="20154" spans="10:10" ht="15" customHeight="1" x14ac:dyDescent="0.3">
      <c r="J20154" s="33"/>
    </row>
    <row r="20155" spans="10:10" ht="15" customHeight="1" x14ac:dyDescent="0.3">
      <c r="J20155" s="33"/>
    </row>
    <row r="20156" spans="10:10" ht="15" customHeight="1" x14ac:dyDescent="0.3">
      <c r="J20156" s="33"/>
    </row>
    <row r="20157" spans="10:10" ht="15" customHeight="1" x14ac:dyDescent="0.3">
      <c r="J20157" s="33"/>
    </row>
    <row r="20158" spans="10:10" ht="15" customHeight="1" x14ac:dyDescent="0.3">
      <c r="J20158" s="33"/>
    </row>
    <row r="20159" spans="10:10" ht="15" customHeight="1" x14ac:dyDescent="0.3">
      <c r="J20159" s="33"/>
    </row>
    <row r="20160" spans="10:10" ht="15" customHeight="1" x14ac:dyDescent="0.3">
      <c r="J20160" s="33"/>
    </row>
    <row r="20161" spans="10:10" ht="15" customHeight="1" x14ac:dyDescent="0.3">
      <c r="J20161" s="33"/>
    </row>
    <row r="20162" spans="10:10" ht="15" customHeight="1" x14ac:dyDescent="0.3">
      <c r="J20162" s="33"/>
    </row>
    <row r="20163" spans="10:10" ht="15" customHeight="1" x14ac:dyDescent="0.3">
      <c r="J20163" s="33"/>
    </row>
    <row r="20164" spans="10:10" ht="15" customHeight="1" x14ac:dyDescent="0.3">
      <c r="J20164" s="33"/>
    </row>
    <row r="20165" spans="10:10" ht="15" customHeight="1" x14ac:dyDescent="0.3">
      <c r="J20165" s="33"/>
    </row>
    <row r="20166" spans="10:10" ht="15" customHeight="1" x14ac:dyDescent="0.3">
      <c r="J20166" s="33"/>
    </row>
    <row r="20167" spans="10:10" ht="15" customHeight="1" x14ac:dyDescent="0.3">
      <c r="J20167" s="33"/>
    </row>
    <row r="20168" spans="10:10" ht="15" customHeight="1" x14ac:dyDescent="0.3">
      <c r="J20168" s="33"/>
    </row>
    <row r="20169" spans="10:10" ht="15" customHeight="1" x14ac:dyDescent="0.3">
      <c r="J20169" s="33"/>
    </row>
    <row r="20170" spans="10:10" ht="15" customHeight="1" x14ac:dyDescent="0.3">
      <c r="J20170" s="33"/>
    </row>
    <row r="20171" spans="10:10" ht="15" customHeight="1" x14ac:dyDescent="0.3">
      <c r="J20171" s="33"/>
    </row>
    <row r="20172" spans="10:10" ht="15" customHeight="1" x14ac:dyDescent="0.3">
      <c r="J20172" s="33"/>
    </row>
    <row r="20173" spans="10:10" ht="15" customHeight="1" x14ac:dyDescent="0.3">
      <c r="J20173" s="33"/>
    </row>
    <row r="20174" spans="10:10" ht="15" customHeight="1" x14ac:dyDescent="0.3">
      <c r="J20174" s="33"/>
    </row>
    <row r="20175" spans="10:10" ht="15" customHeight="1" x14ac:dyDescent="0.3">
      <c r="J20175" s="33"/>
    </row>
    <row r="20176" spans="10:10" ht="15" customHeight="1" x14ac:dyDescent="0.3">
      <c r="J20176" s="33"/>
    </row>
    <row r="20177" spans="10:10" ht="15" customHeight="1" x14ac:dyDescent="0.3">
      <c r="J20177" s="33"/>
    </row>
    <row r="20178" spans="10:10" ht="15" customHeight="1" x14ac:dyDescent="0.3">
      <c r="J20178" s="33"/>
    </row>
    <row r="20179" spans="10:10" ht="15" customHeight="1" x14ac:dyDescent="0.3">
      <c r="J20179" s="33"/>
    </row>
    <row r="20180" spans="10:10" ht="15" customHeight="1" x14ac:dyDescent="0.3">
      <c r="J20180" s="33"/>
    </row>
    <row r="20181" spans="10:10" ht="15" customHeight="1" x14ac:dyDescent="0.3">
      <c r="J20181" s="33"/>
    </row>
    <row r="20182" spans="10:10" ht="15" customHeight="1" x14ac:dyDescent="0.3">
      <c r="J20182" s="33"/>
    </row>
    <row r="20183" spans="10:10" ht="15" customHeight="1" x14ac:dyDescent="0.3">
      <c r="J20183" s="33"/>
    </row>
    <row r="20184" spans="10:10" ht="15" customHeight="1" x14ac:dyDescent="0.3">
      <c r="J20184" s="33"/>
    </row>
    <row r="20185" spans="10:10" ht="15" customHeight="1" x14ac:dyDescent="0.3">
      <c r="J20185" s="33"/>
    </row>
    <row r="20186" spans="10:10" ht="15" customHeight="1" x14ac:dyDescent="0.3">
      <c r="J20186" s="33"/>
    </row>
    <row r="20187" spans="10:10" ht="15" customHeight="1" x14ac:dyDescent="0.3">
      <c r="J20187" s="33"/>
    </row>
    <row r="20188" spans="10:10" ht="15" customHeight="1" x14ac:dyDescent="0.3">
      <c r="J20188" s="33"/>
    </row>
    <row r="20189" spans="10:10" ht="15" customHeight="1" x14ac:dyDescent="0.3">
      <c r="J20189" s="33"/>
    </row>
    <row r="20190" spans="10:10" ht="15" customHeight="1" x14ac:dyDescent="0.3">
      <c r="J20190" s="33"/>
    </row>
    <row r="20191" spans="10:10" ht="15" customHeight="1" x14ac:dyDescent="0.3">
      <c r="J20191" s="33"/>
    </row>
    <row r="20192" spans="10:10" ht="15" customHeight="1" x14ac:dyDescent="0.3">
      <c r="J20192" s="33"/>
    </row>
    <row r="20193" spans="10:10" ht="15" customHeight="1" x14ac:dyDescent="0.3">
      <c r="J20193" s="33"/>
    </row>
    <row r="20194" spans="10:10" ht="15" customHeight="1" x14ac:dyDescent="0.3">
      <c r="J20194" s="33"/>
    </row>
    <row r="20195" spans="10:10" ht="15" customHeight="1" x14ac:dyDescent="0.3">
      <c r="J20195" s="33"/>
    </row>
    <row r="20196" spans="10:10" ht="15" customHeight="1" x14ac:dyDescent="0.3">
      <c r="J20196" s="33"/>
    </row>
    <row r="20197" spans="10:10" ht="15" customHeight="1" x14ac:dyDescent="0.3">
      <c r="J20197" s="33"/>
    </row>
    <row r="20198" spans="10:10" ht="15" customHeight="1" x14ac:dyDescent="0.3">
      <c r="J20198" s="33"/>
    </row>
    <row r="20199" spans="10:10" ht="15" customHeight="1" x14ac:dyDescent="0.3">
      <c r="J20199" s="33"/>
    </row>
    <row r="20200" spans="10:10" ht="15" customHeight="1" x14ac:dyDescent="0.3">
      <c r="J20200" s="33"/>
    </row>
    <row r="20201" spans="10:10" ht="15" customHeight="1" x14ac:dyDescent="0.3">
      <c r="J20201" s="33"/>
    </row>
    <row r="20202" spans="10:10" ht="15" customHeight="1" x14ac:dyDescent="0.3">
      <c r="J20202" s="33"/>
    </row>
    <row r="20203" spans="10:10" ht="15" customHeight="1" x14ac:dyDescent="0.3">
      <c r="J20203" s="33"/>
    </row>
    <row r="20204" spans="10:10" ht="15" customHeight="1" x14ac:dyDescent="0.3">
      <c r="J20204" s="33"/>
    </row>
    <row r="20205" spans="10:10" ht="15" customHeight="1" x14ac:dyDescent="0.3">
      <c r="J20205" s="33"/>
    </row>
    <row r="20206" spans="10:10" ht="15" customHeight="1" x14ac:dyDescent="0.3">
      <c r="J20206" s="33"/>
    </row>
    <row r="20207" spans="10:10" ht="15" customHeight="1" x14ac:dyDescent="0.3">
      <c r="J20207" s="33"/>
    </row>
    <row r="20208" spans="10:10" ht="15" customHeight="1" x14ac:dyDescent="0.3">
      <c r="J20208" s="33"/>
    </row>
    <row r="20209" spans="10:10" ht="15" customHeight="1" x14ac:dyDescent="0.3">
      <c r="J20209" s="33"/>
    </row>
    <row r="20210" spans="10:10" ht="15" customHeight="1" x14ac:dyDescent="0.3">
      <c r="J20210" s="33"/>
    </row>
    <row r="20211" spans="10:10" ht="15" customHeight="1" x14ac:dyDescent="0.3">
      <c r="J20211" s="33"/>
    </row>
    <row r="20212" spans="10:10" ht="15" customHeight="1" x14ac:dyDescent="0.3">
      <c r="J20212" s="33"/>
    </row>
    <row r="20213" spans="10:10" ht="15" customHeight="1" x14ac:dyDescent="0.3">
      <c r="J20213" s="33"/>
    </row>
    <row r="20214" spans="10:10" ht="15" customHeight="1" x14ac:dyDescent="0.3">
      <c r="J20214" s="33"/>
    </row>
    <row r="20215" spans="10:10" ht="15" customHeight="1" x14ac:dyDescent="0.3">
      <c r="J20215" s="33"/>
    </row>
    <row r="20216" spans="10:10" ht="15" customHeight="1" x14ac:dyDescent="0.3">
      <c r="J20216" s="33"/>
    </row>
    <row r="20217" spans="10:10" ht="15" customHeight="1" x14ac:dyDescent="0.3">
      <c r="J20217" s="33"/>
    </row>
    <row r="20218" spans="10:10" ht="15" customHeight="1" x14ac:dyDescent="0.3">
      <c r="J20218" s="33"/>
    </row>
    <row r="20219" spans="10:10" ht="15" customHeight="1" x14ac:dyDescent="0.3">
      <c r="J20219" s="33"/>
    </row>
    <row r="20220" spans="10:10" ht="15" customHeight="1" x14ac:dyDescent="0.3">
      <c r="J20220" s="33"/>
    </row>
    <row r="20221" spans="10:10" ht="15" customHeight="1" x14ac:dyDescent="0.3">
      <c r="J20221" s="33"/>
    </row>
    <row r="20222" spans="10:10" ht="15" customHeight="1" x14ac:dyDescent="0.3">
      <c r="J20222" s="33"/>
    </row>
    <row r="20223" spans="10:10" ht="15" customHeight="1" x14ac:dyDescent="0.3">
      <c r="J20223" s="33"/>
    </row>
    <row r="20224" spans="10:10" ht="15" customHeight="1" x14ac:dyDescent="0.3">
      <c r="J20224" s="33"/>
    </row>
    <row r="20225" spans="10:10" ht="15" customHeight="1" x14ac:dyDescent="0.3">
      <c r="J20225" s="33"/>
    </row>
    <row r="20226" spans="10:10" ht="15" customHeight="1" x14ac:dyDescent="0.3">
      <c r="J20226" s="33"/>
    </row>
    <row r="20227" spans="10:10" ht="15" customHeight="1" x14ac:dyDescent="0.3">
      <c r="J20227" s="33"/>
    </row>
    <row r="20228" spans="10:10" ht="15" customHeight="1" x14ac:dyDescent="0.3">
      <c r="J20228" s="33"/>
    </row>
    <row r="20229" spans="10:10" ht="15" customHeight="1" x14ac:dyDescent="0.3">
      <c r="J20229" s="33"/>
    </row>
    <row r="20230" spans="10:10" ht="15" customHeight="1" x14ac:dyDescent="0.3">
      <c r="J20230" s="33"/>
    </row>
    <row r="20231" spans="10:10" ht="15" customHeight="1" x14ac:dyDescent="0.3">
      <c r="J20231" s="33"/>
    </row>
    <row r="20232" spans="10:10" ht="15" customHeight="1" x14ac:dyDescent="0.3">
      <c r="J20232" s="33"/>
    </row>
    <row r="20233" spans="10:10" ht="15" customHeight="1" x14ac:dyDescent="0.3">
      <c r="J20233" s="33"/>
    </row>
    <row r="20234" spans="10:10" ht="15" customHeight="1" x14ac:dyDescent="0.3">
      <c r="J20234" s="33"/>
    </row>
    <row r="20235" spans="10:10" ht="15" customHeight="1" x14ac:dyDescent="0.3">
      <c r="J20235" s="33"/>
    </row>
    <row r="20236" spans="10:10" ht="15" customHeight="1" x14ac:dyDescent="0.3">
      <c r="J20236" s="33"/>
    </row>
    <row r="20237" spans="10:10" ht="15" customHeight="1" x14ac:dyDescent="0.3">
      <c r="J20237" s="33"/>
    </row>
    <row r="20238" spans="10:10" ht="15" customHeight="1" x14ac:dyDescent="0.3">
      <c r="J20238" s="33"/>
    </row>
    <row r="20239" spans="10:10" ht="15" customHeight="1" x14ac:dyDescent="0.3">
      <c r="J20239" s="33"/>
    </row>
    <row r="20240" spans="10:10" ht="15" customHeight="1" x14ac:dyDescent="0.3">
      <c r="J20240" s="33"/>
    </row>
    <row r="20241" spans="10:10" ht="15" customHeight="1" x14ac:dyDescent="0.3">
      <c r="J20241" s="33"/>
    </row>
    <row r="20242" spans="10:10" ht="15" customHeight="1" x14ac:dyDescent="0.3">
      <c r="J20242" s="33"/>
    </row>
    <row r="20243" spans="10:10" ht="15" customHeight="1" x14ac:dyDescent="0.3">
      <c r="J20243" s="33"/>
    </row>
    <row r="20244" spans="10:10" ht="15" customHeight="1" x14ac:dyDescent="0.3">
      <c r="J20244" s="33"/>
    </row>
    <row r="20245" spans="10:10" ht="15" customHeight="1" x14ac:dyDescent="0.3">
      <c r="J20245" s="33"/>
    </row>
    <row r="20246" spans="10:10" ht="15" customHeight="1" x14ac:dyDescent="0.3">
      <c r="J20246" s="33"/>
    </row>
    <row r="20247" spans="10:10" ht="15" customHeight="1" x14ac:dyDescent="0.3">
      <c r="J20247" s="33"/>
    </row>
    <row r="20248" spans="10:10" ht="15" customHeight="1" x14ac:dyDescent="0.3">
      <c r="J20248" s="33"/>
    </row>
    <row r="20249" spans="10:10" ht="15" customHeight="1" x14ac:dyDescent="0.3">
      <c r="J20249" s="33"/>
    </row>
    <row r="20250" spans="10:10" ht="15" customHeight="1" x14ac:dyDescent="0.3">
      <c r="J20250" s="33"/>
    </row>
    <row r="20251" spans="10:10" ht="15" customHeight="1" x14ac:dyDescent="0.3">
      <c r="J20251" s="33"/>
    </row>
    <row r="20252" spans="10:10" ht="15" customHeight="1" x14ac:dyDescent="0.3">
      <c r="J20252" s="33"/>
    </row>
    <row r="20253" spans="10:10" ht="15" customHeight="1" x14ac:dyDescent="0.3">
      <c r="J20253" s="33"/>
    </row>
    <row r="20254" spans="10:10" ht="15" customHeight="1" x14ac:dyDescent="0.3">
      <c r="J20254" s="33"/>
    </row>
    <row r="20255" spans="10:10" ht="15" customHeight="1" x14ac:dyDescent="0.3">
      <c r="J20255" s="33"/>
    </row>
    <row r="20256" spans="10:10" ht="15" customHeight="1" x14ac:dyDescent="0.3">
      <c r="J20256" s="33"/>
    </row>
    <row r="20257" spans="10:10" ht="15" customHeight="1" x14ac:dyDescent="0.3">
      <c r="J20257" s="33"/>
    </row>
    <row r="20258" spans="10:10" ht="15" customHeight="1" x14ac:dyDescent="0.3">
      <c r="J20258" s="33"/>
    </row>
    <row r="20259" spans="10:10" ht="15" customHeight="1" x14ac:dyDescent="0.3">
      <c r="J20259" s="33"/>
    </row>
    <row r="20260" spans="10:10" ht="15" customHeight="1" x14ac:dyDescent="0.3">
      <c r="J20260" s="33"/>
    </row>
    <row r="20261" spans="10:10" ht="15" customHeight="1" x14ac:dyDescent="0.3">
      <c r="J20261" s="33"/>
    </row>
    <row r="20262" spans="10:10" ht="15" customHeight="1" x14ac:dyDescent="0.3">
      <c r="J20262" s="33"/>
    </row>
    <row r="20263" spans="10:10" ht="15" customHeight="1" x14ac:dyDescent="0.3">
      <c r="J20263" s="33"/>
    </row>
    <row r="20264" spans="10:10" ht="15" customHeight="1" x14ac:dyDescent="0.3">
      <c r="J20264" s="33"/>
    </row>
    <row r="20265" spans="10:10" ht="15" customHeight="1" x14ac:dyDescent="0.3">
      <c r="J20265" s="33"/>
    </row>
    <row r="20266" spans="10:10" ht="15" customHeight="1" x14ac:dyDescent="0.3">
      <c r="J20266" s="33"/>
    </row>
    <row r="20267" spans="10:10" ht="15" customHeight="1" x14ac:dyDescent="0.3">
      <c r="J20267" s="33"/>
    </row>
    <row r="20268" spans="10:10" ht="15" customHeight="1" x14ac:dyDescent="0.3">
      <c r="J20268" s="33"/>
    </row>
    <row r="20269" spans="10:10" ht="15" customHeight="1" x14ac:dyDescent="0.3">
      <c r="J20269" s="33"/>
    </row>
    <row r="20270" spans="10:10" ht="15" customHeight="1" x14ac:dyDescent="0.3">
      <c r="J20270" s="33"/>
    </row>
    <row r="20271" spans="10:10" ht="15" customHeight="1" x14ac:dyDescent="0.3">
      <c r="J20271" s="33"/>
    </row>
    <row r="20272" spans="10:10" ht="15" customHeight="1" x14ac:dyDescent="0.3">
      <c r="J20272" s="33"/>
    </row>
    <row r="20273" spans="10:10" ht="15" customHeight="1" x14ac:dyDescent="0.3">
      <c r="J20273" s="33"/>
    </row>
    <row r="20274" spans="10:10" ht="15" customHeight="1" x14ac:dyDescent="0.3">
      <c r="J20274" s="33"/>
    </row>
    <row r="20275" spans="10:10" ht="15" customHeight="1" x14ac:dyDescent="0.3">
      <c r="J20275" s="33"/>
    </row>
    <row r="20276" spans="10:10" ht="15" customHeight="1" x14ac:dyDescent="0.3">
      <c r="J20276" s="33"/>
    </row>
    <row r="20277" spans="10:10" ht="15" customHeight="1" x14ac:dyDescent="0.3">
      <c r="J20277" s="33"/>
    </row>
    <row r="20278" spans="10:10" ht="15" customHeight="1" x14ac:dyDescent="0.3">
      <c r="J20278" s="33"/>
    </row>
    <row r="20279" spans="10:10" ht="15" customHeight="1" x14ac:dyDescent="0.3">
      <c r="J20279" s="33"/>
    </row>
    <row r="20280" spans="10:10" ht="15" customHeight="1" x14ac:dyDescent="0.3">
      <c r="J20280" s="33"/>
    </row>
    <row r="20281" spans="10:10" ht="15" customHeight="1" x14ac:dyDescent="0.3">
      <c r="J20281" s="33"/>
    </row>
    <row r="20282" spans="10:10" ht="15" customHeight="1" x14ac:dyDescent="0.3">
      <c r="J20282" s="33"/>
    </row>
    <row r="20283" spans="10:10" ht="15" customHeight="1" x14ac:dyDescent="0.3">
      <c r="J20283" s="33"/>
    </row>
    <row r="20284" spans="10:10" ht="15" customHeight="1" x14ac:dyDescent="0.3">
      <c r="J20284" s="33"/>
    </row>
    <row r="20285" spans="10:10" ht="15" customHeight="1" x14ac:dyDescent="0.3">
      <c r="J20285" s="33"/>
    </row>
    <row r="20286" spans="10:10" ht="15" customHeight="1" x14ac:dyDescent="0.3">
      <c r="J20286" s="33"/>
    </row>
    <row r="20287" spans="10:10" ht="15" customHeight="1" x14ac:dyDescent="0.3">
      <c r="J20287" s="33"/>
    </row>
    <row r="20288" spans="10:10" ht="15" customHeight="1" x14ac:dyDescent="0.3">
      <c r="J20288" s="33"/>
    </row>
    <row r="20289" spans="10:10" ht="15" customHeight="1" x14ac:dyDescent="0.3">
      <c r="J20289" s="33"/>
    </row>
    <row r="20290" spans="10:10" ht="15" customHeight="1" x14ac:dyDescent="0.3">
      <c r="J20290" s="33"/>
    </row>
    <row r="20291" spans="10:10" ht="15" customHeight="1" x14ac:dyDescent="0.3">
      <c r="J20291" s="33"/>
    </row>
    <row r="20292" spans="10:10" ht="15" customHeight="1" x14ac:dyDescent="0.3">
      <c r="J20292" s="33"/>
    </row>
    <row r="20293" spans="10:10" ht="15" customHeight="1" x14ac:dyDescent="0.3">
      <c r="J20293" s="33"/>
    </row>
    <row r="20294" spans="10:10" ht="15" customHeight="1" x14ac:dyDescent="0.3">
      <c r="J20294" s="33"/>
    </row>
    <row r="20295" spans="10:10" ht="15" customHeight="1" x14ac:dyDescent="0.3">
      <c r="J20295" s="33"/>
    </row>
    <row r="20296" spans="10:10" ht="15" customHeight="1" x14ac:dyDescent="0.3">
      <c r="J20296" s="33"/>
    </row>
    <row r="20297" spans="10:10" ht="15" customHeight="1" x14ac:dyDescent="0.3">
      <c r="J20297" s="33"/>
    </row>
    <row r="20298" spans="10:10" ht="15" customHeight="1" x14ac:dyDescent="0.3">
      <c r="J20298" s="33"/>
    </row>
    <row r="20299" spans="10:10" ht="15" customHeight="1" x14ac:dyDescent="0.3">
      <c r="J20299" s="33"/>
    </row>
    <row r="20300" spans="10:10" ht="15" customHeight="1" x14ac:dyDescent="0.3">
      <c r="J20300" s="33"/>
    </row>
    <row r="20301" spans="10:10" ht="15" customHeight="1" x14ac:dyDescent="0.3">
      <c r="J20301" s="33"/>
    </row>
    <row r="20302" spans="10:10" ht="15" customHeight="1" x14ac:dyDescent="0.3">
      <c r="J20302" s="33"/>
    </row>
    <row r="20303" spans="10:10" ht="15" customHeight="1" x14ac:dyDescent="0.3">
      <c r="J20303" s="33"/>
    </row>
    <row r="20304" spans="10:10" ht="15" customHeight="1" x14ac:dyDescent="0.3">
      <c r="J20304" s="33"/>
    </row>
    <row r="20305" spans="10:10" ht="15" customHeight="1" x14ac:dyDescent="0.3">
      <c r="J20305" s="33"/>
    </row>
    <row r="20306" spans="10:10" ht="15" customHeight="1" x14ac:dyDescent="0.3">
      <c r="J20306" s="33"/>
    </row>
    <row r="20307" spans="10:10" ht="15" customHeight="1" x14ac:dyDescent="0.3">
      <c r="J20307" s="33"/>
    </row>
    <row r="20308" spans="10:10" ht="15" customHeight="1" x14ac:dyDescent="0.3">
      <c r="J20308" s="33"/>
    </row>
    <row r="20309" spans="10:10" ht="15" customHeight="1" x14ac:dyDescent="0.3">
      <c r="J20309" s="33"/>
    </row>
    <row r="20310" spans="10:10" ht="15" customHeight="1" x14ac:dyDescent="0.3">
      <c r="J20310" s="33"/>
    </row>
    <row r="20311" spans="10:10" ht="15" customHeight="1" x14ac:dyDescent="0.3">
      <c r="J20311" s="33"/>
    </row>
    <row r="20312" spans="10:10" ht="15" customHeight="1" x14ac:dyDescent="0.3">
      <c r="J20312" s="33"/>
    </row>
    <row r="20313" spans="10:10" ht="15" customHeight="1" x14ac:dyDescent="0.3">
      <c r="J20313" s="33"/>
    </row>
    <row r="20314" spans="10:10" ht="15" customHeight="1" x14ac:dyDescent="0.3">
      <c r="J20314" s="33"/>
    </row>
    <row r="20315" spans="10:10" ht="15" customHeight="1" x14ac:dyDescent="0.3">
      <c r="J20315" s="33"/>
    </row>
    <row r="20316" spans="10:10" ht="15" customHeight="1" x14ac:dyDescent="0.3">
      <c r="J20316" s="33"/>
    </row>
    <row r="20317" spans="10:10" ht="15" customHeight="1" x14ac:dyDescent="0.3">
      <c r="J20317" s="33"/>
    </row>
    <row r="20318" spans="10:10" ht="15" customHeight="1" x14ac:dyDescent="0.3">
      <c r="J20318" s="33"/>
    </row>
    <row r="20319" spans="10:10" ht="15" customHeight="1" x14ac:dyDescent="0.3">
      <c r="J20319" s="33"/>
    </row>
    <row r="20320" spans="10:10" ht="15" customHeight="1" x14ac:dyDescent="0.3">
      <c r="J20320" s="33"/>
    </row>
    <row r="20321" spans="10:10" ht="15" customHeight="1" x14ac:dyDescent="0.3">
      <c r="J20321" s="33"/>
    </row>
    <row r="20322" spans="10:10" ht="15" customHeight="1" x14ac:dyDescent="0.3">
      <c r="J20322" s="33"/>
    </row>
    <row r="20323" spans="10:10" ht="15" customHeight="1" x14ac:dyDescent="0.3">
      <c r="J20323" s="33"/>
    </row>
    <row r="20324" spans="10:10" ht="15" customHeight="1" x14ac:dyDescent="0.3">
      <c r="J20324" s="33"/>
    </row>
    <row r="20325" spans="10:10" ht="15" customHeight="1" x14ac:dyDescent="0.3">
      <c r="J20325" s="33"/>
    </row>
    <row r="20326" spans="10:10" ht="15" customHeight="1" x14ac:dyDescent="0.3">
      <c r="J20326" s="33"/>
    </row>
    <row r="20327" spans="10:10" ht="15" customHeight="1" x14ac:dyDescent="0.3">
      <c r="J20327" s="33"/>
    </row>
    <row r="20328" spans="10:10" ht="15" customHeight="1" x14ac:dyDescent="0.3">
      <c r="J20328" s="33"/>
    </row>
    <row r="20329" spans="10:10" ht="15" customHeight="1" x14ac:dyDescent="0.3">
      <c r="J20329" s="33"/>
    </row>
    <row r="20330" spans="10:10" ht="15" customHeight="1" x14ac:dyDescent="0.3">
      <c r="J20330" s="33"/>
    </row>
    <row r="20331" spans="10:10" ht="15" customHeight="1" x14ac:dyDescent="0.3">
      <c r="J20331" s="33"/>
    </row>
    <row r="20332" spans="10:10" ht="15" customHeight="1" x14ac:dyDescent="0.3">
      <c r="J20332" s="33"/>
    </row>
    <row r="20333" spans="10:10" ht="15" customHeight="1" x14ac:dyDescent="0.3">
      <c r="J20333" s="33"/>
    </row>
    <row r="20334" spans="10:10" ht="15" customHeight="1" x14ac:dyDescent="0.3">
      <c r="J20334" s="33"/>
    </row>
    <row r="20335" spans="10:10" ht="15" customHeight="1" x14ac:dyDescent="0.3">
      <c r="J20335" s="33"/>
    </row>
    <row r="20336" spans="10:10" ht="15" customHeight="1" x14ac:dyDescent="0.3">
      <c r="J20336" s="33"/>
    </row>
    <row r="20337" spans="10:10" ht="15" customHeight="1" x14ac:dyDescent="0.3">
      <c r="J20337" s="33"/>
    </row>
    <row r="20338" spans="10:10" ht="15" customHeight="1" x14ac:dyDescent="0.3">
      <c r="J20338" s="33"/>
    </row>
    <row r="20339" spans="10:10" ht="15" customHeight="1" x14ac:dyDescent="0.3">
      <c r="J20339" s="33"/>
    </row>
    <row r="20340" spans="10:10" ht="15" customHeight="1" x14ac:dyDescent="0.3">
      <c r="J20340" s="33"/>
    </row>
    <row r="20341" spans="10:10" ht="15" customHeight="1" x14ac:dyDescent="0.3">
      <c r="J20341" s="33"/>
    </row>
    <row r="20342" spans="10:10" ht="15" customHeight="1" x14ac:dyDescent="0.3">
      <c r="J20342" s="33"/>
    </row>
    <row r="20343" spans="10:10" ht="15" customHeight="1" x14ac:dyDescent="0.3">
      <c r="J20343" s="33"/>
    </row>
    <row r="20344" spans="10:10" ht="15" customHeight="1" x14ac:dyDescent="0.3">
      <c r="J20344" s="33"/>
    </row>
    <row r="20345" spans="10:10" ht="15" customHeight="1" x14ac:dyDescent="0.3">
      <c r="J20345" s="33"/>
    </row>
    <row r="20346" spans="10:10" ht="15" customHeight="1" x14ac:dyDescent="0.3">
      <c r="J20346" s="33"/>
    </row>
    <row r="20347" spans="10:10" ht="15" customHeight="1" x14ac:dyDescent="0.3">
      <c r="J20347" s="33"/>
    </row>
    <row r="20348" spans="10:10" ht="15" customHeight="1" x14ac:dyDescent="0.3">
      <c r="J20348" s="33"/>
    </row>
    <row r="20349" spans="10:10" ht="15" customHeight="1" x14ac:dyDescent="0.3">
      <c r="J20349" s="33"/>
    </row>
    <row r="20350" spans="10:10" ht="15" customHeight="1" x14ac:dyDescent="0.3">
      <c r="J20350" s="33"/>
    </row>
    <row r="20351" spans="10:10" ht="15" customHeight="1" x14ac:dyDescent="0.3">
      <c r="J20351" s="33"/>
    </row>
    <row r="20352" spans="10:10" ht="15" customHeight="1" x14ac:dyDescent="0.3">
      <c r="J20352" s="33"/>
    </row>
    <row r="20353" spans="10:10" ht="15" customHeight="1" x14ac:dyDescent="0.3">
      <c r="J20353" s="33"/>
    </row>
    <row r="20354" spans="10:10" ht="15" customHeight="1" x14ac:dyDescent="0.3">
      <c r="J20354" s="33"/>
    </row>
    <row r="20355" spans="10:10" ht="15" customHeight="1" x14ac:dyDescent="0.3">
      <c r="J20355" s="33"/>
    </row>
    <row r="20356" spans="10:10" ht="15" customHeight="1" x14ac:dyDescent="0.3">
      <c r="J20356" s="33"/>
    </row>
    <row r="20357" spans="10:10" ht="15" customHeight="1" x14ac:dyDescent="0.3">
      <c r="J20357" s="33"/>
    </row>
    <row r="20358" spans="10:10" ht="15" customHeight="1" x14ac:dyDescent="0.3">
      <c r="J20358" s="33"/>
    </row>
    <row r="20359" spans="10:10" ht="15" customHeight="1" x14ac:dyDescent="0.3">
      <c r="J20359" s="33"/>
    </row>
    <row r="20360" spans="10:10" ht="15" customHeight="1" x14ac:dyDescent="0.3">
      <c r="J20360" s="33"/>
    </row>
    <row r="20361" spans="10:10" ht="15" customHeight="1" x14ac:dyDescent="0.3">
      <c r="J20361" s="33"/>
    </row>
    <row r="20362" spans="10:10" ht="15" customHeight="1" x14ac:dyDescent="0.3">
      <c r="J20362" s="33"/>
    </row>
    <row r="20363" spans="10:10" ht="15" customHeight="1" x14ac:dyDescent="0.3">
      <c r="J20363" s="33"/>
    </row>
    <row r="20364" spans="10:10" ht="15" customHeight="1" x14ac:dyDescent="0.3">
      <c r="J20364" s="33"/>
    </row>
    <row r="20365" spans="10:10" ht="15" customHeight="1" x14ac:dyDescent="0.3">
      <c r="J20365" s="33"/>
    </row>
    <row r="20366" spans="10:10" ht="15" customHeight="1" x14ac:dyDescent="0.3">
      <c r="J20366" s="33"/>
    </row>
    <row r="20367" spans="10:10" ht="15" customHeight="1" x14ac:dyDescent="0.3">
      <c r="J20367" s="33"/>
    </row>
    <row r="20368" spans="10:10" ht="15" customHeight="1" x14ac:dyDescent="0.3">
      <c r="J20368" s="33"/>
    </row>
    <row r="20369" spans="10:10" ht="15" customHeight="1" x14ac:dyDescent="0.3">
      <c r="J20369" s="33"/>
    </row>
    <row r="20370" spans="10:10" ht="15" customHeight="1" x14ac:dyDescent="0.3">
      <c r="J20370" s="33"/>
    </row>
    <row r="20371" spans="10:10" ht="15" customHeight="1" x14ac:dyDescent="0.3">
      <c r="J20371" s="33"/>
    </row>
    <row r="20372" spans="10:10" ht="15" customHeight="1" x14ac:dyDescent="0.3">
      <c r="J20372" s="33"/>
    </row>
    <row r="20373" spans="10:10" ht="15" customHeight="1" x14ac:dyDescent="0.3">
      <c r="J20373" s="33"/>
    </row>
    <row r="20374" spans="10:10" ht="15" customHeight="1" x14ac:dyDescent="0.3">
      <c r="J20374" s="33"/>
    </row>
    <row r="20375" spans="10:10" ht="15" customHeight="1" x14ac:dyDescent="0.3">
      <c r="J20375" s="33"/>
    </row>
    <row r="20376" spans="10:10" ht="15" customHeight="1" x14ac:dyDescent="0.3">
      <c r="J20376" s="33"/>
    </row>
    <row r="20377" spans="10:10" ht="15" customHeight="1" x14ac:dyDescent="0.3">
      <c r="J20377" s="33"/>
    </row>
    <row r="20378" spans="10:10" ht="15" customHeight="1" x14ac:dyDescent="0.3">
      <c r="J20378" s="33"/>
    </row>
    <row r="20379" spans="10:10" ht="15" customHeight="1" x14ac:dyDescent="0.3">
      <c r="J20379" s="33"/>
    </row>
    <row r="20380" spans="10:10" ht="15" customHeight="1" x14ac:dyDescent="0.3">
      <c r="J20380" s="33"/>
    </row>
    <row r="20381" spans="10:10" ht="15" customHeight="1" x14ac:dyDescent="0.3">
      <c r="J20381" s="33"/>
    </row>
    <row r="20382" spans="10:10" ht="15" customHeight="1" x14ac:dyDescent="0.3">
      <c r="J20382" s="33"/>
    </row>
    <row r="20383" spans="10:10" ht="15" customHeight="1" x14ac:dyDescent="0.3">
      <c r="J20383" s="33"/>
    </row>
    <row r="20384" spans="10:10" ht="15" customHeight="1" x14ac:dyDescent="0.3">
      <c r="J20384" s="33"/>
    </row>
    <row r="20385" spans="10:10" ht="15" customHeight="1" x14ac:dyDescent="0.3">
      <c r="J20385" s="33"/>
    </row>
    <row r="20386" spans="10:10" ht="15" customHeight="1" x14ac:dyDescent="0.3">
      <c r="J20386" s="33"/>
    </row>
    <row r="20387" spans="10:10" ht="15" customHeight="1" x14ac:dyDescent="0.3">
      <c r="J20387" s="33"/>
    </row>
    <row r="20388" spans="10:10" ht="15" customHeight="1" x14ac:dyDescent="0.3">
      <c r="J20388" s="33"/>
    </row>
    <row r="20389" spans="10:10" ht="15" customHeight="1" x14ac:dyDescent="0.3">
      <c r="J20389" s="33"/>
    </row>
    <row r="20390" spans="10:10" ht="15" customHeight="1" x14ac:dyDescent="0.3">
      <c r="J20390" s="33"/>
    </row>
    <row r="20391" spans="10:10" ht="15" customHeight="1" x14ac:dyDescent="0.3">
      <c r="J20391" s="33"/>
    </row>
    <row r="20392" spans="10:10" ht="15" customHeight="1" x14ac:dyDescent="0.3">
      <c r="J20392" s="33"/>
    </row>
    <row r="20393" spans="10:10" ht="15" customHeight="1" x14ac:dyDescent="0.3">
      <c r="J20393" s="33"/>
    </row>
    <row r="20394" spans="10:10" ht="15" customHeight="1" x14ac:dyDescent="0.3">
      <c r="J20394" s="33"/>
    </row>
    <row r="20395" spans="10:10" ht="15" customHeight="1" x14ac:dyDescent="0.3">
      <c r="J20395" s="33"/>
    </row>
    <row r="20396" spans="10:10" ht="15" customHeight="1" x14ac:dyDescent="0.3">
      <c r="J20396" s="33"/>
    </row>
    <row r="20397" spans="10:10" ht="15" customHeight="1" x14ac:dyDescent="0.3">
      <c r="J20397" s="33"/>
    </row>
    <row r="20398" spans="10:10" ht="15" customHeight="1" x14ac:dyDescent="0.3">
      <c r="J20398" s="33"/>
    </row>
    <row r="20399" spans="10:10" ht="15" customHeight="1" x14ac:dyDescent="0.3">
      <c r="J20399" s="33"/>
    </row>
    <row r="20400" spans="10:10" ht="15" customHeight="1" x14ac:dyDescent="0.3">
      <c r="J20400" s="33"/>
    </row>
    <row r="20401" spans="10:10" ht="15" customHeight="1" x14ac:dyDescent="0.3">
      <c r="J20401" s="33"/>
    </row>
    <row r="20402" spans="10:10" ht="15" customHeight="1" x14ac:dyDescent="0.3">
      <c r="J20402" s="33"/>
    </row>
    <row r="20403" spans="10:10" ht="15" customHeight="1" x14ac:dyDescent="0.3">
      <c r="J20403" s="33"/>
    </row>
    <row r="20404" spans="10:10" ht="15" customHeight="1" x14ac:dyDescent="0.3">
      <c r="J20404" s="33"/>
    </row>
    <row r="20405" spans="10:10" ht="15" customHeight="1" x14ac:dyDescent="0.3">
      <c r="J20405" s="33"/>
    </row>
    <row r="20406" spans="10:10" ht="15" customHeight="1" x14ac:dyDescent="0.3">
      <c r="J20406" s="33"/>
    </row>
    <row r="20407" spans="10:10" ht="15" customHeight="1" x14ac:dyDescent="0.3">
      <c r="J20407" s="33"/>
    </row>
    <row r="20408" spans="10:10" ht="15" customHeight="1" x14ac:dyDescent="0.3">
      <c r="J20408" s="33"/>
    </row>
    <row r="20409" spans="10:10" ht="15" customHeight="1" x14ac:dyDescent="0.3">
      <c r="J20409" s="33"/>
    </row>
    <row r="20410" spans="10:10" ht="15" customHeight="1" x14ac:dyDescent="0.3">
      <c r="J20410" s="33"/>
    </row>
    <row r="20411" spans="10:10" ht="15" customHeight="1" x14ac:dyDescent="0.3">
      <c r="J20411" s="33"/>
    </row>
    <row r="20412" spans="10:10" ht="15" customHeight="1" x14ac:dyDescent="0.3">
      <c r="J20412" s="33"/>
    </row>
    <row r="20413" spans="10:10" ht="15" customHeight="1" x14ac:dyDescent="0.3">
      <c r="J20413" s="33"/>
    </row>
    <row r="20414" spans="10:10" ht="15" customHeight="1" x14ac:dyDescent="0.3">
      <c r="J20414" s="33"/>
    </row>
    <row r="20415" spans="10:10" ht="15" customHeight="1" x14ac:dyDescent="0.3">
      <c r="J20415" s="33"/>
    </row>
    <row r="20416" spans="10:10" ht="15" customHeight="1" x14ac:dyDescent="0.3">
      <c r="J20416" s="33"/>
    </row>
    <row r="20417" spans="10:10" ht="15" customHeight="1" x14ac:dyDescent="0.3">
      <c r="J20417" s="33"/>
    </row>
    <row r="20418" spans="10:10" ht="15" customHeight="1" x14ac:dyDescent="0.3">
      <c r="J20418" s="33"/>
    </row>
    <row r="20419" spans="10:10" ht="15" customHeight="1" x14ac:dyDescent="0.3">
      <c r="J20419" s="33"/>
    </row>
    <row r="20420" spans="10:10" ht="15" customHeight="1" x14ac:dyDescent="0.3">
      <c r="J20420" s="33"/>
    </row>
    <row r="20421" spans="10:10" ht="15" customHeight="1" x14ac:dyDescent="0.3">
      <c r="J20421" s="33"/>
    </row>
    <row r="20422" spans="10:10" ht="15" customHeight="1" x14ac:dyDescent="0.3">
      <c r="J20422" s="33"/>
    </row>
    <row r="20423" spans="10:10" ht="15" customHeight="1" x14ac:dyDescent="0.3">
      <c r="J20423" s="33"/>
    </row>
    <row r="20424" spans="10:10" ht="15" customHeight="1" x14ac:dyDescent="0.3">
      <c r="J20424" s="33"/>
    </row>
    <row r="20425" spans="10:10" ht="15" customHeight="1" x14ac:dyDescent="0.3">
      <c r="J20425" s="33"/>
    </row>
    <row r="20426" spans="10:10" ht="15" customHeight="1" x14ac:dyDescent="0.3">
      <c r="J20426" s="33"/>
    </row>
    <row r="20427" spans="10:10" ht="15" customHeight="1" x14ac:dyDescent="0.3">
      <c r="J20427" s="33"/>
    </row>
    <row r="20428" spans="10:10" ht="15" customHeight="1" x14ac:dyDescent="0.3">
      <c r="J20428" s="33"/>
    </row>
    <row r="20429" spans="10:10" ht="15" customHeight="1" x14ac:dyDescent="0.3">
      <c r="J20429" s="33"/>
    </row>
    <row r="20430" spans="10:10" ht="15" customHeight="1" x14ac:dyDescent="0.3">
      <c r="J20430" s="33"/>
    </row>
    <row r="20431" spans="10:10" ht="15" customHeight="1" x14ac:dyDescent="0.3">
      <c r="J20431" s="33"/>
    </row>
    <row r="20432" spans="10:10" ht="15" customHeight="1" x14ac:dyDescent="0.3">
      <c r="J20432" s="33"/>
    </row>
    <row r="20433" spans="10:10" ht="15" customHeight="1" x14ac:dyDescent="0.3">
      <c r="J20433" s="33"/>
    </row>
    <row r="20434" spans="10:10" ht="15" customHeight="1" x14ac:dyDescent="0.3">
      <c r="J20434" s="33"/>
    </row>
    <row r="20435" spans="10:10" ht="15" customHeight="1" x14ac:dyDescent="0.3">
      <c r="J20435" s="33"/>
    </row>
    <row r="20436" spans="10:10" ht="15" customHeight="1" x14ac:dyDescent="0.3">
      <c r="J20436" s="33"/>
    </row>
    <row r="20437" spans="10:10" ht="15" customHeight="1" x14ac:dyDescent="0.3">
      <c r="J20437" s="33"/>
    </row>
    <row r="20438" spans="10:10" ht="15" customHeight="1" x14ac:dyDescent="0.3">
      <c r="J20438" s="33"/>
    </row>
    <row r="20439" spans="10:10" ht="15" customHeight="1" x14ac:dyDescent="0.3">
      <c r="J20439" s="33"/>
    </row>
    <row r="20440" spans="10:10" ht="15" customHeight="1" x14ac:dyDescent="0.3">
      <c r="J20440" s="33"/>
    </row>
    <row r="20441" spans="10:10" ht="15" customHeight="1" x14ac:dyDescent="0.3">
      <c r="J20441" s="33"/>
    </row>
    <row r="20442" spans="10:10" ht="15" customHeight="1" x14ac:dyDescent="0.3">
      <c r="J20442" s="33"/>
    </row>
    <row r="20443" spans="10:10" ht="15" customHeight="1" x14ac:dyDescent="0.3">
      <c r="J20443" s="33"/>
    </row>
    <row r="20444" spans="10:10" ht="15" customHeight="1" x14ac:dyDescent="0.3">
      <c r="J20444" s="33"/>
    </row>
    <row r="20445" spans="10:10" ht="15" customHeight="1" x14ac:dyDescent="0.3">
      <c r="J20445" s="33"/>
    </row>
    <row r="20446" spans="10:10" ht="15" customHeight="1" x14ac:dyDescent="0.3">
      <c r="J20446" s="33"/>
    </row>
    <row r="20447" spans="10:10" ht="15" customHeight="1" x14ac:dyDescent="0.3">
      <c r="J20447" s="33"/>
    </row>
    <row r="20448" spans="10:10" ht="15" customHeight="1" x14ac:dyDescent="0.3">
      <c r="J20448" s="33"/>
    </row>
    <row r="20449" spans="10:10" ht="15" customHeight="1" x14ac:dyDescent="0.3">
      <c r="J20449" s="33"/>
    </row>
    <row r="20450" spans="10:10" ht="15" customHeight="1" x14ac:dyDescent="0.3">
      <c r="J20450" s="33"/>
    </row>
    <row r="20451" spans="10:10" ht="15" customHeight="1" x14ac:dyDescent="0.3">
      <c r="J20451" s="33"/>
    </row>
    <row r="20452" spans="10:10" ht="15" customHeight="1" x14ac:dyDescent="0.3">
      <c r="J20452" s="33"/>
    </row>
    <row r="20453" spans="10:10" ht="15" customHeight="1" x14ac:dyDescent="0.3">
      <c r="J20453" s="33"/>
    </row>
    <row r="20454" spans="10:10" ht="15" customHeight="1" x14ac:dyDescent="0.3">
      <c r="J20454" s="33"/>
    </row>
    <row r="20455" spans="10:10" ht="15" customHeight="1" x14ac:dyDescent="0.3">
      <c r="J20455" s="33"/>
    </row>
    <row r="20456" spans="10:10" ht="15" customHeight="1" x14ac:dyDescent="0.3">
      <c r="J20456" s="33"/>
    </row>
    <row r="20457" spans="10:10" ht="15" customHeight="1" x14ac:dyDescent="0.3">
      <c r="J20457" s="33"/>
    </row>
    <row r="20458" spans="10:10" ht="15" customHeight="1" x14ac:dyDescent="0.3">
      <c r="J20458" s="33"/>
    </row>
    <row r="20459" spans="10:10" ht="15" customHeight="1" x14ac:dyDescent="0.3">
      <c r="J20459" s="33"/>
    </row>
    <row r="20460" spans="10:10" ht="15" customHeight="1" x14ac:dyDescent="0.3">
      <c r="J20460" s="33"/>
    </row>
    <row r="20461" spans="10:10" ht="15" customHeight="1" x14ac:dyDescent="0.3">
      <c r="J20461" s="33"/>
    </row>
    <row r="20462" spans="10:10" ht="15" customHeight="1" x14ac:dyDescent="0.3">
      <c r="J20462" s="33"/>
    </row>
    <row r="20463" spans="10:10" ht="15" customHeight="1" x14ac:dyDescent="0.3">
      <c r="J20463" s="33"/>
    </row>
    <row r="20464" spans="10:10" ht="15" customHeight="1" x14ac:dyDescent="0.3">
      <c r="J20464" s="33"/>
    </row>
    <row r="20465" spans="10:10" ht="15" customHeight="1" x14ac:dyDescent="0.3">
      <c r="J20465" s="33"/>
    </row>
    <row r="20466" spans="10:10" ht="15" customHeight="1" x14ac:dyDescent="0.3">
      <c r="J20466" s="33"/>
    </row>
    <row r="20467" spans="10:10" ht="15" customHeight="1" x14ac:dyDescent="0.3">
      <c r="J20467" s="33"/>
    </row>
    <row r="20468" spans="10:10" ht="15" customHeight="1" x14ac:dyDescent="0.3">
      <c r="J20468" s="33"/>
    </row>
    <row r="20469" spans="10:10" ht="15" customHeight="1" x14ac:dyDescent="0.3">
      <c r="J20469" s="33"/>
    </row>
    <row r="20470" spans="10:10" ht="15" customHeight="1" x14ac:dyDescent="0.3">
      <c r="J20470" s="33"/>
    </row>
    <row r="20471" spans="10:10" ht="15" customHeight="1" x14ac:dyDescent="0.3">
      <c r="J20471" s="33"/>
    </row>
    <row r="20472" spans="10:10" ht="15" customHeight="1" x14ac:dyDescent="0.3">
      <c r="J20472" s="33"/>
    </row>
    <row r="20473" spans="10:10" ht="15" customHeight="1" x14ac:dyDescent="0.3">
      <c r="J20473" s="33"/>
    </row>
    <row r="20474" spans="10:10" ht="15" customHeight="1" x14ac:dyDescent="0.3">
      <c r="J20474" s="33"/>
    </row>
    <row r="20475" spans="10:10" ht="15" customHeight="1" x14ac:dyDescent="0.3">
      <c r="J20475" s="33"/>
    </row>
    <row r="20476" spans="10:10" ht="15" customHeight="1" x14ac:dyDescent="0.3">
      <c r="J20476" s="33"/>
    </row>
    <row r="20477" spans="10:10" ht="15" customHeight="1" x14ac:dyDescent="0.3">
      <c r="J20477" s="33"/>
    </row>
    <row r="20478" spans="10:10" ht="15" customHeight="1" x14ac:dyDescent="0.3">
      <c r="J20478" s="33"/>
    </row>
    <row r="20479" spans="10:10" ht="15" customHeight="1" x14ac:dyDescent="0.3">
      <c r="J20479" s="33"/>
    </row>
    <row r="20480" spans="10:10" ht="15" customHeight="1" x14ac:dyDescent="0.3">
      <c r="J20480" s="33"/>
    </row>
    <row r="20481" spans="10:10" ht="15" customHeight="1" x14ac:dyDescent="0.3">
      <c r="J20481" s="33"/>
    </row>
    <row r="20482" spans="10:10" ht="15" customHeight="1" x14ac:dyDescent="0.3">
      <c r="J20482" s="33"/>
    </row>
    <row r="20483" spans="10:10" ht="15" customHeight="1" x14ac:dyDescent="0.3">
      <c r="J20483" s="33"/>
    </row>
    <row r="20484" spans="10:10" ht="15" customHeight="1" x14ac:dyDescent="0.3">
      <c r="J20484" s="33"/>
    </row>
    <row r="20485" spans="10:10" ht="15" customHeight="1" x14ac:dyDescent="0.3">
      <c r="J20485" s="33"/>
    </row>
    <row r="20486" spans="10:10" ht="15" customHeight="1" x14ac:dyDescent="0.3">
      <c r="J20486" s="33"/>
    </row>
    <row r="20487" spans="10:10" ht="15" customHeight="1" x14ac:dyDescent="0.3">
      <c r="J20487" s="33"/>
    </row>
    <row r="20488" spans="10:10" ht="15" customHeight="1" x14ac:dyDescent="0.3">
      <c r="J20488" s="33"/>
    </row>
    <row r="20489" spans="10:10" ht="15" customHeight="1" x14ac:dyDescent="0.3">
      <c r="J20489" s="33"/>
    </row>
    <row r="20490" spans="10:10" ht="15" customHeight="1" x14ac:dyDescent="0.3">
      <c r="J20490" s="33"/>
    </row>
    <row r="20491" spans="10:10" ht="15" customHeight="1" x14ac:dyDescent="0.3">
      <c r="J20491" s="33"/>
    </row>
    <row r="20492" spans="10:10" ht="15" customHeight="1" x14ac:dyDescent="0.3">
      <c r="J20492" s="33"/>
    </row>
    <row r="20493" spans="10:10" ht="15" customHeight="1" x14ac:dyDescent="0.3">
      <c r="J20493" s="33"/>
    </row>
    <row r="20494" spans="10:10" ht="15" customHeight="1" x14ac:dyDescent="0.3">
      <c r="J20494" s="33"/>
    </row>
    <row r="20495" spans="10:10" ht="15" customHeight="1" x14ac:dyDescent="0.3">
      <c r="J20495" s="33"/>
    </row>
    <row r="20496" spans="10:10" ht="15" customHeight="1" x14ac:dyDescent="0.3">
      <c r="J20496" s="33"/>
    </row>
    <row r="20497" spans="10:10" ht="15" customHeight="1" x14ac:dyDescent="0.3">
      <c r="J20497" s="33"/>
    </row>
    <row r="20498" spans="10:10" ht="15" customHeight="1" x14ac:dyDescent="0.3">
      <c r="J20498" s="33"/>
    </row>
    <row r="20499" spans="10:10" ht="15" customHeight="1" x14ac:dyDescent="0.3">
      <c r="J20499" s="33"/>
    </row>
    <row r="20500" spans="10:10" ht="15" customHeight="1" x14ac:dyDescent="0.3">
      <c r="J20500" s="33"/>
    </row>
    <row r="20501" spans="10:10" ht="15" customHeight="1" x14ac:dyDescent="0.3">
      <c r="J20501" s="33"/>
    </row>
    <row r="20502" spans="10:10" ht="15" customHeight="1" x14ac:dyDescent="0.3">
      <c r="J20502" s="33"/>
    </row>
    <row r="20503" spans="10:10" ht="15" customHeight="1" x14ac:dyDescent="0.3">
      <c r="J20503" s="33"/>
    </row>
    <row r="20504" spans="10:10" ht="15" customHeight="1" x14ac:dyDescent="0.3">
      <c r="J20504" s="33"/>
    </row>
    <row r="20505" spans="10:10" ht="15" customHeight="1" x14ac:dyDescent="0.3">
      <c r="J20505" s="33"/>
    </row>
    <row r="20506" spans="10:10" ht="15" customHeight="1" x14ac:dyDescent="0.3">
      <c r="J20506" s="33"/>
    </row>
    <row r="20507" spans="10:10" ht="15" customHeight="1" x14ac:dyDescent="0.3">
      <c r="J20507" s="33"/>
    </row>
    <row r="20508" spans="10:10" ht="15" customHeight="1" x14ac:dyDescent="0.3">
      <c r="J20508" s="33"/>
    </row>
    <row r="20509" spans="10:10" ht="15" customHeight="1" x14ac:dyDescent="0.3">
      <c r="J20509" s="33"/>
    </row>
    <row r="20510" spans="10:10" ht="15" customHeight="1" x14ac:dyDescent="0.3">
      <c r="J20510" s="33"/>
    </row>
    <row r="20511" spans="10:10" ht="15" customHeight="1" x14ac:dyDescent="0.3">
      <c r="J20511" s="33"/>
    </row>
    <row r="20512" spans="10:10" ht="15" customHeight="1" x14ac:dyDescent="0.3">
      <c r="J20512" s="33"/>
    </row>
    <row r="20513" spans="10:10" ht="15" customHeight="1" x14ac:dyDescent="0.3">
      <c r="J20513" s="33"/>
    </row>
    <row r="20514" spans="10:10" ht="15" customHeight="1" x14ac:dyDescent="0.3">
      <c r="J20514" s="33"/>
    </row>
    <row r="20515" spans="10:10" ht="15" customHeight="1" x14ac:dyDescent="0.3">
      <c r="J20515" s="33"/>
    </row>
    <row r="20516" spans="10:10" ht="15" customHeight="1" x14ac:dyDescent="0.3">
      <c r="J20516" s="33"/>
    </row>
    <row r="20517" spans="10:10" ht="15" customHeight="1" x14ac:dyDescent="0.3">
      <c r="J20517" s="33"/>
    </row>
    <row r="20518" spans="10:10" ht="15" customHeight="1" x14ac:dyDescent="0.3">
      <c r="J20518" s="33"/>
    </row>
    <row r="20519" spans="10:10" ht="15" customHeight="1" x14ac:dyDescent="0.3">
      <c r="J20519" s="33"/>
    </row>
    <row r="20520" spans="10:10" ht="15" customHeight="1" x14ac:dyDescent="0.3">
      <c r="J20520" s="33"/>
    </row>
    <row r="20521" spans="10:10" ht="15" customHeight="1" x14ac:dyDescent="0.3">
      <c r="J20521" s="33"/>
    </row>
    <row r="20522" spans="10:10" ht="15" customHeight="1" x14ac:dyDescent="0.3">
      <c r="J20522" s="33"/>
    </row>
    <row r="20523" spans="10:10" ht="15" customHeight="1" x14ac:dyDescent="0.3">
      <c r="J20523" s="33"/>
    </row>
    <row r="20524" spans="10:10" ht="15" customHeight="1" x14ac:dyDescent="0.3">
      <c r="J20524" s="33"/>
    </row>
    <row r="20525" spans="10:10" ht="15" customHeight="1" x14ac:dyDescent="0.3">
      <c r="J20525" s="33"/>
    </row>
    <row r="20526" spans="10:10" ht="15" customHeight="1" x14ac:dyDescent="0.3">
      <c r="J20526" s="33"/>
    </row>
    <row r="20527" spans="10:10" ht="15" customHeight="1" x14ac:dyDescent="0.3">
      <c r="J20527" s="33"/>
    </row>
    <row r="20528" spans="10:10" ht="15" customHeight="1" x14ac:dyDescent="0.3">
      <c r="J20528" s="33"/>
    </row>
    <row r="20529" spans="10:10" ht="15" customHeight="1" x14ac:dyDescent="0.3">
      <c r="J20529" s="33"/>
    </row>
    <row r="20530" spans="10:10" ht="15" customHeight="1" x14ac:dyDescent="0.3">
      <c r="J20530" s="33"/>
    </row>
    <row r="20531" spans="10:10" ht="15" customHeight="1" x14ac:dyDescent="0.3">
      <c r="J20531" s="33"/>
    </row>
    <row r="20532" spans="10:10" ht="15" customHeight="1" x14ac:dyDescent="0.3">
      <c r="J20532" s="33"/>
    </row>
    <row r="20533" spans="10:10" ht="15" customHeight="1" x14ac:dyDescent="0.3">
      <c r="J20533" s="33"/>
    </row>
    <row r="20534" spans="10:10" ht="15" customHeight="1" x14ac:dyDescent="0.3">
      <c r="J20534" s="33"/>
    </row>
    <row r="20535" spans="10:10" ht="15" customHeight="1" x14ac:dyDescent="0.3">
      <c r="J20535" s="33"/>
    </row>
    <row r="20536" spans="10:10" ht="15" customHeight="1" x14ac:dyDescent="0.3">
      <c r="J20536" s="33"/>
    </row>
    <row r="20537" spans="10:10" ht="15" customHeight="1" x14ac:dyDescent="0.3">
      <c r="J20537" s="33"/>
    </row>
    <row r="20538" spans="10:10" ht="15" customHeight="1" x14ac:dyDescent="0.3">
      <c r="J20538" s="33"/>
    </row>
    <row r="20539" spans="10:10" ht="15" customHeight="1" x14ac:dyDescent="0.3">
      <c r="J20539" s="33"/>
    </row>
    <row r="20540" spans="10:10" ht="15" customHeight="1" x14ac:dyDescent="0.3">
      <c r="J20540" s="33"/>
    </row>
    <row r="20541" spans="10:10" ht="15" customHeight="1" x14ac:dyDescent="0.3">
      <c r="J20541" s="33"/>
    </row>
    <row r="20542" spans="10:10" ht="15" customHeight="1" x14ac:dyDescent="0.3">
      <c r="J20542" s="33"/>
    </row>
    <row r="20543" spans="10:10" ht="15" customHeight="1" x14ac:dyDescent="0.3">
      <c r="J20543" s="33"/>
    </row>
    <row r="20544" spans="10:10" ht="15" customHeight="1" x14ac:dyDescent="0.3">
      <c r="J20544" s="33"/>
    </row>
    <row r="20545" spans="10:10" ht="15" customHeight="1" x14ac:dyDescent="0.3">
      <c r="J20545" s="33"/>
    </row>
    <row r="20546" spans="10:10" ht="15" customHeight="1" x14ac:dyDescent="0.3">
      <c r="J20546" s="33"/>
    </row>
    <row r="20547" spans="10:10" ht="15" customHeight="1" x14ac:dyDescent="0.3">
      <c r="J20547" s="33"/>
    </row>
    <row r="20548" spans="10:10" ht="15" customHeight="1" x14ac:dyDescent="0.3">
      <c r="J20548" s="33"/>
    </row>
    <row r="20549" spans="10:10" ht="15" customHeight="1" x14ac:dyDescent="0.3">
      <c r="J20549" s="33"/>
    </row>
    <row r="20550" spans="10:10" ht="15" customHeight="1" x14ac:dyDescent="0.3">
      <c r="J20550" s="33"/>
    </row>
    <row r="20551" spans="10:10" ht="15" customHeight="1" x14ac:dyDescent="0.3">
      <c r="J20551" s="33"/>
    </row>
    <row r="20552" spans="10:10" ht="15" customHeight="1" x14ac:dyDescent="0.3">
      <c r="J20552" s="33"/>
    </row>
    <row r="20553" spans="10:10" ht="15" customHeight="1" x14ac:dyDescent="0.3">
      <c r="J20553" s="33"/>
    </row>
    <row r="20554" spans="10:10" ht="15" customHeight="1" x14ac:dyDescent="0.3">
      <c r="J20554" s="33"/>
    </row>
    <row r="20555" spans="10:10" ht="15" customHeight="1" x14ac:dyDescent="0.3">
      <c r="J20555" s="33"/>
    </row>
    <row r="20556" spans="10:10" ht="15" customHeight="1" x14ac:dyDescent="0.3">
      <c r="J20556" s="33"/>
    </row>
    <row r="20557" spans="10:10" ht="15" customHeight="1" x14ac:dyDescent="0.3">
      <c r="J20557" s="33"/>
    </row>
    <row r="20558" spans="10:10" ht="15" customHeight="1" x14ac:dyDescent="0.3">
      <c r="J20558" s="33"/>
    </row>
    <row r="20559" spans="10:10" ht="15" customHeight="1" x14ac:dyDescent="0.3">
      <c r="J20559" s="33"/>
    </row>
    <row r="20560" spans="10:10" ht="15" customHeight="1" x14ac:dyDescent="0.3">
      <c r="J20560" s="33"/>
    </row>
    <row r="20561" spans="10:10" ht="15" customHeight="1" x14ac:dyDescent="0.3">
      <c r="J20561" s="33"/>
    </row>
    <row r="20562" spans="10:10" ht="15" customHeight="1" x14ac:dyDescent="0.3">
      <c r="J20562" s="33"/>
    </row>
    <row r="20563" spans="10:10" ht="15" customHeight="1" x14ac:dyDescent="0.3">
      <c r="J20563" s="33"/>
    </row>
    <row r="20564" spans="10:10" ht="15" customHeight="1" x14ac:dyDescent="0.3">
      <c r="J20564" s="33"/>
    </row>
    <row r="20565" spans="10:10" ht="15" customHeight="1" x14ac:dyDescent="0.3">
      <c r="J20565" s="33"/>
    </row>
    <row r="20566" spans="10:10" ht="15" customHeight="1" x14ac:dyDescent="0.3">
      <c r="J20566" s="33"/>
    </row>
    <row r="20567" spans="10:10" ht="15" customHeight="1" x14ac:dyDescent="0.3">
      <c r="J20567" s="33"/>
    </row>
    <row r="20568" spans="10:10" ht="15" customHeight="1" x14ac:dyDescent="0.3">
      <c r="J20568" s="33"/>
    </row>
    <row r="20569" spans="10:10" ht="15" customHeight="1" x14ac:dyDescent="0.3">
      <c r="J20569" s="33"/>
    </row>
    <row r="20570" spans="10:10" ht="15" customHeight="1" x14ac:dyDescent="0.3">
      <c r="J20570" s="33"/>
    </row>
    <row r="20571" spans="10:10" ht="15" customHeight="1" x14ac:dyDescent="0.3">
      <c r="J20571" s="33"/>
    </row>
    <row r="20572" spans="10:10" ht="15" customHeight="1" x14ac:dyDescent="0.3">
      <c r="J20572" s="33"/>
    </row>
    <row r="20573" spans="10:10" ht="15" customHeight="1" x14ac:dyDescent="0.3">
      <c r="J20573" s="33"/>
    </row>
    <row r="20574" spans="10:10" ht="15" customHeight="1" x14ac:dyDescent="0.3">
      <c r="J20574" s="33"/>
    </row>
    <row r="20575" spans="10:10" ht="15" customHeight="1" x14ac:dyDescent="0.3">
      <c r="J20575" s="33"/>
    </row>
    <row r="20576" spans="10:10" ht="15" customHeight="1" x14ac:dyDescent="0.3">
      <c r="J20576" s="33"/>
    </row>
    <row r="20577" spans="10:10" ht="15" customHeight="1" x14ac:dyDescent="0.3">
      <c r="J20577" s="33"/>
    </row>
    <row r="20578" spans="10:10" ht="15" customHeight="1" x14ac:dyDescent="0.3">
      <c r="J20578" s="33"/>
    </row>
    <row r="20579" spans="10:10" ht="15" customHeight="1" x14ac:dyDescent="0.3">
      <c r="J20579" s="33"/>
    </row>
    <row r="20580" spans="10:10" ht="15" customHeight="1" x14ac:dyDescent="0.3">
      <c r="J20580" s="33"/>
    </row>
    <row r="20581" spans="10:10" ht="15" customHeight="1" x14ac:dyDescent="0.3">
      <c r="J20581" s="33"/>
    </row>
    <row r="20582" spans="10:10" ht="15" customHeight="1" x14ac:dyDescent="0.3">
      <c r="J20582" s="33"/>
    </row>
    <row r="20583" spans="10:10" ht="15" customHeight="1" x14ac:dyDescent="0.3">
      <c r="J20583" s="33"/>
    </row>
    <row r="20584" spans="10:10" ht="15" customHeight="1" x14ac:dyDescent="0.3">
      <c r="J20584" s="33"/>
    </row>
    <row r="20585" spans="10:10" ht="15" customHeight="1" x14ac:dyDescent="0.3">
      <c r="J20585" s="33"/>
    </row>
    <row r="20586" spans="10:10" ht="15" customHeight="1" x14ac:dyDescent="0.3">
      <c r="J20586" s="33"/>
    </row>
    <row r="20587" spans="10:10" ht="15" customHeight="1" x14ac:dyDescent="0.3">
      <c r="J20587" s="33"/>
    </row>
    <row r="20588" spans="10:10" ht="15" customHeight="1" x14ac:dyDescent="0.3">
      <c r="J20588" s="33"/>
    </row>
    <row r="20589" spans="10:10" ht="15" customHeight="1" x14ac:dyDescent="0.3">
      <c r="J20589" s="33"/>
    </row>
    <row r="20590" spans="10:10" ht="15" customHeight="1" x14ac:dyDescent="0.3">
      <c r="J20590" s="33"/>
    </row>
    <row r="20591" spans="10:10" ht="15" customHeight="1" x14ac:dyDescent="0.3">
      <c r="J20591" s="33"/>
    </row>
    <row r="20592" spans="10:10" ht="15" customHeight="1" x14ac:dyDescent="0.3">
      <c r="J20592" s="33"/>
    </row>
    <row r="20593" spans="10:10" ht="15" customHeight="1" x14ac:dyDescent="0.3">
      <c r="J20593" s="33"/>
    </row>
    <row r="20594" spans="10:10" ht="15" customHeight="1" x14ac:dyDescent="0.3">
      <c r="J20594" s="33"/>
    </row>
    <row r="20595" spans="10:10" ht="15" customHeight="1" x14ac:dyDescent="0.3">
      <c r="J20595" s="33"/>
    </row>
    <row r="20596" spans="10:10" ht="15" customHeight="1" x14ac:dyDescent="0.3">
      <c r="J20596" s="33"/>
    </row>
    <row r="20597" spans="10:10" ht="15" customHeight="1" x14ac:dyDescent="0.3">
      <c r="J20597" s="33"/>
    </row>
    <row r="20598" spans="10:10" ht="15" customHeight="1" x14ac:dyDescent="0.3">
      <c r="J20598" s="33"/>
    </row>
    <row r="20599" spans="10:10" ht="15" customHeight="1" x14ac:dyDescent="0.3">
      <c r="J20599" s="33"/>
    </row>
    <row r="20600" spans="10:10" ht="15" customHeight="1" x14ac:dyDescent="0.3">
      <c r="J20600" s="33"/>
    </row>
    <row r="20601" spans="10:10" ht="15" customHeight="1" x14ac:dyDescent="0.3">
      <c r="J20601" s="33"/>
    </row>
    <row r="20602" spans="10:10" ht="15" customHeight="1" x14ac:dyDescent="0.3">
      <c r="J20602" s="33"/>
    </row>
    <row r="20603" spans="10:10" ht="15" customHeight="1" x14ac:dyDescent="0.3">
      <c r="J20603" s="33"/>
    </row>
    <row r="20604" spans="10:10" ht="15" customHeight="1" x14ac:dyDescent="0.3">
      <c r="J20604" s="33"/>
    </row>
    <row r="20605" spans="10:10" ht="15" customHeight="1" x14ac:dyDescent="0.3">
      <c r="J20605" s="33"/>
    </row>
    <row r="20606" spans="10:10" ht="15" customHeight="1" x14ac:dyDescent="0.3">
      <c r="J20606" s="33"/>
    </row>
    <row r="20607" spans="10:10" ht="15" customHeight="1" x14ac:dyDescent="0.3">
      <c r="J20607" s="33"/>
    </row>
    <row r="20608" spans="10:10" ht="15" customHeight="1" x14ac:dyDescent="0.3">
      <c r="J20608" s="33"/>
    </row>
    <row r="20609" spans="10:10" ht="15" customHeight="1" x14ac:dyDescent="0.3">
      <c r="J20609" s="33"/>
    </row>
    <row r="20610" spans="10:10" ht="15" customHeight="1" x14ac:dyDescent="0.3">
      <c r="J20610" s="33"/>
    </row>
    <row r="20611" spans="10:10" ht="15" customHeight="1" x14ac:dyDescent="0.3">
      <c r="J20611" s="33"/>
    </row>
    <row r="20612" spans="10:10" ht="15" customHeight="1" x14ac:dyDescent="0.3">
      <c r="J20612" s="33"/>
    </row>
    <row r="20613" spans="10:10" ht="15" customHeight="1" x14ac:dyDescent="0.3">
      <c r="J20613" s="33"/>
    </row>
    <row r="20614" spans="10:10" ht="15" customHeight="1" x14ac:dyDescent="0.3">
      <c r="J20614" s="33"/>
    </row>
    <row r="20615" spans="10:10" ht="15" customHeight="1" x14ac:dyDescent="0.3">
      <c r="J20615" s="33"/>
    </row>
    <row r="20616" spans="10:10" ht="15" customHeight="1" x14ac:dyDescent="0.3">
      <c r="J20616" s="33"/>
    </row>
    <row r="20617" spans="10:10" ht="15" customHeight="1" x14ac:dyDescent="0.3">
      <c r="J20617" s="33"/>
    </row>
    <row r="20618" spans="10:10" ht="15" customHeight="1" x14ac:dyDescent="0.3">
      <c r="J20618" s="33"/>
    </row>
    <row r="20619" spans="10:10" ht="15" customHeight="1" x14ac:dyDescent="0.3">
      <c r="J20619" s="33"/>
    </row>
    <row r="20620" spans="10:10" ht="15" customHeight="1" x14ac:dyDescent="0.3">
      <c r="J20620" s="33"/>
    </row>
    <row r="20621" spans="10:10" ht="15" customHeight="1" x14ac:dyDescent="0.3">
      <c r="J20621" s="33"/>
    </row>
    <row r="20622" spans="10:10" ht="15" customHeight="1" x14ac:dyDescent="0.3">
      <c r="J20622" s="33"/>
    </row>
    <row r="20623" spans="10:10" ht="15" customHeight="1" x14ac:dyDescent="0.3">
      <c r="J20623" s="33"/>
    </row>
    <row r="20624" spans="10:10" ht="15" customHeight="1" x14ac:dyDescent="0.3">
      <c r="J20624" s="33"/>
    </row>
    <row r="20625" spans="10:10" ht="15" customHeight="1" x14ac:dyDescent="0.3">
      <c r="J20625" s="33"/>
    </row>
    <row r="20626" spans="10:10" ht="15" customHeight="1" x14ac:dyDescent="0.3">
      <c r="J20626" s="33"/>
    </row>
    <row r="20627" spans="10:10" ht="15" customHeight="1" x14ac:dyDescent="0.3">
      <c r="J20627" s="33"/>
    </row>
    <row r="20628" spans="10:10" ht="15" customHeight="1" x14ac:dyDescent="0.3">
      <c r="J20628" s="33"/>
    </row>
    <row r="20629" spans="10:10" ht="15" customHeight="1" x14ac:dyDescent="0.3">
      <c r="J20629" s="33"/>
    </row>
    <row r="20630" spans="10:10" ht="15" customHeight="1" x14ac:dyDescent="0.3">
      <c r="J20630" s="33"/>
    </row>
    <row r="20631" spans="10:10" ht="15" customHeight="1" x14ac:dyDescent="0.3">
      <c r="J20631" s="33"/>
    </row>
    <row r="20632" spans="10:10" ht="15" customHeight="1" x14ac:dyDescent="0.3">
      <c r="J20632" s="33"/>
    </row>
    <row r="20633" spans="10:10" ht="15" customHeight="1" x14ac:dyDescent="0.3">
      <c r="J20633" s="33"/>
    </row>
    <row r="20634" spans="10:10" ht="15" customHeight="1" x14ac:dyDescent="0.3">
      <c r="J20634" s="33"/>
    </row>
    <row r="20635" spans="10:10" ht="15" customHeight="1" x14ac:dyDescent="0.3">
      <c r="J20635" s="33"/>
    </row>
    <row r="20636" spans="10:10" ht="15" customHeight="1" x14ac:dyDescent="0.3">
      <c r="J20636" s="33"/>
    </row>
    <row r="20637" spans="10:10" ht="15" customHeight="1" x14ac:dyDescent="0.3">
      <c r="J20637" s="33"/>
    </row>
    <row r="20638" spans="10:10" ht="15" customHeight="1" x14ac:dyDescent="0.3">
      <c r="J20638" s="33"/>
    </row>
    <row r="20639" spans="10:10" ht="15" customHeight="1" x14ac:dyDescent="0.3">
      <c r="J20639" s="33"/>
    </row>
    <row r="20640" spans="10:10" ht="15" customHeight="1" x14ac:dyDescent="0.3">
      <c r="J20640" s="33"/>
    </row>
    <row r="20641" spans="10:10" ht="15" customHeight="1" x14ac:dyDescent="0.3">
      <c r="J20641" s="33"/>
    </row>
    <row r="20642" spans="10:10" ht="15" customHeight="1" x14ac:dyDescent="0.3">
      <c r="J20642" s="33"/>
    </row>
    <row r="20643" spans="10:10" ht="15" customHeight="1" x14ac:dyDescent="0.3">
      <c r="J20643" s="33"/>
    </row>
    <row r="20644" spans="10:10" ht="15" customHeight="1" x14ac:dyDescent="0.3">
      <c r="J20644" s="33"/>
    </row>
    <row r="20645" spans="10:10" ht="15" customHeight="1" x14ac:dyDescent="0.3">
      <c r="J20645" s="33"/>
    </row>
    <row r="20646" spans="10:10" ht="15" customHeight="1" x14ac:dyDescent="0.3">
      <c r="J20646" s="33"/>
    </row>
    <row r="20647" spans="10:10" ht="15" customHeight="1" x14ac:dyDescent="0.3">
      <c r="J20647" s="33"/>
    </row>
    <row r="20648" spans="10:10" ht="15" customHeight="1" x14ac:dyDescent="0.3">
      <c r="J20648" s="33"/>
    </row>
    <row r="20649" spans="10:10" ht="15" customHeight="1" x14ac:dyDescent="0.3">
      <c r="J20649" s="33"/>
    </row>
    <row r="20650" spans="10:10" ht="15" customHeight="1" x14ac:dyDescent="0.3">
      <c r="J20650" s="33"/>
    </row>
    <row r="20651" spans="10:10" ht="15" customHeight="1" x14ac:dyDescent="0.3">
      <c r="J20651" s="33"/>
    </row>
    <row r="20652" spans="10:10" ht="15" customHeight="1" x14ac:dyDescent="0.3">
      <c r="J20652" s="33"/>
    </row>
    <row r="20653" spans="10:10" ht="15" customHeight="1" x14ac:dyDescent="0.3">
      <c r="J20653" s="33"/>
    </row>
    <row r="20654" spans="10:10" ht="15" customHeight="1" x14ac:dyDescent="0.3">
      <c r="J20654" s="33"/>
    </row>
    <row r="20655" spans="10:10" ht="15" customHeight="1" x14ac:dyDescent="0.3">
      <c r="J20655" s="33"/>
    </row>
    <row r="20656" spans="10:10" ht="15" customHeight="1" x14ac:dyDescent="0.3">
      <c r="J20656" s="33"/>
    </row>
    <row r="20657" spans="10:10" ht="15" customHeight="1" x14ac:dyDescent="0.3">
      <c r="J20657" s="33"/>
    </row>
    <row r="20658" spans="10:10" ht="15" customHeight="1" x14ac:dyDescent="0.3">
      <c r="J20658" s="33"/>
    </row>
    <row r="20659" spans="10:10" ht="15" customHeight="1" x14ac:dyDescent="0.3">
      <c r="J20659" s="33"/>
    </row>
    <row r="20660" spans="10:10" ht="15" customHeight="1" x14ac:dyDescent="0.3">
      <c r="J20660" s="33"/>
    </row>
    <row r="20661" spans="10:10" ht="15" customHeight="1" x14ac:dyDescent="0.3">
      <c r="J20661" s="33"/>
    </row>
    <row r="20662" spans="10:10" ht="15" customHeight="1" x14ac:dyDescent="0.3">
      <c r="J20662" s="33"/>
    </row>
    <row r="20663" spans="10:10" ht="15" customHeight="1" x14ac:dyDescent="0.3">
      <c r="J20663" s="33"/>
    </row>
    <row r="20664" spans="10:10" ht="15" customHeight="1" x14ac:dyDescent="0.3">
      <c r="J20664" s="33"/>
    </row>
    <row r="20665" spans="10:10" ht="15" customHeight="1" x14ac:dyDescent="0.3">
      <c r="J20665" s="33"/>
    </row>
    <row r="20666" spans="10:10" ht="15" customHeight="1" x14ac:dyDescent="0.3">
      <c r="J20666" s="33"/>
    </row>
    <row r="20667" spans="10:10" ht="15" customHeight="1" x14ac:dyDescent="0.3">
      <c r="J20667" s="33"/>
    </row>
    <row r="20668" spans="10:10" ht="15" customHeight="1" x14ac:dyDescent="0.3">
      <c r="J20668" s="33"/>
    </row>
    <row r="20669" spans="10:10" ht="15" customHeight="1" x14ac:dyDescent="0.3">
      <c r="J20669" s="33"/>
    </row>
    <row r="20670" spans="10:10" ht="15" customHeight="1" x14ac:dyDescent="0.3">
      <c r="J20670" s="33"/>
    </row>
    <row r="20671" spans="10:10" ht="15" customHeight="1" x14ac:dyDescent="0.3">
      <c r="J20671" s="33"/>
    </row>
    <row r="20672" spans="10:10" ht="15" customHeight="1" x14ac:dyDescent="0.3">
      <c r="J20672" s="33"/>
    </row>
    <row r="20673" spans="10:10" ht="15" customHeight="1" x14ac:dyDescent="0.3">
      <c r="J20673" s="33"/>
    </row>
    <row r="20674" spans="10:10" ht="15" customHeight="1" x14ac:dyDescent="0.3">
      <c r="J20674" s="33"/>
    </row>
    <row r="20675" spans="10:10" ht="15" customHeight="1" x14ac:dyDescent="0.3">
      <c r="J20675" s="33"/>
    </row>
    <row r="20676" spans="10:10" ht="15" customHeight="1" x14ac:dyDescent="0.3">
      <c r="J20676" s="33"/>
    </row>
    <row r="20677" spans="10:10" ht="15" customHeight="1" x14ac:dyDescent="0.3">
      <c r="J20677" s="33"/>
    </row>
    <row r="20678" spans="10:10" ht="15" customHeight="1" x14ac:dyDescent="0.3">
      <c r="J20678" s="33"/>
    </row>
    <row r="20679" spans="10:10" ht="15" customHeight="1" x14ac:dyDescent="0.3">
      <c r="J20679" s="33"/>
    </row>
    <row r="20680" spans="10:10" ht="15" customHeight="1" x14ac:dyDescent="0.3">
      <c r="J20680" s="33"/>
    </row>
    <row r="20681" spans="10:10" ht="15" customHeight="1" x14ac:dyDescent="0.3">
      <c r="J20681" s="33"/>
    </row>
    <row r="20682" spans="10:10" ht="15" customHeight="1" x14ac:dyDescent="0.3">
      <c r="J20682" s="33"/>
    </row>
    <row r="20683" spans="10:10" ht="15" customHeight="1" x14ac:dyDescent="0.3">
      <c r="J20683" s="33"/>
    </row>
    <row r="20684" spans="10:10" ht="15" customHeight="1" x14ac:dyDescent="0.3">
      <c r="J20684" s="33"/>
    </row>
    <row r="20685" spans="10:10" ht="15" customHeight="1" x14ac:dyDescent="0.3">
      <c r="J20685" s="33"/>
    </row>
    <row r="20686" spans="10:10" ht="15" customHeight="1" x14ac:dyDescent="0.3">
      <c r="J20686" s="33"/>
    </row>
    <row r="20687" spans="10:10" ht="15" customHeight="1" x14ac:dyDescent="0.3">
      <c r="J20687" s="33"/>
    </row>
    <row r="20688" spans="10:10" ht="15" customHeight="1" x14ac:dyDescent="0.3">
      <c r="J20688" s="33"/>
    </row>
    <row r="20689" spans="10:10" ht="15" customHeight="1" x14ac:dyDescent="0.3">
      <c r="J20689" s="33"/>
    </row>
    <row r="20690" spans="10:10" ht="15" customHeight="1" x14ac:dyDescent="0.3">
      <c r="J20690" s="33"/>
    </row>
    <row r="20691" spans="10:10" ht="15" customHeight="1" x14ac:dyDescent="0.3">
      <c r="J20691" s="33"/>
    </row>
    <row r="20692" spans="10:10" ht="15" customHeight="1" x14ac:dyDescent="0.3">
      <c r="J20692" s="33"/>
    </row>
    <row r="20693" spans="10:10" ht="15" customHeight="1" x14ac:dyDescent="0.3">
      <c r="J20693" s="33"/>
    </row>
    <row r="20694" spans="10:10" ht="15" customHeight="1" x14ac:dyDescent="0.3">
      <c r="J20694" s="33"/>
    </row>
    <row r="20695" spans="10:10" ht="15" customHeight="1" x14ac:dyDescent="0.3">
      <c r="J20695" s="33"/>
    </row>
    <row r="20696" spans="10:10" ht="15" customHeight="1" x14ac:dyDescent="0.3">
      <c r="J20696" s="33"/>
    </row>
    <row r="20697" spans="10:10" ht="15" customHeight="1" x14ac:dyDescent="0.3">
      <c r="J20697" s="33"/>
    </row>
    <row r="20698" spans="10:10" ht="15" customHeight="1" x14ac:dyDescent="0.3">
      <c r="J20698" s="33"/>
    </row>
    <row r="20699" spans="10:10" ht="15" customHeight="1" x14ac:dyDescent="0.3">
      <c r="J20699" s="33"/>
    </row>
    <row r="20700" spans="10:10" ht="15" customHeight="1" x14ac:dyDescent="0.3">
      <c r="J20700" s="33"/>
    </row>
    <row r="20701" spans="10:10" ht="15" customHeight="1" x14ac:dyDescent="0.3">
      <c r="J20701" s="33"/>
    </row>
    <row r="20702" spans="10:10" ht="15" customHeight="1" x14ac:dyDescent="0.3">
      <c r="J20702" s="33"/>
    </row>
    <row r="20703" spans="10:10" ht="15" customHeight="1" x14ac:dyDescent="0.3">
      <c r="J20703" s="33"/>
    </row>
    <row r="20704" spans="10:10" ht="15" customHeight="1" x14ac:dyDescent="0.3">
      <c r="J20704" s="33"/>
    </row>
    <row r="20705" spans="10:10" ht="15" customHeight="1" x14ac:dyDescent="0.3">
      <c r="J20705" s="33"/>
    </row>
    <row r="20706" spans="10:10" ht="15" customHeight="1" x14ac:dyDescent="0.3">
      <c r="J20706" s="33"/>
    </row>
    <row r="20707" spans="10:10" ht="15" customHeight="1" x14ac:dyDescent="0.3">
      <c r="J20707" s="33"/>
    </row>
    <row r="20708" spans="10:10" ht="15" customHeight="1" x14ac:dyDescent="0.3">
      <c r="J20708" s="33"/>
    </row>
    <row r="20709" spans="10:10" ht="15" customHeight="1" x14ac:dyDescent="0.3">
      <c r="J20709" s="33"/>
    </row>
    <row r="20710" spans="10:10" ht="15" customHeight="1" x14ac:dyDescent="0.3">
      <c r="J20710" s="33"/>
    </row>
    <row r="20711" spans="10:10" ht="15" customHeight="1" x14ac:dyDescent="0.3">
      <c r="J20711" s="33"/>
    </row>
    <row r="20712" spans="10:10" ht="15" customHeight="1" x14ac:dyDescent="0.3">
      <c r="J20712" s="33"/>
    </row>
    <row r="20713" spans="10:10" ht="15" customHeight="1" x14ac:dyDescent="0.3">
      <c r="J20713" s="33"/>
    </row>
    <row r="20714" spans="10:10" ht="15" customHeight="1" x14ac:dyDescent="0.3">
      <c r="J20714" s="33"/>
    </row>
    <row r="20715" spans="10:10" ht="15" customHeight="1" x14ac:dyDescent="0.3">
      <c r="J20715" s="33"/>
    </row>
    <row r="20716" spans="10:10" ht="15" customHeight="1" x14ac:dyDescent="0.3">
      <c r="J20716" s="33"/>
    </row>
    <row r="20717" spans="10:10" ht="15" customHeight="1" x14ac:dyDescent="0.3">
      <c r="J20717" s="33"/>
    </row>
    <row r="20718" spans="10:10" ht="15" customHeight="1" x14ac:dyDescent="0.3">
      <c r="J20718" s="33"/>
    </row>
    <row r="20719" spans="10:10" ht="15" customHeight="1" x14ac:dyDescent="0.3">
      <c r="J20719" s="33"/>
    </row>
    <row r="20720" spans="10:10" ht="15" customHeight="1" x14ac:dyDescent="0.3">
      <c r="J20720" s="33"/>
    </row>
    <row r="20721" spans="10:10" ht="15" customHeight="1" x14ac:dyDescent="0.3">
      <c r="J20721" s="33"/>
    </row>
    <row r="20722" spans="10:10" ht="15" customHeight="1" x14ac:dyDescent="0.3">
      <c r="J20722" s="33"/>
    </row>
    <row r="20723" spans="10:10" ht="15" customHeight="1" x14ac:dyDescent="0.3">
      <c r="J20723" s="33"/>
    </row>
    <row r="20724" spans="10:10" ht="15" customHeight="1" x14ac:dyDescent="0.3">
      <c r="J20724" s="33"/>
    </row>
    <row r="20725" spans="10:10" ht="15" customHeight="1" x14ac:dyDescent="0.3">
      <c r="J20725" s="33"/>
    </row>
    <row r="20726" spans="10:10" ht="15" customHeight="1" x14ac:dyDescent="0.3">
      <c r="J20726" s="33"/>
    </row>
    <row r="20727" spans="10:10" ht="15" customHeight="1" x14ac:dyDescent="0.3">
      <c r="J20727" s="33"/>
    </row>
    <row r="20728" spans="10:10" ht="15" customHeight="1" x14ac:dyDescent="0.3">
      <c r="J20728" s="33"/>
    </row>
    <row r="20729" spans="10:10" ht="15" customHeight="1" x14ac:dyDescent="0.3">
      <c r="J20729" s="33"/>
    </row>
    <row r="20730" spans="10:10" ht="15" customHeight="1" x14ac:dyDescent="0.3">
      <c r="J20730" s="33"/>
    </row>
    <row r="20731" spans="10:10" ht="15" customHeight="1" x14ac:dyDescent="0.3">
      <c r="J20731" s="33"/>
    </row>
    <row r="20732" spans="10:10" ht="15" customHeight="1" x14ac:dyDescent="0.3">
      <c r="J20732" s="33"/>
    </row>
    <row r="20733" spans="10:10" ht="15" customHeight="1" x14ac:dyDescent="0.3">
      <c r="J20733" s="33"/>
    </row>
    <row r="20734" spans="10:10" ht="15" customHeight="1" x14ac:dyDescent="0.3">
      <c r="J20734" s="33"/>
    </row>
    <row r="20735" spans="10:10" ht="15" customHeight="1" x14ac:dyDescent="0.3">
      <c r="J20735" s="33"/>
    </row>
    <row r="20736" spans="10:10" ht="15" customHeight="1" x14ac:dyDescent="0.3">
      <c r="J20736" s="33"/>
    </row>
    <row r="20737" spans="10:10" ht="15" customHeight="1" x14ac:dyDescent="0.3">
      <c r="J20737" s="33"/>
    </row>
    <row r="20738" spans="10:10" ht="15" customHeight="1" x14ac:dyDescent="0.3">
      <c r="J20738" s="33"/>
    </row>
    <row r="20739" spans="10:10" ht="15" customHeight="1" x14ac:dyDescent="0.3">
      <c r="J20739" s="33"/>
    </row>
    <row r="20740" spans="10:10" ht="15" customHeight="1" x14ac:dyDescent="0.3">
      <c r="J20740" s="33"/>
    </row>
    <row r="20741" spans="10:10" ht="15" customHeight="1" x14ac:dyDescent="0.3">
      <c r="J20741" s="33"/>
    </row>
    <row r="20742" spans="10:10" ht="15" customHeight="1" x14ac:dyDescent="0.3">
      <c r="J20742" s="33"/>
    </row>
    <row r="20743" spans="10:10" ht="15" customHeight="1" x14ac:dyDescent="0.3">
      <c r="J20743" s="33"/>
    </row>
    <row r="20744" spans="10:10" ht="15" customHeight="1" x14ac:dyDescent="0.3">
      <c r="J20744" s="33"/>
    </row>
    <row r="20745" spans="10:10" ht="15" customHeight="1" x14ac:dyDescent="0.3">
      <c r="J20745" s="33"/>
    </row>
    <row r="20746" spans="10:10" ht="15" customHeight="1" x14ac:dyDescent="0.3">
      <c r="J20746" s="33"/>
    </row>
    <row r="20747" spans="10:10" ht="15" customHeight="1" x14ac:dyDescent="0.3">
      <c r="J20747" s="33"/>
    </row>
    <row r="20748" spans="10:10" ht="15" customHeight="1" x14ac:dyDescent="0.3">
      <c r="J20748" s="33"/>
    </row>
    <row r="20749" spans="10:10" ht="15" customHeight="1" x14ac:dyDescent="0.3">
      <c r="J20749" s="33"/>
    </row>
    <row r="20750" spans="10:10" ht="15" customHeight="1" x14ac:dyDescent="0.3">
      <c r="J20750" s="33"/>
    </row>
    <row r="20751" spans="10:10" ht="15" customHeight="1" x14ac:dyDescent="0.3">
      <c r="J20751" s="33"/>
    </row>
    <row r="20752" spans="10:10" ht="15" customHeight="1" x14ac:dyDescent="0.3">
      <c r="J20752" s="33"/>
    </row>
    <row r="20753" spans="10:10" ht="15" customHeight="1" x14ac:dyDescent="0.3">
      <c r="J20753" s="33"/>
    </row>
    <row r="20754" spans="10:10" ht="15" customHeight="1" x14ac:dyDescent="0.3">
      <c r="J20754" s="33"/>
    </row>
    <row r="20755" spans="10:10" ht="15" customHeight="1" x14ac:dyDescent="0.3">
      <c r="J20755" s="33"/>
    </row>
    <row r="20756" spans="10:10" ht="15" customHeight="1" x14ac:dyDescent="0.3">
      <c r="J20756" s="33"/>
    </row>
    <row r="20757" spans="10:10" ht="15" customHeight="1" x14ac:dyDescent="0.3">
      <c r="J20757" s="33"/>
    </row>
    <row r="20758" spans="10:10" ht="15" customHeight="1" x14ac:dyDescent="0.3">
      <c r="J20758" s="33"/>
    </row>
    <row r="20759" spans="10:10" ht="15" customHeight="1" x14ac:dyDescent="0.3">
      <c r="J20759" s="33"/>
    </row>
    <row r="20760" spans="10:10" ht="15" customHeight="1" x14ac:dyDescent="0.3">
      <c r="J20760" s="33"/>
    </row>
    <row r="20761" spans="10:10" ht="15" customHeight="1" x14ac:dyDescent="0.3">
      <c r="J20761" s="33"/>
    </row>
    <row r="20762" spans="10:10" ht="15" customHeight="1" x14ac:dyDescent="0.3">
      <c r="J20762" s="33"/>
    </row>
    <row r="20763" spans="10:10" ht="15" customHeight="1" x14ac:dyDescent="0.3">
      <c r="J20763" s="33"/>
    </row>
    <row r="20764" spans="10:10" ht="15" customHeight="1" x14ac:dyDescent="0.3">
      <c r="J20764" s="33"/>
    </row>
    <row r="20765" spans="10:10" ht="15" customHeight="1" x14ac:dyDescent="0.3">
      <c r="J20765" s="33"/>
    </row>
    <row r="20766" spans="10:10" ht="15" customHeight="1" x14ac:dyDescent="0.3">
      <c r="J20766" s="33"/>
    </row>
    <row r="20767" spans="10:10" ht="15" customHeight="1" x14ac:dyDescent="0.3">
      <c r="J20767" s="33"/>
    </row>
    <row r="20768" spans="10:10" ht="15" customHeight="1" x14ac:dyDescent="0.3">
      <c r="J20768" s="33"/>
    </row>
    <row r="20769" spans="10:10" ht="15" customHeight="1" x14ac:dyDescent="0.3">
      <c r="J20769" s="33"/>
    </row>
    <row r="20770" spans="10:10" ht="15" customHeight="1" x14ac:dyDescent="0.3">
      <c r="J20770" s="33"/>
    </row>
    <row r="20771" spans="10:10" ht="15" customHeight="1" x14ac:dyDescent="0.3">
      <c r="J20771" s="33"/>
    </row>
    <row r="20772" spans="10:10" ht="15" customHeight="1" x14ac:dyDescent="0.3">
      <c r="J20772" s="33"/>
    </row>
    <row r="20773" spans="10:10" ht="15" customHeight="1" x14ac:dyDescent="0.3">
      <c r="J20773" s="33"/>
    </row>
    <row r="20774" spans="10:10" ht="15" customHeight="1" x14ac:dyDescent="0.3">
      <c r="J20774" s="33"/>
    </row>
    <row r="20775" spans="10:10" ht="15" customHeight="1" x14ac:dyDescent="0.3">
      <c r="J20775" s="33"/>
    </row>
    <row r="20776" spans="10:10" ht="15" customHeight="1" x14ac:dyDescent="0.3">
      <c r="J20776" s="33"/>
    </row>
    <row r="20777" spans="10:10" ht="15" customHeight="1" x14ac:dyDescent="0.3">
      <c r="J20777" s="33"/>
    </row>
    <row r="20778" spans="10:10" ht="15" customHeight="1" x14ac:dyDescent="0.3">
      <c r="J20778" s="33"/>
    </row>
    <row r="20779" spans="10:10" ht="15" customHeight="1" x14ac:dyDescent="0.3">
      <c r="J20779" s="33"/>
    </row>
    <row r="20780" spans="10:10" ht="15" customHeight="1" x14ac:dyDescent="0.3">
      <c r="J20780" s="33"/>
    </row>
    <row r="20781" spans="10:10" ht="15" customHeight="1" x14ac:dyDescent="0.3">
      <c r="J20781" s="33"/>
    </row>
    <row r="20782" spans="10:10" ht="15" customHeight="1" x14ac:dyDescent="0.3">
      <c r="J20782" s="33"/>
    </row>
    <row r="20783" spans="10:10" ht="15" customHeight="1" x14ac:dyDescent="0.3">
      <c r="J20783" s="33"/>
    </row>
    <row r="20784" spans="10:10" ht="15" customHeight="1" x14ac:dyDescent="0.3">
      <c r="J20784" s="33"/>
    </row>
    <row r="20785" spans="10:10" ht="15" customHeight="1" x14ac:dyDescent="0.3">
      <c r="J20785" s="33"/>
    </row>
    <row r="20786" spans="10:10" ht="15" customHeight="1" x14ac:dyDescent="0.3">
      <c r="J20786" s="33"/>
    </row>
    <row r="20787" spans="10:10" ht="15" customHeight="1" x14ac:dyDescent="0.3">
      <c r="J20787" s="33"/>
    </row>
    <row r="20788" spans="10:10" ht="15" customHeight="1" x14ac:dyDescent="0.3">
      <c r="J20788" s="33"/>
    </row>
    <row r="20789" spans="10:10" ht="15" customHeight="1" x14ac:dyDescent="0.3">
      <c r="J20789" s="33"/>
    </row>
    <row r="20790" spans="10:10" ht="15" customHeight="1" x14ac:dyDescent="0.3">
      <c r="J20790" s="33"/>
    </row>
    <row r="20791" spans="10:10" ht="15" customHeight="1" x14ac:dyDescent="0.3">
      <c r="J20791" s="33"/>
    </row>
    <row r="20792" spans="10:10" ht="15" customHeight="1" x14ac:dyDescent="0.3">
      <c r="J20792" s="33"/>
    </row>
    <row r="20793" spans="10:10" ht="15" customHeight="1" x14ac:dyDescent="0.3">
      <c r="J20793" s="33"/>
    </row>
    <row r="20794" spans="10:10" ht="15" customHeight="1" x14ac:dyDescent="0.3">
      <c r="J20794" s="33"/>
    </row>
    <row r="20795" spans="10:10" ht="15" customHeight="1" x14ac:dyDescent="0.3">
      <c r="J20795" s="33"/>
    </row>
    <row r="20796" spans="10:10" ht="15" customHeight="1" x14ac:dyDescent="0.3">
      <c r="J20796" s="33"/>
    </row>
    <row r="20797" spans="10:10" ht="15" customHeight="1" x14ac:dyDescent="0.3">
      <c r="J20797" s="33"/>
    </row>
    <row r="20798" spans="10:10" ht="15" customHeight="1" x14ac:dyDescent="0.3">
      <c r="J20798" s="33"/>
    </row>
    <row r="20799" spans="10:10" ht="15" customHeight="1" x14ac:dyDescent="0.3">
      <c r="J20799" s="33"/>
    </row>
    <row r="20800" spans="10:10" ht="15" customHeight="1" x14ac:dyDescent="0.3">
      <c r="J20800" s="33"/>
    </row>
    <row r="20801" spans="10:10" ht="15" customHeight="1" x14ac:dyDescent="0.3">
      <c r="J20801" s="33"/>
    </row>
    <row r="20802" spans="10:10" ht="15" customHeight="1" x14ac:dyDescent="0.3">
      <c r="J20802" s="33"/>
    </row>
    <row r="20803" spans="10:10" ht="15" customHeight="1" x14ac:dyDescent="0.3">
      <c r="J20803" s="33"/>
    </row>
    <row r="20804" spans="10:10" ht="15" customHeight="1" x14ac:dyDescent="0.3">
      <c r="J20804" s="33"/>
    </row>
    <row r="20805" spans="10:10" ht="15" customHeight="1" x14ac:dyDescent="0.3">
      <c r="J20805" s="33"/>
    </row>
    <row r="20806" spans="10:10" ht="15" customHeight="1" x14ac:dyDescent="0.3">
      <c r="J20806" s="33"/>
    </row>
    <row r="20807" spans="10:10" ht="15" customHeight="1" x14ac:dyDescent="0.3">
      <c r="J20807" s="33"/>
    </row>
    <row r="20808" spans="10:10" ht="15" customHeight="1" x14ac:dyDescent="0.3">
      <c r="J20808" s="33"/>
    </row>
    <row r="20809" spans="10:10" ht="15" customHeight="1" x14ac:dyDescent="0.3">
      <c r="J20809" s="33"/>
    </row>
    <row r="20810" spans="10:10" ht="15" customHeight="1" x14ac:dyDescent="0.3">
      <c r="J20810" s="33"/>
    </row>
    <row r="20811" spans="10:10" ht="15" customHeight="1" x14ac:dyDescent="0.3">
      <c r="J20811" s="33"/>
    </row>
    <row r="20812" spans="10:10" ht="15" customHeight="1" x14ac:dyDescent="0.3">
      <c r="J20812" s="33"/>
    </row>
    <row r="20813" spans="10:10" ht="15" customHeight="1" x14ac:dyDescent="0.3">
      <c r="J20813" s="33"/>
    </row>
    <row r="20814" spans="10:10" ht="15" customHeight="1" x14ac:dyDescent="0.3">
      <c r="J20814" s="33"/>
    </row>
    <row r="20815" spans="10:10" ht="15" customHeight="1" x14ac:dyDescent="0.3">
      <c r="J20815" s="33"/>
    </row>
    <row r="20816" spans="10:10" ht="15" customHeight="1" x14ac:dyDescent="0.3">
      <c r="J20816" s="33"/>
    </row>
    <row r="20817" spans="10:10" ht="15" customHeight="1" x14ac:dyDescent="0.3">
      <c r="J20817" s="33"/>
    </row>
    <row r="20818" spans="10:10" ht="15" customHeight="1" x14ac:dyDescent="0.3">
      <c r="J20818" s="33"/>
    </row>
    <row r="20819" spans="10:10" ht="15" customHeight="1" x14ac:dyDescent="0.3">
      <c r="J20819" s="33"/>
    </row>
    <row r="20820" spans="10:10" ht="15" customHeight="1" x14ac:dyDescent="0.3">
      <c r="J20820" s="33"/>
    </row>
    <row r="20821" spans="10:10" ht="15" customHeight="1" x14ac:dyDescent="0.3">
      <c r="J20821" s="33"/>
    </row>
    <row r="20822" spans="10:10" ht="15" customHeight="1" x14ac:dyDescent="0.3">
      <c r="J20822" s="33"/>
    </row>
    <row r="20823" spans="10:10" ht="15" customHeight="1" x14ac:dyDescent="0.3">
      <c r="J20823" s="33"/>
    </row>
    <row r="20824" spans="10:10" ht="15" customHeight="1" x14ac:dyDescent="0.3">
      <c r="J20824" s="33"/>
    </row>
    <row r="20825" spans="10:10" ht="15" customHeight="1" x14ac:dyDescent="0.3">
      <c r="J20825" s="33"/>
    </row>
    <row r="20826" spans="10:10" ht="15" customHeight="1" x14ac:dyDescent="0.3">
      <c r="J20826" s="33"/>
    </row>
    <row r="20827" spans="10:10" ht="15" customHeight="1" x14ac:dyDescent="0.3">
      <c r="J20827" s="33"/>
    </row>
    <row r="20828" spans="10:10" ht="15" customHeight="1" x14ac:dyDescent="0.3">
      <c r="J20828" s="33"/>
    </row>
    <row r="20829" spans="10:10" ht="15" customHeight="1" x14ac:dyDescent="0.3">
      <c r="J20829" s="33"/>
    </row>
    <row r="20830" spans="10:10" ht="15" customHeight="1" x14ac:dyDescent="0.3">
      <c r="J20830" s="33"/>
    </row>
    <row r="20831" spans="10:10" ht="15" customHeight="1" x14ac:dyDescent="0.3">
      <c r="J20831" s="33"/>
    </row>
    <row r="20832" spans="10:10" ht="15" customHeight="1" x14ac:dyDescent="0.3">
      <c r="J20832" s="33"/>
    </row>
    <row r="20833" spans="10:10" ht="15" customHeight="1" x14ac:dyDescent="0.3">
      <c r="J20833" s="33"/>
    </row>
    <row r="20834" spans="10:10" ht="15" customHeight="1" x14ac:dyDescent="0.3">
      <c r="J20834" s="33"/>
    </row>
    <row r="20835" spans="10:10" ht="15" customHeight="1" x14ac:dyDescent="0.3">
      <c r="J20835" s="33"/>
    </row>
    <row r="20836" spans="10:10" ht="15" customHeight="1" x14ac:dyDescent="0.3">
      <c r="J20836" s="33"/>
    </row>
    <row r="20837" spans="10:10" ht="15" customHeight="1" x14ac:dyDescent="0.3">
      <c r="J20837" s="33"/>
    </row>
    <row r="20838" spans="10:10" ht="15" customHeight="1" x14ac:dyDescent="0.3">
      <c r="J20838" s="33"/>
    </row>
    <row r="20839" spans="10:10" ht="15" customHeight="1" x14ac:dyDescent="0.3">
      <c r="J20839" s="33"/>
    </row>
    <row r="20840" spans="10:10" ht="15" customHeight="1" x14ac:dyDescent="0.3">
      <c r="J20840" s="33"/>
    </row>
    <row r="20841" spans="10:10" ht="15" customHeight="1" x14ac:dyDescent="0.3">
      <c r="J20841" s="33"/>
    </row>
    <row r="20842" spans="10:10" ht="15" customHeight="1" x14ac:dyDescent="0.3">
      <c r="J20842" s="33"/>
    </row>
    <row r="20843" spans="10:10" ht="15" customHeight="1" x14ac:dyDescent="0.3">
      <c r="J20843" s="33"/>
    </row>
    <row r="20844" spans="10:10" ht="15" customHeight="1" x14ac:dyDescent="0.3">
      <c r="J20844" s="33"/>
    </row>
    <row r="20845" spans="10:10" ht="15" customHeight="1" x14ac:dyDescent="0.3">
      <c r="J20845" s="33"/>
    </row>
    <row r="20846" spans="10:10" ht="15" customHeight="1" x14ac:dyDescent="0.3">
      <c r="J20846" s="33"/>
    </row>
    <row r="20847" spans="10:10" ht="15" customHeight="1" x14ac:dyDescent="0.3">
      <c r="J20847" s="33"/>
    </row>
    <row r="20848" spans="10:10" ht="15" customHeight="1" x14ac:dyDescent="0.3">
      <c r="J20848" s="33"/>
    </row>
    <row r="20849" spans="10:10" ht="15" customHeight="1" x14ac:dyDescent="0.3">
      <c r="J20849" s="33"/>
    </row>
    <row r="20850" spans="10:10" ht="15" customHeight="1" x14ac:dyDescent="0.3">
      <c r="J20850" s="33"/>
    </row>
    <row r="20851" spans="10:10" ht="15" customHeight="1" x14ac:dyDescent="0.3">
      <c r="J20851" s="33"/>
    </row>
    <row r="20852" spans="10:10" ht="15" customHeight="1" x14ac:dyDescent="0.3">
      <c r="J20852" s="33"/>
    </row>
    <row r="20853" spans="10:10" ht="15" customHeight="1" x14ac:dyDescent="0.3">
      <c r="J20853" s="33"/>
    </row>
    <row r="20854" spans="10:10" ht="15" customHeight="1" x14ac:dyDescent="0.3">
      <c r="J20854" s="33"/>
    </row>
    <row r="20855" spans="10:10" ht="15" customHeight="1" x14ac:dyDescent="0.3">
      <c r="J20855" s="33"/>
    </row>
    <row r="20856" spans="10:10" ht="15" customHeight="1" x14ac:dyDescent="0.3">
      <c r="J20856" s="33"/>
    </row>
    <row r="20857" spans="10:10" ht="15" customHeight="1" x14ac:dyDescent="0.3">
      <c r="J20857" s="33"/>
    </row>
    <row r="20858" spans="10:10" ht="15" customHeight="1" x14ac:dyDescent="0.3">
      <c r="J20858" s="33"/>
    </row>
    <row r="20859" spans="10:10" ht="15" customHeight="1" x14ac:dyDescent="0.3">
      <c r="J20859" s="33"/>
    </row>
    <row r="20860" spans="10:10" ht="15" customHeight="1" x14ac:dyDescent="0.3">
      <c r="J20860" s="33"/>
    </row>
    <row r="20861" spans="10:10" ht="15" customHeight="1" x14ac:dyDescent="0.3">
      <c r="J20861" s="33"/>
    </row>
    <row r="20862" spans="10:10" ht="15" customHeight="1" x14ac:dyDescent="0.3">
      <c r="J20862" s="33"/>
    </row>
    <row r="20863" spans="10:10" ht="15" customHeight="1" x14ac:dyDescent="0.3">
      <c r="J20863" s="33"/>
    </row>
    <row r="20864" spans="10:10" ht="15" customHeight="1" x14ac:dyDescent="0.3">
      <c r="J20864" s="33"/>
    </row>
    <row r="20865" spans="10:10" ht="15" customHeight="1" x14ac:dyDescent="0.3">
      <c r="J20865" s="33"/>
    </row>
    <row r="20866" spans="10:10" ht="15" customHeight="1" x14ac:dyDescent="0.3">
      <c r="J20866" s="33"/>
    </row>
    <row r="20867" spans="10:10" ht="15" customHeight="1" x14ac:dyDescent="0.3">
      <c r="J20867" s="33"/>
    </row>
    <row r="20868" spans="10:10" ht="15" customHeight="1" x14ac:dyDescent="0.3">
      <c r="J20868" s="33"/>
    </row>
    <row r="20869" spans="10:10" ht="15" customHeight="1" x14ac:dyDescent="0.3">
      <c r="J20869" s="33"/>
    </row>
    <row r="20870" spans="10:10" ht="15" customHeight="1" x14ac:dyDescent="0.3">
      <c r="J20870" s="33"/>
    </row>
    <row r="20871" spans="10:10" ht="15" customHeight="1" x14ac:dyDescent="0.3">
      <c r="J20871" s="33"/>
    </row>
    <row r="20872" spans="10:10" ht="15" customHeight="1" x14ac:dyDescent="0.3">
      <c r="J20872" s="33"/>
    </row>
    <row r="20873" spans="10:10" ht="15" customHeight="1" x14ac:dyDescent="0.3">
      <c r="J20873" s="33"/>
    </row>
    <row r="20874" spans="10:10" ht="15" customHeight="1" x14ac:dyDescent="0.3">
      <c r="J20874" s="33"/>
    </row>
    <row r="20875" spans="10:10" ht="15" customHeight="1" x14ac:dyDescent="0.3">
      <c r="J20875" s="33"/>
    </row>
    <row r="20876" spans="10:10" ht="15" customHeight="1" x14ac:dyDescent="0.3">
      <c r="J20876" s="33"/>
    </row>
    <row r="20877" spans="10:10" ht="15" customHeight="1" x14ac:dyDescent="0.3">
      <c r="J20877" s="33"/>
    </row>
    <row r="20878" spans="10:10" ht="15" customHeight="1" x14ac:dyDescent="0.3">
      <c r="J20878" s="33"/>
    </row>
    <row r="20879" spans="10:10" ht="15" customHeight="1" x14ac:dyDescent="0.3">
      <c r="J20879" s="33"/>
    </row>
    <row r="20880" spans="10:10" ht="15" customHeight="1" x14ac:dyDescent="0.3">
      <c r="J20880" s="33"/>
    </row>
    <row r="20881" spans="10:10" ht="15" customHeight="1" x14ac:dyDescent="0.3">
      <c r="J20881" s="33"/>
    </row>
    <row r="20882" spans="10:10" ht="15" customHeight="1" x14ac:dyDescent="0.3">
      <c r="J20882" s="33"/>
    </row>
    <row r="20883" spans="10:10" ht="15" customHeight="1" x14ac:dyDescent="0.3">
      <c r="J20883" s="33"/>
    </row>
    <row r="20884" spans="10:10" ht="15" customHeight="1" x14ac:dyDescent="0.3">
      <c r="J20884" s="33"/>
    </row>
    <row r="20885" spans="10:10" ht="15" customHeight="1" x14ac:dyDescent="0.3">
      <c r="J20885" s="33"/>
    </row>
    <row r="20886" spans="10:10" ht="15" customHeight="1" x14ac:dyDescent="0.3">
      <c r="J20886" s="33"/>
    </row>
    <row r="20887" spans="10:10" ht="15" customHeight="1" x14ac:dyDescent="0.3">
      <c r="J20887" s="33"/>
    </row>
    <row r="20888" spans="10:10" ht="15" customHeight="1" x14ac:dyDescent="0.3">
      <c r="J20888" s="33"/>
    </row>
    <row r="20889" spans="10:10" ht="15" customHeight="1" x14ac:dyDescent="0.3">
      <c r="J20889" s="33"/>
    </row>
    <row r="20890" spans="10:10" ht="15" customHeight="1" x14ac:dyDescent="0.3">
      <c r="J20890" s="33"/>
    </row>
    <row r="20891" spans="10:10" ht="15" customHeight="1" x14ac:dyDescent="0.3">
      <c r="J20891" s="33"/>
    </row>
    <row r="20892" spans="10:10" ht="15" customHeight="1" x14ac:dyDescent="0.3">
      <c r="J20892" s="33"/>
    </row>
    <row r="20893" spans="10:10" ht="15" customHeight="1" x14ac:dyDescent="0.3">
      <c r="J20893" s="33"/>
    </row>
    <row r="20894" spans="10:10" ht="15" customHeight="1" x14ac:dyDescent="0.3">
      <c r="J20894" s="33"/>
    </row>
    <row r="20895" spans="10:10" ht="15" customHeight="1" x14ac:dyDescent="0.3">
      <c r="J20895" s="33"/>
    </row>
    <row r="20896" spans="10:10" ht="15" customHeight="1" x14ac:dyDescent="0.3">
      <c r="J20896" s="33"/>
    </row>
    <row r="20897" spans="10:10" ht="15" customHeight="1" x14ac:dyDescent="0.3">
      <c r="J20897" s="33"/>
    </row>
    <row r="20898" spans="10:10" ht="15" customHeight="1" x14ac:dyDescent="0.3">
      <c r="J20898" s="33"/>
    </row>
    <row r="20899" spans="10:10" ht="15" customHeight="1" x14ac:dyDescent="0.3">
      <c r="J20899" s="33"/>
    </row>
    <row r="20900" spans="10:10" ht="15" customHeight="1" x14ac:dyDescent="0.3">
      <c r="J20900" s="33"/>
    </row>
    <row r="20901" spans="10:10" ht="15" customHeight="1" x14ac:dyDescent="0.3">
      <c r="J20901" s="33"/>
    </row>
    <row r="20902" spans="10:10" ht="15" customHeight="1" x14ac:dyDescent="0.3">
      <c r="J20902" s="33"/>
    </row>
    <row r="20903" spans="10:10" ht="15" customHeight="1" x14ac:dyDescent="0.3">
      <c r="J20903" s="33"/>
    </row>
    <row r="20904" spans="10:10" ht="15" customHeight="1" x14ac:dyDescent="0.3">
      <c r="J20904" s="33"/>
    </row>
    <row r="20905" spans="10:10" ht="15" customHeight="1" x14ac:dyDescent="0.3">
      <c r="J20905" s="33"/>
    </row>
    <row r="20906" spans="10:10" ht="15" customHeight="1" x14ac:dyDescent="0.3">
      <c r="J20906" s="33"/>
    </row>
    <row r="20907" spans="10:10" ht="15" customHeight="1" x14ac:dyDescent="0.3">
      <c r="J20907" s="33"/>
    </row>
    <row r="20908" spans="10:10" ht="15" customHeight="1" x14ac:dyDescent="0.3">
      <c r="J20908" s="33"/>
    </row>
    <row r="20909" spans="10:10" ht="15" customHeight="1" x14ac:dyDescent="0.3">
      <c r="J20909" s="33"/>
    </row>
    <row r="20910" spans="10:10" ht="15" customHeight="1" x14ac:dyDescent="0.3">
      <c r="J20910" s="33"/>
    </row>
    <row r="20911" spans="10:10" ht="15" customHeight="1" x14ac:dyDescent="0.3">
      <c r="J20911" s="33"/>
    </row>
    <row r="20912" spans="10:10" ht="15" customHeight="1" x14ac:dyDescent="0.3">
      <c r="J20912" s="33"/>
    </row>
    <row r="20913" spans="10:10" ht="15" customHeight="1" x14ac:dyDescent="0.3">
      <c r="J20913" s="33"/>
    </row>
    <row r="20914" spans="10:10" ht="15" customHeight="1" x14ac:dyDescent="0.3">
      <c r="J20914" s="33"/>
    </row>
    <row r="20915" spans="10:10" ht="15" customHeight="1" x14ac:dyDescent="0.3">
      <c r="J20915" s="33"/>
    </row>
    <row r="20916" spans="10:10" ht="15" customHeight="1" x14ac:dyDescent="0.3">
      <c r="J20916" s="33"/>
    </row>
    <row r="20917" spans="10:10" ht="15" customHeight="1" x14ac:dyDescent="0.3">
      <c r="J20917" s="33"/>
    </row>
    <row r="20918" spans="10:10" ht="15" customHeight="1" x14ac:dyDescent="0.3">
      <c r="J20918" s="33"/>
    </row>
    <row r="20919" spans="10:10" ht="15" customHeight="1" x14ac:dyDescent="0.3">
      <c r="J20919" s="33"/>
    </row>
    <row r="20920" spans="10:10" ht="15" customHeight="1" x14ac:dyDescent="0.3">
      <c r="J20920" s="33"/>
    </row>
    <row r="20921" spans="10:10" ht="15" customHeight="1" x14ac:dyDescent="0.3">
      <c r="J20921" s="33"/>
    </row>
    <row r="20922" spans="10:10" ht="15" customHeight="1" x14ac:dyDescent="0.3">
      <c r="J20922" s="33"/>
    </row>
    <row r="20923" spans="10:10" ht="15" customHeight="1" x14ac:dyDescent="0.3">
      <c r="J20923" s="33"/>
    </row>
    <row r="20924" spans="10:10" ht="15" customHeight="1" x14ac:dyDescent="0.3">
      <c r="J20924" s="33"/>
    </row>
    <row r="20925" spans="10:10" ht="15" customHeight="1" x14ac:dyDescent="0.3">
      <c r="J20925" s="33"/>
    </row>
    <row r="20926" spans="10:10" ht="15" customHeight="1" x14ac:dyDescent="0.3">
      <c r="J20926" s="33"/>
    </row>
    <row r="20927" spans="10:10" ht="15" customHeight="1" x14ac:dyDescent="0.3">
      <c r="J20927" s="33"/>
    </row>
    <row r="20928" spans="10:10" ht="15" customHeight="1" x14ac:dyDescent="0.3">
      <c r="J20928" s="33"/>
    </row>
    <row r="20929" spans="10:10" ht="15" customHeight="1" x14ac:dyDescent="0.3">
      <c r="J20929" s="33"/>
    </row>
    <row r="20930" spans="10:10" ht="15" customHeight="1" x14ac:dyDescent="0.3">
      <c r="J20930" s="33"/>
    </row>
    <row r="20931" spans="10:10" ht="15" customHeight="1" x14ac:dyDescent="0.3">
      <c r="J20931" s="33"/>
    </row>
    <row r="20932" spans="10:10" ht="15" customHeight="1" x14ac:dyDescent="0.3">
      <c r="J20932" s="33"/>
    </row>
    <row r="20933" spans="10:10" ht="15" customHeight="1" x14ac:dyDescent="0.3">
      <c r="J20933" s="33"/>
    </row>
    <row r="20934" spans="10:10" ht="15" customHeight="1" x14ac:dyDescent="0.3">
      <c r="J20934" s="33"/>
    </row>
    <row r="20935" spans="10:10" ht="15" customHeight="1" x14ac:dyDescent="0.3">
      <c r="J20935" s="33"/>
    </row>
    <row r="20936" spans="10:10" ht="15" customHeight="1" x14ac:dyDescent="0.3">
      <c r="J20936" s="33"/>
    </row>
    <row r="20937" spans="10:10" ht="15" customHeight="1" x14ac:dyDescent="0.3">
      <c r="J20937" s="33"/>
    </row>
    <row r="20938" spans="10:10" ht="15" customHeight="1" x14ac:dyDescent="0.3">
      <c r="J20938" s="33"/>
    </row>
    <row r="20939" spans="10:10" ht="15" customHeight="1" x14ac:dyDescent="0.3">
      <c r="J20939" s="33"/>
    </row>
    <row r="20940" spans="10:10" ht="15" customHeight="1" x14ac:dyDescent="0.3">
      <c r="J20940" s="33"/>
    </row>
    <row r="20941" spans="10:10" ht="15" customHeight="1" x14ac:dyDescent="0.3">
      <c r="J20941" s="33"/>
    </row>
    <row r="20942" spans="10:10" ht="15" customHeight="1" x14ac:dyDescent="0.3">
      <c r="J20942" s="33"/>
    </row>
    <row r="20943" spans="10:10" ht="15" customHeight="1" x14ac:dyDescent="0.3">
      <c r="J20943" s="33"/>
    </row>
    <row r="20944" spans="10:10" ht="15" customHeight="1" x14ac:dyDescent="0.3">
      <c r="J20944" s="33"/>
    </row>
    <row r="20945" spans="10:10" ht="15" customHeight="1" x14ac:dyDescent="0.3">
      <c r="J20945" s="33"/>
    </row>
    <row r="20946" spans="10:10" ht="15" customHeight="1" x14ac:dyDescent="0.3">
      <c r="J20946" s="33"/>
    </row>
    <row r="20947" spans="10:10" ht="15" customHeight="1" x14ac:dyDescent="0.3">
      <c r="J20947" s="33"/>
    </row>
    <row r="20948" spans="10:10" ht="15" customHeight="1" x14ac:dyDescent="0.3">
      <c r="J20948" s="33"/>
    </row>
    <row r="20949" spans="10:10" ht="15" customHeight="1" x14ac:dyDescent="0.3">
      <c r="J20949" s="33"/>
    </row>
    <row r="20950" spans="10:10" ht="15" customHeight="1" x14ac:dyDescent="0.3">
      <c r="J20950" s="33"/>
    </row>
    <row r="20951" spans="10:10" ht="15" customHeight="1" x14ac:dyDescent="0.3">
      <c r="J20951" s="33"/>
    </row>
    <row r="20952" spans="10:10" ht="15" customHeight="1" x14ac:dyDescent="0.3">
      <c r="J20952" s="33"/>
    </row>
    <row r="20953" spans="10:10" ht="15" customHeight="1" x14ac:dyDescent="0.3">
      <c r="J20953" s="33"/>
    </row>
    <row r="20954" spans="10:10" ht="15" customHeight="1" x14ac:dyDescent="0.3">
      <c r="J20954" s="33"/>
    </row>
    <row r="20955" spans="10:10" ht="15" customHeight="1" x14ac:dyDescent="0.3">
      <c r="J20955" s="33"/>
    </row>
    <row r="20956" spans="10:10" ht="15" customHeight="1" x14ac:dyDescent="0.3">
      <c r="J20956" s="33"/>
    </row>
    <row r="20957" spans="10:10" ht="15" customHeight="1" x14ac:dyDescent="0.3">
      <c r="J20957" s="33"/>
    </row>
    <row r="20958" spans="10:10" ht="15" customHeight="1" x14ac:dyDescent="0.3">
      <c r="J20958" s="33"/>
    </row>
    <row r="20959" spans="10:10" ht="15" customHeight="1" x14ac:dyDescent="0.3">
      <c r="J20959" s="33"/>
    </row>
    <row r="20960" spans="10:10" ht="15" customHeight="1" x14ac:dyDescent="0.3">
      <c r="J20960" s="33"/>
    </row>
    <row r="20961" spans="10:10" ht="15" customHeight="1" x14ac:dyDescent="0.3">
      <c r="J20961" s="33"/>
    </row>
    <row r="20962" spans="10:10" ht="15" customHeight="1" x14ac:dyDescent="0.3">
      <c r="J20962" s="33"/>
    </row>
    <row r="20963" spans="10:10" ht="15" customHeight="1" x14ac:dyDescent="0.3">
      <c r="J20963" s="33"/>
    </row>
    <row r="20964" spans="10:10" ht="15" customHeight="1" x14ac:dyDescent="0.3">
      <c r="J20964" s="33"/>
    </row>
    <row r="20965" spans="10:10" ht="15" customHeight="1" x14ac:dyDescent="0.3">
      <c r="J20965" s="33"/>
    </row>
    <row r="20966" spans="10:10" ht="15" customHeight="1" x14ac:dyDescent="0.3">
      <c r="J20966" s="33"/>
    </row>
    <row r="20967" spans="10:10" ht="15" customHeight="1" x14ac:dyDescent="0.3">
      <c r="J20967" s="33"/>
    </row>
    <row r="20968" spans="10:10" ht="15" customHeight="1" x14ac:dyDescent="0.3">
      <c r="J20968" s="33"/>
    </row>
    <row r="20969" spans="10:10" ht="15" customHeight="1" x14ac:dyDescent="0.3">
      <c r="J20969" s="33"/>
    </row>
    <row r="20970" spans="10:10" ht="15" customHeight="1" x14ac:dyDescent="0.3">
      <c r="J20970" s="33"/>
    </row>
    <row r="20971" spans="10:10" ht="15" customHeight="1" x14ac:dyDescent="0.3">
      <c r="J20971" s="33"/>
    </row>
    <row r="20972" spans="10:10" ht="15" customHeight="1" x14ac:dyDescent="0.3">
      <c r="J20972" s="33"/>
    </row>
    <row r="20973" spans="10:10" ht="15" customHeight="1" x14ac:dyDescent="0.3">
      <c r="J20973" s="33"/>
    </row>
    <row r="20974" spans="10:10" ht="15" customHeight="1" x14ac:dyDescent="0.3">
      <c r="J20974" s="33"/>
    </row>
    <row r="20975" spans="10:10" ht="15" customHeight="1" x14ac:dyDescent="0.3">
      <c r="J20975" s="33"/>
    </row>
    <row r="20976" spans="10:10" ht="15" customHeight="1" x14ac:dyDescent="0.3">
      <c r="J20976" s="33"/>
    </row>
    <row r="20977" spans="10:10" ht="15" customHeight="1" x14ac:dyDescent="0.3">
      <c r="J20977" s="33"/>
    </row>
    <row r="20978" spans="10:10" ht="15" customHeight="1" x14ac:dyDescent="0.3">
      <c r="J20978" s="33"/>
    </row>
    <row r="20979" spans="10:10" ht="15" customHeight="1" x14ac:dyDescent="0.3">
      <c r="J20979" s="33"/>
    </row>
    <row r="20980" spans="10:10" ht="15" customHeight="1" x14ac:dyDescent="0.3">
      <c r="J20980" s="33"/>
    </row>
    <row r="20981" spans="10:10" ht="15" customHeight="1" x14ac:dyDescent="0.3">
      <c r="J20981" s="33"/>
    </row>
    <row r="20982" spans="10:10" ht="15" customHeight="1" x14ac:dyDescent="0.3">
      <c r="J20982" s="33"/>
    </row>
    <row r="20983" spans="10:10" ht="15" customHeight="1" x14ac:dyDescent="0.3">
      <c r="J20983" s="33"/>
    </row>
    <row r="20984" spans="10:10" ht="15" customHeight="1" x14ac:dyDescent="0.3">
      <c r="J20984" s="33"/>
    </row>
    <row r="20985" spans="10:10" ht="15" customHeight="1" x14ac:dyDescent="0.3">
      <c r="J20985" s="33"/>
    </row>
    <row r="20986" spans="10:10" ht="15" customHeight="1" x14ac:dyDescent="0.3">
      <c r="J20986" s="33"/>
    </row>
    <row r="20987" spans="10:10" ht="15" customHeight="1" x14ac:dyDescent="0.3">
      <c r="J20987" s="33"/>
    </row>
    <row r="20988" spans="10:10" ht="15" customHeight="1" x14ac:dyDescent="0.3">
      <c r="J20988" s="33"/>
    </row>
    <row r="20989" spans="10:10" ht="15" customHeight="1" x14ac:dyDescent="0.3">
      <c r="J20989" s="33"/>
    </row>
    <row r="20990" spans="10:10" ht="15" customHeight="1" x14ac:dyDescent="0.3">
      <c r="J20990" s="33"/>
    </row>
    <row r="20991" spans="10:10" ht="15" customHeight="1" x14ac:dyDescent="0.3">
      <c r="J20991" s="33"/>
    </row>
    <row r="20992" spans="10:10" ht="15" customHeight="1" x14ac:dyDescent="0.3">
      <c r="J20992" s="33"/>
    </row>
    <row r="20993" spans="10:10" ht="15" customHeight="1" x14ac:dyDescent="0.3">
      <c r="J20993" s="33"/>
    </row>
    <row r="20994" spans="10:10" ht="15" customHeight="1" x14ac:dyDescent="0.3">
      <c r="J20994" s="33"/>
    </row>
    <row r="20995" spans="10:10" ht="15" customHeight="1" x14ac:dyDescent="0.3">
      <c r="J20995" s="33"/>
    </row>
    <row r="20996" spans="10:10" ht="15" customHeight="1" x14ac:dyDescent="0.3">
      <c r="J20996" s="33"/>
    </row>
    <row r="20997" spans="10:10" ht="15" customHeight="1" x14ac:dyDescent="0.3">
      <c r="J20997" s="33"/>
    </row>
    <row r="20998" spans="10:10" ht="15" customHeight="1" x14ac:dyDescent="0.3">
      <c r="J20998" s="33"/>
    </row>
    <row r="20999" spans="10:10" ht="15" customHeight="1" x14ac:dyDescent="0.3">
      <c r="J20999" s="33"/>
    </row>
    <row r="21000" spans="10:10" ht="15" customHeight="1" x14ac:dyDescent="0.3">
      <c r="J21000" s="33"/>
    </row>
    <row r="21001" spans="10:10" ht="15" customHeight="1" x14ac:dyDescent="0.3">
      <c r="J21001" s="33"/>
    </row>
    <row r="21002" spans="10:10" ht="15" customHeight="1" x14ac:dyDescent="0.3">
      <c r="J21002" s="33"/>
    </row>
    <row r="21003" spans="10:10" ht="15" customHeight="1" x14ac:dyDescent="0.3">
      <c r="J21003" s="33"/>
    </row>
    <row r="21004" spans="10:10" ht="15" customHeight="1" x14ac:dyDescent="0.3">
      <c r="J21004" s="33"/>
    </row>
    <row r="21005" spans="10:10" ht="15" customHeight="1" x14ac:dyDescent="0.3">
      <c r="J21005" s="33"/>
    </row>
    <row r="21006" spans="10:10" ht="15" customHeight="1" x14ac:dyDescent="0.3">
      <c r="J21006" s="33"/>
    </row>
    <row r="21007" spans="10:10" ht="15" customHeight="1" x14ac:dyDescent="0.3">
      <c r="J21007" s="33"/>
    </row>
    <row r="21008" spans="10:10" ht="15" customHeight="1" x14ac:dyDescent="0.3">
      <c r="J21008" s="33"/>
    </row>
    <row r="21009" spans="10:10" ht="15" customHeight="1" x14ac:dyDescent="0.3">
      <c r="J21009" s="33"/>
    </row>
    <row r="21010" spans="10:10" ht="15" customHeight="1" x14ac:dyDescent="0.3">
      <c r="J21010" s="33"/>
    </row>
    <row r="21011" spans="10:10" ht="15" customHeight="1" x14ac:dyDescent="0.3">
      <c r="J21011" s="33"/>
    </row>
    <row r="21012" spans="10:10" ht="15" customHeight="1" x14ac:dyDescent="0.3">
      <c r="J21012" s="33"/>
    </row>
    <row r="21013" spans="10:10" ht="15" customHeight="1" x14ac:dyDescent="0.3">
      <c r="J21013" s="33"/>
    </row>
    <row r="21014" spans="10:10" ht="15" customHeight="1" x14ac:dyDescent="0.3">
      <c r="J21014" s="33"/>
    </row>
    <row r="21015" spans="10:10" ht="15" customHeight="1" x14ac:dyDescent="0.3">
      <c r="J21015" s="33"/>
    </row>
    <row r="21016" spans="10:10" ht="15" customHeight="1" x14ac:dyDescent="0.3">
      <c r="J21016" s="33"/>
    </row>
    <row r="21017" spans="10:10" ht="15" customHeight="1" x14ac:dyDescent="0.3">
      <c r="J21017" s="33"/>
    </row>
    <row r="21018" spans="10:10" ht="15" customHeight="1" x14ac:dyDescent="0.3">
      <c r="J21018" s="33"/>
    </row>
    <row r="21019" spans="10:10" ht="15" customHeight="1" x14ac:dyDescent="0.3">
      <c r="J21019" s="33"/>
    </row>
    <row r="21020" spans="10:10" ht="15" customHeight="1" x14ac:dyDescent="0.3">
      <c r="J21020" s="33"/>
    </row>
    <row r="21021" spans="10:10" ht="15" customHeight="1" x14ac:dyDescent="0.3">
      <c r="J21021" s="33"/>
    </row>
    <row r="21022" spans="10:10" ht="15" customHeight="1" x14ac:dyDescent="0.3">
      <c r="J21022" s="33"/>
    </row>
    <row r="21023" spans="10:10" ht="15" customHeight="1" x14ac:dyDescent="0.3">
      <c r="J21023" s="33"/>
    </row>
    <row r="21024" spans="10:10" ht="15" customHeight="1" x14ac:dyDescent="0.3">
      <c r="J21024" s="33"/>
    </row>
    <row r="21025" spans="10:10" ht="15" customHeight="1" x14ac:dyDescent="0.3">
      <c r="J21025" s="33"/>
    </row>
    <row r="21026" spans="10:10" ht="15" customHeight="1" x14ac:dyDescent="0.3">
      <c r="J21026" s="33"/>
    </row>
    <row r="21027" spans="10:10" ht="15" customHeight="1" x14ac:dyDescent="0.3">
      <c r="J21027" s="33"/>
    </row>
    <row r="21028" spans="10:10" ht="15" customHeight="1" x14ac:dyDescent="0.3">
      <c r="J21028" s="33"/>
    </row>
    <row r="21029" spans="10:10" ht="15" customHeight="1" x14ac:dyDescent="0.3">
      <c r="J21029" s="33"/>
    </row>
    <row r="21030" spans="10:10" ht="15" customHeight="1" x14ac:dyDescent="0.3">
      <c r="J21030" s="33"/>
    </row>
    <row r="21031" spans="10:10" ht="15" customHeight="1" x14ac:dyDescent="0.3">
      <c r="J21031" s="33"/>
    </row>
    <row r="21032" spans="10:10" ht="15" customHeight="1" x14ac:dyDescent="0.3">
      <c r="J21032" s="33"/>
    </row>
    <row r="21033" spans="10:10" ht="15" customHeight="1" x14ac:dyDescent="0.3">
      <c r="J21033" s="33"/>
    </row>
    <row r="21034" spans="10:10" ht="15" customHeight="1" x14ac:dyDescent="0.3">
      <c r="J21034" s="33"/>
    </row>
    <row r="21035" spans="10:10" ht="15" customHeight="1" x14ac:dyDescent="0.3">
      <c r="J21035" s="33"/>
    </row>
    <row r="21036" spans="10:10" ht="15" customHeight="1" x14ac:dyDescent="0.3">
      <c r="J21036" s="33"/>
    </row>
    <row r="21037" spans="10:10" ht="15" customHeight="1" x14ac:dyDescent="0.3">
      <c r="J21037" s="33"/>
    </row>
    <row r="21038" spans="10:10" ht="15" customHeight="1" x14ac:dyDescent="0.3">
      <c r="J21038" s="33"/>
    </row>
    <row r="21039" spans="10:10" ht="15" customHeight="1" x14ac:dyDescent="0.3">
      <c r="J21039" s="33"/>
    </row>
    <row r="21040" spans="10:10" ht="15" customHeight="1" x14ac:dyDescent="0.3">
      <c r="J21040" s="33"/>
    </row>
    <row r="21041" spans="10:10" ht="15" customHeight="1" x14ac:dyDescent="0.3">
      <c r="J21041" s="33"/>
    </row>
    <row r="21042" spans="10:10" ht="15" customHeight="1" x14ac:dyDescent="0.3">
      <c r="J21042" s="33"/>
    </row>
    <row r="21043" spans="10:10" ht="15" customHeight="1" x14ac:dyDescent="0.3">
      <c r="J21043" s="33"/>
    </row>
    <row r="21044" spans="10:10" ht="15" customHeight="1" x14ac:dyDescent="0.3">
      <c r="J21044" s="33"/>
    </row>
    <row r="21045" spans="10:10" ht="15" customHeight="1" x14ac:dyDescent="0.3">
      <c r="J21045" s="33"/>
    </row>
    <row r="21046" spans="10:10" ht="15" customHeight="1" x14ac:dyDescent="0.3">
      <c r="J21046" s="33"/>
    </row>
    <row r="21047" spans="10:10" ht="15" customHeight="1" x14ac:dyDescent="0.3">
      <c r="J21047" s="33"/>
    </row>
    <row r="21048" spans="10:10" ht="15" customHeight="1" x14ac:dyDescent="0.3">
      <c r="J21048" s="33"/>
    </row>
    <row r="21049" spans="10:10" ht="15" customHeight="1" x14ac:dyDescent="0.3">
      <c r="J21049" s="33"/>
    </row>
    <row r="21050" spans="10:10" ht="15" customHeight="1" x14ac:dyDescent="0.3">
      <c r="J21050" s="33"/>
    </row>
    <row r="21051" spans="10:10" ht="15" customHeight="1" x14ac:dyDescent="0.3">
      <c r="J21051" s="33"/>
    </row>
    <row r="21052" spans="10:10" ht="15" customHeight="1" x14ac:dyDescent="0.3">
      <c r="J21052" s="33"/>
    </row>
    <row r="21053" spans="10:10" ht="15" customHeight="1" x14ac:dyDescent="0.3">
      <c r="J21053" s="33"/>
    </row>
    <row r="21054" spans="10:10" ht="15" customHeight="1" x14ac:dyDescent="0.3">
      <c r="J21054" s="33"/>
    </row>
    <row r="21055" spans="10:10" ht="15" customHeight="1" x14ac:dyDescent="0.3">
      <c r="J21055" s="33"/>
    </row>
    <row r="21056" spans="10:10" ht="15" customHeight="1" x14ac:dyDescent="0.3">
      <c r="J21056" s="33"/>
    </row>
    <row r="21057" spans="10:10" ht="15" customHeight="1" x14ac:dyDescent="0.3">
      <c r="J21057" s="33"/>
    </row>
    <row r="21058" spans="10:10" ht="15" customHeight="1" x14ac:dyDescent="0.3">
      <c r="J21058" s="33"/>
    </row>
    <row r="21059" spans="10:10" ht="15" customHeight="1" x14ac:dyDescent="0.3">
      <c r="J21059" s="33"/>
    </row>
    <row r="21060" spans="10:10" ht="15" customHeight="1" x14ac:dyDescent="0.3">
      <c r="J21060" s="33"/>
    </row>
    <row r="21061" spans="10:10" ht="15" customHeight="1" x14ac:dyDescent="0.3">
      <c r="J21061" s="33"/>
    </row>
    <row r="21062" spans="10:10" ht="15" customHeight="1" x14ac:dyDescent="0.3">
      <c r="J21062" s="33"/>
    </row>
    <row r="21063" spans="10:10" ht="15" customHeight="1" x14ac:dyDescent="0.3">
      <c r="J21063" s="33"/>
    </row>
    <row r="21064" spans="10:10" ht="15" customHeight="1" x14ac:dyDescent="0.3">
      <c r="J21064" s="33"/>
    </row>
    <row r="21065" spans="10:10" ht="15" customHeight="1" x14ac:dyDescent="0.3">
      <c r="J21065" s="33"/>
    </row>
    <row r="21066" spans="10:10" ht="15" customHeight="1" x14ac:dyDescent="0.3">
      <c r="J21066" s="33"/>
    </row>
    <row r="21067" spans="10:10" ht="15" customHeight="1" x14ac:dyDescent="0.3">
      <c r="J21067" s="33"/>
    </row>
    <row r="21068" spans="10:10" ht="15" customHeight="1" x14ac:dyDescent="0.3">
      <c r="J21068" s="33"/>
    </row>
    <row r="21069" spans="10:10" ht="15" customHeight="1" x14ac:dyDescent="0.3">
      <c r="J21069" s="33"/>
    </row>
    <row r="21070" spans="10:10" ht="15" customHeight="1" x14ac:dyDescent="0.3">
      <c r="J21070" s="33"/>
    </row>
    <row r="21071" spans="10:10" ht="15" customHeight="1" x14ac:dyDescent="0.3">
      <c r="J21071" s="33"/>
    </row>
    <row r="21072" spans="10:10" ht="15" customHeight="1" x14ac:dyDescent="0.3">
      <c r="J21072" s="33"/>
    </row>
    <row r="21073" spans="10:10" ht="15" customHeight="1" x14ac:dyDescent="0.3">
      <c r="J21073" s="33"/>
    </row>
    <row r="21074" spans="10:10" ht="15" customHeight="1" x14ac:dyDescent="0.3">
      <c r="J21074" s="33"/>
    </row>
    <row r="21075" spans="10:10" ht="15" customHeight="1" x14ac:dyDescent="0.3">
      <c r="J21075" s="33"/>
    </row>
    <row r="21076" spans="10:10" ht="15" customHeight="1" x14ac:dyDescent="0.3">
      <c r="J21076" s="33"/>
    </row>
    <row r="21077" spans="10:10" ht="15" customHeight="1" x14ac:dyDescent="0.3">
      <c r="J21077" s="33"/>
    </row>
    <row r="21078" spans="10:10" ht="15" customHeight="1" x14ac:dyDescent="0.3">
      <c r="J21078" s="33"/>
    </row>
    <row r="21079" spans="10:10" ht="15" customHeight="1" x14ac:dyDescent="0.3">
      <c r="J21079" s="33"/>
    </row>
    <row r="21080" spans="10:10" ht="15" customHeight="1" x14ac:dyDescent="0.3">
      <c r="J21080" s="33"/>
    </row>
    <row r="21081" spans="10:10" ht="15" customHeight="1" x14ac:dyDescent="0.3">
      <c r="J21081" s="33"/>
    </row>
    <row r="21082" spans="10:10" ht="15" customHeight="1" x14ac:dyDescent="0.3">
      <c r="J21082" s="33"/>
    </row>
    <row r="21083" spans="10:10" ht="15" customHeight="1" x14ac:dyDescent="0.3">
      <c r="J21083" s="33"/>
    </row>
    <row r="21084" spans="10:10" ht="15" customHeight="1" x14ac:dyDescent="0.3">
      <c r="J21084" s="33"/>
    </row>
    <row r="21085" spans="10:10" ht="15" customHeight="1" x14ac:dyDescent="0.3">
      <c r="J21085" s="33"/>
    </row>
    <row r="21086" spans="10:10" ht="15" customHeight="1" x14ac:dyDescent="0.3">
      <c r="J21086" s="33"/>
    </row>
    <row r="21087" spans="10:10" ht="15" customHeight="1" x14ac:dyDescent="0.3">
      <c r="J21087" s="33"/>
    </row>
    <row r="21088" spans="10:10" ht="15" customHeight="1" x14ac:dyDescent="0.3">
      <c r="J21088" s="33"/>
    </row>
    <row r="21089" spans="10:10" ht="15" customHeight="1" x14ac:dyDescent="0.3">
      <c r="J21089" s="33"/>
    </row>
    <row r="21090" spans="10:10" ht="15" customHeight="1" x14ac:dyDescent="0.3">
      <c r="J21090" s="33"/>
    </row>
    <row r="21091" spans="10:10" ht="15" customHeight="1" x14ac:dyDescent="0.3">
      <c r="J21091" s="33"/>
    </row>
    <row r="21092" spans="10:10" ht="15" customHeight="1" x14ac:dyDescent="0.3">
      <c r="J21092" s="33"/>
    </row>
    <row r="21093" spans="10:10" ht="15" customHeight="1" x14ac:dyDescent="0.3">
      <c r="J21093" s="33"/>
    </row>
    <row r="21094" spans="10:10" ht="15" customHeight="1" x14ac:dyDescent="0.3">
      <c r="J21094" s="33"/>
    </row>
    <row r="21095" spans="10:10" ht="15" customHeight="1" x14ac:dyDescent="0.3">
      <c r="J21095" s="33"/>
    </row>
    <row r="21096" spans="10:10" ht="15" customHeight="1" x14ac:dyDescent="0.3">
      <c r="J21096" s="33"/>
    </row>
    <row r="21097" spans="10:10" ht="15" customHeight="1" x14ac:dyDescent="0.3">
      <c r="J21097" s="33"/>
    </row>
    <row r="21098" spans="10:10" ht="15" customHeight="1" x14ac:dyDescent="0.3">
      <c r="J21098" s="33"/>
    </row>
    <row r="21099" spans="10:10" ht="15" customHeight="1" x14ac:dyDescent="0.3">
      <c r="J21099" s="33"/>
    </row>
    <row r="21100" spans="10:10" ht="15" customHeight="1" x14ac:dyDescent="0.3">
      <c r="J21100" s="33"/>
    </row>
    <row r="21101" spans="10:10" ht="15" customHeight="1" x14ac:dyDescent="0.3">
      <c r="J21101" s="33"/>
    </row>
    <row r="21102" spans="10:10" ht="15" customHeight="1" x14ac:dyDescent="0.3">
      <c r="J21102" s="33"/>
    </row>
    <row r="21103" spans="10:10" ht="15" customHeight="1" x14ac:dyDescent="0.3">
      <c r="J21103" s="33"/>
    </row>
    <row r="21104" spans="10:10" ht="15" customHeight="1" x14ac:dyDescent="0.3">
      <c r="J21104" s="33"/>
    </row>
    <row r="21105" spans="10:10" ht="15" customHeight="1" x14ac:dyDescent="0.3">
      <c r="J21105" s="33"/>
    </row>
    <row r="21106" spans="10:10" ht="15" customHeight="1" x14ac:dyDescent="0.3">
      <c r="J21106" s="33"/>
    </row>
    <row r="21107" spans="10:10" ht="15" customHeight="1" x14ac:dyDescent="0.3">
      <c r="J21107" s="33"/>
    </row>
    <row r="21108" spans="10:10" ht="15" customHeight="1" x14ac:dyDescent="0.3">
      <c r="J21108" s="33"/>
    </row>
    <row r="21109" spans="10:10" ht="15" customHeight="1" x14ac:dyDescent="0.3">
      <c r="J21109" s="33"/>
    </row>
    <row r="21110" spans="10:10" ht="15" customHeight="1" x14ac:dyDescent="0.3">
      <c r="J21110" s="33"/>
    </row>
    <row r="21111" spans="10:10" ht="15" customHeight="1" x14ac:dyDescent="0.3">
      <c r="J21111" s="33"/>
    </row>
    <row r="21112" spans="10:10" ht="15" customHeight="1" x14ac:dyDescent="0.3">
      <c r="J21112" s="33"/>
    </row>
    <row r="21113" spans="10:10" ht="15" customHeight="1" x14ac:dyDescent="0.3">
      <c r="J21113" s="33"/>
    </row>
    <row r="21114" spans="10:10" ht="15" customHeight="1" x14ac:dyDescent="0.3">
      <c r="J21114" s="33"/>
    </row>
    <row r="21115" spans="10:10" ht="15" customHeight="1" x14ac:dyDescent="0.3">
      <c r="J21115" s="33"/>
    </row>
    <row r="21116" spans="10:10" ht="15" customHeight="1" x14ac:dyDescent="0.3">
      <c r="J21116" s="33"/>
    </row>
    <row r="21117" spans="10:10" ht="15" customHeight="1" x14ac:dyDescent="0.3">
      <c r="J21117" s="33"/>
    </row>
    <row r="21118" spans="10:10" ht="15" customHeight="1" x14ac:dyDescent="0.3">
      <c r="J21118" s="33"/>
    </row>
    <row r="21119" spans="10:10" ht="15" customHeight="1" x14ac:dyDescent="0.3">
      <c r="J21119" s="33"/>
    </row>
    <row r="21120" spans="10:10" ht="15" customHeight="1" x14ac:dyDescent="0.3">
      <c r="J21120" s="33"/>
    </row>
    <row r="21121" spans="10:10" ht="15" customHeight="1" x14ac:dyDescent="0.3">
      <c r="J21121" s="33"/>
    </row>
    <row r="21122" spans="10:10" ht="15" customHeight="1" x14ac:dyDescent="0.3">
      <c r="J21122" s="33"/>
    </row>
    <row r="21123" spans="10:10" ht="15" customHeight="1" x14ac:dyDescent="0.3">
      <c r="J21123" s="33"/>
    </row>
    <row r="21124" spans="10:10" ht="15" customHeight="1" x14ac:dyDescent="0.3">
      <c r="J21124" s="33"/>
    </row>
    <row r="21125" spans="10:10" ht="15" customHeight="1" x14ac:dyDescent="0.3">
      <c r="J21125" s="33"/>
    </row>
    <row r="21126" spans="10:10" ht="15" customHeight="1" x14ac:dyDescent="0.3">
      <c r="J21126" s="33"/>
    </row>
    <row r="21127" spans="10:10" ht="15" customHeight="1" x14ac:dyDescent="0.3">
      <c r="J21127" s="33"/>
    </row>
    <row r="21128" spans="10:10" ht="15" customHeight="1" x14ac:dyDescent="0.3">
      <c r="J21128" s="33"/>
    </row>
    <row r="21129" spans="10:10" ht="15" customHeight="1" x14ac:dyDescent="0.3">
      <c r="J21129" s="33"/>
    </row>
    <row r="21130" spans="10:10" ht="15" customHeight="1" x14ac:dyDescent="0.3">
      <c r="J21130" s="33"/>
    </row>
    <row r="21131" spans="10:10" ht="15" customHeight="1" x14ac:dyDescent="0.3">
      <c r="J21131" s="33"/>
    </row>
    <row r="21132" spans="10:10" ht="15" customHeight="1" x14ac:dyDescent="0.3">
      <c r="J21132" s="33"/>
    </row>
    <row r="21133" spans="10:10" ht="15" customHeight="1" x14ac:dyDescent="0.3">
      <c r="J21133" s="33"/>
    </row>
    <row r="21134" spans="10:10" ht="15" customHeight="1" x14ac:dyDescent="0.3">
      <c r="J21134" s="33"/>
    </row>
    <row r="21135" spans="10:10" ht="15" customHeight="1" x14ac:dyDescent="0.3">
      <c r="J21135" s="33"/>
    </row>
    <row r="21136" spans="10:10" ht="15" customHeight="1" x14ac:dyDescent="0.3">
      <c r="J21136" s="33"/>
    </row>
    <row r="21137" spans="10:10" ht="15" customHeight="1" x14ac:dyDescent="0.3">
      <c r="J21137" s="33"/>
    </row>
    <row r="21138" spans="10:10" ht="15" customHeight="1" x14ac:dyDescent="0.3">
      <c r="J21138" s="33"/>
    </row>
    <row r="21139" spans="10:10" ht="15" customHeight="1" x14ac:dyDescent="0.3">
      <c r="J21139" s="33"/>
    </row>
    <row r="21140" spans="10:10" ht="15" customHeight="1" x14ac:dyDescent="0.3">
      <c r="J21140" s="33"/>
    </row>
    <row r="21141" spans="10:10" ht="15" customHeight="1" x14ac:dyDescent="0.3">
      <c r="J21141" s="33"/>
    </row>
    <row r="21142" spans="10:10" ht="15" customHeight="1" x14ac:dyDescent="0.3">
      <c r="J21142" s="33"/>
    </row>
    <row r="21143" spans="10:10" ht="15" customHeight="1" x14ac:dyDescent="0.3">
      <c r="J21143" s="33"/>
    </row>
    <row r="21144" spans="10:10" ht="15" customHeight="1" x14ac:dyDescent="0.3">
      <c r="J21144" s="33"/>
    </row>
    <row r="21145" spans="10:10" ht="15" customHeight="1" x14ac:dyDescent="0.3">
      <c r="J21145" s="33"/>
    </row>
    <row r="21146" spans="10:10" ht="15" customHeight="1" x14ac:dyDescent="0.3">
      <c r="J21146" s="33"/>
    </row>
    <row r="21147" spans="10:10" ht="15" customHeight="1" x14ac:dyDescent="0.3">
      <c r="J21147" s="33"/>
    </row>
    <row r="21148" spans="10:10" ht="15" customHeight="1" x14ac:dyDescent="0.3">
      <c r="J21148" s="33"/>
    </row>
    <row r="21149" spans="10:10" ht="15" customHeight="1" x14ac:dyDescent="0.3">
      <c r="J21149" s="33"/>
    </row>
    <row r="21150" spans="10:10" ht="15" customHeight="1" x14ac:dyDescent="0.3">
      <c r="J21150" s="33"/>
    </row>
    <row r="21151" spans="10:10" ht="15" customHeight="1" x14ac:dyDescent="0.3">
      <c r="J21151" s="33"/>
    </row>
    <row r="21152" spans="10:10" ht="15" customHeight="1" x14ac:dyDescent="0.3">
      <c r="J21152" s="33"/>
    </row>
    <row r="21153" spans="10:10" ht="15" customHeight="1" x14ac:dyDescent="0.3">
      <c r="J21153" s="33"/>
    </row>
    <row r="21154" spans="10:10" ht="15" customHeight="1" x14ac:dyDescent="0.3">
      <c r="J21154" s="33"/>
    </row>
    <row r="21155" spans="10:10" ht="15" customHeight="1" x14ac:dyDescent="0.3">
      <c r="J21155" s="33"/>
    </row>
    <row r="21156" spans="10:10" ht="15" customHeight="1" x14ac:dyDescent="0.3">
      <c r="J21156" s="33"/>
    </row>
    <row r="21157" spans="10:10" ht="15" customHeight="1" x14ac:dyDescent="0.3">
      <c r="J21157" s="33"/>
    </row>
    <row r="21158" spans="10:10" ht="15" customHeight="1" x14ac:dyDescent="0.3">
      <c r="J21158" s="33"/>
    </row>
    <row r="21159" spans="10:10" ht="15" customHeight="1" x14ac:dyDescent="0.3">
      <c r="J21159" s="33"/>
    </row>
    <row r="21160" spans="10:10" ht="15" customHeight="1" x14ac:dyDescent="0.3">
      <c r="J21160" s="33"/>
    </row>
    <row r="21161" spans="10:10" ht="15" customHeight="1" x14ac:dyDescent="0.3">
      <c r="J21161" s="33"/>
    </row>
    <row r="21162" spans="10:10" ht="15" customHeight="1" x14ac:dyDescent="0.3">
      <c r="J21162" s="33"/>
    </row>
    <row r="21163" spans="10:10" ht="15" customHeight="1" x14ac:dyDescent="0.3">
      <c r="J21163" s="33"/>
    </row>
    <row r="21164" spans="10:10" ht="15" customHeight="1" x14ac:dyDescent="0.3">
      <c r="J21164" s="33"/>
    </row>
    <row r="21165" spans="10:10" ht="15" customHeight="1" x14ac:dyDescent="0.3">
      <c r="J21165" s="33"/>
    </row>
    <row r="21166" spans="10:10" ht="15" customHeight="1" x14ac:dyDescent="0.3">
      <c r="J21166" s="33"/>
    </row>
    <row r="21167" spans="10:10" ht="15" customHeight="1" x14ac:dyDescent="0.3">
      <c r="J21167" s="33"/>
    </row>
    <row r="21168" spans="10:10" ht="15" customHeight="1" x14ac:dyDescent="0.3">
      <c r="J21168" s="33"/>
    </row>
    <row r="21169" spans="10:10" ht="15" customHeight="1" x14ac:dyDescent="0.3">
      <c r="J21169" s="33"/>
    </row>
    <row r="21170" spans="10:10" ht="15" customHeight="1" x14ac:dyDescent="0.3">
      <c r="J21170" s="33"/>
    </row>
    <row r="21171" spans="10:10" ht="15" customHeight="1" x14ac:dyDescent="0.3">
      <c r="J21171" s="33"/>
    </row>
    <row r="21172" spans="10:10" ht="15" customHeight="1" x14ac:dyDescent="0.3">
      <c r="J21172" s="33"/>
    </row>
    <row r="21173" spans="10:10" ht="15" customHeight="1" x14ac:dyDescent="0.3">
      <c r="J21173" s="33"/>
    </row>
    <row r="21174" spans="10:10" ht="15" customHeight="1" x14ac:dyDescent="0.3">
      <c r="J21174" s="33"/>
    </row>
    <row r="21175" spans="10:10" ht="15" customHeight="1" x14ac:dyDescent="0.3">
      <c r="J21175" s="33"/>
    </row>
    <row r="21176" spans="10:10" ht="15" customHeight="1" x14ac:dyDescent="0.3">
      <c r="J21176" s="33"/>
    </row>
    <row r="21177" spans="10:10" ht="15" customHeight="1" x14ac:dyDescent="0.3">
      <c r="J21177" s="33"/>
    </row>
    <row r="21178" spans="10:10" ht="15" customHeight="1" x14ac:dyDescent="0.3">
      <c r="J21178" s="33"/>
    </row>
    <row r="21179" spans="10:10" ht="15" customHeight="1" x14ac:dyDescent="0.3">
      <c r="J21179" s="33"/>
    </row>
    <row r="21180" spans="10:10" ht="15" customHeight="1" x14ac:dyDescent="0.3">
      <c r="J21180" s="33"/>
    </row>
    <row r="21181" spans="10:10" ht="15" customHeight="1" x14ac:dyDescent="0.3">
      <c r="J21181" s="33"/>
    </row>
    <row r="21182" spans="10:10" ht="15" customHeight="1" x14ac:dyDescent="0.3">
      <c r="J21182" s="33"/>
    </row>
    <row r="21183" spans="10:10" ht="15" customHeight="1" x14ac:dyDescent="0.3">
      <c r="J21183" s="33"/>
    </row>
    <row r="21184" spans="10:10" ht="15" customHeight="1" x14ac:dyDescent="0.3">
      <c r="J21184" s="33"/>
    </row>
    <row r="21185" spans="10:10" ht="15" customHeight="1" x14ac:dyDescent="0.3">
      <c r="J21185" s="33"/>
    </row>
    <row r="21186" spans="10:10" ht="15" customHeight="1" x14ac:dyDescent="0.3">
      <c r="J21186" s="33"/>
    </row>
    <row r="21187" spans="10:10" ht="15" customHeight="1" x14ac:dyDescent="0.3">
      <c r="J21187" s="33"/>
    </row>
    <row r="21188" spans="10:10" ht="15" customHeight="1" x14ac:dyDescent="0.3">
      <c r="J21188" s="33"/>
    </row>
    <row r="21189" spans="10:10" ht="15" customHeight="1" x14ac:dyDescent="0.3">
      <c r="J21189" s="33"/>
    </row>
    <row r="21190" spans="10:10" ht="15" customHeight="1" x14ac:dyDescent="0.3">
      <c r="J21190" s="33"/>
    </row>
    <row r="21191" spans="10:10" ht="15" customHeight="1" x14ac:dyDescent="0.3">
      <c r="J21191" s="33"/>
    </row>
    <row r="21192" spans="10:10" ht="15" customHeight="1" x14ac:dyDescent="0.3">
      <c r="J21192" s="33"/>
    </row>
    <row r="21193" spans="10:10" ht="15" customHeight="1" x14ac:dyDescent="0.3">
      <c r="J21193" s="33"/>
    </row>
    <row r="21194" spans="10:10" ht="15" customHeight="1" x14ac:dyDescent="0.3">
      <c r="J21194" s="33"/>
    </row>
    <row r="21195" spans="10:10" ht="15" customHeight="1" x14ac:dyDescent="0.3">
      <c r="J21195" s="33"/>
    </row>
    <row r="21196" spans="10:10" ht="15" customHeight="1" x14ac:dyDescent="0.3">
      <c r="J21196" s="33"/>
    </row>
    <row r="21197" spans="10:10" ht="15" customHeight="1" x14ac:dyDescent="0.3">
      <c r="J21197" s="33"/>
    </row>
    <row r="21198" spans="10:10" ht="15" customHeight="1" x14ac:dyDescent="0.3">
      <c r="J21198" s="33"/>
    </row>
    <row r="21199" spans="10:10" ht="15" customHeight="1" x14ac:dyDescent="0.3">
      <c r="J21199" s="33"/>
    </row>
    <row r="21200" spans="10:10" ht="15" customHeight="1" x14ac:dyDescent="0.3">
      <c r="J21200" s="33"/>
    </row>
    <row r="21201" spans="10:10" ht="15" customHeight="1" x14ac:dyDescent="0.3">
      <c r="J21201" s="33"/>
    </row>
    <row r="21202" spans="10:10" ht="15" customHeight="1" x14ac:dyDescent="0.3">
      <c r="J21202" s="33"/>
    </row>
    <row r="21203" spans="10:10" ht="15" customHeight="1" x14ac:dyDescent="0.3">
      <c r="J21203" s="33"/>
    </row>
    <row r="21204" spans="10:10" ht="15" customHeight="1" x14ac:dyDescent="0.3">
      <c r="J21204" s="33"/>
    </row>
    <row r="21205" spans="10:10" ht="15" customHeight="1" x14ac:dyDescent="0.3">
      <c r="J21205" s="33"/>
    </row>
    <row r="21206" spans="10:10" ht="15" customHeight="1" x14ac:dyDescent="0.3">
      <c r="J21206" s="33"/>
    </row>
    <row r="21207" spans="10:10" ht="15" customHeight="1" x14ac:dyDescent="0.3">
      <c r="J21207" s="33"/>
    </row>
    <row r="21208" spans="10:10" ht="15" customHeight="1" x14ac:dyDescent="0.3">
      <c r="J21208" s="33"/>
    </row>
    <row r="21209" spans="10:10" ht="15" customHeight="1" x14ac:dyDescent="0.3">
      <c r="J21209" s="33"/>
    </row>
    <row r="21210" spans="10:10" ht="15" customHeight="1" x14ac:dyDescent="0.3">
      <c r="J21210" s="33"/>
    </row>
    <row r="21211" spans="10:10" ht="15" customHeight="1" x14ac:dyDescent="0.3">
      <c r="J21211" s="33"/>
    </row>
    <row r="21212" spans="10:10" ht="15" customHeight="1" x14ac:dyDescent="0.3">
      <c r="J21212" s="33"/>
    </row>
    <row r="21213" spans="10:10" ht="15" customHeight="1" x14ac:dyDescent="0.3">
      <c r="J21213" s="33"/>
    </row>
    <row r="21214" spans="10:10" ht="15" customHeight="1" x14ac:dyDescent="0.3">
      <c r="J21214" s="33"/>
    </row>
    <row r="21215" spans="10:10" ht="15" customHeight="1" x14ac:dyDescent="0.3">
      <c r="J21215" s="33"/>
    </row>
    <row r="21216" spans="10:10" ht="15" customHeight="1" x14ac:dyDescent="0.3">
      <c r="J21216" s="33"/>
    </row>
    <row r="21217" spans="10:10" ht="15" customHeight="1" x14ac:dyDescent="0.3">
      <c r="J21217" s="33"/>
    </row>
    <row r="21218" spans="10:10" ht="15" customHeight="1" x14ac:dyDescent="0.3">
      <c r="J21218" s="33"/>
    </row>
    <row r="21219" spans="10:10" ht="15" customHeight="1" x14ac:dyDescent="0.3">
      <c r="J21219" s="33"/>
    </row>
    <row r="21220" spans="10:10" ht="15" customHeight="1" x14ac:dyDescent="0.3">
      <c r="J21220" s="33"/>
    </row>
    <row r="21221" spans="10:10" ht="15" customHeight="1" x14ac:dyDescent="0.3">
      <c r="J21221" s="33"/>
    </row>
    <row r="21222" spans="10:10" ht="15" customHeight="1" x14ac:dyDescent="0.3">
      <c r="J21222" s="33"/>
    </row>
    <row r="21223" spans="10:10" ht="15" customHeight="1" x14ac:dyDescent="0.3">
      <c r="J21223" s="33"/>
    </row>
    <row r="21224" spans="10:10" ht="15" customHeight="1" x14ac:dyDescent="0.3">
      <c r="J21224" s="33"/>
    </row>
    <row r="21225" spans="10:10" ht="15" customHeight="1" x14ac:dyDescent="0.3">
      <c r="J21225" s="33"/>
    </row>
    <row r="21226" spans="10:10" ht="15" customHeight="1" x14ac:dyDescent="0.3">
      <c r="J21226" s="33"/>
    </row>
    <row r="21227" spans="10:10" ht="15" customHeight="1" x14ac:dyDescent="0.3">
      <c r="J21227" s="33"/>
    </row>
    <row r="21228" spans="10:10" ht="15" customHeight="1" x14ac:dyDescent="0.3">
      <c r="J21228" s="33"/>
    </row>
    <row r="21229" spans="10:10" ht="15" customHeight="1" x14ac:dyDescent="0.3">
      <c r="J21229" s="33"/>
    </row>
    <row r="21230" spans="10:10" ht="15" customHeight="1" x14ac:dyDescent="0.3">
      <c r="J21230" s="33"/>
    </row>
    <row r="21231" spans="10:10" ht="15" customHeight="1" x14ac:dyDescent="0.3">
      <c r="J21231" s="33"/>
    </row>
    <row r="21232" spans="10:10" ht="15" customHeight="1" x14ac:dyDescent="0.3">
      <c r="J21232" s="33"/>
    </row>
    <row r="21233" spans="10:10" ht="15" customHeight="1" x14ac:dyDescent="0.3">
      <c r="J21233" s="33"/>
    </row>
    <row r="21234" spans="10:10" ht="15" customHeight="1" x14ac:dyDescent="0.3">
      <c r="J21234" s="33"/>
    </row>
    <row r="21235" spans="10:10" ht="15" customHeight="1" x14ac:dyDescent="0.3">
      <c r="J21235" s="33"/>
    </row>
    <row r="21236" spans="10:10" ht="15" customHeight="1" x14ac:dyDescent="0.3">
      <c r="J21236" s="33"/>
    </row>
    <row r="21237" spans="10:10" ht="15" customHeight="1" x14ac:dyDescent="0.3">
      <c r="J21237" s="33"/>
    </row>
    <row r="21238" spans="10:10" ht="15" customHeight="1" x14ac:dyDescent="0.3">
      <c r="J21238" s="33"/>
    </row>
    <row r="21239" spans="10:10" ht="15" customHeight="1" x14ac:dyDescent="0.3">
      <c r="J21239" s="33"/>
    </row>
    <row r="21240" spans="10:10" ht="15" customHeight="1" x14ac:dyDescent="0.3">
      <c r="J21240" s="33"/>
    </row>
    <row r="21241" spans="10:10" ht="15" customHeight="1" x14ac:dyDescent="0.3">
      <c r="J21241" s="33"/>
    </row>
    <row r="21242" spans="10:10" ht="15" customHeight="1" x14ac:dyDescent="0.3">
      <c r="J21242" s="33"/>
    </row>
    <row r="21243" spans="10:10" ht="15" customHeight="1" x14ac:dyDescent="0.3">
      <c r="J21243" s="33"/>
    </row>
    <row r="21244" spans="10:10" ht="15" customHeight="1" x14ac:dyDescent="0.3">
      <c r="J21244" s="33"/>
    </row>
    <row r="21245" spans="10:10" ht="15" customHeight="1" x14ac:dyDescent="0.3">
      <c r="J21245" s="33"/>
    </row>
    <row r="21246" spans="10:10" ht="15" customHeight="1" x14ac:dyDescent="0.3">
      <c r="J21246" s="33"/>
    </row>
    <row r="21247" spans="10:10" ht="15" customHeight="1" x14ac:dyDescent="0.3">
      <c r="J21247" s="33"/>
    </row>
    <row r="21248" spans="10:10" ht="15" customHeight="1" x14ac:dyDescent="0.3">
      <c r="J21248" s="33"/>
    </row>
    <row r="21249" spans="10:10" ht="15" customHeight="1" x14ac:dyDescent="0.3">
      <c r="J21249" s="33"/>
    </row>
    <row r="21250" spans="10:10" ht="15" customHeight="1" x14ac:dyDescent="0.3">
      <c r="J21250" s="33"/>
    </row>
    <row r="21251" spans="10:10" ht="15" customHeight="1" x14ac:dyDescent="0.3">
      <c r="J21251" s="33"/>
    </row>
    <row r="21252" spans="10:10" ht="15" customHeight="1" x14ac:dyDescent="0.3">
      <c r="J21252" s="33"/>
    </row>
    <row r="21253" spans="10:10" ht="15" customHeight="1" x14ac:dyDescent="0.3">
      <c r="J21253" s="33"/>
    </row>
    <row r="21254" spans="10:10" ht="15" customHeight="1" x14ac:dyDescent="0.3">
      <c r="J21254" s="33"/>
    </row>
    <row r="21255" spans="10:10" ht="15" customHeight="1" x14ac:dyDescent="0.3">
      <c r="J21255" s="33"/>
    </row>
    <row r="21256" spans="10:10" ht="15" customHeight="1" x14ac:dyDescent="0.3">
      <c r="J21256" s="33"/>
    </row>
    <row r="21257" spans="10:10" ht="15" customHeight="1" x14ac:dyDescent="0.3">
      <c r="J21257" s="33"/>
    </row>
    <row r="21258" spans="10:10" ht="15" customHeight="1" x14ac:dyDescent="0.3">
      <c r="J21258" s="33"/>
    </row>
    <row r="21259" spans="10:10" ht="15" customHeight="1" x14ac:dyDescent="0.3">
      <c r="J21259" s="33"/>
    </row>
    <row r="21260" spans="10:10" ht="15" customHeight="1" x14ac:dyDescent="0.3">
      <c r="J21260" s="33"/>
    </row>
    <row r="21261" spans="10:10" ht="15" customHeight="1" x14ac:dyDescent="0.3">
      <c r="J21261" s="33"/>
    </row>
    <row r="21262" spans="10:10" ht="15" customHeight="1" x14ac:dyDescent="0.3">
      <c r="J21262" s="33"/>
    </row>
    <row r="21263" spans="10:10" ht="15" customHeight="1" x14ac:dyDescent="0.3">
      <c r="J21263" s="33"/>
    </row>
    <row r="21264" spans="10:10" ht="15" customHeight="1" x14ac:dyDescent="0.3">
      <c r="J21264" s="33"/>
    </row>
    <row r="21265" spans="10:10" ht="15" customHeight="1" x14ac:dyDescent="0.3">
      <c r="J21265" s="33"/>
    </row>
    <row r="21266" spans="10:10" ht="15" customHeight="1" x14ac:dyDescent="0.3">
      <c r="J21266" s="33"/>
    </row>
    <row r="21267" spans="10:10" ht="15" customHeight="1" x14ac:dyDescent="0.3">
      <c r="J21267" s="33"/>
    </row>
    <row r="21268" spans="10:10" ht="15" customHeight="1" x14ac:dyDescent="0.3">
      <c r="J21268" s="33"/>
    </row>
    <row r="21269" spans="10:10" ht="15" customHeight="1" x14ac:dyDescent="0.3">
      <c r="J21269" s="33"/>
    </row>
    <row r="21270" spans="10:10" ht="15" customHeight="1" x14ac:dyDescent="0.3">
      <c r="J21270" s="33"/>
    </row>
    <row r="21271" spans="10:10" ht="15" customHeight="1" x14ac:dyDescent="0.3">
      <c r="J21271" s="33"/>
    </row>
    <row r="21272" spans="10:10" ht="15" customHeight="1" x14ac:dyDescent="0.3">
      <c r="J21272" s="33"/>
    </row>
    <row r="21273" spans="10:10" ht="15" customHeight="1" x14ac:dyDescent="0.3">
      <c r="J21273" s="33"/>
    </row>
    <row r="21274" spans="10:10" ht="15" customHeight="1" x14ac:dyDescent="0.3">
      <c r="J21274" s="33"/>
    </row>
    <row r="21275" spans="10:10" ht="15" customHeight="1" x14ac:dyDescent="0.3">
      <c r="J21275" s="33"/>
    </row>
    <row r="21276" spans="10:10" ht="15" customHeight="1" x14ac:dyDescent="0.3">
      <c r="J21276" s="33"/>
    </row>
    <row r="21277" spans="10:10" ht="15" customHeight="1" x14ac:dyDescent="0.3">
      <c r="J21277" s="33"/>
    </row>
    <row r="21278" spans="10:10" ht="15" customHeight="1" x14ac:dyDescent="0.3">
      <c r="J21278" s="33"/>
    </row>
    <row r="21279" spans="10:10" ht="15" customHeight="1" x14ac:dyDescent="0.3">
      <c r="J21279" s="33"/>
    </row>
    <row r="21280" spans="10:10" ht="15" customHeight="1" x14ac:dyDescent="0.3">
      <c r="J21280" s="33"/>
    </row>
    <row r="21281" spans="10:10" ht="15" customHeight="1" x14ac:dyDescent="0.3">
      <c r="J21281" s="33"/>
    </row>
    <row r="21282" spans="10:10" ht="15" customHeight="1" x14ac:dyDescent="0.3">
      <c r="J21282" s="33"/>
    </row>
    <row r="21283" spans="10:10" ht="15" customHeight="1" x14ac:dyDescent="0.3">
      <c r="J21283" s="33"/>
    </row>
    <row r="21284" spans="10:10" ht="15" customHeight="1" x14ac:dyDescent="0.3">
      <c r="J21284" s="33"/>
    </row>
    <row r="21285" spans="10:10" ht="15" customHeight="1" x14ac:dyDescent="0.3">
      <c r="J21285" s="33"/>
    </row>
    <row r="21286" spans="10:10" ht="15" customHeight="1" x14ac:dyDescent="0.3">
      <c r="J21286" s="33"/>
    </row>
    <row r="21287" spans="10:10" ht="15" customHeight="1" x14ac:dyDescent="0.3">
      <c r="J21287" s="33"/>
    </row>
    <row r="21288" spans="10:10" ht="15" customHeight="1" x14ac:dyDescent="0.3">
      <c r="J21288" s="33"/>
    </row>
    <row r="21289" spans="10:10" ht="15" customHeight="1" x14ac:dyDescent="0.3">
      <c r="J21289" s="33"/>
    </row>
    <row r="21290" spans="10:10" ht="15" customHeight="1" x14ac:dyDescent="0.3">
      <c r="J21290" s="33"/>
    </row>
    <row r="21291" spans="10:10" ht="15" customHeight="1" x14ac:dyDescent="0.3">
      <c r="J21291" s="33"/>
    </row>
    <row r="21292" spans="10:10" ht="15" customHeight="1" x14ac:dyDescent="0.3">
      <c r="J21292" s="33"/>
    </row>
    <row r="21293" spans="10:10" ht="15" customHeight="1" x14ac:dyDescent="0.3">
      <c r="J21293" s="33"/>
    </row>
    <row r="21294" spans="10:10" ht="15" customHeight="1" x14ac:dyDescent="0.3">
      <c r="J21294" s="33"/>
    </row>
    <row r="21295" spans="10:10" ht="15" customHeight="1" x14ac:dyDescent="0.3">
      <c r="J21295" s="33"/>
    </row>
    <row r="21296" spans="10:10" ht="15" customHeight="1" x14ac:dyDescent="0.3">
      <c r="J21296" s="33"/>
    </row>
    <row r="21297" spans="10:10" ht="15" customHeight="1" x14ac:dyDescent="0.3">
      <c r="J21297" s="33"/>
    </row>
    <row r="21298" spans="10:10" ht="15" customHeight="1" x14ac:dyDescent="0.3">
      <c r="J21298" s="33"/>
    </row>
    <row r="21299" spans="10:10" ht="15" customHeight="1" x14ac:dyDescent="0.3">
      <c r="J21299" s="33"/>
    </row>
    <row r="21300" spans="10:10" ht="15" customHeight="1" x14ac:dyDescent="0.3">
      <c r="J21300" s="33"/>
    </row>
    <row r="21301" spans="10:10" ht="15" customHeight="1" x14ac:dyDescent="0.3">
      <c r="J21301" s="33"/>
    </row>
    <row r="21302" spans="10:10" ht="15" customHeight="1" x14ac:dyDescent="0.3">
      <c r="J21302" s="33"/>
    </row>
    <row r="21303" spans="10:10" ht="15" customHeight="1" x14ac:dyDescent="0.3">
      <c r="J21303" s="33"/>
    </row>
    <row r="21304" spans="10:10" ht="15" customHeight="1" x14ac:dyDescent="0.3">
      <c r="J21304" s="33"/>
    </row>
    <row r="21305" spans="10:10" ht="15" customHeight="1" x14ac:dyDescent="0.3">
      <c r="J21305" s="33"/>
    </row>
    <row r="21306" spans="10:10" ht="15" customHeight="1" x14ac:dyDescent="0.3">
      <c r="J21306" s="33"/>
    </row>
    <row r="21307" spans="10:10" ht="15" customHeight="1" x14ac:dyDescent="0.3">
      <c r="J21307" s="33"/>
    </row>
    <row r="21308" spans="10:10" ht="15" customHeight="1" x14ac:dyDescent="0.3">
      <c r="J21308" s="33"/>
    </row>
    <row r="21309" spans="10:10" ht="15" customHeight="1" x14ac:dyDescent="0.3">
      <c r="J21309" s="33"/>
    </row>
    <row r="21310" spans="10:10" ht="15" customHeight="1" x14ac:dyDescent="0.3">
      <c r="J21310" s="33"/>
    </row>
    <row r="21311" spans="10:10" ht="15" customHeight="1" x14ac:dyDescent="0.3">
      <c r="J21311" s="33"/>
    </row>
    <row r="21312" spans="10:10" ht="15" customHeight="1" x14ac:dyDescent="0.3">
      <c r="J21312" s="33"/>
    </row>
    <row r="21313" spans="10:10" ht="15" customHeight="1" x14ac:dyDescent="0.3">
      <c r="J21313" s="33"/>
    </row>
    <row r="21314" spans="10:10" ht="15" customHeight="1" x14ac:dyDescent="0.3">
      <c r="J21314" s="33"/>
    </row>
    <row r="21315" spans="10:10" ht="15" customHeight="1" x14ac:dyDescent="0.3">
      <c r="J21315" s="33"/>
    </row>
    <row r="21316" spans="10:10" ht="15" customHeight="1" x14ac:dyDescent="0.3">
      <c r="J21316" s="33"/>
    </row>
    <row r="21317" spans="10:10" ht="15" customHeight="1" x14ac:dyDescent="0.3">
      <c r="J21317" s="33"/>
    </row>
    <row r="21318" spans="10:10" ht="15" customHeight="1" x14ac:dyDescent="0.3">
      <c r="J21318" s="33"/>
    </row>
    <row r="21319" spans="10:10" ht="15" customHeight="1" x14ac:dyDescent="0.3">
      <c r="J21319" s="33"/>
    </row>
    <row r="21320" spans="10:10" ht="15" customHeight="1" x14ac:dyDescent="0.3">
      <c r="J21320" s="33"/>
    </row>
    <row r="21321" spans="10:10" ht="15" customHeight="1" x14ac:dyDescent="0.3">
      <c r="J21321" s="33"/>
    </row>
    <row r="21322" spans="10:10" ht="15" customHeight="1" x14ac:dyDescent="0.3">
      <c r="J21322" s="33"/>
    </row>
    <row r="21323" spans="10:10" ht="15" customHeight="1" x14ac:dyDescent="0.3">
      <c r="J21323" s="33"/>
    </row>
    <row r="21324" spans="10:10" ht="15" customHeight="1" x14ac:dyDescent="0.3">
      <c r="J21324" s="33"/>
    </row>
    <row r="21325" spans="10:10" ht="15" customHeight="1" x14ac:dyDescent="0.3">
      <c r="J21325" s="33"/>
    </row>
    <row r="21326" spans="10:10" ht="15" customHeight="1" x14ac:dyDescent="0.3">
      <c r="J21326" s="33"/>
    </row>
    <row r="21327" spans="10:10" ht="15" customHeight="1" x14ac:dyDescent="0.3">
      <c r="J21327" s="33"/>
    </row>
    <row r="21328" spans="10:10" ht="15" customHeight="1" x14ac:dyDescent="0.3">
      <c r="J21328" s="33"/>
    </row>
    <row r="21329" spans="10:10" ht="15" customHeight="1" x14ac:dyDescent="0.3">
      <c r="J21329" s="33"/>
    </row>
    <row r="21330" spans="10:10" ht="15" customHeight="1" x14ac:dyDescent="0.3">
      <c r="J21330" s="33"/>
    </row>
    <row r="21331" spans="10:10" ht="15" customHeight="1" x14ac:dyDescent="0.3">
      <c r="J21331" s="33"/>
    </row>
    <row r="21332" spans="10:10" ht="15" customHeight="1" x14ac:dyDescent="0.3">
      <c r="J21332" s="33"/>
    </row>
    <row r="21333" spans="10:10" ht="15" customHeight="1" x14ac:dyDescent="0.3">
      <c r="J21333" s="33"/>
    </row>
    <row r="21334" spans="10:10" ht="15" customHeight="1" x14ac:dyDescent="0.3">
      <c r="J21334" s="33"/>
    </row>
    <row r="21335" spans="10:10" ht="15" customHeight="1" x14ac:dyDescent="0.3">
      <c r="J21335" s="33"/>
    </row>
    <row r="21336" spans="10:10" ht="15" customHeight="1" x14ac:dyDescent="0.3">
      <c r="J21336" s="33"/>
    </row>
    <row r="21337" spans="10:10" ht="15" customHeight="1" x14ac:dyDescent="0.3">
      <c r="J21337" s="33"/>
    </row>
    <row r="21338" spans="10:10" ht="15" customHeight="1" x14ac:dyDescent="0.3">
      <c r="J21338" s="33"/>
    </row>
    <row r="21339" spans="10:10" ht="15" customHeight="1" x14ac:dyDescent="0.3">
      <c r="J21339" s="33"/>
    </row>
    <row r="21340" spans="10:10" ht="15" customHeight="1" x14ac:dyDescent="0.3">
      <c r="J21340" s="33"/>
    </row>
    <row r="21341" spans="10:10" ht="15" customHeight="1" x14ac:dyDescent="0.3">
      <c r="J21341" s="33"/>
    </row>
    <row r="21342" spans="10:10" ht="15" customHeight="1" x14ac:dyDescent="0.3">
      <c r="J21342" s="33"/>
    </row>
    <row r="21343" spans="10:10" ht="15" customHeight="1" x14ac:dyDescent="0.3">
      <c r="J21343" s="33"/>
    </row>
    <row r="21344" spans="10:10" ht="15" customHeight="1" x14ac:dyDescent="0.3">
      <c r="J21344" s="33"/>
    </row>
    <row r="21345" spans="10:10" ht="15" customHeight="1" x14ac:dyDescent="0.3">
      <c r="J21345" s="33"/>
    </row>
    <row r="21346" spans="10:10" ht="15" customHeight="1" x14ac:dyDescent="0.3">
      <c r="J21346" s="33"/>
    </row>
    <row r="21347" spans="10:10" ht="15" customHeight="1" x14ac:dyDescent="0.3">
      <c r="J21347" s="33"/>
    </row>
    <row r="21348" spans="10:10" ht="15" customHeight="1" x14ac:dyDescent="0.3">
      <c r="J21348" s="33"/>
    </row>
    <row r="21349" spans="10:10" ht="15" customHeight="1" x14ac:dyDescent="0.3">
      <c r="J21349" s="33"/>
    </row>
    <row r="21350" spans="10:10" ht="15" customHeight="1" x14ac:dyDescent="0.3">
      <c r="J21350" s="33"/>
    </row>
    <row r="21351" spans="10:10" ht="15" customHeight="1" x14ac:dyDescent="0.3">
      <c r="J21351" s="33"/>
    </row>
    <row r="21352" spans="10:10" ht="15" customHeight="1" x14ac:dyDescent="0.3">
      <c r="J21352" s="33"/>
    </row>
    <row r="21353" spans="10:10" ht="15" customHeight="1" x14ac:dyDescent="0.3">
      <c r="J21353" s="33"/>
    </row>
    <row r="21354" spans="10:10" ht="15" customHeight="1" x14ac:dyDescent="0.3">
      <c r="J21354" s="33"/>
    </row>
    <row r="21355" spans="10:10" ht="15" customHeight="1" x14ac:dyDescent="0.3">
      <c r="J21355" s="33"/>
    </row>
    <row r="21356" spans="10:10" ht="15" customHeight="1" x14ac:dyDescent="0.3">
      <c r="J21356" s="33"/>
    </row>
    <row r="21357" spans="10:10" ht="15" customHeight="1" x14ac:dyDescent="0.3">
      <c r="J21357" s="33"/>
    </row>
    <row r="21358" spans="10:10" ht="15" customHeight="1" x14ac:dyDescent="0.3">
      <c r="J21358" s="33"/>
    </row>
    <row r="21359" spans="10:10" ht="15" customHeight="1" x14ac:dyDescent="0.3">
      <c r="J21359" s="33"/>
    </row>
    <row r="21360" spans="10:10" ht="15" customHeight="1" x14ac:dyDescent="0.3">
      <c r="J21360" s="33"/>
    </row>
    <row r="21361" spans="10:10" ht="15" customHeight="1" x14ac:dyDescent="0.3">
      <c r="J21361" s="33"/>
    </row>
    <row r="21362" spans="10:10" ht="15" customHeight="1" x14ac:dyDescent="0.3">
      <c r="J21362" s="33"/>
    </row>
    <row r="21363" spans="10:10" ht="15" customHeight="1" x14ac:dyDescent="0.3">
      <c r="J21363" s="33"/>
    </row>
    <row r="21364" spans="10:10" ht="15" customHeight="1" x14ac:dyDescent="0.3">
      <c r="J21364" s="33"/>
    </row>
    <row r="21365" spans="10:10" ht="15" customHeight="1" x14ac:dyDescent="0.3">
      <c r="J21365" s="33"/>
    </row>
    <row r="21366" spans="10:10" ht="15" customHeight="1" x14ac:dyDescent="0.3">
      <c r="J21366" s="33"/>
    </row>
    <row r="21367" spans="10:10" ht="15" customHeight="1" x14ac:dyDescent="0.3">
      <c r="J21367" s="33"/>
    </row>
    <row r="21368" spans="10:10" ht="15" customHeight="1" x14ac:dyDescent="0.3">
      <c r="J21368" s="33"/>
    </row>
    <row r="21369" spans="10:10" ht="15" customHeight="1" x14ac:dyDescent="0.3">
      <c r="J21369" s="33"/>
    </row>
    <row r="21370" spans="10:10" ht="15" customHeight="1" x14ac:dyDescent="0.3">
      <c r="J21370" s="33"/>
    </row>
    <row r="21371" spans="10:10" ht="15" customHeight="1" x14ac:dyDescent="0.3">
      <c r="J21371" s="33"/>
    </row>
    <row r="21372" spans="10:10" ht="15" customHeight="1" x14ac:dyDescent="0.3">
      <c r="J21372" s="33"/>
    </row>
    <row r="21373" spans="10:10" ht="15" customHeight="1" x14ac:dyDescent="0.3">
      <c r="J21373" s="33"/>
    </row>
    <row r="21374" spans="10:10" ht="15" customHeight="1" x14ac:dyDescent="0.3">
      <c r="J21374" s="33"/>
    </row>
    <row r="21375" spans="10:10" ht="15" customHeight="1" x14ac:dyDescent="0.3">
      <c r="J21375" s="33"/>
    </row>
    <row r="21376" spans="10:10" ht="15" customHeight="1" x14ac:dyDescent="0.3">
      <c r="J21376" s="33"/>
    </row>
    <row r="21377" spans="10:10" ht="15" customHeight="1" x14ac:dyDescent="0.3">
      <c r="J21377" s="33"/>
    </row>
    <row r="21378" spans="10:10" ht="15" customHeight="1" x14ac:dyDescent="0.3">
      <c r="J21378" s="33"/>
    </row>
    <row r="21379" spans="10:10" ht="15" customHeight="1" x14ac:dyDescent="0.3">
      <c r="J21379" s="33"/>
    </row>
    <row r="21380" spans="10:10" ht="15" customHeight="1" x14ac:dyDescent="0.3">
      <c r="J21380" s="33"/>
    </row>
    <row r="21381" spans="10:10" ht="15" customHeight="1" x14ac:dyDescent="0.3">
      <c r="J21381" s="33"/>
    </row>
    <row r="21382" spans="10:10" ht="15" customHeight="1" x14ac:dyDescent="0.3">
      <c r="J21382" s="33"/>
    </row>
    <row r="21383" spans="10:10" ht="15" customHeight="1" x14ac:dyDescent="0.3">
      <c r="J21383" s="33"/>
    </row>
    <row r="21384" spans="10:10" ht="15" customHeight="1" x14ac:dyDescent="0.3">
      <c r="J21384" s="33"/>
    </row>
    <row r="21385" spans="10:10" ht="15" customHeight="1" x14ac:dyDescent="0.3">
      <c r="J21385" s="33"/>
    </row>
    <row r="21386" spans="10:10" ht="15" customHeight="1" x14ac:dyDescent="0.3">
      <c r="J21386" s="33"/>
    </row>
    <row r="21387" spans="10:10" ht="15" customHeight="1" x14ac:dyDescent="0.3">
      <c r="J21387" s="33"/>
    </row>
    <row r="21388" spans="10:10" ht="15" customHeight="1" x14ac:dyDescent="0.3">
      <c r="J21388" s="33"/>
    </row>
    <row r="21389" spans="10:10" ht="15" customHeight="1" x14ac:dyDescent="0.3">
      <c r="J21389" s="33"/>
    </row>
    <row r="21390" spans="10:10" ht="15" customHeight="1" x14ac:dyDescent="0.3">
      <c r="J21390" s="33"/>
    </row>
    <row r="21391" spans="10:10" ht="15" customHeight="1" x14ac:dyDescent="0.3">
      <c r="J21391" s="33"/>
    </row>
    <row r="21392" spans="10:10" ht="15" customHeight="1" x14ac:dyDescent="0.3">
      <c r="J21392" s="33"/>
    </row>
    <row r="21393" spans="10:10" ht="15" customHeight="1" x14ac:dyDescent="0.3">
      <c r="J21393" s="33"/>
    </row>
    <row r="21394" spans="10:10" ht="15" customHeight="1" x14ac:dyDescent="0.3">
      <c r="J21394" s="33"/>
    </row>
    <row r="21395" spans="10:10" ht="15" customHeight="1" x14ac:dyDescent="0.3">
      <c r="J21395" s="33"/>
    </row>
    <row r="21396" spans="10:10" ht="15" customHeight="1" x14ac:dyDescent="0.3">
      <c r="J21396" s="33"/>
    </row>
    <row r="21397" spans="10:10" ht="15" customHeight="1" x14ac:dyDescent="0.3">
      <c r="J21397" s="33"/>
    </row>
    <row r="21398" spans="10:10" ht="15" customHeight="1" x14ac:dyDescent="0.3">
      <c r="J21398" s="33"/>
    </row>
    <row r="21399" spans="10:10" ht="15" customHeight="1" x14ac:dyDescent="0.3">
      <c r="J21399" s="33"/>
    </row>
    <row r="21400" spans="10:10" ht="15" customHeight="1" x14ac:dyDescent="0.3">
      <c r="J21400" s="33"/>
    </row>
    <row r="21401" spans="10:10" ht="15" customHeight="1" x14ac:dyDescent="0.3">
      <c r="J21401" s="33"/>
    </row>
    <row r="21402" spans="10:10" ht="15" customHeight="1" x14ac:dyDescent="0.3">
      <c r="J21402" s="33"/>
    </row>
    <row r="21403" spans="10:10" ht="15" customHeight="1" x14ac:dyDescent="0.3">
      <c r="J21403" s="33"/>
    </row>
    <row r="21404" spans="10:10" ht="15" customHeight="1" x14ac:dyDescent="0.3">
      <c r="J21404" s="33"/>
    </row>
    <row r="21405" spans="10:10" ht="15" customHeight="1" x14ac:dyDescent="0.3">
      <c r="J21405" s="33"/>
    </row>
    <row r="21406" spans="10:10" ht="15" customHeight="1" x14ac:dyDescent="0.3">
      <c r="J21406" s="33"/>
    </row>
    <row r="21407" spans="10:10" ht="15" customHeight="1" x14ac:dyDescent="0.3">
      <c r="J21407" s="33"/>
    </row>
    <row r="21408" spans="10:10" ht="15" customHeight="1" x14ac:dyDescent="0.3">
      <c r="J21408" s="33"/>
    </row>
    <row r="21409" spans="10:10" ht="15" customHeight="1" x14ac:dyDescent="0.3">
      <c r="J21409" s="33"/>
    </row>
    <row r="21410" spans="10:10" ht="15" customHeight="1" x14ac:dyDescent="0.3">
      <c r="J21410" s="33"/>
    </row>
    <row r="21411" spans="10:10" ht="15" customHeight="1" x14ac:dyDescent="0.3">
      <c r="J21411" s="33"/>
    </row>
    <row r="21412" spans="10:10" ht="15" customHeight="1" x14ac:dyDescent="0.3">
      <c r="J21412" s="33"/>
    </row>
    <row r="21413" spans="10:10" ht="15" customHeight="1" x14ac:dyDescent="0.3">
      <c r="J21413" s="33"/>
    </row>
    <row r="21414" spans="10:10" ht="15" customHeight="1" x14ac:dyDescent="0.3">
      <c r="J21414" s="33"/>
    </row>
    <row r="21415" spans="10:10" ht="15" customHeight="1" x14ac:dyDescent="0.3">
      <c r="J21415" s="33"/>
    </row>
    <row r="21416" spans="10:10" ht="15" customHeight="1" x14ac:dyDescent="0.3">
      <c r="J21416" s="33"/>
    </row>
    <row r="21417" spans="10:10" ht="15" customHeight="1" x14ac:dyDescent="0.3">
      <c r="J21417" s="33"/>
    </row>
    <row r="21418" spans="10:10" ht="15" customHeight="1" x14ac:dyDescent="0.3">
      <c r="J21418" s="33"/>
    </row>
    <row r="21419" spans="10:10" ht="15" customHeight="1" x14ac:dyDescent="0.3">
      <c r="J21419" s="33"/>
    </row>
    <row r="21420" spans="10:10" ht="15" customHeight="1" x14ac:dyDescent="0.3">
      <c r="J21420" s="33"/>
    </row>
    <row r="21421" spans="10:10" ht="15" customHeight="1" x14ac:dyDescent="0.3">
      <c r="J21421" s="33"/>
    </row>
    <row r="21422" spans="10:10" ht="15" customHeight="1" x14ac:dyDescent="0.3">
      <c r="J21422" s="33"/>
    </row>
    <row r="21423" spans="10:10" ht="15" customHeight="1" x14ac:dyDescent="0.3">
      <c r="J21423" s="33"/>
    </row>
    <row r="21424" spans="10:10" ht="15" customHeight="1" x14ac:dyDescent="0.3">
      <c r="J21424" s="33"/>
    </row>
    <row r="21425" spans="10:10" ht="15" customHeight="1" x14ac:dyDescent="0.3">
      <c r="J21425" s="33"/>
    </row>
    <row r="21426" spans="10:10" ht="15" customHeight="1" x14ac:dyDescent="0.3">
      <c r="J21426" s="33"/>
    </row>
    <row r="21427" spans="10:10" ht="15" customHeight="1" x14ac:dyDescent="0.3">
      <c r="J21427" s="33"/>
    </row>
    <row r="21428" spans="10:10" ht="15" customHeight="1" x14ac:dyDescent="0.3">
      <c r="J21428" s="33"/>
    </row>
    <row r="21429" spans="10:10" ht="15" customHeight="1" x14ac:dyDescent="0.3">
      <c r="J21429" s="33"/>
    </row>
    <row r="21430" spans="10:10" ht="15" customHeight="1" x14ac:dyDescent="0.3">
      <c r="J21430" s="33"/>
    </row>
    <row r="21431" spans="10:10" ht="15" customHeight="1" x14ac:dyDescent="0.3">
      <c r="J21431" s="33"/>
    </row>
    <row r="21432" spans="10:10" ht="15" customHeight="1" x14ac:dyDescent="0.3">
      <c r="J21432" s="33"/>
    </row>
    <row r="21433" spans="10:10" ht="15" customHeight="1" x14ac:dyDescent="0.3">
      <c r="J21433" s="33"/>
    </row>
    <row r="21434" spans="10:10" ht="15" customHeight="1" x14ac:dyDescent="0.3">
      <c r="J21434" s="33"/>
    </row>
    <row r="21435" spans="10:10" ht="15" customHeight="1" x14ac:dyDescent="0.3">
      <c r="J21435" s="33"/>
    </row>
    <row r="21436" spans="10:10" ht="15" customHeight="1" x14ac:dyDescent="0.3">
      <c r="J21436" s="33"/>
    </row>
    <row r="21437" spans="10:10" ht="15" customHeight="1" x14ac:dyDescent="0.3">
      <c r="J21437" s="33"/>
    </row>
    <row r="21438" spans="10:10" ht="15" customHeight="1" x14ac:dyDescent="0.3">
      <c r="J21438" s="33"/>
    </row>
    <row r="21439" spans="10:10" ht="15" customHeight="1" x14ac:dyDescent="0.3">
      <c r="J21439" s="33"/>
    </row>
    <row r="21440" spans="10:10" ht="15" customHeight="1" x14ac:dyDescent="0.3">
      <c r="J21440" s="33"/>
    </row>
    <row r="21441" spans="10:10" ht="15" customHeight="1" x14ac:dyDescent="0.3">
      <c r="J21441" s="33"/>
    </row>
    <row r="21442" spans="10:10" ht="15" customHeight="1" x14ac:dyDescent="0.3">
      <c r="J21442" s="33"/>
    </row>
    <row r="21443" spans="10:10" ht="15" customHeight="1" x14ac:dyDescent="0.3">
      <c r="J21443" s="33"/>
    </row>
    <row r="21444" spans="10:10" ht="15" customHeight="1" x14ac:dyDescent="0.3">
      <c r="J21444" s="33"/>
    </row>
    <row r="21445" spans="10:10" ht="15" customHeight="1" x14ac:dyDescent="0.3">
      <c r="J21445" s="33"/>
    </row>
    <row r="21446" spans="10:10" ht="15" customHeight="1" x14ac:dyDescent="0.3">
      <c r="J21446" s="33"/>
    </row>
    <row r="21447" spans="10:10" ht="15" customHeight="1" x14ac:dyDescent="0.3">
      <c r="J21447" s="33"/>
    </row>
    <row r="21448" spans="10:10" ht="15" customHeight="1" x14ac:dyDescent="0.3">
      <c r="J21448" s="33"/>
    </row>
    <row r="21449" spans="10:10" ht="15" customHeight="1" x14ac:dyDescent="0.3">
      <c r="J21449" s="33"/>
    </row>
    <row r="21450" spans="10:10" ht="15" customHeight="1" x14ac:dyDescent="0.3">
      <c r="J21450" s="33"/>
    </row>
    <row r="21451" spans="10:10" ht="15" customHeight="1" x14ac:dyDescent="0.3">
      <c r="J21451" s="33"/>
    </row>
    <row r="21452" spans="10:10" ht="15" customHeight="1" x14ac:dyDescent="0.3">
      <c r="J21452" s="33"/>
    </row>
    <row r="21453" spans="10:10" ht="15" customHeight="1" x14ac:dyDescent="0.3">
      <c r="J21453" s="33"/>
    </row>
    <row r="21454" spans="10:10" ht="15" customHeight="1" x14ac:dyDescent="0.3">
      <c r="J21454" s="33"/>
    </row>
    <row r="21455" spans="10:10" ht="15" customHeight="1" x14ac:dyDescent="0.3">
      <c r="J21455" s="33"/>
    </row>
    <row r="21456" spans="10:10" ht="15" customHeight="1" x14ac:dyDescent="0.3">
      <c r="J21456" s="33"/>
    </row>
    <row r="21457" spans="10:10" ht="15" customHeight="1" x14ac:dyDescent="0.3">
      <c r="J21457" s="33"/>
    </row>
    <row r="21458" spans="10:10" ht="15" customHeight="1" x14ac:dyDescent="0.3">
      <c r="J21458" s="33"/>
    </row>
    <row r="21459" spans="10:10" ht="15" customHeight="1" x14ac:dyDescent="0.3">
      <c r="J21459" s="33"/>
    </row>
    <row r="21460" spans="10:10" ht="15" customHeight="1" x14ac:dyDescent="0.3">
      <c r="J21460" s="33"/>
    </row>
    <row r="21461" spans="10:10" ht="15" customHeight="1" x14ac:dyDescent="0.3">
      <c r="J21461" s="33"/>
    </row>
    <row r="21462" spans="10:10" ht="15" customHeight="1" x14ac:dyDescent="0.3">
      <c r="J21462" s="33"/>
    </row>
    <row r="21463" spans="10:10" ht="15" customHeight="1" x14ac:dyDescent="0.3">
      <c r="J21463" s="33"/>
    </row>
    <row r="21464" spans="10:10" ht="15" customHeight="1" x14ac:dyDescent="0.3">
      <c r="J21464" s="33"/>
    </row>
    <row r="21465" spans="10:10" ht="15" customHeight="1" x14ac:dyDescent="0.3">
      <c r="J21465" s="33"/>
    </row>
    <row r="21466" spans="10:10" ht="15" customHeight="1" x14ac:dyDescent="0.3">
      <c r="J21466" s="33"/>
    </row>
    <row r="21467" spans="10:10" ht="15" customHeight="1" x14ac:dyDescent="0.3">
      <c r="J21467" s="33"/>
    </row>
    <row r="21468" spans="10:10" ht="15" customHeight="1" x14ac:dyDescent="0.3">
      <c r="J21468" s="33"/>
    </row>
    <row r="21469" spans="10:10" ht="15" customHeight="1" x14ac:dyDescent="0.3">
      <c r="J21469" s="33"/>
    </row>
    <row r="21470" spans="10:10" ht="15" customHeight="1" x14ac:dyDescent="0.3">
      <c r="J21470" s="33"/>
    </row>
    <row r="21471" spans="10:10" ht="15" customHeight="1" x14ac:dyDescent="0.3">
      <c r="J21471" s="33"/>
    </row>
    <row r="21472" spans="10:10" ht="15" customHeight="1" x14ac:dyDescent="0.3">
      <c r="J21472" s="33"/>
    </row>
    <row r="21473" spans="10:10" ht="15" customHeight="1" x14ac:dyDescent="0.3">
      <c r="J21473" s="33"/>
    </row>
    <row r="21474" spans="10:10" ht="15" customHeight="1" x14ac:dyDescent="0.3">
      <c r="J21474" s="33"/>
    </row>
    <row r="21475" spans="10:10" ht="15" customHeight="1" x14ac:dyDescent="0.3">
      <c r="J21475" s="33"/>
    </row>
    <row r="21476" spans="10:10" ht="15" customHeight="1" x14ac:dyDescent="0.3">
      <c r="J21476" s="33"/>
    </row>
    <row r="21477" spans="10:10" ht="15" customHeight="1" x14ac:dyDescent="0.3">
      <c r="J21477" s="33"/>
    </row>
    <row r="21478" spans="10:10" ht="15" customHeight="1" x14ac:dyDescent="0.3">
      <c r="J21478" s="33"/>
    </row>
    <row r="21479" spans="10:10" ht="15" customHeight="1" x14ac:dyDescent="0.3">
      <c r="J21479" s="33"/>
    </row>
    <row r="21480" spans="10:10" ht="15" customHeight="1" x14ac:dyDescent="0.3">
      <c r="J21480" s="33"/>
    </row>
    <row r="21481" spans="10:10" ht="15" customHeight="1" x14ac:dyDescent="0.3">
      <c r="J21481" s="33"/>
    </row>
    <row r="21482" spans="10:10" ht="15" customHeight="1" x14ac:dyDescent="0.3">
      <c r="J21482" s="33"/>
    </row>
    <row r="21483" spans="10:10" ht="15" customHeight="1" x14ac:dyDescent="0.3">
      <c r="J21483" s="33"/>
    </row>
    <row r="21484" spans="10:10" ht="15" customHeight="1" x14ac:dyDescent="0.3">
      <c r="J21484" s="33"/>
    </row>
    <row r="21485" spans="10:10" ht="15" customHeight="1" x14ac:dyDescent="0.3">
      <c r="J21485" s="33"/>
    </row>
    <row r="21486" spans="10:10" ht="15" customHeight="1" x14ac:dyDescent="0.3">
      <c r="J21486" s="33"/>
    </row>
    <row r="21487" spans="10:10" ht="15" customHeight="1" x14ac:dyDescent="0.3">
      <c r="J21487" s="33"/>
    </row>
    <row r="21488" spans="10:10" ht="15" customHeight="1" x14ac:dyDescent="0.3">
      <c r="J21488" s="33"/>
    </row>
    <row r="21489" spans="10:10" ht="15" customHeight="1" x14ac:dyDescent="0.3">
      <c r="J21489" s="33"/>
    </row>
    <row r="21490" spans="10:10" ht="15" customHeight="1" x14ac:dyDescent="0.3">
      <c r="J21490" s="33"/>
    </row>
    <row r="21491" spans="10:10" ht="15" customHeight="1" x14ac:dyDescent="0.3">
      <c r="J21491" s="33"/>
    </row>
    <row r="21492" spans="10:10" ht="15" customHeight="1" x14ac:dyDescent="0.3">
      <c r="J21492" s="33"/>
    </row>
    <row r="21493" spans="10:10" ht="15" customHeight="1" x14ac:dyDescent="0.3">
      <c r="J21493" s="33"/>
    </row>
    <row r="21494" spans="10:10" ht="15" customHeight="1" x14ac:dyDescent="0.3">
      <c r="J21494" s="33"/>
    </row>
    <row r="21495" spans="10:10" ht="15" customHeight="1" x14ac:dyDescent="0.3">
      <c r="J21495" s="33"/>
    </row>
    <row r="21496" spans="10:10" ht="15" customHeight="1" x14ac:dyDescent="0.3">
      <c r="J21496" s="33"/>
    </row>
    <row r="21497" spans="10:10" ht="15" customHeight="1" x14ac:dyDescent="0.3">
      <c r="J21497" s="33"/>
    </row>
    <row r="21498" spans="10:10" ht="15" customHeight="1" x14ac:dyDescent="0.3">
      <c r="J21498" s="33"/>
    </row>
    <row r="21499" spans="10:10" ht="15" customHeight="1" x14ac:dyDescent="0.3">
      <c r="J21499" s="33"/>
    </row>
    <row r="21500" spans="10:10" ht="15" customHeight="1" x14ac:dyDescent="0.3">
      <c r="J21500" s="33"/>
    </row>
    <row r="21501" spans="10:10" ht="15" customHeight="1" x14ac:dyDescent="0.3">
      <c r="J21501" s="33"/>
    </row>
    <row r="21502" spans="10:10" ht="15" customHeight="1" x14ac:dyDescent="0.3">
      <c r="J21502" s="33"/>
    </row>
    <row r="21503" spans="10:10" ht="15" customHeight="1" x14ac:dyDescent="0.3">
      <c r="J21503" s="33"/>
    </row>
    <row r="21504" spans="10:10" ht="15" customHeight="1" x14ac:dyDescent="0.3">
      <c r="J21504" s="33"/>
    </row>
    <row r="21505" spans="10:10" ht="15" customHeight="1" x14ac:dyDescent="0.3">
      <c r="J21505" s="33"/>
    </row>
    <row r="21506" spans="10:10" ht="15" customHeight="1" x14ac:dyDescent="0.3">
      <c r="J21506" s="33"/>
    </row>
    <row r="21507" spans="10:10" ht="15" customHeight="1" x14ac:dyDescent="0.3">
      <c r="J21507" s="33"/>
    </row>
    <row r="21508" spans="10:10" ht="15" customHeight="1" x14ac:dyDescent="0.3">
      <c r="J21508" s="33"/>
    </row>
    <row r="21509" spans="10:10" ht="15" customHeight="1" x14ac:dyDescent="0.3">
      <c r="J21509" s="33"/>
    </row>
    <row r="21510" spans="10:10" ht="15" customHeight="1" x14ac:dyDescent="0.3">
      <c r="J21510" s="33"/>
    </row>
    <row r="21511" spans="10:10" ht="15" customHeight="1" x14ac:dyDescent="0.3">
      <c r="J21511" s="33"/>
    </row>
    <row r="21512" spans="10:10" ht="15" customHeight="1" x14ac:dyDescent="0.3">
      <c r="J21512" s="33"/>
    </row>
    <row r="21513" spans="10:10" ht="15" customHeight="1" x14ac:dyDescent="0.3">
      <c r="J21513" s="33"/>
    </row>
    <row r="21514" spans="10:10" ht="15" customHeight="1" x14ac:dyDescent="0.3">
      <c r="J21514" s="33"/>
    </row>
    <row r="21515" spans="10:10" ht="15" customHeight="1" x14ac:dyDescent="0.3">
      <c r="J21515" s="33"/>
    </row>
    <row r="21516" spans="10:10" ht="15" customHeight="1" x14ac:dyDescent="0.3">
      <c r="J21516" s="33"/>
    </row>
    <row r="21517" spans="10:10" ht="15" customHeight="1" x14ac:dyDescent="0.3">
      <c r="J21517" s="33"/>
    </row>
    <row r="21518" spans="10:10" ht="15" customHeight="1" x14ac:dyDescent="0.3">
      <c r="J21518" s="33"/>
    </row>
    <row r="21519" spans="10:10" ht="15" customHeight="1" x14ac:dyDescent="0.3">
      <c r="J21519" s="33"/>
    </row>
    <row r="21520" spans="10:10" ht="15" customHeight="1" x14ac:dyDescent="0.3">
      <c r="J21520" s="33"/>
    </row>
    <row r="21521" spans="10:10" ht="15" customHeight="1" x14ac:dyDescent="0.3">
      <c r="J21521" s="33"/>
    </row>
    <row r="21522" spans="10:10" ht="15" customHeight="1" x14ac:dyDescent="0.3">
      <c r="J21522" s="33"/>
    </row>
    <row r="21523" spans="10:10" ht="15" customHeight="1" x14ac:dyDescent="0.3">
      <c r="J21523" s="33"/>
    </row>
    <row r="21524" spans="10:10" ht="15" customHeight="1" x14ac:dyDescent="0.3">
      <c r="J21524" s="33"/>
    </row>
    <row r="21525" spans="10:10" ht="15" customHeight="1" x14ac:dyDescent="0.3">
      <c r="J21525" s="33"/>
    </row>
    <row r="21526" spans="10:10" ht="15" customHeight="1" x14ac:dyDescent="0.3">
      <c r="J21526" s="33"/>
    </row>
    <row r="21527" spans="10:10" ht="15" customHeight="1" x14ac:dyDescent="0.3">
      <c r="J21527" s="33"/>
    </row>
    <row r="21528" spans="10:10" ht="15" customHeight="1" x14ac:dyDescent="0.3">
      <c r="J21528" s="33"/>
    </row>
    <row r="21529" spans="10:10" ht="15" customHeight="1" x14ac:dyDescent="0.3">
      <c r="J21529" s="33"/>
    </row>
    <row r="21530" spans="10:10" ht="15" customHeight="1" x14ac:dyDescent="0.3">
      <c r="J21530" s="33"/>
    </row>
    <row r="21531" spans="10:10" ht="15" customHeight="1" x14ac:dyDescent="0.3">
      <c r="J21531" s="33"/>
    </row>
    <row r="21532" spans="10:10" ht="15" customHeight="1" x14ac:dyDescent="0.3">
      <c r="J21532" s="33"/>
    </row>
    <row r="21533" spans="10:10" ht="15" customHeight="1" x14ac:dyDescent="0.3">
      <c r="J21533" s="33"/>
    </row>
    <row r="21534" spans="10:10" ht="15" customHeight="1" x14ac:dyDescent="0.3">
      <c r="J21534" s="33"/>
    </row>
    <row r="21535" spans="10:10" ht="15" customHeight="1" x14ac:dyDescent="0.3">
      <c r="J21535" s="33"/>
    </row>
    <row r="21536" spans="10:10" ht="15" customHeight="1" x14ac:dyDescent="0.3">
      <c r="J21536" s="33"/>
    </row>
    <row r="21537" spans="10:10" ht="15" customHeight="1" x14ac:dyDescent="0.3">
      <c r="J21537" s="33"/>
    </row>
    <row r="21538" spans="10:10" ht="15" customHeight="1" x14ac:dyDescent="0.3">
      <c r="J21538" s="33"/>
    </row>
    <row r="21539" spans="10:10" ht="15" customHeight="1" x14ac:dyDescent="0.3">
      <c r="J21539" s="33"/>
    </row>
    <row r="21540" spans="10:10" ht="15" customHeight="1" x14ac:dyDescent="0.3">
      <c r="J21540" s="33"/>
    </row>
    <row r="21541" spans="10:10" ht="15" customHeight="1" x14ac:dyDescent="0.3">
      <c r="J21541" s="33"/>
    </row>
    <row r="21542" spans="10:10" ht="15" customHeight="1" x14ac:dyDescent="0.3">
      <c r="J21542" s="33"/>
    </row>
    <row r="21543" spans="10:10" ht="15" customHeight="1" x14ac:dyDescent="0.3">
      <c r="J21543" s="33"/>
    </row>
    <row r="21544" spans="10:10" ht="15" customHeight="1" x14ac:dyDescent="0.3">
      <c r="J21544" s="33"/>
    </row>
    <row r="21545" spans="10:10" ht="15" customHeight="1" x14ac:dyDescent="0.3">
      <c r="J21545" s="33"/>
    </row>
    <row r="21546" spans="10:10" ht="15" customHeight="1" x14ac:dyDescent="0.3">
      <c r="J21546" s="33"/>
    </row>
    <row r="21547" spans="10:10" ht="15" customHeight="1" x14ac:dyDescent="0.3">
      <c r="J21547" s="33"/>
    </row>
    <row r="21548" spans="10:10" ht="15" customHeight="1" x14ac:dyDescent="0.3">
      <c r="J21548" s="33"/>
    </row>
    <row r="21549" spans="10:10" ht="15" customHeight="1" x14ac:dyDescent="0.3">
      <c r="J21549" s="33"/>
    </row>
    <row r="21550" spans="10:10" ht="15" customHeight="1" x14ac:dyDescent="0.3">
      <c r="J21550" s="33"/>
    </row>
    <row r="21551" spans="10:10" ht="15" customHeight="1" x14ac:dyDescent="0.3">
      <c r="J21551" s="33"/>
    </row>
    <row r="21552" spans="10:10" ht="15" customHeight="1" x14ac:dyDescent="0.3">
      <c r="J21552" s="33"/>
    </row>
    <row r="21553" spans="10:10" ht="15" customHeight="1" x14ac:dyDescent="0.3">
      <c r="J21553" s="33"/>
    </row>
    <row r="21554" spans="10:10" ht="15" customHeight="1" x14ac:dyDescent="0.3">
      <c r="J21554" s="33"/>
    </row>
    <row r="21555" spans="10:10" ht="15" customHeight="1" x14ac:dyDescent="0.3">
      <c r="J21555" s="33"/>
    </row>
    <row r="21556" spans="10:10" ht="15" customHeight="1" x14ac:dyDescent="0.3">
      <c r="J21556" s="33"/>
    </row>
    <row r="21557" spans="10:10" ht="15" customHeight="1" x14ac:dyDescent="0.3">
      <c r="J21557" s="33"/>
    </row>
    <row r="21558" spans="10:10" ht="15" customHeight="1" x14ac:dyDescent="0.3">
      <c r="J21558" s="33"/>
    </row>
    <row r="21559" spans="10:10" ht="15" customHeight="1" x14ac:dyDescent="0.3">
      <c r="J21559" s="33"/>
    </row>
    <row r="21560" spans="10:10" ht="15" customHeight="1" x14ac:dyDescent="0.3">
      <c r="J21560" s="33"/>
    </row>
    <row r="21561" spans="10:10" ht="15" customHeight="1" x14ac:dyDescent="0.3">
      <c r="J21561" s="33"/>
    </row>
    <row r="21562" spans="10:10" ht="15" customHeight="1" x14ac:dyDescent="0.3">
      <c r="J21562" s="33"/>
    </row>
    <row r="21563" spans="10:10" ht="15" customHeight="1" x14ac:dyDescent="0.3">
      <c r="J21563" s="33"/>
    </row>
    <row r="21564" spans="10:10" ht="15" customHeight="1" x14ac:dyDescent="0.3">
      <c r="J21564" s="33"/>
    </row>
    <row r="21565" spans="10:10" ht="15" customHeight="1" x14ac:dyDescent="0.3">
      <c r="J21565" s="33"/>
    </row>
    <row r="21566" spans="10:10" ht="15" customHeight="1" x14ac:dyDescent="0.3">
      <c r="J21566" s="33"/>
    </row>
    <row r="21567" spans="10:10" ht="15" customHeight="1" x14ac:dyDescent="0.3">
      <c r="J21567" s="33"/>
    </row>
    <row r="21568" spans="10:10" ht="15" customHeight="1" x14ac:dyDescent="0.3">
      <c r="J21568" s="33"/>
    </row>
    <row r="21569" spans="10:10" ht="15" customHeight="1" x14ac:dyDescent="0.3">
      <c r="J21569" s="33"/>
    </row>
    <row r="21570" spans="10:10" ht="15" customHeight="1" x14ac:dyDescent="0.3">
      <c r="J21570" s="33"/>
    </row>
    <row r="21571" spans="10:10" ht="15" customHeight="1" x14ac:dyDescent="0.3">
      <c r="J21571" s="33"/>
    </row>
    <row r="21572" spans="10:10" ht="15" customHeight="1" x14ac:dyDescent="0.3">
      <c r="J21572" s="33"/>
    </row>
    <row r="21573" spans="10:10" ht="15" customHeight="1" x14ac:dyDescent="0.3">
      <c r="J21573" s="33"/>
    </row>
    <row r="21574" spans="10:10" ht="15" customHeight="1" x14ac:dyDescent="0.3">
      <c r="J21574" s="33"/>
    </row>
    <row r="21575" spans="10:10" ht="15" customHeight="1" x14ac:dyDescent="0.3">
      <c r="J21575" s="33"/>
    </row>
    <row r="21576" spans="10:10" ht="15" customHeight="1" x14ac:dyDescent="0.3">
      <c r="J21576" s="33"/>
    </row>
    <row r="21577" spans="10:10" ht="15" customHeight="1" x14ac:dyDescent="0.3">
      <c r="J21577" s="33"/>
    </row>
    <row r="21578" spans="10:10" ht="15" customHeight="1" x14ac:dyDescent="0.3">
      <c r="J21578" s="33"/>
    </row>
    <row r="21579" spans="10:10" ht="15" customHeight="1" x14ac:dyDescent="0.3">
      <c r="J21579" s="33"/>
    </row>
    <row r="21580" spans="10:10" ht="15" customHeight="1" x14ac:dyDescent="0.3">
      <c r="J21580" s="33"/>
    </row>
    <row r="21581" spans="10:10" ht="15" customHeight="1" x14ac:dyDescent="0.3">
      <c r="J21581" s="33"/>
    </row>
    <row r="21582" spans="10:10" ht="15" customHeight="1" x14ac:dyDescent="0.3">
      <c r="J21582" s="33"/>
    </row>
    <row r="21583" spans="10:10" ht="15" customHeight="1" x14ac:dyDescent="0.3">
      <c r="J21583" s="33"/>
    </row>
    <row r="21584" spans="10:10" ht="15" customHeight="1" x14ac:dyDescent="0.3">
      <c r="J21584" s="33"/>
    </row>
    <row r="21585" spans="10:10" ht="15" customHeight="1" x14ac:dyDescent="0.3">
      <c r="J21585" s="33"/>
    </row>
    <row r="21586" spans="10:10" ht="15" customHeight="1" x14ac:dyDescent="0.3">
      <c r="J21586" s="33"/>
    </row>
    <row r="21587" spans="10:10" ht="15" customHeight="1" x14ac:dyDescent="0.3">
      <c r="J21587" s="33"/>
    </row>
    <row r="21588" spans="10:10" ht="15" customHeight="1" x14ac:dyDescent="0.3">
      <c r="J21588" s="33"/>
    </row>
    <row r="21589" spans="10:10" ht="15" customHeight="1" x14ac:dyDescent="0.3">
      <c r="J21589" s="33"/>
    </row>
    <row r="21590" spans="10:10" ht="15" customHeight="1" x14ac:dyDescent="0.3">
      <c r="J21590" s="33"/>
    </row>
    <row r="21591" spans="10:10" ht="15" customHeight="1" x14ac:dyDescent="0.3">
      <c r="J21591" s="33"/>
    </row>
    <row r="21592" spans="10:10" ht="15" customHeight="1" x14ac:dyDescent="0.3">
      <c r="J21592" s="33"/>
    </row>
    <row r="21593" spans="10:10" ht="15" customHeight="1" x14ac:dyDescent="0.3">
      <c r="J21593" s="33"/>
    </row>
    <row r="21594" spans="10:10" ht="15" customHeight="1" x14ac:dyDescent="0.3">
      <c r="J21594" s="33"/>
    </row>
    <row r="21595" spans="10:10" ht="15" customHeight="1" x14ac:dyDescent="0.3">
      <c r="J21595" s="33"/>
    </row>
    <row r="21596" spans="10:10" ht="15" customHeight="1" x14ac:dyDescent="0.3">
      <c r="J21596" s="33"/>
    </row>
    <row r="21597" spans="10:10" ht="15" customHeight="1" x14ac:dyDescent="0.3">
      <c r="J21597" s="33"/>
    </row>
    <row r="21598" spans="10:10" ht="15" customHeight="1" x14ac:dyDescent="0.3">
      <c r="J21598" s="33"/>
    </row>
    <row r="21599" spans="10:10" ht="15" customHeight="1" x14ac:dyDescent="0.3">
      <c r="J21599" s="33"/>
    </row>
    <row r="21600" spans="10:10" ht="15" customHeight="1" x14ac:dyDescent="0.3">
      <c r="J21600" s="33"/>
    </row>
    <row r="21601" spans="10:10" ht="15" customHeight="1" x14ac:dyDescent="0.3">
      <c r="J21601" s="33"/>
    </row>
    <row r="21602" spans="10:10" ht="15" customHeight="1" x14ac:dyDescent="0.3">
      <c r="J21602" s="33"/>
    </row>
    <row r="21603" spans="10:10" ht="15" customHeight="1" x14ac:dyDescent="0.3">
      <c r="J21603" s="33"/>
    </row>
    <row r="21604" spans="10:10" ht="15" customHeight="1" x14ac:dyDescent="0.3">
      <c r="J21604" s="33"/>
    </row>
    <row r="21605" spans="10:10" ht="15" customHeight="1" x14ac:dyDescent="0.3">
      <c r="J21605" s="33"/>
    </row>
    <row r="21606" spans="10:10" ht="15" customHeight="1" x14ac:dyDescent="0.3">
      <c r="J21606" s="33"/>
    </row>
    <row r="21607" spans="10:10" ht="15" customHeight="1" x14ac:dyDescent="0.3">
      <c r="J21607" s="33"/>
    </row>
    <row r="21608" spans="10:10" ht="15" customHeight="1" x14ac:dyDescent="0.3">
      <c r="J21608" s="33"/>
    </row>
    <row r="21609" spans="10:10" ht="15" customHeight="1" x14ac:dyDescent="0.3">
      <c r="J21609" s="33"/>
    </row>
    <row r="21610" spans="10:10" ht="15" customHeight="1" x14ac:dyDescent="0.3">
      <c r="J21610" s="33"/>
    </row>
    <row r="21611" spans="10:10" ht="15" customHeight="1" x14ac:dyDescent="0.3">
      <c r="J21611" s="33"/>
    </row>
    <row r="21612" spans="10:10" ht="15" customHeight="1" x14ac:dyDescent="0.3">
      <c r="J21612" s="33"/>
    </row>
    <row r="21613" spans="10:10" ht="15" customHeight="1" x14ac:dyDescent="0.3">
      <c r="J21613" s="33"/>
    </row>
    <row r="21614" spans="10:10" ht="15" customHeight="1" x14ac:dyDescent="0.3">
      <c r="J21614" s="33"/>
    </row>
    <row r="21615" spans="10:10" ht="15" customHeight="1" x14ac:dyDescent="0.3">
      <c r="J21615" s="33"/>
    </row>
    <row r="21616" spans="10:10" ht="15" customHeight="1" x14ac:dyDescent="0.3">
      <c r="J21616" s="33"/>
    </row>
    <row r="21617" spans="10:10" ht="15" customHeight="1" x14ac:dyDescent="0.3">
      <c r="J21617" s="33"/>
    </row>
    <row r="21618" spans="10:10" ht="15" customHeight="1" x14ac:dyDescent="0.3">
      <c r="J21618" s="33"/>
    </row>
    <row r="21619" spans="10:10" ht="15" customHeight="1" x14ac:dyDescent="0.3">
      <c r="J21619" s="33"/>
    </row>
    <row r="21620" spans="10:10" ht="15" customHeight="1" x14ac:dyDescent="0.3">
      <c r="J21620" s="33"/>
    </row>
    <row r="21621" spans="10:10" ht="15" customHeight="1" x14ac:dyDescent="0.3">
      <c r="J21621" s="33"/>
    </row>
    <row r="21622" spans="10:10" ht="15" customHeight="1" x14ac:dyDescent="0.3">
      <c r="J21622" s="33"/>
    </row>
    <row r="21623" spans="10:10" ht="15" customHeight="1" x14ac:dyDescent="0.3">
      <c r="J21623" s="33"/>
    </row>
    <row r="21624" spans="10:10" ht="15" customHeight="1" x14ac:dyDescent="0.3">
      <c r="J21624" s="33"/>
    </row>
    <row r="21625" spans="10:10" ht="15" customHeight="1" x14ac:dyDescent="0.3">
      <c r="J21625" s="33"/>
    </row>
    <row r="21626" spans="10:10" ht="15" customHeight="1" x14ac:dyDescent="0.3">
      <c r="J21626" s="33"/>
    </row>
    <row r="21627" spans="10:10" ht="15" customHeight="1" x14ac:dyDescent="0.3">
      <c r="J21627" s="33"/>
    </row>
    <row r="21628" spans="10:10" ht="15" customHeight="1" x14ac:dyDescent="0.3">
      <c r="J21628" s="33"/>
    </row>
    <row r="21629" spans="10:10" ht="15" customHeight="1" x14ac:dyDescent="0.3">
      <c r="J21629" s="33"/>
    </row>
    <row r="21630" spans="10:10" ht="15" customHeight="1" x14ac:dyDescent="0.3">
      <c r="J21630" s="33"/>
    </row>
    <row r="21631" spans="10:10" ht="15" customHeight="1" x14ac:dyDescent="0.3">
      <c r="J21631" s="33"/>
    </row>
    <row r="21632" spans="10:10" ht="15" customHeight="1" x14ac:dyDescent="0.3">
      <c r="J21632" s="33"/>
    </row>
    <row r="21633" spans="10:10" ht="15" customHeight="1" x14ac:dyDescent="0.3">
      <c r="J21633" s="33"/>
    </row>
    <row r="21634" spans="10:10" ht="15" customHeight="1" x14ac:dyDescent="0.3">
      <c r="J21634" s="33"/>
    </row>
    <row r="21635" spans="10:10" ht="15" customHeight="1" x14ac:dyDescent="0.3">
      <c r="J21635" s="33"/>
    </row>
    <row r="21636" spans="10:10" ht="15" customHeight="1" x14ac:dyDescent="0.3">
      <c r="J21636" s="33"/>
    </row>
    <row r="21637" spans="10:10" ht="15" customHeight="1" x14ac:dyDescent="0.3">
      <c r="J21637" s="33"/>
    </row>
    <row r="21638" spans="10:10" ht="15" customHeight="1" x14ac:dyDescent="0.3">
      <c r="J21638" s="33"/>
    </row>
    <row r="21639" spans="10:10" ht="15" customHeight="1" x14ac:dyDescent="0.3">
      <c r="J21639" s="33"/>
    </row>
    <row r="21640" spans="10:10" ht="15" customHeight="1" x14ac:dyDescent="0.3">
      <c r="J21640" s="33"/>
    </row>
    <row r="21641" spans="10:10" ht="15" customHeight="1" x14ac:dyDescent="0.3">
      <c r="J21641" s="33"/>
    </row>
    <row r="21642" spans="10:10" ht="15" customHeight="1" x14ac:dyDescent="0.3">
      <c r="J21642" s="33"/>
    </row>
    <row r="21643" spans="10:10" ht="15" customHeight="1" x14ac:dyDescent="0.3">
      <c r="J21643" s="33"/>
    </row>
    <row r="21644" spans="10:10" ht="15" customHeight="1" x14ac:dyDescent="0.3">
      <c r="J21644" s="33"/>
    </row>
    <row r="21645" spans="10:10" ht="15" customHeight="1" x14ac:dyDescent="0.3">
      <c r="J21645" s="33"/>
    </row>
    <row r="21646" spans="10:10" ht="15" customHeight="1" x14ac:dyDescent="0.3">
      <c r="J21646" s="33"/>
    </row>
    <row r="21647" spans="10:10" ht="15" customHeight="1" x14ac:dyDescent="0.3">
      <c r="J21647" s="33"/>
    </row>
    <row r="21648" spans="10:10" ht="15" customHeight="1" x14ac:dyDescent="0.3">
      <c r="J21648" s="33"/>
    </row>
    <row r="21649" spans="10:10" ht="15" customHeight="1" x14ac:dyDescent="0.3">
      <c r="J21649" s="33"/>
    </row>
    <row r="21650" spans="10:10" ht="15" customHeight="1" x14ac:dyDescent="0.3">
      <c r="J21650" s="33"/>
    </row>
    <row r="21651" spans="10:10" ht="15" customHeight="1" x14ac:dyDescent="0.3">
      <c r="J21651" s="33"/>
    </row>
    <row r="21652" spans="10:10" ht="15" customHeight="1" x14ac:dyDescent="0.3">
      <c r="J21652" s="33"/>
    </row>
    <row r="21653" spans="10:10" ht="15" customHeight="1" x14ac:dyDescent="0.3">
      <c r="J21653" s="33"/>
    </row>
    <row r="21654" spans="10:10" ht="15" customHeight="1" x14ac:dyDescent="0.3">
      <c r="J21654" s="33"/>
    </row>
    <row r="21655" spans="10:10" ht="15" customHeight="1" x14ac:dyDescent="0.3">
      <c r="J21655" s="33"/>
    </row>
    <row r="21656" spans="10:10" ht="15" customHeight="1" x14ac:dyDescent="0.3">
      <c r="J21656" s="33"/>
    </row>
    <row r="21657" spans="10:10" ht="15" customHeight="1" x14ac:dyDescent="0.3">
      <c r="J21657" s="33"/>
    </row>
    <row r="21658" spans="10:10" ht="15" customHeight="1" x14ac:dyDescent="0.3">
      <c r="J21658" s="33"/>
    </row>
    <row r="21659" spans="10:10" ht="15" customHeight="1" x14ac:dyDescent="0.3">
      <c r="J21659" s="33"/>
    </row>
    <row r="21660" spans="10:10" ht="15" customHeight="1" x14ac:dyDescent="0.3">
      <c r="J21660" s="33"/>
    </row>
    <row r="21661" spans="10:10" ht="15" customHeight="1" x14ac:dyDescent="0.3">
      <c r="J21661" s="33"/>
    </row>
    <row r="21662" spans="10:10" ht="15" customHeight="1" x14ac:dyDescent="0.3">
      <c r="J21662" s="33"/>
    </row>
    <row r="21663" spans="10:10" ht="15" customHeight="1" x14ac:dyDescent="0.3">
      <c r="J21663" s="33"/>
    </row>
    <row r="21664" spans="10:10" ht="15" customHeight="1" x14ac:dyDescent="0.3">
      <c r="J21664" s="33"/>
    </row>
    <row r="21665" spans="10:10" ht="15" customHeight="1" x14ac:dyDescent="0.3">
      <c r="J21665" s="33"/>
    </row>
    <row r="21666" spans="10:10" ht="15" customHeight="1" x14ac:dyDescent="0.3">
      <c r="J21666" s="33"/>
    </row>
    <row r="21667" spans="10:10" ht="15" customHeight="1" x14ac:dyDescent="0.3">
      <c r="J21667" s="33"/>
    </row>
    <row r="21668" spans="10:10" ht="15" customHeight="1" x14ac:dyDescent="0.3">
      <c r="J21668" s="33"/>
    </row>
    <row r="21669" spans="10:10" ht="15" customHeight="1" x14ac:dyDescent="0.3">
      <c r="J21669" s="33"/>
    </row>
    <row r="21670" spans="10:10" ht="15" customHeight="1" x14ac:dyDescent="0.3">
      <c r="J21670" s="33"/>
    </row>
    <row r="21671" spans="10:10" ht="15" customHeight="1" x14ac:dyDescent="0.3">
      <c r="J21671" s="33"/>
    </row>
    <row r="21672" spans="10:10" ht="15" customHeight="1" x14ac:dyDescent="0.3">
      <c r="J21672" s="33"/>
    </row>
    <row r="21673" spans="10:10" ht="15" customHeight="1" x14ac:dyDescent="0.3">
      <c r="J21673" s="33"/>
    </row>
    <row r="21674" spans="10:10" ht="15" customHeight="1" x14ac:dyDescent="0.3">
      <c r="J21674" s="33"/>
    </row>
    <row r="21675" spans="10:10" ht="15" customHeight="1" x14ac:dyDescent="0.3">
      <c r="J21675" s="33"/>
    </row>
    <row r="21676" spans="10:10" ht="15" customHeight="1" x14ac:dyDescent="0.3">
      <c r="J21676" s="33"/>
    </row>
    <row r="21677" spans="10:10" ht="15" customHeight="1" x14ac:dyDescent="0.3">
      <c r="J21677" s="33"/>
    </row>
    <row r="21678" spans="10:10" ht="15" customHeight="1" x14ac:dyDescent="0.3">
      <c r="J21678" s="33"/>
    </row>
    <row r="21679" spans="10:10" ht="15" customHeight="1" x14ac:dyDescent="0.3">
      <c r="J21679" s="33"/>
    </row>
    <row r="21680" spans="10:10" ht="15" customHeight="1" x14ac:dyDescent="0.3">
      <c r="J21680" s="33"/>
    </row>
    <row r="21681" spans="10:10" ht="15" customHeight="1" x14ac:dyDescent="0.3">
      <c r="J21681" s="33"/>
    </row>
    <row r="21682" spans="10:10" ht="15" customHeight="1" x14ac:dyDescent="0.3">
      <c r="J21682" s="33"/>
    </row>
    <row r="21683" spans="10:10" ht="15" customHeight="1" x14ac:dyDescent="0.3">
      <c r="J21683" s="33"/>
    </row>
    <row r="21684" spans="10:10" ht="15" customHeight="1" x14ac:dyDescent="0.3">
      <c r="J21684" s="33"/>
    </row>
    <row r="21685" spans="10:10" ht="15" customHeight="1" x14ac:dyDescent="0.3">
      <c r="J21685" s="33"/>
    </row>
    <row r="21686" spans="10:10" ht="15" customHeight="1" x14ac:dyDescent="0.3">
      <c r="J21686" s="33"/>
    </row>
    <row r="21687" spans="10:10" ht="15" customHeight="1" x14ac:dyDescent="0.3">
      <c r="J21687" s="33"/>
    </row>
    <row r="21688" spans="10:10" ht="15" customHeight="1" x14ac:dyDescent="0.3">
      <c r="J21688" s="33"/>
    </row>
    <row r="21689" spans="10:10" ht="15" customHeight="1" x14ac:dyDescent="0.3">
      <c r="J21689" s="33"/>
    </row>
    <row r="21690" spans="10:10" ht="15" customHeight="1" x14ac:dyDescent="0.3">
      <c r="J21690" s="33"/>
    </row>
    <row r="21691" spans="10:10" ht="15" customHeight="1" x14ac:dyDescent="0.3">
      <c r="J21691" s="33"/>
    </row>
    <row r="21692" spans="10:10" ht="15" customHeight="1" x14ac:dyDescent="0.3">
      <c r="J21692" s="33"/>
    </row>
    <row r="21693" spans="10:10" ht="15" customHeight="1" x14ac:dyDescent="0.3">
      <c r="J21693" s="33"/>
    </row>
    <row r="21694" spans="10:10" ht="15" customHeight="1" x14ac:dyDescent="0.3">
      <c r="J21694" s="33"/>
    </row>
    <row r="21695" spans="10:10" ht="15" customHeight="1" x14ac:dyDescent="0.3">
      <c r="J21695" s="33"/>
    </row>
    <row r="21696" spans="10:10" ht="15" customHeight="1" x14ac:dyDescent="0.3">
      <c r="J21696" s="33"/>
    </row>
    <row r="21697" spans="10:10" ht="15" customHeight="1" x14ac:dyDescent="0.3">
      <c r="J21697" s="33"/>
    </row>
    <row r="21698" spans="10:10" ht="15" customHeight="1" x14ac:dyDescent="0.3">
      <c r="J21698" s="33"/>
    </row>
    <row r="21699" spans="10:10" ht="15" customHeight="1" x14ac:dyDescent="0.3">
      <c r="J21699" s="33"/>
    </row>
    <row r="21700" spans="10:10" ht="15" customHeight="1" x14ac:dyDescent="0.3">
      <c r="J21700" s="33"/>
    </row>
    <row r="21701" spans="10:10" ht="15" customHeight="1" x14ac:dyDescent="0.3">
      <c r="J21701" s="33"/>
    </row>
    <row r="21702" spans="10:10" ht="15" customHeight="1" x14ac:dyDescent="0.3">
      <c r="J21702" s="33"/>
    </row>
    <row r="21703" spans="10:10" ht="15" customHeight="1" x14ac:dyDescent="0.3">
      <c r="J21703" s="33"/>
    </row>
    <row r="21704" spans="10:10" ht="15" customHeight="1" x14ac:dyDescent="0.3">
      <c r="J21704" s="33"/>
    </row>
    <row r="21705" spans="10:10" ht="15" customHeight="1" x14ac:dyDescent="0.3">
      <c r="J21705" s="33"/>
    </row>
    <row r="21706" spans="10:10" ht="15" customHeight="1" x14ac:dyDescent="0.3">
      <c r="J21706" s="33"/>
    </row>
    <row r="21707" spans="10:10" ht="15" customHeight="1" x14ac:dyDescent="0.3">
      <c r="J21707" s="33"/>
    </row>
    <row r="21708" spans="10:10" ht="15" customHeight="1" x14ac:dyDescent="0.3">
      <c r="J21708" s="33"/>
    </row>
    <row r="21709" spans="10:10" ht="15" customHeight="1" x14ac:dyDescent="0.3">
      <c r="J21709" s="33"/>
    </row>
    <row r="21710" spans="10:10" ht="15" customHeight="1" x14ac:dyDescent="0.3">
      <c r="J21710" s="33"/>
    </row>
    <row r="21711" spans="10:10" ht="15" customHeight="1" x14ac:dyDescent="0.3">
      <c r="J21711" s="33"/>
    </row>
    <row r="21712" spans="10:10" ht="15" customHeight="1" x14ac:dyDescent="0.3">
      <c r="J21712" s="33"/>
    </row>
    <row r="21713" spans="10:10" ht="15" customHeight="1" x14ac:dyDescent="0.3">
      <c r="J21713" s="33"/>
    </row>
    <row r="21714" spans="10:10" ht="15" customHeight="1" x14ac:dyDescent="0.3">
      <c r="J21714" s="33"/>
    </row>
    <row r="21715" spans="10:10" ht="15" customHeight="1" x14ac:dyDescent="0.3">
      <c r="J21715" s="33"/>
    </row>
    <row r="21716" spans="10:10" ht="15" customHeight="1" x14ac:dyDescent="0.3">
      <c r="J21716" s="33"/>
    </row>
    <row r="21717" spans="10:10" ht="15" customHeight="1" x14ac:dyDescent="0.3">
      <c r="J21717" s="33"/>
    </row>
    <row r="21718" spans="10:10" ht="15" customHeight="1" x14ac:dyDescent="0.3">
      <c r="J21718" s="33"/>
    </row>
    <row r="21719" spans="10:10" ht="15" customHeight="1" x14ac:dyDescent="0.3">
      <c r="J21719" s="33"/>
    </row>
    <row r="21720" spans="10:10" ht="15" customHeight="1" x14ac:dyDescent="0.3">
      <c r="J21720" s="33"/>
    </row>
    <row r="21721" spans="10:10" ht="15" customHeight="1" x14ac:dyDescent="0.3">
      <c r="J21721" s="33"/>
    </row>
    <row r="21722" spans="10:10" ht="15" customHeight="1" x14ac:dyDescent="0.3">
      <c r="J21722" s="33"/>
    </row>
    <row r="21723" spans="10:10" ht="15" customHeight="1" x14ac:dyDescent="0.3">
      <c r="J21723" s="33"/>
    </row>
    <row r="21724" spans="10:10" ht="15" customHeight="1" x14ac:dyDescent="0.3">
      <c r="J21724" s="33"/>
    </row>
    <row r="21725" spans="10:10" ht="15" customHeight="1" x14ac:dyDescent="0.3">
      <c r="J21725" s="33"/>
    </row>
    <row r="21726" spans="10:10" ht="15" customHeight="1" x14ac:dyDescent="0.3">
      <c r="J21726" s="33"/>
    </row>
    <row r="21727" spans="10:10" ht="15" customHeight="1" x14ac:dyDescent="0.3">
      <c r="J21727" s="33"/>
    </row>
    <row r="21728" spans="10:10" ht="15" customHeight="1" x14ac:dyDescent="0.3">
      <c r="J21728" s="33"/>
    </row>
    <row r="21729" spans="10:10" ht="15" customHeight="1" x14ac:dyDescent="0.3">
      <c r="J21729" s="33"/>
    </row>
    <row r="21730" spans="10:10" ht="15" customHeight="1" x14ac:dyDescent="0.3">
      <c r="J21730" s="33"/>
    </row>
    <row r="21731" spans="10:10" ht="15" customHeight="1" x14ac:dyDescent="0.3">
      <c r="J21731" s="33"/>
    </row>
    <row r="21732" spans="10:10" ht="15" customHeight="1" x14ac:dyDescent="0.3">
      <c r="J21732" s="33"/>
    </row>
    <row r="21733" spans="10:10" ht="15" customHeight="1" x14ac:dyDescent="0.3">
      <c r="J21733" s="33"/>
    </row>
    <row r="21734" spans="10:10" ht="15" customHeight="1" x14ac:dyDescent="0.3">
      <c r="J21734" s="33"/>
    </row>
    <row r="21735" spans="10:10" ht="15" customHeight="1" x14ac:dyDescent="0.3">
      <c r="J21735" s="33"/>
    </row>
    <row r="21736" spans="10:10" ht="15" customHeight="1" x14ac:dyDescent="0.3">
      <c r="J21736" s="33"/>
    </row>
    <row r="21737" spans="10:10" ht="15" customHeight="1" x14ac:dyDescent="0.3">
      <c r="J21737" s="33"/>
    </row>
    <row r="21738" spans="10:10" ht="15" customHeight="1" x14ac:dyDescent="0.3">
      <c r="J21738" s="33"/>
    </row>
    <row r="21739" spans="10:10" ht="15" customHeight="1" x14ac:dyDescent="0.3">
      <c r="J21739" s="33"/>
    </row>
    <row r="21740" spans="10:10" ht="15" customHeight="1" x14ac:dyDescent="0.3">
      <c r="J21740" s="33"/>
    </row>
    <row r="21741" spans="10:10" ht="15" customHeight="1" x14ac:dyDescent="0.3">
      <c r="J21741" s="33"/>
    </row>
    <row r="21742" spans="10:10" ht="15" customHeight="1" x14ac:dyDescent="0.3">
      <c r="J21742" s="33"/>
    </row>
    <row r="21743" spans="10:10" ht="15" customHeight="1" x14ac:dyDescent="0.3">
      <c r="J21743" s="33"/>
    </row>
    <row r="21744" spans="10:10" ht="15" customHeight="1" x14ac:dyDescent="0.3">
      <c r="J21744" s="33"/>
    </row>
    <row r="21745" spans="10:10" ht="15" customHeight="1" x14ac:dyDescent="0.3">
      <c r="J21745" s="33"/>
    </row>
    <row r="21746" spans="10:10" ht="15" customHeight="1" x14ac:dyDescent="0.3">
      <c r="J21746" s="33"/>
    </row>
    <row r="21747" spans="10:10" ht="15" customHeight="1" x14ac:dyDescent="0.3">
      <c r="J21747" s="33"/>
    </row>
    <row r="21748" spans="10:10" ht="15" customHeight="1" x14ac:dyDescent="0.3">
      <c r="J21748" s="33"/>
    </row>
    <row r="21749" spans="10:10" ht="15" customHeight="1" x14ac:dyDescent="0.3">
      <c r="J21749" s="33"/>
    </row>
    <row r="21750" spans="10:10" ht="15" customHeight="1" x14ac:dyDescent="0.3">
      <c r="J21750" s="33"/>
    </row>
    <row r="21751" spans="10:10" ht="15" customHeight="1" x14ac:dyDescent="0.3">
      <c r="J21751" s="33"/>
    </row>
    <row r="21752" spans="10:10" ht="15" customHeight="1" x14ac:dyDescent="0.3">
      <c r="J21752" s="33"/>
    </row>
    <row r="21753" spans="10:10" ht="15" customHeight="1" x14ac:dyDescent="0.3">
      <c r="J21753" s="33"/>
    </row>
    <row r="21754" spans="10:10" ht="15" customHeight="1" x14ac:dyDescent="0.3">
      <c r="J21754" s="33"/>
    </row>
    <row r="21755" spans="10:10" ht="15" customHeight="1" x14ac:dyDescent="0.3">
      <c r="J21755" s="33"/>
    </row>
    <row r="21756" spans="10:10" ht="15" customHeight="1" x14ac:dyDescent="0.3">
      <c r="J21756" s="33"/>
    </row>
    <row r="21757" spans="10:10" ht="15" customHeight="1" x14ac:dyDescent="0.3">
      <c r="J21757" s="33"/>
    </row>
    <row r="21758" spans="10:10" ht="15" customHeight="1" x14ac:dyDescent="0.3">
      <c r="J21758" s="33"/>
    </row>
    <row r="21759" spans="10:10" ht="15" customHeight="1" x14ac:dyDescent="0.3">
      <c r="J21759" s="33"/>
    </row>
    <row r="21760" spans="10:10" ht="15" customHeight="1" x14ac:dyDescent="0.3">
      <c r="J21760" s="33"/>
    </row>
    <row r="21761" spans="10:10" ht="15" customHeight="1" x14ac:dyDescent="0.3">
      <c r="J21761" s="33"/>
    </row>
    <row r="21762" spans="10:10" ht="15" customHeight="1" x14ac:dyDescent="0.3">
      <c r="J21762" s="33"/>
    </row>
    <row r="21763" spans="10:10" ht="15" customHeight="1" x14ac:dyDescent="0.3">
      <c r="J21763" s="33"/>
    </row>
    <row r="21764" spans="10:10" ht="15" customHeight="1" x14ac:dyDescent="0.3">
      <c r="J21764" s="33"/>
    </row>
    <row r="21765" spans="10:10" ht="15" customHeight="1" x14ac:dyDescent="0.3">
      <c r="J21765" s="33"/>
    </row>
    <row r="21766" spans="10:10" ht="15" customHeight="1" x14ac:dyDescent="0.3">
      <c r="J21766" s="33"/>
    </row>
    <row r="21767" spans="10:10" ht="15" customHeight="1" x14ac:dyDescent="0.3">
      <c r="J21767" s="33"/>
    </row>
    <row r="21768" spans="10:10" ht="15" customHeight="1" x14ac:dyDescent="0.3">
      <c r="J21768" s="33"/>
    </row>
    <row r="21769" spans="10:10" ht="15" customHeight="1" x14ac:dyDescent="0.3">
      <c r="J21769" s="33"/>
    </row>
    <row r="21770" spans="10:10" ht="15" customHeight="1" x14ac:dyDescent="0.3">
      <c r="J21770" s="33"/>
    </row>
    <row r="21771" spans="10:10" ht="15" customHeight="1" x14ac:dyDescent="0.3">
      <c r="J21771" s="33"/>
    </row>
    <row r="21772" spans="10:10" ht="15" customHeight="1" x14ac:dyDescent="0.3">
      <c r="J21772" s="33"/>
    </row>
    <row r="21773" spans="10:10" ht="15" customHeight="1" x14ac:dyDescent="0.3">
      <c r="J21773" s="33"/>
    </row>
    <row r="21774" spans="10:10" ht="15" customHeight="1" x14ac:dyDescent="0.3">
      <c r="J21774" s="33"/>
    </row>
    <row r="21775" spans="10:10" ht="15" customHeight="1" x14ac:dyDescent="0.3">
      <c r="J21775" s="33"/>
    </row>
    <row r="21776" spans="10:10" ht="15" customHeight="1" x14ac:dyDescent="0.3">
      <c r="J21776" s="33"/>
    </row>
    <row r="21777" spans="10:10" ht="15" customHeight="1" x14ac:dyDescent="0.3">
      <c r="J21777" s="33"/>
    </row>
    <row r="21778" spans="10:10" ht="15" customHeight="1" x14ac:dyDescent="0.3">
      <c r="J21778" s="33"/>
    </row>
    <row r="21779" spans="10:10" ht="15" customHeight="1" x14ac:dyDescent="0.3">
      <c r="J21779" s="33"/>
    </row>
    <row r="21780" spans="10:10" ht="15" customHeight="1" x14ac:dyDescent="0.3">
      <c r="J21780" s="33"/>
    </row>
    <row r="21781" spans="10:10" ht="15" customHeight="1" x14ac:dyDescent="0.3">
      <c r="J21781" s="33"/>
    </row>
    <row r="21782" spans="10:10" ht="15" customHeight="1" x14ac:dyDescent="0.3">
      <c r="J21782" s="33"/>
    </row>
    <row r="21783" spans="10:10" ht="15" customHeight="1" x14ac:dyDescent="0.3">
      <c r="J21783" s="33"/>
    </row>
    <row r="21784" spans="10:10" ht="15" customHeight="1" x14ac:dyDescent="0.3">
      <c r="J21784" s="33"/>
    </row>
    <row r="21785" spans="10:10" ht="15" customHeight="1" x14ac:dyDescent="0.3">
      <c r="J21785" s="33"/>
    </row>
    <row r="21786" spans="10:10" ht="15" customHeight="1" x14ac:dyDescent="0.3">
      <c r="J21786" s="33"/>
    </row>
    <row r="21787" spans="10:10" ht="15" customHeight="1" x14ac:dyDescent="0.3">
      <c r="J21787" s="33"/>
    </row>
    <row r="21788" spans="10:10" ht="15" customHeight="1" x14ac:dyDescent="0.3">
      <c r="J21788" s="33"/>
    </row>
    <row r="21789" spans="10:10" ht="15" customHeight="1" x14ac:dyDescent="0.3">
      <c r="J21789" s="33"/>
    </row>
    <row r="21790" spans="10:10" ht="15" customHeight="1" x14ac:dyDescent="0.3">
      <c r="J21790" s="33"/>
    </row>
    <row r="21791" spans="10:10" ht="15" customHeight="1" x14ac:dyDescent="0.3">
      <c r="J21791" s="33"/>
    </row>
    <row r="21792" spans="10:10" ht="15" customHeight="1" x14ac:dyDescent="0.3">
      <c r="J21792" s="33"/>
    </row>
    <row r="21793" spans="10:10" ht="15" customHeight="1" x14ac:dyDescent="0.3">
      <c r="J21793" s="33"/>
    </row>
    <row r="21794" spans="10:10" ht="15" customHeight="1" x14ac:dyDescent="0.3">
      <c r="J21794" s="33"/>
    </row>
    <row r="21795" spans="10:10" ht="15" customHeight="1" x14ac:dyDescent="0.3">
      <c r="J21795" s="33"/>
    </row>
    <row r="21796" spans="10:10" ht="15" customHeight="1" x14ac:dyDescent="0.3">
      <c r="J21796" s="33"/>
    </row>
    <row r="21797" spans="10:10" ht="15" customHeight="1" x14ac:dyDescent="0.3">
      <c r="J21797" s="33"/>
    </row>
    <row r="21798" spans="10:10" ht="15" customHeight="1" x14ac:dyDescent="0.3">
      <c r="J21798" s="33"/>
    </row>
    <row r="21799" spans="10:10" ht="15" customHeight="1" x14ac:dyDescent="0.3">
      <c r="J21799" s="33"/>
    </row>
    <row r="21800" spans="10:10" ht="15" customHeight="1" x14ac:dyDescent="0.3">
      <c r="J21800" s="33"/>
    </row>
    <row r="21801" spans="10:10" ht="15" customHeight="1" x14ac:dyDescent="0.3">
      <c r="J21801" s="33"/>
    </row>
    <row r="21802" spans="10:10" ht="15" customHeight="1" x14ac:dyDescent="0.3">
      <c r="J21802" s="33"/>
    </row>
    <row r="21803" spans="10:10" ht="15" customHeight="1" x14ac:dyDescent="0.3">
      <c r="J21803" s="33"/>
    </row>
    <row r="21804" spans="10:10" ht="15" customHeight="1" x14ac:dyDescent="0.3">
      <c r="J21804" s="33"/>
    </row>
    <row r="21805" spans="10:10" ht="15" customHeight="1" x14ac:dyDescent="0.3">
      <c r="J21805" s="33"/>
    </row>
    <row r="21806" spans="10:10" ht="15" customHeight="1" x14ac:dyDescent="0.3">
      <c r="J21806" s="33"/>
    </row>
    <row r="21807" spans="10:10" ht="15" customHeight="1" x14ac:dyDescent="0.3">
      <c r="J21807" s="33"/>
    </row>
    <row r="21808" spans="10:10" ht="15" customHeight="1" x14ac:dyDescent="0.3">
      <c r="J21808" s="33"/>
    </row>
    <row r="21809" spans="10:10" ht="15" customHeight="1" x14ac:dyDescent="0.3">
      <c r="J21809" s="33"/>
    </row>
    <row r="21810" spans="10:10" ht="15" customHeight="1" x14ac:dyDescent="0.3">
      <c r="J21810" s="33"/>
    </row>
    <row r="21811" spans="10:10" ht="15" customHeight="1" x14ac:dyDescent="0.3">
      <c r="J21811" s="33"/>
    </row>
    <row r="21812" spans="10:10" ht="15" customHeight="1" x14ac:dyDescent="0.3">
      <c r="J21812" s="33"/>
    </row>
    <row r="21813" spans="10:10" ht="15" customHeight="1" x14ac:dyDescent="0.3">
      <c r="J21813" s="33"/>
    </row>
    <row r="21814" spans="10:10" ht="15" customHeight="1" x14ac:dyDescent="0.3">
      <c r="J21814" s="33"/>
    </row>
    <row r="21815" spans="10:10" ht="15" customHeight="1" x14ac:dyDescent="0.3">
      <c r="J21815" s="33"/>
    </row>
    <row r="21816" spans="10:10" ht="15" customHeight="1" x14ac:dyDescent="0.3">
      <c r="J21816" s="33"/>
    </row>
    <row r="21817" spans="10:10" ht="15" customHeight="1" x14ac:dyDescent="0.3">
      <c r="J21817" s="33"/>
    </row>
    <row r="21818" spans="10:10" ht="15" customHeight="1" x14ac:dyDescent="0.3">
      <c r="J21818" s="33"/>
    </row>
    <row r="21819" spans="10:10" ht="15" customHeight="1" x14ac:dyDescent="0.3">
      <c r="J21819" s="33"/>
    </row>
    <row r="21820" spans="10:10" ht="15" customHeight="1" x14ac:dyDescent="0.3">
      <c r="J21820" s="33"/>
    </row>
    <row r="21821" spans="10:10" ht="15" customHeight="1" x14ac:dyDescent="0.3">
      <c r="J21821" s="33"/>
    </row>
    <row r="21822" spans="10:10" ht="15" customHeight="1" x14ac:dyDescent="0.3">
      <c r="J21822" s="33"/>
    </row>
    <row r="21823" spans="10:10" ht="15" customHeight="1" x14ac:dyDescent="0.3">
      <c r="J21823" s="33"/>
    </row>
    <row r="21824" spans="10:10" ht="15" customHeight="1" x14ac:dyDescent="0.3">
      <c r="J21824" s="33"/>
    </row>
    <row r="21825" spans="10:10" ht="15" customHeight="1" x14ac:dyDescent="0.3">
      <c r="J21825" s="33"/>
    </row>
    <row r="21826" spans="10:10" ht="15" customHeight="1" x14ac:dyDescent="0.3">
      <c r="J21826" s="33"/>
    </row>
    <row r="21827" spans="10:10" ht="15" customHeight="1" x14ac:dyDescent="0.3">
      <c r="J21827" s="33"/>
    </row>
    <row r="21828" spans="10:10" ht="15" customHeight="1" x14ac:dyDescent="0.3">
      <c r="J21828" s="33"/>
    </row>
    <row r="21829" spans="10:10" ht="15" customHeight="1" x14ac:dyDescent="0.3">
      <c r="J21829" s="33"/>
    </row>
    <row r="21830" spans="10:10" ht="15" customHeight="1" x14ac:dyDescent="0.3">
      <c r="J21830" s="33"/>
    </row>
    <row r="21831" spans="10:10" ht="15" customHeight="1" x14ac:dyDescent="0.3">
      <c r="J21831" s="33"/>
    </row>
    <row r="21832" spans="10:10" ht="15" customHeight="1" x14ac:dyDescent="0.3">
      <c r="J21832" s="33"/>
    </row>
    <row r="21833" spans="10:10" ht="15" customHeight="1" x14ac:dyDescent="0.3">
      <c r="J21833" s="33"/>
    </row>
    <row r="21834" spans="10:10" ht="15" customHeight="1" x14ac:dyDescent="0.3">
      <c r="J21834" s="33"/>
    </row>
    <row r="21835" spans="10:10" ht="15" customHeight="1" x14ac:dyDescent="0.3">
      <c r="J21835" s="33"/>
    </row>
    <row r="21836" spans="10:10" ht="15" customHeight="1" x14ac:dyDescent="0.3">
      <c r="J21836" s="33"/>
    </row>
    <row r="21837" spans="10:10" ht="15" customHeight="1" x14ac:dyDescent="0.3">
      <c r="J21837" s="33"/>
    </row>
    <row r="21838" spans="10:10" ht="15" customHeight="1" x14ac:dyDescent="0.3">
      <c r="J21838" s="33"/>
    </row>
    <row r="21839" spans="10:10" ht="15" customHeight="1" x14ac:dyDescent="0.3">
      <c r="J21839" s="33"/>
    </row>
    <row r="21840" spans="10:10" ht="15" customHeight="1" x14ac:dyDescent="0.3">
      <c r="J21840" s="33"/>
    </row>
    <row r="21841" spans="10:10" ht="15" customHeight="1" x14ac:dyDescent="0.3">
      <c r="J21841" s="33"/>
    </row>
    <row r="21842" spans="10:10" ht="15" customHeight="1" x14ac:dyDescent="0.3">
      <c r="J21842" s="33"/>
    </row>
    <row r="21843" spans="10:10" ht="15" customHeight="1" x14ac:dyDescent="0.3">
      <c r="J21843" s="33"/>
    </row>
    <row r="21844" spans="10:10" ht="15" customHeight="1" x14ac:dyDescent="0.3">
      <c r="J21844" s="33"/>
    </row>
    <row r="21845" spans="10:10" ht="15" customHeight="1" x14ac:dyDescent="0.3">
      <c r="J21845" s="33"/>
    </row>
    <row r="21846" spans="10:10" ht="15" customHeight="1" x14ac:dyDescent="0.3">
      <c r="J21846" s="33"/>
    </row>
    <row r="21847" spans="10:10" ht="15" customHeight="1" x14ac:dyDescent="0.3">
      <c r="J21847" s="33"/>
    </row>
    <row r="21848" spans="10:10" ht="15" customHeight="1" x14ac:dyDescent="0.3">
      <c r="J21848" s="33"/>
    </row>
    <row r="21849" spans="10:10" ht="15" customHeight="1" x14ac:dyDescent="0.3">
      <c r="J21849" s="33"/>
    </row>
    <row r="21850" spans="10:10" ht="15" customHeight="1" x14ac:dyDescent="0.3">
      <c r="J21850" s="33"/>
    </row>
    <row r="21851" spans="10:10" ht="15" customHeight="1" x14ac:dyDescent="0.3">
      <c r="J21851" s="33"/>
    </row>
    <row r="21852" spans="10:10" ht="15" customHeight="1" x14ac:dyDescent="0.3">
      <c r="J21852" s="33"/>
    </row>
    <row r="21853" spans="10:10" ht="15" customHeight="1" x14ac:dyDescent="0.3">
      <c r="J21853" s="33"/>
    </row>
    <row r="21854" spans="10:10" ht="15" customHeight="1" x14ac:dyDescent="0.3">
      <c r="J21854" s="33"/>
    </row>
    <row r="21855" spans="10:10" ht="15" customHeight="1" x14ac:dyDescent="0.3">
      <c r="J21855" s="33"/>
    </row>
    <row r="21856" spans="10:10" ht="15" customHeight="1" x14ac:dyDescent="0.3">
      <c r="J21856" s="33"/>
    </row>
    <row r="21857" spans="10:10" ht="15" customHeight="1" x14ac:dyDescent="0.3">
      <c r="J21857" s="33"/>
    </row>
    <row r="21858" spans="10:10" ht="15" customHeight="1" x14ac:dyDescent="0.3">
      <c r="J21858" s="33"/>
    </row>
    <row r="21859" spans="10:10" ht="15" customHeight="1" x14ac:dyDescent="0.3">
      <c r="J21859" s="33"/>
    </row>
    <row r="21860" spans="10:10" ht="15" customHeight="1" x14ac:dyDescent="0.3">
      <c r="J21860" s="33"/>
    </row>
    <row r="21861" spans="10:10" ht="15" customHeight="1" x14ac:dyDescent="0.3">
      <c r="J21861" s="33"/>
    </row>
    <row r="21862" spans="10:10" ht="15" customHeight="1" x14ac:dyDescent="0.3">
      <c r="J21862" s="33"/>
    </row>
    <row r="21863" spans="10:10" ht="15" customHeight="1" x14ac:dyDescent="0.3">
      <c r="J21863" s="33"/>
    </row>
    <row r="21864" spans="10:10" ht="15" customHeight="1" x14ac:dyDescent="0.3">
      <c r="J21864" s="33"/>
    </row>
    <row r="21865" spans="10:10" ht="15" customHeight="1" x14ac:dyDescent="0.3">
      <c r="J21865" s="33"/>
    </row>
    <row r="21866" spans="10:10" ht="15" customHeight="1" x14ac:dyDescent="0.3">
      <c r="J21866" s="33"/>
    </row>
    <row r="21867" spans="10:10" ht="15" customHeight="1" x14ac:dyDescent="0.3">
      <c r="J21867" s="33"/>
    </row>
    <row r="21868" spans="10:10" ht="15" customHeight="1" x14ac:dyDescent="0.3">
      <c r="J21868" s="33"/>
    </row>
    <row r="21869" spans="10:10" ht="15" customHeight="1" x14ac:dyDescent="0.3">
      <c r="J21869" s="33"/>
    </row>
    <row r="21870" spans="10:10" ht="15" customHeight="1" x14ac:dyDescent="0.3">
      <c r="J21870" s="33"/>
    </row>
    <row r="21871" spans="10:10" ht="15" customHeight="1" x14ac:dyDescent="0.3">
      <c r="J21871" s="33"/>
    </row>
    <row r="21872" spans="10:10" ht="15" customHeight="1" x14ac:dyDescent="0.3">
      <c r="J21872" s="33"/>
    </row>
    <row r="21873" spans="10:10" ht="15" customHeight="1" x14ac:dyDescent="0.3">
      <c r="J21873" s="33"/>
    </row>
    <row r="21874" spans="10:10" ht="15" customHeight="1" x14ac:dyDescent="0.3">
      <c r="J21874" s="33"/>
    </row>
    <row r="21875" spans="10:10" ht="15" customHeight="1" x14ac:dyDescent="0.3">
      <c r="J21875" s="33"/>
    </row>
    <row r="21876" spans="10:10" ht="15" customHeight="1" x14ac:dyDescent="0.3">
      <c r="J21876" s="33"/>
    </row>
    <row r="21877" spans="10:10" ht="15" customHeight="1" x14ac:dyDescent="0.3">
      <c r="J21877" s="33"/>
    </row>
    <row r="21878" spans="10:10" ht="15" customHeight="1" x14ac:dyDescent="0.3">
      <c r="J21878" s="33"/>
    </row>
    <row r="21879" spans="10:10" ht="15" customHeight="1" x14ac:dyDescent="0.3">
      <c r="J21879" s="33"/>
    </row>
    <row r="21880" spans="10:10" ht="15" customHeight="1" x14ac:dyDescent="0.3">
      <c r="J21880" s="33"/>
    </row>
    <row r="21881" spans="10:10" ht="15" customHeight="1" x14ac:dyDescent="0.3">
      <c r="J21881" s="33"/>
    </row>
    <row r="21882" spans="10:10" ht="15" customHeight="1" x14ac:dyDescent="0.3">
      <c r="J21882" s="33"/>
    </row>
    <row r="21883" spans="10:10" ht="15" customHeight="1" x14ac:dyDescent="0.3">
      <c r="J21883" s="33"/>
    </row>
    <row r="21884" spans="10:10" ht="15" customHeight="1" x14ac:dyDescent="0.3">
      <c r="J21884" s="33"/>
    </row>
    <row r="21885" spans="10:10" ht="15" customHeight="1" x14ac:dyDescent="0.3">
      <c r="J21885" s="33"/>
    </row>
    <row r="21886" spans="10:10" ht="15" customHeight="1" x14ac:dyDescent="0.3">
      <c r="J21886" s="33"/>
    </row>
    <row r="21887" spans="10:10" ht="15" customHeight="1" x14ac:dyDescent="0.3">
      <c r="J21887" s="33"/>
    </row>
    <row r="21888" spans="10:10" ht="15" customHeight="1" x14ac:dyDescent="0.3">
      <c r="J21888" s="33"/>
    </row>
    <row r="21889" spans="10:10" ht="15" customHeight="1" x14ac:dyDescent="0.3">
      <c r="J21889" s="33"/>
    </row>
    <row r="21890" spans="10:10" ht="15" customHeight="1" x14ac:dyDescent="0.3">
      <c r="J21890" s="33"/>
    </row>
    <row r="21891" spans="10:10" ht="15" customHeight="1" x14ac:dyDescent="0.3">
      <c r="J21891" s="33"/>
    </row>
    <row r="21892" spans="10:10" ht="15" customHeight="1" x14ac:dyDescent="0.3">
      <c r="J21892" s="33"/>
    </row>
    <row r="21893" spans="10:10" ht="15" customHeight="1" x14ac:dyDescent="0.3">
      <c r="J21893" s="33"/>
    </row>
    <row r="21894" spans="10:10" ht="15" customHeight="1" x14ac:dyDescent="0.3">
      <c r="J21894" s="33"/>
    </row>
    <row r="21895" spans="10:10" ht="15" customHeight="1" x14ac:dyDescent="0.3">
      <c r="J21895" s="33"/>
    </row>
    <row r="21896" spans="10:10" ht="15" customHeight="1" x14ac:dyDescent="0.3">
      <c r="J21896" s="33"/>
    </row>
    <row r="21897" spans="10:10" ht="15" customHeight="1" x14ac:dyDescent="0.3">
      <c r="J21897" s="33"/>
    </row>
    <row r="21898" spans="10:10" ht="15" customHeight="1" x14ac:dyDescent="0.3">
      <c r="J21898" s="33"/>
    </row>
    <row r="21899" spans="10:10" ht="15" customHeight="1" x14ac:dyDescent="0.3">
      <c r="J21899" s="33"/>
    </row>
    <row r="21900" spans="10:10" ht="15" customHeight="1" x14ac:dyDescent="0.3">
      <c r="J21900" s="33"/>
    </row>
    <row r="21901" spans="10:10" ht="15" customHeight="1" x14ac:dyDescent="0.3">
      <c r="J21901" s="33"/>
    </row>
    <row r="21902" spans="10:10" ht="15" customHeight="1" x14ac:dyDescent="0.3">
      <c r="J21902" s="33"/>
    </row>
    <row r="21903" spans="10:10" ht="15" customHeight="1" x14ac:dyDescent="0.3">
      <c r="J21903" s="33"/>
    </row>
    <row r="21904" spans="10:10" ht="15" customHeight="1" x14ac:dyDescent="0.3">
      <c r="J21904" s="33"/>
    </row>
    <row r="21905" spans="10:10" ht="15" customHeight="1" x14ac:dyDescent="0.3">
      <c r="J21905" s="33"/>
    </row>
    <row r="21906" spans="10:10" ht="15" customHeight="1" x14ac:dyDescent="0.3">
      <c r="J21906" s="33"/>
    </row>
    <row r="21907" spans="10:10" ht="15" customHeight="1" x14ac:dyDescent="0.3">
      <c r="J21907" s="33"/>
    </row>
    <row r="21908" spans="10:10" ht="15" customHeight="1" x14ac:dyDescent="0.3">
      <c r="J21908" s="33"/>
    </row>
    <row r="21909" spans="10:10" ht="15" customHeight="1" x14ac:dyDescent="0.3">
      <c r="J21909" s="33"/>
    </row>
    <row r="21910" spans="10:10" ht="15" customHeight="1" x14ac:dyDescent="0.3">
      <c r="J21910" s="33"/>
    </row>
    <row r="21911" spans="10:10" ht="15" customHeight="1" x14ac:dyDescent="0.3">
      <c r="J21911" s="33"/>
    </row>
    <row r="21912" spans="10:10" ht="15" customHeight="1" x14ac:dyDescent="0.3">
      <c r="J21912" s="33"/>
    </row>
    <row r="21913" spans="10:10" ht="15" customHeight="1" x14ac:dyDescent="0.3">
      <c r="J21913" s="33"/>
    </row>
    <row r="21914" spans="10:10" ht="15" customHeight="1" x14ac:dyDescent="0.3">
      <c r="J21914" s="33"/>
    </row>
    <row r="21915" spans="10:10" ht="15" customHeight="1" x14ac:dyDescent="0.3">
      <c r="J21915" s="33"/>
    </row>
    <row r="21916" spans="10:10" ht="15" customHeight="1" x14ac:dyDescent="0.3">
      <c r="J21916" s="33"/>
    </row>
    <row r="21917" spans="10:10" ht="15" customHeight="1" x14ac:dyDescent="0.3">
      <c r="J21917" s="33"/>
    </row>
    <row r="21918" spans="10:10" ht="15" customHeight="1" x14ac:dyDescent="0.3">
      <c r="J21918" s="33"/>
    </row>
    <row r="21919" spans="10:10" ht="15" customHeight="1" x14ac:dyDescent="0.3">
      <c r="J21919" s="33"/>
    </row>
    <row r="21920" spans="10:10" ht="15" customHeight="1" x14ac:dyDescent="0.3">
      <c r="J21920" s="33"/>
    </row>
    <row r="21921" spans="10:10" ht="15" customHeight="1" x14ac:dyDescent="0.3">
      <c r="J21921" s="33"/>
    </row>
    <row r="21922" spans="10:10" ht="15" customHeight="1" x14ac:dyDescent="0.3">
      <c r="J21922" s="33"/>
    </row>
    <row r="21923" spans="10:10" ht="15" customHeight="1" x14ac:dyDescent="0.3">
      <c r="J21923" s="33"/>
    </row>
    <row r="21924" spans="10:10" ht="15" customHeight="1" x14ac:dyDescent="0.3">
      <c r="J21924" s="33"/>
    </row>
    <row r="21925" spans="10:10" ht="15" customHeight="1" x14ac:dyDescent="0.3">
      <c r="J21925" s="33"/>
    </row>
    <row r="21926" spans="10:10" ht="15" customHeight="1" x14ac:dyDescent="0.3">
      <c r="J21926" s="33"/>
    </row>
    <row r="21927" spans="10:10" ht="15" customHeight="1" x14ac:dyDescent="0.3">
      <c r="J21927" s="33"/>
    </row>
    <row r="21928" spans="10:10" ht="15" customHeight="1" x14ac:dyDescent="0.3">
      <c r="J21928" s="33"/>
    </row>
    <row r="21929" spans="10:10" ht="15" customHeight="1" x14ac:dyDescent="0.3">
      <c r="J21929" s="33"/>
    </row>
    <row r="21930" spans="10:10" ht="15" customHeight="1" x14ac:dyDescent="0.3">
      <c r="J21930" s="33"/>
    </row>
    <row r="21931" spans="10:10" ht="15" customHeight="1" x14ac:dyDescent="0.3">
      <c r="J21931" s="33"/>
    </row>
    <row r="21932" spans="10:10" ht="15" customHeight="1" x14ac:dyDescent="0.3">
      <c r="J21932" s="33"/>
    </row>
    <row r="21933" spans="10:10" ht="15" customHeight="1" x14ac:dyDescent="0.3">
      <c r="J21933" s="33"/>
    </row>
    <row r="21934" spans="10:10" ht="15" customHeight="1" x14ac:dyDescent="0.3">
      <c r="J21934" s="33"/>
    </row>
    <row r="21935" spans="10:10" ht="15" customHeight="1" x14ac:dyDescent="0.3">
      <c r="J21935" s="33"/>
    </row>
    <row r="21936" spans="10:10" ht="15" customHeight="1" x14ac:dyDescent="0.3">
      <c r="J21936" s="33"/>
    </row>
    <row r="21937" spans="10:10" ht="15" customHeight="1" x14ac:dyDescent="0.3">
      <c r="J21937" s="33"/>
    </row>
    <row r="21938" spans="10:10" ht="15" customHeight="1" x14ac:dyDescent="0.3">
      <c r="J21938" s="33"/>
    </row>
    <row r="21939" spans="10:10" ht="15" customHeight="1" x14ac:dyDescent="0.3">
      <c r="J21939" s="33"/>
    </row>
    <row r="21940" spans="10:10" ht="15" customHeight="1" x14ac:dyDescent="0.3">
      <c r="J21940" s="33"/>
    </row>
    <row r="21941" spans="10:10" ht="15" customHeight="1" x14ac:dyDescent="0.3">
      <c r="J21941" s="33"/>
    </row>
    <row r="21942" spans="10:10" ht="15" customHeight="1" x14ac:dyDescent="0.3">
      <c r="J21942" s="33"/>
    </row>
    <row r="21943" spans="10:10" ht="15" customHeight="1" x14ac:dyDescent="0.3">
      <c r="J21943" s="33"/>
    </row>
    <row r="21944" spans="10:10" ht="15" customHeight="1" x14ac:dyDescent="0.3">
      <c r="J21944" s="33"/>
    </row>
    <row r="21945" spans="10:10" ht="15" customHeight="1" x14ac:dyDescent="0.3">
      <c r="J21945" s="33"/>
    </row>
    <row r="21946" spans="10:10" ht="15" customHeight="1" x14ac:dyDescent="0.3">
      <c r="J21946" s="33"/>
    </row>
    <row r="21947" spans="10:10" ht="15" customHeight="1" x14ac:dyDescent="0.3">
      <c r="J21947" s="33"/>
    </row>
    <row r="21948" spans="10:10" ht="15" customHeight="1" x14ac:dyDescent="0.3">
      <c r="J21948" s="33"/>
    </row>
    <row r="21949" spans="10:10" ht="15" customHeight="1" x14ac:dyDescent="0.3">
      <c r="J21949" s="33"/>
    </row>
    <row r="21950" spans="10:10" ht="15" customHeight="1" x14ac:dyDescent="0.3">
      <c r="J21950" s="33"/>
    </row>
    <row r="21951" spans="10:10" ht="15" customHeight="1" x14ac:dyDescent="0.3">
      <c r="J21951" s="33"/>
    </row>
    <row r="21952" spans="10:10" ht="15" customHeight="1" x14ac:dyDescent="0.3">
      <c r="J21952" s="33"/>
    </row>
    <row r="21953" spans="10:10" ht="15" customHeight="1" x14ac:dyDescent="0.3">
      <c r="J21953" s="33"/>
    </row>
    <row r="21954" spans="10:10" ht="15" customHeight="1" x14ac:dyDescent="0.3">
      <c r="J21954" s="33"/>
    </row>
    <row r="21955" spans="10:10" ht="15" customHeight="1" x14ac:dyDescent="0.3">
      <c r="J21955" s="33"/>
    </row>
    <row r="21956" spans="10:10" ht="15" customHeight="1" x14ac:dyDescent="0.3">
      <c r="J21956" s="33"/>
    </row>
    <row r="21957" spans="10:10" ht="15" customHeight="1" x14ac:dyDescent="0.3">
      <c r="J21957" s="33"/>
    </row>
    <row r="21958" spans="10:10" ht="15" customHeight="1" x14ac:dyDescent="0.3">
      <c r="J21958" s="33"/>
    </row>
    <row r="21959" spans="10:10" ht="15" customHeight="1" x14ac:dyDescent="0.3">
      <c r="J21959" s="33"/>
    </row>
    <row r="21960" spans="10:10" ht="15" customHeight="1" x14ac:dyDescent="0.3">
      <c r="J21960" s="33"/>
    </row>
    <row r="21961" spans="10:10" ht="15" customHeight="1" x14ac:dyDescent="0.3">
      <c r="J21961" s="33"/>
    </row>
    <row r="21962" spans="10:10" ht="15" customHeight="1" x14ac:dyDescent="0.3">
      <c r="J21962" s="33"/>
    </row>
    <row r="21963" spans="10:10" ht="15" customHeight="1" x14ac:dyDescent="0.3">
      <c r="J21963" s="33"/>
    </row>
    <row r="21964" spans="10:10" ht="15" customHeight="1" x14ac:dyDescent="0.3">
      <c r="J21964" s="33"/>
    </row>
    <row r="21965" spans="10:10" ht="15" customHeight="1" x14ac:dyDescent="0.3">
      <c r="J21965" s="33"/>
    </row>
    <row r="21966" spans="10:10" ht="15" customHeight="1" x14ac:dyDescent="0.3">
      <c r="J21966" s="33"/>
    </row>
    <row r="21967" spans="10:10" ht="15" customHeight="1" x14ac:dyDescent="0.3">
      <c r="J21967" s="33"/>
    </row>
    <row r="21968" spans="10:10" ht="15" customHeight="1" x14ac:dyDescent="0.3">
      <c r="J21968" s="33"/>
    </row>
    <row r="21969" spans="10:10" ht="15" customHeight="1" x14ac:dyDescent="0.3">
      <c r="J21969" s="33"/>
    </row>
    <row r="21970" spans="10:10" ht="15" customHeight="1" x14ac:dyDescent="0.3">
      <c r="J21970" s="33"/>
    </row>
    <row r="21971" spans="10:10" ht="15" customHeight="1" x14ac:dyDescent="0.3">
      <c r="J21971" s="33"/>
    </row>
    <row r="21972" spans="10:10" ht="15" customHeight="1" x14ac:dyDescent="0.3">
      <c r="J21972" s="33"/>
    </row>
    <row r="21973" spans="10:10" ht="15" customHeight="1" x14ac:dyDescent="0.3">
      <c r="J21973" s="33"/>
    </row>
    <row r="21974" spans="10:10" ht="15" customHeight="1" x14ac:dyDescent="0.3">
      <c r="J21974" s="33"/>
    </row>
    <row r="21975" spans="10:10" ht="15" customHeight="1" x14ac:dyDescent="0.3">
      <c r="J21975" s="33"/>
    </row>
    <row r="21976" spans="10:10" ht="15" customHeight="1" x14ac:dyDescent="0.3">
      <c r="J21976" s="33"/>
    </row>
    <row r="21977" spans="10:10" ht="15" customHeight="1" x14ac:dyDescent="0.3">
      <c r="J21977" s="33"/>
    </row>
    <row r="21978" spans="10:10" ht="15" customHeight="1" x14ac:dyDescent="0.3">
      <c r="J21978" s="33"/>
    </row>
    <row r="21979" spans="10:10" ht="15" customHeight="1" x14ac:dyDescent="0.3">
      <c r="J21979" s="33"/>
    </row>
    <row r="21980" spans="10:10" ht="15" customHeight="1" x14ac:dyDescent="0.3">
      <c r="J21980" s="33"/>
    </row>
    <row r="21981" spans="10:10" ht="15" customHeight="1" x14ac:dyDescent="0.3">
      <c r="J21981" s="33"/>
    </row>
    <row r="21982" spans="10:10" ht="15" customHeight="1" x14ac:dyDescent="0.3">
      <c r="J21982" s="33"/>
    </row>
    <row r="21983" spans="10:10" ht="15" customHeight="1" x14ac:dyDescent="0.3">
      <c r="J21983" s="33"/>
    </row>
    <row r="21984" spans="10:10" ht="15" customHeight="1" x14ac:dyDescent="0.3">
      <c r="J21984" s="33"/>
    </row>
    <row r="21985" spans="10:10" ht="15" customHeight="1" x14ac:dyDescent="0.3">
      <c r="J21985" s="33"/>
    </row>
    <row r="21986" spans="10:10" ht="15" customHeight="1" x14ac:dyDescent="0.3">
      <c r="J21986" s="33"/>
    </row>
    <row r="21987" spans="10:10" ht="15" customHeight="1" x14ac:dyDescent="0.3">
      <c r="J21987" s="33"/>
    </row>
    <row r="21988" spans="10:10" ht="15" customHeight="1" x14ac:dyDescent="0.3">
      <c r="J21988" s="33"/>
    </row>
    <row r="21989" spans="10:10" ht="15" customHeight="1" x14ac:dyDescent="0.3">
      <c r="J21989" s="33"/>
    </row>
    <row r="21990" spans="10:10" ht="15" customHeight="1" x14ac:dyDescent="0.3">
      <c r="J21990" s="33"/>
    </row>
    <row r="21991" spans="10:10" ht="15" customHeight="1" x14ac:dyDescent="0.3">
      <c r="J21991" s="33"/>
    </row>
    <row r="21992" spans="10:10" ht="15" customHeight="1" x14ac:dyDescent="0.3">
      <c r="J21992" s="33"/>
    </row>
    <row r="21993" spans="10:10" ht="15" customHeight="1" x14ac:dyDescent="0.3">
      <c r="J21993" s="33"/>
    </row>
    <row r="21994" spans="10:10" ht="15" customHeight="1" x14ac:dyDescent="0.3">
      <c r="J21994" s="33"/>
    </row>
    <row r="21995" spans="10:10" ht="15" customHeight="1" x14ac:dyDescent="0.3">
      <c r="J21995" s="33"/>
    </row>
    <row r="21996" spans="10:10" ht="15" customHeight="1" x14ac:dyDescent="0.3">
      <c r="J21996" s="33"/>
    </row>
    <row r="21997" spans="10:10" ht="15" customHeight="1" x14ac:dyDescent="0.3">
      <c r="J21997" s="33"/>
    </row>
    <row r="21998" spans="10:10" ht="15" customHeight="1" x14ac:dyDescent="0.3">
      <c r="J21998" s="33"/>
    </row>
    <row r="21999" spans="10:10" ht="15" customHeight="1" x14ac:dyDescent="0.3">
      <c r="J21999" s="33"/>
    </row>
    <row r="22000" spans="10:10" ht="15" customHeight="1" x14ac:dyDescent="0.3">
      <c r="J22000" s="33"/>
    </row>
    <row r="22001" spans="10:10" ht="15" customHeight="1" x14ac:dyDescent="0.3">
      <c r="J22001" s="33"/>
    </row>
    <row r="22002" spans="10:10" ht="15" customHeight="1" x14ac:dyDescent="0.3">
      <c r="J22002" s="33"/>
    </row>
    <row r="22003" spans="10:10" ht="15" customHeight="1" x14ac:dyDescent="0.3">
      <c r="J22003" s="33"/>
    </row>
    <row r="22004" spans="10:10" ht="15" customHeight="1" x14ac:dyDescent="0.3">
      <c r="J22004" s="33"/>
    </row>
    <row r="22005" spans="10:10" ht="15" customHeight="1" x14ac:dyDescent="0.3">
      <c r="J22005" s="33"/>
    </row>
    <row r="22006" spans="10:10" ht="15" customHeight="1" x14ac:dyDescent="0.3">
      <c r="J22006" s="33"/>
    </row>
    <row r="22007" spans="10:10" ht="15" customHeight="1" x14ac:dyDescent="0.3">
      <c r="J22007" s="33"/>
    </row>
    <row r="22008" spans="10:10" ht="15" customHeight="1" x14ac:dyDescent="0.3">
      <c r="J22008" s="33"/>
    </row>
    <row r="22009" spans="10:10" ht="15" customHeight="1" x14ac:dyDescent="0.3">
      <c r="J22009" s="33"/>
    </row>
    <row r="22010" spans="10:10" ht="15" customHeight="1" x14ac:dyDescent="0.3">
      <c r="J22010" s="33"/>
    </row>
    <row r="22011" spans="10:10" ht="15" customHeight="1" x14ac:dyDescent="0.3">
      <c r="J22011" s="33"/>
    </row>
    <row r="22012" spans="10:10" ht="15" customHeight="1" x14ac:dyDescent="0.3">
      <c r="J22012" s="33"/>
    </row>
    <row r="22013" spans="10:10" ht="15" customHeight="1" x14ac:dyDescent="0.3">
      <c r="J22013" s="33"/>
    </row>
    <row r="22014" spans="10:10" ht="15" customHeight="1" x14ac:dyDescent="0.3">
      <c r="J22014" s="33"/>
    </row>
    <row r="22015" spans="10:10" ht="15" customHeight="1" x14ac:dyDescent="0.3">
      <c r="J22015" s="33"/>
    </row>
    <row r="22016" spans="10:10" ht="15" customHeight="1" x14ac:dyDescent="0.3">
      <c r="J22016" s="33"/>
    </row>
    <row r="22017" spans="10:10" ht="15" customHeight="1" x14ac:dyDescent="0.3">
      <c r="J22017" s="33"/>
    </row>
    <row r="22018" spans="10:10" ht="15" customHeight="1" x14ac:dyDescent="0.3">
      <c r="J22018" s="33"/>
    </row>
    <row r="22019" spans="10:10" ht="15" customHeight="1" x14ac:dyDescent="0.3">
      <c r="J22019" s="33"/>
    </row>
    <row r="22020" spans="10:10" ht="15" customHeight="1" x14ac:dyDescent="0.3">
      <c r="J22020" s="33"/>
    </row>
    <row r="22021" spans="10:10" ht="15" customHeight="1" x14ac:dyDescent="0.3">
      <c r="J22021" s="33"/>
    </row>
    <row r="22022" spans="10:10" ht="15" customHeight="1" x14ac:dyDescent="0.3">
      <c r="J22022" s="33"/>
    </row>
    <row r="22023" spans="10:10" ht="15" customHeight="1" x14ac:dyDescent="0.3">
      <c r="J22023" s="33"/>
    </row>
    <row r="22024" spans="10:10" ht="15" customHeight="1" x14ac:dyDescent="0.3">
      <c r="J22024" s="33"/>
    </row>
    <row r="22025" spans="10:10" ht="15" customHeight="1" x14ac:dyDescent="0.3">
      <c r="J22025" s="33"/>
    </row>
    <row r="22026" spans="10:10" ht="15" customHeight="1" x14ac:dyDescent="0.3">
      <c r="J22026" s="33"/>
    </row>
    <row r="22027" spans="10:10" ht="15" customHeight="1" x14ac:dyDescent="0.3">
      <c r="J22027" s="33"/>
    </row>
    <row r="22028" spans="10:10" ht="15" customHeight="1" x14ac:dyDescent="0.3">
      <c r="J22028" s="33"/>
    </row>
    <row r="22029" spans="10:10" ht="15" customHeight="1" x14ac:dyDescent="0.3">
      <c r="J22029" s="33"/>
    </row>
    <row r="22030" spans="10:10" ht="15" customHeight="1" x14ac:dyDescent="0.3">
      <c r="J22030" s="33"/>
    </row>
    <row r="22031" spans="10:10" ht="15" customHeight="1" x14ac:dyDescent="0.3">
      <c r="J22031" s="33"/>
    </row>
    <row r="22032" spans="10:10" ht="15" customHeight="1" x14ac:dyDescent="0.3">
      <c r="J22032" s="33"/>
    </row>
    <row r="22033" spans="10:10" ht="15" customHeight="1" x14ac:dyDescent="0.3">
      <c r="J22033" s="33"/>
    </row>
    <row r="22034" spans="10:10" ht="15" customHeight="1" x14ac:dyDescent="0.3">
      <c r="J22034" s="33"/>
    </row>
    <row r="22035" spans="10:10" ht="15" customHeight="1" x14ac:dyDescent="0.3">
      <c r="J22035" s="33"/>
    </row>
    <row r="22036" spans="10:10" ht="15" customHeight="1" x14ac:dyDescent="0.3">
      <c r="J22036" s="33"/>
    </row>
    <row r="22037" spans="10:10" ht="15" customHeight="1" x14ac:dyDescent="0.3">
      <c r="J22037" s="33"/>
    </row>
    <row r="22038" spans="10:10" ht="15" customHeight="1" x14ac:dyDescent="0.3">
      <c r="J22038" s="33"/>
    </row>
    <row r="22039" spans="10:10" ht="15" customHeight="1" x14ac:dyDescent="0.3">
      <c r="J22039" s="33"/>
    </row>
    <row r="22040" spans="10:10" ht="15" customHeight="1" x14ac:dyDescent="0.3">
      <c r="J22040" s="33"/>
    </row>
    <row r="22041" spans="10:10" ht="15" customHeight="1" x14ac:dyDescent="0.3">
      <c r="J22041" s="33"/>
    </row>
    <row r="22042" spans="10:10" ht="15" customHeight="1" x14ac:dyDescent="0.3">
      <c r="J22042" s="33"/>
    </row>
    <row r="22043" spans="10:10" ht="15" customHeight="1" x14ac:dyDescent="0.3">
      <c r="J22043" s="33"/>
    </row>
    <row r="22044" spans="10:10" ht="15" customHeight="1" x14ac:dyDescent="0.3">
      <c r="J22044" s="33"/>
    </row>
    <row r="22045" spans="10:10" ht="15" customHeight="1" x14ac:dyDescent="0.3">
      <c r="J22045" s="33"/>
    </row>
    <row r="22046" spans="10:10" ht="15" customHeight="1" x14ac:dyDescent="0.3">
      <c r="J22046" s="33"/>
    </row>
    <row r="22047" spans="10:10" ht="15" customHeight="1" x14ac:dyDescent="0.3">
      <c r="J22047" s="33"/>
    </row>
    <row r="22048" spans="10:10" ht="15" customHeight="1" x14ac:dyDescent="0.3">
      <c r="J22048" s="33"/>
    </row>
    <row r="22049" spans="10:10" ht="15" customHeight="1" x14ac:dyDescent="0.3">
      <c r="J22049" s="33"/>
    </row>
    <row r="22050" spans="10:10" ht="15" customHeight="1" x14ac:dyDescent="0.3">
      <c r="J22050" s="33"/>
    </row>
    <row r="22051" spans="10:10" ht="15" customHeight="1" x14ac:dyDescent="0.3">
      <c r="J22051" s="33"/>
    </row>
    <row r="22052" spans="10:10" ht="15" customHeight="1" x14ac:dyDescent="0.3">
      <c r="J22052" s="33"/>
    </row>
    <row r="22053" spans="10:10" ht="15" customHeight="1" x14ac:dyDescent="0.3">
      <c r="J22053" s="33"/>
    </row>
    <row r="22054" spans="10:10" ht="15" customHeight="1" x14ac:dyDescent="0.3">
      <c r="J22054" s="33"/>
    </row>
    <row r="22055" spans="10:10" ht="15" customHeight="1" x14ac:dyDescent="0.3">
      <c r="J22055" s="33"/>
    </row>
    <row r="22056" spans="10:10" ht="15" customHeight="1" x14ac:dyDescent="0.3">
      <c r="J22056" s="33"/>
    </row>
    <row r="22057" spans="10:10" ht="15" customHeight="1" x14ac:dyDescent="0.3">
      <c r="J22057" s="33"/>
    </row>
    <row r="22058" spans="10:10" ht="15" customHeight="1" x14ac:dyDescent="0.3">
      <c r="J22058" s="33"/>
    </row>
    <row r="22059" spans="10:10" ht="15" customHeight="1" x14ac:dyDescent="0.3">
      <c r="J22059" s="33"/>
    </row>
    <row r="22060" spans="10:10" ht="15" customHeight="1" x14ac:dyDescent="0.3">
      <c r="J22060" s="33"/>
    </row>
    <row r="22061" spans="10:10" ht="15" customHeight="1" x14ac:dyDescent="0.3">
      <c r="J22061" s="33"/>
    </row>
    <row r="22062" spans="10:10" ht="15" customHeight="1" x14ac:dyDescent="0.3">
      <c r="J22062" s="33"/>
    </row>
    <row r="22063" spans="10:10" ht="15" customHeight="1" x14ac:dyDescent="0.3">
      <c r="J22063" s="33"/>
    </row>
    <row r="22064" spans="10:10" ht="15" customHeight="1" x14ac:dyDescent="0.3">
      <c r="J22064" s="33"/>
    </row>
    <row r="22065" spans="10:10" ht="15" customHeight="1" x14ac:dyDescent="0.3">
      <c r="J22065" s="33"/>
    </row>
    <row r="22066" spans="10:10" ht="15" customHeight="1" x14ac:dyDescent="0.3">
      <c r="J22066" s="33"/>
    </row>
    <row r="22067" spans="10:10" ht="15" customHeight="1" x14ac:dyDescent="0.3">
      <c r="J22067" s="33"/>
    </row>
    <row r="22068" spans="10:10" ht="15" customHeight="1" x14ac:dyDescent="0.3">
      <c r="J22068" s="33"/>
    </row>
    <row r="22069" spans="10:10" ht="15" customHeight="1" x14ac:dyDescent="0.3">
      <c r="J22069" s="33"/>
    </row>
    <row r="22070" spans="10:10" ht="15" customHeight="1" x14ac:dyDescent="0.3">
      <c r="J22070" s="33"/>
    </row>
    <row r="22071" spans="10:10" ht="15" customHeight="1" x14ac:dyDescent="0.3">
      <c r="J22071" s="33"/>
    </row>
    <row r="22072" spans="10:10" ht="15" customHeight="1" x14ac:dyDescent="0.3">
      <c r="J22072" s="33"/>
    </row>
    <row r="22073" spans="10:10" ht="15" customHeight="1" x14ac:dyDescent="0.3">
      <c r="J22073" s="33"/>
    </row>
    <row r="22074" spans="10:10" ht="15" customHeight="1" x14ac:dyDescent="0.3">
      <c r="J22074" s="33"/>
    </row>
    <row r="22075" spans="10:10" ht="15" customHeight="1" x14ac:dyDescent="0.3">
      <c r="J22075" s="33"/>
    </row>
    <row r="22076" spans="10:10" ht="15" customHeight="1" x14ac:dyDescent="0.3">
      <c r="J22076" s="33"/>
    </row>
    <row r="22077" spans="10:10" ht="15" customHeight="1" x14ac:dyDescent="0.3">
      <c r="J22077" s="33"/>
    </row>
    <row r="22078" spans="10:10" ht="15" customHeight="1" x14ac:dyDescent="0.3">
      <c r="J22078" s="33"/>
    </row>
    <row r="22079" spans="10:10" ht="15" customHeight="1" x14ac:dyDescent="0.3">
      <c r="J22079" s="33"/>
    </row>
    <row r="22080" spans="10:10" ht="15" customHeight="1" x14ac:dyDescent="0.3">
      <c r="J22080" s="33"/>
    </row>
    <row r="22081" spans="10:10" ht="15" customHeight="1" x14ac:dyDescent="0.3">
      <c r="J22081" s="33"/>
    </row>
    <row r="22082" spans="10:10" ht="15" customHeight="1" x14ac:dyDescent="0.3">
      <c r="J22082" s="33"/>
    </row>
    <row r="22083" spans="10:10" ht="15" customHeight="1" x14ac:dyDescent="0.3">
      <c r="J22083" s="33"/>
    </row>
    <row r="22084" spans="10:10" ht="15" customHeight="1" x14ac:dyDescent="0.3">
      <c r="J22084" s="33"/>
    </row>
    <row r="22085" spans="10:10" ht="15" customHeight="1" x14ac:dyDescent="0.3">
      <c r="J22085" s="33"/>
    </row>
    <row r="22086" spans="10:10" ht="15" customHeight="1" x14ac:dyDescent="0.3">
      <c r="J22086" s="33"/>
    </row>
    <row r="22087" spans="10:10" ht="15" customHeight="1" x14ac:dyDescent="0.3">
      <c r="J22087" s="33"/>
    </row>
    <row r="22088" spans="10:10" ht="15" customHeight="1" x14ac:dyDescent="0.3">
      <c r="J22088" s="33"/>
    </row>
    <row r="22089" spans="10:10" ht="15" customHeight="1" x14ac:dyDescent="0.3">
      <c r="J22089" s="33"/>
    </row>
    <row r="22090" spans="10:10" ht="15" customHeight="1" x14ac:dyDescent="0.3">
      <c r="J22090" s="33"/>
    </row>
    <row r="22091" spans="10:10" ht="15" customHeight="1" x14ac:dyDescent="0.3">
      <c r="J22091" s="33"/>
    </row>
    <row r="22092" spans="10:10" ht="15" customHeight="1" x14ac:dyDescent="0.3">
      <c r="J22092" s="33"/>
    </row>
    <row r="22093" spans="10:10" ht="15" customHeight="1" x14ac:dyDescent="0.3">
      <c r="J22093" s="33"/>
    </row>
    <row r="22094" spans="10:10" ht="15" customHeight="1" x14ac:dyDescent="0.3">
      <c r="J22094" s="33"/>
    </row>
    <row r="22095" spans="10:10" ht="15" customHeight="1" x14ac:dyDescent="0.3">
      <c r="J22095" s="33"/>
    </row>
    <row r="22096" spans="10:10" ht="15" customHeight="1" x14ac:dyDescent="0.3">
      <c r="J22096" s="33"/>
    </row>
    <row r="22097" spans="10:10" ht="15" customHeight="1" x14ac:dyDescent="0.3">
      <c r="J22097" s="33"/>
    </row>
    <row r="22098" spans="10:10" ht="15" customHeight="1" x14ac:dyDescent="0.3">
      <c r="J22098" s="33"/>
    </row>
    <row r="22099" spans="10:10" ht="15" customHeight="1" x14ac:dyDescent="0.3">
      <c r="J22099" s="33"/>
    </row>
    <row r="22100" spans="10:10" ht="15" customHeight="1" x14ac:dyDescent="0.3">
      <c r="J22100" s="33"/>
    </row>
    <row r="22101" spans="10:10" ht="15" customHeight="1" x14ac:dyDescent="0.3">
      <c r="J22101" s="33"/>
    </row>
    <row r="22102" spans="10:10" ht="15" customHeight="1" x14ac:dyDescent="0.3">
      <c r="J22102" s="33"/>
    </row>
    <row r="22103" spans="10:10" ht="15" customHeight="1" x14ac:dyDescent="0.3">
      <c r="J22103" s="33"/>
    </row>
    <row r="22104" spans="10:10" ht="15" customHeight="1" x14ac:dyDescent="0.3">
      <c r="J22104" s="33"/>
    </row>
    <row r="22105" spans="10:10" ht="15" customHeight="1" x14ac:dyDescent="0.3">
      <c r="J22105" s="33"/>
    </row>
    <row r="22106" spans="10:10" ht="15" customHeight="1" x14ac:dyDescent="0.3">
      <c r="J22106" s="33"/>
    </row>
    <row r="22107" spans="10:10" ht="15" customHeight="1" x14ac:dyDescent="0.3">
      <c r="J22107" s="33"/>
    </row>
    <row r="22108" spans="10:10" ht="15" customHeight="1" x14ac:dyDescent="0.3">
      <c r="J22108" s="33"/>
    </row>
    <row r="22109" spans="10:10" ht="15" customHeight="1" x14ac:dyDescent="0.3">
      <c r="J22109" s="33"/>
    </row>
    <row r="22110" spans="10:10" ht="15" customHeight="1" x14ac:dyDescent="0.3">
      <c r="J22110" s="33"/>
    </row>
    <row r="22111" spans="10:10" ht="15" customHeight="1" x14ac:dyDescent="0.3">
      <c r="J22111" s="33"/>
    </row>
    <row r="22112" spans="10:10" ht="15" customHeight="1" x14ac:dyDescent="0.3">
      <c r="J22112" s="33"/>
    </row>
    <row r="22113" spans="10:10" ht="15" customHeight="1" x14ac:dyDescent="0.3">
      <c r="J22113" s="33"/>
    </row>
    <row r="22114" spans="10:10" ht="15" customHeight="1" x14ac:dyDescent="0.3">
      <c r="J22114" s="33"/>
    </row>
    <row r="22115" spans="10:10" ht="15" customHeight="1" x14ac:dyDescent="0.3">
      <c r="J22115" s="33"/>
    </row>
    <row r="22116" spans="10:10" ht="15" customHeight="1" x14ac:dyDescent="0.3">
      <c r="J22116" s="33"/>
    </row>
    <row r="22117" spans="10:10" ht="15" customHeight="1" x14ac:dyDescent="0.3">
      <c r="J22117" s="33"/>
    </row>
    <row r="22118" spans="10:10" ht="15" customHeight="1" x14ac:dyDescent="0.3">
      <c r="J22118" s="33"/>
    </row>
    <row r="22119" spans="10:10" ht="15" customHeight="1" x14ac:dyDescent="0.3">
      <c r="J22119" s="33"/>
    </row>
    <row r="22120" spans="10:10" ht="15" customHeight="1" x14ac:dyDescent="0.3">
      <c r="J22120" s="33"/>
    </row>
    <row r="22121" spans="10:10" ht="15" customHeight="1" x14ac:dyDescent="0.3">
      <c r="J22121" s="33"/>
    </row>
    <row r="22122" spans="10:10" ht="15" customHeight="1" x14ac:dyDescent="0.3">
      <c r="J22122" s="33"/>
    </row>
    <row r="22123" spans="10:10" ht="15" customHeight="1" x14ac:dyDescent="0.3">
      <c r="J22123" s="33"/>
    </row>
    <row r="22124" spans="10:10" ht="15" customHeight="1" x14ac:dyDescent="0.3">
      <c r="J22124" s="33"/>
    </row>
    <row r="22125" spans="10:10" ht="15" customHeight="1" x14ac:dyDescent="0.3">
      <c r="J22125" s="33"/>
    </row>
    <row r="22126" spans="10:10" ht="15" customHeight="1" x14ac:dyDescent="0.3">
      <c r="J22126" s="33"/>
    </row>
    <row r="22127" spans="10:10" ht="15" customHeight="1" x14ac:dyDescent="0.3">
      <c r="J22127" s="33"/>
    </row>
    <row r="22128" spans="10:10" ht="15" customHeight="1" x14ac:dyDescent="0.3">
      <c r="J22128" s="33"/>
    </row>
    <row r="22129" spans="10:10" ht="15" customHeight="1" x14ac:dyDescent="0.3">
      <c r="J22129" s="33"/>
    </row>
    <row r="22130" spans="10:10" ht="15" customHeight="1" x14ac:dyDescent="0.3">
      <c r="J22130" s="33"/>
    </row>
    <row r="22131" spans="10:10" ht="15" customHeight="1" x14ac:dyDescent="0.3">
      <c r="J22131" s="33"/>
    </row>
    <row r="22132" spans="10:10" ht="15" customHeight="1" x14ac:dyDescent="0.3">
      <c r="J22132" s="33"/>
    </row>
    <row r="22133" spans="10:10" ht="15" customHeight="1" x14ac:dyDescent="0.3">
      <c r="J22133" s="33"/>
    </row>
    <row r="22134" spans="10:10" ht="15" customHeight="1" x14ac:dyDescent="0.3">
      <c r="J22134" s="33"/>
    </row>
    <row r="22135" spans="10:10" ht="15" customHeight="1" x14ac:dyDescent="0.3">
      <c r="J22135" s="33"/>
    </row>
    <row r="22136" spans="10:10" ht="15" customHeight="1" x14ac:dyDescent="0.3">
      <c r="J22136" s="33"/>
    </row>
    <row r="22137" spans="10:10" ht="15" customHeight="1" x14ac:dyDescent="0.3">
      <c r="J22137" s="33"/>
    </row>
    <row r="22138" spans="10:10" ht="15" customHeight="1" x14ac:dyDescent="0.3">
      <c r="J22138" s="33"/>
    </row>
    <row r="22139" spans="10:10" ht="15" customHeight="1" x14ac:dyDescent="0.3">
      <c r="J22139" s="33"/>
    </row>
    <row r="22140" spans="10:10" ht="15" customHeight="1" x14ac:dyDescent="0.3">
      <c r="J22140" s="33"/>
    </row>
    <row r="22141" spans="10:10" ht="15" customHeight="1" x14ac:dyDescent="0.3">
      <c r="J22141" s="33"/>
    </row>
    <row r="22142" spans="10:10" ht="15" customHeight="1" x14ac:dyDescent="0.3">
      <c r="J22142" s="33"/>
    </row>
    <row r="22143" spans="10:10" ht="15" customHeight="1" x14ac:dyDescent="0.3">
      <c r="J22143" s="33"/>
    </row>
    <row r="22144" spans="10:10" ht="15" customHeight="1" x14ac:dyDescent="0.3">
      <c r="J22144" s="33"/>
    </row>
    <row r="22145" spans="10:10" ht="15" customHeight="1" x14ac:dyDescent="0.3">
      <c r="J22145" s="33"/>
    </row>
    <row r="22146" spans="10:10" ht="15" customHeight="1" x14ac:dyDescent="0.3">
      <c r="J22146" s="33"/>
    </row>
    <row r="22147" spans="10:10" ht="15" customHeight="1" x14ac:dyDescent="0.3">
      <c r="J22147" s="33"/>
    </row>
    <row r="22148" spans="10:10" ht="15" customHeight="1" x14ac:dyDescent="0.3">
      <c r="J22148" s="33"/>
    </row>
    <row r="22149" spans="10:10" ht="15" customHeight="1" x14ac:dyDescent="0.3">
      <c r="J22149" s="33"/>
    </row>
    <row r="22150" spans="10:10" ht="15" customHeight="1" x14ac:dyDescent="0.3">
      <c r="J22150" s="33"/>
    </row>
    <row r="22151" spans="10:10" ht="15" customHeight="1" x14ac:dyDescent="0.3">
      <c r="J22151" s="33"/>
    </row>
    <row r="22152" spans="10:10" ht="15" customHeight="1" x14ac:dyDescent="0.3">
      <c r="J22152" s="33"/>
    </row>
    <row r="22153" spans="10:10" ht="15" customHeight="1" x14ac:dyDescent="0.3">
      <c r="J22153" s="33"/>
    </row>
    <row r="22154" spans="10:10" ht="15" customHeight="1" x14ac:dyDescent="0.3">
      <c r="J22154" s="33"/>
    </row>
    <row r="22155" spans="10:10" ht="15" customHeight="1" x14ac:dyDescent="0.3">
      <c r="J22155" s="33"/>
    </row>
    <row r="22156" spans="10:10" ht="15" customHeight="1" x14ac:dyDescent="0.3">
      <c r="J22156" s="33"/>
    </row>
    <row r="22157" spans="10:10" ht="15" customHeight="1" x14ac:dyDescent="0.3">
      <c r="J22157" s="33"/>
    </row>
    <row r="22158" spans="10:10" ht="15" customHeight="1" x14ac:dyDescent="0.3">
      <c r="J22158" s="33"/>
    </row>
    <row r="22159" spans="10:10" ht="15" customHeight="1" x14ac:dyDescent="0.3">
      <c r="J22159" s="33"/>
    </row>
    <row r="22160" spans="10:10" ht="15" customHeight="1" x14ac:dyDescent="0.3">
      <c r="J22160" s="33"/>
    </row>
    <row r="22161" spans="10:10" ht="15" customHeight="1" x14ac:dyDescent="0.3">
      <c r="J22161" s="33"/>
    </row>
    <row r="22162" spans="10:10" ht="15" customHeight="1" x14ac:dyDescent="0.3">
      <c r="J22162" s="33"/>
    </row>
    <row r="22163" spans="10:10" ht="15" customHeight="1" x14ac:dyDescent="0.3">
      <c r="J22163" s="33"/>
    </row>
    <row r="22164" spans="10:10" ht="15" customHeight="1" x14ac:dyDescent="0.3">
      <c r="J22164" s="33"/>
    </row>
    <row r="22165" spans="10:10" ht="15" customHeight="1" x14ac:dyDescent="0.3">
      <c r="J22165" s="33"/>
    </row>
    <row r="22166" spans="10:10" ht="15" customHeight="1" x14ac:dyDescent="0.3">
      <c r="J22166" s="33"/>
    </row>
    <row r="22167" spans="10:10" ht="15" customHeight="1" x14ac:dyDescent="0.3">
      <c r="J22167" s="33"/>
    </row>
    <row r="22168" spans="10:10" ht="15" customHeight="1" x14ac:dyDescent="0.3">
      <c r="J22168" s="33"/>
    </row>
    <row r="22169" spans="10:10" ht="15" customHeight="1" x14ac:dyDescent="0.3">
      <c r="J22169" s="33"/>
    </row>
    <row r="22170" spans="10:10" ht="15" customHeight="1" x14ac:dyDescent="0.3">
      <c r="J22170" s="33"/>
    </row>
    <row r="22171" spans="10:10" ht="15" customHeight="1" x14ac:dyDescent="0.3">
      <c r="J22171" s="33"/>
    </row>
    <row r="22172" spans="10:10" ht="15" customHeight="1" x14ac:dyDescent="0.3">
      <c r="J22172" s="33"/>
    </row>
    <row r="22173" spans="10:10" ht="15" customHeight="1" x14ac:dyDescent="0.3">
      <c r="J22173" s="33"/>
    </row>
    <row r="22174" spans="10:10" ht="15" customHeight="1" x14ac:dyDescent="0.3">
      <c r="J22174" s="33"/>
    </row>
    <row r="22175" spans="10:10" ht="15" customHeight="1" x14ac:dyDescent="0.3">
      <c r="J22175" s="33"/>
    </row>
    <row r="22176" spans="10:10" ht="15" customHeight="1" x14ac:dyDescent="0.3">
      <c r="J22176" s="33"/>
    </row>
    <row r="22177" spans="10:10" ht="15" customHeight="1" x14ac:dyDescent="0.3">
      <c r="J22177" s="33"/>
    </row>
    <row r="22178" spans="10:10" ht="15" customHeight="1" x14ac:dyDescent="0.3">
      <c r="J22178" s="33"/>
    </row>
    <row r="22179" spans="10:10" ht="15" customHeight="1" x14ac:dyDescent="0.3">
      <c r="J22179" s="33"/>
    </row>
    <row r="22180" spans="10:10" ht="15" customHeight="1" x14ac:dyDescent="0.3">
      <c r="J22180" s="33"/>
    </row>
    <row r="22181" spans="10:10" ht="15" customHeight="1" x14ac:dyDescent="0.3">
      <c r="J22181" s="33"/>
    </row>
    <row r="22182" spans="10:10" ht="15" customHeight="1" x14ac:dyDescent="0.3">
      <c r="J22182" s="33"/>
    </row>
    <row r="22183" spans="10:10" ht="15" customHeight="1" x14ac:dyDescent="0.3">
      <c r="J22183" s="33"/>
    </row>
    <row r="22184" spans="10:10" ht="15" customHeight="1" x14ac:dyDescent="0.3">
      <c r="J22184" s="33"/>
    </row>
    <row r="22185" spans="10:10" ht="15" customHeight="1" x14ac:dyDescent="0.3">
      <c r="J22185" s="33"/>
    </row>
    <row r="22186" spans="10:10" ht="15" customHeight="1" x14ac:dyDescent="0.3">
      <c r="J22186" s="33"/>
    </row>
    <row r="22187" spans="10:10" ht="15" customHeight="1" x14ac:dyDescent="0.3">
      <c r="J22187" s="33"/>
    </row>
    <row r="22188" spans="10:10" ht="15" customHeight="1" x14ac:dyDescent="0.3">
      <c r="J22188" s="33"/>
    </row>
    <row r="22189" spans="10:10" ht="15" customHeight="1" x14ac:dyDescent="0.3">
      <c r="J22189" s="33"/>
    </row>
    <row r="22190" spans="10:10" ht="15" customHeight="1" x14ac:dyDescent="0.3">
      <c r="J22190" s="33"/>
    </row>
    <row r="22191" spans="10:10" ht="15" customHeight="1" x14ac:dyDescent="0.3">
      <c r="J22191" s="33"/>
    </row>
    <row r="22192" spans="10:10" ht="15" customHeight="1" x14ac:dyDescent="0.3">
      <c r="J22192" s="33"/>
    </row>
    <row r="22193" spans="10:10" ht="15" customHeight="1" x14ac:dyDescent="0.3">
      <c r="J22193" s="33"/>
    </row>
    <row r="22194" spans="10:10" ht="15" customHeight="1" x14ac:dyDescent="0.3">
      <c r="J22194" s="33"/>
    </row>
    <row r="22195" spans="10:10" ht="15" customHeight="1" x14ac:dyDescent="0.3">
      <c r="J22195" s="33"/>
    </row>
    <row r="22196" spans="10:10" ht="15" customHeight="1" x14ac:dyDescent="0.3">
      <c r="J22196" s="33"/>
    </row>
    <row r="22197" spans="10:10" ht="15" customHeight="1" x14ac:dyDescent="0.3">
      <c r="J22197" s="33"/>
    </row>
    <row r="22198" spans="10:10" ht="15" customHeight="1" x14ac:dyDescent="0.3">
      <c r="J22198" s="33"/>
    </row>
    <row r="22199" spans="10:10" ht="15" customHeight="1" x14ac:dyDescent="0.3">
      <c r="J22199" s="33"/>
    </row>
    <row r="22200" spans="10:10" ht="15" customHeight="1" x14ac:dyDescent="0.3">
      <c r="J22200" s="33"/>
    </row>
    <row r="22201" spans="10:10" ht="15" customHeight="1" x14ac:dyDescent="0.3">
      <c r="J22201" s="33"/>
    </row>
    <row r="22202" spans="10:10" ht="15" customHeight="1" x14ac:dyDescent="0.3">
      <c r="J22202" s="33"/>
    </row>
    <row r="22203" spans="10:10" ht="15" customHeight="1" x14ac:dyDescent="0.3">
      <c r="J22203" s="33"/>
    </row>
    <row r="22204" spans="10:10" ht="15" customHeight="1" x14ac:dyDescent="0.3">
      <c r="J22204" s="33"/>
    </row>
    <row r="22205" spans="10:10" ht="15" customHeight="1" x14ac:dyDescent="0.3">
      <c r="J22205" s="33"/>
    </row>
    <row r="22206" spans="10:10" ht="15" customHeight="1" x14ac:dyDescent="0.3">
      <c r="J22206" s="33"/>
    </row>
    <row r="22207" spans="10:10" ht="15" customHeight="1" x14ac:dyDescent="0.3">
      <c r="J22207" s="33"/>
    </row>
    <row r="22208" spans="10:10" ht="15" customHeight="1" x14ac:dyDescent="0.3">
      <c r="J22208" s="33"/>
    </row>
    <row r="22209" spans="10:10" ht="15" customHeight="1" x14ac:dyDescent="0.3">
      <c r="J22209" s="33"/>
    </row>
    <row r="22210" spans="10:10" ht="15" customHeight="1" x14ac:dyDescent="0.3">
      <c r="J22210" s="33"/>
    </row>
    <row r="22211" spans="10:10" ht="15" customHeight="1" x14ac:dyDescent="0.3">
      <c r="J22211" s="33"/>
    </row>
    <row r="22212" spans="10:10" ht="15" customHeight="1" x14ac:dyDescent="0.3">
      <c r="J22212" s="33"/>
    </row>
    <row r="22213" spans="10:10" ht="15" customHeight="1" x14ac:dyDescent="0.3">
      <c r="J22213" s="33"/>
    </row>
    <row r="22214" spans="10:10" ht="15" customHeight="1" x14ac:dyDescent="0.3">
      <c r="J22214" s="33"/>
    </row>
    <row r="22215" spans="10:10" ht="15" customHeight="1" x14ac:dyDescent="0.3">
      <c r="J22215" s="33"/>
    </row>
    <row r="22216" spans="10:10" ht="15" customHeight="1" x14ac:dyDescent="0.3">
      <c r="J22216" s="33"/>
    </row>
    <row r="22217" spans="10:10" ht="15" customHeight="1" x14ac:dyDescent="0.3">
      <c r="J22217" s="33"/>
    </row>
    <row r="22218" spans="10:10" ht="15" customHeight="1" x14ac:dyDescent="0.3">
      <c r="J22218" s="33"/>
    </row>
    <row r="22219" spans="10:10" ht="15" customHeight="1" x14ac:dyDescent="0.3">
      <c r="J22219" s="33"/>
    </row>
    <row r="22220" spans="10:10" ht="15" customHeight="1" x14ac:dyDescent="0.3">
      <c r="J22220" s="33"/>
    </row>
    <row r="22221" spans="10:10" ht="15" customHeight="1" x14ac:dyDescent="0.3">
      <c r="J22221" s="33"/>
    </row>
    <row r="22222" spans="10:10" ht="15" customHeight="1" x14ac:dyDescent="0.3">
      <c r="J22222" s="33"/>
    </row>
    <row r="22223" spans="10:10" ht="15" customHeight="1" x14ac:dyDescent="0.3">
      <c r="J22223" s="33"/>
    </row>
    <row r="22224" spans="10:10" ht="15" customHeight="1" x14ac:dyDescent="0.3">
      <c r="J22224" s="33"/>
    </row>
    <row r="22225" spans="10:10" ht="15" customHeight="1" x14ac:dyDescent="0.3">
      <c r="J22225" s="33"/>
    </row>
    <row r="22226" spans="10:10" ht="15" customHeight="1" x14ac:dyDescent="0.3">
      <c r="J22226" s="33"/>
    </row>
    <row r="22227" spans="10:10" ht="15" customHeight="1" x14ac:dyDescent="0.3">
      <c r="J22227" s="33"/>
    </row>
    <row r="22228" spans="10:10" ht="15" customHeight="1" x14ac:dyDescent="0.3">
      <c r="J22228" s="33"/>
    </row>
    <row r="22229" spans="10:10" ht="15" customHeight="1" x14ac:dyDescent="0.3">
      <c r="J22229" s="33"/>
    </row>
    <row r="22230" spans="10:10" ht="15" customHeight="1" x14ac:dyDescent="0.3">
      <c r="J22230" s="33"/>
    </row>
    <row r="22231" spans="10:10" ht="15" customHeight="1" x14ac:dyDescent="0.3">
      <c r="J22231" s="33"/>
    </row>
    <row r="22232" spans="10:10" ht="15" customHeight="1" x14ac:dyDescent="0.3">
      <c r="J22232" s="33"/>
    </row>
    <row r="22233" spans="10:10" ht="15" customHeight="1" x14ac:dyDescent="0.3">
      <c r="J22233" s="33"/>
    </row>
    <row r="22234" spans="10:10" ht="15" customHeight="1" x14ac:dyDescent="0.3">
      <c r="J22234" s="33"/>
    </row>
    <row r="22235" spans="10:10" ht="15" customHeight="1" x14ac:dyDescent="0.3">
      <c r="J22235" s="33"/>
    </row>
    <row r="22236" spans="10:10" ht="15" customHeight="1" x14ac:dyDescent="0.3">
      <c r="J22236" s="33"/>
    </row>
    <row r="22237" spans="10:10" ht="15" customHeight="1" x14ac:dyDescent="0.3">
      <c r="J22237" s="33"/>
    </row>
    <row r="22238" spans="10:10" ht="15" customHeight="1" x14ac:dyDescent="0.3">
      <c r="J22238" s="33"/>
    </row>
    <row r="22239" spans="10:10" ht="15" customHeight="1" x14ac:dyDescent="0.3">
      <c r="J22239" s="33"/>
    </row>
    <row r="22240" spans="10:10" ht="15" customHeight="1" x14ac:dyDescent="0.3">
      <c r="J22240" s="33"/>
    </row>
    <row r="22241" spans="10:10" ht="15" customHeight="1" x14ac:dyDescent="0.3">
      <c r="J22241" s="33"/>
    </row>
    <row r="22242" spans="10:10" ht="15" customHeight="1" x14ac:dyDescent="0.3">
      <c r="J22242" s="33"/>
    </row>
    <row r="22243" spans="10:10" ht="15" customHeight="1" x14ac:dyDescent="0.3">
      <c r="J22243" s="33"/>
    </row>
    <row r="22244" spans="10:10" ht="15" customHeight="1" x14ac:dyDescent="0.3">
      <c r="J22244" s="33"/>
    </row>
    <row r="22245" spans="10:10" ht="15" customHeight="1" x14ac:dyDescent="0.3">
      <c r="J22245" s="33"/>
    </row>
    <row r="22246" spans="10:10" ht="15" customHeight="1" x14ac:dyDescent="0.3">
      <c r="J22246" s="33"/>
    </row>
    <row r="22247" spans="10:10" ht="15" customHeight="1" x14ac:dyDescent="0.3">
      <c r="J22247" s="33"/>
    </row>
    <row r="22248" spans="10:10" ht="15" customHeight="1" x14ac:dyDescent="0.3">
      <c r="J22248" s="33"/>
    </row>
    <row r="22249" spans="10:10" ht="15" customHeight="1" x14ac:dyDescent="0.3">
      <c r="J22249" s="33"/>
    </row>
    <row r="22250" spans="10:10" ht="15" customHeight="1" x14ac:dyDescent="0.3">
      <c r="J22250" s="33"/>
    </row>
    <row r="22251" spans="10:10" ht="15" customHeight="1" x14ac:dyDescent="0.3">
      <c r="J22251" s="33"/>
    </row>
    <row r="22252" spans="10:10" ht="15" customHeight="1" x14ac:dyDescent="0.3">
      <c r="J22252" s="33"/>
    </row>
    <row r="22253" spans="10:10" ht="15" customHeight="1" x14ac:dyDescent="0.3">
      <c r="J22253" s="33"/>
    </row>
    <row r="22254" spans="10:10" ht="15" customHeight="1" x14ac:dyDescent="0.3">
      <c r="J22254" s="33"/>
    </row>
    <row r="22255" spans="10:10" ht="15" customHeight="1" x14ac:dyDescent="0.3">
      <c r="J22255" s="33"/>
    </row>
    <row r="22256" spans="10:10" ht="15" customHeight="1" x14ac:dyDescent="0.3">
      <c r="J22256" s="33"/>
    </row>
    <row r="22257" spans="10:10" ht="15" customHeight="1" x14ac:dyDescent="0.3">
      <c r="J22257" s="33"/>
    </row>
    <row r="22258" spans="10:10" ht="15" customHeight="1" x14ac:dyDescent="0.3">
      <c r="J22258" s="33"/>
    </row>
    <row r="22259" spans="10:10" ht="15" customHeight="1" x14ac:dyDescent="0.3">
      <c r="J22259" s="33"/>
    </row>
    <row r="22260" spans="10:10" ht="15" customHeight="1" x14ac:dyDescent="0.3">
      <c r="J22260" s="33"/>
    </row>
    <row r="22261" spans="10:10" ht="15" customHeight="1" x14ac:dyDescent="0.3">
      <c r="J22261" s="33"/>
    </row>
    <row r="22262" spans="10:10" ht="15" customHeight="1" x14ac:dyDescent="0.3">
      <c r="J22262" s="33"/>
    </row>
    <row r="22263" spans="10:10" ht="15" customHeight="1" x14ac:dyDescent="0.3">
      <c r="J22263" s="33"/>
    </row>
    <row r="22264" spans="10:10" ht="15" customHeight="1" x14ac:dyDescent="0.3">
      <c r="J22264" s="33"/>
    </row>
    <row r="22265" spans="10:10" ht="15" customHeight="1" x14ac:dyDescent="0.3">
      <c r="J22265" s="33"/>
    </row>
    <row r="22266" spans="10:10" ht="15" customHeight="1" x14ac:dyDescent="0.3">
      <c r="J22266" s="33"/>
    </row>
    <row r="22267" spans="10:10" ht="15" customHeight="1" x14ac:dyDescent="0.3">
      <c r="J22267" s="33"/>
    </row>
    <row r="22268" spans="10:10" ht="15" customHeight="1" x14ac:dyDescent="0.3">
      <c r="J22268" s="33"/>
    </row>
    <row r="22269" spans="10:10" ht="15" customHeight="1" x14ac:dyDescent="0.3">
      <c r="J22269" s="33"/>
    </row>
    <row r="22270" spans="10:10" ht="15" customHeight="1" x14ac:dyDescent="0.3">
      <c r="J22270" s="33"/>
    </row>
    <row r="22271" spans="10:10" ht="15" customHeight="1" x14ac:dyDescent="0.3">
      <c r="J22271" s="33"/>
    </row>
    <row r="22272" spans="10:10" ht="15" customHeight="1" x14ac:dyDescent="0.3">
      <c r="J22272" s="33"/>
    </row>
    <row r="22273" spans="10:10" ht="15" customHeight="1" x14ac:dyDescent="0.3">
      <c r="J22273" s="33"/>
    </row>
    <row r="22274" spans="10:10" ht="15" customHeight="1" x14ac:dyDescent="0.3">
      <c r="J22274" s="33"/>
    </row>
    <row r="22275" spans="10:10" ht="15" customHeight="1" x14ac:dyDescent="0.3">
      <c r="J22275" s="33"/>
    </row>
    <row r="22276" spans="10:10" ht="15" customHeight="1" x14ac:dyDescent="0.3">
      <c r="J22276" s="33"/>
    </row>
    <row r="22277" spans="10:10" ht="15" customHeight="1" x14ac:dyDescent="0.3">
      <c r="J22277" s="33"/>
    </row>
    <row r="22278" spans="10:10" ht="15" customHeight="1" x14ac:dyDescent="0.3">
      <c r="J22278" s="33"/>
    </row>
    <row r="22279" spans="10:10" ht="15" customHeight="1" x14ac:dyDescent="0.3">
      <c r="J22279" s="33"/>
    </row>
    <row r="22280" spans="10:10" ht="15" customHeight="1" x14ac:dyDescent="0.3">
      <c r="J22280" s="33"/>
    </row>
    <row r="22281" spans="10:10" ht="15" customHeight="1" x14ac:dyDescent="0.3">
      <c r="J22281" s="33"/>
    </row>
    <row r="22282" spans="10:10" ht="15" customHeight="1" x14ac:dyDescent="0.3">
      <c r="J22282" s="33"/>
    </row>
    <row r="22283" spans="10:10" ht="15" customHeight="1" x14ac:dyDescent="0.3">
      <c r="J22283" s="33"/>
    </row>
    <row r="22284" spans="10:10" ht="15" customHeight="1" x14ac:dyDescent="0.3">
      <c r="J22284" s="33"/>
    </row>
    <row r="22285" spans="10:10" ht="15" customHeight="1" x14ac:dyDescent="0.3">
      <c r="J22285" s="33"/>
    </row>
    <row r="22286" spans="10:10" ht="15" customHeight="1" x14ac:dyDescent="0.3">
      <c r="J22286" s="33"/>
    </row>
    <row r="22287" spans="10:10" ht="15" customHeight="1" x14ac:dyDescent="0.3">
      <c r="J22287" s="33"/>
    </row>
    <row r="22288" spans="10:10" ht="15" customHeight="1" x14ac:dyDescent="0.3">
      <c r="J22288" s="33"/>
    </row>
    <row r="22289" spans="10:10" ht="15" customHeight="1" x14ac:dyDescent="0.3">
      <c r="J22289" s="33"/>
    </row>
    <row r="22290" spans="10:10" ht="15" customHeight="1" x14ac:dyDescent="0.3">
      <c r="J22290" s="33"/>
    </row>
    <row r="22291" spans="10:10" ht="15" customHeight="1" x14ac:dyDescent="0.3">
      <c r="J22291" s="33"/>
    </row>
    <row r="22292" spans="10:10" ht="15" customHeight="1" x14ac:dyDescent="0.3">
      <c r="J22292" s="33"/>
    </row>
    <row r="22293" spans="10:10" ht="15" customHeight="1" x14ac:dyDescent="0.3">
      <c r="J22293" s="33"/>
    </row>
    <row r="22294" spans="10:10" ht="15" customHeight="1" x14ac:dyDescent="0.3">
      <c r="J22294" s="33"/>
    </row>
    <row r="22295" spans="10:10" ht="15" customHeight="1" x14ac:dyDescent="0.3">
      <c r="J22295" s="33"/>
    </row>
    <row r="22296" spans="10:10" ht="15" customHeight="1" x14ac:dyDescent="0.3">
      <c r="J22296" s="33"/>
    </row>
    <row r="22297" spans="10:10" ht="15" customHeight="1" x14ac:dyDescent="0.3">
      <c r="J22297" s="33"/>
    </row>
    <row r="22298" spans="10:10" ht="15" customHeight="1" x14ac:dyDescent="0.3">
      <c r="J22298" s="33"/>
    </row>
    <row r="22299" spans="10:10" ht="15" customHeight="1" x14ac:dyDescent="0.3">
      <c r="J22299" s="33"/>
    </row>
    <row r="22300" spans="10:10" ht="15" customHeight="1" x14ac:dyDescent="0.3">
      <c r="J22300" s="33"/>
    </row>
    <row r="22301" spans="10:10" ht="15" customHeight="1" x14ac:dyDescent="0.3">
      <c r="J22301" s="33"/>
    </row>
    <row r="22302" spans="10:10" ht="15" customHeight="1" x14ac:dyDescent="0.3">
      <c r="J22302" s="33"/>
    </row>
    <row r="22303" spans="10:10" ht="15" customHeight="1" x14ac:dyDescent="0.3">
      <c r="J22303" s="33"/>
    </row>
    <row r="22304" spans="10:10" ht="15" customHeight="1" x14ac:dyDescent="0.3">
      <c r="J22304" s="33"/>
    </row>
    <row r="22305" spans="10:10" ht="15" customHeight="1" x14ac:dyDescent="0.3">
      <c r="J22305" s="33"/>
    </row>
    <row r="22306" spans="10:10" ht="15" customHeight="1" x14ac:dyDescent="0.3">
      <c r="J22306" s="33"/>
    </row>
    <row r="22307" spans="10:10" ht="15" customHeight="1" x14ac:dyDescent="0.3">
      <c r="J22307" s="33"/>
    </row>
    <row r="22308" spans="10:10" ht="15" customHeight="1" x14ac:dyDescent="0.3">
      <c r="J22308" s="33"/>
    </row>
    <row r="22309" spans="10:10" ht="15" customHeight="1" x14ac:dyDescent="0.3">
      <c r="J22309" s="33"/>
    </row>
    <row r="22310" spans="10:10" ht="15" customHeight="1" x14ac:dyDescent="0.3">
      <c r="J22310" s="33"/>
    </row>
    <row r="22311" spans="10:10" ht="15" customHeight="1" x14ac:dyDescent="0.3">
      <c r="J22311" s="33"/>
    </row>
    <row r="22312" spans="10:10" ht="15" customHeight="1" x14ac:dyDescent="0.3">
      <c r="J22312" s="33"/>
    </row>
    <row r="22313" spans="10:10" ht="15" customHeight="1" x14ac:dyDescent="0.3">
      <c r="J22313" s="33"/>
    </row>
    <row r="22314" spans="10:10" ht="15" customHeight="1" x14ac:dyDescent="0.3">
      <c r="J22314" s="33"/>
    </row>
    <row r="22315" spans="10:10" ht="15" customHeight="1" x14ac:dyDescent="0.3">
      <c r="J22315" s="33"/>
    </row>
    <row r="22316" spans="10:10" ht="15" customHeight="1" x14ac:dyDescent="0.3">
      <c r="J22316" s="33"/>
    </row>
    <row r="22317" spans="10:10" ht="15" customHeight="1" x14ac:dyDescent="0.3">
      <c r="J22317" s="33"/>
    </row>
    <row r="22318" spans="10:10" ht="15" customHeight="1" x14ac:dyDescent="0.3">
      <c r="J22318" s="33"/>
    </row>
    <row r="22319" spans="10:10" ht="15" customHeight="1" x14ac:dyDescent="0.3">
      <c r="J22319" s="33"/>
    </row>
    <row r="22320" spans="10:10" ht="15" customHeight="1" x14ac:dyDescent="0.3">
      <c r="J22320" s="33"/>
    </row>
    <row r="22321" spans="10:10" ht="15" customHeight="1" x14ac:dyDescent="0.3">
      <c r="J22321" s="33"/>
    </row>
    <row r="22322" spans="10:10" ht="15" customHeight="1" x14ac:dyDescent="0.3">
      <c r="J22322" s="33"/>
    </row>
    <row r="22323" spans="10:10" ht="15" customHeight="1" x14ac:dyDescent="0.3">
      <c r="J22323" s="33"/>
    </row>
    <row r="22324" spans="10:10" ht="15" customHeight="1" x14ac:dyDescent="0.3">
      <c r="J22324" s="33"/>
    </row>
    <row r="22325" spans="10:10" ht="15" customHeight="1" x14ac:dyDescent="0.3">
      <c r="J22325" s="33"/>
    </row>
    <row r="22326" spans="10:10" ht="15" customHeight="1" x14ac:dyDescent="0.3">
      <c r="J22326" s="33"/>
    </row>
    <row r="22327" spans="10:10" ht="15" customHeight="1" x14ac:dyDescent="0.3">
      <c r="J22327" s="33"/>
    </row>
    <row r="22328" spans="10:10" ht="15" customHeight="1" x14ac:dyDescent="0.3">
      <c r="J22328" s="33"/>
    </row>
    <row r="22329" spans="10:10" ht="15" customHeight="1" x14ac:dyDescent="0.3">
      <c r="J22329" s="33"/>
    </row>
    <row r="22330" spans="10:10" ht="15" customHeight="1" x14ac:dyDescent="0.3">
      <c r="J22330" s="33"/>
    </row>
    <row r="22331" spans="10:10" ht="15" customHeight="1" x14ac:dyDescent="0.3">
      <c r="J22331" s="33"/>
    </row>
    <row r="22332" spans="10:10" ht="15" customHeight="1" x14ac:dyDescent="0.3">
      <c r="J22332" s="33"/>
    </row>
    <row r="22333" spans="10:10" ht="15" customHeight="1" x14ac:dyDescent="0.3">
      <c r="J22333" s="33"/>
    </row>
    <row r="22334" spans="10:10" ht="15" customHeight="1" x14ac:dyDescent="0.3">
      <c r="J22334" s="33"/>
    </row>
    <row r="22335" spans="10:10" ht="15" customHeight="1" x14ac:dyDescent="0.3">
      <c r="J22335" s="33"/>
    </row>
    <row r="22336" spans="10:10" ht="15" customHeight="1" x14ac:dyDescent="0.3">
      <c r="J22336" s="33"/>
    </row>
    <row r="22337" spans="10:10" ht="15" customHeight="1" x14ac:dyDescent="0.3">
      <c r="J22337" s="33"/>
    </row>
    <row r="22338" spans="10:10" ht="15" customHeight="1" x14ac:dyDescent="0.3">
      <c r="J22338" s="33"/>
    </row>
    <row r="22339" spans="10:10" ht="15" customHeight="1" x14ac:dyDescent="0.3">
      <c r="J22339" s="33"/>
    </row>
    <row r="22340" spans="10:10" ht="15" customHeight="1" x14ac:dyDescent="0.3">
      <c r="J22340" s="33"/>
    </row>
    <row r="22341" spans="10:10" ht="15" customHeight="1" x14ac:dyDescent="0.3">
      <c r="J22341" s="33"/>
    </row>
    <row r="22342" spans="10:10" ht="15" customHeight="1" x14ac:dyDescent="0.3">
      <c r="J22342" s="33"/>
    </row>
    <row r="22343" spans="10:10" ht="15" customHeight="1" x14ac:dyDescent="0.3">
      <c r="J22343" s="33"/>
    </row>
    <row r="22344" spans="10:10" ht="15" customHeight="1" x14ac:dyDescent="0.3">
      <c r="J22344" s="33"/>
    </row>
    <row r="22345" spans="10:10" ht="15" customHeight="1" x14ac:dyDescent="0.3">
      <c r="J22345" s="33"/>
    </row>
    <row r="22346" spans="10:10" ht="15" customHeight="1" x14ac:dyDescent="0.3">
      <c r="J22346" s="33"/>
    </row>
    <row r="22347" spans="10:10" ht="15" customHeight="1" x14ac:dyDescent="0.3">
      <c r="J22347" s="33"/>
    </row>
    <row r="22348" spans="10:10" ht="15" customHeight="1" x14ac:dyDescent="0.3">
      <c r="J22348" s="33"/>
    </row>
    <row r="22349" spans="10:10" ht="15" customHeight="1" x14ac:dyDescent="0.3">
      <c r="J22349" s="33"/>
    </row>
    <row r="22350" spans="10:10" ht="15" customHeight="1" x14ac:dyDescent="0.3">
      <c r="J22350" s="33"/>
    </row>
    <row r="22351" spans="10:10" ht="15" customHeight="1" x14ac:dyDescent="0.3">
      <c r="J22351" s="33"/>
    </row>
    <row r="22352" spans="10:10" ht="15" customHeight="1" x14ac:dyDescent="0.3">
      <c r="J22352" s="33"/>
    </row>
    <row r="22353" spans="10:10" ht="15" customHeight="1" x14ac:dyDescent="0.3">
      <c r="J22353" s="33"/>
    </row>
    <row r="22354" spans="10:10" ht="15" customHeight="1" x14ac:dyDescent="0.3">
      <c r="J22354" s="33"/>
    </row>
    <row r="22355" spans="10:10" ht="15" customHeight="1" x14ac:dyDescent="0.3">
      <c r="J22355" s="33"/>
    </row>
    <row r="22356" spans="10:10" ht="15" customHeight="1" x14ac:dyDescent="0.3">
      <c r="J22356" s="33"/>
    </row>
    <row r="22357" spans="10:10" ht="15" customHeight="1" x14ac:dyDescent="0.3">
      <c r="J22357" s="33"/>
    </row>
    <row r="22358" spans="10:10" ht="15" customHeight="1" x14ac:dyDescent="0.3">
      <c r="J22358" s="33"/>
    </row>
    <row r="22359" spans="10:10" ht="15" customHeight="1" x14ac:dyDescent="0.3">
      <c r="J22359" s="33"/>
    </row>
    <row r="22360" spans="10:10" ht="15" customHeight="1" x14ac:dyDescent="0.3">
      <c r="J22360" s="33"/>
    </row>
    <row r="22361" spans="10:10" ht="15" customHeight="1" x14ac:dyDescent="0.3">
      <c r="J22361" s="33"/>
    </row>
    <row r="22362" spans="10:10" ht="15" customHeight="1" x14ac:dyDescent="0.3">
      <c r="J22362" s="33"/>
    </row>
    <row r="22363" spans="10:10" ht="15" customHeight="1" x14ac:dyDescent="0.3">
      <c r="J22363" s="33"/>
    </row>
    <row r="22364" spans="10:10" ht="15" customHeight="1" x14ac:dyDescent="0.3">
      <c r="J22364" s="33"/>
    </row>
    <row r="22365" spans="10:10" ht="15" customHeight="1" x14ac:dyDescent="0.3">
      <c r="J22365" s="33"/>
    </row>
    <row r="22366" spans="10:10" ht="15" customHeight="1" x14ac:dyDescent="0.3">
      <c r="J22366" s="33"/>
    </row>
    <row r="22367" spans="10:10" ht="15" customHeight="1" x14ac:dyDescent="0.3">
      <c r="J22367" s="33"/>
    </row>
    <row r="22368" spans="10:10" ht="15" customHeight="1" x14ac:dyDescent="0.3">
      <c r="J22368" s="33"/>
    </row>
    <row r="22369" spans="10:10" ht="15" customHeight="1" x14ac:dyDescent="0.3">
      <c r="J22369" s="33"/>
    </row>
    <row r="22370" spans="10:10" ht="15" customHeight="1" x14ac:dyDescent="0.3">
      <c r="J22370" s="33"/>
    </row>
    <row r="22371" spans="10:10" ht="15" customHeight="1" x14ac:dyDescent="0.3">
      <c r="J22371" s="33"/>
    </row>
    <row r="22372" spans="10:10" ht="15" customHeight="1" x14ac:dyDescent="0.3">
      <c r="J22372" s="33"/>
    </row>
    <row r="22373" spans="10:10" ht="15" customHeight="1" x14ac:dyDescent="0.3">
      <c r="J22373" s="33"/>
    </row>
    <row r="22374" spans="10:10" ht="15" customHeight="1" x14ac:dyDescent="0.3">
      <c r="J22374" s="33"/>
    </row>
    <row r="22375" spans="10:10" ht="15" customHeight="1" x14ac:dyDescent="0.3">
      <c r="J22375" s="33"/>
    </row>
    <row r="22376" spans="10:10" ht="15" customHeight="1" x14ac:dyDescent="0.3">
      <c r="J22376" s="33"/>
    </row>
    <row r="22377" spans="10:10" ht="15" customHeight="1" x14ac:dyDescent="0.3">
      <c r="J22377" s="33"/>
    </row>
    <row r="22378" spans="10:10" ht="15" customHeight="1" x14ac:dyDescent="0.3">
      <c r="J22378" s="33"/>
    </row>
    <row r="22379" spans="10:10" ht="15" customHeight="1" x14ac:dyDescent="0.3">
      <c r="J22379" s="33"/>
    </row>
    <row r="22380" spans="10:10" ht="15" customHeight="1" x14ac:dyDescent="0.3">
      <c r="J22380" s="33"/>
    </row>
    <row r="22381" spans="10:10" ht="15" customHeight="1" x14ac:dyDescent="0.3">
      <c r="J22381" s="33"/>
    </row>
    <row r="22382" spans="10:10" ht="15" customHeight="1" x14ac:dyDescent="0.3">
      <c r="J22382" s="33"/>
    </row>
    <row r="22383" spans="10:10" ht="15" customHeight="1" x14ac:dyDescent="0.3">
      <c r="J22383" s="33"/>
    </row>
    <row r="22384" spans="10:10" ht="15" customHeight="1" x14ac:dyDescent="0.3">
      <c r="J22384" s="33"/>
    </row>
    <row r="22385" spans="10:10" ht="15" customHeight="1" x14ac:dyDescent="0.3">
      <c r="J22385" s="33"/>
    </row>
    <row r="22386" spans="10:10" ht="15" customHeight="1" x14ac:dyDescent="0.3">
      <c r="J22386" s="33"/>
    </row>
    <row r="22387" spans="10:10" ht="15" customHeight="1" x14ac:dyDescent="0.3">
      <c r="J22387" s="33"/>
    </row>
    <row r="22388" spans="10:10" ht="15" customHeight="1" x14ac:dyDescent="0.3">
      <c r="J22388" s="33"/>
    </row>
    <row r="22389" spans="10:10" ht="15" customHeight="1" x14ac:dyDescent="0.3">
      <c r="J22389" s="33"/>
    </row>
    <row r="22390" spans="10:10" ht="15" customHeight="1" x14ac:dyDescent="0.3">
      <c r="J22390" s="33"/>
    </row>
    <row r="22391" spans="10:10" ht="15" customHeight="1" x14ac:dyDescent="0.3">
      <c r="J22391" s="33"/>
    </row>
    <row r="22392" spans="10:10" ht="15" customHeight="1" x14ac:dyDescent="0.3">
      <c r="J22392" s="33"/>
    </row>
    <row r="22393" spans="10:10" ht="15" customHeight="1" x14ac:dyDescent="0.3">
      <c r="J22393" s="33"/>
    </row>
    <row r="22394" spans="10:10" ht="15" customHeight="1" x14ac:dyDescent="0.3">
      <c r="J22394" s="33"/>
    </row>
    <row r="22395" spans="10:10" ht="15" customHeight="1" x14ac:dyDescent="0.3">
      <c r="J22395" s="33"/>
    </row>
    <row r="22396" spans="10:10" ht="15" customHeight="1" x14ac:dyDescent="0.3">
      <c r="J22396" s="33"/>
    </row>
    <row r="22397" spans="10:10" ht="15" customHeight="1" x14ac:dyDescent="0.3">
      <c r="J22397" s="33"/>
    </row>
    <row r="22398" spans="10:10" ht="15" customHeight="1" x14ac:dyDescent="0.3">
      <c r="J22398" s="33"/>
    </row>
    <row r="22399" spans="10:10" ht="15" customHeight="1" x14ac:dyDescent="0.3">
      <c r="J22399" s="33"/>
    </row>
    <row r="22400" spans="10:10" ht="15" customHeight="1" x14ac:dyDescent="0.3">
      <c r="J22400" s="33"/>
    </row>
    <row r="22401" spans="10:10" ht="15" customHeight="1" x14ac:dyDescent="0.3">
      <c r="J22401" s="33"/>
    </row>
    <row r="22402" spans="10:10" ht="15" customHeight="1" x14ac:dyDescent="0.3">
      <c r="J22402" s="33"/>
    </row>
    <row r="22403" spans="10:10" ht="15" customHeight="1" x14ac:dyDescent="0.3">
      <c r="J22403" s="33"/>
    </row>
    <row r="22404" spans="10:10" ht="15" customHeight="1" x14ac:dyDescent="0.3">
      <c r="J22404" s="33"/>
    </row>
    <row r="22405" spans="10:10" ht="15" customHeight="1" x14ac:dyDescent="0.3">
      <c r="J22405" s="33"/>
    </row>
    <row r="22406" spans="10:10" ht="15" customHeight="1" x14ac:dyDescent="0.3">
      <c r="J22406" s="33"/>
    </row>
    <row r="22407" spans="10:10" ht="15" customHeight="1" x14ac:dyDescent="0.3">
      <c r="J22407" s="33"/>
    </row>
    <row r="22408" spans="10:10" ht="15" customHeight="1" x14ac:dyDescent="0.3">
      <c r="J22408" s="33"/>
    </row>
    <row r="22409" spans="10:10" ht="15" customHeight="1" x14ac:dyDescent="0.3">
      <c r="J22409" s="33"/>
    </row>
    <row r="22410" spans="10:10" ht="15" customHeight="1" x14ac:dyDescent="0.3">
      <c r="J22410" s="33"/>
    </row>
    <row r="22411" spans="10:10" ht="15" customHeight="1" x14ac:dyDescent="0.3">
      <c r="J22411" s="33"/>
    </row>
    <row r="22412" spans="10:10" ht="15" customHeight="1" x14ac:dyDescent="0.3">
      <c r="J22412" s="33"/>
    </row>
    <row r="22413" spans="10:10" ht="15" customHeight="1" x14ac:dyDescent="0.3">
      <c r="J22413" s="33"/>
    </row>
    <row r="22414" spans="10:10" ht="15" customHeight="1" x14ac:dyDescent="0.3">
      <c r="J22414" s="33"/>
    </row>
    <row r="22415" spans="10:10" ht="15" customHeight="1" x14ac:dyDescent="0.3">
      <c r="J22415" s="33"/>
    </row>
    <row r="22416" spans="10:10" ht="15" customHeight="1" x14ac:dyDescent="0.3">
      <c r="J22416" s="33"/>
    </row>
    <row r="22417" spans="10:10" ht="15" customHeight="1" x14ac:dyDescent="0.3">
      <c r="J22417" s="33"/>
    </row>
    <row r="22418" spans="10:10" ht="15" customHeight="1" x14ac:dyDescent="0.3">
      <c r="J22418" s="33"/>
    </row>
    <row r="22419" spans="10:10" ht="15" customHeight="1" x14ac:dyDescent="0.3">
      <c r="J22419" s="33"/>
    </row>
    <row r="22420" spans="10:10" ht="15" customHeight="1" x14ac:dyDescent="0.3">
      <c r="J22420" s="33"/>
    </row>
    <row r="22421" spans="10:10" ht="15" customHeight="1" x14ac:dyDescent="0.3">
      <c r="J22421" s="33"/>
    </row>
    <row r="22422" spans="10:10" ht="15" customHeight="1" x14ac:dyDescent="0.3">
      <c r="J22422" s="33"/>
    </row>
    <row r="22423" spans="10:10" ht="15" customHeight="1" x14ac:dyDescent="0.3">
      <c r="J22423" s="33"/>
    </row>
    <row r="22424" spans="10:10" ht="15" customHeight="1" x14ac:dyDescent="0.3">
      <c r="J22424" s="33"/>
    </row>
    <row r="22425" spans="10:10" ht="15" customHeight="1" x14ac:dyDescent="0.3">
      <c r="J22425" s="33"/>
    </row>
    <row r="22426" spans="10:10" ht="15" customHeight="1" x14ac:dyDescent="0.3">
      <c r="J22426" s="33"/>
    </row>
    <row r="22427" spans="10:10" ht="15" customHeight="1" x14ac:dyDescent="0.3">
      <c r="J22427" s="33"/>
    </row>
    <row r="22428" spans="10:10" ht="15" customHeight="1" x14ac:dyDescent="0.3">
      <c r="J22428" s="33"/>
    </row>
    <row r="22429" spans="10:10" ht="15" customHeight="1" x14ac:dyDescent="0.3">
      <c r="J22429" s="33"/>
    </row>
    <row r="22430" spans="10:10" ht="15" customHeight="1" x14ac:dyDescent="0.3">
      <c r="J22430" s="33"/>
    </row>
    <row r="22431" spans="10:10" ht="15" customHeight="1" x14ac:dyDescent="0.3">
      <c r="J22431" s="33"/>
    </row>
    <row r="22432" spans="10:10" ht="15" customHeight="1" x14ac:dyDescent="0.3">
      <c r="J22432" s="33"/>
    </row>
    <row r="22433" spans="10:10" ht="15" customHeight="1" x14ac:dyDescent="0.3">
      <c r="J22433" s="33"/>
    </row>
    <row r="22434" spans="10:10" ht="15" customHeight="1" x14ac:dyDescent="0.3">
      <c r="J22434" s="33"/>
    </row>
    <row r="22435" spans="10:10" ht="15" customHeight="1" x14ac:dyDescent="0.3">
      <c r="J22435" s="33"/>
    </row>
    <row r="22436" spans="10:10" ht="15" customHeight="1" x14ac:dyDescent="0.3">
      <c r="J22436" s="33"/>
    </row>
    <row r="22437" spans="10:10" ht="15" customHeight="1" x14ac:dyDescent="0.3">
      <c r="J22437" s="33"/>
    </row>
    <row r="22438" spans="10:10" ht="15" customHeight="1" x14ac:dyDescent="0.3">
      <c r="J22438" s="33"/>
    </row>
    <row r="22439" spans="10:10" ht="15" customHeight="1" x14ac:dyDescent="0.3">
      <c r="J22439" s="33"/>
    </row>
    <row r="22440" spans="10:10" ht="15" customHeight="1" x14ac:dyDescent="0.3">
      <c r="J22440" s="33"/>
    </row>
    <row r="22441" spans="10:10" ht="15" customHeight="1" x14ac:dyDescent="0.3">
      <c r="J22441" s="33"/>
    </row>
    <row r="22442" spans="10:10" ht="15" customHeight="1" x14ac:dyDescent="0.3">
      <c r="J22442" s="33"/>
    </row>
    <row r="22443" spans="10:10" ht="15" customHeight="1" x14ac:dyDescent="0.3">
      <c r="J22443" s="33"/>
    </row>
    <row r="22444" spans="10:10" ht="15" customHeight="1" x14ac:dyDescent="0.3">
      <c r="J22444" s="33"/>
    </row>
    <row r="22445" spans="10:10" ht="15" customHeight="1" x14ac:dyDescent="0.3">
      <c r="J22445" s="33"/>
    </row>
    <row r="22446" spans="10:10" ht="15" customHeight="1" x14ac:dyDescent="0.3">
      <c r="J22446" s="33"/>
    </row>
    <row r="22447" spans="10:10" ht="15" customHeight="1" x14ac:dyDescent="0.3">
      <c r="J22447" s="33"/>
    </row>
    <row r="22448" spans="10:10" ht="15" customHeight="1" x14ac:dyDescent="0.3">
      <c r="J22448" s="33"/>
    </row>
    <row r="22449" spans="10:10" ht="15" customHeight="1" x14ac:dyDescent="0.3">
      <c r="J22449" s="33"/>
    </row>
    <row r="22450" spans="10:10" ht="15" customHeight="1" x14ac:dyDescent="0.3">
      <c r="J22450" s="33"/>
    </row>
    <row r="22451" spans="10:10" ht="15" customHeight="1" x14ac:dyDescent="0.3">
      <c r="J22451" s="33"/>
    </row>
    <row r="22452" spans="10:10" ht="15" customHeight="1" x14ac:dyDescent="0.3">
      <c r="J22452" s="33"/>
    </row>
    <row r="22453" spans="10:10" ht="15" customHeight="1" x14ac:dyDescent="0.3">
      <c r="J22453" s="33"/>
    </row>
    <row r="22454" spans="10:10" ht="15" customHeight="1" x14ac:dyDescent="0.3">
      <c r="J22454" s="33"/>
    </row>
    <row r="22455" spans="10:10" ht="15" customHeight="1" x14ac:dyDescent="0.3">
      <c r="J22455" s="33"/>
    </row>
    <row r="22456" spans="10:10" ht="15" customHeight="1" x14ac:dyDescent="0.3">
      <c r="J22456" s="33"/>
    </row>
    <row r="22457" spans="10:10" ht="15" customHeight="1" x14ac:dyDescent="0.3">
      <c r="J22457" s="33"/>
    </row>
    <row r="22458" spans="10:10" ht="15" customHeight="1" x14ac:dyDescent="0.3">
      <c r="J22458" s="33"/>
    </row>
    <row r="22459" spans="10:10" ht="15" customHeight="1" x14ac:dyDescent="0.3">
      <c r="J22459" s="33"/>
    </row>
    <row r="22460" spans="10:10" ht="15" customHeight="1" x14ac:dyDescent="0.3">
      <c r="J22460" s="33"/>
    </row>
    <row r="22461" spans="10:10" ht="15" customHeight="1" x14ac:dyDescent="0.3">
      <c r="J22461" s="33"/>
    </row>
    <row r="22462" spans="10:10" ht="15" customHeight="1" x14ac:dyDescent="0.3">
      <c r="J22462" s="33"/>
    </row>
    <row r="22463" spans="10:10" ht="15" customHeight="1" x14ac:dyDescent="0.3">
      <c r="J22463" s="33"/>
    </row>
    <row r="22464" spans="10:10" ht="15" customHeight="1" x14ac:dyDescent="0.3">
      <c r="J22464" s="33"/>
    </row>
    <row r="22465" spans="10:10" ht="15" customHeight="1" x14ac:dyDescent="0.3">
      <c r="J22465" s="33"/>
    </row>
    <row r="22466" spans="10:10" ht="15" customHeight="1" x14ac:dyDescent="0.3">
      <c r="J22466" s="33"/>
    </row>
    <row r="22467" spans="10:10" ht="15" customHeight="1" x14ac:dyDescent="0.3">
      <c r="J22467" s="33"/>
    </row>
    <row r="22468" spans="10:10" ht="15" customHeight="1" x14ac:dyDescent="0.3">
      <c r="J22468" s="33"/>
    </row>
    <row r="22469" spans="10:10" ht="15" customHeight="1" x14ac:dyDescent="0.3">
      <c r="J22469" s="33"/>
    </row>
    <row r="22470" spans="10:10" ht="15" customHeight="1" x14ac:dyDescent="0.3">
      <c r="J22470" s="33"/>
    </row>
    <row r="22471" spans="10:10" ht="15" customHeight="1" x14ac:dyDescent="0.3">
      <c r="J22471" s="33"/>
    </row>
    <row r="22472" spans="10:10" ht="15" customHeight="1" x14ac:dyDescent="0.3">
      <c r="J22472" s="33"/>
    </row>
    <row r="22473" spans="10:10" ht="15" customHeight="1" x14ac:dyDescent="0.3">
      <c r="J22473" s="33"/>
    </row>
    <row r="22474" spans="10:10" ht="15" customHeight="1" x14ac:dyDescent="0.3">
      <c r="J22474" s="33"/>
    </row>
    <row r="22475" spans="10:10" ht="15" customHeight="1" x14ac:dyDescent="0.3">
      <c r="J22475" s="33"/>
    </row>
    <row r="22476" spans="10:10" ht="15" customHeight="1" x14ac:dyDescent="0.3">
      <c r="J22476" s="33"/>
    </row>
    <row r="22477" spans="10:10" ht="15" customHeight="1" x14ac:dyDescent="0.3">
      <c r="J22477" s="33"/>
    </row>
    <row r="22478" spans="10:10" ht="15" customHeight="1" x14ac:dyDescent="0.3">
      <c r="J22478" s="33"/>
    </row>
    <row r="22479" spans="10:10" ht="15" customHeight="1" x14ac:dyDescent="0.3">
      <c r="J22479" s="33"/>
    </row>
    <row r="22480" spans="10:10" ht="15" customHeight="1" x14ac:dyDescent="0.3">
      <c r="J22480" s="33"/>
    </row>
    <row r="22481" spans="10:10" ht="15" customHeight="1" x14ac:dyDescent="0.3">
      <c r="J22481" s="33"/>
    </row>
    <row r="22482" spans="10:10" ht="15" customHeight="1" x14ac:dyDescent="0.3">
      <c r="J22482" s="33"/>
    </row>
    <row r="22483" spans="10:10" ht="15" customHeight="1" x14ac:dyDescent="0.3">
      <c r="J22483" s="33"/>
    </row>
    <row r="22484" spans="10:10" ht="15" customHeight="1" x14ac:dyDescent="0.3">
      <c r="J22484" s="33"/>
    </row>
    <row r="22485" spans="10:10" ht="15" customHeight="1" x14ac:dyDescent="0.3">
      <c r="J22485" s="33"/>
    </row>
    <row r="22486" spans="10:10" ht="15" customHeight="1" x14ac:dyDescent="0.3">
      <c r="J22486" s="33"/>
    </row>
    <row r="22487" spans="10:10" ht="15" customHeight="1" x14ac:dyDescent="0.3">
      <c r="J22487" s="33"/>
    </row>
    <row r="22488" spans="10:10" ht="15" customHeight="1" x14ac:dyDescent="0.3">
      <c r="J22488" s="33"/>
    </row>
    <row r="22489" spans="10:10" ht="15" customHeight="1" x14ac:dyDescent="0.3">
      <c r="J22489" s="33"/>
    </row>
    <row r="22490" spans="10:10" ht="15" customHeight="1" x14ac:dyDescent="0.3">
      <c r="J22490" s="33"/>
    </row>
    <row r="22491" spans="10:10" ht="15" customHeight="1" x14ac:dyDescent="0.3">
      <c r="J22491" s="33"/>
    </row>
    <row r="22492" spans="10:10" ht="15" customHeight="1" x14ac:dyDescent="0.3">
      <c r="J22492" s="33"/>
    </row>
    <row r="22493" spans="10:10" ht="15" customHeight="1" x14ac:dyDescent="0.3">
      <c r="J22493" s="33"/>
    </row>
    <row r="22494" spans="10:10" ht="15" customHeight="1" x14ac:dyDescent="0.3">
      <c r="J22494" s="33"/>
    </row>
    <row r="22495" spans="10:10" ht="15" customHeight="1" x14ac:dyDescent="0.3">
      <c r="J22495" s="33"/>
    </row>
    <row r="22496" spans="10:10" ht="15" customHeight="1" x14ac:dyDescent="0.3">
      <c r="J22496" s="33"/>
    </row>
    <row r="22497" spans="10:10" ht="15" customHeight="1" x14ac:dyDescent="0.3">
      <c r="J22497" s="33"/>
    </row>
    <row r="22498" spans="10:10" ht="15" customHeight="1" x14ac:dyDescent="0.3">
      <c r="J22498" s="33"/>
    </row>
    <row r="22499" spans="10:10" ht="15" customHeight="1" x14ac:dyDescent="0.3">
      <c r="J22499" s="33"/>
    </row>
    <row r="22500" spans="10:10" ht="15" customHeight="1" x14ac:dyDescent="0.3">
      <c r="J22500" s="33"/>
    </row>
    <row r="22501" spans="10:10" ht="15" customHeight="1" x14ac:dyDescent="0.3">
      <c r="J22501" s="33"/>
    </row>
    <row r="22502" spans="10:10" ht="15" customHeight="1" x14ac:dyDescent="0.3">
      <c r="J22502" s="33"/>
    </row>
    <row r="22503" spans="10:10" ht="15" customHeight="1" x14ac:dyDescent="0.3">
      <c r="J22503" s="33"/>
    </row>
    <row r="22504" spans="10:10" ht="15" customHeight="1" x14ac:dyDescent="0.3">
      <c r="J22504" s="33"/>
    </row>
    <row r="22505" spans="10:10" ht="15" customHeight="1" x14ac:dyDescent="0.3">
      <c r="J22505" s="33"/>
    </row>
    <row r="22506" spans="10:10" ht="15" customHeight="1" x14ac:dyDescent="0.3">
      <c r="J22506" s="33"/>
    </row>
    <row r="22507" spans="10:10" ht="15" customHeight="1" x14ac:dyDescent="0.3">
      <c r="J22507" s="33"/>
    </row>
    <row r="22508" spans="10:10" ht="15" customHeight="1" x14ac:dyDescent="0.3">
      <c r="J22508" s="33"/>
    </row>
    <row r="22509" spans="10:10" ht="15" customHeight="1" x14ac:dyDescent="0.3">
      <c r="J22509" s="33"/>
    </row>
    <row r="22510" spans="10:10" ht="15" customHeight="1" x14ac:dyDescent="0.3">
      <c r="J22510" s="33"/>
    </row>
    <row r="22511" spans="10:10" ht="15" customHeight="1" x14ac:dyDescent="0.3">
      <c r="J22511" s="33"/>
    </row>
    <row r="22512" spans="10:10" ht="15" customHeight="1" x14ac:dyDescent="0.3">
      <c r="J22512" s="33"/>
    </row>
    <row r="22513" spans="10:10" ht="15" customHeight="1" x14ac:dyDescent="0.3">
      <c r="J22513" s="33"/>
    </row>
    <row r="22514" spans="10:10" ht="15" customHeight="1" x14ac:dyDescent="0.3">
      <c r="J22514" s="33"/>
    </row>
    <row r="22515" spans="10:10" ht="15" customHeight="1" x14ac:dyDescent="0.3">
      <c r="J22515" s="33"/>
    </row>
    <row r="22516" spans="10:10" ht="15" customHeight="1" x14ac:dyDescent="0.3">
      <c r="J22516" s="33"/>
    </row>
    <row r="22517" spans="10:10" ht="15" customHeight="1" x14ac:dyDescent="0.3">
      <c r="J22517" s="33"/>
    </row>
    <row r="22518" spans="10:10" ht="15" customHeight="1" x14ac:dyDescent="0.3">
      <c r="J22518" s="33"/>
    </row>
    <row r="22519" spans="10:10" ht="15" customHeight="1" x14ac:dyDescent="0.3">
      <c r="J22519" s="33"/>
    </row>
    <row r="22520" spans="10:10" ht="15" customHeight="1" x14ac:dyDescent="0.3">
      <c r="J22520" s="33"/>
    </row>
    <row r="22521" spans="10:10" ht="15" customHeight="1" x14ac:dyDescent="0.3">
      <c r="J22521" s="33"/>
    </row>
    <row r="22522" spans="10:10" ht="15" customHeight="1" x14ac:dyDescent="0.3">
      <c r="J22522" s="33"/>
    </row>
    <row r="22523" spans="10:10" ht="15" customHeight="1" x14ac:dyDescent="0.3">
      <c r="J22523" s="33"/>
    </row>
    <row r="22524" spans="10:10" ht="15" customHeight="1" x14ac:dyDescent="0.3">
      <c r="J22524" s="33"/>
    </row>
    <row r="22525" spans="10:10" ht="15" customHeight="1" x14ac:dyDescent="0.3">
      <c r="J22525" s="33"/>
    </row>
    <row r="22526" spans="10:10" ht="15" customHeight="1" x14ac:dyDescent="0.3">
      <c r="J22526" s="33"/>
    </row>
    <row r="22527" spans="10:10" ht="15" customHeight="1" x14ac:dyDescent="0.3">
      <c r="J22527" s="33"/>
    </row>
    <row r="22528" spans="10:10" ht="15" customHeight="1" x14ac:dyDescent="0.3">
      <c r="J22528" s="33"/>
    </row>
    <row r="22529" spans="10:10" ht="15" customHeight="1" x14ac:dyDescent="0.3">
      <c r="J22529" s="33"/>
    </row>
    <row r="22530" spans="10:10" ht="15" customHeight="1" x14ac:dyDescent="0.3">
      <c r="J22530" s="33"/>
    </row>
    <row r="22531" spans="10:10" ht="15" customHeight="1" x14ac:dyDescent="0.3">
      <c r="J22531" s="33"/>
    </row>
    <row r="22532" spans="10:10" ht="15" customHeight="1" x14ac:dyDescent="0.3">
      <c r="J22532" s="33"/>
    </row>
    <row r="22533" spans="10:10" ht="15" customHeight="1" x14ac:dyDescent="0.3">
      <c r="J22533" s="33"/>
    </row>
    <row r="22534" spans="10:10" ht="15" customHeight="1" x14ac:dyDescent="0.3">
      <c r="J22534" s="33"/>
    </row>
    <row r="22535" spans="10:10" ht="15" customHeight="1" x14ac:dyDescent="0.3">
      <c r="J22535" s="33"/>
    </row>
    <row r="22536" spans="10:10" ht="15" customHeight="1" x14ac:dyDescent="0.3">
      <c r="J22536" s="33"/>
    </row>
    <row r="22537" spans="10:10" ht="15" customHeight="1" x14ac:dyDescent="0.3">
      <c r="J22537" s="33"/>
    </row>
    <row r="22538" spans="10:10" ht="15" customHeight="1" x14ac:dyDescent="0.3">
      <c r="J22538" s="33"/>
    </row>
    <row r="22539" spans="10:10" ht="15" customHeight="1" x14ac:dyDescent="0.3">
      <c r="J22539" s="33"/>
    </row>
    <row r="22540" spans="10:10" ht="15" customHeight="1" x14ac:dyDescent="0.3">
      <c r="J22540" s="33"/>
    </row>
    <row r="22541" spans="10:10" ht="15" customHeight="1" x14ac:dyDescent="0.3">
      <c r="J22541" s="33"/>
    </row>
    <row r="22542" spans="10:10" ht="15" customHeight="1" x14ac:dyDescent="0.3">
      <c r="J22542" s="33"/>
    </row>
    <row r="22543" spans="10:10" ht="15" customHeight="1" x14ac:dyDescent="0.3">
      <c r="J22543" s="33"/>
    </row>
    <row r="22544" spans="10:10" ht="15" customHeight="1" x14ac:dyDescent="0.3">
      <c r="J22544" s="33"/>
    </row>
    <row r="22545" spans="10:10" ht="15" customHeight="1" x14ac:dyDescent="0.3">
      <c r="J22545" s="33"/>
    </row>
    <row r="22546" spans="10:10" ht="15" customHeight="1" x14ac:dyDescent="0.3">
      <c r="J22546" s="33"/>
    </row>
    <row r="22547" spans="10:10" ht="15" customHeight="1" x14ac:dyDescent="0.3">
      <c r="J22547" s="33"/>
    </row>
    <row r="22548" spans="10:10" ht="15" customHeight="1" x14ac:dyDescent="0.3">
      <c r="J22548" s="33"/>
    </row>
    <row r="22549" spans="10:10" ht="15" customHeight="1" x14ac:dyDescent="0.3">
      <c r="J22549" s="33"/>
    </row>
    <row r="22550" spans="10:10" ht="15" customHeight="1" x14ac:dyDescent="0.3">
      <c r="J22550" s="33"/>
    </row>
    <row r="22551" spans="10:10" ht="15" customHeight="1" x14ac:dyDescent="0.3">
      <c r="J22551" s="33"/>
    </row>
    <row r="22552" spans="10:10" ht="15" customHeight="1" x14ac:dyDescent="0.3">
      <c r="J22552" s="33"/>
    </row>
    <row r="22553" spans="10:10" ht="15" customHeight="1" x14ac:dyDescent="0.3">
      <c r="J22553" s="33"/>
    </row>
    <row r="22554" spans="10:10" ht="15" customHeight="1" x14ac:dyDescent="0.3">
      <c r="J22554" s="33"/>
    </row>
    <row r="22555" spans="10:10" ht="15" customHeight="1" x14ac:dyDescent="0.3">
      <c r="J22555" s="33"/>
    </row>
    <row r="22556" spans="10:10" ht="15" customHeight="1" x14ac:dyDescent="0.3">
      <c r="J22556" s="33"/>
    </row>
    <row r="22557" spans="10:10" ht="15" customHeight="1" x14ac:dyDescent="0.3">
      <c r="J22557" s="33"/>
    </row>
    <row r="22558" spans="10:10" ht="15" customHeight="1" x14ac:dyDescent="0.3">
      <c r="J22558" s="33"/>
    </row>
    <row r="22559" spans="10:10" ht="15" customHeight="1" x14ac:dyDescent="0.3">
      <c r="J22559" s="33"/>
    </row>
    <row r="22560" spans="10:10" ht="15" customHeight="1" x14ac:dyDescent="0.3">
      <c r="J22560" s="33"/>
    </row>
    <row r="22561" spans="10:10" ht="15" customHeight="1" x14ac:dyDescent="0.3">
      <c r="J22561" s="33"/>
    </row>
    <row r="22562" spans="10:10" ht="15" customHeight="1" x14ac:dyDescent="0.3">
      <c r="J22562" s="33"/>
    </row>
    <row r="22563" spans="10:10" ht="15" customHeight="1" x14ac:dyDescent="0.3">
      <c r="J22563" s="33"/>
    </row>
    <row r="22564" spans="10:10" ht="15" customHeight="1" x14ac:dyDescent="0.3">
      <c r="J22564" s="33"/>
    </row>
    <row r="22565" spans="10:10" ht="15" customHeight="1" x14ac:dyDescent="0.3">
      <c r="J22565" s="33"/>
    </row>
    <row r="22566" spans="10:10" ht="15" customHeight="1" x14ac:dyDescent="0.3">
      <c r="J22566" s="33"/>
    </row>
    <row r="22567" spans="10:10" ht="15" customHeight="1" x14ac:dyDescent="0.3">
      <c r="J22567" s="33"/>
    </row>
    <row r="22568" spans="10:10" ht="15" customHeight="1" x14ac:dyDescent="0.3">
      <c r="J22568" s="33"/>
    </row>
    <row r="22569" spans="10:10" ht="15" customHeight="1" x14ac:dyDescent="0.3">
      <c r="J22569" s="33"/>
    </row>
    <row r="22570" spans="10:10" ht="15" customHeight="1" x14ac:dyDescent="0.3">
      <c r="J22570" s="33"/>
    </row>
    <row r="22571" spans="10:10" ht="15" customHeight="1" x14ac:dyDescent="0.3">
      <c r="J22571" s="33"/>
    </row>
    <row r="22572" spans="10:10" ht="15" customHeight="1" x14ac:dyDescent="0.3">
      <c r="J22572" s="33"/>
    </row>
    <row r="22573" spans="10:10" ht="15" customHeight="1" x14ac:dyDescent="0.3">
      <c r="J22573" s="33"/>
    </row>
    <row r="22574" spans="10:10" ht="15" customHeight="1" x14ac:dyDescent="0.3">
      <c r="J22574" s="33"/>
    </row>
    <row r="22575" spans="10:10" ht="15" customHeight="1" x14ac:dyDescent="0.3">
      <c r="J22575" s="33"/>
    </row>
    <row r="22576" spans="10:10" ht="15" customHeight="1" x14ac:dyDescent="0.3">
      <c r="J22576" s="33"/>
    </row>
    <row r="22577" spans="10:10" ht="15" customHeight="1" x14ac:dyDescent="0.3">
      <c r="J22577" s="33"/>
    </row>
    <row r="22578" spans="10:10" ht="15" customHeight="1" x14ac:dyDescent="0.3">
      <c r="J22578" s="33"/>
    </row>
    <row r="22579" spans="10:10" ht="15" customHeight="1" x14ac:dyDescent="0.3">
      <c r="J22579" s="33"/>
    </row>
    <row r="22580" spans="10:10" ht="15" customHeight="1" x14ac:dyDescent="0.3">
      <c r="J22580" s="33"/>
    </row>
    <row r="22581" spans="10:10" ht="15" customHeight="1" x14ac:dyDescent="0.3">
      <c r="J22581" s="33"/>
    </row>
    <row r="22582" spans="10:10" ht="15" customHeight="1" x14ac:dyDescent="0.3">
      <c r="J22582" s="33"/>
    </row>
    <row r="22583" spans="10:10" ht="15" customHeight="1" x14ac:dyDescent="0.3">
      <c r="J22583" s="33"/>
    </row>
    <row r="22584" spans="10:10" ht="15" customHeight="1" x14ac:dyDescent="0.3">
      <c r="J22584" s="33"/>
    </row>
    <row r="22585" spans="10:10" ht="15" customHeight="1" x14ac:dyDescent="0.3">
      <c r="J22585" s="33"/>
    </row>
    <row r="22586" spans="10:10" ht="15" customHeight="1" x14ac:dyDescent="0.3">
      <c r="J22586" s="33"/>
    </row>
    <row r="22587" spans="10:10" ht="15" customHeight="1" x14ac:dyDescent="0.3">
      <c r="J22587" s="33"/>
    </row>
    <row r="22588" spans="10:10" ht="15" customHeight="1" x14ac:dyDescent="0.3">
      <c r="J22588" s="33"/>
    </row>
    <row r="22589" spans="10:10" ht="15" customHeight="1" x14ac:dyDescent="0.3">
      <c r="J22589" s="33"/>
    </row>
    <row r="22590" spans="10:10" ht="15" customHeight="1" x14ac:dyDescent="0.3">
      <c r="J22590" s="33"/>
    </row>
    <row r="22591" spans="10:10" ht="15" customHeight="1" x14ac:dyDescent="0.3">
      <c r="J22591" s="33"/>
    </row>
    <row r="22592" spans="10:10" ht="15" customHeight="1" x14ac:dyDescent="0.3">
      <c r="J22592" s="33"/>
    </row>
    <row r="22593" spans="10:10" ht="15" customHeight="1" x14ac:dyDescent="0.3">
      <c r="J22593" s="33"/>
    </row>
    <row r="22594" spans="10:10" ht="15" customHeight="1" x14ac:dyDescent="0.3">
      <c r="J22594" s="33"/>
    </row>
    <row r="22595" spans="10:10" ht="15" customHeight="1" x14ac:dyDescent="0.3">
      <c r="J22595" s="33"/>
    </row>
    <row r="22596" spans="10:10" ht="15" customHeight="1" x14ac:dyDescent="0.3">
      <c r="J22596" s="33"/>
    </row>
    <row r="22597" spans="10:10" ht="15" customHeight="1" x14ac:dyDescent="0.3">
      <c r="J22597" s="33"/>
    </row>
    <row r="22598" spans="10:10" ht="15" customHeight="1" x14ac:dyDescent="0.3">
      <c r="J22598" s="33"/>
    </row>
    <row r="22599" spans="10:10" ht="15" customHeight="1" x14ac:dyDescent="0.3">
      <c r="J22599" s="33"/>
    </row>
    <row r="22600" spans="10:10" ht="15" customHeight="1" x14ac:dyDescent="0.3">
      <c r="J22600" s="33"/>
    </row>
    <row r="22601" spans="10:10" ht="15" customHeight="1" x14ac:dyDescent="0.3">
      <c r="J22601" s="33"/>
    </row>
    <row r="22602" spans="10:10" ht="15" customHeight="1" x14ac:dyDescent="0.3">
      <c r="J22602" s="33"/>
    </row>
    <row r="22603" spans="10:10" ht="15" customHeight="1" x14ac:dyDescent="0.3">
      <c r="J22603" s="33"/>
    </row>
    <row r="22604" spans="10:10" ht="15" customHeight="1" x14ac:dyDescent="0.3">
      <c r="J22604" s="33"/>
    </row>
    <row r="22605" spans="10:10" ht="15" customHeight="1" x14ac:dyDescent="0.3">
      <c r="J22605" s="33"/>
    </row>
    <row r="22606" spans="10:10" ht="15" customHeight="1" x14ac:dyDescent="0.3">
      <c r="J22606" s="33"/>
    </row>
    <row r="22607" spans="10:10" ht="15" customHeight="1" x14ac:dyDescent="0.3">
      <c r="J22607" s="33"/>
    </row>
    <row r="22608" spans="10:10" ht="15" customHeight="1" x14ac:dyDescent="0.3">
      <c r="J22608" s="33"/>
    </row>
    <row r="22609" spans="10:10" ht="15" customHeight="1" x14ac:dyDescent="0.3">
      <c r="J22609" s="33"/>
    </row>
    <row r="22610" spans="10:10" ht="15" customHeight="1" x14ac:dyDescent="0.3">
      <c r="J22610" s="33"/>
    </row>
    <row r="22611" spans="10:10" ht="15" customHeight="1" x14ac:dyDescent="0.3">
      <c r="J22611" s="33"/>
    </row>
    <row r="22612" spans="10:10" ht="15" customHeight="1" x14ac:dyDescent="0.3">
      <c r="J22612" s="33"/>
    </row>
    <row r="22613" spans="10:10" ht="15" customHeight="1" x14ac:dyDescent="0.3">
      <c r="J22613" s="33"/>
    </row>
    <row r="22614" spans="10:10" ht="15" customHeight="1" x14ac:dyDescent="0.3">
      <c r="J22614" s="33"/>
    </row>
    <row r="22615" spans="10:10" ht="15" customHeight="1" x14ac:dyDescent="0.3">
      <c r="J22615" s="33"/>
    </row>
    <row r="22616" spans="10:10" ht="15" customHeight="1" x14ac:dyDescent="0.3">
      <c r="J22616" s="33"/>
    </row>
    <row r="22617" spans="10:10" ht="15" customHeight="1" x14ac:dyDescent="0.3">
      <c r="J22617" s="33"/>
    </row>
    <row r="22618" spans="10:10" ht="15" customHeight="1" x14ac:dyDescent="0.3">
      <c r="J22618" s="33"/>
    </row>
    <row r="22619" spans="10:10" ht="15" customHeight="1" x14ac:dyDescent="0.3">
      <c r="J22619" s="33"/>
    </row>
    <row r="22620" spans="10:10" ht="15" customHeight="1" x14ac:dyDescent="0.3">
      <c r="J22620" s="33"/>
    </row>
    <row r="22621" spans="10:10" ht="15" customHeight="1" x14ac:dyDescent="0.3">
      <c r="J22621" s="33"/>
    </row>
    <row r="22622" spans="10:10" ht="15" customHeight="1" x14ac:dyDescent="0.3">
      <c r="J22622" s="33"/>
    </row>
    <row r="22623" spans="10:10" ht="15" customHeight="1" x14ac:dyDescent="0.3">
      <c r="J22623" s="33"/>
    </row>
    <row r="22624" spans="10:10" ht="15" customHeight="1" x14ac:dyDescent="0.3">
      <c r="J22624" s="33"/>
    </row>
    <row r="22625" spans="10:10" ht="15" customHeight="1" x14ac:dyDescent="0.3">
      <c r="J22625" s="33"/>
    </row>
    <row r="22626" spans="10:10" ht="15" customHeight="1" x14ac:dyDescent="0.3">
      <c r="J22626" s="33"/>
    </row>
    <row r="22627" spans="10:10" ht="15" customHeight="1" x14ac:dyDescent="0.3">
      <c r="J22627" s="33"/>
    </row>
    <row r="22628" spans="10:10" ht="15" customHeight="1" x14ac:dyDescent="0.3">
      <c r="J22628" s="33"/>
    </row>
    <row r="22629" spans="10:10" ht="15" customHeight="1" x14ac:dyDescent="0.3">
      <c r="J22629" s="33"/>
    </row>
    <row r="22630" spans="10:10" ht="15" customHeight="1" x14ac:dyDescent="0.3">
      <c r="J22630" s="33"/>
    </row>
    <row r="22631" spans="10:10" ht="15" customHeight="1" x14ac:dyDescent="0.3">
      <c r="J22631" s="33"/>
    </row>
    <row r="22632" spans="10:10" ht="15" customHeight="1" x14ac:dyDescent="0.3">
      <c r="J22632" s="33"/>
    </row>
    <row r="22633" spans="10:10" ht="15" customHeight="1" x14ac:dyDescent="0.3">
      <c r="J22633" s="33"/>
    </row>
    <row r="22634" spans="10:10" ht="15" customHeight="1" x14ac:dyDescent="0.3">
      <c r="J22634" s="33"/>
    </row>
    <row r="22635" spans="10:10" ht="15" customHeight="1" x14ac:dyDescent="0.3">
      <c r="J22635" s="33"/>
    </row>
    <row r="22636" spans="10:10" ht="15" customHeight="1" x14ac:dyDescent="0.3">
      <c r="J22636" s="33"/>
    </row>
    <row r="22637" spans="10:10" ht="15" customHeight="1" x14ac:dyDescent="0.3">
      <c r="J22637" s="33"/>
    </row>
    <row r="22638" spans="10:10" ht="15" customHeight="1" x14ac:dyDescent="0.3">
      <c r="J22638" s="33"/>
    </row>
    <row r="22639" spans="10:10" ht="15" customHeight="1" x14ac:dyDescent="0.3">
      <c r="J22639" s="33"/>
    </row>
    <row r="22640" spans="10:10" ht="15" customHeight="1" x14ac:dyDescent="0.3">
      <c r="J22640" s="33"/>
    </row>
    <row r="22641" spans="10:10" ht="15" customHeight="1" x14ac:dyDescent="0.3">
      <c r="J22641" s="33"/>
    </row>
    <row r="22642" spans="10:10" ht="15" customHeight="1" x14ac:dyDescent="0.3">
      <c r="J22642" s="33"/>
    </row>
    <row r="22643" spans="10:10" ht="15" customHeight="1" x14ac:dyDescent="0.3">
      <c r="J22643" s="33"/>
    </row>
    <row r="22644" spans="10:10" ht="15" customHeight="1" x14ac:dyDescent="0.3">
      <c r="J22644" s="33"/>
    </row>
    <row r="22645" spans="10:10" ht="15" customHeight="1" x14ac:dyDescent="0.3">
      <c r="J22645" s="33"/>
    </row>
    <row r="22646" spans="10:10" ht="15" customHeight="1" x14ac:dyDescent="0.3">
      <c r="J22646" s="33"/>
    </row>
    <row r="22647" spans="10:10" ht="15" customHeight="1" x14ac:dyDescent="0.3">
      <c r="J22647" s="33"/>
    </row>
    <row r="22648" spans="10:10" ht="15" customHeight="1" x14ac:dyDescent="0.3">
      <c r="J22648" s="33"/>
    </row>
    <row r="22649" spans="10:10" ht="15" customHeight="1" x14ac:dyDescent="0.3">
      <c r="J22649" s="33"/>
    </row>
    <row r="22650" spans="10:10" ht="15" customHeight="1" x14ac:dyDescent="0.3">
      <c r="J22650" s="33"/>
    </row>
    <row r="22651" spans="10:10" ht="15" customHeight="1" x14ac:dyDescent="0.3">
      <c r="J22651" s="33"/>
    </row>
    <row r="22652" spans="10:10" ht="15" customHeight="1" x14ac:dyDescent="0.3">
      <c r="J22652" s="33"/>
    </row>
    <row r="22653" spans="10:10" ht="15" customHeight="1" x14ac:dyDescent="0.3">
      <c r="J22653" s="33"/>
    </row>
    <row r="22654" spans="10:10" ht="15" customHeight="1" x14ac:dyDescent="0.3">
      <c r="J22654" s="33"/>
    </row>
    <row r="22655" spans="10:10" ht="15" customHeight="1" x14ac:dyDescent="0.3">
      <c r="J22655" s="33"/>
    </row>
    <row r="22656" spans="10:10" ht="15" customHeight="1" x14ac:dyDescent="0.3">
      <c r="J22656" s="33"/>
    </row>
    <row r="22657" spans="10:10" ht="15" customHeight="1" x14ac:dyDescent="0.3">
      <c r="J22657" s="33"/>
    </row>
    <row r="22658" spans="10:10" ht="15" customHeight="1" x14ac:dyDescent="0.3">
      <c r="J22658" s="33"/>
    </row>
    <row r="22659" spans="10:10" ht="15" customHeight="1" x14ac:dyDescent="0.3">
      <c r="J22659" s="33"/>
    </row>
    <row r="22660" spans="10:10" ht="15" customHeight="1" x14ac:dyDescent="0.3">
      <c r="J22660" s="33"/>
    </row>
    <row r="22661" spans="10:10" ht="15" customHeight="1" x14ac:dyDescent="0.3">
      <c r="J22661" s="33"/>
    </row>
    <row r="22662" spans="10:10" ht="15" customHeight="1" x14ac:dyDescent="0.3">
      <c r="J22662" s="33"/>
    </row>
    <row r="22663" spans="10:10" ht="15" customHeight="1" x14ac:dyDescent="0.3">
      <c r="J22663" s="33"/>
    </row>
    <row r="22664" spans="10:10" ht="15" customHeight="1" x14ac:dyDescent="0.3">
      <c r="J22664" s="33"/>
    </row>
    <row r="22665" spans="10:10" ht="15" customHeight="1" x14ac:dyDescent="0.3">
      <c r="J22665" s="33"/>
    </row>
    <row r="22666" spans="10:10" ht="15" customHeight="1" x14ac:dyDescent="0.3">
      <c r="J22666" s="33"/>
    </row>
    <row r="22667" spans="10:10" ht="15" customHeight="1" x14ac:dyDescent="0.3">
      <c r="J22667" s="33"/>
    </row>
    <row r="22668" spans="10:10" ht="15" customHeight="1" x14ac:dyDescent="0.3">
      <c r="J22668" s="33"/>
    </row>
    <row r="22669" spans="10:10" ht="15" customHeight="1" x14ac:dyDescent="0.3">
      <c r="J22669" s="33"/>
    </row>
    <row r="22670" spans="10:10" ht="15" customHeight="1" x14ac:dyDescent="0.3">
      <c r="J22670" s="33"/>
    </row>
    <row r="22671" spans="10:10" ht="15" customHeight="1" x14ac:dyDescent="0.3">
      <c r="J22671" s="33"/>
    </row>
    <row r="22672" spans="10:10" ht="15" customHeight="1" x14ac:dyDescent="0.3">
      <c r="J22672" s="33"/>
    </row>
    <row r="22673" spans="10:10" ht="15" customHeight="1" x14ac:dyDescent="0.3">
      <c r="J22673" s="33"/>
    </row>
    <row r="22674" spans="10:10" ht="15" customHeight="1" x14ac:dyDescent="0.3">
      <c r="J22674" s="33"/>
    </row>
    <row r="22675" spans="10:10" ht="15" customHeight="1" x14ac:dyDescent="0.3">
      <c r="J22675" s="33"/>
    </row>
    <row r="22676" spans="10:10" ht="15" customHeight="1" x14ac:dyDescent="0.3">
      <c r="J22676" s="33"/>
    </row>
    <row r="22677" spans="10:10" ht="15" customHeight="1" x14ac:dyDescent="0.3">
      <c r="J22677" s="33"/>
    </row>
    <row r="22678" spans="10:10" ht="15" customHeight="1" x14ac:dyDescent="0.3">
      <c r="J22678" s="33"/>
    </row>
    <row r="22679" spans="10:10" ht="15" customHeight="1" x14ac:dyDescent="0.3">
      <c r="J22679" s="33"/>
    </row>
    <row r="22680" spans="10:10" ht="15" customHeight="1" x14ac:dyDescent="0.3">
      <c r="J22680" s="33"/>
    </row>
    <row r="22681" spans="10:10" ht="15" customHeight="1" x14ac:dyDescent="0.3">
      <c r="J22681" s="33"/>
    </row>
    <row r="22682" spans="10:10" ht="15" customHeight="1" x14ac:dyDescent="0.3">
      <c r="J22682" s="33"/>
    </row>
    <row r="22683" spans="10:10" ht="15" customHeight="1" x14ac:dyDescent="0.3">
      <c r="J22683" s="33"/>
    </row>
    <row r="22684" spans="10:10" ht="15" customHeight="1" x14ac:dyDescent="0.3">
      <c r="J22684" s="33"/>
    </row>
    <row r="22685" spans="10:10" ht="15" customHeight="1" x14ac:dyDescent="0.3">
      <c r="J22685" s="33"/>
    </row>
    <row r="22686" spans="10:10" ht="15" customHeight="1" x14ac:dyDescent="0.3">
      <c r="J22686" s="33"/>
    </row>
    <row r="22687" spans="10:10" ht="15" customHeight="1" x14ac:dyDescent="0.3">
      <c r="J22687" s="33"/>
    </row>
    <row r="22688" spans="10:10" ht="15" customHeight="1" x14ac:dyDescent="0.3">
      <c r="J22688" s="33"/>
    </row>
    <row r="22689" spans="10:10" ht="15" customHeight="1" x14ac:dyDescent="0.3">
      <c r="J22689" s="33"/>
    </row>
    <row r="22690" spans="10:10" ht="15" customHeight="1" x14ac:dyDescent="0.3">
      <c r="J22690" s="33"/>
    </row>
    <row r="22691" spans="10:10" ht="15" customHeight="1" x14ac:dyDescent="0.3">
      <c r="J22691" s="33"/>
    </row>
    <row r="22692" spans="10:10" ht="15" customHeight="1" x14ac:dyDescent="0.3">
      <c r="J22692" s="33"/>
    </row>
    <row r="22693" spans="10:10" ht="15" customHeight="1" x14ac:dyDescent="0.3">
      <c r="J22693" s="33"/>
    </row>
    <row r="22694" spans="10:10" ht="15" customHeight="1" x14ac:dyDescent="0.3">
      <c r="J22694" s="33"/>
    </row>
    <row r="22695" spans="10:10" ht="15" customHeight="1" x14ac:dyDescent="0.3">
      <c r="J22695" s="33"/>
    </row>
    <row r="22696" spans="10:10" ht="15" customHeight="1" x14ac:dyDescent="0.3">
      <c r="J22696" s="33"/>
    </row>
    <row r="22697" spans="10:10" ht="15" customHeight="1" x14ac:dyDescent="0.3">
      <c r="J22697" s="33"/>
    </row>
    <row r="22698" spans="10:10" ht="15" customHeight="1" x14ac:dyDescent="0.3">
      <c r="J22698" s="33"/>
    </row>
    <row r="22699" spans="10:10" ht="15" customHeight="1" x14ac:dyDescent="0.3">
      <c r="J22699" s="33"/>
    </row>
    <row r="22700" spans="10:10" ht="15" customHeight="1" x14ac:dyDescent="0.3">
      <c r="J22700" s="33"/>
    </row>
    <row r="22701" spans="10:10" ht="15" customHeight="1" x14ac:dyDescent="0.3">
      <c r="J22701" s="33"/>
    </row>
    <row r="22702" spans="10:10" ht="15" customHeight="1" x14ac:dyDescent="0.3">
      <c r="J22702" s="33"/>
    </row>
    <row r="22703" spans="10:10" ht="15" customHeight="1" x14ac:dyDescent="0.3">
      <c r="J22703" s="33"/>
    </row>
    <row r="22704" spans="10:10" ht="15" customHeight="1" x14ac:dyDescent="0.3">
      <c r="J22704" s="33"/>
    </row>
    <row r="22705" spans="10:10" ht="15" customHeight="1" x14ac:dyDescent="0.3">
      <c r="J22705" s="33"/>
    </row>
    <row r="22706" spans="10:10" ht="15" customHeight="1" x14ac:dyDescent="0.3">
      <c r="J22706" s="33"/>
    </row>
    <row r="22707" spans="10:10" ht="15" customHeight="1" x14ac:dyDescent="0.3">
      <c r="J22707" s="33"/>
    </row>
    <row r="22708" spans="10:10" ht="15" customHeight="1" x14ac:dyDescent="0.3">
      <c r="J22708" s="33"/>
    </row>
    <row r="22709" spans="10:10" ht="15" customHeight="1" x14ac:dyDescent="0.3">
      <c r="J22709" s="33"/>
    </row>
    <row r="22710" spans="10:10" ht="15" customHeight="1" x14ac:dyDescent="0.3">
      <c r="J22710" s="33"/>
    </row>
    <row r="22711" spans="10:10" ht="15" customHeight="1" x14ac:dyDescent="0.3">
      <c r="J22711" s="33"/>
    </row>
    <row r="22712" spans="10:10" ht="15" customHeight="1" x14ac:dyDescent="0.3">
      <c r="J22712" s="33"/>
    </row>
    <row r="22713" spans="10:10" ht="15" customHeight="1" x14ac:dyDescent="0.3">
      <c r="J22713" s="33"/>
    </row>
    <row r="22714" spans="10:10" ht="15" customHeight="1" x14ac:dyDescent="0.3">
      <c r="J22714" s="33"/>
    </row>
    <row r="22715" spans="10:10" ht="15" customHeight="1" x14ac:dyDescent="0.3">
      <c r="J22715" s="33"/>
    </row>
    <row r="22716" spans="10:10" ht="15" customHeight="1" x14ac:dyDescent="0.3">
      <c r="J22716" s="33"/>
    </row>
    <row r="22717" spans="10:10" ht="15" customHeight="1" x14ac:dyDescent="0.3">
      <c r="J22717" s="33"/>
    </row>
    <row r="22718" spans="10:10" ht="15" customHeight="1" x14ac:dyDescent="0.3">
      <c r="J22718" s="33"/>
    </row>
    <row r="22719" spans="10:10" ht="15" customHeight="1" x14ac:dyDescent="0.3">
      <c r="J22719" s="33"/>
    </row>
    <row r="22720" spans="10:10" ht="15" customHeight="1" x14ac:dyDescent="0.3">
      <c r="J22720" s="33"/>
    </row>
    <row r="22721" spans="10:10" ht="15" customHeight="1" x14ac:dyDescent="0.3">
      <c r="J22721" s="33"/>
    </row>
    <row r="22722" spans="10:10" ht="15" customHeight="1" x14ac:dyDescent="0.3">
      <c r="J22722" s="33"/>
    </row>
    <row r="22723" spans="10:10" ht="15" customHeight="1" x14ac:dyDescent="0.3">
      <c r="J22723" s="33"/>
    </row>
    <row r="22724" spans="10:10" ht="15" customHeight="1" x14ac:dyDescent="0.3">
      <c r="J22724" s="33"/>
    </row>
    <row r="22725" spans="10:10" ht="15" customHeight="1" x14ac:dyDescent="0.3">
      <c r="J22725" s="33"/>
    </row>
    <row r="22726" spans="10:10" ht="15" customHeight="1" x14ac:dyDescent="0.3">
      <c r="J22726" s="33"/>
    </row>
    <row r="22727" spans="10:10" ht="15" customHeight="1" x14ac:dyDescent="0.3">
      <c r="J22727" s="33"/>
    </row>
    <row r="22728" spans="10:10" ht="15" customHeight="1" x14ac:dyDescent="0.3">
      <c r="J22728" s="33"/>
    </row>
    <row r="22729" spans="10:10" ht="15" customHeight="1" x14ac:dyDescent="0.3">
      <c r="J22729" s="33"/>
    </row>
    <row r="22730" spans="10:10" ht="15" customHeight="1" x14ac:dyDescent="0.3">
      <c r="J22730" s="33"/>
    </row>
    <row r="22731" spans="10:10" ht="15" customHeight="1" x14ac:dyDescent="0.3">
      <c r="J22731" s="33"/>
    </row>
    <row r="22732" spans="10:10" ht="15" customHeight="1" x14ac:dyDescent="0.3">
      <c r="J22732" s="33"/>
    </row>
    <row r="22733" spans="10:10" ht="15" customHeight="1" x14ac:dyDescent="0.3">
      <c r="J22733" s="33"/>
    </row>
    <row r="22734" spans="10:10" ht="15" customHeight="1" x14ac:dyDescent="0.3">
      <c r="J22734" s="33"/>
    </row>
    <row r="22735" spans="10:10" ht="15" customHeight="1" x14ac:dyDescent="0.3">
      <c r="J22735" s="33"/>
    </row>
    <row r="22736" spans="10:10" ht="15" customHeight="1" x14ac:dyDescent="0.3">
      <c r="J22736" s="33"/>
    </row>
    <row r="22737" spans="10:10" ht="15" customHeight="1" x14ac:dyDescent="0.3">
      <c r="J22737" s="33"/>
    </row>
    <row r="22738" spans="10:10" ht="15" customHeight="1" x14ac:dyDescent="0.3">
      <c r="J22738" s="33"/>
    </row>
    <row r="22739" spans="10:10" ht="15" customHeight="1" x14ac:dyDescent="0.3">
      <c r="J22739" s="33"/>
    </row>
    <row r="22740" spans="10:10" ht="15" customHeight="1" x14ac:dyDescent="0.3">
      <c r="J22740" s="33"/>
    </row>
    <row r="22741" spans="10:10" ht="15" customHeight="1" x14ac:dyDescent="0.3">
      <c r="J22741" s="33"/>
    </row>
    <row r="22742" spans="10:10" ht="15" customHeight="1" x14ac:dyDescent="0.3">
      <c r="J22742" s="33"/>
    </row>
    <row r="22743" spans="10:10" ht="15" customHeight="1" x14ac:dyDescent="0.3">
      <c r="J22743" s="33"/>
    </row>
    <row r="22744" spans="10:10" ht="15" customHeight="1" x14ac:dyDescent="0.3">
      <c r="J22744" s="33"/>
    </row>
    <row r="22745" spans="10:10" ht="15" customHeight="1" x14ac:dyDescent="0.3">
      <c r="J22745" s="33"/>
    </row>
    <row r="22746" spans="10:10" ht="15" customHeight="1" x14ac:dyDescent="0.3">
      <c r="J22746" s="33"/>
    </row>
    <row r="22747" spans="10:10" ht="15" customHeight="1" x14ac:dyDescent="0.3">
      <c r="J22747" s="33"/>
    </row>
    <row r="22748" spans="10:10" ht="15" customHeight="1" x14ac:dyDescent="0.3">
      <c r="J22748" s="33"/>
    </row>
    <row r="22749" spans="10:10" ht="15" customHeight="1" x14ac:dyDescent="0.3">
      <c r="J22749" s="33"/>
    </row>
    <row r="22750" spans="10:10" ht="15" customHeight="1" x14ac:dyDescent="0.3">
      <c r="J22750" s="33"/>
    </row>
    <row r="22751" spans="10:10" ht="15" customHeight="1" x14ac:dyDescent="0.3">
      <c r="J22751" s="33"/>
    </row>
    <row r="22752" spans="10:10" ht="15" customHeight="1" x14ac:dyDescent="0.3">
      <c r="J22752" s="33"/>
    </row>
    <row r="22753" spans="10:10" ht="15" customHeight="1" x14ac:dyDescent="0.3">
      <c r="J22753" s="33"/>
    </row>
    <row r="22754" spans="10:10" ht="15" customHeight="1" x14ac:dyDescent="0.3">
      <c r="J22754" s="33"/>
    </row>
    <row r="22755" spans="10:10" ht="15" customHeight="1" x14ac:dyDescent="0.3">
      <c r="J22755" s="33"/>
    </row>
    <row r="22756" spans="10:10" ht="15" customHeight="1" x14ac:dyDescent="0.3">
      <c r="J22756" s="33"/>
    </row>
    <row r="22757" spans="10:10" ht="15" customHeight="1" x14ac:dyDescent="0.3">
      <c r="J22757" s="33"/>
    </row>
    <row r="22758" spans="10:10" ht="15" customHeight="1" x14ac:dyDescent="0.3">
      <c r="J22758" s="33"/>
    </row>
    <row r="22759" spans="10:10" ht="15" customHeight="1" x14ac:dyDescent="0.3">
      <c r="J22759" s="33"/>
    </row>
    <row r="22760" spans="10:10" ht="15" customHeight="1" x14ac:dyDescent="0.3">
      <c r="J22760" s="33"/>
    </row>
    <row r="22761" spans="10:10" ht="15" customHeight="1" x14ac:dyDescent="0.3">
      <c r="J22761" s="33"/>
    </row>
    <row r="22762" spans="10:10" ht="15" customHeight="1" x14ac:dyDescent="0.3">
      <c r="J22762" s="33"/>
    </row>
    <row r="22763" spans="10:10" ht="15" customHeight="1" x14ac:dyDescent="0.3">
      <c r="J22763" s="33"/>
    </row>
    <row r="22764" spans="10:10" ht="15" customHeight="1" x14ac:dyDescent="0.3">
      <c r="J22764" s="33"/>
    </row>
    <row r="22765" spans="10:10" ht="15" customHeight="1" x14ac:dyDescent="0.3">
      <c r="J22765" s="33"/>
    </row>
    <row r="22766" spans="10:10" ht="15" customHeight="1" x14ac:dyDescent="0.3">
      <c r="J22766" s="33"/>
    </row>
    <row r="22767" spans="10:10" ht="15" customHeight="1" x14ac:dyDescent="0.3">
      <c r="J22767" s="33"/>
    </row>
    <row r="22768" spans="10:10" ht="15" customHeight="1" x14ac:dyDescent="0.3">
      <c r="J22768" s="33"/>
    </row>
    <row r="22769" spans="10:10" ht="15" customHeight="1" x14ac:dyDescent="0.3">
      <c r="J22769" s="33"/>
    </row>
    <row r="22770" spans="10:10" ht="15" customHeight="1" x14ac:dyDescent="0.3">
      <c r="J22770" s="33"/>
    </row>
    <row r="22771" spans="10:10" ht="15" customHeight="1" x14ac:dyDescent="0.3">
      <c r="J22771" s="33"/>
    </row>
    <row r="22772" spans="10:10" ht="15" customHeight="1" x14ac:dyDescent="0.3">
      <c r="J22772" s="33"/>
    </row>
    <row r="22773" spans="10:10" ht="15" customHeight="1" x14ac:dyDescent="0.3">
      <c r="J22773" s="33"/>
    </row>
    <row r="22774" spans="10:10" ht="15" customHeight="1" x14ac:dyDescent="0.3">
      <c r="J22774" s="33"/>
    </row>
    <row r="22775" spans="10:10" ht="15" customHeight="1" x14ac:dyDescent="0.3">
      <c r="J22775" s="33"/>
    </row>
    <row r="22776" spans="10:10" ht="15" customHeight="1" x14ac:dyDescent="0.3">
      <c r="J22776" s="33"/>
    </row>
    <row r="22777" spans="10:10" ht="15" customHeight="1" x14ac:dyDescent="0.3">
      <c r="J22777" s="33"/>
    </row>
    <row r="22778" spans="10:10" ht="15" customHeight="1" x14ac:dyDescent="0.3">
      <c r="J22778" s="33"/>
    </row>
    <row r="22779" spans="10:10" ht="15" customHeight="1" x14ac:dyDescent="0.3">
      <c r="J22779" s="33"/>
    </row>
    <row r="22780" spans="10:10" ht="15" customHeight="1" x14ac:dyDescent="0.3">
      <c r="J22780" s="33"/>
    </row>
    <row r="22781" spans="10:10" ht="15" customHeight="1" x14ac:dyDescent="0.3">
      <c r="J22781" s="33"/>
    </row>
    <row r="22782" spans="10:10" ht="15" customHeight="1" x14ac:dyDescent="0.3">
      <c r="J22782" s="33"/>
    </row>
    <row r="22783" spans="10:10" ht="15" customHeight="1" x14ac:dyDescent="0.3">
      <c r="J22783" s="33"/>
    </row>
    <row r="22784" spans="10:10" ht="15" customHeight="1" x14ac:dyDescent="0.3">
      <c r="J22784" s="33"/>
    </row>
    <row r="22785" spans="10:10" ht="15" customHeight="1" x14ac:dyDescent="0.3">
      <c r="J22785" s="33"/>
    </row>
    <row r="22786" spans="10:10" ht="15" customHeight="1" x14ac:dyDescent="0.3">
      <c r="J22786" s="33"/>
    </row>
    <row r="22787" spans="10:10" ht="15" customHeight="1" x14ac:dyDescent="0.3">
      <c r="J22787" s="33"/>
    </row>
    <row r="22788" spans="10:10" ht="15" customHeight="1" x14ac:dyDescent="0.3">
      <c r="J22788" s="33"/>
    </row>
    <row r="22789" spans="10:10" ht="15" customHeight="1" x14ac:dyDescent="0.3">
      <c r="J22789" s="33"/>
    </row>
    <row r="22790" spans="10:10" ht="15" customHeight="1" x14ac:dyDescent="0.3">
      <c r="J22790" s="33"/>
    </row>
    <row r="22791" spans="10:10" ht="15" customHeight="1" x14ac:dyDescent="0.3">
      <c r="J22791" s="33"/>
    </row>
    <row r="22792" spans="10:10" ht="15" customHeight="1" x14ac:dyDescent="0.3">
      <c r="J22792" s="33"/>
    </row>
    <row r="22793" spans="10:10" ht="15" customHeight="1" x14ac:dyDescent="0.3">
      <c r="J22793" s="33"/>
    </row>
    <row r="22794" spans="10:10" ht="15" customHeight="1" x14ac:dyDescent="0.3">
      <c r="J22794" s="33"/>
    </row>
    <row r="22795" spans="10:10" ht="15" customHeight="1" x14ac:dyDescent="0.3">
      <c r="J22795" s="33"/>
    </row>
    <row r="22796" spans="10:10" ht="15" customHeight="1" x14ac:dyDescent="0.3">
      <c r="J22796" s="33"/>
    </row>
    <row r="22797" spans="10:10" ht="15" customHeight="1" x14ac:dyDescent="0.3">
      <c r="J22797" s="33"/>
    </row>
    <row r="22798" spans="10:10" ht="15" customHeight="1" x14ac:dyDescent="0.3">
      <c r="J22798" s="33"/>
    </row>
    <row r="22799" spans="10:10" ht="15" customHeight="1" x14ac:dyDescent="0.3">
      <c r="J22799" s="33"/>
    </row>
    <row r="22800" spans="10:10" ht="15" customHeight="1" x14ac:dyDescent="0.3">
      <c r="J22800" s="33"/>
    </row>
    <row r="22801" spans="10:10" ht="15" customHeight="1" x14ac:dyDescent="0.3">
      <c r="J22801" s="33"/>
    </row>
    <row r="22802" spans="10:10" ht="15" customHeight="1" x14ac:dyDescent="0.3">
      <c r="J22802" s="33"/>
    </row>
    <row r="22803" spans="10:10" ht="15" customHeight="1" x14ac:dyDescent="0.3">
      <c r="J22803" s="33"/>
    </row>
    <row r="22804" spans="10:10" ht="15" customHeight="1" x14ac:dyDescent="0.3">
      <c r="J22804" s="33"/>
    </row>
    <row r="22805" spans="10:10" ht="15" customHeight="1" x14ac:dyDescent="0.3">
      <c r="J22805" s="33"/>
    </row>
    <row r="22806" spans="10:10" ht="15" customHeight="1" x14ac:dyDescent="0.3">
      <c r="J22806" s="33"/>
    </row>
    <row r="22807" spans="10:10" ht="15" customHeight="1" x14ac:dyDescent="0.3">
      <c r="J22807" s="33"/>
    </row>
    <row r="22808" spans="10:10" ht="15" customHeight="1" x14ac:dyDescent="0.3">
      <c r="J22808" s="33"/>
    </row>
    <row r="22809" spans="10:10" ht="15" customHeight="1" x14ac:dyDescent="0.3">
      <c r="J22809" s="33"/>
    </row>
    <row r="22810" spans="10:10" ht="15" customHeight="1" x14ac:dyDescent="0.3">
      <c r="J22810" s="33"/>
    </row>
    <row r="22811" spans="10:10" ht="15" customHeight="1" x14ac:dyDescent="0.3">
      <c r="J22811" s="33"/>
    </row>
    <row r="22812" spans="10:10" ht="15" customHeight="1" x14ac:dyDescent="0.3">
      <c r="J22812" s="33"/>
    </row>
    <row r="22813" spans="10:10" ht="15" customHeight="1" x14ac:dyDescent="0.3">
      <c r="J22813" s="33"/>
    </row>
    <row r="22814" spans="10:10" ht="15" customHeight="1" x14ac:dyDescent="0.3">
      <c r="J22814" s="33"/>
    </row>
    <row r="22815" spans="10:10" ht="15" customHeight="1" x14ac:dyDescent="0.3">
      <c r="J22815" s="33"/>
    </row>
    <row r="22816" spans="10:10" ht="15" customHeight="1" x14ac:dyDescent="0.3">
      <c r="J22816" s="33"/>
    </row>
    <row r="22817" spans="10:10" ht="15" customHeight="1" x14ac:dyDescent="0.3">
      <c r="J22817" s="33"/>
    </row>
    <row r="22818" spans="10:10" ht="15" customHeight="1" x14ac:dyDescent="0.3">
      <c r="J22818" s="33"/>
    </row>
    <row r="22819" spans="10:10" ht="15" customHeight="1" x14ac:dyDescent="0.3">
      <c r="J22819" s="33"/>
    </row>
    <row r="22820" spans="10:10" ht="15" customHeight="1" x14ac:dyDescent="0.3">
      <c r="J22820" s="33"/>
    </row>
    <row r="22821" spans="10:10" ht="15" customHeight="1" x14ac:dyDescent="0.3">
      <c r="J22821" s="33"/>
    </row>
    <row r="22822" spans="10:10" ht="15" customHeight="1" x14ac:dyDescent="0.3">
      <c r="J22822" s="33"/>
    </row>
    <row r="22823" spans="10:10" ht="15" customHeight="1" x14ac:dyDescent="0.3">
      <c r="J22823" s="33"/>
    </row>
    <row r="22824" spans="10:10" ht="15" customHeight="1" x14ac:dyDescent="0.3">
      <c r="J22824" s="33"/>
    </row>
    <row r="22825" spans="10:10" ht="15" customHeight="1" x14ac:dyDescent="0.3">
      <c r="J22825" s="33"/>
    </row>
    <row r="22826" spans="10:10" ht="15" customHeight="1" x14ac:dyDescent="0.3">
      <c r="J22826" s="33"/>
    </row>
    <row r="22827" spans="10:10" ht="15" customHeight="1" x14ac:dyDescent="0.3">
      <c r="J22827" s="33"/>
    </row>
    <row r="22828" spans="10:10" ht="15" customHeight="1" x14ac:dyDescent="0.3">
      <c r="J22828" s="33"/>
    </row>
    <row r="22829" spans="10:10" ht="15" customHeight="1" x14ac:dyDescent="0.3">
      <c r="J22829" s="33"/>
    </row>
    <row r="22830" spans="10:10" ht="15" customHeight="1" x14ac:dyDescent="0.3">
      <c r="J22830" s="33"/>
    </row>
    <row r="22831" spans="10:10" ht="15" customHeight="1" x14ac:dyDescent="0.3">
      <c r="J22831" s="33"/>
    </row>
    <row r="22832" spans="10:10" ht="15" customHeight="1" x14ac:dyDescent="0.3">
      <c r="J22832" s="33"/>
    </row>
    <row r="22833" spans="10:10" ht="15" customHeight="1" x14ac:dyDescent="0.3">
      <c r="J22833" s="33"/>
    </row>
    <row r="22834" spans="10:10" ht="15" customHeight="1" x14ac:dyDescent="0.3">
      <c r="J22834" s="33"/>
    </row>
    <row r="22835" spans="10:10" ht="15" customHeight="1" x14ac:dyDescent="0.3">
      <c r="J22835" s="33"/>
    </row>
    <row r="22836" spans="10:10" ht="15" customHeight="1" x14ac:dyDescent="0.3">
      <c r="J22836" s="33"/>
    </row>
    <row r="22837" spans="10:10" ht="15" customHeight="1" x14ac:dyDescent="0.3">
      <c r="J22837" s="33"/>
    </row>
    <row r="22838" spans="10:10" ht="15" customHeight="1" x14ac:dyDescent="0.3">
      <c r="J22838" s="33"/>
    </row>
    <row r="22839" spans="10:10" ht="15" customHeight="1" x14ac:dyDescent="0.3">
      <c r="J22839" s="33"/>
    </row>
    <row r="22840" spans="10:10" ht="15" customHeight="1" x14ac:dyDescent="0.3">
      <c r="J22840" s="33"/>
    </row>
    <row r="22841" spans="10:10" ht="15" customHeight="1" x14ac:dyDescent="0.3">
      <c r="J22841" s="33"/>
    </row>
    <row r="22842" spans="10:10" ht="15" customHeight="1" x14ac:dyDescent="0.3">
      <c r="J22842" s="33"/>
    </row>
    <row r="22843" spans="10:10" ht="15" customHeight="1" x14ac:dyDescent="0.3">
      <c r="J22843" s="33"/>
    </row>
    <row r="22844" spans="10:10" ht="15" customHeight="1" x14ac:dyDescent="0.3">
      <c r="J22844" s="33"/>
    </row>
    <row r="22845" spans="10:10" ht="15" customHeight="1" x14ac:dyDescent="0.3">
      <c r="J22845" s="33"/>
    </row>
    <row r="22846" spans="10:10" ht="15" customHeight="1" x14ac:dyDescent="0.3">
      <c r="J22846" s="33"/>
    </row>
    <row r="22847" spans="10:10" ht="15" customHeight="1" x14ac:dyDescent="0.3">
      <c r="J22847" s="33"/>
    </row>
    <row r="22848" spans="10:10" ht="15" customHeight="1" x14ac:dyDescent="0.3">
      <c r="J22848" s="33"/>
    </row>
    <row r="22849" spans="10:10" ht="15" customHeight="1" x14ac:dyDescent="0.3">
      <c r="J22849" s="33"/>
    </row>
    <row r="22850" spans="10:10" ht="15" customHeight="1" x14ac:dyDescent="0.3">
      <c r="J22850" s="33"/>
    </row>
    <row r="22851" spans="10:10" ht="15" customHeight="1" x14ac:dyDescent="0.3">
      <c r="J22851" s="33"/>
    </row>
    <row r="22852" spans="10:10" ht="15" customHeight="1" x14ac:dyDescent="0.3">
      <c r="J22852" s="33"/>
    </row>
    <row r="22853" spans="10:10" ht="15" customHeight="1" x14ac:dyDescent="0.3">
      <c r="J22853" s="33"/>
    </row>
    <row r="22854" spans="10:10" ht="15" customHeight="1" x14ac:dyDescent="0.3">
      <c r="J22854" s="33"/>
    </row>
    <row r="22855" spans="10:10" ht="15" customHeight="1" x14ac:dyDescent="0.3">
      <c r="J22855" s="33"/>
    </row>
    <row r="22856" spans="10:10" ht="15" customHeight="1" x14ac:dyDescent="0.3">
      <c r="J22856" s="33"/>
    </row>
    <row r="22857" spans="10:10" ht="15" customHeight="1" x14ac:dyDescent="0.3">
      <c r="J22857" s="33"/>
    </row>
    <row r="22858" spans="10:10" ht="15" customHeight="1" x14ac:dyDescent="0.3">
      <c r="J22858" s="33"/>
    </row>
    <row r="22859" spans="10:10" ht="15" customHeight="1" x14ac:dyDescent="0.3">
      <c r="J22859" s="33"/>
    </row>
    <row r="22860" spans="10:10" ht="15" customHeight="1" x14ac:dyDescent="0.3">
      <c r="J22860" s="33"/>
    </row>
    <row r="22861" spans="10:10" ht="15" customHeight="1" x14ac:dyDescent="0.3">
      <c r="J22861" s="33"/>
    </row>
    <row r="22862" spans="10:10" ht="15" customHeight="1" x14ac:dyDescent="0.3">
      <c r="J22862" s="33"/>
    </row>
    <row r="22863" spans="10:10" ht="15" customHeight="1" x14ac:dyDescent="0.3">
      <c r="J22863" s="33"/>
    </row>
    <row r="22864" spans="10:10" ht="15" customHeight="1" x14ac:dyDescent="0.3">
      <c r="J22864" s="33"/>
    </row>
    <row r="22865" spans="10:10" ht="15" customHeight="1" x14ac:dyDescent="0.3">
      <c r="J22865" s="33"/>
    </row>
    <row r="22866" spans="10:10" ht="15" customHeight="1" x14ac:dyDescent="0.3">
      <c r="J22866" s="33"/>
    </row>
    <row r="22867" spans="10:10" ht="15" customHeight="1" x14ac:dyDescent="0.3">
      <c r="J22867" s="33"/>
    </row>
    <row r="22868" spans="10:10" ht="15" customHeight="1" x14ac:dyDescent="0.3">
      <c r="J22868" s="33"/>
    </row>
    <row r="22869" spans="10:10" ht="15" customHeight="1" x14ac:dyDescent="0.3">
      <c r="J22869" s="33"/>
    </row>
    <row r="22870" spans="10:10" ht="15" customHeight="1" x14ac:dyDescent="0.3">
      <c r="J22870" s="33"/>
    </row>
    <row r="22871" spans="10:10" ht="15" customHeight="1" x14ac:dyDescent="0.3">
      <c r="J22871" s="33"/>
    </row>
    <row r="22872" spans="10:10" ht="15" customHeight="1" x14ac:dyDescent="0.3">
      <c r="J22872" s="33"/>
    </row>
    <row r="22873" spans="10:10" ht="15" customHeight="1" x14ac:dyDescent="0.3">
      <c r="J22873" s="33"/>
    </row>
    <row r="22874" spans="10:10" ht="15" customHeight="1" x14ac:dyDescent="0.3">
      <c r="J22874" s="33"/>
    </row>
    <row r="22875" spans="10:10" ht="15" customHeight="1" x14ac:dyDescent="0.3">
      <c r="J22875" s="33"/>
    </row>
    <row r="22876" spans="10:10" ht="15" customHeight="1" x14ac:dyDescent="0.3">
      <c r="J22876" s="33"/>
    </row>
    <row r="22877" spans="10:10" ht="15" customHeight="1" x14ac:dyDescent="0.3">
      <c r="J22877" s="33"/>
    </row>
    <row r="22878" spans="10:10" ht="15" customHeight="1" x14ac:dyDescent="0.3">
      <c r="J22878" s="33"/>
    </row>
    <row r="22879" spans="10:10" ht="15" customHeight="1" x14ac:dyDescent="0.3">
      <c r="J22879" s="33"/>
    </row>
    <row r="22880" spans="10:10" ht="15" customHeight="1" x14ac:dyDescent="0.3">
      <c r="J22880" s="33"/>
    </row>
    <row r="22881" spans="10:10" ht="15" customHeight="1" x14ac:dyDescent="0.3">
      <c r="J22881" s="33"/>
    </row>
    <row r="22882" spans="10:10" ht="15" customHeight="1" x14ac:dyDescent="0.3">
      <c r="J22882" s="33"/>
    </row>
    <row r="22883" spans="10:10" ht="15" customHeight="1" x14ac:dyDescent="0.3">
      <c r="J22883" s="33"/>
    </row>
    <row r="22884" spans="10:10" ht="15" customHeight="1" x14ac:dyDescent="0.3">
      <c r="J22884" s="33"/>
    </row>
    <row r="22885" spans="10:10" ht="15" customHeight="1" x14ac:dyDescent="0.3">
      <c r="J22885" s="33"/>
    </row>
    <row r="22886" spans="10:10" ht="15" customHeight="1" x14ac:dyDescent="0.3">
      <c r="J22886" s="33"/>
    </row>
    <row r="22887" spans="10:10" ht="15" customHeight="1" x14ac:dyDescent="0.3">
      <c r="J22887" s="33"/>
    </row>
    <row r="22888" spans="10:10" ht="15" customHeight="1" x14ac:dyDescent="0.3">
      <c r="J22888" s="33"/>
    </row>
    <row r="22889" spans="10:10" ht="15" customHeight="1" x14ac:dyDescent="0.3">
      <c r="J22889" s="33"/>
    </row>
    <row r="22890" spans="10:10" ht="15" customHeight="1" x14ac:dyDescent="0.3">
      <c r="J22890" s="33"/>
    </row>
    <row r="22891" spans="10:10" ht="15" customHeight="1" x14ac:dyDescent="0.3">
      <c r="J22891" s="33"/>
    </row>
    <row r="22892" spans="10:10" ht="15" customHeight="1" x14ac:dyDescent="0.3">
      <c r="J22892" s="33"/>
    </row>
    <row r="22893" spans="10:10" ht="15" customHeight="1" x14ac:dyDescent="0.3">
      <c r="J22893" s="33"/>
    </row>
    <row r="22894" spans="10:10" ht="15" customHeight="1" x14ac:dyDescent="0.3">
      <c r="J22894" s="33"/>
    </row>
    <row r="22895" spans="10:10" ht="15" customHeight="1" x14ac:dyDescent="0.3">
      <c r="J22895" s="33"/>
    </row>
    <row r="22896" spans="10:10" ht="15" customHeight="1" x14ac:dyDescent="0.3">
      <c r="J22896" s="33"/>
    </row>
    <row r="22897" spans="10:10" ht="15" customHeight="1" x14ac:dyDescent="0.3">
      <c r="J22897" s="33"/>
    </row>
    <row r="22898" spans="10:10" ht="15" customHeight="1" x14ac:dyDescent="0.3">
      <c r="J22898" s="33"/>
    </row>
    <row r="22899" spans="10:10" ht="15" customHeight="1" x14ac:dyDescent="0.3">
      <c r="J22899" s="33"/>
    </row>
    <row r="22900" spans="10:10" ht="15" customHeight="1" x14ac:dyDescent="0.3">
      <c r="J22900" s="33"/>
    </row>
    <row r="22901" spans="10:10" ht="15" customHeight="1" x14ac:dyDescent="0.3">
      <c r="J22901" s="33"/>
    </row>
    <row r="22902" spans="10:10" ht="15" customHeight="1" x14ac:dyDescent="0.3">
      <c r="J22902" s="33"/>
    </row>
    <row r="22903" spans="10:10" ht="15" customHeight="1" x14ac:dyDescent="0.3">
      <c r="J22903" s="33"/>
    </row>
    <row r="22904" spans="10:10" ht="15" customHeight="1" x14ac:dyDescent="0.3">
      <c r="J22904" s="33"/>
    </row>
    <row r="22905" spans="10:10" ht="15" customHeight="1" x14ac:dyDescent="0.3">
      <c r="J22905" s="33"/>
    </row>
    <row r="22906" spans="10:10" ht="15" customHeight="1" x14ac:dyDescent="0.3">
      <c r="J22906" s="33"/>
    </row>
    <row r="22907" spans="10:10" ht="15" customHeight="1" x14ac:dyDescent="0.3">
      <c r="J22907" s="33"/>
    </row>
    <row r="22908" spans="10:10" ht="15" customHeight="1" x14ac:dyDescent="0.3">
      <c r="J22908" s="33"/>
    </row>
    <row r="22909" spans="10:10" ht="15" customHeight="1" x14ac:dyDescent="0.3">
      <c r="J22909" s="33"/>
    </row>
    <row r="22910" spans="10:10" ht="15" customHeight="1" x14ac:dyDescent="0.3">
      <c r="J22910" s="33"/>
    </row>
    <row r="22911" spans="10:10" ht="15" customHeight="1" x14ac:dyDescent="0.3">
      <c r="J22911" s="33"/>
    </row>
    <row r="22912" spans="10:10" ht="15" customHeight="1" x14ac:dyDescent="0.3">
      <c r="J22912" s="33"/>
    </row>
    <row r="22913" spans="10:10" ht="15" customHeight="1" x14ac:dyDescent="0.3">
      <c r="J22913" s="33"/>
    </row>
    <row r="22914" spans="10:10" ht="15" customHeight="1" x14ac:dyDescent="0.3">
      <c r="J22914" s="33"/>
    </row>
    <row r="22915" spans="10:10" ht="15" customHeight="1" x14ac:dyDescent="0.3">
      <c r="J22915" s="33"/>
    </row>
    <row r="22916" spans="10:10" ht="15" customHeight="1" x14ac:dyDescent="0.3">
      <c r="J22916" s="33"/>
    </row>
    <row r="22917" spans="10:10" ht="15" customHeight="1" x14ac:dyDescent="0.3">
      <c r="J22917" s="33"/>
    </row>
    <row r="22918" spans="10:10" ht="15" customHeight="1" x14ac:dyDescent="0.3">
      <c r="J22918" s="33"/>
    </row>
    <row r="22919" spans="10:10" ht="15" customHeight="1" x14ac:dyDescent="0.3">
      <c r="J22919" s="33"/>
    </row>
    <row r="22920" spans="10:10" ht="15" customHeight="1" x14ac:dyDescent="0.3">
      <c r="J22920" s="33"/>
    </row>
    <row r="22921" spans="10:10" ht="15" customHeight="1" x14ac:dyDescent="0.3">
      <c r="J22921" s="33"/>
    </row>
    <row r="22922" spans="10:10" ht="15" customHeight="1" x14ac:dyDescent="0.3">
      <c r="J22922" s="33"/>
    </row>
    <row r="22923" spans="10:10" ht="15" customHeight="1" x14ac:dyDescent="0.3">
      <c r="J22923" s="33"/>
    </row>
    <row r="22924" spans="10:10" ht="15" customHeight="1" x14ac:dyDescent="0.3">
      <c r="J22924" s="33"/>
    </row>
    <row r="22925" spans="10:10" ht="15" customHeight="1" x14ac:dyDescent="0.3">
      <c r="J22925" s="33"/>
    </row>
    <row r="22926" spans="10:10" ht="15" customHeight="1" x14ac:dyDescent="0.3">
      <c r="J22926" s="33"/>
    </row>
    <row r="22927" spans="10:10" ht="15" customHeight="1" x14ac:dyDescent="0.3">
      <c r="J22927" s="33"/>
    </row>
    <row r="22928" spans="10:10" ht="15" customHeight="1" x14ac:dyDescent="0.3">
      <c r="J22928" s="33"/>
    </row>
    <row r="22929" spans="10:10" ht="15" customHeight="1" x14ac:dyDescent="0.3">
      <c r="J22929" s="33"/>
    </row>
    <row r="22930" spans="10:10" ht="15" customHeight="1" x14ac:dyDescent="0.3">
      <c r="J22930" s="33"/>
    </row>
    <row r="22931" spans="10:10" ht="15" customHeight="1" x14ac:dyDescent="0.3">
      <c r="J22931" s="33"/>
    </row>
    <row r="22932" spans="10:10" ht="15" customHeight="1" x14ac:dyDescent="0.3">
      <c r="J22932" s="33"/>
    </row>
    <row r="22933" spans="10:10" ht="15" customHeight="1" x14ac:dyDescent="0.3">
      <c r="J22933" s="33"/>
    </row>
    <row r="22934" spans="10:10" ht="15" customHeight="1" x14ac:dyDescent="0.3">
      <c r="J22934" s="33"/>
    </row>
    <row r="22935" spans="10:10" ht="15" customHeight="1" x14ac:dyDescent="0.3">
      <c r="J22935" s="33"/>
    </row>
    <row r="22936" spans="10:10" ht="15" customHeight="1" x14ac:dyDescent="0.3">
      <c r="J22936" s="33"/>
    </row>
    <row r="22937" spans="10:10" ht="15" customHeight="1" x14ac:dyDescent="0.3">
      <c r="J22937" s="33"/>
    </row>
    <row r="22938" spans="10:10" ht="15" customHeight="1" x14ac:dyDescent="0.3">
      <c r="J22938" s="33"/>
    </row>
    <row r="22939" spans="10:10" ht="15" customHeight="1" x14ac:dyDescent="0.3">
      <c r="J22939" s="33"/>
    </row>
    <row r="22940" spans="10:10" ht="15" customHeight="1" x14ac:dyDescent="0.3">
      <c r="J22940" s="33"/>
    </row>
    <row r="22941" spans="10:10" ht="15" customHeight="1" x14ac:dyDescent="0.3">
      <c r="J22941" s="33"/>
    </row>
    <row r="22942" spans="10:10" ht="15" customHeight="1" x14ac:dyDescent="0.3">
      <c r="J22942" s="33"/>
    </row>
    <row r="22943" spans="10:10" ht="15" customHeight="1" x14ac:dyDescent="0.3">
      <c r="J22943" s="33"/>
    </row>
    <row r="22944" spans="10:10" ht="15" customHeight="1" x14ac:dyDescent="0.3">
      <c r="J22944" s="33"/>
    </row>
    <row r="22945" spans="10:10" ht="15" customHeight="1" x14ac:dyDescent="0.3">
      <c r="J22945" s="33"/>
    </row>
    <row r="22946" spans="10:10" ht="15" customHeight="1" x14ac:dyDescent="0.3">
      <c r="J22946" s="33"/>
    </row>
    <row r="22947" spans="10:10" ht="15" customHeight="1" x14ac:dyDescent="0.3">
      <c r="J22947" s="33"/>
    </row>
    <row r="22948" spans="10:10" ht="15" customHeight="1" x14ac:dyDescent="0.3">
      <c r="J22948" s="33"/>
    </row>
    <row r="22949" spans="10:10" ht="15" customHeight="1" x14ac:dyDescent="0.3">
      <c r="J22949" s="33"/>
    </row>
    <row r="22950" spans="10:10" ht="15" customHeight="1" x14ac:dyDescent="0.3">
      <c r="J22950" s="33"/>
    </row>
    <row r="22951" spans="10:10" ht="15" customHeight="1" x14ac:dyDescent="0.3">
      <c r="J22951" s="33"/>
    </row>
    <row r="22952" spans="10:10" ht="15" customHeight="1" x14ac:dyDescent="0.3">
      <c r="J22952" s="33"/>
    </row>
    <row r="22953" spans="10:10" ht="15" customHeight="1" x14ac:dyDescent="0.3">
      <c r="J22953" s="33"/>
    </row>
    <row r="22954" spans="10:10" ht="15" customHeight="1" x14ac:dyDescent="0.3">
      <c r="J22954" s="33"/>
    </row>
    <row r="22955" spans="10:10" ht="15" customHeight="1" x14ac:dyDescent="0.3">
      <c r="J22955" s="33"/>
    </row>
    <row r="22956" spans="10:10" ht="15" customHeight="1" x14ac:dyDescent="0.3">
      <c r="J22956" s="33"/>
    </row>
    <row r="22957" spans="10:10" ht="15" customHeight="1" x14ac:dyDescent="0.3">
      <c r="J22957" s="33"/>
    </row>
    <row r="22958" spans="10:10" ht="15" customHeight="1" x14ac:dyDescent="0.3">
      <c r="J22958" s="33"/>
    </row>
    <row r="22959" spans="10:10" ht="15" customHeight="1" x14ac:dyDescent="0.3">
      <c r="J22959" s="33"/>
    </row>
    <row r="22960" spans="10:10" ht="15" customHeight="1" x14ac:dyDescent="0.3">
      <c r="J22960" s="33"/>
    </row>
    <row r="22961" spans="10:10" ht="15" customHeight="1" x14ac:dyDescent="0.3">
      <c r="J22961" s="33"/>
    </row>
    <row r="22962" spans="10:10" ht="15" customHeight="1" x14ac:dyDescent="0.3">
      <c r="J22962" s="33"/>
    </row>
    <row r="22963" spans="10:10" ht="15" customHeight="1" x14ac:dyDescent="0.3">
      <c r="J22963" s="33"/>
    </row>
    <row r="22964" spans="10:10" ht="15" customHeight="1" x14ac:dyDescent="0.3">
      <c r="J22964" s="33"/>
    </row>
    <row r="22965" spans="10:10" ht="15" customHeight="1" x14ac:dyDescent="0.3">
      <c r="J22965" s="33"/>
    </row>
    <row r="22966" spans="10:10" ht="15" customHeight="1" x14ac:dyDescent="0.3">
      <c r="J22966" s="33"/>
    </row>
    <row r="22967" spans="10:10" ht="15" customHeight="1" x14ac:dyDescent="0.3">
      <c r="J22967" s="33"/>
    </row>
    <row r="22968" spans="10:10" ht="15" customHeight="1" x14ac:dyDescent="0.3">
      <c r="J22968" s="33"/>
    </row>
    <row r="22969" spans="10:10" ht="15" customHeight="1" x14ac:dyDescent="0.3">
      <c r="J22969" s="33"/>
    </row>
    <row r="22970" spans="10:10" ht="15" customHeight="1" x14ac:dyDescent="0.3">
      <c r="J22970" s="33"/>
    </row>
    <row r="22971" spans="10:10" ht="15" customHeight="1" x14ac:dyDescent="0.3">
      <c r="J22971" s="33"/>
    </row>
    <row r="22972" spans="10:10" ht="15" customHeight="1" x14ac:dyDescent="0.3">
      <c r="J22972" s="33"/>
    </row>
    <row r="22973" spans="10:10" ht="15" customHeight="1" x14ac:dyDescent="0.3">
      <c r="J22973" s="33"/>
    </row>
    <row r="22974" spans="10:10" ht="15" customHeight="1" x14ac:dyDescent="0.3">
      <c r="J22974" s="33"/>
    </row>
    <row r="22975" spans="10:10" ht="15" customHeight="1" x14ac:dyDescent="0.3">
      <c r="J22975" s="33"/>
    </row>
    <row r="22976" spans="10:10" ht="15" customHeight="1" x14ac:dyDescent="0.3">
      <c r="J22976" s="33"/>
    </row>
    <row r="22977" spans="10:10" ht="15" customHeight="1" x14ac:dyDescent="0.3">
      <c r="J22977" s="33"/>
    </row>
    <row r="22978" spans="10:10" ht="15" customHeight="1" x14ac:dyDescent="0.3">
      <c r="J22978" s="33"/>
    </row>
    <row r="22979" spans="10:10" ht="15" customHeight="1" x14ac:dyDescent="0.3">
      <c r="J22979" s="33"/>
    </row>
    <row r="22980" spans="10:10" ht="15" customHeight="1" x14ac:dyDescent="0.3">
      <c r="J22980" s="33"/>
    </row>
    <row r="22981" spans="10:10" ht="15" customHeight="1" x14ac:dyDescent="0.3">
      <c r="J22981" s="33"/>
    </row>
    <row r="22982" spans="10:10" ht="15" customHeight="1" x14ac:dyDescent="0.3">
      <c r="J22982" s="33"/>
    </row>
    <row r="22983" spans="10:10" ht="15" customHeight="1" x14ac:dyDescent="0.3">
      <c r="J22983" s="33"/>
    </row>
    <row r="22984" spans="10:10" ht="15" customHeight="1" x14ac:dyDescent="0.3">
      <c r="J22984" s="33"/>
    </row>
    <row r="22985" spans="10:10" ht="15" customHeight="1" x14ac:dyDescent="0.3">
      <c r="J22985" s="33"/>
    </row>
    <row r="22986" spans="10:10" ht="15" customHeight="1" x14ac:dyDescent="0.3">
      <c r="J22986" s="33"/>
    </row>
    <row r="22987" spans="10:10" ht="15" customHeight="1" x14ac:dyDescent="0.3">
      <c r="J22987" s="33"/>
    </row>
    <row r="22988" spans="10:10" ht="15" customHeight="1" x14ac:dyDescent="0.3">
      <c r="J22988" s="33"/>
    </row>
    <row r="22989" spans="10:10" ht="15" customHeight="1" x14ac:dyDescent="0.3">
      <c r="J22989" s="33"/>
    </row>
    <row r="22990" spans="10:10" ht="15" customHeight="1" x14ac:dyDescent="0.3">
      <c r="J22990" s="33"/>
    </row>
    <row r="22991" spans="10:10" ht="15" customHeight="1" x14ac:dyDescent="0.3">
      <c r="J22991" s="33"/>
    </row>
    <row r="22992" spans="10:10" ht="15" customHeight="1" x14ac:dyDescent="0.3">
      <c r="J22992" s="33"/>
    </row>
    <row r="22993" spans="10:10" ht="15" customHeight="1" x14ac:dyDescent="0.3">
      <c r="J22993" s="33"/>
    </row>
    <row r="22994" spans="10:10" ht="15" customHeight="1" x14ac:dyDescent="0.3">
      <c r="J22994" s="33"/>
    </row>
    <row r="22995" spans="10:10" ht="15" customHeight="1" x14ac:dyDescent="0.3">
      <c r="J22995" s="33"/>
    </row>
    <row r="22996" spans="10:10" ht="15" customHeight="1" x14ac:dyDescent="0.3">
      <c r="J22996" s="33"/>
    </row>
    <row r="22997" spans="10:10" ht="15" customHeight="1" x14ac:dyDescent="0.3">
      <c r="J22997" s="33"/>
    </row>
    <row r="22998" spans="10:10" ht="15" customHeight="1" x14ac:dyDescent="0.3">
      <c r="J22998" s="33"/>
    </row>
    <row r="22999" spans="10:10" ht="15" customHeight="1" x14ac:dyDescent="0.3">
      <c r="J22999" s="33"/>
    </row>
    <row r="23000" spans="10:10" ht="15" customHeight="1" x14ac:dyDescent="0.3">
      <c r="J23000" s="33"/>
    </row>
    <row r="23001" spans="10:10" ht="15" customHeight="1" x14ac:dyDescent="0.3">
      <c r="J23001" s="33"/>
    </row>
    <row r="23002" spans="10:10" ht="15" customHeight="1" x14ac:dyDescent="0.3">
      <c r="J23002" s="33"/>
    </row>
    <row r="23003" spans="10:10" ht="15" customHeight="1" x14ac:dyDescent="0.3">
      <c r="J23003" s="33"/>
    </row>
    <row r="23004" spans="10:10" ht="15" customHeight="1" x14ac:dyDescent="0.3">
      <c r="J23004" s="33"/>
    </row>
    <row r="23005" spans="10:10" ht="15" customHeight="1" x14ac:dyDescent="0.3">
      <c r="J23005" s="33"/>
    </row>
    <row r="23006" spans="10:10" ht="15" customHeight="1" x14ac:dyDescent="0.3">
      <c r="J23006" s="33"/>
    </row>
    <row r="23007" spans="10:10" ht="15" customHeight="1" x14ac:dyDescent="0.3">
      <c r="J23007" s="33"/>
    </row>
    <row r="23008" spans="10:10" ht="15" customHeight="1" x14ac:dyDescent="0.3">
      <c r="J23008" s="33"/>
    </row>
    <row r="23009" spans="10:10" ht="15" customHeight="1" x14ac:dyDescent="0.3">
      <c r="J23009" s="33"/>
    </row>
    <row r="23010" spans="10:10" ht="15" customHeight="1" x14ac:dyDescent="0.3">
      <c r="J23010" s="33"/>
    </row>
    <row r="23011" spans="10:10" ht="15" customHeight="1" x14ac:dyDescent="0.3">
      <c r="J23011" s="33"/>
    </row>
    <row r="23012" spans="10:10" ht="15" customHeight="1" x14ac:dyDescent="0.3">
      <c r="J23012" s="33"/>
    </row>
    <row r="23013" spans="10:10" ht="15" customHeight="1" x14ac:dyDescent="0.3">
      <c r="J23013" s="33"/>
    </row>
    <row r="23014" spans="10:10" ht="15" customHeight="1" x14ac:dyDescent="0.3">
      <c r="J23014" s="33"/>
    </row>
    <row r="23015" spans="10:10" ht="15" customHeight="1" x14ac:dyDescent="0.3">
      <c r="J23015" s="33"/>
    </row>
    <row r="23016" spans="10:10" ht="15" customHeight="1" x14ac:dyDescent="0.3">
      <c r="J23016" s="33"/>
    </row>
    <row r="23017" spans="10:10" ht="15" customHeight="1" x14ac:dyDescent="0.3">
      <c r="J23017" s="33"/>
    </row>
    <row r="23018" spans="10:10" ht="15" customHeight="1" x14ac:dyDescent="0.3">
      <c r="J23018" s="33"/>
    </row>
    <row r="23019" spans="10:10" ht="15" customHeight="1" x14ac:dyDescent="0.3">
      <c r="J23019" s="33"/>
    </row>
    <row r="23020" spans="10:10" ht="15" customHeight="1" x14ac:dyDescent="0.3">
      <c r="J23020" s="33"/>
    </row>
    <row r="23021" spans="10:10" ht="15" customHeight="1" x14ac:dyDescent="0.3">
      <c r="J23021" s="33"/>
    </row>
    <row r="23022" spans="10:10" ht="15" customHeight="1" x14ac:dyDescent="0.3">
      <c r="J23022" s="33"/>
    </row>
    <row r="23023" spans="10:10" ht="15" customHeight="1" x14ac:dyDescent="0.3">
      <c r="J23023" s="33"/>
    </row>
    <row r="23024" spans="10:10" ht="15" customHeight="1" x14ac:dyDescent="0.3">
      <c r="J23024" s="33"/>
    </row>
    <row r="23025" spans="10:10" ht="15" customHeight="1" x14ac:dyDescent="0.3">
      <c r="J23025" s="33"/>
    </row>
    <row r="23026" spans="10:10" ht="15" customHeight="1" x14ac:dyDescent="0.3">
      <c r="J23026" s="33"/>
    </row>
    <row r="23027" spans="10:10" ht="15" customHeight="1" x14ac:dyDescent="0.3">
      <c r="J23027" s="33"/>
    </row>
    <row r="23028" spans="10:10" ht="15" customHeight="1" x14ac:dyDescent="0.3">
      <c r="J23028" s="33"/>
    </row>
    <row r="23029" spans="10:10" ht="15" customHeight="1" x14ac:dyDescent="0.3">
      <c r="J23029" s="33"/>
    </row>
    <row r="23030" spans="10:10" ht="15" customHeight="1" x14ac:dyDescent="0.3">
      <c r="J23030" s="33"/>
    </row>
    <row r="23031" spans="10:10" ht="15" customHeight="1" x14ac:dyDescent="0.3">
      <c r="J23031" s="33"/>
    </row>
    <row r="23032" spans="10:10" ht="15" customHeight="1" x14ac:dyDescent="0.3">
      <c r="J23032" s="33"/>
    </row>
    <row r="23033" spans="10:10" ht="15" customHeight="1" x14ac:dyDescent="0.3">
      <c r="J23033" s="33"/>
    </row>
    <row r="23034" spans="10:10" ht="15" customHeight="1" x14ac:dyDescent="0.3">
      <c r="J23034" s="33"/>
    </row>
    <row r="23035" spans="10:10" ht="15" customHeight="1" x14ac:dyDescent="0.3">
      <c r="J23035" s="33"/>
    </row>
    <row r="23036" spans="10:10" ht="15" customHeight="1" x14ac:dyDescent="0.3">
      <c r="J23036" s="33"/>
    </row>
    <row r="23037" spans="10:10" ht="15" customHeight="1" x14ac:dyDescent="0.3">
      <c r="J23037" s="33"/>
    </row>
    <row r="23038" spans="10:10" ht="15" customHeight="1" x14ac:dyDescent="0.3">
      <c r="J23038" s="33"/>
    </row>
    <row r="23039" spans="10:10" ht="15" customHeight="1" x14ac:dyDescent="0.3">
      <c r="J23039" s="33"/>
    </row>
    <row r="23040" spans="10:10" ht="15" customHeight="1" x14ac:dyDescent="0.3">
      <c r="J23040" s="33"/>
    </row>
    <row r="23041" spans="10:10" ht="15" customHeight="1" x14ac:dyDescent="0.3">
      <c r="J23041" s="33"/>
    </row>
    <row r="23042" spans="10:10" ht="15" customHeight="1" x14ac:dyDescent="0.3">
      <c r="J23042" s="33"/>
    </row>
    <row r="23043" spans="10:10" ht="15" customHeight="1" x14ac:dyDescent="0.3">
      <c r="J23043" s="33"/>
    </row>
    <row r="23044" spans="10:10" ht="15" customHeight="1" x14ac:dyDescent="0.3">
      <c r="J23044" s="33"/>
    </row>
    <row r="23045" spans="10:10" ht="15" customHeight="1" x14ac:dyDescent="0.3">
      <c r="J23045" s="33"/>
    </row>
    <row r="23046" spans="10:10" ht="15" customHeight="1" x14ac:dyDescent="0.3">
      <c r="J23046" s="33"/>
    </row>
    <row r="23047" spans="10:10" ht="15" customHeight="1" x14ac:dyDescent="0.3">
      <c r="J23047" s="33"/>
    </row>
    <row r="23048" spans="10:10" ht="15" customHeight="1" x14ac:dyDescent="0.3">
      <c r="J23048" s="33"/>
    </row>
    <row r="23049" spans="10:10" ht="15" customHeight="1" x14ac:dyDescent="0.3">
      <c r="J23049" s="33"/>
    </row>
    <row r="23050" spans="10:10" ht="15" customHeight="1" x14ac:dyDescent="0.3">
      <c r="J23050" s="33"/>
    </row>
    <row r="23051" spans="10:10" ht="15" customHeight="1" x14ac:dyDescent="0.3">
      <c r="J23051" s="33"/>
    </row>
    <row r="23052" spans="10:10" ht="15" customHeight="1" x14ac:dyDescent="0.3">
      <c r="J23052" s="33"/>
    </row>
    <row r="23053" spans="10:10" ht="15" customHeight="1" x14ac:dyDescent="0.3">
      <c r="J23053" s="33"/>
    </row>
    <row r="23054" spans="10:10" ht="15" customHeight="1" x14ac:dyDescent="0.3">
      <c r="J23054" s="33"/>
    </row>
    <row r="23055" spans="10:10" ht="15" customHeight="1" x14ac:dyDescent="0.3">
      <c r="J23055" s="33"/>
    </row>
    <row r="23056" spans="10:10" ht="15" customHeight="1" x14ac:dyDescent="0.3">
      <c r="J23056" s="33"/>
    </row>
    <row r="23057" spans="10:10" ht="15" customHeight="1" x14ac:dyDescent="0.3">
      <c r="J23057" s="33"/>
    </row>
    <row r="23058" spans="10:10" ht="15" customHeight="1" x14ac:dyDescent="0.3">
      <c r="J23058" s="33"/>
    </row>
    <row r="23059" spans="10:10" ht="15" customHeight="1" x14ac:dyDescent="0.3">
      <c r="J23059" s="33"/>
    </row>
    <row r="23060" spans="10:10" ht="15" customHeight="1" x14ac:dyDescent="0.3">
      <c r="J23060" s="33"/>
    </row>
    <row r="23061" spans="10:10" ht="15" customHeight="1" x14ac:dyDescent="0.3">
      <c r="J23061" s="33"/>
    </row>
    <row r="23062" spans="10:10" ht="15" customHeight="1" x14ac:dyDescent="0.3">
      <c r="J23062" s="33"/>
    </row>
    <row r="23063" spans="10:10" ht="15" customHeight="1" x14ac:dyDescent="0.3">
      <c r="J23063" s="33"/>
    </row>
    <row r="23064" spans="10:10" ht="15" customHeight="1" x14ac:dyDescent="0.3">
      <c r="J23064" s="33"/>
    </row>
    <row r="23065" spans="10:10" ht="15" customHeight="1" x14ac:dyDescent="0.3">
      <c r="J23065" s="33"/>
    </row>
    <row r="23066" spans="10:10" ht="15" customHeight="1" x14ac:dyDescent="0.3">
      <c r="J23066" s="33"/>
    </row>
    <row r="23067" spans="10:10" ht="15" customHeight="1" x14ac:dyDescent="0.3">
      <c r="J23067" s="33"/>
    </row>
    <row r="23068" spans="10:10" ht="15" customHeight="1" x14ac:dyDescent="0.3">
      <c r="J23068" s="33"/>
    </row>
    <row r="23069" spans="10:10" ht="15" customHeight="1" x14ac:dyDescent="0.3">
      <c r="J23069" s="33"/>
    </row>
    <row r="23070" spans="10:10" ht="15" customHeight="1" x14ac:dyDescent="0.3">
      <c r="J23070" s="33"/>
    </row>
    <row r="23071" spans="10:10" ht="15" customHeight="1" x14ac:dyDescent="0.3">
      <c r="J23071" s="33"/>
    </row>
    <row r="23072" spans="10:10" ht="15" customHeight="1" x14ac:dyDescent="0.3">
      <c r="J23072" s="33"/>
    </row>
    <row r="23073" spans="10:10" ht="15" customHeight="1" x14ac:dyDescent="0.3">
      <c r="J23073" s="33"/>
    </row>
    <row r="23074" spans="10:10" ht="15" customHeight="1" x14ac:dyDescent="0.3">
      <c r="J23074" s="33"/>
    </row>
    <row r="23075" spans="10:10" ht="15" customHeight="1" x14ac:dyDescent="0.3">
      <c r="J23075" s="33"/>
    </row>
    <row r="23076" spans="10:10" ht="15" customHeight="1" x14ac:dyDescent="0.3">
      <c r="J23076" s="33"/>
    </row>
    <row r="23077" spans="10:10" ht="15" customHeight="1" x14ac:dyDescent="0.3">
      <c r="J23077" s="33"/>
    </row>
    <row r="23078" spans="10:10" ht="15" customHeight="1" x14ac:dyDescent="0.3">
      <c r="J23078" s="33"/>
    </row>
    <row r="23079" spans="10:10" ht="15" customHeight="1" x14ac:dyDescent="0.3">
      <c r="J23079" s="33"/>
    </row>
    <row r="23080" spans="10:10" ht="15" customHeight="1" x14ac:dyDescent="0.3">
      <c r="J23080" s="33"/>
    </row>
    <row r="23081" spans="10:10" ht="15" customHeight="1" x14ac:dyDescent="0.3">
      <c r="J23081" s="33"/>
    </row>
    <row r="23082" spans="10:10" ht="15" customHeight="1" x14ac:dyDescent="0.3">
      <c r="J23082" s="33"/>
    </row>
    <row r="23083" spans="10:10" ht="15" customHeight="1" x14ac:dyDescent="0.3">
      <c r="J23083" s="33"/>
    </row>
    <row r="23084" spans="10:10" ht="15" customHeight="1" x14ac:dyDescent="0.3">
      <c r="J23084" s="33"/>
    </row>
    <row r="23085" spans="10:10" ht="15" customHeight="1" x14ac:dyDescent="0.3">
      <c r="J23085" s="33"/>
    </row>
    <row r="23086" spans="10:10" ht="15" customHeight="1" x14ac:dyDescent="0.3">
      <c r="J23086" s="33"/>
    </row>
    <row r="23087" spans="10:10" ht="15" customHeight="1" x14ac:dyDescent="0.3">
      <c r="J23087" s="33"/>
    </row>
    <row r="23088" spans="10:10" ht="15" customHeight="1" x14ac:dyDescent="0.3">
      <c r="J23088" s="33"/>
    </row>
    <row r="23089" spans="10:10" ht="15" customHeight="1" x14ac:dyDescent="0.3">
      <c r="J23089" s="33"/>
    </row>
    <row r="23090" spans="10:10" ht="15" customHeight="1" x14ac:dyDescent="0.3">
      <c r="J23090" s="33"/>
    </row>
    <row r="23091" spans="10:10" ht="15" customHeight="1" x14ac:dyDescent="0.3">
      <c r="J23091" s="33"/>
    </row>
    <row r="23092" spans="10:10" ht="15" customHeight="1" x14ac:dyDescent="0.3">
      <c r="J23092" s="33"/>
    </row>
    <row r="23093" spans="10:10" ht="15" customHeight="1" x14ac:dyDescent="0.3">
      <c r="J23093" s="33"/>
    </row>
    <row r="23094" spans="10:10" ht="15" customHeight="1" x14ac:dyDescent="0.3">
      <c r="J23094" s="33"/>
    </row>
    <row r="23095" spans="10:10" ht="15" customHeight="1" x14ac:dyDescent="0.3">
      <c r="J23095" s="33"/>
    </row>
    <row r="23096" spans="10:10" ht="15" customHeight="1" x14ac:dyDescent="0.3">
      <c r="J23096" s="33"/>
    </row>
    <row r="23097" spans="10:10" ht="15" customHeight="1" x14ac:dyDescent="0.3">
      <c r="J23097" s="33"/>
    </row>
    <row r="23098" spans="10:10" ht="15" customHeight="1" x14ac:dyDescent="0.3">
      <c r="J23098" s="33"/>
    </row>
    <row r="23099" spans="10:10" ht="15" customHeight="1" x14ac:dyDescent="0.3">
      <c r="J23099" s="33"/>
    </row>
    <row r="23100" spans="10:10" ht="15" customHeight="1" x14ac:dyDescent="0.3">
      <c r="J23100" s="33"/>
    </row>
    <row r="23101" spans="10:10" ht="15" customHeight="1" x14ac:dyDescent="0.3">
      <c r="J23101" s="33"/>
    </row>
    <row r="23102" spans="10:10" ht="15" customHeight="1" x14ac:dyDescent="0.3">
      <c r="J23102" s="33"/>
    </row>
    <row r="23103" spans="10:10" ht="15" customHeight="1" x14ac:dyDescent="0.3">
      <c r="J23103" s="33"/>
    </row>
    <row r="23104" spans="10:10" ht="15" customHeight="1" x14ac:dyDescent="0.3">
      <c r="J23104" s="33"/>
    </row>
    <row r="23105" spans="10:10" ht="15" customHeight="1" x14ac:dyDescent="0.3">
      <c r="J23105" s="33"/>
    </row>
    <row r="23106" spans="10:10" ht="15" customHeight="1" x14ac:dyDescent="0.3">
      <c r="J23106" s="33"/>
    </row>
    <row r="23107" spans="10:10" ht="15" customHeight="1" x14ac:dyDescent="0.3">
      <c r="J23107" s="33"/>
    </row>
    <row r="23108" spans="10:10" ht="15" customHeight="1" x14ac:dyDescent="0.3">
      <c r="J23108" s="33"/>
    </row>
    <row r="23109" spans="10:10" ht="15" customHeight="1" x14ac:dyDescent="0.3">
      <c r="J23109" s="33"/>
    </row>
    <row r="23110" spans="10:10" ht="15" customHeight="1" x14ac:dyDescent="0.3">
      <c r="J23110" s="33"/>
    </row>
    <row r="23111" spans="10:10" ht="15" customHeight="1" x14ac:dyDescent="0.3">
      <c r="J23111" s="33"/>
    </row>
    <row r="23112" spans="10:10" ht="15" customHeight="1" x14ac:dyDescent="0.3">
      <c r="J23112" s="33"/>
    </row>
    <row r="23113" spans="10:10" ht="15" customHeight="1" x14ac:dyDescent="0.3">
      <c r="J23113" s="33"/>
    </row>
    <row r="23114" spans="10:10" ht="15" customHeight="1" x14ac:dyDescent="0.3">
      <c r="J23114" s="33"/>
    </row>
    <row r="23115" spans="10:10" ht="15" customHeight="1" x14ac:dyDescent="0.3">
      <c r="J23115" s="33"/>
    </row>
    <row r="23116" spans="10:10" ht="15" customHeight="1" x14ac:dyDescent="0.3">
      <c r="J23116" s="33"/>
    </row>
    <row r="23117" spans="10:10" ht="15" customHeight="1" x14ac:dyDescent="0.3">
      <c r="J23117" s="33"/>
    </row>
    <row r="23118" spans="10:10" ht="15" customHeight="1" x14ac:dyDescent="0.3">
      <c r="J23118" s="33"/>
    </row>
    <row r="23119" spans="10:10" ht="15" customHeight="1" x14ac:dyDescent="0.3">
      <c r="J23119" s="33"/>
    </row>
    <row r="23120" spans="10:10" ht="15" customHeight="1" x14ac:dyDescent="0.3">
      <c r="J23120" s="33"/>
    </row>
    <row r="23121" spans="10:10" ht="15" customHeight="1" x14ac:dyDescent="0.3">
      <c r="J23121" s="33"/>
    </row>
    <row r="23122" spans="10:10" ht="15" customHeight="1" x14ac:dyDescent="0.3">
      <c r="J23122" s="33"/>
    </row>
    <row r="23123" spans="10:10" ht="15" customHeight="1" x14ac:dyDescent="0.3">
      <c r="J23123" s="33"/>
    </row>
    <row r="23124" spans="10:10" ht="15" customHeight="1" x14ac:dyDescent="0.3">
      <c r="J23124" s="33"/>
    </row>
    <row r="23125" spans="10:10" ht="15" customHeight="1" x14ac:dyDescent="0.3">
      <c r="J23125" s="33"/>
    </row>
    <row r="23126" spans="10:10" ht="15" customHeight="1" x14ac:dyDescent="0.3">
      <c r="J23126" s="33"/>
    </row>
    <row r="23127" spans="10:10" ht="15" customHeight="1" x14ac:dyDescent="0.3">
      <c r="J23127" s="33"/>
    </row>
    <row r="23128" spans="10:10" ht="15" customHeight="1" x14ac:dyDescent="0.3">
      <c r="J23128" s="33"/>
    </row>
    <row r="23129" spans="10:10" ht="15" customHeight="1" x14ac:dyDescent="0.3">
      <c r="J23129" s="33"/>
    </row>
    <row r="23130" spans="10:10" ht="15" customHeight="1" x14ac:dyDescent="0.3">
      <c r="J23130" s="33"/>
    </row>
    <row r="23131" spans="10:10" ht="15" customHeight="1" x14ac:dyDescent="0.3">
      <c r="J23131" s="33"/>
    </row>
    <row r="23132" spans="10:10" ht="15" customHeight="1" x14ac:dyDescent="0.3">
      <c r="J23132" s="33"/>
    </row>
    <row r="23133" spans="10:10" ht="15" customHeight="1" x14ac:dyDescent="0.3">
      <c r="J23133" s="33"/>
    </row>
    <row r="23134" spans="10:10" ht="15" customHeight="1" x14ac:dyDescent="0.3">
      <c r="J23134" s="33"/>
    </row>
    <row r="23135" spans="10:10" ht="15" customHeight="1" x14ac:dyDescent="0.3">
      <c r="J23135" s="33"/>
    </row>
    <row r="23136" spans="10:10" ht="15" customHeight="1" x14ac:dyDescent="0.3">
      <c r="J23136" s="33"/>
    </row>
    <row r="23137" spans="10:10" ht="15" customHeight="1" x14ac:dyDescent="0.3">
      <c r="J23137" s="33"/>
    </row>
    <row r="23138" spans="10:10" ht="15" customHeight="1" x14ac:dyDescent="0.3">
      <c r="J23138" s="33"/>
    </row>
    <row r="23139" spans="10:10" ht="15" customHeight="1" x14ac:dyDescent="0.3">
      <c r="J23139" s="33"/>
    </row>
    <row r="23140" spans="10:10" ht="15" customHeight="1" x14ac:dyDescent="0.3">
      <c r="J23140" s="33"/>
    </row>
    <row r="23141" spans="10:10" ht="15" customHeight="1" x14ac:dyDescent="0.3">
      <c r="J23141" s="33"/>
    </row>
    <row r="23142" spans="10:10" ht="15" customHeight="1" x14ac:dyDescent="0.3">
      <c r="J23142" s="33"/>
    </row>
    <row r="23143" spans="10:10" ht="15" customHeight="1" x14ac:dyDescent="0.3">
      <c r="J23143" s="33"/>
    </row>
    <row r="23144" spans="10:10" ht="15" customHeight="1" x14ac:dyDescent="0.3">
      <c r="J23144" s="33"/>
    </row>
    <row r="23145" spans="10:10" ht="15" customHeight="1" x14ac:dyDescent="0.3">
      <c r="J23145" s="33"/>
    </row>
    <row r="23146" spans="10:10" ht="15" customHeight="1" x14ac:dyDescent="0.3">
      <c r="J23146" s="33"/>
    </row>
    <row r="23147" spans="10:10" ht="15" customHeight="1" x14ac:dyDescent="0.3">
      <c r="J23147" s="33"/>
    </row>
    <row r="23148" spans="10:10" ht="15" customHeight="1" x14ac:dyDescent="0.3">
      <c r="J23148" s="33"/>
    </row>
    <row r="23149" spans="10:10" ht="15" customHeight="1" x14ac:dyDescent="0.3">
      <c r="J23149" s="33"/>
    </row>
    <row r="23150" spans="10:10" ht="15" customHeight="1" x14ac:dyDescent="0.3">
      <c r="J23150" s="33"/>
    </row>
    <row r="23151" spans="10:10" ht="15" customHeight="1" x14ac:dyDescent="0.3">
      <c r="J23151" s="33"/>
    </row>
    <row r="23152" spans="10:10" ht="15" customHeight="1" x14ac:dyDescent="0.3">
      <c r="J23152" s="33"/>
    </row>
    <row r="23153" spans="10:10" ht="15" customHeight="1" x14ac:dyDescent="0.3">
      <c r="J23153" s="33"/>
    </row>
    <row r="23154" spans="10:10" ht="15" customHeight="1" x14ac:dyDescent="0.3">
      <c r="J23154" s="33"/>
    </row>
    <row r="23155" spans="10:10" ht="15" customHeight="1" x14ac:dyDescent="0.3">
      <c r="J23155" s="33"/>
    </row>
    <row r="23156" spans="10:10" ht="15" customHeight="1" x14ac:dyDescent="0.3">
      <c r="J23156" s="33"/>
    </row>
    <row r="23157" spans="10:10" ht="15" customHeight="1" x14ac:dyDescent="0.3">
      <c r="J23157" s="33"/>
    </row>
    <row r="23158" spans="10:10" ht="15" customHeight="1" x14ac:dyDescent="0.3">
      <c r="J23158" s="33"/>
    </row>
    <row r="23159" spans="10:10" ht="15" customHeight="1" x14ac:dyDescent="0.3">
      <c r="J23159" s="33"/>
    </row>
    <row r="23160" spans="10:10" ht="15" customHeight="1" x14ac:dyDescent="0.3">
      <c r="J23160" s="33"/>
    </row>
    <row r="23161" spans="10:10" ht="15" customHeight="1" x14ac:dyDescent="0.3">
      <c r="J23161" s="33"/>
    </row>
    <row r="23162" spans="10:10" ht="15" customHeight="1" x14ac:dyDescent="0.3">
      <c r="J23162" s="33"/>
    </row>
    <row r="23163" spans="10:10" ht="15" customHeight="1" x14ac:dyDescent="0.3">
      <c r="J23163" s="33"/>
    </row>
    <row r="23164" spans="10:10" ht="15" customHeight="1" x14ac:dyDescent="0.3">
      <c r="J23164" s="33"/>
    </row>
    <row r="23165" spans="10:10" ht="15" customHeight="1" x14ac:dyDescent="0.3">
      <c r="J23165" s="33"/>
    </row>
    <row r="23166" spans="10:10" ht="15" customHeight="1" x14ac:dyDescent="0.3">
      <c r="J23166" s="33"/>
    </row>
    <row r="23167" spans="10:10" ht="15" customHeight="1" x14ac:dyDescent="0.3">
      <c r="J23167" s="33"/>
    </row>
    <row r="23168" spans="10:10" ht="15" customHeight="1" x14ac:dyDescent="0.3">
      <c r="J23168" s="33"/>
    </row>
    <row r="23169" spans="10:10" ht="15" customHeight="1" x14ac:dyDescent="0.3">
      <c r="J23169" s="33"/>
    </row>
    <row r="23170" spans="10:10" ht="15" customHeight="1" x14ac:dyDescent="0.3">
      <c r="J23170" s="33"/>
    </row>
    <row r="23171" spans="10:10" ht="15" customHeight="1" x14ac:dyDescent="0.3">
      <c r="J23171" s="33"/>
    </row>
    <row r="23172" spans="10:10" ht="15" customHeight="1" x14ac:dyDescent="0.3">
      <c r="J23172" s="33"/>
    </row>
    <row r="23173" spans="10:10" ht="15" customHeight="1" x14ac:dyDescent="0.3">
      <c r="J23173" s="33"/>
    </row>
    <row r="23174" spans="10:10" ht="15" customHeight="1" x14ac:dyDescent="0.3">
      <c r="J23174" s="33"/>
    </row>
    <row r="23175" spans="10:10" ht="15" customHeight="1" x14ac:dyDescent="0.3">
      <c r="J23175" s="33"/>
    </row>
    <row r="23176" spans="10:10" ht="15" customHeight="1" x14ac:dyDescent="0.3">
      <c r="J23176" s="33"/>
    </row>
    <row r="23177" spans="10:10" ht="15" customHeight="1" x14ac:dyDescent="0.3">
      <c r="J23177" s="33"/>
    </row>
    <row r="23178" spans="10:10" ht="15" customHeight="1" x14ac:dyDescent="0.3">
      <c r="J23178" s="33"/>
    </row>
    <row r="23179" spans="10:10" ht="15" customHeight="1" x14ac:dyDescent="0.3">
      <c r="J23179" s="33"/>
    </row>
    <row r="23180" spans="10:10" ht="15" customHeight="1" x14ac:dyDescent="0.3">
      <c r="J23180" s="33"/>
    </row>
    <row r="23181" spans="10:10" ht="15" customHeight="1" x14ac:dyDescent="0.3">
      <c r="J23181" s="33"/>
    </row>
    <row r="23182" spans="10:10" ht="15" customHeight="1" x14ac:dyDescent="0.3">
      <c r="J23182" s="33"/>
    </row>
    <row r="23183" spans="10:10" ht="15" customHeight="1" x14ac:dyDescent="0.3">
      <c r="J23183" s="33"/>
    </row>
    <row r="23184" spans="10:10" ht="15" customHeight="1" x14ac:dyDescent="0.3">
      <c r="J23184" s="33"/>
    </row>
    <row r="23185" spans="10:10" ht="15" customHeight="1" x14ac:dyDescent="0.3">
      <c r="J23185" s="33"/>
    </row>
    <row r="23186" spans="10:10" ht="15" customHeight="1" x14ac:dyDescent="0.3">
      <c r="J23186" s="33"/>
    </row>
    <row r="23187" spans="10:10" ht="15" customHeight="1" x14ac:dyDescent="0.3">
      <c r="J23187" s="33"/>
    </row>
    <row r="23188" spans="10:10" ht="15" customHeight="1" x14ac:dyDescent="0.3">
      <c r="J23188" s="33"/>
    </row>
    <row r="23189" spans="10:10" ht="15" customHeight="1" x14ac:dyDescent="0.3">
      <c r="J23189" s="33"/>
    </row>
    <row r="23190" spans="10:10" ht="15" customHeight="1" x14ac:dyDescent="0.3">
      <c r="J23190" s="33"/>
    </row>
    <row r="23191" spans="10:10" ht="15" customHeight="1" x14ac:dyDescent="0.3">
      <c r="J23191" s="33"/>
    </row>
    <row r="23192" spans="10:10" ht="15" customHeight="1" x14ac:dyDescent="0.3">
      <c r="J23192" s="33"/>
    </row>
    <row r="23193" spans="10:10" ht="15" customHeight="1" x14ac:dyDescent="0.3">
      <c r="J23193" s="33"/>
    </row>
    <row r="23194" spans="10:10" ht="15" customHeight="1" x14ac:dyDescent="0.3">
      <c r="J23194" s="33"/>
    </row>
    <row r="23195" spans="10:10" ht="15" customHeight="1" x14ac:dyDescent="0.3">
      <c r="J23195" s="33"/>
    </row>
    <row r="23196" spans="10:10" ht="15" customHeight="1" x14ac:dyDescent="0.3">
      <c r="J23196" s="33"/>
    </row>
    <row r="23197" spans="10:10" ht="15" customHeight="1" x14ac:dyDescent="0.3">
      <c r="J23197" s="33"/>
    </row>
    <row r="23198" spans="10:10" ht="15" customHeight="1" x14ac:dyDescent="0.3">
      <c r="J23198" s="33"/>
    </row>
    <row r="23199" spans="10:10" ht="15" customHeight="1" x14ac:dyDescent="0.3">
      <c r="J23199" s="33"/>
    </row>
    <row r="23200" spans="10:10" ht="15" customHeight="1" x14ac:dyDescent="0.3">
      <c r="J23200" s="33"/>
    </row>
    <row r="23201" spans="10:10" ht="15" customHeight="1" x14ac:dyDescent="0.3">
      <c r="J23201" s="33"/>
    </row>
    <row r="23202" spans="10:10" ht="15" customHeight="1" x14ac:dyDescent="0.3">
      <c r="J23202" s="33"/>
    </row>
    <row r="23203" spans="10:10" ht="15" customHeight="1" x14ac:dyDescent="0.3">
      <c r="J23203" s="33"/>
    </row>
    <row r="23204" spans="10:10" ht="15" customHeight="1" x14ac:dyDescent="0.3">
      <c r="J23204" s="33"/>
    </row>
    <row r="23205" spans="10:10" ht="15" customHeight="1" x14ac:dyDescent="0.3">
      <c r="J23205" s="33"/>
    </row>
    <row r="23206" spans="10:10" ht="15" customHeight="1" x14ac:dyDescent="0.3">
      <c r="J23206" s="33"/>
    </row>
    <row r="23207" spans="10:10" ht="15" customHeight="1" x14ac:dyDescent="0.3">
      <c r="J23207" s="33"/>
    </row>
    <row r="23208" spans="10:10" ht="15" customHeight="1" x14ac:dyDescent="0.3">
      <c r="J23208" s="33"/>
    </row>
    <row r="23209" spans="10:10" ht="15" customHeight="1" x14ac:dyDescent="0.3">
      <c r="J23209" s="33"/>
    </row>
    <row r="23210" spans="10:10" ht="15" customHeight="1" x14ac:dyDescent="0.3">
      <c r="J23210" s="33"/>
    </row>
    <row r="23211" spans="10:10" ht="15" customHeight="1" x14ac:dyDescent="0.3">
      <c r="J23211" s="33"/>
    </row>
    <row r="23212" spans="10:10" ht="15" customHeight="1" x14ac:dyDescent="0.3">
      <c r="J23212" s="33"/>
    </row>
    <row r="23213" spans="10:10" ht="15" customHeight="1" x14ac:dyDescent="0.3">
      <c r="J23213" s="33"/>
    </row>
    <row r="23214" spans="10:10" ht="15" customHeight="1" x14ac:dyDescent="0.3">
      <c r="J23214" s="33"/>
    </row>
    <row r="23215" spans="10:10" ht="15" customHeight="1" x14ac:dyDescent="0.3">
      <c r="J23215" s="33"/>
    </row>
    <row r="23216" spans="10:10" ht="15" customHeight="1" x14ac:dyDescent="0.3">
      <c r="J23216" s="33"/>
    </row>
    <row r="23217" spans="10:10" ht="15" customHeight="1" x14ac:dyDescent="0.3">
      <c r="J23217" s="33"/>
    </row>
    <row r="23218" spans="10:10" ht="15" customHeight="1" x14ac:dyDescent="0.3">
      <c r="J23218" s="33"/>
    </row>
    <row r="23219" spans="10:10" ht="15" customHeight="1" x14ac:dyDescent="0.3">
      <c r="J23219" s="33"/>
    </row>
    <row r="23220" spans="10:10" ht="15" customHeight="1" x14ac:dyDescent="0.3">
      <c r="J23220" s="33"/>
    </row>
    <row r="23221" spans="10:10" ht="15" customHeight="1" x14ac:dyDescent="0.3">
      <c r="J23221" s="33"/>
    </row>
    <row r="23222" spans="10:10" ht="15" customHeight="1" x14ac:dyDescent="0.3">
      <c r="J23222" s="33"/>
    </row>
    <row r="23223" spans="10:10" ht="15" customHeight="1" x14ac:dyDescent="0.3">
      <c r="J23223" s="33"/>
    </row>
    <row r="23224" spans="10:10" ht="15" customHeight="1" x14ac:dyDescent="0.3">
      <c r="J23224" s="33"/>
    </row>
    <row r="23225" spans="10:10" ht="15" customHeight="1" x14ac:dyDescent="0.3">
      <c r="J23225" s="33"/>
    </row>
    <row r="23226" spans="10:10" ht="15" customHeight="1" x14ac:dyDescent="0.3">
      <c r="J23226" s="33"/>
    </row>
    <row r="23227" spans="10:10" ht="15" customHeight="1" x14ac:dyDescent="0.3">
      <c r="J23227" s="33"/>
    </row>
    <row r="23228" spans="10:10" ht="15" customHeight="1" x14ac:dyDescent="0.3">
      <c r="J23228" s="33"/>
    </row>
    <row r="23229" spans="10:10" ht="15" customHeight="1" x14ac:dyDescent="0.3">
      <c r="J23229" s="33"/>
    </row>
    <row r="23230" spans="10:10" ht="15" customHeight="1" x14ac:dyDescent="0.3">
      <c r="J23230" s="33"/>
    </row>
    <row r="23231" spans="10:10" ht="15" customHeight="1" x14ac:dyDescent="0.3">
      <c r="J23231" s="33"/>
    </row>
    <row r="23232" spans="10:10" ht="15" customHeight="1" x14ac:dyDescent="0.3">
      <c r="J23232" s="33"/>
    </row>
    <row r="23233" spans="10:10" ht="15" customHeight="1" x14ac:dyDescent="0.3">
      <c r="J23233" s="33"/>
    </row>
    <row r="23234" spans="10:10" ht="15" customHeight="1" x14ac:dyDescent="0.3">
      <c r="J23234" s="33"/>
    </row>
    <row r="23235" spans="10:10" ht="15" customHeight="1" x14ac:dyDescent="0.3">
      <c r="J23235" s="33"/>
    </row>
    <row r="23236" spans="10:10" ht="15" customHeight="1" x14ac:dyDescent="0.3">
      <c r="J23236" s="33"/>
    </row>
    <row r="23237" spans="10:10" ht="15" customHeight="1" x14ac:dyDescent="0.3">
      <c r="J23237" s="33"/>
    </row>
    <row r="23238" spans="10:10" ht="15" customHeight="1" x14ac:dyDescent="0.3">
      <c r="J23238" s="33"/>
    </row>
    <row r="23239" spans="10:10" ht="15" customHeight="1" x14ac:dyDescent="0.3">
      <c r="J23239" s="33"/>
    </row>
    <row r="23240" spans="10:10" ht="15" customHeight="1" x14ac:dyDescent="0.3">
      <c r="J23240" s="33"/>
    </row>
    <row r="23241" spans="10:10" ht="15" customHeight="1" x14ac:dyDescent="0.3">
      <c r="J23241" s="33"/>
    </row>
    <row r="23242" spans="10:10" ht="15" customHeight="1" x14ac:dyDescent="0.3">
      <c r="J23242" s="33"/>
    </row>
    <row r="23243" spans="10:10" ht="15" customHeight="1" x14ac:dyDescent="0.3">
      <c r="J23243" s="33"/>
    </row>
    <row r="23244" spans="10:10" ht="15" customHeight="1" x14ac:dyDescent="0.3">
      <c r="J23244" s="33"/>
    </row>
    <row r="23245" spans="10:10" ht="15" customHeight="1" x14ac:dyDescent="0.3">
      <c r="J23245" s="33"/>
    </row>
    <row r="23246" spans="10:10" ht="15" customHeight="1" x14ac:dyDescent="0.3">
      <c r="J23246" s="33"/>
    </row>
    <row r="23247" spans="10:10" ht="15" customHeight="1" x14ac:dyDescent="0.3">
      <c r="J23247" s="33"/>
    </row>
    <row r="23248" spans="10:10" ht="15" customHeight="1" x14ac:dyDescent="0.3">
      <c r="J23248" s="33"/>
    </row>
    <row r="23249" spans="10:10" ht="15" customHeight="1" x14ac:dyDescent="0.3">
      <c r="J23249" s="33"/>
    </row>
    <row r="23250" spans="10:10" ht="15" customHeight="1" x14ac:dyDescent="0.3">
      <c r="J23250" s="33"/>
    </row>
    <row r="23251" spans="10:10" ht="15" customHeight="1" x14ac:dyDescent="0.3">
      <c r="J23251" s="33"/>
    </row>
    <row r="23252" spans="10:10" ht="15" customHeight="1" x14ac:dyDescent="0.3">
      <c r="J23252" s="33"/>
    </row>
    <row r="23253" spans="10:10" ht="15" customHeight="1" x14ac:dyDescent="0.3">
      <c r="J23253" s="33"/>
    </row>
    <row r="23254" spans="10:10" ht="15" customHeight="1" x14ac:dyDescent="0.3">
      <c r="J23254" s="33"/>
    </row>
    <row r="23255" spans="10:10" ht="15" customHeight="1" x14ac:dyDescent="0.3">
      <c r="J23255" s="33"/>
    </row>
    <row r="23256" spans="10:10" ht="15" customHeight="1" x14ac:dyDescent="0.3">
      <c r="J23256" s="33"/>
    </row>
    <row r="23257" spans="10:10" ht="15" customHeight="1" x14ac:dyDescent="0.3">
      <c r="J23257" s="33"/>
    </row>
    <row r="23258" spans="10:10" ht="15" customHeight="1" x14ac:dyDescent="0.3">
      <c r="J23258" s="33"/>
    </row>
    <row r="23259" spans="10:10" ht="15" customHeight="1" x14ac:dyDescent="0.3">
      <c r="J23259" s="33"/>
    </row>
    <row r="23260" spans="10:10" ht="15" customHeight="1" x14ac:dyDescent="0.3">
      <c r="J23260" s="33"/>
    </row>
    <row r="23261" spans="10:10" ht="15" customHeight="1" x14ac:dyDescent="0.3">
      <c r="J23261" s="33"/>
    </row>
    <row r="23262" spans="10:10" ht="15" customHeight="1" x14ac:dyDescent="0.3">
      <c r="J23262" s="33"/>
    </row>
    <row r="23263" spans="10:10" ht="15" customHeight="1" x14ac:dyDescent="0.3">
      <c r="J23263" s="33"/>
    </row>
    <row r="23264" spans="10:10" ht="15" customHeight="1" x14ac:dyDescent="0.3">
      <c r="J23264" s="33"/>
    </row>
    <row r="23265" spans="10:10" ht="15" customHeight="1" x14ac:dyDescent="0.3">
      <c r="J23265" s="33"/>
    </row>
    <row r="23266" spans="10:10" ht="15" customHeight="1" x14ac:dyDescent="0.3">
      <c r="J23266" s="33"/>
    </row>
    <row r="23267" spans="10:10" ht="15" customHeight="1" x14ac:dyDescent="0.3">
      <c r="J23267" s="33"/>
    </row>
    <row r="23268" spans="10:10" ht="15" customHeight="1" x14ac:dyDescent="0.3">
      <c r="J23268" s="33"/>
    </row>
    <row r="23269" spans="10:10" ht="15" customHeight="1" x14ac:dyDescent="0.3">
      <c r="J23269" s="33"/>
    </row>
    <row r="23270" spans="10:10" ht="15" customHeight="1" x14ac:dyDescent="0.3">
      <c r="J23270" s="33"/>
    </row>
    <row r="23271" spans="10:10" ht="15" customHeight="1" x14ac:dyDescent="0.3">
      <c r="J23271" s="33"/>
    </row>
    <row r="23272" spans="10:10" ht="15" customHeight="1" x14ac:dyDescent="0.3">
      <c r="J23272" s="33"/>
    </row>
    <row r="23273" spans="10:10" ht="15" customHeight="1" x14ac:dyDescent="0.3">
      <c r="J23273" s="33"/>
    </row>
    <row r="23274" spans="10:10" ht="15" customHeight="1" x14ac:dyDescent="0.3">
      <c r="J23274" s="33"/>
    </row>
    <row r="23275" spans="10:10" ht="15" customHeight="1" x14ac:dyDescent="0.3">
      <c r="J23275" s="33"/>
    </row>
    <row r="23276" spans="10:10" ht="15" customHeight="1" x14ac:dyDescent="0.3">
      <c r="J23276" s="33"/>
    </row>
    <row r="23277" spans="10:10" ht="15" customHeight="1" x14ac:dyDescent="0.3">
      <c r="J23277" s="33"/>
    </row>
    <row r="23278" spans="10:10" ht="15" customHeight="1" x14ac:dyDescent="0.3">
      <c r="J23278" s="33"/>
    </row>
    <row r="23279" spans="10:10" ht="15" customHeight="1" x14ac:dyDescent="0.3">
      <c r="J23279" s="33"/>
    </row>
    <row r="23280" spans="10:10" ht="15" customHeight="1" x14ac:dyDescent="0.3">
      <c r="J23280" s="33"/>
    </row>
    <row r="23281" spans="10:10" ht="15" customHeight="1" x14ac:dyDescent="0.3">
      <c r="J23281" s="33"/>
    </row>
    <row r="23282" spans="10:10" ht="15" customHeight="1" x14ac:dyDescent="0.3">
      <c r="J23282" s="33"/>
    </row>
    <row r="23283" spans="10:10" ht="15" customHeight="1" x14ac:dyDescent="0.3">
      <c r="J23283" s="33"/>
    </row>
    <row r="23284" spans="10:10" ht="15" customHeight="1" x14ac:dyDescent="0.3">
      <c r="J23284" s="33"/>
    </row>
    <row r="23285" spans="10:10" ht="15" customHeight="1" x14ac:dyDescent="0.3">
      <c r="J23285" s="33"/>
    </row>
    <row r="23286" spans="10:10" ht="15" customHeight="1" x14ac:dyDescent="0.3">
      <c r="J23286" s="33"/>
    </row>
    <row r="23287" spans="10:10" ht="15" customHeight="1" x14ac:dyDescent="0.3">
      <c r="J23287" s="33"/>
    </row>
    <row r="23288" spans="10:10" ht="15" customHeight="1" x14ac:dyDescent="0.3">
      <c r="J23288" s="33"/>
    </row>
    <row r="23289" spans="10:10" ht="15" customHeight="1" x14ac:dyDescent="0.3">
      <c r="J23289" s="33"/>
    </row>
    <row r="23290" spans="10:10" ht="15" customHeight="1" x14ac:dyDescent="0.3">
      <c r="J23290" s="33"/>
    </row>
    <row r="23291" spans="10:10" ht="15" customHeight="1" x14ac:dyDescent="0.3">
      <c r="J23291" s="33"/>
    </row>
    <row r="23292" spans="10:10" ht="15" customHeight="1" x14ac:dyDescent="0.3">
      <c r="J23292" s="33"/>
    </row>
    <row r="23293" spans="10:10" ht="15" customHeight="1" x14ac:dyDescent="0.3">
      <c r="J23293" s="33"/>
    </row>
    <row r="23294" spans="10:10" ht="15" customHeight="1" x14ac:dyDescent="0.3">
      <c r="J23294" s="33"/>
    </row>
    <row r="23295" spans="10:10" ht="15" customHeight="1" x14ac:dyDescent="0.3">
      <c r="J23295" s="33"/>
    </row>
    <row r="23296" spans="10:10" ht="15" customHeight="1" x14ac:dyDescent="0.3">
      <c r="J23296" s="33"/>
    </row>
    <row r="23297" spans="10:10" ht="15" customHeight="1" x14ac:dyDescent="0.3">
      <c r="J23297" s="33"/>
    </row>
    <row r="23298" spans="10:10" ht="15" customHeight="1" x14ac:dyDescent="0.3">
      <c r="J23298" s="33"/>
    </row>
    <row r="23299" spans="10:10" ht="15" customHeight="1" x14ac:dyDescent="0.3">
      <c r="J23299" s="33"/>
    </row>
    <row r="23300" spans="10:10" ht="15" customHeight="1" x14ac:dyDescent="0.3">
      <c r="J23300" s="33"/>
    </row>
    <row r="23301" spans="10:10" ht="15" customHeight="1" x14ac:dyDescent="0.3">
      <c r="J23301" s="33"/>
    </row>
    <row r="23302" spans="10:10" ht="15" customHeight="1" x14ac:dyDescent="0.3">
      <c r="J23302" s="33"/>
    </row>
    <row r="23303" spans="10:10" ht="15" customHeight="1" x14ac:dyDescent="0.3">
      <c r="J23303" s="33"/>
    </row>
    <row r="23304" spans="10:10" ht="15" customHeight="1" x14ac:dyDescent="0.3">
      <c r="J23304" s="33"/>
    </row>
    <row r="23305" spans="10:10" ht="15" customHeight="1" x14ac:dyDescent="0.3">
      <c r="J23305" s="33"/>
    </row>
    <row r="23306" spans="10:10" ht="15" customHeight="1" x14ac:dyDescent="0.3">
      <c r="J23306" s="33"/>
    </row>
    <row r="23307" spans="10:10" ht="15" customHeight="1" x14ac:dyDescent="0.3">
      <c r="J23307" s="33"/>
    </row>
    <row r="23308" spans="10:10" ht="15" customHeight="1" x14ac:dyDescent="0.3">
      <c r="J23308" s="33"/>
    </row>
    <row r="23309" spans="10:10" ht="15" customHeight="1" x14ac:dyDescent="0.3">
      <c r="J23309" s="33"/>
    </row>
    <row r="23310" spans="10:10" ht="15" customHeight="1" x14ac:dyDescent="0.3">
      <c r="J23310" s="33"/>
    </row>
    <row r="23311" spans="10:10" ht="15" customHeight="1" x14ac:dyDescent="0.3">
      <c r="J23311" s="33"/>
    </row>
    <row r="23312" spans="10:10" ht="15" customHeight="1" x14ac:dyDescent="0.3">
      <c r="J23312" s="33"/>
    </row>
    <row r="23313" spans="10:10" ht="15" customHeight="1" x14ac:dyDescent="0.3">
      <c r="J23313" s="33"/>
    </row>
    <row r="23314" spans="10:10" ht="15" customHeight="1" x14ac:dyDescent="0.3">
      <c r="J23314" s="33"/>
    </row>
    <row r="23315" spans="10:10" ht="15" customHeight="1" x14ac:dyDescent="0.3">
      <c r="J23315" s="33"/>
    </row>
    <row r="23316" spans="10:10" ht="15" customHeight="1" x14ac:dyDescent="0.3">
      <c r="J23316" s="33"/>
    </row>
    <row r="23317" spans="10:10" ht="15" customHeight="1" x14ac:dyDescent="0.3">
      <c r="J23317" s="33"/>
    </row>
    <row r="23318" spans="10:10" ht="15" customHeight="1" x14ac:dyDescent="0.3">
      <c r="J23318" s="33"/>
    </row>
    <row r="23319" spans="10:10" ht="15" customHeight="1" x14ac:dyDescent="0.3">
      <c r="J23319" s="33"/>
    </row>
    <row r="23320" spans="10:10" ht="15" customHeight="1" x14ac:dyDescent="0.3">
      <c r="J23320" s="33"/>
    </row>
    <row r="23321" spans="10:10" ht="15" customHeight="1" x14ac:dyDescent="0.3">
      <c r="J23321" s="33"/>
    </row>
    <row r="23322" spans="10:10" ht="15" customHeight="1" x14ac:dyDescent="0.3">
      <c r="J23322" s="33"/>
    </row>
    <row r="23323" spans="10:10" ht="15" customHeight="1" x14ac:dyDescent="0.3">
      <c r="J23323" s="33"/>
    </row>
    <row r="23324" spans="10:10" ht="15" customHeight="1" x14ac:dyDescent="0.3">
      <c r="J23324" s="33"/>
    </row>
    <row r="23325" spans="10:10" ht="15" customHeight="1" x14ac:dyDescent="0.3">
      <c r="J23325" s="33"/>
    </row>
    <row r="23326" spans="10:10" ht="15" customHeight="1" x14ac:dyDescent="0.3">
      <c r="J23326" s="33"/>
    </row>
    <row r="23327" spans="10:10" ht="15" customHeight="1" x14ac:dyDescent="0.3">
      <c r="J23327" s="33"/>
    </row>
    <row r="23328" spans="10:10" ht="15" customHeight="1" x14ac:dyDescent="0.3">
      <c r="J23328" s="33"/>
    </row>
    <row r="23329" spans="10:10" ht="15" customHeight="1" x14ac:dyDescent="0.3">
      <c r="J23329" s="33"/>
    </row>
    <row r="23330" spans="10:10" ht="15" customHeight="1" x14ac:dyDescent="0.3">
      <c r="J23330" s="33"/>
    </row>
    <row r="23331" spans="10:10" ht="15" customHeight="1" x14ac:dyDescent="0.3">
      <c r="J23331" s="33"/>
    </row>
    <row r="23332" spans="10:10" ht="15" customHeight="1" x14ac:dyDescent="0.3">
      <c r="J23332" s="33"/>
    </row>
    <row r="23333" spans="10:10" ht="15" customHeight="1" x14ac:dyDescent="0.3">
      <c r="J23333" s="33"/>
    </row>
    <row r="23334" spans="10:10" ht="15" customHeight="1" x14ac:dyDescent="0.3">
      <c r="J23334" s="33"/>
    </row>
    <row r="23335" spans="10:10" ht="15" customHeight="1" x14ac:dyDescent="0.3">
      <c r="J23335" s="33"/>
    </row>
    <row r="23336" spans="10:10" ht="15" customHeight="1" x14ac:dyDescent="0.3">
      <c r="J23336" s="33"/>
    </row>
    <row r="23337" spans="10:10" ht="15" customHeight="1" x14ac:dyDescent="0.3">
      <c r="J23337" s="33"/>
    </row>
    <row r="23338" spans="10:10" ht="15" customHeight="1" x14ac:dyDescent="0.3">
      <c r="J23338" s="33"/>
    </row>
    <row r="23339" spans="10:10" ht="15" customHeight="1" x14ac:dyDescent="0.3">
      <c r="J23339" s="33"/>
    </row>
    <row r="23340" spans="10:10" ht="15" customHeight="1" x14ac:dyDescent="0.3">
      <c r="J23340" s="33"/>
    </row>
    <row r="23341" spans="10:10" ht="15" customHeight="1" x14ac:dyDescent="0.3">
      <c r="J23341" s="33"/>
    </row>
    <row r="23342" spans="10:10" ht="15" customHeight="1" x14ac:dyDescent="0.3">
      <c r="J23342" s="33"/>
    </row>
    <row r="23343" spans="10:10" ht="15" customHeight="1" x14ac:dyDescent="0.3">
      <c r="J23343" s="33"/>
    </row>
    <row r="23344" spans="10:10" ht="15" customHeight="1" x14ac:dyDescent="0.3">
      <c r="J23344" s="33"/>
    </row>
    <row r="23345" spans="10:10" ht="15" customHeight="1" x14ac:dyDescent="0.3">
      <c r="J23345" s="33"/>
    </row>
    <row r="23346" spans="10:10" ht="15" customHeight="1" x14ac:dyDescent="0.3">
      <c r="J23346" s="33"/>
    </row>
    <row r="23347" spans="10:10" ht="15" customHeight="1" x14ac:dyDescent="0.3">
      <c r="J23347" s="33"/>
    </row>
    <row r="23348" spans="10:10" ht="15" customHeight="1" x14ac:dyDescent="0.3">
      <c r="J23348" s="33"/>
    </row>
    <row r="23349" spans="10:10" ht="15" customHeight="1" x14ac:dyDescent="0.3">
      <c r="J23349" s="33"/>
    </row>
    <row r="23350" spans="10:10" ht="15" customHeight="1" x14ac:dyDescent="0.3">
      <c r="J23350" s="33"/>
    </row>
    <row r="23351" spans="10:10" ht="15" customHeight="1" x14ac:dyDescent="0.3">
      <c r="J23351" s="33"/>
    </row>
    <row r="23352" spans="10:10" ht="15" customHeight="1" x14ac:dyDescent="0.3">
      <c r="J23352" s="33"/>
    </row>
    <row r="23353" spans="10:10" ht="15" customHeight="1" x14ac:dyDescent="0.3">
      <c r="J23353" s="33"/>
    </row>
    <row r="23354" spans="10:10" ht="15" customHeight="1" x14ac:dyDescent="0.3">
      <c r="J23354" s="33"/>
    </row>
    <row r="23355" spans="10:10" ht="15" customHeight="1" x14ac:dyDescent="0.3">
      <c r="J23355" s="33"/>
    </row>
    <row r="23356" spans="10:10" ht="15" customHeight="1" x14ac:dyDescent="0.3">
      <c r="J23356" s="33"/>
    </row>
    <row r="23357" spans="10:10" ht="15" customHeight="1" x14ac:dyDescent="0.3">
      <c r="J23357" s="33"/>
    </row>
    <row r="23358" spans="10:10" ht="15" customHeight="1" x14ac:dyDescent="0.3">
      <c r="J23358" s="33"/>
    </row>
    <row r="23359" spans="10:10" ht="15" customHeight="1" x14ac:dyDescent="0.3">
      <c r="J23359" s="33"/>
    </row>
    <row r="23360" spans="10:10" ht="15" customHeight="1" x14ac:dyDescent="0.3">
      <c r="J23360" s="33"/>
    </row>
    <row r="23361" spans="10:10" ht="15" customHeight="1" x14ac:dyDescent="0.3">
      <c r="J23361" s="33"/>
    </row>
    <row r="23362" spans="10:10" ht="15" customHeight="1" x14ac:dyDescent="0.3">
      <c r="J23362" s="33"/>
    </row>
    <row r="23363" spans="10:10" ht="15" customHeight="1" x14ac:dyDescent="0.3">
      <c r="J23363" s="33"/>
    </row>
    <row r="23364" spans="10:10" ht="15" customHeight="1" x14ac:dyDescent="0.3">
      <c r="J23364" s="33"/>
    </row>
    <row r="23365" spans="10:10" ht="15" customHeight="1" x14ac:dyDescent="0.3">
      <c r="J23365" s="33"/>
    </row>
    <row r="23366" spans="10:10" ht="15" customHeight="1" x14ac:dyDescent="0.3">
      <c r="J23366" s="33"/>
    </row>
    <row r="23367" spans="10:10" ht="15" customHeight="1" x14ac:dyDescent="0.3">
      <c r="J23367" s="33"/>
    </row>
    <row r="23368" spans="10:10" ht="15" customHeight="1" x14ac:dyDescent="0.3">
      <c r="J23368" s="33"/>
    </row>
    <row r="23369" spans="10:10" ht="15" customHeight="1" x14ac:dyDescent="0.3">
      <c r="J23369" s="33"/>
    </row>
    <row r="23370" spans="10:10" ht="15" customHeight="1" x14ac:dyDescent="0.3">
      <c r="J23370" s="33"/>
    </row>
    <row r="23371" spans="10:10" ht="15" customHeight="1" x14ac:dyDescent="0.3">
      <c r="J23371" s="33"/>
    </row>
    <row r="23372" spans="10:10" ht="15" customHeight="1" x14ac:dyDescent="0.3">
      <c r="J23372" s="33"/>
    </row>
    <row r="23373" spans="10:10" ht="15" customHeight="1" x14ac:dyDescent="0.3">
      <c r="J23373" s="33"/>
    </row>
    <row r="23374" spans="10:10" ht="15" customHeight="1" x14ac:dyDescent="0.3">
      <c r="J23374" s="33"/>
    </row>
    <row r="23375" spans="10:10" ht="15" customHeight="1" x14ac:dyDescent="0.3">
      <c r="J23375" s="33"/>
    </row>
    <row r="23376" spans="10:10" ht="15" customHeight="1" x14ac:dyDescent="0.3">
      <c r="J23376" s="33"/>
    </row>
    <row r="23377" spans="10:10" ht="15" customHeight="1" x14ac:dyDescent="0.3">
      <c r="J23377" s="33"/>
    </row>
    <row r="23378" spans="10:10" ht="15" customHeight="1" x14ac:dyDescent="0.3">
      <c r="J23378" s="33"/>
    </row>
    <row r="23379" spans="10:10" ht="15" customHeight="1" x14ac:dyDescent="0.3">
      <c r="J23379" s="33"/>
    </row>
    <row r="23380" spans="10:10" ht="15" customHeight="1" x14ac:dyDescent="0.3">
      <c r="J23380" s="33"/>
    </row>
    <row r="23381" spans="10:10" ht="15" customHeight="1" x14ac:dyDescent="0.3">
      <c r="J23381" s="33"/>
    </row>
    <row r="23382" spans="10:10" ht="15" customHeight="1" x14ac:dyDescent="0.3">
      <c r="J23382" s="33"/>
    </row>
    <row r="23383" spans="10:10" ht="15" customHeight="1" x14ac:dyDescent="0.3">
      <c r="J23383" s="33"/>
    </row>
    <row r="23384" spans="10:10" ht="15" customHeight="1" x14ac:dyDescent="0.3">
      <c r="J23384" s="33"/>
    </row>
    <row r="23385" spans="10:10" ht="15" customHeight="1" x14ac:dyDescent="0.3">
      <c r="J23385" s="33"/>
    </row>
    <row r="23386" spans="10:10" ht="15" customHeight="1" x14ac:dyDescent="0.3">
      <c r="J23386" s="33"/>
    </row>
    <row r="23387" spans="10:10" ht="15" customHeight="1" x14ac:dyDescent="0.3">
      <c r="J23387" s="33"/>
    </row>
    <row r="23388" spans="10:10" ht="15" customHeight="1" x14ac:dyDescent="0.3">
      <c r="J23388" s="33"/>
    </row>
    <row r="23389" spans="10:10" ht="15" customHeight="1" x14ac:dyDescent="0.3">
      <c r="J23389" s="33"/>
    </row>
    <row r="23390" spans="10:10" ht="15" customHeight="1" x14ac:dyDescent="0.3">
      <c r="J23390" s="33"/>
    </row>
    <row r="23391" spans="10:10" ht="15" customHeight="1" x14ac:dyDescent="0.3">
      <c r="J23391" s="33"/>
    </row>
    <row r="23392" spans="10:10" ht="15" customHeight="1" x14ac:dyDescent="0.3">
      <c r="J23392" s="33"/>
    </row>
    <row r="23393" spans="10:10" ht="15" customHeight="1" x14ac:dyDescent="0.3">
      <c r="J23393" s="33"/>
    </row>
    <row r="23394" spans="10:10" ht="15" customHeight="1" x14ac:dyDescent="0.3">
      <c r="J23394" s="33"/>
    </row>
    <row r="23395" spans="10:10" ht="15" customHeight="1" x14ac:dyDescent="0.3">
      <c r="J23395" s="33"/>
    </row>
    <row r="23396" spans="10:10" ht="15" customHeight="1" x14ac:dyDescent="0.3">
      <c r="J23396" s="33"/>
    </row>
    <row r="23397" spans="10:10" ht="15" customHeight="1" x14ac:dyDescent="0.3">
      <c r="J23397" s="33"/>
    </row>
    <row r="23398" spans="10:10" ht="15" customHeight="1" x14ac:dyDescent="0.3">
      <c r="J23398" s="33"/>
    </row>
    <row r="23399" spans="10:10" ht="15" customHeight="1" x14ac:dyDescent="0.3">
      <c r="J23399" s="33"/>
    </row>
    <row r="23400" spans="10:10" ht="15" customHeight="1" x14ac:dyDescent="0.3">
      <c r="J23400" s="33"/>
    </row>
    <row r="23401" spans="10:10" ht="15" customHeight="1" x14ac:dyDescent="0.3">
      <c r="J23401" s="33"/>
    </row>
    <row r="23402" spans="10:10" ht="15" customHeight="1" x14ac:dyDescent="0.3">
      <c r="J23402" s="33"/>
    </row>
    <row r="23403" spans="10:10" ht="15" customHeight="1" x14ac:dyDescent="0.3">
      <c r="J23403" s="33"/>
    </row>
    <row r="23404" spans="10:10" ht="15" customHeight="1" x14ac:dyDescent="0.3">
      <c r="J23404" s="33"/>
    </row>
    <row r="23405" spans="10:10" ht="15" customHeight="1" x14ac:dyDescent="0.3">
      <c r="J23405" s="33"/>
    </row>
    <row r="23406" spans="10:10" ht="15" customHeight="1" x14ac:dyDescent="0.3">
      <c r="J23406" s="33"/>
    </row>
    <row r="23407" spans="10:10" ht="15" customHeight="1" x14ac:dyDescent="0.3">
      <c r="J23407" s="33"/>
    </row>
    <row r="23408" spans="10:10" ht="15" customHeight="1" x14ac:dyDescent="0.3">
      <c r="J23408" s="33"/>
    </row>
    <row r="23409" spans="10:10" ht="15" customHeight="1" x14ac:dyDescent="0.3">
      <c r="J23409" s="33"/>
    </row>
    <row r="23410" spans="10:10" ht="15" customHeight="1" x14ac:dyDescent="0.3">
      <c r="J23410" s="33"/>
    </row>
    <row r="23411" spans="10:10" ht="15" customHeight="1" x14ac:dyDescent="0.3">
      <c r="J23411" s="33"/>
    </row>
    <row r="23412" spans="10:10" ht="15" customHeight="1" x14ac:dyDescent="0.3">
      <c r="J23412" s="33"/>
    </row>
    <row r="23413" spans="10:10" ht="15" customHeight="1" x14ac:dyDescent="0.3">
      <c r="J23413" s="33"/>
    </row>
    <row r="23414" spans="10:10" ht="15" customHeight="1" x14ac:dyDescent="0.3">
      <c r="J23414" s="33"/>
    </row>
    <row r="23415" spans="10:10" ht="15" customHeight="1" x14ac:dyDescent="0.3">
      <c r="J23415" s="33"/>
    </row>
    <row r="23416" spans="10:10" ht="15" customHeight="1" x14ac:dyDescent="0.3">
      <c r="J23416" s="33"/>
    </row>
    <row r="23417" spans="10:10" ht="15" customHeight="1" x14ac:dyDescent="0.3">
      <c r="J23417" s="33"/>
    </row>
    <row r="23418" spans="10:10" ht="15" customHeight="1" x14ac:dyDescent="0.3">
      <c r="J23418" s="33"/>
    </row>
    <row r="23419" spans="10:10" ht="15" customHeight="1" x14ac:dyDescent="0.3">
      <c r="J23419" s="33"/>
    </row>
    <row r="23420" spans="10:10" ht="15" customHeight="1" x14ac:dyDescent="0.3">
      <c r="J23420" s="33"/>
    </row>
    <row r="23421" spans="10:10" ht="15" customHeight="1" x14ac:dyDescent="0.3">
      <c r="J23421" s="33"/>
    </row>
    <row r="23422" spans="10:10" ht="15" customHeight="1" x14ac:dyDescent="0.3">
      <c r="J23422" s="33"/>
    </row>
    <row r="23423" spans="10:10" ht="15" customHeight="1" x14ac:dyDescent="0.3">
      <c r="J23423" s="33"/>
    </row>
    <row r="23424" spans="10:10" ht="15" customHeight="1" x14ac:dyDescent="0.3">
      <c r="J23424" s="33"/>
    </row>
    <row r="23425" spans="10:10" ht="15" customHeight="1" x14ac:dyDescent="0.3">
      <c r="J23425" s="33"/>
    </row>
    <row r="23426" spans="10:10" ht="15" customHeight="1" x14ac:dyDescent="0.3">
      <c r="J23426" s="33"/>
    </row>
    <row r="23427" spans="10:10" ht="15" customHeight="1" x14ac:dyDescent="0.3">
      <c r="J23427" s="33"/>
    </row>
    <row r="23428" spans="10:10" ht="15" customHeight="1" x14ac:dyDescent="0.3">
      <c r="J23428" s="33"/>
    </row>
    <row r="23429" spans="10:10" ht="15" customHeight="1" x14ac:dyDescent="0.3">
      <c r="J23429" s="33"/>
    </row>
    <row r="23430" spans="10:10" ht="15" customHeight="1" x14ac:dyDescent="0.3">
      <c r="J23430" s="33"/>
    </row>
    <row r="23431" spans="10:10" ht="15" customHeight="1" x14ac:dyDescent="0.3">
      <c r="J23431" s="33"/>
    </row>
    <row r="23432" spans="10:10" ht="15" customHeight="1" x14ac:dyDescent="0.3">
      <c r="J23432" s="33"/>
    </row>
    <row r="23433" spans="10:10" ht="15" customHeight="1" x14ac:dyDescent="0.3">
      <c r="J23433" s="33"/>
    </row>
    <row r="23434" spans="10:10" ht="15" customHeight="1" x14ac:dyDescent="0.3">
      <c r="J23434" s="33"/>
    </row>
    <row r="23435" spans="10:10" ht="15" customHeight="1" x14ac:dyDescent="0.3">
      <c r="J23435" s="33"/>
    </row>
    <row r="23436" spans="10:10" ht="15" customHeight="1" x14ac:dyDescent="0.3">
      <c r="J23436" s="33"/>
    </row>
    <row r="23437" spans="10:10" ht="15" customHeight="1" x14ac:dyDescent="0.3">
      <c r="J23437" s="33"/>
    </row>
    <row r="23438" spans="10:10" ht="15" customHeight="1" x14ac:dyDescent="0.3">
      <c r="J23438" s="33"/>
    </row>
    <row r="23439" spans="10:10" ht="15" customHeight="1" x14ac:dyDescent="0.3">
      <c r="J23439" s="33"/>
    </row>
    <row r="23440" spans="10:10" ht="15" customHeight="1" x14ac:dyDescent="0.3">
      <c r="J23440" s="33"/>
    </row>
    <row r="23441" spans="10:10" ht="15" customHeight="1" x14ac:dyDescent="0.3">
      <c r="J23441" s="33"/>
    </row>
    <row r="23442" spans="10:10" ht="15" customHeight="1" x14ac:dyDescent="0.3">
      <c r="J23442" s="33"/>
    </row>
    <row r="23443" spans="10:10" ht="15" customHeight="1" x14ac:dyDescent="0.3">
      <c r="J23443" s="33"/>
    </row>
    <row r="23444" spans="10:10" ht="15" customHeight="1" x14ac:dyDescent="0.3">
      <c r="J23444" s="33"/>
    </row>
    <row r="23445" spans="10:10" ht="15" customHeight="1" x14ac:dyDescent="0.3">
      <c r="J23445" s="33"/>
    </row>
    <row r="23446" spans="10:10" ht="15" customHeight="1" x14ac:dyDescent="0.3">
      <c r="J23446" s="33"/>
    </row>
    <row r="23447" spans="10:10" ht="15" customHeight="1" x14ac:dyDescent="0.3">
      <c r="J23447" s="33"/>
    </row>
    <row r="23448" spans="10:10" ht="15" customHeight="1" x14ac:dyDescent="0.3">
      <c r="J23448" s="33"/>
    </row>
    <row r="23449" spans="10:10" ht="15" customHeight="1" x14ac:dyDescent="0.3">
      <c r="J23449" s="33"/>
    </row>
    <row r="23450" spans="10:10" ht="15" customHeight="1" x14ac:dyDescent="0.3">
      <c r="J23450" s="33"/>
    </row>
    <row r="23451" spans="10:10" ht="15" customHeight="1" x14ac:dyDescent="0.3">
      <c r="J23451" s="33"/>
    </row>
    <row r="23452" spans="10:10" ht="15" customHeight="1" x14ac:dyDescent="0.3">
      <c r="J23452" s="33"/>
    </row>
    <row r="23453" spans="10:10" ht="15" customHeight="1" x14ac:dyDescent="0.3">
      <c r="J23453" s="33"/>
    </row>
    <row r="23454" spans="10:10" ht="15" customHeight="1" x14ac:dyDescent="0.3">
      <c r="J23454" s="33"/>
    </row>
    <row r="23455" spans="10:10" ht="15" customHeight="1" x14ac:dyDescent="0.3">
      <c r="J23455" s="33"/>
    </row>
    <row r="23456" spans="10:10" ht="15" customHeight="1" x14ac:dyDescent="0.3">
      <c r="J23456" s="33"/>
    </row>
    <row r="23457" spans="10:10" ht="15" customHeight="1" x14ac:dyDescent="0.3">
      <c r="J23457" s="33"/>
    </row>
    <row r="23458" spans="10:10" ht="15" customHeight="1" x14ac:dyDescent="0.3">
      <c r="J23458" s="33"/>
    </row>
    <row r="23459" spans="10:10" ht="15" customHeight="1" x14ac:dyDescent="0.3">
      <c r="J23459" s="33"/>
    </row>
    <row r="23460" spans="10:10" ht="15" customHeight="1" x14ac:dyDescent="0.3">
      <c r="J23460" s="33"/>
    </row>
    <row r="23461" spans="10:10" ht="15" customHeight="1" x14ac:dyDescent="0.3">
      <c r="J23461" s="33"/>
    </row>
    <row r="23462" spans="10:10" ht="15" customHeight="1" x14ac:dyDescent="0.3">
      <c r="J23462" s="33"/>
    </row>
    <row r="23463" spans="10:10" ht="15" customHeight="1" x14ac:dyDescent="0.3">
      <c r="J23463" s="33"/>
    </row>
    <row r="23464" spans="10:10" ht="15" customHeight="1" x14ac:dyDescent="0.3">
      <c r="J23464" s="33"/>
    </row>
    <row r="23465" spans="10:10" ht="15" customHeight="1" x14ac:dyDescent="0.3">
      <c r="J23465" s="33"/>
    </row>
    <row r="23466" spans="10:10" ht="15" customHeight="1" x14ac:dyDescent="0.3">
      <c r="J23466" s="33"/>
    </row>
    <row r="23467" spans="10:10" ht="15" customHeight="1" x14ac:dyDescent="0.3">
      <c r="J23467" s="33"/>
    </row>
    <row r="23468" spans="10:10" ht="15" customHeight="1" x14ac:dyDescent="0.3">
      <c r="J23468" s="33"/>
    </row>
    <row r="23469" spans="10:10" ht="15" customHeight="1" x14ac:dyDescent="0.3">
      <c r="J23469" s="33"/>
    </row>
    <row r="23470" spans="10:10" ht="15" customHeight="1" x14ac:dyDescent="0.3">
      <c r="J23470" s="33"/>
    </row>
    <row r="23471" spans="10:10" ht="15" customHeight="1" x14ac:dyDescent="0.3">
      <c r="J23471" s="33"/>
    </row>
    <row r="23472" spans="10:10" ht="15" customHeight="1" x14ac:dyDescent="0.3">
      <c r="J23472" s="33"/>
    </row>
    <row r="23473" spans="10:10" ht="15" customHeight="1" x14ac:dyDescent="0.3">
      <c r="J23473" s="33"/>
    </row>
    <row r="23474" spans="10:10" ht="15" customHeight="1" x14ac:dyDescent="0.3">
      <c r="J23474" s="33"/>
    </row>
    <row r="23475" spans="10:10" ht="15" customHeight="1" x14ac:dyDescent="0.3">
      <c r="J23475" s="33"/>
    </row>
    <row r="23476" spans="10:10" ht="15" customHeight="1" x14ac:dyDescent="0.3">
      <c r="J23476" s="33"/>
    </row>
    <row r="23477" spans="10:10" ht="15" customHeight="1" x14ac:dyDescent="0.3">
      <c r="J23477" s="33"/>
    </row>
    <row r="23478" spans="10:10" ht="15" customHeight="1" x14ac:dyDescent="0.3">
      <c r="J23478" s="33"/>
    </row>
    <row r="23479" spans="10:10" ht="15" customHeight="1" x14ac:dyDescent="0.3">
      <c r="J23479" s="33"/>
    </row>
    <row r="23480" spans="10:10" ht="15" customHeight="1" x14ac:dyDescent="0.3">
      <c r="J23480" s="33"/>
    </row>
    <row r="23481" spans="10:10" ht="15" customHeight="1" x14ac:dyDescent="0.3">
      <c r="J23481" s="33"/>
    </row>
    <row r="23482" spans="10:10" ht="15" customHeight="1" x14ac:dyDescent="0.3">
      <c r="J23482" s="33"/>
    </row>
    <row r="23483" spans="10:10" ht="15" customHeight="1" x14ac:dyDescent="0.3">
      <c r="J23483" s="33"/>
    </row>
    <row r="23484" spans="10:10" ht="15" customHeight="1" x14ac:dyDescent="0.3">
      <c r="J23484" s="33"/>
    </row>
    <row r="23485" spans="10:10" ht="15" customHeight="1" x14ac:dyDescent="0.3">
      <c r="J23485" s="33"/>
    </row>
    <row r="23486" spans="10:10" ht="15" customHeight="1" x14ac:dyDescent="0.3">
      <c r="J23486" s="33"/>
    </row>
    <row r="23487" spans="10:10" ht="15" customHeight="1" x14ac:dyDescent="0.3">
      <c r="J23487" s="33"/>
    </row>
    <row r="23488" spans="10:10" ht="15" customHeight="1" x14ac:dyDescent="0.3">
      <c r="J23488" s="33"/>
    </row>
    <row r="23489" spans="10:10" ht="15" customHeight="1" x14ac:dyDescent="0.3">
      <c r="J23489" s="33"/>
    </row>
    <row r="23490" spans="10:10" ht="15" customHeight="1" x14ac:dyDescent="0.3">
      <c r="J23490" s="33"/>
    </row>
    <row r="23491" spans="10:10" ht="15" customHeight="1" x14ac:dyDescent="0.3">
      <c r="J23491" s="33"/>
    </row>
    <row r="23492" spans="10:10" ht="15" customHeight="1" x14ac:dyDescent="0.3">
      <c r="J23492" s="33"/>
    </row>
    <row r="23493" spans="10:10" ht="15" customHeight="1" x14ac:dyDescent="0.3">
      <c r="J23493" s="33"/>
    </row>
    <row r="23494" spans="10:10" ht="15" customHeight="1" x14ac:dyDescent="0.3">
      <c r="J23494" s="33"/>
    </row>
    <row r="23495" spans="10:10" ht="15" customHeight="1" x14ac:dyDescent="0.3">
      <c r="J23495" s="33"/>
    </row>
    <row r="23496" spans="10:10" ht="15" customHeight="1" x14ac:dyDescent="0.3">
      <c r="J23496" s="33"/>
    </row>
    <row r="23497" spans="10:10" ht="15" customHeight="1" x14ac:dyDescent="0.3">
      <c r="J23497" s="33"/>
    </row>
    <row r="23498" spans="10:10" ht="15" customHeight="1" x14ac:dyDescent="0.3">
      <c r="J23498" s="33"/>
    </row>
    <row r="23499" spans="10:10" ht="15" customHeight="1" x14ac:dyDescent="0.3">
      <c r="J23499" s="33"/>
    </row>
    <row r="23500" spans="10:10" ht="15" customHeight="1" x14ac:dyDescent="0.3">
      <c r="J23500" s="33"/>
    </row>
    <row r="23501" spans="10:10" ht="15" customHeight="1" x14ac:dyDescent="0.3">
      <c r="J23501" s="33"/>
    </row>
    <row r="23502" spans="10:10" ht="15" customHeight="1" x14ac:dyDescent="0.3">
      <c r="J23502" s="33"/>
    </row>
    <row r="23503" spans="10:10" ht="15" customHeight="1" x14ac:dyDescent="0.3">
      <c r="J23503" s="33"/>
    </row>
    <row r="23504" spans="10:10" ht="15" customHeight="1" x14ac:dyDescent="0.3">
      <c r="J23504" s="33"/>
    </row>
    <row r="23505" spans="10:10" ht="15" customHeight="1" x14ac:dyDescent="0.3">
      <c r="J23505" s="33"/>
    </row>
    <row r="23506" spans="10:10" ht="15" customHeight="1" x14ac:dyDescent="0.3">
      <c r="J23506" s="33"/>
    </row>
    <row r="23507" spans="10:10" ht="15" customHeight="1" x14ac:dyDescent="0.3">
      <c r="J23507" s="33"/>
    </row>
    <row r="23508" spans="10:10" ht="15" customHeight="1" x14ac:dyDescent="0.3">
      <c r="J23508" s="33"/>
    </row>
    <row r="23509" spans="10:10" ht="15" customHeight="1" x14ac:dyDescent="0.3">
      <c r="J23509" s="33"/>
    </row>
    <row r="23510" spans="10:10" ht="15" customHeight="1" x14ac:dyDescent="0.3">
      <c r="J23510" s="33"/>
    </row>
    <row r="23511" spans="10:10" ht="15" customHeight="1" x14ac:dyDescent="0.3">
      <c r="J23511" s="33"/>
    </row>
    <row r="23512" spans="10:10" ht="15" customHeight="1" x14ac:dyDescent="0.3">
      <c r="J23512" s="33"/>
    </row>
    <row r="23513" spans="10:10" ht="15" customHeight="1" x14ac:dyDescent="0.3">
      <c r="J23513" s="33"/>
    </row>
    <row r="23514" spans="10:10" ht="15" customHeight="1" x14ac:dyDescent="0.3">
      <c r="J23514" s="33"/>
    </row>
    <row r="23515" spans="10:10" ht="15" customHeight="1" x14ac:dyDescent="0.3">
      <c r="J23515" s="33"/>
    </row>
    <row r="23516" spans="10:10" ht="15" customHeight="1" x14ac:dyDescent="0.3">
      <c r="J23516" s="33"/>
    </row>
    <row r="23517" spans="10:10" ht="15" customHeight="1" x14ac:dyDescent="0.3">
      <c r="J23517" s="33"/>
    </row>
    <row r="23518" spans="10:10" ht="15" customHeight="1" x14ac:dyDescent="0.3">
      <c r="J23518" s="33"/>
    </row>
    <row r="23519" spans="10:10" ht="15" customHeight="1" x14ac:dyDescent="0.3">
      <c r="J23519" s="33"/>
    </row>
    <row r="23520" spans="10:10" ht="15" customHeight="1" x14ac:dyDescent="0.3">
      <c r="J23520" s="33"/>
    </row>
    <row r="23521" spans="10:10" ht="15" customHeight="1" x14ac:dyDescent="0.3">
      <c r="J23521" s="33"/>
    </row>
    <row r="23522" spans="10:10" ht="15" customHeight="1" x14ac:dyDescent="0.3">
      <c r="J23522" s="33"/>
    </row>
    <row r="23523" spans="10:10" ht="15" customHeight="1" x14ac:dyDescent="0.3">
      <c r="J23523" s="33"/>
    </row>
    <row r="23524" spans="10:10" ht="15" customHeight="1" x14ac:dyDescent="0.3">
      <c r="J23524" s="33"/>
    </row>
    <row r="23525" spans="10:10" ht="15" customHeight="1" x14ac:dyDescent="0.3">
      <c r="J23525" s="33"/>
    </row>
    <row r="23526" spans="10:10" ht="15" customHeight="1" x14ac:dyDescent="0.3">
      <c r="J23526" s="33"/>
    </row>
    <row r="23527" spans="10:10" ht="15" customHeight="1" x14ac:dyDescent="0.3">
      <c r="J23527" s="33"/>
    </row>
    <row r="23528" spans="10:10" ht="15" customHeight="1" x14ac:dyDescent="0.3">
      <c r="J23528" s="33"/>
    </row>
    <row r="23529" spans="10:10" ht="15" customHeight="1" x14ac:dyDescent="0.3">
      <c r="J23529" s="33"/>
    </row>
    <row r="23530" spans="10:10" ht="15" customHeight="1" x14ac:dyDescent="0.3">
      <c r="J23530" s="33"/>
    </row>
    <row r="23531" spans="10:10" ht="15" customHeight="1" x14ac:dyDescent="0.3">
      <c r="J23531" s="33"/>
    </row>
    <row r="23532" spans="10:10" ht="15" customHeight="1" x14ac:dyDescent="0.3">
      <c r="J23532" s="33"/>
    </row>
    <row r="23533" spans="10:10" ht="15" customHeight="1" x14ac:dyDescent="0.3">
      <c r="J23533" s="33"/>
    </row>
    <row r="23534" spans="10:10" ht="15" customHeight="1" x14ac:dyDescent="0.3">
      <c r="J23534" s="33"/>
    </row>
    <row r="23535" spans="10:10" ht="15" customHeight="1" x14ac:dyDescent="0.3">
      <c r="J23535" s="33"/>
    </row>
    <row r="23536" spans="10:10" ht="15" customHeight="1" x14ac:dyDescent="0.3">
      <c r="J23536" s="33"/>
    </row>
    <row r="23537" spans="10:10" ht="15" customHeight="1" x14ac:dyDescent="0.3">
      <c r="J23537" s="33"/>
    </row>
    <row r="23538" spans="10:10" ht="15" customHeight="1" x14ac:dyDescent="0.3">
      <c r="J23538" s="33"/>
    </row>
    <row r="23539" spans="10:10" ht="15" customHeight="1" x14ac:dyDescent="0.3">
      <c r="J23539" s="33"/>
    </row>
    <row r="23540" spans="10:10" ht="15" customHeight="1" x14ac:dyDescent="0.3">
      <c r="J23540" s="33"/>
    </row>
    <row r="23541" spans="10:10" ht="15" customHeight="1" x14ac:dyDescent="0.3">
      <c r="J23541" s="33"/>
    </row>
    <row r="23542" spans="10:10" ht="15" customHeight="1" x14ac:dyDescent="0.3">
      <c r="J23542" s="33"/>
    </row>
    <row r="23543" spans="10:10" ht="15" customHeight="1" x14ac:dyDescent="0.3">
      <c r="J23543" s="33"/>
    </row>
    <row r="23544" spans="10:10" ht="15" customHeight="1" x14ac:dyDescent="0.3">
      <c r="J23544" s="33"/>
    </row>
    <row r="23545" spans="10:10" ht="15" customHeight="1" x14ac:dyDescent="0.3">
      <c r="J23545" s="33"/>
    </row>
    <row r="23546" spans="10:10" ht="15" customHeight="1" x14ac:dyDescent="0.3">
      <c r="J23546" s="33"/>
    </row>
    <row r="23547" spans="10:10" ht="15" customHeight="1" x14ac:dyDescent="0.3">
      <c r="J23547" s="33"/>
    </row>
    <row r="23548" spans="10:10" ht="15" customHeight="1" x14ac:dyDescent="0.3">
      <c r="J23548" s="33"/>
    </row>
    <row r="23549" spans="10:10" ht="15" customHeight="1" x14ac:dyDescent="0.3">
      <c r="J23549" s="33"/>
    </row>
    <row r="23550" spans="10:10" ht="15" customHeight="1" x14ac:dyDescent="0.3">
      <c r="J23550" s="33"/>
    </row>
    <row r="23551" spans="10:10" ht="15" customHeight="1" x14ac:dyDescent="0.3">
      <c r="J23551" s="33"/>
    </row>
    <row r="23552" spans="10:10" ht="15" customHeight="1" x14ac:dyDescent="0.3">
      <c r="J23552" s="33"/>
    </row>
    <row r="23553" spans="10:10" ht="15" customHeight="1" x14ac:dyDescent="0.3">
      <c r="J23553" s="33"/>
    </row>
    <row r="23554" spans="10:10" ht="15" customHeight="1" x14ac:dyDescent="0.3">
      <c r="J23554" s="33"/>
    </row>
    <row r="23555" spans="10:10" ht="15" customHeight="1" x14ac:dyDescent="0.3">
      <c r="J23555" s="33"/>
    </row>
    <row r="23556" spans="10:10" ht="15" customHeight="1" x14ac:dyDescent="0.3">
      <c r="J23556" s="33"/>
    </row>
    <row r="23557" spans="10:10" ht="15" customHeight="1" x14ac:dyDescent="0.3">
      <c r="J23557" s="33"/>
    </row>
    <row r="23558" spans="10:10" ht="15" customHeight="1" x14ac:dyDescent="0.3">
      <c r="J23558" s="33"/>
    </row>
    <row r="23559" spans="10:10" ht="15" customHeight="1" x14ac:dyDescent="0.3">
      <c r="J23559" s="33"/>
    </row>
    <row r="23560" spans="10:10" ht="15" customHeight="1" x14ac:dyDescent="0.3">
      <c r="J23560" s="33"/>
    </row>
    <row r="23561" spans="10:10" ht="15" customHeight="1" x14ac:dyDescent="0.3">
      <c r="J23561" s="33"/>
    </row>
    <row r="23562" spans="10:10" ht="15" customHeight="1" x14ac:dyDescent="0.3">
      <c r="J23562" s="33"/>
    </row>
    <row r="23563" spans="10:10" ht="15" customHeight="1" x14ac:dyDescent="0.3">
      <c r="J23563" s="33"/>
    </row>
    <row r="23564" spans="10:10" ht="15" customHeight="1" x14ac:dyDescent="0.3">
      <c r="J23564" s="33"/>
    </row>
    <row r="23565" spans="10:10" ht="15" customHeight="1" x14ac:dyDescent="0.3">
      <c r="J23565" s="33"/>
    </row>
    <row r="23566" spans="10:10" ht="15" customHeight="1" x14ac:dyDescent="0.3">
      <c r="J23566" s="33"/>
    </row>
    <row r="23567" spans="10:10" ht="15" customHeight="1" x14ac:dyDescent="0.3">
      <c r="J23567" s="33"/>
    </row>
    <row r="23568" spans="10:10" ht="15" customHeight="1" x14ac:dyDescent="0.3">
      <c r="J23568" s="33"/>
    </row>
    <row r="23569" spans="10:10" ht="15" customHeight="1" x14ac:dyDescent="0.3">
      <c r="J23569" s="33"/>
    </row>
    <row r="23570" spans="10:10" ht="15" customHeight="1" x14ac:dyDescent="0.3">
      <c r="J23570" s="33"/>
    </row>
    <row r="23571" spans="10:10" ht="15" customHeight="1" x14ac:dyDescent="0.3">
      <c r="J23571" s="33"/>
    </row>
    <row r="23572" spans="10:10" ht="15" customHeight="1" x14ac:dyDescent="0.3">
      <c r="J23572" s="33"/>
    </row>
    <row r="23573" spans="10:10" ht="15" customHeight="1" x14ac:dyDescent="0.3">
      <c r="J23573" s="33"/>
    </row>
    <row r="23574" spans="10:10" ht="15" customHeight="1" x14ac:dyDescent="0.3">
      <c r="J23574" s="33"/>
    </row>
    <row r="23575" spans="10:10" ht="15" customHeight="1" x14ac:dyDescent="0.3">
      <c r="J23575" s="33"/>
    </row>
    <row r="23576" spans="10:10" ht="15" customHeight="1" x14ac:dyDescent="0.3">
      <c r="J23576" s="33"/>
    </row>
    <row r="23577" spans="10:10" ht="15" customHeight="1" x14ac:dyDescent="0.3">
      <c r="J23577" s="33"/>
    </row>
    <row r="23578" spans="10:10" ht="15" customHeight="1" x14ac:dyDescent="0.3">
      <c r="J23578" s="33"/>
    </row>
    <row r="23579" spans="10:10" ht="15" customHeight="1" x14ac:dyDescent="0.3">
      <c r="J23579" s="33"/>
    </row>
    <row r="23580" spans="10:10" ht="15" customHeight="1" x14ac:dyDescent="0.3">
      <c r="J23580" s="33"/>
    </row>
    <row r="23581" spans="10:10" ht="15" customHeight="1" x14ac:dyDescent="0.3">
      <c r="J23581" s="33"/>
    </row>
    <row r="23582" spans="10:10" ht="15" customHeight="1" x14ac:dyDescent="0.3">
      <c r="J23582" s="33"/>
    </row>
    <row r="23583" spans="10:10" ht="15" customHeight="1" x14ac:dyDescent="0.3">
      <c r="J23583" s="33"/>
    </row>
    <row r="23584" spans="10:10" ht="15" customHeight="1" x14ac:dyDescent="0.3">
      <c r="J23584" s="33"/>
    </row>
    <row r="23585" spans="10:10" ht="15" customHeight="1" x14ac:dyDescent="0.3">
      <c r="J23585" s="33"/>
    </row>
    <row r="23586" spans="10:10" ht="15" customHeight="1" x14ac:dyDescent="0.3">
      <c r="J23586" s="33"/>
    </row>
    <row r="23587" spans="10:10" ht="15" customHeight="1" x14ac:dyDescent="0.3">
      <c r="J23587" s="33"/>
    </row>
    <row r="23588" spans="10:10" ht="15" customHeight="1" x14ac:dyDescent="0.3">
      <c r="J23588" s="33"/>
    </row>
    <row r="23589" spans="10:10" ht="15" customHeight="1" x14ac:dyDescent="0.3">
      <c r="J23589" s="33"/>
    </row>
    <row r="23590" spans="10:10" ht="15" customHeight="1" x14ac:dyDescent="0.3">
      <c r="J23590" s="33"/>
    </row>
    <row r="23591" spans="10:10" ht="15" customHeight="1" x14ac:dyDescent="0.3">
      <c r="J23591" s="33"/>
    </row>
    <row r="23592" spans="10:10" ht="15" customHeight="1" x14ac:dyDescent="0.3">
      <c r="J23592" s="33"/>
    </row>
    <row r="23593" spans="10:10" ht="15" customHeight="1" x14ac:dyDescent="0.3">
      <c r="J23593" s="33"/>
    </row>
    <row r="23594" spans="10:10" ht="15" customHeight="1" x14ac:dyDescent="0.3">
      <c r="J23594" s="33"/>
    </row>
    <row r="23595" spans="10:10" ht="15" customHeight="1" x14ac:dyDescent="0.3">
      <c r="J23595" s="33"/>
    </row>
    <row r="23596" spans="10:10" ht="15" customHeight="1" x14ac:dyDescent="0.3">
      <c r="J23596" s="33"/>
    </row>
    <row r="23597" spans="10:10" ht="15" customHeight="1" x14ac:dyDescent="0.3">
      <c r="J23597" s="33"/>
    </row>
    <row r="23598" spans="10:10" ht="15" customHeight="1" x14ac:dyDescent="0.3">
      <c r="J23598" s="33"/>
    </row>
    <row r="23599" spans="10:10" ht="15" customHeight="1" x14ac:dyDescent="0.3">
      <c r="J23599" s="33"/>
    </row>
    <row r="23600" spans="10:10" ht="15" customHeight="1" x14ac:dyDescent="0.3">
      <c r="J23600" s="33"/>
    </row>
    <row r="23601" spans="10:10" ht="15" customHeight="1" x14ac:dyDescent="0.3">
      <c r="J23601" s="33"/>
    </row>
    <row r="23602" spans="10:10" ht="15" customHeight="1" x14ac:dyDescent="0.3">
      <c r="J23602" s="33"/>
    </row>
    <row r="23603" spans="10:10" ht="15" customHeight="1" x14ac:dyDescent="0.3">
      <c r="J23603" s="33"/>
    </row>
    <row r="23604" spans="10:10" ht="15" customHeight="1" x14ac:dyDescent="0.3">
      <c r="J23604" s="33"/>
    </row>
    <row r="23605" spans="10:10" ht="15" customHeight="1" x14ac:dyDescent="0.3">
      <c r="J23605" s="33"/>
    </row>
    <row r="23606" spans="10:10" ht="15" customHeight="1" x14ac:dyDescent="0.3">
      <c r="J23606" s="33"/>
    </row>
    <row r="23607" spans="10:10" ht="15" customHeight="1" x14ac:dyDescent="0.3">
      <c r="J23607" s="33"/>
    </row>
    <row r="23608" spans="10:10" ht="15" customHeight="1" x14ac:dyDescent="0.3">
      <c r="J23608" s="33"/>
    </row>
    <row r="23609" spans="10:10" ht="15" customHeight="1" x14ac:dyDescent="0.3">
      <c r="J23609" s="33"/>
    </row>
    <row r="23610" spans="10:10" ht="15" customHeight="1" x14ac:dyDescent="0.3">
      <c r="J23610" s="33"/>
    </row>
    <row r="23611" spans="10:10" ht="15" customHeight="1" x14ac:dyDescent="0.3">
      <c r="J23611" s="33"/>
    </row>
    <row r="23612" spans="10:10" ht="15" customHeight="1" x14ac:dyDescent="0.3">
      <c r="J23612" s="33"/>
    </row>
    <row r="23613" spans="10:10" ht="15" customHeight="1" x14ac:dyDescent="0.3">
      <c r="J23613" s="33"/>
    </row>
    <row r="23614" spans="10:10" ht="15" customHeight="1" x14ac:dyDescent="0.3">
      <c r="J23614" s="33"/>
    </row>
    <row r="23615" spans="10:10" ht="15" customHeight="1" x14ac:dyDescent="0.3">
      <c r="J23615" s="33"/>
    </row>
    <row r="23616" spans="10:10" ht="15" customHeight="1" x14ac:dyDescent="0.3">
      <c r="J23616" s="33"/>
    </row>
    <row r="23617" spans="10:10" ht="15" customHeight="1" x14ac:dyDescent="0.3">
      <c r="J23617" s="33"/>
    </row>
    <row r="23618" spans="10:10" ht="15" customHeight="1" x14ac:dyDescent="0.3">
      <c r="J23618" s="33"/>
    </row>
    <row r="23619" spans="10:10" ht="15" customHeight="1" x14ac:dyDescent="0.3">
      <c r="J23619" s="33"/>
    </row>
    <row r="23620" spans="10:10" ht="15" customHeight="1" x14ac:dyDescent="0.3">
      <c r="J23620" s="33"/>
    </row>
    <row r="23621" spans="10:10" ht="15" customHeight="1" x14ac:dyDescent="0.3">
      <c r="J23621" s="33"/>
    </row>
    <row r="23622" spans="10:10" ht="15" customHeight="1" x14ac:dyDescent="0.3">
      <c r="J23622" s="33"/>
    </row>
    <row r="23623" spans="10:10" ht="15" customHeight="1" x14ac:dyDescent="0.3">
      <c r="J23623" s="33"/>
    </row>
    <row r="23624" spans="10:10" ht="15" customHeight="1" x14ac:dyDescent="0.3">
      <c r="J23624" s="33"/>
    </row>
    <row r="23625" spans="10:10" ht="15" customHeight="1" x14ac:dyDescent="0.3">
      <c r="J23625" s="33"/>
    </row>
    <row r="23626" spans="10:10" ht="15" customHeight="1" x14ac:dyDescent="0.3">
      <c r="J23626" s="33"/>
    </row>
    <row r="23627" spans="10:10" ht="15" customHeight="1" x14ac:dyDescent="0.3">
      <c r="J23627" s="33"/>
    </row>
    <row r="23628" spans="10:10" ht="15" customHeight="1" x14ac:dyDescent="0.3">
      <c r="J23628" s="33"/>
    </row>
    <row r="23629" spans="10:10" ht="15" customHeight="1" x14ac:dyDescent="0.3">
      <c r="J23629" s="33"/>
    </row>
    <row r="23630" spans="10:10" ht="15" customHeight="1" x14ac:dyDescent="0.3">
      <c r="J23630" s="33"/>
    </row>
    <row r="23631" spans="10:10" ht="15" customHeight="1" x14ac:dyDescent="0.3">
      <c r="J23631" s="33"/>
    </row>
    <row r="23632" spans="10:10" ht="15" customHeight="1" x14ac:dyDescent="0.3">
      <c r="J23632" s="33"/>
    </row>
    <row r="23633" spans="10:10" ht="15" customHeight="1" x14ac:dyDescent="0.3">
      <c r="J23633" s="33"/>
    </row>
    <row r="23634" spans="10:10" ht="15" customHeight="1" x14ac:dyDescent="0.3">
      <c r="J23634" s="33"/>
    </row>
    <row r="23635" spans="10:10" ht="15" customHeight="1" x14ac:dyDescent="0.3">
      <c r="J23635" s="33"/>
    </row>
    <row r="23636" spans="10:10" ht="15" customHeight="1" x14ac:dyDescent="0.3">
      <c r="J23636" s="33"/>
    </row>
    <row r="23637" spans="10:10" ht="15" customHeight="1" x14ac:dyDescent="0.3">
      <c r="J23637" s="33"/>
    </row>
    <row r="23638" spans="10:10" ht="15" customHeight="1" x14ac:dyDescent="0.3">
      <c r="J23638" s="33"/>
    </row>
    <row r="23639" spans="10:10" ht="15" customHeight="1" x14ac:dyDescent="0.3">
      <c r="J23639" s="33"/>
    </row>
    <row r="23640" spans="10:10" ht="15" customHeight="1" x14ac:dyDescent="0.3">
      <c r="J23640" s="33"/>
    </row>
    <row r="23641" spans="10:10" ht="15" customHeight="1" x14ac:dyDescent="0.3">
      <c r="J23641" s="33"/>
    </row>
    <row r="23642" spans="10:10" ht="15" customHeight="1" x14ac:dyDescent="0.3">
      <c r="J23642" s="33"/>
    </row>
    <row r="23643" spans="10:10" ht="15" customHeight="1" x14ac:dyDescent="0.3">
      <c r="J23643" s="33"/>
    </row>
    <row r="23644" spans="10:10" ht="15" customHeight="1" x14ac:dyDescent="0.3">
      <c r="J23644" s="33"/>
    </row>
    <row r="23645" spans="10:10" ht="15" customHeight="1" x14ac:dyDescent="0.3">
      <c r="J23645" s="33"/>
    </row>
    <row r="23646" spans="10:10" ht="15" customHeight="1" x14ac:dyDescent="0.3">
      <c r="J23646" s="33"/>
    </row>
    <row r="23647" spans="10:10" ht="15" customHeight="1" x14ac:dyDescent="0.3">
      <c r="J23647" s="33"/>
    </row>
    <row r="23648" spans="10:10" ht="15" customHeight="1" x14ac:dyDescent="0.3">
      <c r="J23648" s="33"/>
    </row>
    <row r="23649" spans="10:10" ht="15" customHeight="1" x14ac:dyDescent="0.3">
      <c r="J23649" s="33"/>
    </row>
    <row r="23650" spans="10:10" ht="15" customHeight="1" x14ac:dyDescent="0.3">
      <c r="J23650" s="33"/>
    </row>
    <row r="23651" spans="10:10" ht="15" customHeight="1" x14ac:dyDescent="0.3">
      <c r="J23651" s="33"/>
    </row>
    <row r="23652" spans="10:10" ht="15" customHeight="1" x14ac:dyDescent="0.3">
      <c r="J23652" s="33"/>
    </row>
    <row r="23653" spans="10:10" ht="15" customHeight="1" x14ac:dyDescent="0.3">
      <c r="J23653" s="33"/>
    </row>
    <row r="23654" spans="10:10" ht="15" customHeight="1" x14ac:dyDescent="0.3">
      <c r="J23654" s="33"/>
    </row>
    <row r="23655" spans="10:10" ht="15" customHeight="1" x14ac:dyDescent="0.3">
      <c r="J23655" s="33"/>
    </row>
    <row r="23656" spans="10:10" ht="15" customHeight="1" x14ac:dyDescent="0.3">
      <c r="J23656" s="33"/>
    </row>
    <row r="23657" spans="10:10" ht="15" customHeight="1" x14ac:dyDescent="0.3">
      <c r="J23657" s="33"/>
    </row>
    <row r="23658" spans="10:10" ht="15" customHeight="1" x14ac:dyDescent="0.3">
      <c r="J23658" s="33"/>
    </row>
    <row r="23659" spans="10:10" ht="15" customHeight="1" x14ac:dyDescent="0.3">
      <c r="J23659" s="33"/>
    </row>
    <row r="23660" spans="10:10" ht="15" customHeight="1" x14ac:dyDescent="0.3">
      <c r="J23660" s="33"/>
    </row>
    <row r="23661" spans="10:10" ht="15" customHeight="1" x14ac:dyDescent="0.3">
      <c r="J23661" s="33"/>
    </row>
    <row r="23662" spans="10:10" ht="15" customHeight="1" x14ac:dyDescent="0.3">
      <c r="J23662" s="33"/>
    </row>
    <row r="23663" spans="10:10" ht="15" customHeight="1" x14ac:dyDescent="0.3">
      <c r="J23663" s="33"/>
    </row>
    <row r="23664" spans="10:10" ht="15" customHeight="1" x14ac:dyDescent="0.3">
      <c r="J23664" s="33"/>
    </row>
    <row r="23665" spans="10:10" ht="15" customHeight="1" x14ac:dyDescent="0.3">
      <c r="J23665" s="33"/>
    </row>
    <row r="23666" spans="10:10" ht="15" customHeight="1" x14ac:dyDescent="0.3">
      <c r="J23666" s="33"/>
    </row>
    <row r="23667" spans="10:10" ht="15" customHeight="1" x14ac:dyDescent="0.3">
      <c r="J23667" s="33"/>
    </row>
    <row r="23668" spans="10:10" ht="15" customHeight="1" x14ac:dyDescent="0.3">
      <c r="J23668" s="33"/>
    </row>
    <row r="23669" spans="10:10" ht="15" customHeight="1" x14ac:dyDescent="0.3">
      <c r="J23669" s="33"/>
    </row>
    <row r="23670" spans="10:10" ht="15" customHeight="1" x14ac:dyDescent="0.3">
      <c r="J23670" s="33"/>
    </row>
    <row r="23671" spans="10:10" ht="15" customHeight="1" x14ac:dyDescent="0.3">
      <c r="J23671" s="33"/>
    </row>
    <row r="23672" spans="10:10" ht="15" customHeight="1" x14ac:dyDescent="0.3">
      <c r="J23672" s="33"/>
    </row>
    <row r="23673" spans="10:10" ht="15" customHeight="1" x14ac:dyDescent="0.3">
      <c r="J23673" s="33"/>
    </row>
    <row r="23674" spans="10:10" ht="15" customHeight="1" x14ac:dyDescent="0.3">
      <c r="J23674" s="33"/>
    </row>
    <row r="23675" spans="10:10" ht="15" customHeight="1" x14ac:dyDescent="0.3">
      <c r="J23675" s="33"/>
    </row>
    <row r="23676" spans="10:10" ht="15" customHeight="1" x14ac:dyDescent="0.3">
      <c r="J23676" s="33"/>
    </row>
    <row r="23677" spans="10:10" ht="15" customHeight="1" x14ac:dyDescent="0.3">
      <c r="J23677" s="33"/>
    </row>
    <row r="23678" spans="10:10" ht="15" customHeight="1" x14ac:dyDescent="0.3">
      <c r="J23678" s="33"/>
    </row>
    <row r="23679" spans="10:10" ht="15" customHeight="1" x14ac:dyDescent="0.3">
      <c r="J23679" s="33"/>
    </row>
    <row r="23680" spans="10:10" ht="15" customHeight="1" x14ac:dyDescent="0.3">
      <c r="J23680" s="33"/>
    </row>
    <row r="23681" spans="10:10" ht="15" customHeight="1" x14ac:dyDescent="0.3">
      <c r="J23681" s="33"/>
    </row>
    <row r="23682" spans="10:10" ht="15" customHeight="1" x14ac:dyDescent="0.3">
      <c r="J23682" s="33"/>
    </row>
    <row r="23683" spans="10:10" ht="15" customHeight="1" x14ac:dyDescent="0.3">
      <c r="J23683" s="33"/>
    </row>
    <row r="23684" spans="10:10" ht="15" customHeight="1" x14ac:dyDescent="0.3">
      <c r="J23684" s="33"/>
    </row>
    <row r="23685" spans="10:10" ht="15" customHeight="1" x14ac:dyDescent="0.3">
      <c r="J23685" s="33"/>
    </row>
    <row r="23686" spans="10:10" ht="15" customHeight="1" x14ac:dyDescent="0.3">
      <c r="J23686" s="33"/>
    </row>
    <row r="23687" spans="10:10" ht="15" customHeight="1" x14ac:dyDescent="0.3">
      <c r="J23687" s="33"/>
    </row>
    <row r="23688" spans="10:10" ht="15" customHeight="1" x14ac:dyDescent="0.3">
      <c r="J23688" s="33"/>
    </row>
    <row r="23689" spans="10:10" ht="15" customHeight="1" x14ac:dyDescent="0.3">
      <c r="J23689" s="33"/>
    </row>
    <row r="23690" spans="10:10" ht="15" customHeight="1" x14ac:dyDescent="0.3">
      <c r="J23690" s="33"/>
    </row>
    <row r="23691" spans="10:10" ht="15" customHeight="1" x14ac:dyDescent="0.3">
      <c r="J23691" s="33"/>
    </row>
    <row r="23692" spans="10:10" ht="15" customHeight="1" x14ac:dyDescent="0.3">
      <c r="J23692" s="33"/>
    </row>
    <row r="23693" spans="10:10" ht="15" customHeight="1" x14ac:dyDescent="0.3">
      <c r="J23693" s="33"/>
    </row>
    <row r="23694" spans="10:10" ht="15" customHeight="1" x14ac:dyDescent="0.3">
      <c r="J23694" s="33"/>
    </row>
    <row r="23695" spans="10:10" ht="15" customHeight="1" x14ac:dyDescent="0.3">
      <c r="J23695" s="33"/>
    </row>
    <row r="23696" spans="10:10" ht="15" customHeight="1" x14ac:dyDescent="0.3">
      <c r="J23696" s="33"/>
    </row>
    <row r="23697" spans="10:10" ht="15" customHeight="1" x14ac:dyDescent="0.3">
      <c r="J23697" s="33"/>
    </row>
    <row r="23698" spans="10:10" ht="15" customHeight="1" x14ac:dyDescent="0.3">
      <c r="J23698" s="33"/>
    </row>
    <row r="23699" spans="10:10" ht="15" customHeight="1" x14ac:dyDescent="0.3">
      <c r="J23699" s="33"/>
    </row>
    <row r="23700" spans="10:10" ht="15" customHeight="1" x14ac:dyDescent="0.3">
      <c r="J23700" s="33"/>
    </row>
    <row r="23701" spans="10:10" ht="15" customHeight="1" x14ac:dyDescent="0.3">
      <c r="J23701" s="33"/>
    </row>
    <row r="23702" spans="10:10" ht="15" customHeight="1" x14ac:dyDescent="0.3">
      <c r="J23702" s="33"/>
    </row>
    <row r="23703" spans="10:10" ht="15" customHeight="1" x14ac:dyDescent="0.3">
      <c r="J23703" s="33"/>
    </row>
    <row r="23704" spans="10:10" ht="15" customHeight="1" x14ac:dyDescent="0.3">
      <c r="J23704" s="33"/>
    </row>
    <row r="23705" spans="10:10" ht="15" customHeight="1" x14ac:dyDescent="0.3">
      <c r="J23705" s="33"/>
    </row>
    <row r="23706" spans="10:10" ht="15" customHeight="1" x14ac:dyDescent="0.3">
      <c r="J23706" s="33"/>
    </row>
    <row r="23707" spans="10:10" ht="15" customHeight="1" x14ac:dyDescent="0.3">
      <c r="J23707" s="33"/>
    </row>
    <row r="23708" spans="10:10" ht="15" customHeight="1" x14ac:dyDescent="0.3">
      <c r="J23708" s="33"/>
    </row>
    <row r="23709" spans="10:10" ht="15" customHeight="1" x14ac:dyDescent="0.3">
      <c r="J23709" s="33"/>
    </row>
    <row r="23710" spans="10:10" ht="15" customHeight="1" x14ac:dyDescent="0.3">
      <c r="J23710" s="33"/>
    </row>
    <row r="23711" spans="10:10" ht="15" customHeight="1" x14ac:dyDescent="0.3">
      <c r="J23711" s="33"/>
    </row>
    <row r="23712" spans="10:10" ht="15" customHeight="1" x14ac:dyDescent="0.3">
      <c r="J23712" s="33"/>
    </row>
    <row r="23713" spans="10:10" ht="15" customHeight="1" x14ac:dyDescent="0.3">
      <c r="J23713" s="33"/>
    </row>
    <row r="23714" spans="10:10" ht="15" customHeight="1" x14ac:dyDescent="0.3">
      <c r="J23714" s="33"/>
    </row>
    <row r="23715" spans="10:10" ht="15" customHeight="1" x14ac:dyDescent="0.3">
      <c r="J23715" s="33"/>
    </row>
    <row r="23716" spans="10:10" ht="15" customHeight="1" x14ac:dyDescent="0.3">
      <c r="J23716" s="33"/>
    </row>
    <row r="23717" spans="10:10" ht="15" customHeight="1" x14ac:dyDescent="0.3">
      <c r="J23717" s="33"/>
    </row>
    <row r="23718" spans="10:10" ht="15" customHeight="1" x14ac:dyDescent="0.3">
      <c r="J23718" s="33"/>
    </row>
    <row r="23719" spans="10:10" ht="15" customHeight="1" x14ac:dyDescent="0.3">
      <c r="J23719" s="33"/>
    </row>
    <row r="23720" spans="10:10" ht="15" customHeight="1" x14ac:dyDescent="0.3">
      <c r="J23720" s="33"/>
    </row>
    <row r="23721" spans="10:10" ht="15" customHeight="1" x14ac:dyDescent="0.3">
      <c r="J23721" s="33"/>
    </row>
    <row r="23722" spans="10:10" ht="15" customHeight="1" x14ac:dyDescent="0.3">
      <c r="J23722" s="33"/>
    </row>
    <row r="23723" spans="10:10" ht="15" customHeight="1" x14ac:dyDescent="0.3">
      <c r="J23723" s="33"/>
    </row>
    <row r="23724" spans="10:10" ht="15" customHeight="1" x14ac:dyDescent="0.3">
      <c r="J23724" s="33"/>
    </row>
    <row r="23725" spans="10:10" ht="15" customHeight="1" x14ac:dyDescent="0.3">
      <c r="J23725" s="33"/>
    </row>
    <row r="23726" spans="10:10" ht="15" customHeight="1" x14ac:dyDescent="0.3">
      <c r="J23726" s="33"/>
    </row>
    <row r="23727" spans="10:10" ht="15" customHeight="1" x14ac:dyDescent="0.3">
      <c r="J23727" s="33"/>
    </row>
    <row r="23728" spans="10:10" ht="15" customHeight="1" x14ac:dyDescent="0.3">
      <c r="J23728" s="33"/>
    </row>
    <row r="23729" spans="10:10" ht="15" customHeight="1" x14ac:dyDescent="0.3">
      <c r="J23729" s="33"/>
    </row>
    <row r="23730" spans="10:10" ht="15" customHeight="1" x14ac:dyDescent="0.3">
      <c r="J23730" s="33"/>
    </row>
    <row r="23731" spans="10:10" ht="15" customHeight="1" x14ac:dyDescent="0.3">
      <c r="J23731" s="33"/>
    </row>
    <row r="23732" spans="10:10" ht="15" customHeight="1" x14ac:dyDescent="0.3">
      <c r="J23732" s="33"/>
    </row>
    <row r="23733" spans="10:10" ht="15" customHeight="1" x14ac:dyDescent="0.3">
      <c r="J23733" s="33"/>
    </row>
    <row r="23734" spans="10:10" ht="15" customHeight="1" x14ac:dyDescent="0.3">
      <c r="J23734" s="33"/>
    </row>
    <row r="23735" spans="10:10" ht="15" customHeight="1" x14ac:dyDescent="0.3">
      <c r="J23735" s="33"/>
    </row>
    <row r="23736" spans="10:10" ht="15" customHeight="1" x14ac:dyDescent="0.3">
      <c r="J23736" s="33"/>
    </row>
    <row r="23737" spans="10:10" ht="15" customHeight="1" x14ac:dyDescent="0.3">
      <c r="J23737" s="33"/>
    </row>
    <row r="23738" spans="10:10" ht="15" customHeight="1" x14ac:dyDescent="0.3">
      <c r="J23738" s="33"/>
    </row>
    <row r="23739" spans="10:10" ht="15" customHeight="1" x14ac:dyDescent="0.3">
      <c r="J23739" s="33"/>
    </row>
    <row r="23740" spans="10:10" ht="15" customHeight="1" x14ac:dyDescent="0.3">
      <c r="J23740" s="33"/>
    </row>
    <row r="23741" spans="10:10" ht="15" customHeight="1" x14ac:dyDescent="0.3">
      <c r="J23741" s="33"/>
    </row>
    <row r="23742" spans="10:10" ht="15" customHeight="1" x14ac:dyDescent="0.3">
      <c r="J23742" s="33"/>
    </row>
    <row r="23743" spans="10:10" ht="15" customHeight="1" x14ac:dyDescent="0.3">
      <c r="J23743" s="33"/>
    </row>
    <row r="23744" spans="10:10" ht="15" customHeight="1" x14ac:dyDescent="0.3">
      <c r="J23744" s="33"/>
    </row>
    <row r="23745" spans="10:10" ht="15" customHeight="1" x14ac:dyDescent="0.3">
      <c r="J23745" s="33"/>
    </row>
    <row r="23746" spans="10:10" ht="15" customHeight="1" x14ac:dyDescent="0.3">
      <c r="J23746" s="33"/>
    </row>
    <row r="23747" spans="10:10" ht="15" customHeight="1" x14ac:dyDescent="0.3">
      <c r="J23747" s="33"/>
    </row>
    <row r="23748" spans="10:10" ht="15" customHeight="1" x14ac:dyDescent="0.3">
      <c r="J23748" s="33"/>
    </row>
    <row r="23749" spans="10:10" ht="15" customHeight="1" x14ac:dyDescent="0.3">
      <c r="J23749" s="33"/>
    </row>
    <row r="23750" spans="10:10" ht="15" customHeight="1" x14ac:dyDescent="0.3">
      <c r="J23750" s="33"/>
    </row>
    <row r="23751" spans="10:10" ht="15" customHeight="1" x14ac:dyDescent="0.3">
      <c r="J23751" s="33"/>
    </row>
    <row r="23752" spans="10:10" ht="15" customHeight="1" x14ac:dyDescent="0.3">
      <c r="J23752" s="33"/>
    </row>
    <row r="23753" spans="10:10" ht="15" customHeight="1" x14ac:dyDescent="0.3">
      <c r="J23753" s="33"/>
    </row>
    <row r="23754" spans="10:10" ht="15" customHeight="1" x14ac:dyDescent="0.3">
      <c r="J23754" s="33"/>
    </row>
    <row r="23755" spans="10:10" ht="15" customHeight="1" x14ac:dyDescent="0.3">
      <c r="J23755" s="33"/>
    </row>
    <row r="23756" spans="10:10" ht="15" customHeight="1" x14ac:dyDescent="0.3">
      <c r="J23756" s="33"/>
    </row>
    <row r="23757" spans="10:10" ht="15" customHeight="1" x14ac:dyDescent="0.3">
      <c r="J23757" s="33"/>
    </row>
    <row r="23758" spans="10:10" ht="15" customHeight="1" x14ac:dyDescent="0.3">
      <c r="J23758" s="33"/>
    </row>
    <row r="23759" spans="10:10" ht="15" customHeight="1" x14ac:dyDescent="0.3">
      <c r="J23759" s="33"/>
    </row>
    <row r="23760" spans="10:10" ht="15" customHeight="1" x14ac:dyDescent="0.3">
      <c r="J23760" s="33"/>
    </row>
    <row r="23761" spans="10:10" ht="15" customHeight="1" x14ac:dyDescent="0.3">
      <c r="J23761" s="33"/>
    </row>
    <row r="23762" spans="10:10" ht="15" customHeight="1" x14ac:dyDescent="0.3">
      <c r="J23762" s="33"/>
    </row>
    <row r="23763" spans="10:10" ht="15" customHeight="1" x14ac:dyDescent="0.3">
      <c r="J23763" s="33"/>
    </row>
    <row r="23764" spans="10:10" ht="15" customHeight="1" x14ac:dyDescent="0.3">
      <c r="J23764" s="33"/>
    </row>
    <row r="23765" spans="10:10" ht="15" customHeight="1" x14ac:dyDescent="0.3">
      <c r="J23765" s="33"/>
    </row>
    <row r="23766" spans="10:10" ht="15" customHeight="1" x14ac:dyDescent="0.3">
      <c r="J23766" s="33"/>
    </row>
    <row r="23767" spans="10:10" ht="15" customHeight="1" x14ac:dyDescent="0.3">
      <c r="J23767" s="33"/>
    </row>
    <row r="23768" spans="10:10" ht="15" customHeight="1" x14ac:dyDescent="0.3">
      <c r="J23768" s="33"/>
    </row>
    <row r="23769" spans="10:10" ht="15" customHeight="1" x14ac:dyDescent="0.3">
      <c r="J23769" s="33"/>
    </row>
    <row r="23770" spans="10:10" ht="15" customHeight="1" x14ac:dyDescent="0.3">
      <c r="J23770" s="33"/>
    </row>
    <row r="23771" spans="10:10" ht="15" customHeight="1" x14ac:dyDescent="0.3">
      <c r="J23771" s="33"/>
    </row>
    <row r="23772" spans="10:10" ht="15" customHeight="1" x14ac:dyDescent="0.3">
      <c r="J23772" s="33"/>
    </row>
    <row r="23773" spans="10:10" ht="15" customHeight="1" x14ac:dyDescent="0.3">
      <c r="J23773" s="33"/>
    </row>
    <row r="23774" spans="10:10" ht="15" customHeight="1" x14ac:dyDescent="0.3">
      <c r="J23774" s="33"/>
    </row>
    <row r="23775" spans="10:10" ht="15" customHeight="1" x14ac:dyDescent="0.3">
      <c r="J23775" s="33"/>
    </row>
    <row r="23776" spans="10:10" ht="15" customHeight="1" x14ac:dyDescent="0.3">
      <c r="J23776" s="33"/>
    </row>
    <row r="23777" spans="10:10" ht="15" customHeight="1" x14ac:dyDescent="0.3">
      <c r="J23777" s="33"/>
    </row>
    <row r="23778" spans="10:10" ht="15" customHeight="1" x14ac:dyDescent="0.3">
      <c r="J23778" s="33"/>
    </row>
    <row r="23779" spans="10:10" ht="15" customHeight="1" x14ac:dyDescent="0.3">
      <c r="J23779" s="33"/>
    </row>
    <row r="23780" spans="10:10" ht="15" customHeight="1" x14ac:dyDescent="0.3">
      <c r="J23780" s="33"/>
    </row>
    <row r="23781" spans="10:10" ht="15" customHeight="1" x14ac:dyDescent="0.3">
      <c r="J23781" s="33"/>
    </row>
    <row r="23782" spans="10:10" ht="15" customHeight="1" x14ac:dyDescent="0.3">
      <c r="J23782" s="33"/>
    </row>
    <row r="23783" spans="10:10" ht="15" customHeight="1" x14ac:dyDescent="0.3">
      <c r="J23783" s="33"/>
    </row>
    <row r="23784" spans="10:10" ht="15" customHeight="1" x14ac:dyDescent="0.3">
      <c r="J23784" s="33"/>
    </row>
    <row r="23785" spans="10:10" ht="15" customHeight="1" x14ac:dyDescent="0.3">
      <c r="J23785" s="33"/>
    </row>
    <row r="23786" spans="10:10" ht="15" customHeight="1" x14ac:dyDescent="0.3">
      <c r="J23786" s="33"/>
    </row>
    <row r="23787" spans="10:10" ht="15" customHeight="1" x14ac:dyDescent="0.3">
      <c r="J23787" s="33"/>
    </row>
    <row r="23788" spans="10:10" ht="15" customHeight="1" x14ac:dyDescent="0.3">
      <c r="J23788" s="33"/>
    </row>
    <row r="23789" spans="10:10" ht="15" customHeight="1" x14ac:dyDescent="0.3">
      <c r="J23789" s="33"/>
    </row>
    <row r="23790" spans="10:10" ht="15" customHeight="1" x14ac:dyDescent="0.3">
      <c r="J23790" s="33"/>
    </row>
    <row r="23791" spans="10:10" ht="15" customHeight="1" x14ac:dyDescent="0.3">
      <c r="J23791" s="33"/>
    </row>
    <row r="23792" spans="10:10" ht="15" customHeight="1" x14ac:dyDescent="0.3">
      <c r="J23792" s="33"/>
    </row>
    <row r="23793" spans="10:10" ht="15" customHeight="1" x14ac:dyDescent="0.3">
      <c r="J23793" s="33"/>
    </row>
    <row r="23794" spans="10:10" ht="15" customHeight="1" x14ac:dyDescent="0.3">
      <c r="J23794" s="33"/>
    </row>
    <row r="23795" spans="10:10" ht="15" customHeight="1" x14ac:dyDescent="0.3">
      <c r="J23795" s="33"/>
    </row>
    <row r="23796" spans="10:10" ht="15" customHeight="1" x14ac:dyDescent="0.3">
      <c r="J23796" s="33"/>
    </row>
    <row r="23797" spans="10:10" ht="15" customHeight="1" x14ac:dyDescent="0.3">
      <c r="J23797" s="33"/>
    </row>
    <row r="23798" spans="10:10" ht="15" customHeight="1" x14ac:dyDescent="0.3">
      <c r="J23798" s="33"/>
    </row>
    <row r="23799" spans="10:10" ht="15" customHeight="1" x14ac:dyDescent="0.3">
      <c r="J23799" s="33"/>
    </row>
    <row r="23800" spans="10:10" ht="15" customHeight="1" x14ac:dyDescent="0.3">
      <c r="J23800" s="33"/>
    </row>
    <row r="23801" spans="10:10" ht="15" customHeight="1" x14ac:dyDescent="0.3">
      <c r="J23801" s="33"/>
    </row>
    <row r="23802" spans="10:10" ht="15" customHeight="1" x14ac:dyDescent="0.3">
      <c r="J23802" s="33"/>
    </row>
    <row r="23803" spans="10:10" ht="15" customHeight="1" x14ac:dyDescent="0.3">
      <c r="J23803" s="33"/>
    </row>
    <row r="23804" spans="10:10" ht="15" customHeight="1" x14ac:dyDescent="0.3">
      <c r="J23804" s="33"/>
    </row>
    <row r="23805" spans="10:10" ht="15" customHeight="1" x14ac:dyDescent="0.3">
      <c r="J23805" s="33"/>
    </row>
    <row r="23806" spans="10:10" ht="15" customHeight="1" x14ac:dyDescent="0.3">
      <c r="J23806" s="33"/>
    </row>
    <row r="23807" spans="10:10" ht="15" customHeight="1" x14ac:dyDescent="0.3">
      <c r="J23807" s="33"/>
    </row>
    <row r="23808" spans="10:10" ht="15" customHeight="1" x14ac:dyDescent="0.3">
      <c r="J23808" s="33"/>
    </row>
    <row r="23809" spans="10:10" ht="15" customHeight="1" x14ac:dyDescent="0.3">
      <c r="J23809" s="33"/>
    </row>
    <row r="23810" spans="10:10" ht="15" customHeight="1" x14ac:dyDescent="0.3">
      <c r="J23810" s="33"/>
    </row>
    <row r="23811" spans="10:10" ht="15" customHeight="1" x14ac:dyDescent="0.3">
      <c r="J23811" s="33"/>
    </row>
    <row r="23812" spans="10:10" ht="15" customHeight="1" x14ac:dyDescent="0.3">
      <c r="J23812" s="33"/>
    </row>
    <row r="23813" spans="10:10" ht="15" customHeight="1" x14ac:dyDescent="0.3">
      <c r="J23813" s="33"/>
    </row>
    <row r="23814" spans="10:10" ht="15" customHeight="1" x14ac:dyDescent="0.3">
      <c r="J23814" s="33"/>
    </row>
    <row r="23815" spans="10:10" ht="15" customHeight="1" x14ac:dyDescent="0.3">
      <c r="J23815" s="33"/>
    </row>
    <row r="23816" spans="10:10" ht="15" customHeight="1" x14ac:dyDescent="0.3">
      <c r="J23816" s="33"/>
    </row>
    <row r="23817" spans="10:10" ht="15" customHeight="1" x14ac:dyDescent="0.3">
      <c r="J23817" s="33"/>
    </row>
    <row r="23818" spans="10:10" ht="15" customHeight="1" x14ac:dyDescent="0.3">
      <c r="J23818" s="33"/>
    </row>
    <row r="23819" spans="10:10" ht="15" customHeight="1" x14ac:dyDescent="0.3">
      <c r="J23819" s="33"/>
    </row>
    <row r="23820" spans="10:10" ht="15" customHeight="1" x14ac:dyDescent="0.3">
      <c r="J23820" s="33"/>
    </row>
    <row r="23821" spans="10:10" ht="15" customHeight="1" x14ac:dyDescent="0.3">
      <c r="J23821" s="33"/>
    </row>
    <row r="23822" spans="10:10" ht="15" customHeight="1" x14ac:dyDescent="0.3">
      <c r="J23822" s="33"/>
    </row>
    <row r="23823" spans="10:10" ht="15" customHeight="1" x14ac:dyDescent="0.3">
      <c r="J23823" s="33"/>
    </row>
    <row r="23824" spans="10:10" ht="15" customHeight="1" x14ac:dyDescent="0.3">
      <c r="J23824" s="33"/>
    </row>
    <row r="23825" spans="10:10" ht="15" customHeight="1" x14ac:dyDescent="0.3">
      <c r="J23825" s="33"/>
    </row>
    <row r="23826" spans="10:10" ht="15" customHeight="1" x14ac:dyDescent="0.3">
      <c r="J23826" s="33"/>
    </row>
    <row r="23827" spans="10:10" ht="15" customHeight="1" x14ac:dyDescent="0.3">
      <c r="J23827" s="33"/>
    </row>
    <row r="23828" spans="10:10" ht="15" customHeight="1" x14ac:dyDescent="0.3">
      <c r="J23828" s="33"/>
    </row>
    <row r="23829" spans="10:10" ht="15" customHeight="1" x14ac:dyDescent="0.3">
      <c r="J23829" s="33"/>
    </row>
    <row r="23830" spans="10:10" ht="15" customHeight="1" x14ac:dyDescent="0.3">
      <c r="J23830" s="33"/>
    </row>
    <row r="23831" spans="10:10" ht="15" customHeight="1" x14ac:dyDescent="0.3">
      <c r="J23831" s="33"/>
    </row>
    <row r="23832" spans="10:10" ht="15" customHeight="1" x14ac:dyDescent="0.3">
      <c r="J23832" s="33"/>
    </row>
    <row r="23833" spans="10:10" ht="15" customHeight="1" x14ac:dyDescent="0.3">
      <c r="J23833" s="33"/>
    </row>
    <row r="23834" spans="10:10" ht="15" customHeight="1" x14ac:dyDescent="0.3">
      <c r="J23834" s="33"/>
    </row>
    <row r="23835" spans="10:10" ht="15" customHeight="1" x14ac:dyDescent="0.3">
      <c r="J23835" s="33"/>
    </row>
    <row r="23836" spans="10:10" ht="15" customHeight="1" x14ac:dyDescent="0.3">
      <c r="J23836" s="33"/>
    </row>
    <row r="23837" spans="10:10" ht="15" customHeight="1" x14ac:dyDescent="0.3">
      <c r="J23837" s="33"/>
    </row>
    <row r="23838" spans="10:10" ht="15" customHeight="1" x14ac:dyDescent="0.3">
      <c r="J23838" s="33"/>
    </row>
    <row r="23839" spans="10:10" ht="15" customHeight="1" x14ac:dyDescent="0.3">
      <c r="J23839" s="33"/>
    </row>
    <row r="23840" spans="10:10" ht="15" customHeight="1" x14ac:dyDescent="0.3">
      <c r="J23840" s="33"/>
    </row>
    <row r="23841" spans="10:10" ht="15" customHeight="1" x14ac:dyDescent="0.3">
      <c r="J23841" s="33"/>
    </row>
    <row r="23842" spans="10:10" ht="15" customHeight="1" x14ac:dyDescent="0.3">
      <c r="J23842" s="33"/>
    </row>
    <row r="23843" spans="10:10" ht="15" customHeight="1" x14ac:dyDescent="0.3">
      <c r="J23843" s="33"/>
    </row>
    <row r="23844" spans="10:10" ht="15" customHeight="1" x14ac:dyDescent="0.3">
      <c r="J23844" s="33"/>
    </row>
    <row r="23845" spans="10:10" ht="15" customHeight="1" x14ac:dyDescent="0.3">
      <c r="J23845" s="33"/>
    </row>
    <row r="23846" spans="10:10" ht="15" customHeight="1" x14ac:dyDescent="0.3">
      <c r="J23846" s="33"/>
    </row>
    <row r="23847" spans="10:10" ht="15" customHeight="1" x14ac:dyDescent="0.3">
      <c r="J23847" s="33"/>
    </row>
    <row r="23848" spans="10:10" ht="15" customHeight="1" x14ac:dyDescent="0.3">
      <c r="J23848" s="33"/>
    </row>
    <row r="23849" spans="10:10" ht="15" customHeight="1" x14ac:dyDescent="0.3">
      <c r="J23849" s="33"/>
    </row>
    <row r="23850" spans="10:10" ht="15" customHeight="1" x14ac:dyDescent="0.3">
      <c r="J23850" s="33"/>
    </row>
    <row r="23851" spans="10:10" ht="15" customHeight="1" x14ac:dyDescent="0.3">
      <c r="J23851" s="33"/>
    </row>
    <row r="23852" spans="10:10" ht="15" customHeight="1" x14ac:dyDescent="0.3">
      <c r="J23852" s="33"/>
    </row>
    <row r="23853" spans="10:10" ht="15" customHeight="1" x14ac:dyDescent="0.3">
      <c r="J23853" s="33"/>
    </row>
    <row r="23854" spans="10:10" ht="15" customHeight="1" x14ac:dyDescent="0.3">
      <c r="J23854" s="33"/>
    </row>
    <row r="23855" spans="10:10" ht="15" customHeight="1" x14ac:dyDescent="0.3">
      <c r="J23855" s="33"/>
    </row>
    <row r="23856" spans="10:10" ht="15" customHeight="1" x14ac:dyDescent="0.3">
      <c r="J23856" s="33"/>
    </row>
    <row r="23857" spans="10:10" ht="15" customHeight="1" x14ac:dyDescent="0.3">
      <c r="J23857" s="33"/>
    </row>
    <row r="23858" spans="10:10" ht="15" customHeight="1" x14ac:dyDescent="0.3">
      <c r="J23858" s="33"/>
    </row>
    <row r="23859" spans="10:10" ht="15" customHeight="1" x14ac:dyDescent="0.3">
      <c r="J23859" s="33"/>
    </row>
    <row r="23860" spans="10:10" ht="15" customHeight="1" x14ac:dyDescent="0.3">
      <c r="J23860" s="33"/>
    </row>
    <row r="23861" spans="10:10" ht="15" customHeight="1" x14ac:dyDescent="0.3">
      <c r="J23861" s="33"/>
    </row>
    <row r="23862" spans="10:10" ht="15" customHeight="1" x14ac:dyDescent="0.3">
      <c r="J23862" s="33"/>
    </row>
    <row r="23863" spans="10:10" ht="15" customHeight="1" x14ac:dyDescent="0.3">
      <c r="J23863" s="33"/>
    </row>
    <row r="23864" spans="10:10" ht="15" customHeight="1" x14ac:dyDescent="0.3">
      <c r="J23864" s="33"/>
    </row>
    <row r="23865" spans="10:10" ht="15" customHeight="1" x14ac:dyDescent="0.3">
      <c r="J23865" s="33"/>
    </row>
    <row r="23866" spans="10:10" ht="15" customHeight="1" x14ac:dyDescent="0.3">
      <c r="J23866" s="33"/>
    </row>
    <row r="23867" spans="10:10" ht="15" customHeight="1" x14ac:dyDescent="0.3">
      <c r="J23867" s="33"/>
    </row>
    <row r="23868" spans="10:10" ht="15" customHeight="1" x14ac:dyDescent="0.3">
      <c r="J23868" s="33"/>
    </row>
    <row r="23869" spans="10:10" ht="15" customHeight="1" x14ac:dyDescent="0.3">
      <c r="J23869" s="33"/>
    </row>
    <row r="23870" spans="10:10" ht="15" customHeight="1" x14ac:dyDescent="0.3">
      <c r="J23870" s="33"/>
    </row>
    <row r="23871" spans="10:10" ht="15" customHeight="1" x14ac:dyDescent="0.3">
      <c r="J23871" s="33"/>
    </row>
    <row r="23872" spans="10:10" ht="15" customHeight="1" x14ac:dyDescent="0.3">
      <c r="J23872" s="33"/>
    </row>
    <row r="23873" spans="10:10" ht="15" customHeight="1" x14ac:dyDescent="0.3">
      <c r="J23873" s="33"/>
    </row>
    <row r="23874" spans="10:10" ht="15" customHeight="1" x14ac:dyDescent="0.3">
      <c r="J23874" s="33"/>
    </row>
    <row r="23875" spans="10:10" ht="15" customHeight="1" x14ac:dyDescent="0.3">
      <c r="J23875" s="33"/>
    </row>
    <row r="23876" spans="10:10" ht="15" customHeight="1" x14ac:dyDescent="0.3">
      <c r="J23876" s="33"/>
    </row>
    <row r="23877" spans="10:10" ht="15" customHeight="1" x14ac:dyDescent="0.3">
      <c r="J23877" s="33"/>
    </row>
    <row r="23878" spans="10:10" ht="15" customHeight="1" x14ac:dyDescent="0.3">
      <c r="J23878" s="33"/>
    </row>
    <row r="23879" spans="10:10" ht="15" customHeight="1" x14ac:dyDescent="0.3">
      <c r="J23879" s="33"/>
    </row>
    <row r="23880" spans="10:10" ht="15" customHeight="1" x14ac:dyDescent="0.3">
      <c r="J23880" s="33"/>
    </row>
    <row r="23881" spans="10:10" ht="15" customHeight="1" x14ac:dyDescent="0.3">
      <c r="J23881" s="33"/>
    </row>
    <row r="23882" spans="10:10" ht="15" customHeight="1" x14ac:dyDescent="0.3">
      <c r="J23882" s="33"/>
    </row>
    <row r="23883" spans="10:10" ht="15" customHeight="1" x14ac:dyDescent="0.3">
      <c r="J23883" s="33"/>
    </row>
    <row r="23884" spans="10:10" ht="15" customHeight="1" x14ac:dyDescent="0.3">
      <c r="J23884" s="33"/>
    </row>
    <row r="23885" spans="10:10" ht="15" customHeight="1" x14ac:dyDescent="0.3">
      <c r="J23885" s="33"/>
    </row>
    <row r="23886" spans="10:10" ht="15" customHeight="1" x14ac:dyDescent="0.3">
      <c r="J23886" s="33"/>
    </row>
    <row r="23887" spans="10:10" ht="15" customHeight="1" x14ac:dyDescent="0.3">
      <c r="J23887" s="33"/>
    </row>
    <row r="23888" spans="10:10" ht="15" customHeight="1" x14ac:dyDescent="0.3">
      <c r="J23888" s="33"/>
    </row>
    <row r="23889" spans="10:10" ht="15" customHeight="1" x14ac:dyDescent="0.3">
      <c r="J23889" s="33"/>
    </row>
    <row r="23890" spans="10:10" ht="15" customHeight="1" x14ac:dyDescent="0.3">
      <c r="J23890" s="33"/>
    </row>
    <row r="23891" spans="10:10" ht="15" customHeight="1" x14ac:dyDescent="0.3">
      <c r="J23891" s="33"/>
    </row>
    <row r="23892" spans="10:10" ht="15" customHeight="1" x14ac:dyDescent="0.3">
      <c r="J23892" s="33"/>
    </row>
    <row r="23893" spans="10:10" ht="15" customHeight="1" x14ac:dyDescent="0.3">
      <c r="J23893" s="33"/>
    </row>
    <row r="23894" spans="10:10" ht="15" customHeight="1" x14ac:dyDescent="0.3">
      <c r="J23894" s="33"/>
    </row>
    <row r="23895" spans="10:10" ht="15" customHeight="1" x14ac:dyDescent="0.3">
      <c r="J23895" s="33"/>
    </row>
    <row r="23896" spans="10:10" ht="15" customHeight="1" x14ac:dyDescent="0.3">
      <c r="J23896" s="33"/>
    </row>
    <row r="23897" spans="10:10" ht="15" customHeight="1" x14ac:dyDescent="0.3">
      <c r="J23897" s="33"/>
    </row>
    <row r="23898" spans="10:10" ht="15" customHeight="1" x14ac:dyDescent="0.3">
      <c r="J23898" s="33"/>
    </row>
    <row r="23899" spans="10:10" ht="15" customHeight="1" x14ac:dyDescent="0.3">
      <c r="J23899" s="33"/>
    </row>
    <row r="23900" spans="10:10" ht="15" customHeight="1" x14ac:dyDescent="0.3">
      <c r="J23900" s="33"/>
    </row>
    <row r="23901" spans="10:10" ht="15" customHeight="1" x14ac:dyDescent="0.3">
      <c r="J23901" s="33"/>
    </row>
    <row r="23902" spans="10:10" ht="15" customHeight="1" x14ac:dyDescent="0.3">
      <c r="J23902" s="33"/>
    </row>
    <row r="23903" spans="10:10" ht="15" customHeight="1" x14ac:dyDescent="0.3">
      <c r="J23903" s="33"/>
    </row>
    <row r="23904" spans="10:10" ht="15" customHeight="1" x14ac:dyDescent="0.3">
      <c r="J23904" s="33"/>
    </row>
    <row r="23905" spans="10:10" ht="15" customHeight="1" x14ac:dyDescent="0.3">
      <c r="J23905" s="33"/>
    </row>
    <row r="23906" spans="10:10" ht="15" customHeight="1" x14ac:dyDescent="0.3">
      <c r="J23906" s="33"/>
    </row>
    <row r="23907" spans="10:10" ht="15" customHeight="1" x14ac:dyDescent="0.3">
      <c r="J23907" s="33"/>
    </row>
    <row r="23908" spans="10:10" ht="15" customHeight="1" x14ac:dyDescent="0.3">
      <c r="J23908" s="33"/>
    </row>
    <row r="23909" spans="10:10" ht="15" customHeight="1" x14ac:dyDescent="0.3">
      <c r="J23909" s="33"/>
    </row>
    <row r="23910" spans="10:10" ht="15" customHeight="1" x14ac:dyDescent="0.3">
      <c r="J23910" s="33"/>
    </row>
    <row r="23911" spans="10:10" ht="15" customHeight="1" x14ac:dyDescent="0.3">
      <c r="J23911" s="33"/>
    </row>
    <row r="23912" spans="10:10" ht="15" customHeight="1" x14ac:dyDescent="0.3">
      <c r="J23912" s="33"/>
    </row>
    <row r="23913" spans="10:10" ht="15" customHeight="1" x14ac:dyDescent="0.3">
      <c r="J23913" s="33"/>
    </row>
    <row r="23914" spans="10:10" ht="15" customHeight="1" x14ac:dyDescent="0.3">
      <c r="J23914" s="33"/>
    </row>
    <row r="23915" spans="10:10" ht="15" customHeight="1" x14ac:dyDescent="0.3">
      <c r="J23915" s="33"/>
    </row>
    <row r="23916" spans="10:10" ht="15" customHeight="1" x14ac:dyDescent="0.3">
      <c r="J23916" s="33"/>
    </row>
    <row r="23917" spans="10:10" ht="15" customHeight="1" x14ac:dyDescent="0.3">
      <c r="J23917" s="33"/>
    </row>
    <row r="23918" spans="10:10" ht="15" customHeight="1" x14ac:dyDescent="0.3">
      <c r="J23918" s="33"/>
    </row>
    <row r="23919" spans="10:10" ht="15" customHeight="1" x14ac:dyDescent="0.3">
      <c r="J23919" s="33"/>
    </row>
    <row r="23920" spans="10:10" ht="15" customHeight="1" x14ac:dyDescent="0.3">
      <c r="J23920" s="33"/>
    </row>
    <row r="23921" spans="10:10" ht="15" customHeight="1" x14ac:dyDescent="0.3">
      <c r="J23921" s="33"/>
    </row>
    <row r="23922" spans="10:10" ht="15" customHeight="1" x14ac:dyDescent="0.3">
      <c r="J23922" s="33"/>
    </row>
    <row r="23923" spans="10:10" ht="15" customHeight="1" x14ac:dyDescent="0.3">
      <c r="J23923" s="33"/>
    </row>
    <row r="23924" spans="10:10" ht="15" customHeight="1" x14ac:dyDescent="0.3">
      <c r="J23924" s="33"/>
    </row>
    <row r="23925" spans="10:10" ht="15" customHeight="1" x14ac:dyDescent="0.3">
      <c r="J23925" s="33"/>
    </row>
    <row r="23926" spans="10:10" ht="15" customHeight="1" x14ac:dyDescent="0.3">
      <c r="J23926" s="33"/>
    </row>
    <row r="23927" spans="10:10" ht="15" customHeight="1" x14ac:dyDescent="0.3">
      <c r="J23927" s="33"/>
    </row>
    <row r="23928" spans="10:10" ht="15" customHeight="1" x14ac:dyDescent="0.3">
      <c r="J23928" s="33"/>
    </row>
    <row r="23929" spans="10:10" ht="15" customHeight="1" x14ac:dyDescent="0.3">
      <c r="J23929" s="33"/>
    </row>
    <row r="23930" spans="10:10" ht="15" customHeight="1" x14ac:dyDescent="0.3">
      <c r="J23930" s="33"/>
    </row>
    <row r="23931" spans="10:10" ht="15" customHeight="1" x14ac:dyDescent="0.3">
      <c r="J23931" s="33"/>
    </row>
    <row r="23932" spans="10:10" ht="15" customHeight="1" x14ac:dyDescent="0.3">
      <c r="J23932" s="33"/>
    </row>
    <row r="23933" spans="10:10" ht="15" customHeight="1" x14ac:dyDescent="0.3">
      <c r="J23933" s="33"/>
    </row>
    <row r="23934" spans="10:10" ht="15" customHeight="1" x14ac:dyDescent="0.3">
      <c r="J23934" s="33"/>
    </row>
    <row r="23935" spans="10:10" ht="15" customHeight="1" x14ac:dyDescent="0.3">
      <c r="J23935" s="33"/>
    </row>
    <row r="23936" spans="10:10" ht="15" customHeight="1" x14ac:dyDescent="0.3">
      <c r="J23936" s="33"/>
    </row>
    <row r="23937" spans="10:10" ht="15" customHeight="1" x14ac:dyDescent="0.3">
      <c r="J23937" s="33"/>
    </row>
    <row r="23938" spans="10:10" ht="15" customHeight="1" x14ac:dyDescent="0.3">
      <c r="J23938" s="33"/>
    </row>
    <row r="23939" spans="10:10" ht="15" customHeight="1" x14ac:dyDescent="0.3">
      <c r="J23939" s="33"/>
    </row>
    <row r="23940" spans="10:10" ht="15" customHeight="1" x14ac:dyDescent="0.3">
      <c r="J23940" s="33"/>
    </row>
    <row r="23941" spans="10:10" ht="15" customHeight="1" x14ac:dyDescent="0.3">
      <c r="J23941" s="33"/>
    </row>
    <row r="23942" spans="10:10" ht="15" customHeight="1" x14ac:dyDescent="0.3">
      <c r="J23942" s="33"/>
    </row>
    <row r="23943" spans="10:10" ht="15" customHeight="1" x14ac:dyDescent="0.3">
      <c r="J23943" s="33"/>
    </row>
    <row r="23944" spans="10:10" ht="15" customHeight="1" x14ac:dyDescent="0.3">
      <c r="J23944" s="33"/>
    </row>
    <row r="23945" spans="10:10" ht="15" customHeight="1" x14ac:dyDescent="0.3">
      <c r="J23945" s="33"/>
    </row>
    <row r="23946" spans="10:10" ht="15" customHeight="1" x14ac:dyDescent="0.3">
      <c r="J23946" s="33"/>
    </row>
    <row r="23947" spans="10:10" ht="15" customHeight="1" x14ac:dyDescent="0.3">
      <c r="J23947" s="33"/>
    </row>
    <row r="23948" spans="10:10" ht="15" customHeight="1" x14ac:dyDescent="0.3">
      <c r="J23948" s="33"/>
    </row>
    <row r="23949" spans="10:10" ht="15" customHeight="1" x14ac:dyDescent="0.3">
      <c r="J23949" s="33"/>
    </row>
    <row r="23950" spans="10:10" ht="15" customHeight="1" x14ac:dyDescent="0.3">
      <c r="J23950" s="33"/>
    </row>
    <row r="23951" spans="10:10" ht="15" customHeight="1" x14ac:dyDescent="0.3">
      <c r="J23951" s="33"/>
    </row>
    <row r="23952" spans="10:10" ht="15" customHeight="1" x14ac:dyDescent="0.3">
      <c r="J23952" s="33"/>
    </row>
    <row r="23953" spans="10:10" ht="15" customHeight="1" x14ac:dyDescent="0.3">
      <c r="J23953" s="33"/>
    </row>
    <row r="23954" spans="10:10" ht="15" customHeight="1" x14ac:dyDescent="0.3">
      <c r="J23954" s="33"/>
    </row>
    <row r="23955" spans="10:10" ht="15" customHeight="1" x14ac:dyDescent="0.3">
      <c r="J23955" s="33"/>
    </row>
    <row r="23956" spans="10:10" ht="15" customHeight="1" x14ac:dyDescent="0.3">
      <c r="J23956" s="33"/>
    </row>
    <row r="23957" spans="10:10" ht="15" customHeight="1" x14ac:dyDescent="0.3">
      <c r="J23957" s="33"/>
    </row>
    <row r="23958" spans="10:10" ht="15" customHeight="1" x14ac:dyDescent="0.3">
      <c r="J23958" s="33"/>
    </row>
    <row r="23959" spans="10:10" ht="15" customHeight="1" x14ac:dyDescent="0.3">
      <c r="J23959" s="33"/>
    </row>
    <row r="23960" spans="10:10" ht="15" customHeight="1" x14ac:dyDescent="0.3">
      <c r="J23960" s="33"/>
    </row>
    <row r="23961" spans="10:10" ht="15" customHeight="1" x14ac:dyDescent="0.3">
      <c r="J23961" s="33"/>
    </row>
    <row r="23962" spans="10:10" ht="15" customHeight="1" x14ac:dyDescent="0.3">
      <c r="J23962" s="33"/>
    </row>
    <row r="23963" spans="10:10" ht="15" customHeight="1" x14ac:dyDescent="0.3">
      <c r="J23963" s="33"/>
    </row>
    <row r="23964" spans="10:10" ht="15" customHeight="1" x14ac:dyDescent="0.3">
      <c r="J23964" s="33"/>
    </row>
    <row r="23965" spans="10:10" ht="15" customHeight="1" x14ac:dyDescent="0.3">
      <c r="J23965" s="33"/>
    </row>
    <row r="23966" spans="10:10" ht="15" customHeight="1" x14ac:dyDescent="0.3">
      <c r="J23966" s="33"/>
    </row>
    <row r="23967" spans="10:10" ht="15" customHeight="1" x14ac:dyDescent="0.3">
      <c r="J23967" s="33"/>
    </row>
    <row r="23968" spans="10:10" ht="15" customHeight="1" x14ac:dyDescent="0.3">
      <c r="J23968" s="33"/>
    </row>
    <row r="23969" spans="10:10" ht="15" customHeight="1" x14ac:dyDescent="0.3">
      <c r="J23969" s="33"/>
    </row>
    <row r="23970" spans="10:10" ht="15" customHeight="1" x14ac:dyDescent="0.3">
      <c r="J23970" s="33"/>
    </row>
    <row r="23971" spans="10:10" ht="15" customHeight="1" x14ac:dyDescent="0.3">
      <c r="J23971" s="33"/>
    </row>
    <row r="23972" spans="10:10" ht="15" customHeight="1" x14ac:dyDescent="0.3">
      <c r="J23972" s="33"/>
    </row>
    <row r="23973" spans="10:10" ht="15" customHeight="1" x14ac:dyDescent="0.3">
      <c r="J23973" s="33"/>
    </row>
    <row r="23974" spans="10:10" ht="15" customHeight="1" x14ac:dyDescent="0.3">
      <c r="J23974" s="33"/>
    </row>
    <row r="23975" spans="10:10" ht="15" customHeight="1" x14ac:dyDescent="0.3">
      <c r="J23975" s="33"/>
    </row>
    <row r="23976" spans="10:10" ht="15" customHeight="1" x14ac:dyDescent="0.3">
      <c r="J23976" s="33"/>
    </row>
    <row r="23977" spans="10:10" ht="15" customHeight="1" x14ac:dyDescent="0.3">
      <c r="J23977" s="33"/>
    </row>
    <row r="23978" spans="10:10" ht="15" customHeight="1" x14ac:dyDescent="0.3">
      <c r="J23978" s="33"/>
    </row>
    <row r="23979" spans="10:10" ht="15" customHeight="1" x14ac:dyDescent="0.3">
      <c r="J23979" s="33"/>
    </row>
    <row r="23980" spans="10:10" ht="15" customHeight="1" x14ac:dyDescent="0.3">
      <c r="J23980" s="33"/>
    </row>
    <row r="23981" spans="10:10" ht="15" customHeight="1" x14ac:dyDescent="0.3">
      <c r="J23981" s="33"/>
    </row>
    <row r="23982" spans="10:10" ht="15" customHeight="1" x14ac:dyDescent="0.3">
      <c r="J23982" s="33"/>
    </row>
    <row r="23983" spans="10:10" ht="15" customHeight="1" x14ac:dyDescent="0.3">
      <c r="J23983" s="33"/>
    </row>
    <row r="23984" spans="10:10" ht="15" customHeight="1" x14ac:dyDescent="0.3">
      <c r="J23984" s="33"/>
    </row>
    <row r="23985" spans="10:10" ht="15" customHeight="1" x14ac:dyDescent="0.3">
      <c r="J23985" s="33"/>
    </row>
    <row r="23986" spans="10:10" ht="15" customHeight="1" x14ac:dyDescent="0.3">
      <c r="J23986" s="33"/>
    </row>
    <row r="23987" spans="10:10" ht="15" customHeight="1" x14ac:dyDescent="0.3">
      <c r="J23987" s="33"/>
    </row>
    <row r="23988" spans="10:10" ht="15" customHeight="1" x14ac:dyDescent="0.3">
      <c r="J23988" s="33"/>
    </row>
    <row r="23989" spans="10:10" ht="15" customHeight="1" x14ac:dyDescent="0.3">
      <c r="J23989" s="33"/>
    </row>
    <row r="23990" spans="10:10" ht="15" customHeight="1" x14ac:dyDescent="0.3">
      <c r="J23990" s="33"/>
    </row>
    <row r="23991" spans="10:10" ht="15" customHeight="1" x14ac:dyDescent="0.3">
      <c r="J23991" s="33"/>
    </row>
    <row r="23992" spans="10:10" ht="15" customHeight="1" x14ac:dyDescent="0.3">
      <c r="J23992" s="33"/>
    </row>
    <row r="23993" spans="10:10" ht="15" customHeight="1" x14ac:dyDescent="0.3">
      <c r="J23993" s="33"/>
    </row>
    <row r="23994" spans="10:10" ht="15" customHeight="1" x14ac:dyDescent="0.3">
      <c r="J23994" s="33"/>
    </row>
    <row r="23995" spans="10:10" ht="15" customHeight="1" x14ac:dyDescent="0.3">
      <c r="J23995" s="33"/>
    </row>
    <row r="23996" spans="10:10" ht="15" customHeight="1" x14ac:dyDescent="0.3">
      <c r="J23996" s="33"/>
    </row>
    <row r="23997" spans="10:10" ht="15" customHeight="1" x14ac:dyDescent="0.3">
      <c r="J23997" s="33"/>
    </row>
    <row r="23998" spans="10:10" ht="15" customHeight="1" x14ac:dyDescent="0.3">
      <c r="J23998" s="33"/>
    </row>
    <row r="23999" spans="10:10" ht="15" customHeight="1" x14ac:dyDescent="0.3">
      <c r="J23999" s="33"/>
    </row>
    <row r="24000" spans="10:10" ht="15" customHeight="1" x14ac:dyDescent="0.3">
      <c r="J24000" s="33"/>
    </row>
    <row r="24001" spans="10:10" ht="15" customHeight="1" x14ac:dyDescent="0.3">
      <c r="J24001" s="33"/>
    </row>
    <row r="24002" spans="10:10" ht="15" customHeight="1" x14ac:dyDescent="0.3">
      <c r="J24002" s="33"/>
    </row>
    <row r="24003" spans="10:10" ht="15" customHeight="1" x14ac:dyDescent="0.3">
      <c r="J24003" s="33"/>
    </row>
    <row r="24004" spans="10:10" ht="15" customHeight="1" x14ac:dyDescent="0.3">
      <c r="J24004" s="33"/>
    </row>
    <row r="24005" spans="10:10" ht="15" customHeight="1" x14ac:dyDescent="0.3">
      <c r="J24005" s="33"/>
    </row>
    <row r="24006" spans="10:10" ht="15" customHeight="1" x14ac:dyDescent="0.3">
      <c r="J24006" s="33"/>
    </row>
    <row r="24007" spans="10:10" ht="15" customHeight="1" x14ac:dyDescent="0.3">
      <c r="J24007" s="33"/>
    </row>
    <row r="24008" spans="10:10" ht="15" customHeight="1" x14ac:dyDescent="0.3">
      <c r="J24008" s="33"/>
    </row>
    <row r="24009" spans="10:10" ht="15" customHeight="1" x14ac:dyDescent="0.3">
      <c r="J24009" s="33"/>
    </row>
    <row r="24010" spans="10:10" ht="15" customHeight="1" x14ac:dyDescent="0.3">
      <c r="J24010" s="33"/>
    </row>
    <row r="24011" spans="10:10" ht="15" customHeight="1" x14ac:dyDescent="0.3">
      <c r="J24011" s="33"/>
    </row>
    <row r="24012" spans="10:10" ht="15" customHeight="1" x14ac:dyDescent="0.3">
      <c r="J24012" s="33"/>
    </row>
    <row r="24013" spans="10:10" ht="15" customHeight="1" x14ac:dyDescent="0.3">
      <c r="J24013" s="33"/>
    </row>
    <row r="24014" spans="10:10" ht="15" customHeight="1" x14ac:dyDescent="0.3">
      <c r="J24014" s="33"/>
    </row>
    <row r="24015" spans="10:10" ht="15" customHeight="1" x14ac:dyDescent="0.3">
      <c r="J24015" s="33"/>
    </row>
    <row r="24016" spans="10:10" ht="15" customHeight="1" x14ac:dyDescent="0.3">
      <c r="J24016" s="33"/>
    </row>
    <row r="24017" spans="10:10" ht="15" customHeight="1" x14ac:dyDescent="0.3">
      <c r="J24017" s="33"/>
    </row>
    <row r="24018" spans="10:10" ht="15" customHeight="1" x14ac:dyDescent="0.3">
      <c r="J24018" s="33"/>
    </row>
    <row r="24019" spans="10:10" ht="15" customHeight="1" x14ac:dyDescent="0.3">
      <c r="J24019" s="33"/>
    </row>
    <row r="24020" spans="10:10" ht="15" customHeight="1" x14ac:dyDescent="0.3">
      <c r="J24020" s="33"/>
    </row>
    <row r="24021" spans="10:10" ht="15" customHeight="1" x14ac:dyDescent="0.3">
      <c r="J24021" s="33"/>
    </row>
    <row r="24022" spans="10:10" ht="15" customHeight="1" x14ac:dyDescent="0.3">
      <c r="J24022" s="33"/>
    </row>
    <row r="24023" spans="10:10" ht="15" customHeight="1" x14ac:dyDescent="0.3">
      <c r="J24023" s="33"/>
    </row>
    <row r="24024" spans="10:10" ht="15" customHeight="1" x14ac:dyDescent="0.3">
      <c r="J24024" s="33"/>
    </row>
    <row r="24025" spans="10:10" ht="15" customHeight="1" x14ac:dyDescent="0.3">
      <c r="J24025" s="33"/>
    </row>
    <row r="24026" spans="10:10" ht="15" customHeight="1" x14ac:dyDescent="0.3">
      <c r="J24026" s="33"/>
    </row>
    <row r="24027" spans="10:10" ht="15" customHeight="1" x14ac:dyDescent="0.3">
      <c r="J24027" s="33"/>
    </row>
    <row r="24028" spans="10:10" ht="15" customHeight="1" x14ac:dyDescent="0.3">
      <c r="J24028" s="33"/>
    </row>
    <row r="24029" spans="10:10" ht="15" customHeight="1" x14ac:dyDescent="0.3">
      <c r="J24029" s="33"/>
    </row>
    <row r="24030" spans="10:10" ht="15" customHeight="1" x14ac:dyDescent="0.3">
      <c r="J24030" s="33"/>
    </row>
    <row r="24031" spans="10:10" ht="15" customHeight="1" x14ac:dyDescent="0.3">
      <c r="J24031" s="33"/>
    </row>
    <row r="24032" spans="10:10" ht="15" customHeight="1" x14ac:dyDescent="0.3">
      <c r="J24032" s="33"/>
    </row>
    <row r="24033" spans="10:10" ht="15" customHeight="1" x14ac:dyDescent="0.3">
      <c r="J24033" s="33"/>
    </row>
    <row r="24034" spans="10:10" ht="15" customHeight="1" x14ac:dyDescent="0.3">
      <c r="J24034" s="33"/>
    </row>
    <row r="24035" spans="10:10" ht="15" customHeight="1" x14ac:dyDescent="0.3">
      <c r="J24035" s="33"/>
    </row>
    <row r="24036" spans="10:10" ht="15" customHeight="1" x14ac:dyDescent="0.3">
      <c r="J24036" s="33"/>
    </row>
    <row r="24037" spans="10:10" ht="15" customHeight="1" x14ac:dyDescent="0.3">
      <c r="J24037" s="33"/>
    </row>
    <row r="24038" spans="10:10" ht="15" customHeight="1" x14ac:dyDescent="0.3">
      <c r="J24038" s="33"/>
    </row>
    <row r="24039" spans="10:10" ht="15" customHeight="1" x14ac:dyDescent="0.3">
      <c r="J24039" s="33"/>
    </row>
    <row r="24040" spans="10:10" ht="15" customHeight="1" x14ac:dyDescent="0.3">
      <c r="J24040" s="33"/>
    </row>
    <row r="24041" spans="10:10" ht="15" customHeight="1" x14ac:dyDescent="0.3">
      <c r="J24041" s="33"/>
    </row>
    <row r="24042" spans="10:10" ht="15" customHeight="1" x14ac:dyDescent="0.3">
      <c r="J24042" s="33"/>
    </row>
    <row r="24043" spans="10:10" ht="15" customHeight="1" x14ac:dyDescent="0.3">
      <c r="J24043" s="33"/>
    </row>
    <row r="24044" spans="10:10" ht="15" customHeight="1" x14ac:dyDescent="0.3">
      <c r="J24044" s="33"/>
    </row>
    <row r="24045" spans="10:10" ht="15" customHeight="1" x14ac:dyDescent="0.3">
      <c r="J24045" s="33"/>
    </row>
    <row r="24046" spans="10:10" ht="15" customHeight="1" x14ac:dyDescent="0.3">
      <c r="J24046" s="33"/>
    </row>
    <row r="24047" spans="10:10" ht="15" customHeight="1" x14ac:dyDescent="0.3">
      <c r="J24047" s="33"/>
    </row>
    <row r="24048" spans="10:10" ht="15" customHeight="1" x14ac:dyDescent="0.3">
      <c r="J24048" s="33"/>
    </row>
    <row r="24049" spans="10:10" ht="15" customHeight="1" x14ac:dyDescent="0.3">
      <c r="J24049" s="33"/>
    </row>
    <row r="24050" spans="10:10" ht="15" customHeight="1" x14ac:dyDescent="0.3">
      <c r="J24050" s="33"/>
    </row>
    <row r="24051" spans="10:10" ht="15" customHeight="1" x14ac:dyDescent="0.3">
      <c r="J24051" s="33"/>
    </row>
    <row r="24052" spans="10:10" ht="15" customHeight="1" x14ac:dyDescent="0.3">
      <c r="J24052" s="33"/>
    </row>
    <row r="24053" spans="10:10" ht="15" customHeight="1" x14ac:dyDescent="0.3">
      <c r="J24053" s="33"/>
    </row>
    <row r="24054" spans="10:10" ht="15" customHeight="1" x14ac:dyDescent="0.3">
      <c r="J24054" s="33"/>
    </row>
    <row r="24055" spans="10:10" ht="15" customHeight="1" x14ac:dyDescent="0.3">
      <c r="J24055" s="33"/>
    </row>
    <row r="24056" spans="10:10" ht="15" customHeight="1" x14ac:dyDescent="0.3">
      <c r="J24056" s="33"/>
    </row>
    <row r="24057" spans="10:10" ht="15" customHeight="1" x14ac:dyDescent="0.3">
      <c r="J24057" s="33"/>
    </row>
    <row r="24058" spans="10:10" ht="15" customHeight="1" x14ac:dyDescent="0.3">
      <c r="J24058" s="33"/>
    </row>
    <row r="24059" spans="10:10" ht="15" customHeight="1" x14ac:dyDescent="0.3">
      <c r="J24059" s="33"/>
    </row>
    <row r="24060" spans="10:10" ht="15" customHeight="1" x14ac:dyDescent="0.3">
      <c r="J24060" s="33"/>
    </row>
    <row r="24061" spans="10:10" ht="15" customHeight="1" x14ac:dyDescent="0.3">
      <c r="J24061" s="33"/>
    </row>
    <row r="24062" spans="10:10" ht="15" customHeight="1" x14ac:dyDescent="0.3">
      <c r="J24062" s="33"/>
    </row>
    <row r="24063" spans="10:10" ht="15" customHeight="1" x14ac:dyDescent="0.3">
      <c r="J24063" s="33"/>
    </row>
    <row r="24064" spans="10:10" ht="15" customHeight="1" x14ac:dyDescent="0.3">
      <c r="J24064" s="33"/>
    </row>
    <row r="24065" spans="10:10" ht="15" customHeight="1" x14ac:dyDescent="0.3">
      <c r="J24065" s="33"/>
    </row>
    <row r="24066" spans="10:10" ht="15" customHeight="1" x14ac:dyDescent="0.3">
      <c r="J24066" s="33"/>
    </row>
    <row r="24067" spans="10:10" ht="15" customHeight="1" x14ac:dyDescent="0.3">
      <c r="J24067" s="33"/>
    </row>
    <row r="24068" spans="10:10" ht="15" customHeight="1" x14ac:dyDescent="0.3">
      <c r="J24068" s="33"/>
    </row>
    <row r="24069" spans="10:10" ht="15" customHeight="1" x14ac:dyDescent="0.3">
      <c r="J24069" s="33"/>
    </row>
    <row r="24070" spans="10:10" ht="15" customHeight="1" x14ac:dyDescent="0.3">
      <c r="J24070" s="33"/>
    </row>
    <row r="24071" spans="10:10" ht="15" customHeight="1" x14ac:dyDescent="0.3">
      <c r="J24071" s="33"/>
    </row>
    <row r="24072" spans="10:10" ht="15" customHeight="1" x14ac:dyDescent="0.3">
      <c r="J24072" s="33"/>
    </row>
    <row r="24073" spans="10:10" ht="15" customHeight="1" x14ac:dyDescent="0.3">
      <c r="J24073" s="33"/>
    </row>
    <row r="24074" spans="10:10" ht="15" customHeight="1" x14ac:dyDescent="0.3">
      <c r="J24074" s="33"/>
    </row>
    <row r="24075" spans="10:10" ht="15" customHeight="1" x14ac:dyDescent="0.3">
      <c r="J24075" s="33"/>
    </row>
    <row r="24076" spans="10:10" ht="15" customHeight="1" x14ac:dyDescent="0.3">
      <c r="J24076" s="33"/>
    </row>
    <row r="24077" spans="10:10" ht="15" customHeight="1" x14ac:dyDescent="0.3">
      <c r="J24077" s="33"/>
    </row>
    <row r="24078" spans="10:10" ht="15" customHeight="1" x14ac:dyDescent="0.3">
      <c r="J24078" s="33"/>
    </row>
    <row r="24079" spans="10:10" ht="15" customHeight="1" x14ac:dyDescent="0.3">
      <c r="J24079" s="33"/>
    </row>
    <row r="24080" spans="10:10" ht="15" customHeight="1" x14ac:dyDescent="0.3">
      <c r="J24080" s="33"/>
    </row>
    <row r="24081" spans="10:10" ht="15" customHeight="1" x14ac:dyDescent="0.3">
      <c r="J24081" s="33"/>
    </row>
    <row r="24082" spans="10:10" ht="15" customHeight="1" x14ac:dyDescent="0.3">
      <c r="J24082" s="33"/>
    </row>
    <row r="24083" spans="10:10" ht="15" customHeight="1" x14ac:dyDescent="0.3">
      <c r="J24083" s="33"/>
    </row>
    <row r="24084" spans="10:10" ht="15" customHeight="1" x14ac:dyDescent="0.3">
      <c r="J24084" s="33"/>
    </row>
    <row r="24085" spans="10:10" ht="15" customHeight="1" x14ac:dyDescent="0.3">
      <c r="J24085" s="33"/>
    </row>
    <row r="24086" spans="10:10" ht="15" customHeight="1" x14ac:dyDescent="0.3">
      <c r="J24086" s="33"/>
    </row>
    <row r="24087" spans="10:10" ht="15" customHeight="1" x14ac:dyDescent="0.3">
      <c r="J24087" s="33"/>
    </row>
    <row r="24088" spans="10:10" ht="15" customHeight="1" x14ac:dyDescent="0.3">
      <c r="J24088" s="33"/>
    </row>
    <row r="24089" spans="10:10" ht="15" customHeight="1" x14ac:dyDescent="0.3">
      <c r="J24089" s="33"/>
    </row>
    <row r="24090" spans="10:10" ht="15" customHeight="1" x14ac:dyDescent="0.3">
      <c r="J24090" s="33"/>
    </row>
    <row r="24091" spans="10:10" ht="15" customHeight="1" x14ac:dyDescent="0.3">
      <c r="J24091" s="33"/>
    </row>
    <row r="24092" spans="10:10" ht="15" customHeight="1" x14ac:dyDescent="0.3">
      <c r="J24092" s="33"/>
    </row>
    <row r="24093" spans="10:10" ht="15" customHeight="1" x14ac:dyDescent="0.3">
      <c r="J24093" s="33"/>
    </row>
    <row r="24094" spans="10:10" ht="15" customHeight="1" x14ac:dyDescent="0.3">
      <c r="J24094" s="33"/>
    </row>
    <row r="24095" spans="10:10" ht="15" customHeight="1" x14ac:dyDescent="0.3">
      <c r="J24095" s="33"/>
    </row>
    <row r="24096" spans="10:10" ht="15" customHeight="1" x14ac:dyDescent="0.3">
      <c r="J24096" s="33"/>
    </row>
    <row r="24097" spans="10:10" ht="15" customHeight="1" x14ac:dyDescent="0.3">
      <c r="J24097" s="33"/>
    </row>
    <row r="24098" spans="10:10" ht="15" customHeight="1" x14ac:dyDescent="0.3">
      <c r="J24098" s="33"/>
    </row>
    <row r="24099" spans="10:10" ht="15" customHeight="1" x14ac:dyDescent="0.3">
      <c r="J24099" s="33"/>
    </row>
    <row r="24100" spans="10:10" ht="15" customHeight="1" x14ac:dyDescent="0.3">
      <c r="J24100" s="33"/>
    </row>
    <row r="24101" spans="10:10" ht="15" customHeight="1" x14ac:dyDescent="0.3">
      <c r="J24101" s="33"/>
    </row>
    <row r="24102" spans="10:10" ht="15" customHeight="1" x14ac:dyDescent="0.3">
      <c r="J24102" s="33"/>
    </row>
    <row r="24103" spans="10:10" ht="15" customHeight="1" x14ac:dyDescent="0.3">
      <c r="J24103" s="33"/>
    </row>
    <row r="24104" spans="10:10" ht="15" customHeight="1" x14ac:dyDescent="0.3">
      <c r="J24104" s="33"/>
    </row>
    <row r="24105" spans="10:10" ht="15" customHeight="1" x14ac:dyDescent="0.3">
      <c r="J24105" s="33"/>
    </row>
    <row r="24106" spans="10:10" ht="15" customHeight="1" x14ac:dyDescent="0.3">
      <c r="J24106" s="33"/>
    </row>
    <row r="24107" spans="10:10" ht="15" customHeight="1" x14ac:dyDescent="0.3">
      <c r="J24107" s="33"/>
    </row>
    <row r="24108" spans="10:10" ht="15" customHeight="1" x14ac:dyDescent="0.3">
      <c r="J24108" s="33"/>
    </row>
    <row r="24109" spans="10:10" ht="15" customHeight="1" x14ac:dyDescent="0.3">
      <c r="J24109" s="33"/>
    </row>
    <row r="24110" spans="10:10" ht="15" customHeight="1" x14ac:dyDescent="0.3">
      <c r="J24110" s="33"/>
    </row>
    <row r="24111" spans="10:10" ht="15" customHeight="1" x14ac:dyDescent="0.3">
      <c r="J24111" s="33"/>
    </row>
    <row r="24112" spans="10:10" ht="15" customHeight="1" x14ac:dyDescent="0.3">
      <c r="J24112" s="33"/>
    </row>
    <row r="24113" spans="10:10" ht="15" customHeight="1" x14ac:dyDescent="0.3">
      <c r="J24113" s="33"/>
    </row>
    <row r="24114" spans="10:10" ht="15" customHeight="1" x14ac:dyDescent="0.3">
      <c r="J24114" s="33"/>
    </row>
    <row r="24115" spans="10:10" ht="15" customHeight="1" x14ac:dyDescent="0.3">
      <c r="J24115" s="33"/>
    </row>
    <row r="24116" spans="10:10" ht="15" customHeight="1" x14ac:dyDescent="0.3">
      <c r="J24116" s="33"/>
    </row>
    <row r="24117" spans="10:10" ht="15" customHeight="1" x14ac:dyDescent="0.3">
      <c r="J24117" s="33"/>
    </row>
    <row r="24118" spans="10:10" ht="15" customHeight="1" x14ac:dyDescent="0.3">
      <c r="J24118" s="33"/>
    </row>
    <row r="24119" spans="10:10" ht="15" customHeight="1" x14ac:dyDescent="0.3">
      <c r="J24119" s="33"/>
    </row>
    <row r="24120" spans="10:10" ht="15" customHeight="1" x14ac:dyDescent="0.3">
      <c r="J24120" s="33"/>
    </row>
    <row r="24121" spans="10:10" ht="15" customHeight="1" x14ac:dyDescent="0.3">
      <c r="J24121" s="33"/>
    </row>
    <row r="24122" spans="10:10" ht="15" customHeight="1" x14ac:dyDescent="0.3">
      <c r="J24122" s="33"/>
    </row>
    <row r="24123" spans="10:10" ht="15" customHeight="1" x14ac:dyDescent="0.3">
      <c r="J24123" s="33"/>
    </row>
    <row r="24124" spans="10:10" ht="15" customHeight="1" x14ac:dyDescent="0.3">
      <c r="J24124" s="33"/>
    </row>
    <row r="24125" spans="10:10" ht="15" customHeight="1" x14ac:dyDescent="0.3">
      <c r="J24125" s="33"/>
    </row>
    <row r="24126" spans="10:10" ht="15" customHeight="1" x14ac:dyDescent="0.3">
      <c r="J24126" s="33"/>
    </row>
    <row r="24127" spans="10:10" ht="15" customHeight="1" x14ac:dyDescent="0.3">
      <c r="J24127" s="33"/>
    </row>
    <row r="24128" spans="10:10" ht="15" customHeight="1" x14ac:dyDescent="0.3">
      <c r="J24128" s="33"/>
    </row>
    <row r="24129" spans="10:10" ht="15" customHeight="1" x14ac:dyDescent="0.3">
      <c r="J24129" s="33"/>
    </row>
    <row r="24130" spans="10:10" ht="15" customHeight="1" x14ac:dyDescent="0.3">
      <c r="J24130" s="33"/>
    </row>
    <row r="24131" spans="10:10" ht="15" customHeight="1" x14ac:dyDescent="0.3">
      <c r="J24131" s="33"/>
    </row>
    <row r="24132" spans="10:10" ht="15" customHeight="1" x14ac:dyDescent="0.3">
      <c r="J24132" s="33"/>
    </row>
    <row r="24133" spans="10:10" ht="15" customHeight="1" x14ac:dyDescent="0.3">
      <c r="J24133" s="33"/>
    </row>
    <row r="24134" spans="10:10" ht="15" customHeight="1" x14ac:dyDescent="0.3">
      <c r="J24134" s="33"/>
    </row>
    <row r="24135" spans="10:10" ht="15" customHeight="1" x14ac:dyDescent="0.3">
      <c r="J24135" s="33"/>
    </row>
    <row r="24136" spans="10:10" ht="15" customHeight="1" x14ac:dyDescent="0.3">
      <c r="J24136" s="33"/>
    </row>
    <row r="24137" spans="10:10" ht="15" customHeight="1" x14ac:dyDescent="0.3">
      <c r="J24137" s="33"/>
    </row>
    <row r="24138" spans="10:10" ht="15" customHeight="1" x14ac:dyDescent="0.3">
      <c r="J24138" s="33"/>
    </row>
    <row r="24139" spans="10:10" ht="15" customHeight="1" x14ac:dyDescent="0.3">
      <c r="J24139" s="33"/>
    </row>
    <row r="24140" spans="10:10" ht="15" customHeight="1" x14ac:dyDescent="0.3">
      <c r="J24140" s="33"/>
    </row>
    <row r="24141" spans="10:10" ht="15" customHeight="1" x14ac:dyDescent="0.3">
      <c r="J24141" s="33"/>
    </row>
    <row r="24142" spans="10:10" ht="15" customHeight="1" x14ac:dyDescent="0.3">
      <c r="J24142" s="33"/>
    </row>
    <row r="24143" spans="10:10" ht="15" customHeight="1" x14ac:dyDescent="0.3">
      <c r="J24143" s="33"/>
    </row>
    <row r="24144" spans="10:10" ht="15" customHeight="1" x14ac:dyDescent="0.3">
      <c r="J24144" s="33"/>
    </row>
    <row r="24145" spans="10:10" ht="15" customHeight="1" x14ac:dyDescent="0.3">
      <c r="J24145" s="33"/>
    </row>
    <row r="24146" spans="10:10" ht="15" customHeight="1" x14ac:dyDescent="0.3">
      <c r="J24146" s="33"/>
    </row>
    <row r="24147" spans="10:10" ht="15" customHeight="1" x14ac:dyDescent="0.3">
      <c r="J24147" s="33"/>
    </row>
    <row r="24148" spans="10:10" ht="15" customHeight="1" x14ac:dyDescent="0.3">
      <c r="J24148" s="33"/>
    </row>
    <row r="24149" spans="10:10" ht="15" customHeight="1" x14ac:dyDescent="0.3">
      <c r="J24149" s="33"/>
    </row>
    <row r="24150" spans="10:10" ht="15" customHeight="1" x14ac:dyDescent="0.3">
      <c r="J24150" s="33"/>
    </row>
    <row r="24151" spans="10:10" ht="15" customHeight="1" x14ac:dyDescent="0.3">
      <c r="J24151" s="33"/>
    </row>
    <row r="24152" spans="10:10" ht="15" customHeight="1" x14ac:dyDescent="0.3">
      <c r="J24152" s="33"/>
    </row>
    <row r="24153" spans="10:10" ht="15" customHeight="1" x14ac:dyDescent="0.3">
      <c r="J24153" s="33"/>
    </row>
    <row r="24154" spans="10:10" ht="15" customHeight="1" x14ac:dyDescent="0.3">
      <c r="J24154" s="33"/>
    </row>
    <row r="24155" spans="10:10" ht="15" customHeight="1" x14ac:dyDescent="0.3">
      <c r="J24155" s="33"/>
    </row>
    <row r="24156" spans="10:10" ht="15" customHeight="1" x14ac:dyDescent="0.3">
      <c r="J24156" s="33"/>
    </row>
    <row r="24157" spans="10:10" ht="15" customHeight="1" x14ac:dyDescent="0.3">
      <c r="J24157" s="33"/>
    </row>
    <row r="24158" spans="10:10" ht="15" customHeight="1" x14ac:dyDescent="0.3">
      <c r="J24158" s="33"/>
    </row>
    <row r="24159" spans="10:10" ht="15" customHeight="1" x14ac:dyDescent="0.3">
      <c r="J24159" s="33"/>
    </row>
    <row r="24160" spans="10:10" ht="15" customHeight="1" x14ac:dyDescent="0.3">
      <c r="J24160" s="33"/>
    </row>
    <row r="24161" spans="10:10" ht="15" customHeight="1" x14ac:dyDescent="0.3">
      <c r="J24161" s="33"/>
    </row>
    <row r="24162" spans="10:10" ht="15" customHeight="1" x14ac:dyDescent="0.3">
      <c r="J24162" s="33"/>
    </row>
    <row r="24163" spans="10:10" ht="15" customHeight="1" x14ac:dyDescent="0.3">
      <c r="J24163" s="33"/>
    </row>
    <row r="24164" spans="10:10" ht="15" customHeight="1" x14ac:dyDescent="0.3">
      <c r="J24164" s="33"/>
    </row>
    <row r="24165" spans="10:10" ht="15" customHeight="1" x14ac:dyDescent="0.3">
      <c r="J24165" s="33"/>
    </row>
    <row r="24166" spans="10:10" ht="15" customHeight="1" x14ac:dyDescent="0.3">
      <c r="J24166" s="33"/>
    </row>
    <row r="24167" spans="10:10" ht="15" customHeight="1" x14ac:dyDescent="0.3">
      <c r="J24167" s="33"/>
    </row>
    <row r="24168" spans="10:10" ht="15" customHeight="1" x14ac:dyDescent="0.3">
      <c r="J24168" s="33"/>
    </row>
    <row r="24169" spans="10:10" ht="15" customHeight="1" x14ac:dyDescent="0.3">
      <c r="J24169" s="33"/>
    </row>
    <row r="24170" spans="10:10" ht="15" customHeight="1" x14ac:dyDescent="0.3">
      <c r="J24170" s="33"/>
    </row>
    <row r="24171" spans="10:10" ht="15" customHeight="1" x14ac:dyDescent="0.3">
      <c r="J24171" s="33"/>
    </row>
    <row r="24172" spans="10:10" ht="15" customHeight="1" x14ac:dyDescent="0.3">
      <c r="J24172" s="33"/>
    </row>
    <row r="24173" spans="10:10" ht="15" customHeight="1" x14ac:dyDescent="0.3">
      <c r="J24173" s="33"/>
    </row>
    <row r="24174" spans="10:10" ht="15" customHeight="1" x14ac:dyDescent="0.3">
      <c r="J24174" s="33"/>
    </row>
    <row r="24175" spans="10:10" ht="15" customHeight="1" x14ac:dyDescent="0.3">
      <c r="J24175" s="33"/>
    </row>
    <row r="24176" spans="10:10" ht="15" customHeight="1" x14ac:dyDescent="0.3">
      <c r="J24176" s="33"/>
    </row>
    <row r="24177" spans="10:10" ht="15" customHeight="1" x14ac:dyDescent="0.3">
      <c r="J24177" s="33"/>
    </row>
    <row r="24178" spans="10:10" ht="15" customHeight="1" x14ac:dyDescent="0.3">
      <c r="J24178" s="33"/>
    </row>
    <row r="24179" spans="10:10" ht="15" customHeight="1" x14ac:dyDescent="0.3">
      <c r="J24179" s="33"/>
    </row>
    <row r="24180" spans="10:10" ht="15" customHeight="1" x14ac:dyDescent="0.3">
      <c r="J24180" s="33"/>
    </row>
    <row r="24181" spans="10:10" ht="15" customHeight="1" x14ac:dyDescent="0.3">
      <c r="J24181" s="33"/>
    </row>
    <row r="24182" spans="10:10" ht="15" customHeight="1" x14ac:dyDescent="0.3">
      <c r="J24182" s="33"/>
    </row>
    <row r="24183" spans="10:10" ht="15" customHeight="1" x14ac:dyDescent="0.3">
      <c r="J24183" s="33"/>
    </row>
    <row r="24184" spans="10:10" ht="15" customHeight="1" x14ac:dyDescent="0.3">
      <c r="J24184" s="33"/>
    </row>
    <row r="24185" spans="10:10" ht="15" customHeight="1" x14ac:dyDescent="0.3">
      <c r="J24185" s="33"/>
    </row>
    <row r="24186" spans="10:10" ht="15" customHeight="1" x14ac:dyDescent="0.3">
      <c r="J24186" s="33"/>
    </row>
    <row r="24187" spans="10:10" ht="15" customHeight="1" x14ac:dyDescent="0.3">
      <c r="J24187" s="33"/>
    </row>
    <row r="24188" spans="10:10" ht="15" customHeight="1" x14ac:dyDescent="0.3">
      <c r="J24188" s="33"/>
    </row>
    <row r="24189" spans="10:10" ht="15" customHeight="1" x14ac:dyDescent="0.3">
      <c r="J24189" s="33"/>
    </row>
    <row r="24190" spans="10:10" ht="15" customHeight="1" x14ac:dyDescent="0.3">
      <c r="J24190" s="33"/>
    </row>
    <row r="24191" spans="10:10" ht="15" customHeight="1" x14ac:dyDescent="0.3">
      <c r="J24191" s="33"/>
    </row>
    <row r="24192" spans="10:10" ht="15" customHeight="1" x14ac:dyDescent="0.3">
      <c r="J24192" s="33"/>
    </row>
    <row r="24193" spans="10:10" ht="15" customHeight="1" x14ac:dyDescent="0.3">
      <c r="J24193" s="33"/>
    </row>
    <row r="24194" spans="10:10" ht="15" customHeight="1" x14ac:dyDescent="0.3">
      <c r="J24194" s="33"/>
    </row>
    <row r="24195" spans="10:10" ht="15" customHeight="1" x14ac:dyDescent="0.3">
      <c r="J24195" s="33"/>
    </row>
    <row r="24196" spans="10:10" ht="15" customHeight="1" x14ac:dyDescent="0.3">
      <c r="J24196" s="33"/>
    </row>
    <row r="24197" spans="10:10" ht="15" customHeight="1" x14ac:dyDescent="0.3">
      <c r="J24197" s="33"/>
    </row>
    <row r="24198" spans="10:10" ht="15" customHeight="1" x14ac:dyDescent="0.3">
      <c r="J24198" s="33"/>
    </row>
    <row r="24199" spans="10:10" ht="15" customHeight="1" x14ac:dyDescent="0.3">
      <c r="J24199" s="33"/>
    </row>
    <row r="24200" spans="10:10" ht="15" customHeight="1" x14ac:dyDescent="0.3">
      <c r="J24200" s="33"/>
    </row>
    <row r="24201" spans="10:10" ht="15" customHeight="1" x14ac:dyDescent="0.3">
      <c r="J24201" s="33"/>
    </row>
    <row r="24202" spans="10:10" ht="15" customHeight="1" x14ac:dyDescent="0.3">
      <c r="J24202" s="33"/>
    </row>
    <row r="24203" spans="10:10" ht="15" customHeight="1" x14ac:dyDescent="0.3">
      <c r="J24203" s="33"/>
    </row>
    <row r="24204" spans="10:10" ht="15" customHeight="1" x14ac:dyDescent="0.3">
      <c r="J24204" s="33"/>
    </row>
    <row r="24205" spans="10:10" ht="15" customHeight="1" x14ac:dyDescent="0.3">
      <c r="J24205" s="33"/>
    </row>
    <row r="24206" spans="10:10" ht="15" customHeight="1" x14ac:dyDescent="0.3">
      <c r="J24206" s="33"/>
    </row>
    <row r="24207" spans="10:10" ht="15" customHeight="1" x14ac:dyDescent="0.3">
      <c r="J24207" s="33"/>
    </row>
    <row r="24208" spans="10:10" ht="15" customHeight="1" x14ac:dyDescent="0.3">
      <c r="J24208" s="33"/>
    </row>
    <row r="24209" spans="10:10" ht="15" customHeight="1" x14ac:dyDescent="0.3">
      <c r="J24209" s="33"/>
    </row>
    <row r="24210" spans="10:10" ht="15" customHeight="1" x14ac:dyDescent="0.3">
      <c r="J24210" s="33"/>
    </row>
    <row r="24211" spans="10:10" ht="15" customHeight="1" x14ac:dyDescent="0.3">
      <c r="J24211" s="33"/>
    </row>
    <row r="24212" spans="10:10" ht="15" customHeight="1" x14ac:dyDescent="0.3">
      <c r="J24212" s="33"/>
    </row>
    <row r="24213" spans="10:10" ht="15" customHeight="1" x14ac:dyDescent="0.3">
      <c r="J24213" s="33"/>
    </row>
    <row r="24214" spans="10:10" ht="15" customHeight="1" x14ac:dyDescent="0.3">
      <c r="J24214" s="33"/>
    </row>
    <row r="24215" spans="10:10" ht="15" customHeight="1" x14ac:dyDescent="0.3">
      <c r="J24215" s="33"/>
    </row>
    <row r="24216" spans="10:10" ht="15" customHeight="1" x14ac:dyDescent="0.3">
      <c r="J24216" s="33"/>
    </row>
    <row r="24217" spans="10:10" ht="15" customHeight="1" x14ac:dyDescent="0.3">
      <c r="J24217" s="33"/>
    </row>
    <row r="24218" spans="10:10" ht="15" customHeight="1" x14ac:dyDescent="0.3">
      <c r="J24218" s="33"/>
    </row>
    <row r="24219" spans="10:10" ht="15" customHeight="1" x14ac:dyDescent="0.3">
      <c r="J24219" s="33"/>
    </row>
    <row r="24220" spans="10:10" ht="15" customHeight="1" x14ac:dyDescent="0.3">
      <c r="J24220" s="33"/>
    </row>
    <row r="24221" spans="10:10" ht="15" customHeight="1" x14ac:dyDescent="0.3">
      <c r="J24221" s="33"/>
    </row>
    <row r="24222" spans="10:10" ht="15" customHeight="1" x14ac:dyDescent="0.3">
      <c r="J24222" s="33"/>
    </row>
    <row r="24223" spans="10:10" ht="15" customHeight="1" x14ac:dyDescent="0.3">
      <c r="J24223" s="33"/>
    </row>
    <row r="24224" spans="10:10" ht="15" customHeight="1" x14ac:dyDescent="0.3">
      <c r="J24224" s="33"/>
    </row>
    <row r="24225" spans="10:10" ht="15" customHeight="1" x14ac:dyDescent="0.3">
      <c r="J24225" s="33"/>
    </row>
    <row r="24226" spans="10:10" ht="15" customHeight="1" x14ac:dyDescent="0.3">
      <c r="J24226" s="33"/>
    </row>
    <row r="24227" spans="10:10" ht="15" customHeight="1" x14ac:dyDescent="0.3">
      <c r="J24227" s="33"/>
    </row>
    <row r="24228" spans="10:10" ht="15" customHeight="1" x14ac:dyDescent="0.3">
      <c r="J24228" s="33"/>
    </row>
    <row r="24229" spans="10:10" ht="15" customHeight="1" x14ac:dyDescent="0.3">
      <c r="J24229" s="33"/>
    </row>
    <row r="24230" spans="10:10" ht="15" customHeight="1" x14ac:dyDescent="0.3">
      <c r="J24230" s="33"/>
    </row>
    <row r="24231" spans="10:10" ht="15" customHeight="1" x14ac:dyDescent="0.3">
      <c r="J24231" s="33"/>
    </row>
    <row r="24232" spans="10:10" ht="15" customHeight="1" x14ac:dyDescent="0.3">
      <c r="J24232" s="33"/>
    </row>
    <row r="24233" spans="10:10" ht="15" customHeight="1" x14ac:dyDescent="0.3">
      <c r="J24233" s="33"/>
    </row>
    <row r="24234" spans="10:10" ht="15" customHeight="1" x14ac:dyDescent="0.3">
      <c r="J24234" s="33"/>
    </row>
    <row r="24235" spans="10:10" ht="15" customHeight="1" x14ac:dyDescent="0.3">
      <c r="J24235" s="33"/>
    </row>
    <row r="24236" spans="10:10" ht="15" customHeight="1" x14ac:dyDescent="0.3">
      <c r="J24236" s="33"/>
    </row>
    <row r="24237" spans="10:10" ht="15" customHeight="1" x14ac:dyDescent="0.3">
      <c r="J24237" s="33"/>
    </row>
    <row r="24238" spans="10:10" ht="15" customHeight="1" x14ac:dyDescent="0.3">
      <c r="J24238" s="33"/>
    </row>
    <row r="24239" spans="10:10" ht="15" customHeight="1" x14ac:dyDescent="0.3">
      <c r="J24239" s="33"/>
    </row>
    <row r="24240" spans="10:10" ht="15" customHeight="1" x14ac:dyDescent="0.3">
      <c r="J24240" s="33"/>
    </row>
    <row r="24241" spans="10:10" ht="15" customHeight="1" x14ac:dyDescent="0.3">
      <c r="J24241" s="33"/>
    </row>
    <row r="24242" spans="10:10" ht="15" customHeight="1" x14ac:dyDescent="0.3">
      <c r="J24242" s="33"/>
    </row>
    <row r="24243" spans="10:10" ht="15" customHeight="1" x14ac:dyDescent="0.3">
      <c r="J24243" s="33"/>
    </row>
    <row r="24244" spans="10:10" ht="15" customHeight="1" x14ac:dyDescent="0.3">
      <c r="J24244" s="33"/>
    </row>
    <row r="24245" spans="10:10" ht="15" customHeight="1" x14ac:dyDescent="0.3">
      <c r="J24245" s="33"/>
    </row>
    <row r="24246" spans="10:10" ht="15" customHeight="1" x14ac:dyDescent="0.3">
      <c r="J24246" s="33"/>
    </row>
    <row r="24247" spans="10:10" ht="15" customHeight="1" x14ac:dyDescent="0.3">
      <c r="J24247" s="33"/>
    </row>
    <row r="24248" spans="10:10" ht="15" customHeight="1" x14ac:dyDescent="0.3">
      <c r="J24248" s="33"/>
    </row>
    <row r="24249" spans="10:10" ht="15" customHeight="1" x14ac:dyDescent="0.3">
      <c r="J24249" s="33"/>
    </row>
    <row r="24250" spans="10:10" ht="15" customHeight="1" x14ac:dyDescent="0.3">
      <c r="J24250" s="33"/>
    </row>
    <row r="24251" spans="10:10" ht="15" customHeight="1" x14ac:dyDescent="0.3">
      <c r="J24251" s="33"/>
    </row>
    <row r="24252" spans="10:10" ht="15" customHeight="1" x14ac:dyDescent="0.3">
      <c r="J24252" s="33"/>
    </row>
    <row r="24253" spans="10:10" ht="15" customHeight="1" x14ac:dyDescent="0.3">
      <c r="J24253" s="33"/>
    </row>
    <row r="24254" spans="10:10" ht="15" customHeight="1" x14ac:dyDescent="0.3">
      <c r="J24254" s="33"/>
    </row>
    <row r="24255" spans="10:10" ht="15" customHeight="1" x14ac:dyDescent="0.3">
      <c r="J24255" s="33"/>
    </row>
    <row r="24256" spans="10:10" ht="15" customHeight="1" x14ac:dyDescent="0.3">
      <c r="J24256" s="33"/>
    </row>
    <row r="24257" spans="10:10" ht="15" customHeight="1" x14ac:dyDescent="0.3">
      <c r="J24257" s="33"/>
    </row>
    <row r="24258" spans="10:10" ht="15" customHeight="1" x14ac:dyDescent="0.3">
      <c r="J24258" s="33"/>
    </row>
    <row r="24259" spans="10:10" ht="15" customHeight="1" x14ac:dyDescent="0.3">
      <c r="J24259" s="33"/>
    </row>
    <row r="24260" spans="10:10" ht="15" customHeight="1" x14ac:dyDescent="0.3">
      <c r="J24260" s="33"/>
    </row>
    <row r="24261" spans="10:10" ht="15" customHeight="1" x14ac:dyDescent="0.3">
      <c r="J24261" s="33"/>
    </row>
    <row r="24262" spans="10:10" ht="15" customHeight="1" x14ac:dyDescent="0.3">
      <c r="J24262" s="33"/>
    </row>
    <row r="24263" spans="10:10" ht="15" customHeight="1" x14ac:dyDescent="0.3">
      <c r="J24263" s="33"/>
    </row>
    <row r="24264" spans="10:10" ht="15" customHeight="1" x14ac:dyDescent="0.3">
      <c r="J24264" s="33"/>
    </row>
    <row r="24265" spans="10:10" ht="15" customHeight="1" x14ac:dyDescent="0.3">
      <c r="J24265" s="33"/>
    </row>
    <row r="24266" spans="10:10" ht="15" customHeight="1" x14ac:dyDescent="0.3">
      <c r="J24266" s="33"/>
    </row>
    <row r="24267" spans="10:10" ht="15" customHeight="1" x14ac:dyDescent="0.3">
      <c r="J24267" s="33"/>
    </row>
    <row r="24268" spans="10:10" ht="15" customHeight="1" x14ac:dyDescent="0.3">
      <c r="J24268" s="33"/>
    </row>
    <row r="24269" spans="10:10" ht="15" customHeight="1" x14ac:dyDescent="0.3">
      <c r="J24269" s="33"/>
    </row>
    <row r="24270" spans="10:10" ht="15" customHeight="1" x14ac:dyDescent="0.3">
      <c r="J24270" s="33"/>
    </row>
    <row r="24271" spans="10:10" ht="15" customHeight="1" x14ac:dyDescent="0.3">
      <c r="J24271" s="33"/>
    </row>
    <row r="24272" spans="10:10" ht="15" customHeight="1" x14ac:dyDescent="0.3">
      <c r="J24272" s="33"/>
    </row>
    <row r="24273" spans="10:10" ht="15" customHeight="1" x14ac:dyDescent="0.3">
      <c r="J24273" s="33"/>
    </row>
    <row r="24274" spans="10:10" ht="15" customHeight="1" x14ac:dyDescent="0.3">
      <c r="J24274" s="33"/>
    </row>
    <row r="24275" spans="10:10" ht="15" customHeight="1" x14ac:dyDescent="0.3">
      <c r="J24275" s="33"/>
    </row>
    <row r="24276" spans="10:10" ht="15" customHeight="1" x14ac:dyDescent="0.3">
      <c r="J24276" s="33"/>
    </row>
    <row r="24277" spans="10:10" ht="15" customHeight="1" x14ac:dyDescent="0.3">
      <c r="J24277" s="33"/>
    </row>
    <row r="24278" spans="10:10" ht="15" customHeight="1" x14ac:dyDescent="0.3">
      <c r="J24278" s="33"/>
    </row>
    <row r="24279" spans="10:10" ht="15" customHeight="1" x14ac:dyDescent="0.3">
      <c r="J24279" s="33"/>
    </row>
    <row r="24280" spans="10:10" ht="15" customHeight="1" x14ac:dyDescent="0.3">
      <c r="J24280" s="33"/>
    </row>
    <row r="24281" spans="10:10" ht="15" customHeight="1" x14ac:dyDescent="0.3">
      <c r="J24281" s="33"/>
    </row>
    <row r="24282" spans="10:10" ht="15" customHeight="1" x14ac:dyDescent="0.3">
      <c r="J24282" s="33"/>
    </row>
    <row r="24283" spans="10:10" ht="15" customHeight="1" x14ac:dyDescent="0.3">
      <c r="J24283" s="33"/>
    </row>
    <row r="24284" spans="10:10" ht="15" customHeight="1" x14ac:dyDescent="0.3">
      <c r="J24284" s="33"/>
    </row>
    <row r="24285" spans="10:10" ht="15" customHeight="1" x14ac:dyDescent="0.3">
      <c r="J24285" s="33"/>
    </row>
    <row r="24286" spans="10:10" ht="15" customHeight="1" x14ac:dyDescent="0.3">
      <c r="J24286" s="33"/>
    </row>
    <row r="24287" spans="10:10" ht="15" customHeight="1" x14ac:dyDescent="0.3">
      <c r="J24287" s="33"/>
    </row>
    <row r="24288" spans="10:10" ht="15" customHeight="1" x14ac:dyDescent="0.3">
      <c r="J24288" s="33"/>
    </row>
    <row r="24289" spans="10:10" ht="15" customHeight="1" x14ac:dyDescent="0.3">
      <c r="J24289" s="33"/>
    </row>
    <row r="24290" spans="10:10" ht="15" customHeight="1" x14ac:dyDescent="0.3">
      <c r="J24290" s="33"/>
    </row>
    <row r="24291" spans="10:10" ht="15" customHeight="1" x14ac:dyDescent="0.3">
      <c r="J24291" s="33"/>
    </row>
    <row r="24292" spans="10:10" ht="15" customHeight="1" x14ac:dyDescent="0.3">
      <c r="J24292" s="33"/>
    </row>
    <row r="24293" spans="10:10" ht="15" customHeight="1" x14ac:dyDescent="0.3">
      <c r="J24293" s="33"/>
    </row>
    <row r="24294" spans="10:10" ht="15" customHeight="1" x14ac:dyDescent="0.3">
      <c r="J24294" s="33"/>
    </row>
    <row r="24295" spans="10:10" ht="15" customHeight="1" x14ac:dyDescent="0.3">
      <c r="J24295" s="33"/>
    </row>
    <row r="24296" spans="10:10" ht="15" customHeight="1" x14ac:dyDescent="0.3">
      <c r="J24296" s="33"/>
    </row>
    <row r="24297" spans="10:10" ht="15" customHeight="1" x14ac:dyDescent="0.3">
      <c r="J24297" s="33"/>
    </row>
    <row r="24298" spans="10:10" ht="15" customHeight="1" x14ac:dyDescent="0.3">
      <c r="J24298" s="33"/>
    </row>
    <row r="24299" spans="10:10" ht="15" customHeight="1" x14ac:dyDescent="0.3">
      <c r="J24299" s="33"/>
    </row>
    <row r="24300" spans="10:10" ht="15" customHeight="1" x14ac:dyDescent="0.3">
      <c r="J24300" s="33"/>
    </row>
    <row r="24301" spans="10:10" ht="15" customHeight="1" x14ac:dyDescent="0.3">
      <c r="J24301" s="33"/>
    </row>
    <row r="24302" spans="10:10" ht="15" customHeight="1" x14ac:dyDescent="0.3">
      <c r="J24302" s="33"/>
    </row>
    <row r="24303" spans="10:10" ht="15" customHeight="1" x14ac:dyDescent="0.3">
      <c r="J24303" s="33"/>
    </row>
    <row r="24304" spans="10:10" ht="15" customHeight="1" x14ac:dyDescent="0.3">
      <c r="J24304" s="33"/>
    </row>
    <row r="24305" spans="10:10" ht="15" customHeight="1" x14ac:dyDescent="0.3">
      <c r="J24305" s="33"/>
    </row>
    <row r="24306" spans="10:10" ht="15" customHeight="1" x14ac:dyDescent="0.3">
      <c r="J24306" s="33"/>
    </row>
    <row r="24307" spans="10:10" ht="15" customHeight="1" x14ac:dyDescent="0.3">
      <c r="J24307" s="33"/>
    </row>
    <row r="24308" spans="10:10" ht="15" customHeight="1" x14ac:dyDescent="0.3">
      <c r="J24308" s="33"/>
    </row>
    <row r="24309" spans="10:10" ht="15" customHeight="1" x14ac:dyDescent="0.3">
      <c r="J24309" s="33"/>
    </row>
    <row r="24310" spans="10:10" ht="15" customHeight="1" x14ac:dyDescent="0.3">
      <c r="J24310" s="33"/>
    </row>
    <row r="24311" spans="10:10" ht="15" customHeight="1" x14ac:dyDescent="0.3">
      <c r="J24311" s="33"/>
    </row>
    <row r="24312" spans="10:10" ht="15" customHeight="1" x14ac:dyDescent="0.3">
      <c r="J24312" s="33"/>
    </row>
    <row r="24313" spans="10:10" ht="15" customHeight="1" x14ac:dyDescent="0.3">
      <c r="J24313" s="33"/>
    </row>
    <row r="24314" spans="10:10" ht="15" customHeight="1" x14ac:dyDescent="0.3">
      <c r="J24314" s="33"/>
    </row>
    <row r="24315" spans="10:10" ht="15" customHeight="1" x14ac:dyDescent="0.3">
      <c r="J24315" s="33"/>
    </row>
    <row r="24316" spans="10:10" ht="15" customHeight="1" x14ac:dyDescent="0.3">
      <c r="J24316" s="33"/>
    </row>
    <row r="24317" spans="10:10" ht="15" customHeight="1" x14ac:dyDescent="0.3">
      <c r="J24317" s="33"/>
    </row>
    <row r="24318" spans="10:10" ht="15" customHeight="1" x14ac:dyDescent="0.3">
      <c r="J24318" s="33"/>
    </row>
    <row r="24319" spans="10:10" ht="15" customHeight="1" x14ac:dyDescent="0.3">
      <c r="J24319" s="33"/>
    </row>
    <row r="24320" spans="10:10" ht="15" customHeight="1" x14ac:dyDescent="0.3">
      <c r="J24320" s="33"/>
    </row>
    <row r="24321" spans="10:10" ht="15" customHeight="1" x14ac:dyDescent="0.3">
      <c r="J24321" s="33"/>
    </row>
    <row r="24322" spans="10:10" ht="15" customHeight="1" x14ac:dyDescent="0.3">
      <c r="J24322" s="33"/>
    </row>
    <row r="24323" spans="10:10" ht="15" customHeight="1" x14ac:dyDescent="0.3">
      <c r="J24323" s="33"/>
    </row>
    <row r="24324" spans="10:10" ht="15" customHeight="1" x14ac:dyDescent="0.3">
      <c r="J24324" s="33"/>
    </row>
    <row r="24325" spans="10:10" ht="15" customHeight="1" x14ac:dyDescent="0.3">
      <c r="J24325" s="33"/>
    </row>
    <row r="24326" spans="10:10" ht="15" customHeight="1" x14ac:dyDescent="0.3">
      <c r="J24326" s="33"/>
    </row>
    <row r="24327" spans="10:10" ht="15" customHeight="1" x14ac:dyDescent="0.3">
      <c r="J24327" s="33"/>
    </row>
    <row r="24328" spans="10:10" ht="15" customHeight="1" x14ac:dyDescent="0.3">
      <c r="J24328" s="33"/>
    </row>
    <row r="24329" spans="10:10" ht="15" customHeight="1" x14ac:dyDescent="0.3">
      <c r="J24329" s="33"/>
    </row>
    <row r="24330" spans="10:10" ht="15" customHeight="1" x14ac:dyDescent="0.3">
      <c r="J24330" s="33"/>
    </row>
    <row r="24331" spans="10:10" ht="15" customHeight="1" x14ac:dyDescent="0.3">
      <c r="J24331" s="33"/>
    </row>
    <row r="24332" spans="10:10" ht="15" customHeight="1" x14ac:dyDescent="0.3">
      <c r="J24332" s="33"/>
    </row>
    <row r="24333" spans="10:10" ht="15" customHeight="1" x14ac:dyDescent="0.3">
      <c r="J24333" s="33"/>
    </row>
    <row r="24334" spans="10:10" ht="15" customHeight="1" x14ac:dyDescent="0.3">
      <c r="J24334" s="33"/>
    </row>
    <row r="24335" spans="10:10" ht="15" customHeight="1" x14ac:dyDescent="0.3">
      <c r="J24335" s="33"/>
    </row>
    <row r="24336" spans="10:10" ht="15" customHeight="1" x14ac:dyDescent="0.3">
      <c r="J24336" s="33"/>
    </row>
    <row r="24337" spans="10:10" ht="15" customHeight="1" x14ac:dyDescent="0.3">
      <c r="J24337" s="33"/>
    </row>
    <row r="24338" spans="10:10" ht="15" customHeight="1" x14ac:dyDescent="0.3">
      <c r="J24338" s="33"/>
    </row>
    <row r="24339" spans="10:10" ht="15" customHeight="1" x14ac:dyDescent="0.3">
      <c r="J24339" s="33"/>
    </row>
    <row r="24340" spans="10:10" ht="15" customHeight="1" x14ac:dyDescent="0.3">
      <c r="J24340" s="33"/>
    </row>
    <row r="24341" spans="10:10" ht="15" customHeight="1" x14ac:dyDescent="0.3">
      <c r="J24341" s="33"/>
    </row>
    <row r="24342" spans="10:10" ht="15" customHeight="1" x14ac:dyDescent="0.3">
      <c r="J24342" s="33"/>
    </row>
    <row r="24343" spans="10:10" ht="15" customHeight="1" x14ac:dyDescent="0.3">
      <c r="J24343" s="33"/>
    </row>
    <row r="24344" spans="10:10" ht="15" customHeight="1" x14ac:dyDescent="0.3">
      <c r="J24344" s="33"/>
    </row>
    <row r="24345" spans="10:10" ht="15" customHeight="1" x14ac:dyDescent="0.3">
      <c r="J24345" s="33"/>
    </row>
    <row r="24346" spans="10:10" ht="15" customHeight="1" x14ac:dyDescent="0.3">
      <c r="J24346" s="33"/>
    </row>
    <row r="24347" spans="10:10" ht="15" customHeight="1" x14ac:dyDescent="0.3">
      <c r="J24347" s="33"/>
    </row>
    <row r="24348" spans="10:10" ht="15" customHeight="1" x14ac:dyDescent="0.3">
      <c r="J24348" s="33"/>
    </row>
    <row r="24349" spans="10:10" ht="15" customHeight="1" x14ac:dyDescent="0.3">
      <c r="J24349" s="33"/>
    </row>
    <row r="24350" spans="10:10" ht="15" customHeight="1" x14ac:dyDescent="0.3">
      <c r="J24350" s="33"/>
    </row>
    <row r="24351" spans="10:10" ht="15" customHeight="1" x14ac:dyDescent="0.3">
      <c r="J24351" s="33"/>
    </row>
    <row r="24352" spans="10:10" ht="15" customHeight="1" x14ac:dyDescent="0.3">
      <c r="J24352" s="33"/>
    </row>
    <row r="24353" spans="10:10" ht="15" customHeight="1" x14ac:dyDescent="0.3">
      <c r="J24353" s="33"/>
    </row>
    <row r="24354" spans="10:10" ht="15" customHeight="1" x14ac:dyDescent="0.3">
      <c r="J24354" s="33"/>
    </row>
    <row r="24355" spans="10:10" ht="15" customHeight="1" x14ac:dyDescent="0.3">
      <c r="J24355" s="33"/>
    </row>
    <row r="24356" spans="10:10" ht="15" customHeight="1" x14ac:dyDescent="0.3">
      <c r="J24356" s="33"/>
    </row>
    <row r="24357" spans="10:10" ht="15" customHeight="1" x14ac:dyDescent="0.3">
      <c r="J24357" s="33"/>
    </row>
    <row r="24358" spans="10:10" ht="15" customHeight="1" x14ac:dyDescent="0.3">
      <c r="J24358" s="33"/>
    </row>
    <row r="24359" spans="10:10" ht="15" customHeight="1" x14ac:dyDescent="0.3">
      <c r="J24359" s="33"/>
    </row>
    <row r="24360" spans="10:10" ht="15" customHeight="1" x14ac:dyDescent="0.3">
      <c r="J24360" s="33"/>
    </row>
    <row r="24361" spans="10:10" ht="15" customHeight="1" x14ac:dyDescent="0.3">
      <c r="J24361" s="33"/>
    </row>
    <row r="24362" spans="10:10" ht="15" customHeight="1" x14ac:dyDescent="0.3">
      <c r="J24362" s="33"/>
    </row>
    <row r="24363" spans="10:10" ht="15" customHeight="1" x14ac:dyDescent="0.3">
      <c r="J24363" s="33"/>
    </row>
    <row r="24364" spans="10:10" ht="15" customHeight="1" x14ac:dyDescent="0.3">
      <c r="J24364" s="33"/>
    </row>
    <row r="24365" spans="10:10" ht="15" customHeight="1" x14ac:dyDescent="0.3">
      <c r="J24365" s="33"/>
    </row>
    <row r="24366" spans="10:10" ht="15" customHeight="1" x14ac:dyDescent="0.3">
      <c r="J24366" s="33"/>
    </row>
    <row r="24367" spans="10:10" ht="15" customHeight="1" x14ac:dyDescent="0.3">
      <c r="J24367" s="33"/>
    </row>
    <row r="24368" spans="10:10" ht="15" customHeight="1" x14ac:dyDescent="0.3">
      <c r="J24368" s="33"/>
    </row>
    <row r="24369" spans="10:10" ht="15" customHeight="1" x14ac:dyDescent="0.3">
      <c r="J24369" s="33"/>
    </row>
    <row r="24370" spans="10:10" ht="15" customHeight="1" x14ac:dyDescent="0.3">
      <c r="J24370" s="33"/>
    </row>
    <row r="24371" spans="10:10" ht="15" customHeight="1" x14ac:dyDescent="0.3">
      <c r="J24371" s="33"/>
    </row>
    <row r="24372" spans="10:10" ht="15" customHeight="1" x14ac:dyDescent="0.3">
      <c r="J24372" s="33"/>
    </row>
    <row r="24373" spans="10:10" ht="15" customHeight="1" x14ac:dyDescent="0.3">
      <c r="J24373" s="33"/>
    </row>
    <row r="24374" spans="10:10" ht="15" customHeight="1" x14ac:dyDescent="0.3">
      <c r="J24374" s="33"/>
    </row>
    <row r="24375" spans="10:10" ht="15" customHeight="1" x14ac:dyDescent="0.3">
      <c r="J24375" s="33"/>
    </row>
    <row r="24376" spans="10:10" ht="15" customHeight="1" x14ac:dyDescent="0.3">
      <c r="J24376" s="33"/>
    </row>
    <row r="24377" spans="10:10" ht="15" customHeight="1" x14ac:dyDescent="0.3">
      <c r="J24377" s="33"/>
    </row>
    <row r="24378" spans="10:10" ht="15" customHeight="1" x14ac:dyDescent="0.3">
      <c r="J24378" s="33"/>
    </row>
    <row r="24379" spans="10:10" ht="15" customHeight="1" x14ac:dyDescent="0.3">
      <c r="J24379" s="33"/>
    </row>
    <row r="24380" spans="10:10" ht="15" customHeight="1" x14ac:dyDescent="0.3">
      <c r="J24380" s="33"/>
    </row>
    <row r="24381" spans="10:10" ht="15" customHeight="1" x14ac:dyDescent="0.3">
      <c r="J24381" s="33"/>
    </row>
    <row r="24382" spans="10:10" ht="15" customHeight="1" x14ac:dyDescent="0.3">
      <c r="J24382" s="33"/>
    </row>
    <row r="24383" spans="10:10" ht="15" customHeight="1" x14ac:dyDescent="0.3">
      <c r="J24383" s="33"/>
    </row>
    <row r="24384" spans="10:10" ht="15" customHeight="1" x14ac:dyDescent="0.3">
      <c r="J24384" s="33"/>
    </row>
    <row r="24385" spans="10:10" ht="15" customHeight="1" x14ac:dyDescent="0.3">
      <c r="J24385" s="33"/>
    </row>
    <row r="24386" spans="10:10" ht="15" customHeight="1" x14ac:dyDescent="0.3">
      <c r="J24386" s="33"/>
    </row>
    <row r="24387" spans="10:10" ht="15" customHeight="1" x14ac:dyDescent="0.3">
      <c r="J24387" s="33"/>
    </row>
    <row r="24388" spans="10:10" ht="15" customHeight="1" x14ac:dyDescent="0.3">
      <c r="J24388" s="33"/>
    </row>
    <row r="24389" spans="10:10" ht="15" customHeight="1" x14ac:dyDescent="0.3">
      <c r="J24389" s="33"/>
    </row>
    <row r="24390" spans="10:10" ht="15" customHeight="1" x14ac:dyDescent="0.3">
      <c r="J24390" s="33"/>
    </row>
    <row r="24391" spans="10:10" ht="15" customHeight="1" x14ac:dyDescent="0.3">
      <c r="J24391" s="33"/>
    </row>
    <row r="24392" spans="10:10" ht="15" customHeight="1" x14ac:dyDescent="0.3">
      <c r="J24392" s="33"/>
    </row>
    <row r="24393" spans="10:10" ht="15" customHeight="1" x14ac:dyDescent="0.3">
      <c r="J24393" s="33"/>
    </row>
    <row r="24394" spans="10:10" ht="15" customHeight="1" x14ac:dyDescent="0.3">
      <c r="J24394" s="33"/>
    </row>
    <row r="24395" spans="10:10" ht="15" customHeight="1" x14ac:dyDescent="0.3">
      <c r="J24395" s="33"/>
    </row>
    <row r="24396" spans="10:10" ht="15" customHeight="1" x14ac:dyDescent="0.3">
      <c r="J24396" s="33"/>
    </row>
    <row r="24397" spans="10:10" ht="15" customHeight="1" x14ac:dyDescent="0.3">
      <c r="J24397" s="33"/>
    </row>
    <row r="24398" spans="10:10" ht="15" customHeight="1" x14ac:dyDescent="0.3">
      <c r="J24398" s="33"/>
    </row>
    <row r="24399" spans="10:10" ht="15" customHeight="1" x14ac:dyDescent="0.3">
      <c r="J24399" s="33"/>
    </row>
    <row r="24400" spans="10:10" ht="15" customHeight="1" x14ac:dyDescent="0.3">
      <c r="J24400" s="33"/>
    </row>
    <row r="24401" spans="10:10" ht="15" customHeight="1" x14ac:dyDescent="0.3">
      <c r="J24401" s="33"/>
    </row>
    <row r="24402" spans="10:10" ht="15" customHeight="1" x14ac:dyDescent="0.3">
      <c r="J24402" s="33"/>
    </row>
    <row r="24403" spans="10:10" ht="15" customHeight="1" x14ac:dyDescent="0.3">
      <c r="J24403" s="33"/>
    </row>
    <row r="24404" spans="10:10" ht="15" customHeight="1" x14ac:dyDescent="0.3">
      <c r="J24404" s="33"/>
    </row>
    <row r="24405" spans="10:10" ht="15" customHeight="1" x14ac:dyDescent="0.3">
      <c r="J24405" s="33"/>
    </row>
    <row r="24406" spans="10:10" ht="15" customHeight="1" x14ac:dyDescent="0.3">
      <c r="J24406" s="33"/>
    </row>
    <row r="24407" spans="10:10" ht="15" customHeight="1" x14ac:dyDescent="0.3">
      <c r="J24407" s="33"/>
    </row>
    <row r="24408" spans="10:10" ht="15" customHeight="1" x14ac:dyDescent="0.3">
      <c r="J24408" s="33"/>
    </row>
    <row r="24409" spans="10:10" ht="15" customHeight="1" x14ac:dyDescent="0.3">
      <c r="J24409" s="33"/>
    </row>
    <row r="24410" spans="10:10" ht="15" customHeight="1" x14ac:dyDescent="0.3">
      <c r="J24410" s="33"/>
    </row>
    <row r="24411" spans="10:10" ht="15" customHeight="1" x14ac:dyDescent="0.3">
      <c r="J24411" s="33"/>
    </row>
    <row r="24412" spans="10:10" ht="15" customHeight="1" x14ac:dyDescent="0.3">
      <c r="J24412" s="33"/>
    </row>
    <row r="24413" spans="10:10" ht="15" customHeight="1" x14ac:dyDescent="0.3">
      <c r="J24413" s="33"/>
    </row>
    <row r="24414" spans="10:10" ht="15" customHeight="1" x14ac:dyDescent="0.3">
      <c r="J24414" s="33"/>
    </row>
    <row r="24415" spans="10:10" ht="15" customHeight="1" x14ac:dyDescent="0.3">
      <c r="J24415" s="33"/>
    </row>
    <row r="24416" spans="10:10" ht="15" customHeight="1" x14ac:dyDescent="0.3">
      <c r="J24416" s="33"/>
    </row>
    <row r="24417" spans="10:10" ht="15" customHeight="1" x14ac:dyDescent="0.3">
      <c r="J24417" s="33"/>
    </row>
    <row r="24418" spans="10:10" ht="15" customHeight="1" x14ac:dyDescent="0.3">
      <c r="J24418" s="33"/>
    </row>
    <row r="24419" spans="10:10" ht="15" customHeight="1" x14ac:dyDescent="0.3">
      <c r="J24419" s="33"/>
    </row>
    <row r="24420" spans="10:10" ht="15" customHeight="1" x14ac:dyDescent="0.3">
      <c r="J24420" s="33"/>
    </row>
    <row r="24421" spans="10:10" ht="15" customHeight="1" x14ac:dyDescent="0.3">
      <c r="J24421" s="33"/>
    </row>
    <row r="24422" spans="10:10" ht="15" customHeight="1" x14ac:dyDescent="0.3">
      <c r="J24422" s="33"/>
    </row>
    <row r="24423" spans="10:10" ht="15" customHeight="1" x14ac:dyDescent="0.3">
      <c r="J24423" s="33"/>
    </row>
    <row r="24424" spans="10:10" ht="15" customHeight="1" x14ac:dyDescent="0.3">
      <c r="J24424" s="33"/>
    </row>
    <row r="24425" spans="10:10" ht="15" customHeight="1" x14ac:dyDescent="0.3">
      <c r="J24425" s="33"/>
    </row>
    <row r="24426" spans="10:10" ht="15" customHeight="1" x14ac:dyDescent="0.3">
      <c r="J24426" s="33"/>
    </row>
    <row r="24427" spans="10:10" ht="15" customHeight="1" x14ac:dyDescent="0.3">
      <c r="J24427" s="33"/>
    </row>
    <row r="24428" spans="10:10" ht="15" customHeight="1" x14ac:dyDescent="0.3">
      <c r="J24428" s="33"/>
    </row>
    <row r="24429" spans="10:10" ht="15" customHeight="1" x14ac:dyDescent="0.3">
      <c r="J24429" s="33"/>
    </row>
    <row r="24430" spans="10:10" ht="15" customHeight="1" x14ac:dyDescent="0.3">
      <c r="J24430" s="33"/>
    </row>
    <row r="24431" spans="10:10" ht="15" customHeight="1" x14ac:dyDescent="0.3">
      <c r="J24431" s="33"/>
    </row>
    <row r="24432" spans="10:10" ht="15" customHeight="1" x14ac:dyDescent="0.3">
      <c r="J24432" s="33"/>
    </row>
    <row r="24433" spans="10:10" ht="15" customHeight="1" x14ac:dyDescent="0.3">
      <c r="J24433" s="33"/>
    </row>
    <row r="24434" spans="10:10" ht="15" customHeight="1" x14ac:dyDescent="0.3">
      <c r="J24434" s="33"/>
    </row>
    <row r="24435" spans="10:10" ht="15" customHeight="1" x14ac:dyDescent="0.3">
      <c r="J24435" s="33"/>
    </row>
    <row r="24436" spans="10:10" ht="15" customHeight="1" x14ac:dyDescent="0.3">
      <c r="J24436" s="33"/>
    </row>
    <row r="24437" spans="10:10" ht="15" customHeight="1" x14ac:dyDescent="0.3">
      <c r="J24437" s="33"/>
    </row>
    <row r="24438" spans="10:10" ht="15" customHeight="1" x14ac:dyDescent="0.3">
      <c r="J24438" s="33"/>
    </row>
    <row r="24439" spans="10:10" ht="15" customHeight="1" x14ac:dyDescent="0.3">
      <c r="J24439" s="33"/>
    </row>
    <row r="24440" spans="10:10" ht="15" customHeight="1" x14ac:dyDescent="0.3">
      <c r="J24440" s="33"/>
    </row>
    <row r="24441" spans="10:10" ht="15" customHeight="1" x14ac:dyDescent="0.3">
      <c r="J24441" s="33"/>
    </row>
    <row r="24442" spans="10:10" ht="15" customHeight="1" x14ac:dyDescent="0.3">
      <c r="J24442" s="33"/>
    </row>
    <row r="24443" spans="10:10" ht="15" customHeight="1" x14ac:dyDescent="0.3">
      <c r="J24443" s="33"/>
    </row>
    <row r="24444" spans="10:10" ht="15" customHeight="1" x14ac:dyDescent="0.3">
      <c r="J24444" s="33"/>
    </row>
    <row r="24445" spans="10:10" ht="15" customHeight="1" x14ac:dyDescent="0.3">
      <c r="J24445" s="33"/>
    </row>
    <row r="24446" spans="10:10" ht="15" customHeight="1" x14ac:dyDescent="0.3">
      <c r="J24446" s="33"/>
    </row>
    <row r="24447" spans="10:10" ht="15" customHeight="1" x14ac:dyDescent="0.3">
      <c r="J24447" s="33"/>
    </row>
    <row r="24448" spans="10:10" ht="15" customHeight="1" x14ac:dyDescent="0.3">
      <c r="J24448" s="33"/>
    </row>
    <row r="24449" spans="10:10" ht="15" customHeight="1" x14ac:dyDescent="0.3">
      <c r="J24449" s="33"/>
    </row>
    <row r="24450" spans="10:10" ht="15" customHeight="1" x14ac:dyDescent="0.3">
      <c r="J24450" s="33"/>
    </row>
    <row r="24451" spans="10:10" ht="15" customHeight="1" x14ac:dyDescent="0.3">
      <c r="J24451" s="33"/>
    </row>
    <row r="24452" spans="10:10" ht="15" customHeight="1" x14ac:dyDescent="0.3">
      <c r="J24452" s="33"/>
    </row>
    <row r="24453" spans="10:10" ht="15" customHeight="1" x14ac:dyDescent="0.3">
      <c r="J24453" s="33"/>
    </row>
    <row r="24454" spans="10:10" ht="15" customHeight="1" x14ac:dyDescent="0.3">
      <c r="J24454" s="33"/>
    </row>
    <row r="24455" spans="10:10" ht="15" customHeight="1" x14ac:dyDescent="0.3">
      <c r="J24455" s="33"/>
    </row>
    <row r="24456" spans="10:10" ht="15" customHeight="1" x14ac:dyDescent="0.3">
      <c r="J24456" s="33"/>
    </row>
    <row r="24457" spans="10:10" ht="15" customHeight="1" x14ac:dyDescent="0.3">
      <c r="J24457" s="33"/>
    </row>
    <row r="24458" spans="10:10" ht="15" customHeight="1" x14ac:dyDescent="0.3">
      <c r="J24458" s="33"/>
    </row>
    <row r="24459" spans="10:10" ht="15" customHeight="1" x14ac:dyDescent="0.3">
      <c r="J24459" s="33"/>
    </row>
    <row r="24460" spans="10:10" ht="15" customHeight="1" x14ac:dyDescent="0.3">
      <c r="J24460" s="33"/>
    </row>
    <row r="24461" spans="10:10" ht="15" customHeight="1" x14ac:dyDescent="0.3">
      <c r="J24461" s="33"/>
    </row>
    <row r="24462" spans="10:10" ht="15" customHeight="1" x14ac:dyDescent="0.3">
      <c r="J24462" s="33"/>
    </row>
    <row r="24463" spans="10:10" ht="15" customHeight="1" x14ac:dyDescent="0.3">
      <c r="J24463" s="33"/>
    </row>
    <row r="24464" spans="10:10" ht="15" customHeight="1" x14ac:dyDescent="0.3">
      <c r="J24464" s="33"/>
    </row>
    <row r="24465" spans="10:10" ht="15" customHeight="1" x14ac:dyDescent="0.3">
      <c r="J24465" s="33"/>
    </row>
    <row r="24466" spans="10:10" ht="15" customHeight="1" x14ac:dyDescent="0.3">
      <c r="J24466" s="33"/>
    </row>
    <row r="24467" spans="10:10" ht="15" customHeight="1" x14ac:dyDescent="0.3">
      <c r="J24467" s="33"/>
    </row>
    <row r="24468" spans="10:10" ht="15" customHeight="1" x14ac:dyDescent="0.3">
      <c r="J24468" s="33"/>
    </row>
    <row r="24469" spans="10:10" ht="15" customHeight="1" x14ac:dyDescent="0.3">
      <c r="J24469" s="33"/>
    </row>
    <row r="24470" spans="10:10" ht="15" customHeight="1" x14ac:dyDescent="0.3">
      <c r="J24470" s="33"/>
    </row>
    <row r="24471" spans="10:10" ht="15" customHeight="1" x14ac:dyDescent="0.3">
      <c r="J24471" s="33"/>
    </row>
    <row r="24472" spans="10:10" ht="15" customHeight="1" x14ac:dyDescent="0.3">
      <c r="J24472" s="33"/>
    </row>
    <row r="24473" spans="10:10" ht="15" customHeight="1" x14ac:dyDescent="0.3">
      <c r="J24473" s="33"/>
    </row>
    <row r="24474" spans="10:10" ht="15" customHeight="1" x14ac:dyDescent="0.3">
      <c r="J24474" s="33"/>
    </row>
    <row r="24475" spans="10:10" ht="15" customHeight="1" x14ac:dyDescent="0.3">
      <c r="J24475" s="33"/>
    </row>
    <row r="24476" spans="10:10" ht="15" customHeight="1" x14ac:dyDescent="0.3">
      <c r="J24476" s="33"/>
    </row>
    <row r="24477" spans="10:10" ht="15" customHeight="1" x14ac:dyDescent="0.3">
      <c r="J24477" s="33"/>
    </row>
    <row r="24478" spans="10:10" ht="15" customHeight="1" x14ac:dyDescent="0.3">
      <c r="J24478" s="33"/>
    </row>
    <row r="24479" spans="10:10" ht="15" customHeight="1" x14ac:dyDescent="0.3">
      <c r="J24479" s="33"/>
    </row>
    <row r="24480" spans="10:10" ht="15" customHeight="1" x14ac:dyDescent="0.3">
      <c r="J24480" s="33"/>
    </row>
    <row r="24481" spans="10:10" ht="15" customHeight="1" x14ac:dyDescent="0.3">
      <c r="J24481" s="33"/>
    </row>
    <row r="24482" spans="10:10" ht="15" customHeight="1" x14ac:dyDescent="0.3">
      <c r="J24482" s="33"/>
    </row>
    <row r="24483" spans="10:10" ht="15" customHeight="1" x14ac:dyDescent="0.3">
      <c r="J24483" s="33"/>
    </row>
    <row r="24484" spans="10:10" ht="15" customHeight="1" x14ac:dyDescent="0.3">
      <c r="J24484" s="33"/>
    </row>
    <row r="24485" spans="10:10" ht="15" customHeight="1" x14ac:dyDescent="0.3">
      <c r="J24485" s="33"/>
    </row>
    <row r="24486" spans="10:10" ht="15" customHeight="1" x14ac:dyDescent="0.3">
      <c r="J24486" s="33"/>
    </row>
    <row r="24487" spans="10:10" ht="15" customHeight="1" x14ac:dyDescent="0.3">
      <c r="J24487" s="33"/>
    </row>
    <row r="24488" spans="10:10" ht="15" customHeight="1" x14ac:dyDescent="0.3">
      <c r="J24488" s="33"/>
    </row>
    <row r="24489" spans="10:10" ht="15" customHeight="1" x14ac:dyDescent="0.3">
      <c r="J24489" s="33"/>
    </row>
    <row r="24490" spans="10:10" ht="15" customHeight="1" x14ac:dyDescent="0.3">
      <c r="J24490" s="33"/>
    </row>
    <row r="24491" spans="10:10" ht="15" customHeight="1" x14ac:dyDescent="0.3">
      <c r="J24491" s="33"/>
    </row>
    <row r="24492" spans="10:10" ht="15" customHeight="1" x14ac:dyDescent="0.3">
      <c r="J24492" s="33"/>
    </row>
    <row r="24493" spans="10:10" ht="15" customHeight="1" x14ac:dyDescent="0.3">
      <c r="J24493" s="33"/>
    </row>
    <row r="24494" spans="10:10" ht="15" customHeight="1" x14ac:dyDescent="0.3">
      <c r="J24494" s="33"/>
    </row>
    <row r="24495" spans="10:10" ht="15" customHeight="1" x14ac:dyDescent="0.3">
      <c r="J24495" s="33"/>
    </row>
    <row r="24496" spans="10:10" ht="15" customHeight="1" x14ac:dyDescent="0.3">
      <c r="J24496" s="33"/>
    </row>
    <row r="24497" spans="10:10" ht="15" customHeight="1" x14ac:dyDescent="0.3">
      <c r="J24497" s="33"/>
    </row>
    <row r="24498" spans="10:10" ht="15" customHeight="1" x14ac:dyDescent="0.3">
      <c r="J24498" s="33"/>
    </row>
    <row r="24499" spans="10:10" ht="15" customHeight="1" x14ac:dyDescent="0.3">
      <c r="J24499" s="33"/>
    </row>
    <row r="24500" spans="10:10" ht="15" customHeight="1" x14ac:dyDescent="0.3">
      <c r="J24500" s="33"/>
    </row>
    <row r="24501" spans="10:10" ht="15" customHeight="1" x14ac:dyDescent="0.3">
      <c r="J24501" s="33"/>
    </row>
    <row r="24502" spans="10:10" ht="15" customHeight="1" x14ac:dyDescent="0.3">
      <c r="J24502" s="33"/>
    </row>
    <row r="24503" spans="10:10" ht="15" customHeight="1" x14ac:dyDescent="0.3">
      <c r="J24503" s="33"/>
    </row>
    <row r="24504" spans="10:10" ht="15" customHeight="1" x14ac:dyDescent="0.3">
      <c r="J24504" s="33"/>
    </row>
    <row r="24505" spans="10:10" ht="15" customHeight="1" x14ac:dyDescent="0.3">
      <c r="J24505" s="33"/>
    </row>
    <row r="24506" spans="10:10" ht="15" customHeight="1" x14ac:dyDescent="0.3">
      <c r="J24506" s="33"/>
    </row>
    <row r="24507" spans="10:10" ht="15" customHeight="1" x14ac:dyDescent="0.3">
      <c r="J24507" s="33"/>
    </row>
    <row r="24508" spans="10:10" ht="15" customHeight="1" x14ac:dyDescent="0.3">
      <c r="J24508" s="33"/>
    </row>
    <row r="24509" spans="10:10" ht="15" customHeight="1" x14ac:dyDescent="0.3">
      <c r="J24509" s="33"/>
    </row>
    <row r="24510" spans="10:10" ht="15" customHeight="1" x14ac:dyDescent="0.3">
      <c r="J24510" s="33"/>
    </row>
    <row r="24511" spans="10:10" ht="15" customHeight="1" x14ac:dyDescent="0.3">
      <c r="J24511" s="33"/>
    </row>
    <row r="24512" spans="10:10" ht="15" customHeight="1" x14ac:dyDescent="0.3">
      <c r="J24512" s="33"/>
    </row>
    <row r="24513" spans="10:10" ht="15" customHeight="1" x14ac:dyDescent="0.3">
      <c r="J24513" s="33"/>
    </row>
    <row r="24514" spans="10:10" ht="15" customHeight="1" x14ac:dyDescent="0.3">
      <c r="J24514" s="33"/>
    </row>
    <row r="24515" spans="10:10" ht="15" customHeight="1" x14ac:dyDescent="0.3">
      <c r="J24515" s="33"/>
    </row>
    <row r="24516" spans="10:10" ht="15" customHeight="1" x14ac:dyDescent="0.3">
      <c r="J24516" s="33"/>
    </row>
    <row r="24517" spans="10:10" ht="15" customHeight="1" x14ac:dyDescent="0.3">
      <c r="J24517" s="33"/>
    </row>
    <row r="24518" spans="10:10" ht="15" customHeight="1" x14ac:dyDescent="0.3">
      <c r="J24518" s="33"/>
    </row>
    <row r="24519" spans="10:10" ht="15" customHeight="1" x14ac:dyDescent="0.3">
      <c r="J24519" s="33"/>
    </row>
    <row r="24520" spans="10:10" ht="15" customHeight="1" x14ac:dyDescent="0.3">
      <c r="J24520" s="33"/>
    </row>
    <row r="24521" spans="10:10" ht="15" customHeight="1" x14ac:dyDescent="0.3">
      <c r="J24521" s="33"/>
    </row>
    <row r="24522" spans="10:10" ht="15" customHeight="1" x14ac:dyDescent="0.3">
      <c r="J24522" s="33"/>
    </row>
    <row r="24523" spans="10:10" ht="15" customHeight="1" x14ac:dyDescent="0.3">
      <c r="J24523" s="33"/>
    </row>
    <row r="24524" spans="10:10" ht="15" customHeight="1" x14ac:dyDescent="0.3">
      <c r="J24524" s="33"/>
    </row>
    <row r="24525" spans="10:10" ht="15" customHeight="1" x14ac:dyDescent="0.3">
      <c r="J24525" s="33"/>
    </row>
    <row r="24526" spans="10:10" ht="15" customHeight="1" x14ac:dyDescent="0.3">
      <c r="J24526" s="33"/>
    </row>
    <row r="24527" spans="10:10" ht="15" customHeight="1" x14ac:dyDescent="0.3">
      <c r="J24527" s="33"/>
    </row>
    <row r="24528" spans="10:10" ht="15" customHeight="1" x14ac:dyDescent="0.3">
      <c r="J24528" s="33"/>
    </row>
    <row r="24529" spans="10:10" ht="15" customHeight="1" x14ac:dyDescent="0.3">
      <c r="J24529" s="33"/>
    </row>
    <row r="24530" spans="10:10" ht="15" customHeight="1" x14ac:dyDescent="0.3">
      <c r="J24530" s="33"/>
    </row>
    <row r="24531" spans="10:10" ht="15" customHeight="1" x14ac:dyDescent="0.3">
      <c r="J24531" s="33"/>
    </row>
    <row r="24532" spans="10:10" ht="15" customHeight="1" x14ac:dyDescent="0.3">
      <c r="J24532" s="33"/>
    </row>
    <row r="24533" spans="10:10" ht="15" customHeight="1" x14ac:dyDescent="0.3">
      <c r="J24533" s="33"/>
    </row>
    <row r="24534" spans="10:10" ht="15" customHeight="1" x14ac:dyDescent="0.3">
      <c r="J24534" s="33"/>
    </row>
    <row r="24535" spans="10:10" ht="15" customHeight="1" x14ac:dyDescent="0.3">
      <c r="J24535" s="33"/>
    </row>
    <row r="24536" spans="10:10" ht="15" customHeight="1" x14ac:dyDescent="0.3">
      <c r="J24536" s="33"/>
    </row>
    <row r="24537" spans="10:10" ht="15" customHeight="1" x14ac:dyDescent="0.3">
      <c r="J24537" s="33"/>
    </row>
    <row r="24538" spans="10:10" ht="15" customHeight="1" x14ac:dyDescent="0.3">
      <c r="J24538" s="33"/>
    </row>
    <row r="24539" spans="10:10" ht="15" customHeight="1" x14ac:dyDescent="0.3">
      <c r="J24539" s="33"/>
    </row>
    <row r="24540" spans="10:10" ht="15" customHeight="1" x14ac:dyDescent="0.3">
      <c r="J24540" s="33"/>
    </row>
    <row r="24541" spans="10:10" ht="15" customHeight="1" x14ac:dyDescent="0.3">
      <c r="J24541" s="33"/>
    </row>
    <row r="24542" spans="10:10" ht="15" customHeight="1" x14ac:dyDescent="0.3">
      <c r="J24542" s="33"/>
    </row>
    <row r="24543" spans="10:10" ht="15" customHeight="1" x14ac:dyDescent="0.3">
      <c r="J24543" s="33"/>
    </row>
    <row r="24544" spans="10:10" ht="15" customHeight="1" x14ac:dyDescent="0.3">
      <c r="J24544" s="33"/>
    </row>
    <row r="24545" spans="10:10" ht="15" customHeight="1" x14ac:dyDescent="0.3">
      <c r="J24545" s="33"/>
    </row>
    <row r="24546" spans="10:10" ht="15" customHeight="1" x14ac:dyDescent="0.3">
      <c r="J24546" s="33"/>
    </row>
    <row r="24547" spans="10:10" ht="15" customHeight="1" x14ac:dyDescent="0.3">
      <c r="J24547" s="33"/>
    </row>
    <row r="24548" spans="10:10" ht="15" customHeight="1" x14ac:dyDescent="0.3">
      <c r="J24548" s="33"/>
    </row>
    <row r="24549" spans="10:10" ht="15" customHeight="1" x14ac:dyDescent="0.3">
      <c r="J24549" s="33"/>
    </row>
    <row r="24550" spans="10:10" ht="15" customHeight="1" x14ac:dyDescent="0.3">
      <c r="J24550" s="33"/>
    </row>
    <row r="24551" spans="10:10" ht="15" customHeight="1" x14ac:dyDescent="0.3">
      <c r="J24551" s="33"/>
    </row>
    <row r="24552" spans="10:10" ht="15" customHeight="1" x14ac:dyDescent="0.3">
      <c r="J24552" s="33"/>
    </row>
    <row r="24553" spans="10:10" ht="15" customHeight="1" x14ac:dyDescent="0.3">
      <c r="J24553" s="33"/>
    </row>
    <row r="24554" spans="10:10" ht="15" customHeight="1" x14ac:dyDescent="0.3">
      <c r="J24554" s="33"/>
    </row>
    <row r="24555" spans="10:10" ht="15" customHeight="1" x14ac:dyDescent="0.3">
      <c r="J24555" s="33"/>
    </row>
    <row r="24556" spans="10:10" ht="15" customHeight="1" x14ac:dyDescent="0.3">
      <c r="J24556" s="33"/>
    </row>
    <row r="24557" spans="10:10" ht="15" customHeight="1" x14ac:dyDescent="0.3">
      <c r="J24557" s="33"/>
    </row>
    <row r="24558" spans="10:10" ht="15" customHeight="1" x14ac:dyDescent="0.3">
      <c r="J24558" s="33"/>
    </row>
    <row r="24559" spans="10:10" ht="15" customHeight="1" x14ac:dyDescent="0.3">
      <c r="J24559" s="33"/>
    </row>
    <row r="24560" spans="10:10" ht="15" customHeight="1" x14ac:dyDescent="0.3">
      <c r="J24560" s="33"/>
    </row>
    <row r="24561" spans="10:10" ht="15" customHeight="1" x14ac:dyDescent="0.3">
      <c r="J24561" s="33"/>
    </row>
    <row r="24562" spans="10:10" ht="15" customHeight="1" x14ac:dyDescent="0.3">
      <c r="J24562" s="33"/>
    </row>
    <row r="24563" spans="10:10" ht="15" customHeight="1" x14ac:dyDescent="0.3">
      <c r="J24563" s="33"/>
    </row>
    <row r="24564" spans="10:10" ht="15" customHeight="1" x14ac:dyDescent="0.3">
      <c r="J24564" s="33"/>
    </row>
    <row r="24565" spans="10:10" ht="15" customHeight="1" x14ac:dyDescent="0.3">
      <c r="J24565" s="33"/>
    </row>
    <row r="24566" spans="10:10" ht="15" customHeight="1" x14ac:dyDescent="0.3">
      <c r="J24566" s="33"/>
    </row>
    <row r="24567" spans="10:10" ht="15" customHeight="1" x14ac:dyDescent="0.3">
      <c r="J24567" s="33"/>
    </row>
    <row r="24568" spans="10:10" ht="15" customHeight="1" x14ac:dyDescent="0.3">
      <c r="J24568" s="33"/>
    </row>
    <row r="24569" spans="10:10" ht="15" customHeight="1" x14ac:dyDescent="0.3">
      <c r="J24569" s="33"/>
    </row>
    <row r="24570" spans="10:10" ht="15" customHeight="1" x14ac:dyDescent="0.3">
      <c r="J24570" s="33"/>
    </row>
    <row r="24571" spans="10:10" ht="15" customHeight="1" x14ac:dyDescent="0.3">
      <c r="J24571" s="33"/>
    </row>
    <row r="24572" spans="10:10" ht="15" customHeight="1" x14ac:dyDescent="0.3">
      <c r="J24572" s="33"/>
    </row>
    <row r="24573" spans="10:10" ht="15" customHeight="1" x14ac:dyDescent="0.3">
      <c r="J24573" s="33"/>
    </row>
    <row r="24574" spans="10:10" ht="15" customHeight="1" x14ac:dyDescent="0.3">
      <c r="J24574" s="33"/>
    </row>
    <row r="24575" spans="10:10" ht="15" customHeight="1" x14ac:dyDescent="0.3">
      <c r="J24575" s="33"/>
    </row>
    <row r="24576" spans="10:10" ht="15" customHeight="1" x14ac:dyDescent="0.3">
      <c r="J24576" s="33"/>
    </row>
    <row r="24577" spans="10:10" ht="15" customHeight="1" x14ac:dyDescent="0.3">
      <c r="J24577" s="33"/>
    </row>
    <row r="24578" spans="10:10" ht="15" customHeight="1" x14ac:dyDescent="0.3">
      <c r="J24578" s="33"/>
    </row>
    <row r="24579" spans="10:10" ht="15" customHeight="1" x14ac:dyDescent="0.3">
      <c r="J24579" s="33"/>
    </row>
    <row r="24580" spans="10:10" ht="15" customHeight="1" x14ac:dyDescent="0.3">
      <c r="J24580" s="33"/>
    </row>
    <row r="24581" spans="10:10" ht="15" customHeight="1" x14ac:dyDescent="0.3">
      <c r="J24581" s="33"/>
    </row>
    <row r="24582" spans="10:10" ht="15" customHeight="1" x14ac:dyDescent="0.3">
      <c r="J24582" s="33"/>
    </row>
    <row r="24583" spans="10:10" ht="15" customHeight="1" x14ac:dyDescent="0.3">
      <c r="J24583" s="33"/>
    </row>
    <row r="24584" spans="10:10" ht="15" customHeight="1" x14ac:dyDescent="0.3">
      <c r="J24584" s="33"/>
    </row>
    <row r="24585" spans="10:10" ht="15" customHeight="1" x14ac:dyDescent="0.3">
      <c r="J24585" s="33"/>
    </row>
    <row r="24586" spans="10:10" ht="15" customHeight="1" x14ac:dyDescent="0.3">
      <c r="J24586" s="33"/>
    </row>
    <row r="24587" spans="10:10" ht="15" customHeight="1" x14ac:dyDescent="0.3">
      <c r="J24587" s="33"/>
    </row>
    <row r="24588" spans="10:10" ht="15" customHeight="1" x14ac:dyDescent="0.3">
      <c r="J24588" s="33"/>
    </row>
    <row r="24589" spans="10:10" ht="15" customHeight="1" x14ac:dyDescent="0.3">
      <c r="J24589" s="33"/>
    </row>
    <row r="24590" spans="10:10" ht="15" customHeight="1" x14ac:dyDescent="0.3">
      <c r="J24590" s="33"/>
    </row>
    <row r="24591" spans="10:10" ht="15" customHeight="1" x14ac:dyDescent="0.3">
      <c r="J24591" s="33"/>
    </row>
    <row r="24592" spans="10:10" ht="15" customHeight="1" x14ac:dyDescent="0.3">
      <c r="J24592" s="33"/>
    </row>
    <row r="24593" spans="10:10" ht="15" customHeight="1" x14ac:dyDescent="0.3">
      <c r="J24593" s="33"/>
    </row>
    <row r="24594" spans="10:10" ht="15" customHeight="1" x14ac:dyDescent="0.3">
      <c r="J24594" s="33"/>
    </row>
    <row r="24595" spans="10:10" ht="15" customHeight="1" x14ac:dyDescent="0.3">
      <c r="J24595" s="33"/>
    </row>
    <row r="24596" spans="10:10" ht="15" customHeight="1" x14ac:dyDescent="0.3">
      <c r="J24596" s="33"/>
    </row>
    <row r="24597" spans="10:10" ht="15" customHeight="1" x14ac:dyDescent="0.3">
      <c r="J24597" s="33"/>
    </row>
    <row r="24598" spans="10:10" ht="15" customHeight="1" x14ac:dyDescent="0.3">
      <c r="J24598" s="33"/>
    </row>
    <row r="24599" spans="10:10" ht="15" customHeight="1" x14ac:dyDescent="0.3">
      <c r="J24599" s="33"/>
    </row>
    <row r="24600" spans="10:10" ht="15" customHeight="1" x14ac:dyDescent="0.3">
      <c r="J24600" s="33"/>
    </row>
    <row r="24601" spans="10:10" ht="15" customHeight="1" x14ac:dyDescent="0.3">
      <c r="J24601" s="33"/>
    </row>
    <row r="24602" spans="10:10" ht="15" customHeight="1" x14ac:dyDescent="0.3">
      <c r="J24602" s="33"/>
    </row>
    <row r="24603" spans="10:10" ht="15" customHeight="1" x14ac:dyDescent="0.3">
      <c r="J24603" s="33"/>
    </row>
    <row r="24604" spans="10:10" ht="15" customHeight="1" x14ac:dyDescent="0.3">
      <c r="J24604" s="33"/>
    </row>
    <row r="24605" spans="10:10" ht="15" customHeight="1" x14ac:dyDescent="0.3">
      <c r="J24605" s="33"/>
    </row>
    <row r="24606" spans="10:10" ht="15" customHeight="1" x14ac:dyDescent="0.3">
      <c r="J24606" s="33"/>
    </row>
    <row r="24607" spans="10:10" ht="15" customHeight="1" x14ac:dyDescent="0.3">
      <c r="J24607" s="33"/>
    </row>
    <row r="24608" spans="10:10" ht="15" customHeight="1" x14ac:dyDescent="0.3">
      <c r="J24608" s="33"/>
    </row>
    <row r="24609" spans="10:10" ht="15" customHeight="1" x14ac:dyDescent="0.3">
      <c r="J24609" s="33"/>
    </row>
    <row r="24610" spans="10:10" ht="15" customHeight="1" x14ac:dyDescent="0.3">
      <c r="J24610" s="33"/>
    </row>
    <row r="24611" spans="10:10" ht="15" customHeight="1" x14ac:dyDescent="0.3">
      <c r="J24611" s="33"/>
    </row>
    <row r="24612" spans="10:10" ht="15" customHeight="1" x14ac:dyDescent="0.3">
      <c r="J24612" s="33"/>
    </row>
    <row r="24613" spans="10:10" ht="15" customHeight="1" x14ac:dyDescent="0.3">
      <c r="J24613" s="33"/>
    </row>
    <row r="24614" spans="10:10" ht="15" customHeight="1" x14ac:dyDescent="0.3">
      <c r="J24614" s="33"/>
    </row>
    <row r="24615" spans="10:10" ht="15" customHeight="1" x14ac:dyDescent="0.3">
      <c r="J24615" s="33"/>
    </row>
    <row r="24616" spans="10:10" ht="15" customHeight="1" x14ac:dyDescent="0.3">
      <c r="J24616" s="33"/>
    </row>
    <row r="24617" spans="10:10" ht="15" customHeight="1" x14ac:dyDescent="0.3">
      <c r="J24617" s="33"/>
    </row>
    <row r="24618" spans="10:10" ht="15" customHeight="1" x14ac:dyDescent="0.3">
      <c r="J24618" s="33"/>
    </row>
    <row r="24619" spans="10:10" ht="15" customHeight="1" x14ac:dyDescent="0.3">
      <c r="J24619" s="33"/>
    </row>
    <row r="24620" spans="10:10" ht="15" customHeight="1" x14ac:dyDescent="0.3">
      <c r="J24620" s="33"/>
    </row>
    <row r="24621" spans="10:10" ht="15" customHeight="1" x14ac:dyDescent="0.3">
      <c r="J24621" s="33"/>
    </row>
    <row r="24622" spans="10:10" ht="15" customHeight="1" x14ac:dyDescent="0.3">
      <c r="J24622" s="33"/>
    </row>
    <row r="24623" spans="10:10" ht="15" customHeight="1" x14ac:dyDescent="0.3">
      <c r="J24623" s="33"/>
    </row>
    <row r="24624" spans="10:10" ht="15" customHeight="1" x14ac:dyDescent="0.3">
      <c r="J24624" s="33"/>
    </row>
    <row r="24625" spans="10:10" ht="15" customHeight="1" x14ac:dyDescent="0.3">
      <c r="J24625" s="33"/>
    </row>
    <row r="24626" spans="10:10" ht="15" customHeight="1" x14ac:dyDescent="0.3">
      <c r="J24626" s="33"/>
    </row>
    <row r="24627" spans="10:10" ht="15" customHeight="1" x14ac:dyDescent="0.3">
      <c r="J24627" s="33"/>
    </row>
    <row r="24628" spans="10:10" ht="15" customHeight="1" x14ac:dyDescent="0.3">
      <c r="J24628" s="33"/>
    </row>
    <row r="24629" spans="10:10" ht="15" customHeight="1" x14ac:dyDescent="0.3">
      <c r="J24629" s="33"/>
    </row>
    <row r="24630" spans="10:10" ht="15" customHeight="1" x14ac:dyDescent="0.3">
      <c r="J24630" s="33"/>
    </row>
    <row r="24631" spans="10:10" ht="15" customHeight="1" x14ac:dyDescent="0.3">
      <c r="J24631" s="33"/>
    </row>
    <row r="24632" spans="10:10" ht="15" customHeight="1" x14ac:dyDescent="0.3">
      <c r="J24632" s="33"/>
    </row>
    <row r="24633" spans="10:10" ht="15" customHeight="1" x14ac:dyDescent="0.3">
      <c r="J24633" s="33"/>
    </row>
    <row r="24634" spans="10:10" ht="15" customHeight="1" x14ac:dyDescent="0.3">
      <c r="J24634" s="33"/>
    </row>
    <row r="24635" spans="10:10" ht="15" customHeight="1" x14ac:dyDescent="0.3">
      <c r="J24635" s="33"/>
    </row>
    <row r="24636" spans="10:10" ht="15" customHeight="1" x14ac:dyDescent="0.3">
      <c r="J24636" s="33"/>
    </row>
    <row r="24637" spans="10:10" ht="15" customHeight="1" x14ac:dyDescent="0.3">
      <c r="J24637" s="33"/>
    </row>
    <row r="24638" spans="10:10" ht="15" customHeight="1" x14ac:dyDescent="0.3">
      <c r="J24638" s="33"/>
    </row>
    <row r="24639" spans="10:10" ht="15" customHeight="1" x14ac:dyDescent="0.3">
      <c r="J24639" s="33"/>
    </row>
    <row r="24640" spans="10:10" ht="15" customHeight="1" x14ac:dyDescent="0.3">
      <c r="J24640" s="33"/>
    </row>
    <row r="24641" spans="10:10" ht="15" customHeight="1" x14ac:dyDescent="0.3">
      <c r="J24641" s="33"/>
    </row>
    <row r="24642" spans="10:10" ht="15" customHeight="1" x14ac:dyDescent="0.3">
      <c r="J24642" s="33"/>
    </row>
    <row r="24643" spans="10:10" ht="15" customHeight="1" x14ac:dyDescent="0.3">
      <c r="J24643" s="33"/>
    </row>
    <row r="24644" spans="10:10" ht="15" customHeight="1" x14ac:dyDescent="0.3">
      <c r="J24644" s="33"/>
    </row>
    <row r="24645" spans="10:10" ht="15" customHeight="1" x14ac:dyDescent="0.3">
      <c r="J24645" s="33"/>
    </row>
    <row r="24646" spans="10:10" ht="15" customHeight="1" x14ac:dyDescent="0.3">
      <c r="J24646" s="33"/>
    </row>
    <row r="24647" spans="10:10" ht="15" customHeight="1" x14ac:dyDescent="0.3">
      <c r="J24647" s="33"/>
    </row>
    <row r="24648" spans="10:10" ht="15" customHeight="1" x14ac:dyDescent="0.3">
      <c r="J24648" s="33"/>
    </row>
    <row r="24649" spans="10:10" ht="15" customHeight="1" x14ac:dyDescent="0.3">
      <c r="J24649" s="33"/>
    </row>
    <row r="24650" spans="10:10" ht="15" customHeight="1" x14ac:dyDescent="0.3">
      <c r="J24650" s="33"/>
    </row>
    <row r="24651" spans="10:10" ht="15" customHeight="1" x14ac:dyDescent="0.3">
      <c r="J24651" s="33"/>
    </row>
    <row r="24652" spans="10:10" ht="15" customHeight="1" x14ac:dyDescent="0.3">
      <c r="J24652" s="33"/>
    </row>
    <row r="24653" spans="10:10" ht="15" customHeight="1" x14ac:dyDescent="0.3">
      <c r="J24653" s="33"/>
    </row>
    <row r="24654" spans="10:10" ht="15" customHeight="1" x14ac:dyDescent="0.3">
      <c r="J24654" s="33"/>
    </row>
    <row r="24655" spans="10:10" ht="15" customHeight="1" x14ac:dyDescent="0.3">
      <c r="J24655" s="33"/>
    </row>
    <row r="24656" spans="10:10" ht="15" customHeight="1" x14ac:dyDescent="0.3">
      <c r="J24656" s="33"/>
    </row>
    <row r="24657" spans="10:10" ht="15" customHeight="1" x14ac:dyDescent="0.3">
      <c r="J24657" s="33"/>
    </row>
    <row r="24658" spans="10:10" ht="15" customHeight="1" x14ac:dyDescent="0.3">
      <c r="J24658" s="33"/>
    </row>
    <row r="24659" spans="10:10" ht="15" customHeight="1" x14ac:dyDescent="0.3">
      <c r="J24659" s="33"/>
    </row>
    <row r="24660" spans="10:10" ht="15" customHeight="1" x14ac:dyDescent="0.3">
      <c r="J24660" s="33"/>
    </row>
    <row r="24661" spans="10:10" ht="15" customHeight="1" x14ac:dyDescent="0.3">
      <c r="J24661" s="33"/>
    </row>
    <row r="24662" spans="10:10" ht="15" customHeight="1" x14ac:dyDescent="0.3">
      <c r="J24662" s="33"/>
    </row>
    <row r="24663" spans="10:10" ht="15" customHeight="1" x14ac:dyDescent="0.3">
      <c r="J24663" s="33"/>
    </row>
    <row r="24664" spans="10:10" ht="15" customHeight="1" x14ac:dyDescent="0.3">
      <c r="J24664" s="33"/>
    </row>
    <row r="24665" spans="10:10" ht="15" customHeight="1" x14ac:dyDescent="0.3">
      <c r="J24665" s="33"/>
    </row>
    <row r="24666" spans="10:10" ht="15" customHeight="1" x14ac:dyDescent="0.3">
      <c r="J24666" s="33"/>
    </row>
    <row r="24667" spans="10:10" ht="15" customHeight="1" x14ac:dyDescent="0.3">
      <c r="J24667" s="33"/>
    </row>
    <row r="24668" spans="10:10" ht="15" customHeight="1" x14ac:dyDescent="0.3">
      <c r="J24668" s="33"/>
    </row>
    <row r="24669" spans="10:10" ht="15" customHeight="1" x14ac:dyDescent="0.3">
      <c r="J24669" s="33"/>
    </row>
    <row r="24670" spans="10:10" ht="15" customHeight="1" x14ac:dyDescent="0.3">
      <c r="J24670" s="33"/>
    </row>
    <row r="24671" spans="10:10" ht="15" customHeight="1" x14ac:dyDescent="0.3">
      <c r="J24671" s="33"/>
    </row>
    <row r="24672" spans="10:10" ht="15" customHeight="1" x14ac:dyDescent="0.3">
      <c r="J24672" s="33"/>
    </row>
    <row r="24673" spans="10:10" ht="15" customHeight="1" x14ac:dyDescent="0.3">
      <c r="J24673" s="33"/>
    </row>
    <row r="24674" spans="10:10" ht="15" customHeight="1" x14ac:dyDescent="0.3">
      <c r="J24674" s="33"/>
    </row>
    <row r="24675" spans="10:10" ht="15" customHeight="1" x14ac:dyDescent="0.3">
      <c r="J24675" s="33"/>
    </row>
    <row r="24676" spans="10:10" ht="15" customHeight="1" x14ac:dyDescent="0.3">
      <c r="J24676" s="33"/>
    </row>
    <row r="24677" spans="10:10" ht="15" customHeight="1" x14ac:dyDescent="0.3">
      <c r="J24677" s="33"/>
    </row>
    <row r="24678" spans="10:10" ht="15" customHeight="1" x14ac:dyDescent="0.3">
      <c r="J24678" s="33"/>
    </row>
    <row r="24679" spans="10:10" ht="15" customHeight="1" x14ac:dyDescent="0.3">
      <c r="J24679" s="33"/>
    </row>
    <row r="24680" spans="10:10" ht="15" customHeight="1" x14ac:dyDescent="0.3">
      <c r="J24680" s="33"/>
    </row>
    <row r="24681" spans="10:10" ht="15" customHeight="1" x14ac:dyDescent="0.3">
      <c r="J24681" s="33"/>
    </row>
    <row r="24682" spans="10:10" ht="15" customHeight="1" x14ac:dyDescent="0.3">
      <c r="J24682" s="33"/>
    </row>
    <row r="24683" spans="10:10" ht="15" customHeight="1" x14ac:dyDescent="0.3">
      <c r="J24683" s="33"/>
    </row>
    <row r="24684" spans="10:10" ht="15" customHeight="1" x14ac:dyDescent="0.3">
      <c r="J24684" s="33"/>
    </row>
    <row r="24685" spans="10:10" ht="15" customHeight="1" x14ac:dyDescent="0.3">
      <c r="J24685" s="33"/>
    </row>
    <row r="24686" spans="10:10" ht="15" customHeight="1" x14ac:dyDescent="0.3">
      <c r="J24686" s="33"/>
    </row>
    <row r="24687" spans="10:10" ht="15" customHeight="1" x14ac:dyDescent="0.3">
      <c r="J24687" s="33"/>
    </row>
    <row r="24688" spans="10:10" ht="15" customHeight="1" x14ac:dyDescent="0.3">
      <c r="J24688" s="33"/>
    </row>
    <row r="24689" spans="10:10" ht="15" customHeight="1" x14ac:dyDescent="0.3">
      <c r="J24689" s="33"/>
    </row>
    <row r="24690" spans="10:10" ht="15" customHeight="1" x14ac:dyDescent="0.3">
      <c r="J24690" s="33"/>
    </row>
    <row r="24691" spans="10:10" ht="15" customHeight="1" x14ac:dyDescent="0.3">
      <c r="J24691" s="33"/>
    </row>
    <row r="24692" spans="10:10" ht="15" customHeight="1" x14ac:dyDescent="0.3">
      <c r="J24692" s="33"/>
    </row>
    <row r="24693" spans="10:10" ht="15" customHeight="1" x14ac:dyDescent="0.3">
      <c r="J24693" s="33"/>
    </row>
    <row r="24694" spans="10:10" ht="15" customHeight="1" x14ac:dyDescent="0.3">
      <c r="J24694" s="33"/>
    </row>
    <row r="24695" spans="10:10" ht="15" customHeight="1" x14ac:dyDescent="0.3">
      <c r="J24695" s="33"/>
    </row>
    <row r="24696" spans="10:10" ht="15" customHeight="1" x14ac:dyDescent="0.3">
      <c r="J24696" s="33"/>
    </row>
    <row r="24697" spans="10:10" ht="15" customHeight="1" x14ac:dyDescent="0.3">
      <c r="J24697" s="33"/>
    </row>
    <row r="24698" spans="10:10" ht="15" customHeight="1" x14ac:dyDescent="0.3">
      <c r="J24698" s="33"/>
    </row>
    <row r="24699" spans="10:10" ht="15" customHeight="1" x14ac:dyDescent="0.3">
      <c r="J24699" s="33"/>
    </row>
    <row r="24700" spans="10:10" ht="15" customHeight="1" x14ac:dyDescent="0.3">
      <c r="J24700" s="33"/>
    </row>
    <row r="24701" spans="10:10" ht="15" customHeight="1" x14ac:dyDescent="0.3">
      <c r="J24701" s="33"/>
    </row>
    <row r="24702" spans="10:10" ht="15" customHeight="1" x14ac:dyDescent="0.3">
      <c r="J24702" s="33"/>
    </row>
    <row r="24703" spans="10:10" ht="15" customHeight="1" x14ac:dyDescent="0.3">
      <c r="J24703" s="33"/>
    </row>
    <row r="24704" spans="10:10" ht="15" customHeight="1" x14ac:dyDescent="0.3">
      <c r="J24704" s="33"/>
    </row>
    <row r="24705" spans="10:10" ht="15" customHeight="1" x14ac:dyDescent="0.3">
      <c r="J24705" s="33"/>
    </row>
    <row r="24706" spans="10:10" ht="15" customHeight="1" x14ac:dyDescent="0.3">
      <c r="J24706" s="33"/>
    </row>
    <row r="24707" spans="10:10" ht="15" customHeight="1" x14ac:dyDescent="0.3">
      <c r="J24707" s="33"/>
    </row>
    <row r="24708" spans="10:10" ht="15" customHeight="1" x14ac:dyDescent="0.3">
      <c r="J24708" s="33"/>
    </row>
    <row r="24709" spans="10:10" ht="15" customHeight="1" x14ac:dyDescent="0.3">
      <c r="J24709" s="33"/>
    </row>
    <row r="24710" spans="10:10" ht="15" customHeight="1" x14ac:dyDescent="0.3">
      <c r="J24710" s="33"/>
    </row>
    <row r="24711" spans="10:10" ht="15" customHeight="1" x14ac:dyDescent="0.3">
      <c r="J24711" s="33"/>
    </row>
    <row r="24712" spans="10:10" ht="15" customHeight="1" x14ac:dyDescent="0.3">
      <c r="J24712" s="33"/>
    </row>
    <row r="24713" spans="10:10" ht="15" customHeight="1" x14ac:dyDescent="0.3">
      <c r="J24713" s="33"/>
    </row>
    <row r="24714" spans="10:10" ht="15" customHeight="1" x14ac:dyDescent="0.3">
      <c r="J24714" s="33"/>
    </row>
    <row r="24715" spans="10:10" ht="15" customHeight="1" x14ac:dyDescent="0.3">
      <c r="J24715" s="33"/>
    </row>
    <row r="24716" spans="10:10" ht="15" customHeight="1" x14ac:dyDescent="0.3">
      <c r="J24716" s="33"/>
    </row>
    <row r="24717" spans="10:10" ht="15" customHeight="1" x14ac:dyDescent="0.3">
      <c r="J24717" s="33"/>
    </row>
    <row r="24718" spans="10:10" ht="15" customHeight="1" x14ac:dyDescent="0.3">
      <c r="J24718" s="33"/>
    </row>
    <row r="24719" spans="10:10" ht="15" customHeight="1" x14ac:dyDescent="0.3">
      <c r="J24719" s="33"/>
    </row>
    <row r="24720" spans="10:10" ht="15" customHeight="1" x14ac:dyDescent="0.3">
      <c r="J24720" s="33"/>
    </row>
    <row r="24721" spans="10:10" ht="15" customHeight="1" x14ac:dyDescent="0.3">
      <c r="J24721" s="33"/>
    </row>
    <row r="24722" spans="10:10" ht="15" customHeight="1" x14ac:dyDescent="0.3">
      <c r="J24722" s="33"/>
    </row>
    <row r="24723" spans="10:10" ht="15" customHeight="1" x14ac:dyDescent="0.3">
      <c r="J24723" s="33"/>
    </row>
    <row r="24724" spans="10:10" ht="15" customHeight="1" x14ac:dyDescent="0.3">
      <c r="J24724" s="33"/>
    </row>
    <row r="24725" spans="10:10" ht="15" customHeight="1" x14ac:dyDescent="0.3">
      <c r="J24725" s="33"/>
    </row>
    <row r="24726" spans="10:10" ht="15" customHeight="1" x14ac:dyDescent="0.3">
      <c r="J24726" s="33"/>
    </row>
    <row r="24727" spans="10:10" ht="15" customHeight="1" x14ac:dyDescent="0.3">
      <c r="J24727" s="33"/>
    </row>
    <row r="24728" spans="10:10" ht="15" customHeight="1" x14ac:dyDescent="0.3">
      <c r="J24728" s="33"/>
    </row>
    <row r="24729" spans="10:10" ht="15" customHeight="1" x14ac:dyDescent="0.3">
      <c r="J24729" s="33"/>
    </row>
    <row r="24730" spans="10:10" ht="15" customHeight="1" x14ac:dyDescent="0.3">
      <c r="J24730" s="33"/>
    </row>
    <row r="24731" spans="10:10" ht="15" customHeight="1" x14ac:dyDescent="0.3">
      <c r="J24731" s="33"/>
    </row>
    <row r="24732" spans="10:10" ht="15" customHeight="1" x14ac:dyDescent="0.3">
      <c r="J24732" s="33"/>
    </row>
    <row r="24733" spans="10:10" ht="15" customHeight="1" x14ac:dyDescent="0.3">
      <c r="J24733" s="33"/>
    </row>
    <row r="24734" spans="10:10" ht="15" customHeight="1" x14ac:dyDescent="0.3">
      <c r="J24734" s="33"/>
    </row>
    <row r="24735" spans="10:10" ht="15" customHeight="1" x14ac:dyDescent="0.3">
      <c r="J24735" s="33"/>
    </row>
    <row r="24736" spans="10:10" ht="15" customHeight="1" x14ac:dyDescent="0.3">
      <c r="J24736" s="33"/>
    </row>
    <row r="24737" spans="10:10" ht="15" customHeight="1" x14ac:dyDescent="0.3">
      <c r="J24737" s="33"/>
    </row>
    <row r="24738" spans="10:10" ht="15" customHeight="1" x14ac:dyDescent="0.3">
      <c r="J24738" s="33"/>
    </row>
    <row r="24739" spans="10:10" ht="15" customHeight="1" x14ac:dyDescent="0.3">
      <c r="J24739" s="33"/>
    </row>
    <row r="24740" spans="10:10" ht="15" customHeight="1" x14ac:dyDescent="0.3">
      <c r="J24740" s="33"/>
    </row>
    <row r="24741" spans="10:10" ht="15" customHeight="1" x14ac:dyDescent="0.3">
      <c r="J24741" s="33"/>
    </row>
    <row r="24742" spans="10:10" ht="15" customHeight="1" x14ac:dyDescent="0.3">
      <c r="J24742" s="33"/>
    </row>
    <row r="24743" spans="10:10" ht="15" customHeight="1" x14ac:dyDescent="0.3">
      <c r="J24743" s="33"/>
    </row>
    <row r="24744" spans="10:10" ht="15" customHeight="1" x14ac:dyDescent="0.3">
      <c r="J24744" s="33"/>
    </row>
    <row r="24745" spans="10:10" ht="15" customHeight="1" x14ac:dyDescent="0.3">
      <c r="J24745" s="33"/>
    </row>
    <row r="24746" spans="10:10" ht="15" customHeight="1" x14ac:dyDescent="0.3">
      <c r="J24746" s="33"/>
    </row>
    <row r="24747" spans="10:10" ht="15" customHeight="1" x14ac:dyDescent="0.3">
      <c r="J24747" s="33"/>
    </row>
    <row r="24748" spans="10:10" ht="15" customHeight="1" x14ac:dyDescent="0.3">
      <c r="J24748" s="33"/>
    </row>
    <row r="24749" spans="10:10" ht="15" customHeight="1" x14ac:dyDescent="0.3">
      <c r="J24749" s="33"/>
    </row>
    <row r="24750" spans="10:10" ht="15" customHeight="1" x14ac:dyDescent="0.3">
      <c r="J24750" s="33"/>
    </row>
    <row r="24751" spans="10:10" ht="15" customHeight="1" x14ac:dyDescent="0.3">
      <c r="J24751" s="33"/>
    </row>
    <row r="24752" spans="10:10" ht="15" customHeight="1" x14ac:dyDescent="0.3">
      <c r="J24752" s="33"/>
    </row>
    <row r="24753" spans="10:10" ht="15" customHeight="1" x14ac:dyDescent="0.3">
      <c r="J24753" s="33"/>
    </row>
    <row r="24754" spans="10:10" ht="15" customHeight="1" x14ac:dyDescent="0.3">
      <c r="J24754" s="33"/>
    </row>
    <row r="24755" spans="10:10" ht="15" customHeight="1" x14ac:dyDescent="0.3">
      <c r="J24755" s="33"/>
    </row>
    <row r="24756" spans="10:10" ht="15" customHeight="1" x14ac:dyDescent="0.3">
      <c r="J24756" s="33"/>
    </row>
    <row r="24757" spans="10:10" ht="15" customHeight="1" x14ac:dyDescent="0.3">
      <c r="J24757" s="33"/>
    </row>
    <row r="24758" spans="10:10" ht="15" customHeight="1" x14ac:dyDescent="0.3">
      <c r="J24758" s="33"/>
    </row>
    <row r="24759" spans="10:10" ht="15" customHeight="1" x14ac:dyDescent="0.3">
      <c r="J24759" s="33"/>
    </row>
    <row r="24760" spans="10:10" ht="15" customHeight="1" x14ac:dyDescent="0.3">
      <c r="J24760" s="33"/>
    </row>
    <row r="24761" spans="10:10" ht="15" customHeight="1" x14ac:dyDescent="0.3">
      <c r="J24761" s="33"/>
    </row>
    <row r="24762" spans="10:10" ht="15" customHeight="1" x14ac:dyDescent="0.3">
      <c r="J24762" s="33"/>
    </row>
    <row r="24763" spans="10:10" ht="15" customHeight="1" x14ac:dyDescent="0.3">
      <c r="J24763" s="33"/>
    </row>
    <row r="24764" spans="10:10" ht="15" customHeight="1" x14ac:dyDescent="0.3">
      <c r="J24764" s="33"/>
    </row>
    <row r="24765" spans="10:10" ht="15" customHeight="1" x14ac:dyDescent="0.3">
      <c r="J24765" s="33"/>
    </row>
    <row r="24766" spans="10:10" ht="15" customHeight="1" x14ac:dyDescent="0.3">
      <c r="J24766" s="33"/>
    </row>
    <row r="24767" spans="10:10" ht="15" customHeight="1" x14ac:dyDescent="0.3">
      <c r="J24767" s="33"/>
    </row>
    <row r="24768" spans="10:10" ht="15" customHeight="1" x14ac:dyDescent="0.3">
      <c r="J24768" s="33"/>
    </row>
    <row r="24769" spans="10:10" ht="15" customHeight="1" x14ac:dyDescent="0.3">
      <c r="J24769" s="33"/>
    </row>
    <row r="24770" spans="10:10" ht="15" customHeight="1" x14ac:dyDescent="0.3">
      <c r="J24770" s="33"/>
    </row>
    <row r="24771" spans="10:10" ht="15" customHeight="1" x14ac:dyDescent="0.3">
      <c r="J24771" s="33"/>
    </row>
    <row r="24772" spans="10:10" ht="15" customHeight="1" x14ac:dyDescent="0.3">
      <c r="J24772" s="33"/>
    </row>
    <row r="24773" spans="10:10" ht="15" customHeight="1" x14ac:dyDescent="0.3">
      <c r="J24773" s="33"/>
    </row>
    <row r="24774" spans="10:10" ht="15" customHeight="1" x14ac:dyDescent="0.3">
      <c r="J24774" s="33"/>
    </row>
    <row r="24775" spans="10:10" ht="15" customHeight="1" x14ac:dyDescent="0.3">
      <c r="J24775" s="33"/>
    </row>
    <row r="24776" spans="10:10" ht="15" customHeight="1" x14ac:dyDescent="0.3">
      <c r="J24776" s="33"/>
    </row>
    <row r="24777" spans="10:10" ht="15" customHeight="1" x14ac:dyDescent="0.3">
      <c r="J24777" s="33"/>
    </row>
    <row r="24778" spans="10:10" ht="15" customHeight="1" x14ac:dyDescent="0.3">
      <c r="J24778" s="33"/>
    </row>
    <row r="24779" spans="10:10" ht="15" customHeight="1" x14ac:dyDescent="0.3">
      <c r="J24779" s="33"/>
    </row>
    <row r="24780" spans="10:10" ht="15" customHeight="1" x14ac:dyDescent="0.3">
      <c r="J24780" s="33"/>
    </row>
    <row r="24781" spans="10:10" ht="15" customHeight="1" x14ac:dyDescent="0.3">
      <c r="J24781" s="33"/>
    </row>
    <row r="24782" spans="10:10" ht="15" customHeight="1" x14ac:dyDescent="0.3">
      <c r="J24782" s="33"/>
    </row>
    <row r="24783" spans="10:10" ht="15" customHeight="1" x14ac:dyDescent="0.3">
      <c r="J24783" s="33"/>
    </row>
    <row r="24784" spans="10:10" ht="15" customHeight="1" x14ac:dyDescent="0.3">
      <c r="J24784" s="33"/>
    </row>
    <row r="24785" spans="10:10" ht="15" customHeight="1" x14ac:dyDescent="0.3">
      <c r="J24785" s="33"/>
    </row>
    <row r="24786" spans="10:10" ht="15" customHeight="1" x14ac:dyDescent="0.3">
      <c r="J24786" s="33"/>
    </row>
    <row r="24787" spans="10:10" ht="15" customHeight="1" x14ac:dyDescent="0.3">
      <c r="J24787" s="33"/>
    </row>
    <row r="24788" spans="10:10" ht="15" customHeight="1" x14ac:dyDescent="0.3">
      <c r="J24788" s="33"/>
    </row>
    <row r="24789" spans="10:10" ht="15" customHeight="1" x14ac:dyDescent="0.3">
      <c r="J24789" s="33"/>
    </row>
    <row r="24790" spans="10:10" ht="15" customHeight="1" x14ac:dyDescent="0.3">
      <c r="J24790" s="33"/>
    </row>
    <row r="24791" spans="10:10" ht="15" customHeight="1" x14ac:dyDescent="0.3">
      <c r="J24791" s="33"/>
    </row>
    <row r="24792" spans="10:10" ht="15" customHeight="1" x14ac:dyDescent="0.3">
      <c r="J24792" s="33"/>
    </row>
    <row r="24793" spans="10:10" ht="15" customHeight="1" x14ac:dyDescent="0.3">
      <c r="J24793" s="33"/>
    </row>
    <row r="24794" spans="10:10" ht="15" customHeight="1" x14ac:dyDescent="0.3">
      <c r="J24794" s="33"/>
    </row>
    <row r="24795" spans="10:10" ht="15" customHeight="1" x14ac:dyDescent="0.3">
      <c r="J24795" s="33"/>
    </row>
    <row r="24796" spans="10:10" ht="15" customHeight="1" x14ac:dyDescent="0.3">
      <c r="J24796" s="33"/>
    </row>
    <row r="24797" spans="10:10" ht="15" customHeight="1" x14ac:dyDescent="0.3">
      <c r="J24797" s="33"/>
    </row>
    <row r="24798" spans="10:10" ht="15" customHeight="1" x14ac:dyDescent="0.3">
      <c r="J24798" s="33"/>
    </row>
    <row r="24799" spans="10:10" ht="15" customHeight="1" x14ac:dyDescent="0.3">
      <c r="J24799" s="33"/>
    </row>
    <row r="24800" spans="10:10" ht="15" customHeight="1" x14ac:dyDescent="0.3">
      <c r="J24800" s="33"/>
    </row>
    <row r="24801" spans="10:10" ht="15" customHeight="1" x14ac:dyDescent="0.3">
      <c r="J24801" s="33"/>
    </row>
    <row r="24802" spans="10:10" ht="15" customHeight="1" x14ac:dyDescent="0.3">
      <c r="J24802" s="33"/>
    </row>
    <row r="24803" spans="10:10" ht="15" customHeight="1" x14ac:dyDescent="0.3">
      <c r="J24803" s="33"/>
    </row>
    <row r="24804" spans="10:10" ht="15" customHeight="1" x14ac:dyDescent="0.3">
      <c r="J24804" s="33"/>
    </row>
    <row r="24805" spans="10:10" ht="15" customHeight="1" x14ac:dyDescent="0.3">
      <c r="J24805" s="33"/>
    </row>
    <row r="24806" spans="10:10" ht="15" customHeight="1" x14ac:dyDescent="0.3">
      <c r="J24806" s="33"/>
    </row>
    <row r="24807" spans="10:10" ht="15" customHeight="1" x14ac:dyDescent="0.3">
      <c r="J24807" s="33"/>
    </row>
    <row r="24808" spans="10:10" ht="15" customHeight="1" x14ac:dyDescent="0.3">
      <c r="J24808" s="33"/>
    </row>
    <row r="24809" spans="10:10" ht="15" customHeight="1" x14ac:dyDescent="0.3">
      <c r="J24809" s="33"/>
    </row>
    <row r="24810" spans="10:10" ht="15" customHeight="1" x14ac:dyDescent="0.3">
      <c r="J24810" s="33"/>
    </row>
    <row r="24811" spans="10:10" ht="15" customHeight="1" x14ac:dyDescent="0.3">
      <c r="J24811" s="33"/>
    </row>
    <row r="24812" spans="10:10" ht="15" customHeight="1" x14ac:dyDescent="0.3">
      <c r="J24812" s="33"/>
    </row>
    <row r="24813" spans="10:10" ht="15" customHeight="1" x14ac:dyDescent="0.3">
      <c r="J24813" s="33"/>
    </row>
    <row r="24814" spans="10:10" ht="15" customHeight="1" x14ac:dyDescent="0.3">
      <c r="J24814" s="33"/>
    </row>
    <row r="24815" spans="10:10" ht="15" customHeight="1" x14ac:dyDescent="0.3">
      <c r="J24815" s="33"/>
    </row>
    <row r="24816" spans="10:10" ht="15" customHeight="1" x14ac:dyDescent="0.3">
      <c r="J24816" s="33"/>
    </row>
    <row r="24817" spans="10:10" ht="15" customHeight="1" x14ac:dyDescent="0.3">
      <c r="J24817" s="33"/>
    </row>
    <row r="24818" spans="10:10" ht="15" customHeight="1" x14ac:dyDescent="0.3">
      <c r="J24818" s="33"/>
    </row>
    <row r="24819" spans="10:10" ht="15" customHeight="1" x14ac:dyDescent="0.3">
      <c r="J24819" s="33"/>
    </row>
    <row r="24820" spans="10:10" ht="15" customHeight="1" x14ac:dyDescent="0.3">
      <c r="J24820" s="33"/>
    </row>
    <row r="24821" spans="10:10" ht="15" customHeight="1" x14ac:dyDescent="0.3">
      <c r="J24821" s="33"/>
    </row>
    <row r="24822" spans="10:10" ht="15" customHeight="1" x14ac:dyDescent="0.3">
      <c r="J24822" s="33"/>
    </row>
    <row r="24823" spans="10:10" ht="15" customHeight="1" x14ac:dyDescent="0.3">
      <c r="J24823" s="33"/>
    </row>
    <row r="24824" spans="10:10" ht="15" customHeight="1" x14ac:dyDescent="0.3">
      <c r="J24824" s="33"/>
    </row>
    <row r="24825" spans="10:10" ht="15" customHeight="1" x14ac:dyDescent="0.3">
      <c r="J24825" s="33"/>
    </row>
    <row r="24826" spans="10:10" ht="15" customHeight="1" x14ac:dyDescent="0.3">
      <c r="J24826" s="33"/>
    </row>
    <row r="24827" spans="10:10" ht="15" customHeight="1" x14ac:dyDescent="0.3">
      <c r="J24827" s="33"/>
    </row>
    <row r="24828" spans="10:10" ht="15" customHeight="1" x14ac:dyDescent="0.3">
      <c r="J24828" s="33"/>
    </row>
    <row r="24829" spans="10:10" ht="15" customHeight="1" x14ac:dyDescent="0.3">
      <c r="J24829" s="33"/>
    </row>
    <row r="24830" spans="10:10" ht="15" customHeight="1" x14ac:dyDescent="0.3">
      <c r="J24830" s="33"/>
    </row>
    <row r="24831" spans="10:10" ht="15" customHeight="1" x14ac:dyDescent="0.3">
      <c r="J24831" s="33"/>
    </row>
    <row r="24832" spans="10:10" ht="15" customHeight="1" x14ac:dyDescent="0.3">
      <c r="J24832" s="33"/>
    </row>
    <row r="24833" spans="10:10" ht="15" customHeight="1" x14ac:dyDescent="0.3">
      <c r="J24833" s="33"/>
    </row>
    <row r="24834" spans="10:10" ht="15" customHeight="1" x14ac:dyDescent="0.3">
      <c r="J24834" s="33"/>
    </row>
    <row r="24835" spans="10:10" ht="15" customHeight="1" x14ac:dyDescent="0.3">
      <c r="J24835" s="33"/>
    </row>
    <row r="24836" spans="10:10" ht="15" customHeight="1" x14ac:dyDescent="0.3">
      <c r="J24836" s="33"/>
    </row>
    <row r="24837" spans="10:10" ht="15" customHeight="1" x14ac:dyDescent="0.3">
      <c r="J24837" s="33"/>
    </row>
    <row r="24838" spans="10:10" ht="15" customHeight="1" x14ac:dyDescent="0.3">
      <c r="J24838" s="33"/>
    </row>
    <row r="24839" spans="10:10" ht="15" customHeight="1" x14ac:dyDescent="0.3">
      <c r="J24839" s="33"/>
    </row>
    <row r="24840" spans="10:10" ht="15" customHeight="1" x14ac:dyDescent="0.3">
      <c r="J24840" s="33"/>
    </row>
    <row r="24841" spans="10:10" ht="15" customHeight="1" x14ac:dyDescent="0.3">
      <c r="J24841" s="33"/>
    </row>
    <row r="24842" spans="10:10" ht="15" customHeight="1" x14ac:dyDescent="0.3">
      <c r="J24842" s="33"/>
    </row>
    <row r="24843" spans="10:10" ht="15" customHeight="1" x14ac:dyDescent="0.3">
      <c r="J24843" s="33"/>
    </row>
    <row r="24844" spans="10:10" ht="15" customHeight="1" x14ac:dyDescent="0.3">
      <c r="J24844" s="33"/>
    </row>
    <row r="24845" spans="10:10" ht="15" customHeight="1" x14ac:dyDescent="0.3">
      <c r="J24845" s="33"/>
    </row>
    <row r="24846" spans="10:10" ht="15" customHeight="1" x14ac:dyDescent="0.3">
      <c r="J24846" s="33"/>
    </row>
    <row r="24847" spans="10:10" ht="15" customHeight="1" x14ac:dyDescent="0.3">
      <c r="J24847" s="33"/>
    </row>
    <row r="24848" spans="10:10" ht="15" customHeight="1" x14ac:dyDescent="0.3">
      <c r="J24848" s="33"/>
    </row>
    <row r="24849" spans="10:10" ht="15" customHeight="1" x14ac:dyDescent="0.3">
      <c r="J24849" s="33"/>
    </row>
    <row r="24850" spans="10:10" ht="15" customHeight="1" x14ac:dyDescent="0.3">
      <c r="J24850" s="33"/>
    </row>
    <row r="24851" spans="10:10" ht="15" customHeight="1" x14ac:dyDescent="0.3">
      <c r="J24851" s="33"/>
    </row>
    <row r="24852" spans="10:10" ht="15" customHeight="1" x14ac:dyDescent="0.3">
      <c r="J24852" s="33"/>
    </row>
    <row r="24853" spans="10:10" ht="15" customHeight="1" x14ac:dyDescent="0.3">
      <c r="J24853" s="33"/>
    </row>
    <row r="24854" spans="10:10" ht="15" customHeight="1" x14ac:dyDescent="0.3">
      <c r="J24854" s="33"/>
    </row>
    <row r="24855" spans="10:10" ht="15" customHeight="1" x14ac:dyDescent="0.3">
      <c r="J24855" s="33"/>
    </row>
    <row r="24856" spans="10:10" ht="15" customHeight="1" x14ac:dyDescent="0.3">
      <c r="J24856" s="33"/>
    </row>
    <row r="24857" spans="10:10" ht="15" customHeight="1" x14ac:dyDescent="0.3">
      <c r="J24857" s="33"/>
    </row>
    <row r="24858" spans="10:10" ht="15" customHeight="1" x14ac:dyDescent="0.3">
      <c r="J24858" s="33"/>
    </row>
    <row r="24859" spans="10:10" ht="15" customHeight="1" x14ac:dyDescent="0.3">
      <c r="J24859" s="33"/>
    </row>
    <row r="24860" spans="10:10" ht="15" customHeight="1" x14ac:dyDescent="0.3">
      <c r="J24860" s="33"/>
    </row>
    <row r="24861" spans="10:10" ht="15" customHeight="1" x14ac:dyDescent="0.3">
      <c r="J24861" s="33"/>
    </row>
    <row r="24862" spans="10:10" ht="15" customHeight="1" x14ac:dyDescent="0.3">
      <c r="J24862" s="33"/>
    </row>
    <row r="24863" spans="10:10" ht="15" customHeight="1" x14ac:dyDescent="0.3">
      <c r="J24863" s="33"/>
    </row>
    <row r="24864" spans="10:10" ht="15" customHeight="1" x14ac:dyDescent="0.3">
      <c r="J24864" s="33"/>
    </row>
    <row r="24865" spans="10:10" ht="15" customHeight="1" x14ac:dyDescent="0.3">
      <c r="J24865" s="33"/>
    </row>
    <row r="24866" spans="10:10" ht="15" customHeight="1" x14ac:dyDescent="0.3">
      <c r="J24866" s="33"/>
    </row>
    <row r="24867" spans="10:10" ht="15" customHeight="1" x14ac:dyDescent="0.3">
      <c r="J24867" s="33"/>
    </row>
    <row r="24868" spans="10:10" ht="15" customHeight="1" x14ac:dyDescent="0.3">
      <c r="J24868" s="33"/>
    </row>
    <row r="24869" spans="10:10" ht="15" customHeight="1" x14ac:dyDescent="0.3">
      <c r="J24869" s="33"/>
    </row>
    <row r="24870" spans="10:10" ht="15" customHeight="1" x14ac:dyDescent="0.3">
      <c r="J24870" s="33"/>
    </row>
    <row r="24871" spans="10:10" ht="15" customHeight="1" x14ac:dyDescent="0.3">
      <c r="J24871" s="33"/>
    </row>
    <row r="24872" spans="10:10" ht="15" customHeight="1" x14ac:dyDescent="0.3">
      <c r="J24872" s="33"/>
    </row>
    <row r="24873" spans="10:10" ht="15" customHeight="1" x14ac:dyDescent="0.3">
      <c r="J24873" s="33"/>
    </row>
    <row r="24874" spans="10:10" ht="15" customHeight="1" x14ac:dyDescent="0.3">
      <c r="J24874" s="33"/>
    </row>
    <row r="24875" spans="10:10" ht="15" customHeight="1" x14ac:dyDescent="0.3">
      <c r="J24875" s="33"/>
    </row>
    <row r="24876" spans="10:10" ht="15" customHeight="1" x14ac:dyDescent="0.3">
      <c r="J24876" s="33"/>
    </row>
    <row r="24877" spans="10:10" ht="15" customHeight="1" x14ac:dyDescent="0.3">
      <c r="J24877" s="33"/>
    </row>
    <row r="24878" spans="10:10" ht="15" customHeight="1" x14ac:dyDescent="0.3">
      <c r="J24878" s="33"/>
    </row>
    <row r="24879" spans="10:10" ht="15" customHeight="1" x14ac:dyDescent="0.3">
      <c r="J24879" s="33"/>
    </row>
    <row r="24880" spans="10:10" ht="15" customHeight="1" x14ac:dyDescent="0.3">
      <c r="J24880" s="33"/>
    </row>
    <row r="24881" spans="10:10" ht="15" customHeight="1" x14ac:dyDescent="0.3">
      <c r="J24881" s="33"/>
    </row>
    <row r="24882" spans="10:10" ht="15" customHeight="1" x14ac:dyDescent="0.3">
      <c r="J24882" s="33"/>
    </row>
    <row r="24883" spans="10:10" ht="15" customHeight="1" x14ac:dyDescent="0.3">
      <c r="J24883" s="33"/>
    </row>
    <row r="24884" spans="10:10" ht="15" customHeight="1" x14ac:dyDescent="0.3">
      <c r="J24884" s="33"/>
    </row>
    <row r="24885" spans="10:10" ht="15" customHeight="1" x14ac:dyDescent="0.3">
      <c r="J24885" s="33"/>
    </row>
    <row r="24886" spans="10:10" ht="15" customHeight="1" x14ac:dyDescent="0.3">
      <c r="J24886" s="33"/>
    </row>
    <row r="24887" spans="10:10" ht="15" customHeight="1" x14ac:dyDescent="0.3">
      <c r="J24887" s="33"/>
    </row>
    <row r="24888" spans="10:10" ht="15" customHeight="1" x14ac:dyDescent="0.3">
      <c r="J24888" s="33"/>
    </row>
    <row r="24889" spans="10:10" ht="15" customHeight="1" x14ac:dyDescent="0.3">
      <c r="J24889" s="33"/>
    </row>
    <row r="24890" spans="10:10" ht="15" customHeight="1" x14ac:dyDescent="0.3">
      <c r="J24890" s="33"/>
    </row>
    <row r="24891" spans="10:10" ht="15" customHeight="1" x14ac:dyDescent="0.3">
      <c r="J24891" s="33"/>
    </row>
    <row r="24892" spans="10:10" ht="15" customHeight="1" x14ac:dyDescent="0.3">
      <c r="J24892" s="33"/>
    </row>
    <row r="24893" spans="10:10" ht="15" customHeight="1" x14ac:dyDescent="0.3">
      <c r="J24893" s="33"/>
    </row>
    <row r="24894" spans="10:10" ht="15" customHeight="1" x14ac:dyDescent="0.3">
      <c r="J24894" s="33"/>
    </row>
    <row r="24895" spans="10:10" ht="15" customHeight="1" x14ac:dyDescent="0.3">
      <c r="J24895" s="33"/>
    </row>
    <row r="24896" spans="10:10" ht="15" customHeight="1" x14ac:dyDescent="0.3">
      <c r="J24896" s="33"/>
    </row>
    <row r="24897" spans="10:10" ht="15" customHeight="1" x14ac:dyDescent="0.3">
      <c r="J24897" s="33"/>
    </row>
    <row r="24898" spans="10:10" ht="15" customHeight="1" x14ac:dyDescent="0.3">
      <c r="J24898" s="33"/>
    </row>
    <row r="24899" spans="10:10" ht="15" customHeight="1" x14ac:dyDescent="0.3">
      <c r="J24899" s="33"/>
    </row>
    <row r="24900" spans="10:10" ht="15" customHeight="1" x14ac:dyDescent="0.3">
      <c r="J24900" s="33"/>
    </row>
    <row r="24901" spans="10:10" ht="15" customHeight="1" x14ac:dyDescent="0.3">
      <c r="J24901" s="33"/>
    </row>
    <row r="24902" spans="10:10" ht="15" customHeight="1" x14ac:dyDescent="0.3">
      <c r="J24902" s="33"/>
    </row>
    <row r="24903" spans="10:10" ht="15" customHeight="1" x14ac:dyDescent="0.3">
      <c r="J24903" s="33"/>
    </row>
    <row r="24904" spans="10:10" ht="15" customHeight="1" x14ac:dyDescent="0.3">
      <c r="J24904" s="33"/>
    </row>
    <row r="24905" spans="10:10" ht="15" customHeight="1" x14ac:dyDescent="0.3">
      <c r="J24905" s="33"/>
    </row>
    <row r="24906" spans="10:10" ht="15" customHeight="1" x14ac:dyDescent="0.3">
      <c r="J24906" s="33"/>
    </row>
    <row r="24907" spans="10:10" ht="15" customHeight="1" x14ac:dyDescent="0.3">
      <c r="J24907" s="33"/>
    </row>
    <row r="24908" spans="10:10" ht="15" customHeight="1" x14ac:dyDescent="0.3">
      <c r="J24908" s="33"/>
    </row>
    <row r="24909" spans="10:10" ht="15" customHeight="1" x14ac:dyDescent="0.3">
      <c r="J24909" s="33"/>
    </row>
    <row r="24910" spans="10:10" ht="15" customHeight="1" x14ac:dyDescent="0.3">
      <c r="J24910" s="33"/>
    </row>
    <row r="24911" spans="10:10" ht="15" customHeight="1" x14ac:dyDescent="0.3">
      <c r="J24911" s="33"/>
    </row>
    <row r="24912" spans="10:10" ht="15" customHeight="1" x14ac:dyDescent="0.3">
      <c r="J24912" s="33"/>
    </row>
    <row r="24913" spans="10:10" ht="15" customHeight="1" x14ac:dyDescent="0.3">
      <c r="J24913" s="33"/>
    </row>
    <row r="24914" spans="10:10" ht="15" customHeight="1" x14ac:dyDescent="0.3">
      <c r="J24914" s="33"/>
    </row>
    <row r="24915" spans="10:10" ht="15" customHeight="1" x14ac:dyDescent="0.3">
      <c r="J24915" s="33"/>
    </row>
    <row r="24916" spans="10:10" ht="15" customHeight="1" x14ac:dyDescent="0.3">
      <c r="J24916" s="33"/>
    </row>
    <row r="24917" spans="10:10" ht="15" customHeight="1" x14ac:dyDescent="0.3">
      <c r="J24917" s="33"/>
    </row>
    <row r="24918" spans="10:10" ht="15" customHeight="1" x14ac:dyDescent="0.3">
      <c r="J24918" s="33"/>
    </row>
    <row r="24919" spans="10:10" ht="15" customHeight="1" x14ac:dyDescent="0.3">
      <c r="J24919" s="33"/>
    </row>
    <row r="24920" spans="10:10" ht="15" customHeight="1" x14ac:dyDescent="0.3">
      <c r="J24920" s="33"/>
    </row>
    <row r="24921" spans="10:10" ht="15" customHeight="1" x14ac:dyDescent="0.3">
      <c r="J24921" s="33"/>
    </row>
    <row r="24922" spans="10:10" ht="15" customHeight="1" x14ac:dyDescent="0.3">
      <c r="J24922" s="33"/>
    </row>
    <row r="24923" spans="10:10" ht="15" customHeight="1" x14ac:dyDescent="0.3">
      <c r="J24923" s="33"/>
    </row>
    <row r="24924" spans="10:10" ht="15" customHeight="1" x14ac:dyDescent="0.3">
      <c r="J24924" s="33"/>
    </row>
    <row r="24925" spans="10:10" ht="15" customHeight="1" x14ac:dyDescent="0.3">
      <c r="J24925" s="33"/>
    </row>
    <row r="24926" spans="10:10" ht="15" customHeight="1" x14ac:dyDescent="0.3">
      <c r="J24926" s="33"/>
    </row>
    <row r="24927" spans="10:10" ht="15" customHeight="1" x14ac:dyDescent="0.3">
      <c r="J24927" s="33"/>
    </row>
    <row r="24928" spans="10:10" ht="15" customHeight="1" x14ac:dyDescent="0.3">
      <c r="J24928" s="33"/>
    </row>
    <row r="24929" spans="10:10" ht="15" customHeight="1" x14ac:dyDescent="0.3">
      <c r="J24929" s="33"/>
    </row>
    <row r="24930" spans="10:10" ht="15" customHeight="1" x14ac:dyDescent="0.3">
      <c r="J24930" s="33"/>
    </row>
    <row r="24931" spans="10:10" ht="15" customHeight="1" x14ac:dyDescent="0.3">
      <c r="J24931" s="33"/>
    </row>
    <row r="24932" spans="10:10" ht="15" customHeight="1" x14ac:dyDescent="0.3">
      <c r="J24932" s="33"/>
    </row>
    <row r="24933" spans="10:10" ht="15" customHeight="1" x14ac:dyDescent="0.3">
      <c r="J24933" s="33"/>
    </row>
    <row r="24934" spans="10:10" ht="15" customHeight="1" x14ac:dyDescent="0.3">
      <c r="J24934" s="33"/>
    </row>
    <row r="24935" spans="10:10" ht="15" customHeight="1" x14ac:dyDescent="0.3">
      <c r="J24935" s="33"/>
    </row>
    <row r="24936" spans="10:10" ht="15" customHeight="1" x14ac:dyDescent="0.3">
      <c r="J24936" s="33"/>
    </row>
    <row r="24937" spans="10:10" ht="15" customHeight="1" x14ac:dyDescent="0.3">
      <c r="J24937" s="33"/>
    </row>
    <row r="24938" spans="10:10" ht="15" customHeight="1" x14ac:dyDescent="0.3">
      <c r="J24938" s="33"/>
    </row>
    <row r="24939" spans="10:10" ht="15" customHeight="1" x14ac:dyDescent="0.3">
      <c r="J24939" s="33"/>
    </row>
    <row r="24940" spans="10:10" ht="15" customHeight="1" x14ac:dyDescent="0.3">
      <c r="J24940" s="33"/>
    </row>
    <row r="24941" spans="10:10" ht="15" customHeight="1" x14ac:dyDescent="0.3">
      <c r="J24941" s="33"/>
    </row>
    <row r="24942" spans="10:10" ht="15" customHeight="1" x14ac:dyDescent="0.3">
      <c r="J24942" s="33"/>
    </row>
    <row r="24943" spans="10:10" ht="15" customHeight="1" x14ac:dyDescent="0.3">
      <c r="J24943" s="33"/>
    </row>
    <row r="24944" spans="10:10" ht="15" customHeight="1" x14ac:dyDescent="0.3">
      <c r="J24944" s="33"/>
    </row>
    <row r="24945" spans="10:10" ht="15" customHeight="1" x14ac:dyDescent="0.3">
      <c r="J24945" s="33"/>
    </row>
    <row r="24946" spans="10:10" ht="15" customHeight="1" x14ac:dyDescent="0.3">
      <c r="J24946" s="33"/>
    </row>
    <row r="24947" spans="10:10" ht="15" customHeight="1" x14ac:dyDescent="0.3">
      <c r="J24947" s="33"/>
    </row>
    <row r="24948" spans="10:10" ht="15" customHeight="1" x14ac:dyDescent="0.3">
      <c r="J24948" s="33"/>
    </row>
    <row r="24949" spans="10:10" ht="15" customHeight="1" x14ac:dyDescent="0.3">
      <c r="J24949" s="33"/>
    </row>
    <row r="24950" spans="10:10" ht="15" customHeight="1" x14ac:dyDescent="0.3">
      <c r="J24950" s="33"/>
    </row>
    <row r="24951" spans="10:10" ht="15" customHeight="1" x14ac:dyDescent="0.3">
      <c r="J24951" s="33"/>
    </row>
    <row r="24952" spans="10:10" ht="15" customHeight="1" x14ac:dyDescent="0.3">
      <c r="J24952" s="33"/>
    </row>
    <row r="24953" spans="10:10" ht="15" customHeight="1" x14ac:dyDescent="0.3">
      <c r="J24953" s="33"/>
    </row>
    <row r="24954" spans="10:10" ht="15" customHeight="1" x14ac:dyDescent="0.3">
      <c r="J24954" s="33"/>
    </row>
    <row r="24955" spans="10:10" ht="15" customHeight="1" x14ac:dyDescent="0.3">
      <c r="J24955" s="33"/>
    </row>
    <row r="24956" spans="10:10" ht="15" customHeight="1" x14ac:dyDescent="0.3">
      <c r="J24956" s="33"/>
    </row>
    <row r="24957" spans="10:10" ht="15" customHeight="1" x14ac:dyDescent="0.3">
      <c r="J24957" s="33"/>
    </row>
    <row r="24958" spans="10:10" ht="15" customHeight="1" x14ac:dyDescent="0.3">
      <c r="J24958" s="33"/>
    </row>
    <row r="24959" spans="10:10" ht="15" customHeight="1" x14ac:dyDescent="0.3">
      <c r="J24959" s="33"/>
    </row>
    <row r="24960" spans="10:10" ht="15" customHeight="1" x14ac:dyDescent="0.3">
      <c r="J24960" s="33"/>
    </row>
    <row r="24961" spans="10:10" ht="15" customHeight="1" x14ac:dyDescent="0.3">
      <c r="J24961" s="33"/>
    </row>
    <row r="24962" spans="10:10" ht="15" customHeight="1" x14ac:dyDescent="0.3">
      <c r="J24962" s="33"/>
    </row>
    <row r="24963" spans="10:10" ht="15" customHeight="1" x14ac:dyDescent="0.3">
      <c r="J24963" s="33"/>
    </row>
    <row r="24964" spans="10:10" ht="15" customHeight="1" x14ac:dyDescent="0.3">
      <c r="J24964" s="33"/>
    </row>
    <row r="24965" spans="10:10" ht="15" customHeight="1" x14ac:dyDescent="0.3">
      <c r="J24965" s="33"/>
    </row>
    <row r="24966" spans="10:10" ht="15" customHeight="1" x14ac:dyDescent="0.3">
      <c r="J24966" s="33"/>
    </row>
    <row r="24967" spans="10:10" ht="15" customHeight="1" x14ac:dyDescent="0.3">
      <c r="J24967" s="33"/>
    </row>
    <row r="24968" spans="10:10" ht="15" customHeight="1" x14ac:dyDescent="0.3">
      <c r="J24968" s="33"/>
    </row>
    <row r="24969" spans="10:10" ht="15" customHeight="1" x14ac:dyDescent="0.3">
      <c r="J24969" s="33"/>
    </row>
    <row r="24970" spans="10:10" ht="15" customHeight="1" x14ac:dyDescent="0.3">
      <c r="J24970" s="33"/>
    </row>
    <row r="24971" spans="10:10" ht="15" customHeight="1" x14ac:dyDescent="0.3">
      <c r="J24971" s="33"/>
    </row>
    <row r="24972" spans="10:10" ht="15" customHeight="1" x14ac:dyDescent="0.3">
      <c r="J24972" s="33"/>
    </row>
    <row r="24973" spans="10:10" ht="15" customHeight="1" x14ac:dyDescent="0.3">
      <c r="J24973" s="33"/>
    </row>
    <row r="24974" spans="10:10" ht="15" customHeight="1" x14ac:dyDescent="0.3">
      <c r="J24974" s="33"/>
    </row>
    <row r="24975" spans="10:10" ht="15" customHeight="1" x14ac:dyDescent="0.3">
      <c r="J24975" s="33"/>
    </row>
    <row r="24976" spans="10:10" ht="15" customHeight="1" x14ac:dyDescent="0.3">
      <c r="J24976" s="33"/>
    </row>
    <row r="24977" spans="10:10" ht="15" customHeight="1" x14ac:dyDescent="0.3">
      <c r="J24977" s="33"/>
    </row>
    <row r="24978" spans="10:10" ht="15" customHeight="1" x14ac:dyDescent="0.3">
      <c r="J24978" s="33"/>
    </row>
    <row r="24979" spans="10:10" ht="15" customHeight="1" x14ac:dyDescent="0.3">
      <c r="J24979" s="33"/>
    </row>
    <row r="24980" spans="10:10" ht="15" customHeight="1" x14ac:dyDescent="0.3">
      <c r="J24980" s="33"/>
    </row>
    <row r="24981" spans="10:10" ht="15" customHeight="1" x14ac:dyDescent="0.3">
      <c r="J24981" s="33"/>
    </row>
    <row r="24982" spans="10:10" ht="15" customHeight="1" x14ac:dyDescent="0.3">
      <c r="J24982" s="33"/>
    </row>
    <row r="24983" spans="10:10" ht="15" customHeight="1" x14ac:dyDescent="0.3">
      <c r="J24983" s="33"/>
    </row>
    <row r="24984" spans="10:10" ht="15" customHeight="1" x14ac:dyDescent="0.3">
      <c r="J24984" s="33"/>
    </row>
    <row r="24985" spans="10:10" ht="15" customHeight="1" x14ac:dyDescent="0.3">
      <c r="J24985" s="33"/>
    </row>
    <row r="24986" spans="10:10" ht="15" customHeight="1" x14ac:dyDescent="0.3">
      <c r="J24986" s="33"/>
    </row>
    <row r="24987" spans="10:10" ht="15" customHeight="1" x14ac:dyDescent="0.3">
      <c r="J24987" s="33"/>
    </row>
    <row r="24988" spans="10:10" ht="15" customHeight="1" x14ac:dyDescent="0.3">
      <c r="J24988" s="33"/>
    </row>
    <row r="24989" spans="10:10" ht="15" customHeight="1" x14ac:dyDescent="0.3">
      <c r="J24989" s="33"/>
    </row>
    <row r="24990" spans="10:10" ht="15" customHeight="1" x14ac:dyDescent="0.3">
      <c r="J24990" s="33"/>
    </row>
    <row r="24991" spans="10:10" ht="15" customHeight="1" x14ac:dyDescent="0.3">
      <c r="J24991" s="33"/>
    </row>
    <row r="24992" spans="10:10" ht="15" customHeight="1" x14ac:dyDescent="0.3">
      <c r="J24992" s="33"/>
    </row>
    <row r="24993" spans="10:10" ht="15" customHeight="1" x14ac:dyDescent="0.3">
      <c r="J24993" s="33"/>
    </row>
    <row r="24994" spans="10:10" ht="15" customHeight="1" x14ac:dyDescent="0.3">
      <c r="J24994" s="33"/>
    </row>
    <row r="24995" spans="10:10" ht="15" customHeight="1" x14ac:dyDescent="0.3">
      <c r="J24995" s="33"/>
    </row>
    <row r="24996" spans="10:10" ht="15" customHeight="1" x14ac:dyDescent="0.3">
      <c r="J24996" s="33"/>
    </row>
    <row r="24997" spans="10:10" ht="15" customHeight="1" x14ac:dyDescent="0.3">
      <c r="J24997" s="33"/>
    </row>
    <row r="24998" spans="10:10" ht="15" customHeight="1" x14ac:dyDescent="0.3">
      <c r="J24998" s="33"/>
    </row>
    <row r="24999" spans="10:10" ht="15" customHeight="1" x14ac:dyDescent="0.3">
      <c r="J24999" s="33"/>
    </row>
    <row r="25000" spans="10:10" ht="15" customHeight="1" x14ac:dyDescent="0.3">
      <c r="J25000" s="33"/>
    </row>
    <row r="25001" spans="10:10" ht="15" customHeight="1" x14ac:dyDescent="0.3">
      <c r="J25001" s="33"/>
    </row>
    <row r="25002" spans="10:10" ht="15" customHeight="1" x14ac:dyDescent="0.3">
      <c r="J25002" s="33"/>
    </row>
    <row r="25003" spans="10:10" ht="15" customHeight="1" x14ac:dyDescent="0.3">
      <c r="J25003" s="33"/>
    </row>
    <row r="25004" spans="10:10" ht="15" customHeight="1" x14ac:dyDescent="0.3">
      <c r="J25004" s="33"/>
    </row>
    <row r="25005" spans="10:10" ht="15" customHeight="1" x14ac:dyDescent="0.3">
      <c r="J25005" s="33"/>
    </row>
    <row r="25006" spans="10:10" ht="15" customHeight="1" x14ac:dyDescent="0.3">
      <c r="J25006" s="33"/>
    </row>
    <row r="25007" spans="10:10" ht="15" customHeight="1" x14ac:dyDescent="0.3">
      <c r="J25007" s="33"/>
    </row>
    <row r="25008" spans="10:10" ht="15" customHeight="1" x14ac:dyDescent="0.3">
      <c r="J25008" s="33"/>
    </row>
    <row r="25009" spans="10:10" ht="15" customHeight="1" x14ac:dyDescent="0.3">
      <c r="J25009" s="33"/>
    </row>
    <row r="25010" spans="10:10" ht="15" customHeight="1" x14ac:dyDescent="0.3">
      <c r="J25010" s="33"/>
    </row>
    <row r="25011" spans="10:10" ht="15" customHeight="1" x14ac:dyDescent="0.3">
      <c r="J25011" s="33"/>
    </row>
    <row r="25012" spans="10:10" ht="15" customHeight="1" x14ac:dyDescent="0.3">
      <c r="J25012" s="33"/>
    </row>
    <row r="25013" spans="10:10" ht="15" customHeight="1" x14ac:dyDescent="0.3">
      <c r="J25013" s="33"/>
    </row>
    <row r="25014" spans="10:10" ht="15" customHeight="1" x14ac:dyDescent="0.3">
      <c r="J25014" s="33"/>
    </row>
    <row r="25015" spans="10:10" ht="15" customHeight="1" x14ac:dyDescent="0.3">
      <c r="J25015" s="33"/>
    </row>
    <row r="25016" spans="10:10" ht="15" customHeight="1" x14ac:dyDescent="0.3">
      <c r="J25016" s="33"/>
    </row>
    <row r="25017" spans="10:10" ht="15" customHeight="1" x14ac:dyDescent="0.3">
      <c r="J25017" s="33"/>
    </row>
    <row r="25018" spans="10:10" ht="15" customHeight="1" x14ac:dyDescent="0.3">
      <c r="J25018" s="33"/>
    </row>
    <row r="25019" spans="10:10" ht="15" customHeight="1" x14ac:dyDescent="0.3">
      <c r="J25019" s="33"/>
    </row>
    <row r="25020" spans="10:10" ht="15" customHeight="1" x14ac:dyDescent="0.3">
      <c r="J25020" s="33"/>
    </row>
    <row r="25021" spans="10:10" ht="15" customHeight="1" x14ac:dyDescent="0.3">
      <c r="J25021" s="33"/>
    </row>
    <row r="25022" spans="10:10" ht="15" customHeight="1" x14ac:dyDescent="0.3">
      <c r="J25022" s="33"/>
    </row>
    <row r="25023" spans="10:10" ht="15" customHeight="1" x14ac:dyDescent="0.3">
      <c r="J25023" s="33"/>
    </row>
    <row r="25024" spans="10:10" ht="15" customHeight="1" x14ac:dyDescent="0.3">
      <c r="J25024" s="33"/>
    </row>
    <row r="25025" spans="10:10" ht="15" customHeight="1" x14ac:dyDescent="0.3">
      <c r="J25025" s="33"/>
    </row>
    <row r="25026" spans="10:10" ht="15" customHeight="1" x14ac:dyDescent="0.3">
      <c r="J25026" s="33"/>
    </row>
    <row r="25027" spans="10:10" ht="15" customHeight="1" x14ac:dyDescent="0.3">
      <c r="J25027" s="33"/>
    </row>
    <row r="25028" spans="10:10" ht="15" customHeight="1" x14ac:dyDescent="0.3">
      <c r="J25028" s="33"/>
    </row>
    <row r="25029" spans="10:10" ht="15" customHeight="1" x14ac:dyDescent="0.3">
      <c r="J25029" s="33"/>
    </row>
    <row r="25030" spans="10:10" ht="15" customHeight="1" x14ac:dyDescent="0.3">
      <c r="J25030" s="33"/>
    </row>
    <row r="25031" spans="10:10" ht="15" customHeight="1" x14ac:dyDescent="0.3">
      <c r="J25031" s="33"/>
    </row>
    <row r="25032" spans="10:10" ht="15" customHeight="1" x14ac:dyDescent="0.3">
      <c r="J25032" s="33"/>
    </row>
    <row r="25033" spans="10:10" ht="15" customHeight="1" x14ac:dyDescent="0.3">
      <c r="J25033" s="33"/>
    </row>
    <row r="25034" spans="10:10" ht="15" customHeight="1" x14ac:dyDescent="0.3">
      <c r="J25034" s="33"/>
    </row>
    <row r="25035" spans="10:10" ht="15" customHeight="1" x14ac:dyDescent="0.3">
      <c r="J25035" s="33"/>
    </row>
    <row r="25036" spans="10:10" ht="15" customHeight="1" x14ac:dyDescent="0.3">
      <c r="J25036" s="33"/>
    </row>
    <row r="25037" spans="10:10" ht="15" customHeight="1" x14ac:dyDescent="0.3">
      <c r="J25037" s="33"/>
    </row>
    <row r="25038" spans="10:10" ht="15" customHeight="1" x14ac:dyDescent="0.3">
      <c r="J25038" s="33"/>
    </row>
    <row r="25039" spans="10:10" ht="15" customHeight="1" x14ac:dyDescent="0.3">
      <c r="J25039" s="33"/>
    </row>
    <row r="25040" spans="10:10" ht="15" customHeight="1" x14ac:dyDescent="0.3">
      <c r="J25040" s="33"/>
    </row>
    <row r="25041" spans="10:10" ht="15" customHeight="1" x14ac:dyDescent="0.3">
      <c r="J25041" s="33"/>
    </row>
    <row r="25042" spans="10:10" ht="15" customHeight="1" x14ac:dyDescent="0.3">
      <c r="J25042" s="33"/>
    </row>
    <row r="25043" spans="10:10" ht="15" customHeight="1" x14ac:dyDescent="0.3">
      <c r="J25043" s="33"/>
    </row>
    <row r="25044" spans="10:10" ht="15" customHeight="1" x14ac:dyDescent="0.3">
      <c r="J25044" s="33"/>
    </row>
    <row r="25045" spans="10:10" ht="15" customHeight="1" x14ac:dyDescent="0.3">
      <c r="J25045" s="33"/>
    </row>
    <row r="25046" spans="10:10" ht="15" customHeight="1" x14ac:dyDescent="0.3">
      <c r="J25046" s="33"/>
    </row>
    <row r="25047" spans="10:10" ht="15" customHeight="1" x14ac:dyDescent="0.3">
      <c r="J25047" s="33"/>
    </row>
    <row r="25048" spans="10:10" ht="15" customHeight="1" x14ac:dyDescent="0.3">
      <c r="J25048" s="33"/>
    </row>
    <row r="25049" spans="10:10" ht="15" customHeight="1" x14ac:dyDescent="0.3">
      <c r="J25049" s="33"/>
    </row>
    <row r="25050" spans="10:10" ht="15" customHeight="1" x14ac:dyDescent="0.3">
      <c r="J25050" s="33"/>
    </row>
    <row r="25051" spans="10:10" ht="15" customHeight="1" x14ac:dyDescent="0.3">
      <c r="J25051" s="33"/>
    </row>
    <row r="25052" spans="10:10" ht="15" customHeight="1" x14ac:dyDescent="0.3">
      <c r="J25052" s="33"/>
    </row>
    <row r="25053" spans="10:10" ht="15" customHeight="1" x14ac:dyDescent="0.3">
      <c r="J25053" s="33"/>
    </row>
    <row r="25054" spans="10:10" ht="15" customHeight="1" x14ac:dyDescent="0.3">
      <c r="J25054" s="33"/>
    </row>
    <row r="25055" spans="10:10" ht="15" customHeight="1" x14ac:dyDescent="0.3">
      <c r="J25055" s="33"/>
    </row>
    <row r="25056" spans="10:10" ht="15" customHeight="1" x14ac:dyDescent="0.3">
      <c r="J25056" s="33"/>
    </row>
    <row r="25057" spans="10:10" ht="15" customHeight="1" x14ac:dyDescent="0.3">
      <c r="J25057" s="33"/>
    </row>
    <row r="25058" spans="10:10" ht="15" customHeight="1" x14ac:dyDescent="0.3">
      <c r="J25058" s="33"/>
    </row>
    <row r="25059" spans="10:10" ht="15" customHeight="1" x14ac:dyDescent="0.3">
      <c r="J25059" s="33"/>
    </row>
    <row r="25060" spans="10:10" ht="15" customHeight="1" x14ac:dyDescent="0.3">
      <c r="J25060" s="33"/>
    </row>
    <row r="25061" spans="10:10" ht="15" customHeight="1" x14ac:dyDescent="0.3">
      <c r="J25061" s="33"/>
    </row>
    <row r="25062" spans="10:10" ht="15" customHeight="1" x14ac:dyDescent="0.3">
      <c r="J25062" s="33"/>
    </row>
    <row r="25063" spans="10:10" ht="15" customHeight="1" x14ac:dyDescent="0.3">
      <c r="J25063" s="33"/>
    </row>
    <row r="25064" spans="10:10" ht="15" customHeight="1" x14ac:dyDescent="0.3">
      <c r="J25064" s="33"/>
    </row>
    <row r="25065" spans="10:10" ht="15" customHeight="1" x14ac:dyDescent="0.3">
      <c r="J25065" s="33"/>
    </row>
    <row r="25066" spans="10:10" ht="15" customHeight="1" x14ac:dyDescent="0.3">
      <c r="J25066" s="33"/>
    </row>
    <row r="25067" spans="10:10" ht="15" customHeight="1" x14ac:dyDescent="0.3">
      <c r="J25067" s="33"/>
    </row>
    <row r="25068" spans="10:10" ht="15" customHeight="1" x14ac:dyDescent="0.3">
      <c r="J25068" s="33"/>
    </row>
    <row r="25069" spans="10:10" ht="15" customHeight="1" x14ac:dyDescent="0.3">
      <c r="J25069" s="33"/>
    </row>
    <row r="25070" spans="10:10" ht="15" customHeight="1" x14ac:dyDescent="0.3">
      <c r="J25070" s="33"/>
    </row>
    <row r="25071" spans="10:10" ht="15" customHeight="1" x14ac:dyDescent="0.3">
      <c r="J25071" s="33"/>
    </row>
    <row r="25072" spans="10:10" ht="15" customHeight="1" x14ac:dyDescent="0.3">
      <c r="J25072" s="33"/>
    </row>
    <row r="25073" spans="10:10" ht="15" customHeight="1" x14ac:dyDescent="0.3">
      <c r="J25073" s="33"/>
    </row>
    <row r="25074" spans="10:10" ht="15" customHeight="1" x14ac:dyDescent="0.3">
      <c r="J25074" s="33"/>
    </row>
    <row r="25075" spans="10:10" ht="15" customHeight="1" x14ac:dyDescent="0.3">
      <c r="J25075" s="33"/>
    </row>
    <row r="25076" spans="10:10" ht="15" customHeight="1" x14ac:dyDescent="0.3">
      <c r="J25076" s="33"/>
    </row>
    <row r="25077" spans="10:10" ht="15" customHeight="1" x14ac:dyDescent="0.3">
      <c r="J25077" s="33"/>
    </row>
    <row r="25078" spans="10:10" ht="15" customHeight="1" x14ac:dyDescent="0.3">
      <c r="J25078" s="33"/>
    </row>
    <row r="25079" spans="10:10" ht="15" customHeight="1" x14ac:dyDescent="0.3">
      <c r="J25079" s="33"/>
    </row>
    <row r="25080" spans="10:10" ht="15" customHeight="1" x14ac:dyDescent="0.3">
      <c r="J25080" s="33"/>
    </row>
    <row r="25081" spans="10:10" ht="15" customHeight="1" x14ac:dyDescent="0.3">
      <c r="J25081" s="33"/>
    </row>
    <row r="25082" spans="10:10" ht="15" customHeight="1" x14ac:dyDescent="0.3">
      <c r="J25082" s="33"/>
    </row>
    <row r="25083" spans="10:10" ht="15" customHeight="1" x14ac:dyDescent="0.3">
      <c r="J25083" s="33"/>
    </row>
    <row r="25084" spans="10:10" ht="15" customHeight="1" x14ac:dyDescent="0.3">
      <c r="J25084" s="33"/>
    </row>
    <row r="25085" spans="10:10" ht="15" customHeight="1" x14ac:dyDescent="0.3">
      <c r="J25085" s="33"/>
    </row>
    <row r="25086" spans="10:10" ht="15" customHeight="1" x14ac:dyDescent="0.3">
      <c r="J25086" s="33"/>
    </row>
    <row r="25087" spans="10:10" ht="15" customHeight="1" x14ac:dyDescent="0.3">
      <c r="J25087" s="33"/>
    </row>
    <row r="25088" spans="10:10" ht="15" customHeight="1" x14ac:dyDescent="0.3">
      <c r="J25088" s="33"/>
    </row>
    <row r="25089" spans="10:10" ht="15" customHeight="1" x14ac:dyDescent="0.3">
      <c r="J25089" s="33"/>
    </row>
    <row r="25090" spans="10:10" ht="15" customHeight="1" x14ac:dyDescent="0.3">
      <c r="J25090" s="33"/>
    </row>
    <row r="25091" spans="10:10" ht="15" customHeight="1" x14ac:dyDescent="0.3">
      <c r="J25091" s="33"/>
    </row>
    <row r="25092" spans="10:10" ht="15" customHeight="1" x14ac:dyDescent="0.3">
      <c r="J25092" s="33"/>
    </row>
    <row r="25093" spans="10:10" ht="15" customHeight="1" x14ac:dyDescent="0.3">
      <c r="J25093" s="33"/>
    </row>
    <row r="25094" spans="10:10" ht="15" customHeight="1" x14ac:dyDescent="0.3">
      <c r="J25094" s="33"/>
    </row>
    <row r="25095" spans="10:10" ht="15" customHeight="1" x14ac:dyDescent="0.3">
      <c r="J25095" s="33"/>
    </row>
    <row r="25096" spans="10:10" ht="15" customHeight="1" x14ac:dyDescent="0.3">
      <c r="J25096" s="33"/>
    </row>
    <row r="25097" spans="10:10" ht="15" customHeight="1" x14ac:dyDescent="0.3">
      <c r="J25097" s="33"/>
    </row>
    <row r="25098" spans="10:10" ht="15" customHeight="1" x14ac:dyDescent="0.3">
      <c r="J25098" s="33"/>
    </row>
    <row r="25099" spans="10:10" ht="15" customHeight="1" x14ac:dyDescent="0.3">
      <c r="J25099" s="33"/>
    </row>
    <row r="25100" spans="10:10" ht="15" customHeight="1" x14ac:dyDescent="0.3">
      <c r="J25100" s="33"/>
    </row>
    <row r="25101" spans="10:10" ht="15" customHeight="1" x14ac:dyDescent="0.3">
      <c r="J25101" s="33"/>
    </row>
    <row r="25102" spans="10:10" ht="15" customHeight="1" x14ac:dyDescent="0.3">
      <c r="J25102" s="33"/>
    </row>
    <row r="25103" spans="10:10" ht="15" customHeight="1" x14ac:dyDescent="0.3">
      <c r="J25103" s="33"/>
    </row>
    <row r="25104" spans="10:10" ht="15" customHeight="1" x14ac:dyDescent="0.3">
      <c r="J25104" s="33"/>
    </row>
    <row r="25105" spans="10:10" ht="15" customHeight="1" x14ac:dyDescent="0.3">
      <c r="J25105" s="33"/>
    </row>
    <row r="25106" spans="10:10" ht="15" customHeight="1" x14ac:dyDescent="0.3">
      <c r="J25106" s="33"/>
    </row>
    <row r="25107" spans="10:10" ht="15" customHeight="1" x14ac:dyDescent="0.3">
      <c r="J25107" s="33"/>
    </row>
    <row r="25108" spans="10:10" ht="15" customHeight="1" x14ac:dyDescent="0.3">
      <c r="J25108" s="33"/>
    </row>
    <row r="25109" spans="10:10" ht="15" customHeight="1" x14ac:dyDescent="0.3">
      <c r="J25109" s="33"/>
    </row>
    <row r="25110" spans="10:10" ht="15" customHeight="1" x14ac:dyDescent="0.3">
      <c r="J25110" s="33"/>
    </row>
    <row r="25111" spans="10:10" ht="15" customHeight="1" x14ac:dyDescent="0.3">
      <c r="J25111" s="33"/>
    </row>
    <row r="25112" spans="10:10" ht="15" customHeight="1" x14ac:dyDescent="0.3">
      <c r="J25112" s="33"/>
    </row>
    <row r="25113" spans="10:10" ht="15" customHeight="1" x14ac:dyDescent="0.3">
      <c r="J25113" s="33"/>
    </row>
    <row r="25114" spans="10:10" ht="15" customHeight="1" x14ac:dyDescent="0.3">
      <c r="J25114" s="33"/>
    </row>
    <row r="25115" spans="10:10" ht="15" customHeight="1" x14ac:dyDescent="0.3">
      <c r="J25115" s="33"/>
    </row>
    <row r="25116" spans="10:10" ht="15" customHeight="1" x14ac:dyDescent="0.3">
      <c r="J25116" s="33"/>
    </row>
    <row r="25117" spans="10:10" ht="15" customHeight="1" x14ac:dyDescent="0.3">
      <c r="J25117" s="33"/>
    </row>
    <row r="25118" spans="10:10" ht="15" customHeight="1" x14ac:dyDescent="0.3">
      <c r="J25118" s="33"/>
    </row>
    <row r="25119" spans="10:10" ht="15" customHeight="1" x14ac:dyDescent="0.3">
      <c r="J25119" s="33"/>
    </row>
    <row r="25120" spans="10:10" ht="15" customHeight="1" x14ac:dyDescent="0.3">
      <c r="J25120" s="33"/>
    </row>
    <row r="25121" spans="10:10" ht="15" customHeight="1" x14ac:dyDescent="0.3">
      <c r="J25121" s="33"/>
    </row>
    <row r="25122" spans="10:10" ht="15" customHeight="1" x14ac:dyDescent="0.3">
      <c r="J25122" s="33"/>
    </row>
    <row r="25123" spans="10:10" ht="15" customHeight="1" x14ac:dyDescent="0.3">
      <c r="J25123" s="33"/>
    </row>
    <row r="25124" spans="10:10" ht="15" customHeight="1" x14ac:dyDescent="0.3">
      <c r="J25124" s="33"/>
    </row>
    <row r="25125" spans="10:10" ht="15" customHeight="1" x14ac:dyDescent="0.3">
      <c r="J25125" s="33"/>
    </row>
    <row r="25126" spans="10:10" ht="15" customHeight="1" x14ac:dyDescent="0.3">
      <c r="J25126" s="33"/>
    </row>
    <row r="25127" spans="10:10" ht="15" customHeight="1" x14ac:dyDescent="0.3">
      <c r="J25127" s="33"/>
    </row>
    <row r="25128" spans="10:10" ht="15" customHeight="1" x14ac:dyDescent="0.3">
      <c r="J25128" s="33"/>
    </row>
    <row r="25129" spans="10:10" ht="15" customHeight="1" x14ac:dyDescent="0.3">
      <c r="J25129" s="33"/>
    </row>
    <row r="25130" spans="10:10" ht="15" customHeight="1" x14ac:dyDescent="0.3">
      <c r="J25130" s="33"/>
    </row>
    <row r="25131" spans="10:10" ht="15" customHeight="1" x14ac:dyDescent="0.3">
      <c r="J25131" s="33"/>
    </row>
    <row r="25132" spans="10:10" ht="15" customHeight="1" x14ac:dyDescent="0.3">
      <c r="J25132" s="33"/>
    </row>
    <row r="25133" spans="10:10" ht="15" customHeight="1" x14ac:dyDescent="0.3">
      <c r="J25133" s="33"/>
    </row>
    <row r="25134" spans="10:10" ht="15" customHeight="1" x14ac:dyDescent="0.3">
      <c r="J25134" s="33"/>
    </row>
    <row r="25135" spans="10:10" ht="15" customHeight="1" x14ac:dyDescent="0.3">
      <c r="J25135" s="33"/>
    </row>
    <row r="25136" spans="10:10" ht="15" customHeight="1" x14ac:dyDescent="0.3">
      <c r="J25136" s="33"/>
    </row>
    <row r="25137" spans="10:10" ht="15" customHeight="1" x14ac:dyDescent="0.3">
      <c r="J25137" s="33"/>
    </row>
    <row r="25138" spans="10:10" ht="15" customHeight="1" x14ac:dyDescent="0.3">
      <c r="J25138" s="33"/>
    </row>
    <row r="25139" spans="10:10" ht="15" customHeight="1" x14ac:dyDescent="0.3">
      <c r="J25139" s="33"/>
    </row>
    <row r="25140" spans="10:10" ht="15" customHeight="1" x14ac:dyDescent="0.3">
      <c r="J25140" s="33"/>
    </row>
    <row r="25141" spans="10:10" ht="15" customHeight="1" x14ac:dyDescent="0.3">
      <c r="J25141" s="33"/>
    </row>
    <row r="25142" spans="10:10" ht="15" customHeight="1" x14ac:dyDescent="0.3">
      <c r="J25142" s="33"/>
    </row>
    <row r="25143" spans="10:10" ht="15" customHeight="1" x14ac:dyDescent="0.3">
      <c r="J25143" s="33"/>
    </row>
    <row r="25144" spans="10:10" ht="15" customHeight="1" x14ac:dyDescent="0.3">
      <c r="J25144" s="33"/>
    </row>
    <row r="25145" spans="10:10" ht="15" customHeight="1" x14ac:dyDescent="0.3">
      <c r="J25145" s="33"/>
    </row>
    <row r="25146" spans="10:10" ht="15" customHeight="1" x14ac:dyDescent="0.3">
      <c r="J25146" s="33"/>
    </row>
    <row r="25147" spans="10:10" ht="15" customHeight="1" x14ac:dyDescent="0.3">
      <c r="J25147" s="33"/>
    </row>
    <row r="25148" spans="10:10" ht="15" customHeight="1" x14ac:dyDescent="0.3">
      <c r="J25148" s="33"/>
    </row>
    <row r="25149" spans="10:10" ht="15" customHeight="1" x14ac:dyDescent="0.3">
      <c r="J25149" s="33"/>
    </row>
    <row r="25150" spans="10:10" ht="15" customHeight="1" x14ac:dyDescent="0.3">
      <c r="J25150" s="33"/>
    </row>
    <row r="25151" spans="10:10" ht="15" customHeight="1" x14ac:dyDescent="0.3">
      <c r="J25151" s="33"/>
    </row>
    <row r="25152" spans="10:10" ht="15" customHeight="1" x14ac:dyDescent="0.3">
      <c r="J25152" s="33"/>
    </row>
    <row r="25153" spans="10:10" ht="15" customHeight="1" x14ac:dyDescent="0.3">
      <c r="J25153" s="33"/>
    </row>
    <row r="25154" spans="10:10" ht="15" customHeight="1" x14ac:dyDescent="0.3">
      <c r="J25154" s="33"/>
    </row>
    <row r="25155" spans="10:10" ht="15" customHeight="1" x14ac:dyDescent="0.3">
      <c r="J25155" s="33"/>
    </row>
    <row r="25156" spans="10:10" ht="15" customHeight="1" x14ac:dyDescent="0.3">
      <c r="J25156" s="33"/>
    </row>
    <row r="25157" spans="10:10" ht="15" customHeight="1" x14ac:dyDescent="0.3">
      <c r="J25157" s="33"/>
    </row>
    <row r="25158" spans="10:10" ht="15" customHeight="1" x14ac:dyDescent="0.3">
      <c r="J25158" s="33"/>
    </row>
    <row r="25159" spans="10:10" ht="15" customHeight="1" x14ac:dyDescent="0.3">
      <c r="J25159" s="33"/>
    </row>
    <row r="25160" spans="10:10" ht="15" customHeight="1" x14ac:dyDescent="0.3">
      <c r="J25160" s="33"/>
    </row>
    <row r="25161" spans="10:10" ht="15" customHeight="1" x14ac:dyDescent="0.3">
      <c r="J25161" s="33"/>
    </row>
    <row r="25162" spans="10:10" ht="15" customHeight="1" x14ac:dyDescent="0.3">
      <c r="J25162" s="33"/>
    </row>
    <row r="25163" spans="10:10" ht="15" customHeight="1" x14ac:dyDescent="0.3">
      <c r="J25163" s="33"/>
    </row>
    <row r="25164" spans="10:10" ht="15" customHeight="1" x14ac:dyDescent="0.3">
      <c r="J25164" s="33"/>
    </row>
    <row r="25165" spans="10:10" ht="15" customHeight="1" x14ac:dyDescent="0.3">
      <c r="J25165" s="33"/>
    </row>
    <row r="25166" spans="10:10" ht="15" customHeight="1" x14ac:dyDescent="0.3">
      <c r="J25166" s="33"/>
    </row>
    <row r="25167" spans="10:10" ht="15" customHeight="1" x14ac:dyDescent="0.3">
      <c r="J25167" s="33"/>
    </row>
    <row r="25168" spans="10:10" ht="15" customHeight="1" x14ac:dyDescent="0.3">
      <c r="J25168" s="33"/>
    </row>
    <row r="25169" spans="10:10" ht="15" customHeight="1" x14ac:dyDescent="0.3">
      <c r="J25169" s="33"/>
    </row>
    <row r="25170" spans="10:10" ht="15" customHeight="1" x14ac:dyDescent="0.3">
      <c r="J25170" s="33"/>
    </row>
    <row r="25171" spans="10:10" ht="15" customHeight="1" x14ac:dyDescent="0.3">
      <c r="J25171" s="33"/>
    </row>
    <row r="25172" spans="10:10" ht="15" customHeight="1" x14ac:dyDescent="0.3">
      <c r="J25172" s="33"/>
    </row>
    <row r="25173" spans="10:10" ht="15" customHeight="1" x14ac:dyDescent="0.3">
      <c r="J25173" s="33"/>
    </row>
    <row r="25174" spans="10:10" ht="15" customHeight="1" x14ac:dyDescent="0.3">
      <c r="J25174" s="33"/>
    </row>
    <row r="25175" spans="10:10" ht="15" customHeight="1" x14ac:dyDescent="0.3">
      <c r="J25175" s="33"/>
    </row>
    <row r="25176" spans="10:10" ht="15" customHeight="1" x14ac:dyDescent="0.3">
      <c r="J25176" s="33"/>
    </row>
    <row r="25177" spans="10:10" ht="15" customHeight="1" x14ac:dyDescent="0.3">
      <c r="J25177" s="33"/>
    </row>
    <row r="25178" spans="10:10" ht="15" customHeight="1" x14ac:dyDescent="0.3">
      <c r="J25178" s="33"/>
    </row>
    <row r="25179" spans="10:10" ht="15" customHeight="1" x14ac:dyDescent="0.3">
      <c r="J25179" s="33"/>
    </row>
    <row r="25180" spans="10:10" ht="15" customHeight="1" x14ac:dyDescent="0.3">
      <c r="J25180" s="33"/>
    </row>
    <row r="25181" spans="10:10" ht="15" customHeight="1" x14ac:dyDescent="0.3">
      <c r="J25181" s="33"/>
    </row>
    <row r="25182" spans="10:10" ht="15" customHeight="1" x14ac:dyDescent="0.3">
      <c r="J25182" s="33"/>
    </row>
    <row r="25183" spans="10:10" ht="15" customHeight="1" x14ac:dyDescent="0.3">
      <c r="J25183" s="33"/>
    </row>
    <row r="25184" spans="10:10" ht="15" customHeight="1" x14ac:dyDescent="0.3">
      <c r="J25184" s="33"/>
    </row>
    <row r="25185" spans="10:10" ht="15" customHeight="1" x14ac:dyDescent="0.3">
      <c r="J25185" s="33"/>
    </row>
    <row r="25186" spans="10:10" ht="15" customHeight="1" x14ac:dyDescent="0.3">
      <c r="J25186" s="33"/>
    </row>
    <row r="25187" spans="10:10" ht="15" customHeight="1" x14ac:dyDescent="0.3">
      <c r="J25187" s="33"/>
    </row>
    <row r="25188" spans="10:10" ht="15" customHeight="1" x14ac:dyDescent="0.3">
      <c r="J25188" s="33"/>
    </row>
    <row r="25189" spans="10:10" ht="15" customHeight="1" x14ac:dyDescent="0.3">
      <c r="J25189" s="33"/>
    </row>
    <row r="25190" spans="10:10" ht="15" customHeight="1" x14ac:dyDescent="0.3">
      <c r="J25190" s="33"/>
    </row>
    <row r="25191" spans="10:10" ht="15" customHeight="1" x14ac:dyDescent="0.3">
      <c r="J25191" s="33"/>
    </row>
    <row r="25192" spans="10:10" ht="15" customHeight="1" x14ac:dyDescent="0.3">
      <c r="J25192" s="33"/>
    </row>
    <row r="25193" spans="10:10" ht="15" customHeight="1" x14ac:dyDescent="0.3">
      <c r="J25193" s="33"/>
    </row>
    <row r="25194" spans="10:10" ht="15" customHeight="1" x14ac:dyDescent="0.3">
      <c r="J25194" s="33"/>
    </row>
    <row r="25195" spans="10:10" ht="15" customHeight="1" x14ac:dyDescent="0.3">
      <c r="J25195" s="33"/>
    </row>
    <row r="25196" spans="10:10" ht="15" customHeight="1" x14ac:dyDescent="0.3">
      <c r="J25196" s="33"/>
    </row>
    <row r="25197" spans="10:10" ht="15" customHeight="1" x14ac:dyDescent="0.3">
      <c r="J25197" s="33"/>
    </row>
    <row r="25198" spans="10:10" ht="15" customHeight="1" x14ac:dyDescent="0.3">
      <c r="J25198" s="33"/>
    </row>
    <row r="25199" spans="10:10" ht="15" customHeight="1" x14ac:dyDescent="0.3">
      <c r="J25199" s="33"/>
    </row>
    <row r="25200" spans="10:10" ht="15" customHeight="1" x14ac:dyDescent="0.3">
      <c r="J25200" s="33"/>
    </row>
    <row r="25201" spans="10:10" ht="15" customHeight="1" x14ac:dyDescent="0.3">
      <c r="J25201" s="33"/>
    </row>
    <row r="25202" spans="10:10" ht="15" customHeight="1" x14ac:dyDescent="0.3">
      <c r="J25202" s="33"/>
    </row>
    <row r="25203" spans="10:10" ht="15" customHeight="1" x14ac:dyDescent="0.3">
      <c r="J25203" s="33"/>
    </row>
    <row r="25204" spans="10:10" ht="15" customHeight="1" x14ac:dyDescent="0.3">
      <c r="J25204" s="33"/>
    </row>
    <row r="25205" spans="10:10" ht="15" customHeight="1" x14ac:dyDescent="0.3">
      <c r="J25205" s="33"/>
    </row>
    <row r="25206" spans="10:10" ht="15" customHeight="1" x14ac:dyDescent="0.3">
      <c r="J25206" s="33"/>
    </row>
    <row r="25207" spans="10:10" ht="15" customHeight="1" x14ac:dyDescent="0.3">
      <c r="J25207" s="33"/>
    </row>
    <row r="25208" spans="10:10" ht="15" customHeight="1" x14ac:dyDescent="0.3">
      <c r="J25208" s="33"/>
    </row>
    <row r="25209" spans="10:10" ht="15" customHeight="1" x14ac:dyDescent="0.3">
      <c r="J25209" s="33"/>
    </row>
    <row r="25210" spans="10:10" ht="15" customHeight="1" x14ac:dyDescent="0.3">
      <c r="J25210" s="33"/>
    </row>
    <row r="25211" spans="10:10" ht="15" customHeight="1" x14ac:dyDescent="0.3">
      <c r="J25211" s="33"/>
    </row>
    <row r="25212" spans="10:10" ht="15" customHeight="1" x14ac:dyDescent="0.3">
      <c r="J25212" s="33"/>
    </row>
    <row r="25213" spans="10:10" ht="15" customHeight="1" x14ac:dyDescent="0.3">
      <c r="J25213" s="33"/>
    </row>
    <row r="25214" spans="10:10" ht="15" customHeight="1" x14ac:dyDescent="0.3">
      <c r="J25214" s="33"/>
    </row>
    <row r="25215" spans="10:10" ht="15" customHeight="1" x14ac:dyDescent="0.3">
      <c r="J25215" s="33"/>
    </row>
    <row r="25216" spans="10:10" ht="15" customHeight="1" x14ac:dyDescent="0.3">
      <c r="J25216" s="33"/>
    </row>
    <row r="25217" spans="10:10" ht="15" customHeight="1" x14ac:dyDescent="0.3">
      <c r="J25217" s="33"/>
    </row>
    <row r="25218" spans="10:10" ht="15" customHeight="1" x14ac:dyDescent="0.3">
      <c r="J25218" s="33"/>
    </row>
    <row r="25219" spans="10:10" ht="15" customHeight="1" x14ac:dyDescent="0.3">
      <c r="J25219" s="33"/>
    </row>
    <row r="25220" spans="10:10" ht="15" customHeight="1" x14ac:dyDescent="0.3">
      <c r="J25220" s="33"/>
    </row>
    <row r="25221" spans="10:10" ht="15" customHeight="1" x14ac:dyDescent="0.3">
      <c r="J25221" s="33"/>
    </row>
    <row r="25222" spans="10:10" ht="15" customHeight="1" x14ac:dyDescent="0.3">
      <c r="J25222" s="33"/>
    </row>
    <row r="25223" spans="10:10" ht="15" customHeight="1" x14ac:dyDescent="0.3">
      <c r="J25223" s="33"/>
    </row>
    <row r="25224" spans="10:10" ht="15" customHeight="1" x14ac:dyDescent="0.3">
      <c r="J25224" s="33"/>
    </row>
    <row r="25225" spans="10:10" ht="15" customHeight="1" x14ac:dyDescent="0.3">
      <c r="J25225" s="33"/>
    </row>
    <row r="25226" spans="10:10" ht="15" customHeight="1" x14ac:dyDescent="0.3">
      <c r="J25226" s="33"/>
    </row>
    <row r="25227" spans="10:10" ht="15" customHeight="1" x14ac:dyDescent="0.3">
      <c r="J25227" s="33"/>
    </row>
    <row r="25228" spans="10:10" ht="15" customHeight="1" x14ac:dyDescent="0.3">
      <c r="J25228" s="33"/>
    </row>
    <row r="25229" spans="10:10" ht="15" customHeight="1" x14ac:dyDescent="0.3">
      <c r="J25229" s="33"/>
    </row>
    <row r="25230" spans="10:10" ht="15" customHeight="1" x14ac:dyDescent="0.3">
      <c r="J25230" s="33"/>
    </row>
    <row r="25231" spans="10:10" ht="15" customHeight="1" x14ac:dyDescent="0.3">
      <c r="J25231" s="33"/>
    </row>
    <row r="25232" spans="10:10" ht="15" customHeight="1" x14ac:dyDescent="0.3">
      <c r="J25232" s="33"/>
    </row>
    <row r="25233" spans="10:10" ht="15" customHeight="1" x14ac:dyDescent="0.3">
      <c r="J25233" s="33"/>
    </row>
    <row r="25234" spans="10:10" ht="15" customHeight="1" x14ac:dyDescent="0.3">
      <c r="J25234" s="33"/>
    </row>
    <row r="25235" spans="10:10" ht="15" customHeight="1" x14ac:dyDescent="0.3">
      <c r="J25235" s="33"/>
    </row>
    <row r="25236" spans="10:10" ht="15" customHeight="1" x14ac:dyDescent="0.3">
      <c r="J25236" s="33"/>
    </row>
    <row r="25237" spans="10:10" ht="15" customHeight="1" x14ac:dyDescent="0.3">
      <c r="J25237" s="33"/>
    </row>
    <row r="25238" spans="10:10" ht="15" customHeight="1" x14ac:dyDescent="0.3">
      <c r="J25238" s="33"/>
    </row>
    <row r="25239" spans="10:10" ht="15" customHeight="1" x14ac:dyDescent="0.3">
      <c r="J25239" s="33"/>
    </row>
    <row r="25240" spans="10:10" ht="15" customHeight="1" x14ac:dyDescent="0.3">
      <c r="J25240" s="33"/>
    </row>
    <row r="25241" spans="10:10" ht="15" customHeight="1" x14ac:dyDescent="0.3">
      <c r="J25241" s="33"/>
    </row>
    <row r="25242" spans="10:10" ht="15" customHeight="1" x14ac:dyDescent="0.3">
      <c r="J25242" s="33"/>
    </row>
    <row r="25243" spans="10:10" ht="15" customHeight="1" x14ac:dyDescent="0.3">
      <c r="J25243" s="33"/>
    </row>
    <row r="25244" spans="10:10" ht="15" customHeight="1" x14ac:dyDescent="0.3">
      <c r="J25244" s="33"/>
    </row>
    <row r="25245" spans="10:10" ht="15" customHeight="1" x14ac:dyDescent="0.3">
      <c r="J25245" s="33"/>
    </row>
    <row r="25246" spans="10:10" ht="15" customHeight="1" x14ac:dyDescent="0.3">
      <c r="J25246" s="33"/>
    </row>
    <row r="25247" spans="10:10" ht="15" customHeight="1" x14ac:dyDescent="0.3">
      <c r="J25247" s="33"/>
    </row>
    <row r="25248" spans="10:10" ht="15" customHeight="1" x14ac:dyDescent="0.3">
      <c r="J25248" s="33"/>
    </row>
    <row r="25249" spans="10:10" ht="15" customHeight="1" x14ac:dyDescent="0.3">
      <c r="J25249" s="33"/>
    </row>
    <row r="25250" spans="10:10" ht="15" customHeight="1" x14ac:dyDescent="0.3">
      <c r="J25250" s="33"/>
    </row>
    <row r="25251" spans="10:10" ht="15" customHeight="1" x14ac:dyDescent="0.3">
      <c r="J25251" s="33"/>
    </row>
    <row r="25252" spans="10:10" ht="15" customHeight="1" x14ac:dyDescent="0.3">
      <c r="J25252" s="33"/>
    </row>
    <row r="25253" spans="10:10" ht="15" customHeight="1" x14ac:dyDescent="0.3">
      <c r="J25253" s="33"/>
    </row>
    <row r="25254" spans="10:10" ht="15" customHeight="1" x14ac:dyDescent="0.3">
      <c r="J25254" s="33"/>
    </row>
    <row r="25255" spans="10:10" ht="15" customHeight="1" x14ac:dyDescent="0.3">
      <c r="J25255" s="33"/>
    </row>
    <row r="25256" spans="10:10" ht="15" customHeight="1" x14ac:dyDescent="0.3">
      <c r="J25256" s="33"/>
    </row>
    <row r="25257" spans="10:10" ht="15" customHeight="1" x14ac:dyDescent="0.3">
      <c r="J25257" s="33"/>
    </row>
    <row r="25258" spans="10:10" ht="15" customHeight="1" x14ac:dyDescent="0.3">
      <c r="J25258" s="33"/>
    </row>
    <row r="25259" spans="10:10" ht="15" customHeight="1" x14ac:dyDescent="0.3">
      <c r="J25259" s="33"/>
    </row>
    <row r="25260" spans="10:10" ht="15" customHeight="1" x14ac:dyDescent="0.3">
      <c r="J25260" s="33"/>
    </row>
    <row r="25261" spans="10:10" ht="15" customHeight="1" x14ac:dyDescent="0.3">
      <c r="J25261" s="33"/>
    </row>
    <row r="25262" spans="10:10" ht="15" customHeight="1" x14ac:dyDescent="0.3">
      <c r="J25262" s="33"/>
    </row>
    <row r="25263" spans="10:10" ht="15" customHeight="1" x14ac:dyDescent="0.3">
      <c r="J25263" s="33"/>
    </row>
    <row r="25264" spans="10:10" ht="15" customHeight="1" x14ac:dyDescent="0.3">
      <c r="J25264" s="33"/>
    </row>
    <row r="25265" spans="10:10" ht="15" customHeight="1" x14ac:dyDescent="0.3">
      <c r="J25265" s="33"/>
    </row>
    <row r="25266" spans="10:10" ht="15" customHeight="1" x14ac:dyDescent="0.3">
      <c r="J25266" s="33"/>
    </row>
    <row r="25267" spans="10:10" ht="15" customHeight="1" x14ac:dyDescent="0.3">
      <c r="J25267" s="33"/>
    </row>
    <row r="25268" spans="10:10" ht="15" customHeight="1" x14ac:dyDescent="0.3">
      <c r="J25268" s="33"/>
    </row>
    <row r="25269" spans="10:10" ht="15" customHeight="1" x14ac:dyDescent="0.3">
      <c r="J25269" s="33"/>
    </row>
    <row r="25270" spans="10:10" ht="15" customHeight="1" x14ac:dyDescent="0.3">
      <c r="J25270" s="33"/>
    </row>
    <row r="25271" spans="10:10" ht="15" customHeight="1" x14ac:dyDescent="0.3">
      <c r="J25271" s="33"/>
    </row>
    <row r="25272" spans="10:10" ht="15" customHeight="1" x14ac:dyDescent="0.3">
      <c r="J25272" s="33"/>
    </row>
    <row r="25273" spans="10:10" ht="15" customHeight="1" x14ac:dyDescent="0.3">
      <c r="J25273" s="33"/>
    </row>
    <row r="25274" spans="10:10" ht="15" customHeight="1" x14ac:dyDescent="0.3">
      <c r="J25274" s="33"/>
    </row>
    <row r="25275" spans="10:10" ht="15" customHeight="1" x14ac:dyDescent="0.3">
      <c r="J25275" s="33"/>
    </row>
    <row r="25276" spans="10:10" ht="15" customHeight="1" x14ac:dyDescent="0.3">
      <c r="J25276" s="33"/>
    </row>
    <row r="25277" spans="10:10" ht="15" customHeight="1" x14ac:dyDescent="0.3">
      <c r="J25277" s="33"/>
    </row>
    <row r="25278" spans="10:10" ht="15" customHeight="1" x14ac:dyDescent="0.3">
      <c r="J25278" s="33"/>
    </row>
    <row r="25279" spans="10:10" ht="15" customHeight="1" x14ac:dyDescent="0.3">
      <c r="J25279" s="33"/>
    </row>
    <row r="25280" spans="10:10" ht="15" customHeight="1" x14ac:dyDescent="0.3">
      <c r="J25280" s="33"/>
    </row>
    <row r="25281" spans="10:10" ht="15" customHeight="1" x14ac:dyDescent="0.3">
      <c r="J25281" s="33"/>
    </row>
    <row r="25282" spans="10:10" ht="15" customHeight="1" x14ac:dyDescent="0.3">
      <c r="J25282" s="33"/>
    </row>
    <row r="25283" spans="10:10" ht="15" customHeight="1" x14ac:dyDescent="0.3">
      <c r="J25283" s="33"/>
    </row>
    <row r="25284" spans="10:10" ht="15" customHeight="1" x14ac:dyDescent="0.3">
      <c r="J25284" s="33"/>
    </row>
    <row r="25285" spans="10:10" ht="15" customHeight="1" x14ac:dyDescent="0.3">
      <c r="J25285" s="33"/>
    </row>
    <row r="25286" spans="10:10" ht="15" customHeight="1" x14ac:dyDescent="0.3">
      <c r="J25286" s="33"/>
    </row>
    <row r="25287" spans="10:10" ht="15" customHeight="1" x14ac:dyDescent="0.3">
      <c r="J25287" s="33"/>
    </row>
    <row r="25288" spans="10:10" ht="15" customHeight="1" x14ac:dyDescent="0.3">
      <c r="J25288" s="33"/>
    </row>
    <row r="25289" spans="10:10" ht="15" customHeight="1" x14ac:dyDescent="0.3">
      <c r="J25289" s="33"/>
    </row>
    <row r="25290" spans="10:10" ht="15" customHeight="1" x14ac:dyDescent="0.3">
      <c r="J25290" s="33"/>
    </row>
    <row r="25291" spans="10:10" ht="15" customHeight="1" x14ac:dyDescent="0.3">
      <c r="J25291" s="33"/>
    </row>
    <row r="25292" spans="10:10" ht="15" customHeight="1" x14ac:dyDescent="0.3">
      <c r="J25292" s="33"/>
    </row>
    <row r="25293" spans="10:10" ht="15" customHeight="1" x14ac:dyDescent="0.3">
      <c r="J25293" s="33"/>
    </row>
    <row r="25294" spans="10:10" ht="15" customHeight="1" x14ac:dyDescent="0.3">
      <c r="J25294" s="33"/>
    </row>
    <row r="25295" spans="10:10" ht="15" customHeight="1" x14ac:dyDescent="0.3">
      <c r="J25295" s="33"/>
    </row>
    <row r="25296" spans="10:10" ht="15" customHeight="1" x14ac:dyDescent="0.3">
      <c r="J25296" s="33"/>
    </row>
    <row r="25297" spans="10:10" ht="15" customHeight="1" x14ac:dyDescent="0.3">
      <c r="J25297" s="33"/>
    </row>
    <row r="25298" spans="10:10" ht="15" customHeight="1" x14ac:dyDescent="0.3">
      <c r="J25298" s="33"/>
    </row>
    <row r="25299" spans="10:10" ht="15" customHeight="1" x14ac:dyDescent="0.3">
      <c r="J25299" s="33"/>
    </row>
    <row r="25300" spans="10:10" ht="15" customHeight="1" x14ac:dyDescent="0.3">
      <c r="J25300" s="33"/>
    </row>
    <row r="25301" spans="10:10" ht="15" customHeight="1" x14ac:dyDescent="0.3">
      <c r="J25301" s="33"/>
    </row>
    <row r="25302" spans="10:10" ht="15" customHeight="1" x14ac:dyDescent="0.3">
      <c r="J25302" s="33"/>
    </row>
    <row r="25303" spans="10:10" ht="15" customHeight="1" x14ac:dyDescent="0.3">
      <c r="J25303" s="33"/>
    </row>
    <row r="25304" spans="10:10" ht="15" customHeight="1" x14ac:dyDescent="0.3">
      <c r="J25304" s="33"/>
    </row>
    <row r="25305" spans="10:10" ht="15" customHeight="1" x14ac:dyDescent="0.3">
      <c r="J25305" s="33"/>
    </row>
    <row r="25306" spans="10:10" ht="15" customHeight="1" x14ac:dyDescent="0.3">
      <c r="J25306" s="33"/>
    </row>
    <row r="25307" spans="10:10" ht="15" customHeight="1" x14ac:dyDescent="0.3">
      <c r="J25307" s="33"/>
    </row>
    <row r="25308" spans="10:10" ht="15" customHeight="1" x14ac:dyDescent="0.3">
      <c r="J25308" s="33"/>
    </row>
    <row r="25309" spans="10:10" ht="15" customHeight="1" x14ac:dyDescent="0.3">
      <c r="J25309" s="33"/>
    </row>
    <row r="25310" spans="10:10" ht="15" customHeight="1" x14ac:dyDescent="0.3">
      <c r="J25310" s="33"/>
    </row>
    <row r="25311" spans="10:10" ht="15" customHeight="1" x14ac:dyDescent="0.3">
      <c r="J25311" s="33"/>
    </row>
    <row r="25312" spans="10:10" ht="15" customHeight="1" x14ac:dyDescent="0.3">
      <c r="J25312" s="33"/>
    </row>
    <row r="25313" spans="10:10" ht="15" customHeight="1" x14ac:dyDescent="0.3">
      <c r="J25313" s="33"/>
    </row>
    <row r="25314" spans="10:10" ht="15" customHeight="1" x14ac:dyDescent="0.3">
      <c r="J25314" s="33"/>
    </row>
    <row r="25315" spans="10:10" ht="15" customHeight="1" x14ac:dyDescent="0.3">
      <c r="J25315" s="33"/>
    </row>
    <row r="25316" spans="10:10" ht="15" customHeight="1" x14ac:dyDescent="0.3">
      <c r="J25316" s="33"/>
    </row>
    <row r="25317" spans="10:10" ht="15" customHeight="1" x14ac:dyDescent="0.3">
      <c r="J25317" s="33"/>
    </row>
    <row r="25318" spans="10:10" ht="15" customHeight="1" x14ac:dyDescent="0.3">
      <c r="J25318" s="33"/>
    </row>
    <row r="25319" spans="10:10" ht="15" customHeight="1" x14ac:dyDescent="0.3">
      <c r="J25319" s="33"/>
    </row>
    <row r="25320" spans="10:10" ht="15" customHeight="1" x14ac:dyDescent="0.3">
      <c r="J25320" s="33"/>
    </row>
    <row r="25321" spans="10:10" ht="15" customHeight="1" x14ac:dyDescent="0.3">
      <c r="J25321" s="33"/>
    </row>
    <row r="25322" spans="10:10" ht="15" customHeight="1" x14ac:dyDescent="0.3">
      <c r="J25322" s="33"/>
    </row>
    <row r="25323" spans="10:10" ht="15" customHeight="1" x14ac:dyDescent="0.3">
      <c r="J25323" s="33"/>
    </row>
    <row r="25324" spans="10:10" ht="15" customHeight="1" x14ac:dyDescent="0.3">
      <c r="J25324" s="33"/>
    </row>
    <row r="25325" spans="10:10" ht="15" customHeight="1" x14ac:dyDescent="0.3">
      <c r="J25325" s="33"/>
    </row>
    <row r="25326" spans="10:10" ht="15" customHeight="1" x14ac:dyDescent="0.3">
      <c r="J25326" s="33"/>
    </row>
    <row r="25327" spans="10:10" ht="15" customHeight="1" x14ac:dyDescent="0.3">
      <c r="J25327" s="33"/>
    </row>
    <row r="25328" spans="10:10" ht="15" customHeight="1" x14ac:dyDescent="0.3">
      <c r="J25328" s="33"/>
    </row>
    <row r="25329" spans="10:10" ht="15" customHeight="1" x14ac:dyDescent="0.3">
      <c r="J25329" s="33"/>
    </row>
    <row r="25330" spans="10:10" ht="15" customHeight="1" x14ac:dyDescent="0.3">
      <c r="J25330" s="33"/>
    </row>
    <row r="25331" spans="10:10" ht="15" customHeight="1" x14ac:dyDescent="0.3">
      <c r="J25331" s="33"/>
    </row>
    <row r="25332" spans="10:10" ht="15" customHeight="1" x14ac:dyDescent="0.3">
      <c r="J25332" s="33"/>
    </row>
    <row r="25333" spans="10:10" ht="15" customHeight="1" x14ac:dyDescent="0.3">
      <c r="J25333" s="33"/>
    </row>
    <row r="25334" spans="10:10" ht="15" customHeight="1" x14ac:dyDescent="0.3">
      <c r="J25334" s="33"/>
    </row>
    <row r="25335" spans="10:10" ht="15" customHeight="1" x14ac:dyDescent="0.3">
      <c r="J25335" s="33"/>
    </row>
    <row r="25336" spans="10:10" ht="15" customHeight="1" x14ac:dyDescent="0.3">
      <c r="J25336" s="33"/>
    </row>
    <row r="25337" spans="10:10" ht="15" customHeight="1" x14ac:dyDescent="0.3">
      <c r="J25337" s="33"/>
    </row>
    <row r="25338" spans="10:10" ht="15" customHeight="1" x14ac:dyDescent="0.3">
      <c r="J25338" s="33"/>
    </row>
    <row r="25339" spans="10:10" ht="15" customHeight="1" x14ac:dyDescent="0.3">
      <c r="J25339" s="33"/>
    </row>
    <row r="25340" spans="10:10" ht="15" customHeight="1" x14ac:dyDescent="0.3">
      <c r="J25340" s="33"/>
    </row>
    <row r="25341" spans="10:10" ht="15" customHeight="1" x14ac:dyDescent="0.3">
      <c r="J25341" s="33"/>
    </row>
    <row r="25342" spans="10:10" ht="15" customHeight="1" x14ac:dyDescent="0.3">
      <c r="J25342" s="33"/>
    </row>
    <row r="25343" spans="10:10" ht="15" customHeight="1" x14ac:dyDescent="0.3">
      <c r="J25343" s="33"/>
    </row>
    <row r="25344" spans="10:10" ht="15" customHeight="1" x14ac:dyDescent="0.3">
      <c r="J25344" s="33"/>
    </row>
    <row r="25345" spans="10:10" ht="15" customHeight="1" x14ac:dyDescent="0.3">
      <c r="J25345" s="33"/>
    </row>
    <row r="25346" spans="10:10" ht="15" customHeight="1" x14ac:dyDescent="0.3">
      <c r="J25346" s="33"/>
    </row>
    <row r="25347" spans="10:10" ht="15" customHeight="1" x14ac:dyDescent="0.3">
      <c r="J25347" s="33"/>
    </row>
    <row r="25348" spans="10:10" ht="15" customHeight="1" x14ac:dyDescent="0.3">
      <c r="J25348" s="33"/>
    </row>
    <row r="25349" spans="10:10" ht="15" customHeight="1" x14ac:dyDescent="0.3">
      <c r="J25349" s="33"/>
    </row>
    <row r="25350" spans="10:10" ht="15" customHeight="1" x14ac:dyDescent="0.3">
      <c r="J25350" s="33"/>
    </row>
    <row r="25351" spans="10:10" ht="15" customHeight="1" x14ac:dyDescent="0.3">
      <c r="J25351" s="33"/>
    </row>
    <row r="25352" spans="10:10" ht="15" customHeight="1" x14ac:dyDescent="0.3">
      <c r="J25352" s="33"/>
    </row>
    <row r="25353" spans="10:10" ht="15" customHeight="1" x14ac:dyDescent="0.3">
      <c r="J25353" s="33"/>
    </row>
    <row r="25354" spans="10:10" ht="15" customHeight="1" x14ac:dyDescent="0.3">
      <c r="J25354" s="33"/>
    </row>
    <row r="25355" spans="10:10" ht="15" customHeight="1" x14ac:dyDescent="0.3">
      <c r="J25355" s="33"/>
    </row>
    <row r="25356" spans="10:10" ht="15" customHeight="1" x14ac:dyDescent="0.3">
      <c r="J25356" s="33"/>
    </row>
    <row r="25357" spans="10:10" ht="15" customHeight="1" x14ac:dyDescent="0.3">
      <c r="J25357" s="33"/>
    </row>
    <row r="25358" spans="10:10" ht="15" customHeight="1" x14ac:dyDescent="0.3">
      <c r="J25358" s="33"/>
    </row>
    <row r="25359" spans="10:10" ht="15" customHeight="1" x14ac:dyDescent="0.3">
      <c r="J25359" s="33"/>
    </row>
    <row r="25360" spans="10:10" ht="15" customHeight="1" x14ac:dyDescent="0.3">
      <c r="J25360" s="33"/>
    </row>
    <row r="25361" spans="10:10" ht="15" customHeight="1" x14ac:dyDescent="0.3">
      <c r="J25361" s="33"/>
    </row>
    <row r="25362" spans="10:10" ht="15" customHeight="1" x14ac:dyDescent="0.3">
      <c r="J25362" s="33"/>
    </row>
    <row r="25363" spans="10:10" ht="15" customHeight="1" x14ac:dyDescent="0.3">
      <c r="J25363" s="33"/>
    </row>
    <row r="25364" spans="10:10" ht="15" customHeight="1" x14ac:dyDescent="0.3">
      <c r="J25364" s="33"/>
    </row>
    <row r="25365" spans="10:10" ht="15" customHeight="1" x14ac:dyDescent="0.3">
      <c r="J25365" s="33"/>
    </row>
    <row r="25366" spans="10:10" ht="15" customHeight="1" x14ac:dyDescent="0.3">
      <c r="J25366" s="33"/>
    </row>
    <row r="25367" spans="10:10" ht="15" customHeight="1" x14ac:dyDescent="0.3">
      <c r="J25367" s="33"/>
    </row>
    <row r="25368" spans="10:10" ht="15" customHeight="1" x14ac:dyDescent="0.3">
      <c r="J25368" s="33"/>
    </row>
    <row r="25369" spans="10:10" ht="15" customHeight="1" x14ac:dyDescent="0.3">
      <c r="J25369" s="33"/>
    </row>
    <row r="25370" spans="10:10" ht="15" customHeight="1" x14ac:dyDescent="0.3">
      <c r="J25370" s="33"/>
    </row>
    <row r="25371" spans="10:10" ht="15" customHeight="1" x14ac:dyDescent="0.3">
      <c r="J25371" s="33"/>
    </row>
    <row r="25372" spans="10:10" ht="15" customHeight="1" x14ac:dyDescent="0.3">
      <c r="J25372" s="33"/>
    </row>
    <row r="25373" spans="10:10" ht="15" customHeight="1" x14ac:dyDescent="0.3">
      <c r="J25373" s="33"/>
    </row>
    <row r="25374" spans="10:10" ht="15" customHeight="1" x14ac:dyDescent="0.3">
      <c r="J25374" s="33"/>
    </row>
    <row r="25375" spans="10:10" ht="15" customHeight="1" x14ac:dyDescent="0.3">
      <c r="J25375" s="33"/>
    </row>
    <row r="25376" spans="10:10" ht="15" customHeight="1" x14ac:dyDescent="0.3">
      <c r="J25376" s="33"/>
    </row>
    <row r="25377" spans="10:10" ht="15" customHeight="1" x14ac:dyDescent="0.3">
      <c r="J25377" s="33"/>
    </row>
    <row r="25378" spans="10:10" ht="15" customHeight="1" x14ac:dyDescent="0.3">
      <c r="J25378" s="33"/>
    </row>
    <row r="25379" spans="10:10" ht="15" customHeight="1" x14ac:dyDescent="0.3">
      <c r="J25379" s="33"/>
    </row>
    <row r="25380" spans="10:10" ht="15" customHeight="1" x14ac:dyDescent="0.3">
      <c r="J25380" s="33"/>
    </row>
    <row r="25381" spans="10:10" ht="15" customHeight="1" x14ac:dyDescent="0.3">
      <c r="J25381" s="33"/>
    </row>
    <row r="25382" spans="10:10" ht="15" customHeight="1" x14ac:dyDescent="0.3">
      <c r="J25382" s="33"/>
    </row>
    <row r="25383" spans="10:10" ht="15" customHeight="1" x14ac:dyDescent="0.3">
      <c r="J25383" s="33"/>
    </row>
    <row r="25384" spans="10:10" ht="15" customHeight="1" x14ac:dyDescent="0.3">
      <c r="J25384" s="33"/>
    </row>
    <row r="25385" spans="10:10" ht="15" customHeight="1" x14ac:dyDescent="0.3">
      <c r="J25385" s="33"/>
    </row>
    <row r="25386" spans="10:10" ht="15" customHeight="1" x14ac:dyDescent="0.3">
      <c r="J25386" s="33"/>
    </row>
    <row r="25387" spans="10:10" ht="15" customHeight="1" x14ac:dyDescent="0.3">
      <c r="J25387" s="33"/>
    </row>
    <row r="25388" spans="10:10" ht="15" customHeight="1" x14ac:dyDescent="0.3">
      <c r="J25388" s="33"/>
    </row>
    <row r="25389" spans="10:10" ht="15" customHeight="1" x14ac:dyDescent="0.3">
      <c r="J25389" s="33"/>
    </row>
    <row r="25390" spans="10:10" ht="15" customHeight="1" x14ac:dyDescent="0.3">
      <c r="J25390" s="33"/>
    </row>
    <row r="25391" spans="10:10" ht="15" customHeight="1" x14ac:dyDescent="0.3">
      <c r="J25391" s="33"/>
    </row>
    <row r="25392" spans="10:10" ht="15" customHeight="1" x14ac:dyDescent="0.3">
      <c r="J25392" s="33"/>
    </row>
    <row r="25393" spans="10:10" ht="15" customHeight="1" x14ac:dyDescent="0.3">
      <c r="J25393" s="33"/>
    </row>
    <row r="25394" spans="10:10" ht="15" customHeight="1" x14ac:dyDescent="0.3">
      <c r="J25394" s="33"/>
    </row>
    <row r="25395" spans="10:10" ht="15" customHeight="1" x14ac:dyDescent="0.3">
      <c r="J25395" s="33"/>
    </row>
    <row r="25396" spans="10:10" ht="15" customHeight="1" x14ac:dyDescent="0.3">
      <c r="J25396" s="33"/>
    </row>
    <row r="25397" spans="10:10" ht="15" customHeight="1" x14ac:dyDescent="0.3">
      <c r="J25397" s="33"/>
    </row>
    <row r="25398" spans="10:10" ht="15" customHeight="1" x14ac:dyDescent="0.3">
      <c r="J25398" s="33"/>
    </row>
    <row r="25399" spans="10:10" ht="15" customHeight="1" x14ac:dyDescent="0.3">
      <c r="J25399" s="33"/>
    </row>
    <row r="25400" spans="10:10" ht="15" customHeight="1" x14ac:dyDescent="0.3">
      <c r="J25400" s="33"/>
    </row>
    <row r="25401" spans="10:10" ht="15" customHeight="1" x14ac:dyDescent="0.3">
      <c r="J25401" s="33"/>
    </row>
    <row r="25402" spans="10:10" ht="15" customHeight="1" x14ac:dyDescent="0.3">
      <c r="J25402" s="33"/>
    </row>
    <row r="25403" spans="10:10" ht="15" customHeight="1" x14ac:dyDescent="0.3">
      <c r="J25403" s="33"/>
    </row>
    <row r="25404" spans="10:10" ht="15" customHeight="1" x14ac:dyDescent="0.3">
      <c r="J25404" s="33"/>
    </row>
    <row r="25405" spans="10:10" ht="15" customHeight="1" x14ac:dyDescent="0.3">
      <c r="J25405" s="33"/>
    </row>
    <row r="25406" spans="10:10" ht="15" customHeight="1" x14ac:dyDescent="0.3">
      <c r="J25406" s="33"/>
    </row>
    <row r="25407" spans="10:10" ht="15" customHeight="1" x14ac:dyDescent="0.3">
      <c r="J25407" s="33"/>
    </row>
    <row r="25408" spans="10:10" ht="15" customHeight="1" x14ac:dyDescent="0.3">
      <c r="J25408" s="33"/>
    </row>
    <row r="25409" spans="10:10" ht="15" customHeight="1" x14ac:dyDescent="0.3">
      <c r="J25409" s="33"/>
    </row>
    <row r="25410" spans="10:10" ht="15" customHeight="1" x14ac:dyDescent="0.3">
      <c r="J25410" s="33"/>
    </row>
    <row r="25411" spans="10:10" ht="15" customHeight="1" x14ac:dyDescent="0.3">
      <c r="J25411" s="33"/>
    </row>
    <row r="25412" spans="10:10" ht="15" customHeight="1" x14ac:dyDescent="0.3">
      <c r="J25412" s="33"/>
    </row>
    <row r="25413" spans="10:10" ht="15" customHeight="1" x14ac:dyDescent="0.3">
      <c r="J25413" s="33"/>
    </row>
    <row r="25414" spans="10:10" ht="15" customHeight="1" x14ac:dyDescent="0.3">
      <c r="J25414" s="33"/>
    </row>
    <row r="25415" spans="10:10" ht="15" customHeight="1" x14ac:dyDescent="0.3">
      <c r="J25415" s="33"/>
    </row>
    <row r="25416" spans="10:10" ht="15" customHeight="1" x14ac:dyDescent="0.3">
      <c r="J25416" s="33"/>
    </row>
    <row r="25417" spans="10:10" ht="15" customHeight="1" x14ac:dyDescent="0.3">
      <c r="J25417" s="33"/>
    </row>
    <row r="25418" spans="10:10" ht="15" customHeight="1" x14ac:dyDescent="0.3">
      <c r="J25418" s="33"/>
    </row>
    <row r="25419" spans="10:10" ht="15" customHeight="1" x14ac:dyDescent="0.3">
      <c r="J25419" s="33"/>
    </row>
    <row r="25420" spans="10:10" ht="15" customHeight="1" x14ac:dyDescent="0.3">
      <c r="J25420" s="33"/>
    </row>
    <row r="25421" spans="10:10" ht="15" customHeight="1" x14ac:dyDescent="0.3">
      <c r="J25421" s="33"/>
    </row>
    <row r="25422" spans="10:10" ht="15" customHeight="1" x14ac:dyDescent="0.3">
      <c r="J25422" s="33"/>
    </row>
    <row r="25423" spans="10:10" ht="15" customHeight="1" x14ac:dyDescent="0.3">
      <c r="J25423" s="33"/>
    </row>
    <row r="25424" spans="10:10" ht="15" customHeight="1" x14ac:dyDescent="0.3">
      <c r="J25424" s="33"/>
    </row>
    <row r="25425" spans="10:10" ht="15" customHeight="1" x14ac:dyDescent="0.3">
      <c r="J25425" s="33"/>
    </row>
    <row r="25426" spans="10:10" ht="15" customHeight="1" x14ac:dyDescent="0.3">
      <c r="J25426" s="33"/>
    </row>
    <row r="25427" spans="10:10" ht="15" customHeight="1" x14ac:dyDescent="0.3">
      <c r="J25427" s="33"/>
    </row>
    <row r="25428" spans="10:10" ht="15" customHeight="1" x14ac:dyDescent="0.3">
      <c r="J25428" s="33"/>
    </row>
    <row r="25429" spans="10:10" ht="15" customHeight="1" x14ac:dyDescent="0.3">
      <c r="J25429" s="33"/>
    </row>
    <row r="25430" spans="10:10" ht="15" customHeight="1" x14ac:dyDescent="0.3">
      <c r="J25430" s="33"/>
    </row>
    <row r="25431" spans="10:10" ht="15" customHeight="1" x14ac:dyDescent="0.3">
      <c r="J25431" s="33"/>
    </row>
    <row r="25432" spans="10:10" ht="15" customHeight="1" x14ac:dyDescent="0.3">
      <c r="J25432" s="33"/>
    </row>
    <row r="25433" spans="10:10" ht="15" customHeight="1" x14ac:dyDescent="0.3">
      <c r="J25433" s="33"/>
    </row>
    <row r="25434" spans="10:10" ht="15" customHeight="1" x14ac:dyDescent="0.3">
      <c r="J25434" s="33"/>
    </row>
    <row r="25435" spans="10:10" ht="15" customHeight="1" x14ac:dyDescent="0.3">
      <c r="J25435" s="33"/>
    </row>
    <row r="25436" spans="10:10" ht="15" customHeight="1" x14ac:dyDescent="0.3">
      <c r="J25436" s="33"/>
    </row>
    <row r="25437" spans="10:10" ht="15" customHeight="1" x14ac:dyDescent="0.3">
      <c r="J25437" s="33"/>
    </row>
    <row r="25438" spans="10:10" ht="15" customHeight="1" x14ac:dyDescent="0.3">
      <c r="J25438" s="33"/>
    </row>
    <row r="25439" spans="10:10" ht="15" customHeight="1" x14ac:dyDescent="0.3">
      <c r="J25439" s="33"/>
    </row>
    <row r="25440" spans="10:10" ht="15" customHeight="1" x14ac:dyDescent="0.3">
      <c r="J25440" s="33"/>
    </row>
    <row r="25441" spans="10:10" ht="15" customHeight="1" x14ac:dyDescent="0.3">
      <c r="J25441" s="33"/>
    </row>
    <row r="25442" spans="10:10" ht="15" customHeight="1" x14ac:dyDescent="0.3">
      <c r="J25442" s="33"/>
    </row>
    <row r="25443" spans="10:10" ht="15" customHeight="1" x14ac:dyDescent="0.3">
      <c r="J25443" s="33"/>
    </row>
    <row r="25444" spans="10:10" ht="15" customHeight="1" x14ac:dyDescent="0.3">
      <c r="J25444" s="33"/>
    </row>
    <row r="25445" spans="10:10" ht="15" customHeight="1" x14ac:dyDescent="0.3">
      <c r="J25445" s="33"/>
    </row>
    <row r="25446" spans="10:10" ht="15" customHeight="1" x14ac:dyDescent="0.3">
      <c r="J25446" s="33"/>
    </row>
    <row r="25447" spans="10:10" ht="15" customHeight="1" x14ac:dyDescent="0.3">
      <c r="J25447" s="33"/>
    </row>
    <row r="25448" spans="10:10" ht="15" customHeight="1" x14ac:dyDescent="0.3">
      <c r="J25448" s="33"/>
    </row>
    <row r="25449" spans="10:10" ht="15" customHeight="1" x14ac:dyDescent="0.3">
      <c r="J25449" s="33"/>
    </row>
    <row r="25450" spans="10:10" ht="15" customHeight="1" x14ac:dyDescent="0.3">
      <c r="J25450" s="33"/>
    </row>
    <row r="25451" spans="10:10" ht="15" customHeight="1" x14ac:dyDescent="0.3">
      <c r="J25451" s="33"/>
    </row>
    <row r="25452" spans="10:10" ht="15" customHeight="1" x14ac:dyDescent="0.3">
      <c r="J25452" s="33"/>
    </row>
    <row r="25453" spans="10:10" ht="15" customHeight="1" x14ac:dyDescent="0.3">
      <c r="J25453" s="33"/>
    </row>
    <row r="25454" spans="10:10" ht="15" customHeight="1" x14ac:dyDescent="0.3">
      <c r="J25454" s="33"/>
    </row>
    <row r="25455" spans="10:10" ht="15" customHeight="1" x14ac:dyDescent="0.3">
      <c r="J25455" s="33"/>
    </row>
    <row r="25456" spans="10:10" ht="15" customHeight="1" x14ac:dyDescent="0.3">
      <c r="J25456" s="33"/>
    </row>
    <row r="25457" spans="10:10" ht="15" customHeight="1" x14ac:dyDescent="0.3">
      <c r="J25457" s="33"/>
    </row>
    <row r="25458" spans="10:10" ht="15" customHeight="1" x14ac:dyDescent="0.3">
      <c r="J25458" s="33"/>
    </row>
    <row r="25459" spans="10:10" ht="15" customHeight="1" x14ac:dyDescent="0.3">
      <c r="J25459" s="33"/>
    </row>
    <row r="25460" spans="10:10" ht="15" customHeight="1" x14ac:dyDescent="0.3">
      <c r="J25460" s="33"/>
    </row>
    <row r="25461" spans="10:10" ht="15" customHeight="1" x14ac:dyDescent="0.3">
      <c r="J25461" s="33"/>
    </row>
    <row r="25462" spans="10:10" ht="15" customHeight="1" x14ac:dyDescent="0.3">
      <c r="J25462" s="33"/>
    </row>
    <row r="25463" spans="10:10" ht="15" customHeight="1" x14ac:dyDescent="0.3">
      <c r="J25463" s="33"/>
    </row>
    <row r="25464" spans="10:10" ht="15" customHeight="1" x14ac:dyDescent="0.3">
      <c r="J25464" s="33"/>
    </row>
    <row r="25465" spans="10:10" ht="15" customHeight="1" x14ac:dyDescent="0.3">
      <c r="J25465" s="33"/>
    </row>
    <row r="25466" spans="10:10" ht="15" customHeight="1" x14ac:dyDescent="0.3">
      <c r="J25466" s="33"/>
    </row>
    <row r="25467" spans="10:10" ht="15" customHeight="1" x14ac:dyDescent="0.3">
      <c r="J25467" s="33"/>
    </row>
    <row r="25468" spans="10:10" ht="15" customHeight="1" x14ac:dyDescent="0.3">
      <c r="J25468" s="33"/>
    </row>
    <row r="25469" spans="10:10" ht="15" customHeight="1" x14ac:dyDescent="0.3">
      <c r="J25469" s="33"/>
    </row>
    <row r="25470" spans="10:10" ht="15" customHeight="1" x14ac:dyDescent="0.3">
      <c r="J25470" s="33"/>
    </row>
    <row r="25471" spans="10:10" ht="15" customHeight="1" x14ac:dyDescent="0.3">
      <c r="J25471" s="33"/>
    </row>
    <row r="25472" spans="10:10" ht="15" customHeight="1" x14ac:dyDescent="0.3">
      <c r="J25472" s="33"/>
    </row>
    <row r="25473" spans="10:10" ht="15" customHeight="1" x14ac:dyDescent="0.3">
      <c r="J25473" s="33"/>
    </row>
    <row r="25474" spans="10:10" ht="15" customHeight="1" x14ac:dyDescent="0.3">
      <c r="J25474" s="33"/>
    </row>
    <row r="25475" spans="10:10" ht="15" customHeight="1" x14ac:dyDescent="0.3">
      <c r="J25475" s="33"/>
    </row>
    <row r="25476" spans="10:10" ht="15" customHeight="1" x14ac:dyDescent="0.3">
      <c r="J25476" s="33"/>
    </row>
    <row r="25477" spans="10:10" ht="15" customHeight="1" x14ac:dyDescent="0.3">
      <c r="J25477" s="33"/>
    </row>
    <row r="25478" spans="10:10" ht="15" customHeight="1" x14ac:dyDescent="0.3">
      <c r="J25478" s="33"/>
    </row>
    <row r="25479" spans="10:10" ht="15" customHeight="1" x14ac:dyDescent="0.3">
      <c r="J25479" s="33"/>
    </row>
    <row r="25480" spans="10:10" ht="15" customHeight="1" x14ac:dyDescent="0.3">
      <c r="J25480" s="33"/>
    </row>
    <row r="25481" spans="10:10" ht="15" customHeight="1" x14ac:dyDescent="0.3">
      <c r="J25481" s="33"/>
    </row>
    <row r="25482" spans="10:10" ht="15" customHeight="1" x14ac:dyDescent="0.3">
      <c r="J25482" s="33"/>
    </row>
    <row r="25483" spans="10:10" ht="15" customHeight="1" x14ac:dyDescent="0.3">
      <c r="J25483" s="33"/>
    </row>
    <row r="25484" spans="10:10" ht="15" customHeight="1" x14ac:dyDescent="0.3">
      <c r="J25484" s="33"/>
    </row>
    <row r="25485" spans="10:10" ht="15" customHeight="1" x14ac:dyDescent="0.3">
      <c r="J25485" s="33"/>
    </row>
    <row r="25486" spans="10:10" ht="15" customHeight="1" x14ac:dyDescent="0.3">
      <c r="J25486" s="33"/>
    </row>
    <row r="25487" spans="10:10" ht="15" customHeight="1" x14ac:dyDescent="0.3">
      <c r="J25487" s="33"/>
    </row>
    <row r="25488" spans="10:10" ht="15" customHeight="1" x14ac:dyDescent="0.3">
      <c r="J25488" s="33"/>
    </row>
    <row r="25489" spans="10:10" ht="15" customHeight="1" x14ac:dyDescent="0.3">
      <c r="J25489" s="33"/>
    </row>
    <row r="25490" spans="10:10" ht="15" customHeight="1" x14ac:dyDescent="0.3">
      <c r="J25490" s="33"/>
    </row>
    <row r="25491" spans="10:10" ht="15" customHeight="1" x14ac:dyDescent="0.3">
      <c r="J25491" s="33"/>
    </row>
    <row r="25492" spans="10:10" ht="15" customHeight="1" x14ac:dyDescent="0.3">
      <c r="J25492" s="33"/>
    </row>
    <row r="25493" spans="10:10" ht="15" customHeight="1" x14ac:dyDescent="0.3">
      <c r="J25493" s="33"/>
    </row>
    <row r="25494" spans="10:10" ht="15" customHeight="1" x14ac:dyDescent="0.3">
      <c r="J25494" s="33"/>
    </row>
    <row r="25495" spans="10:10" ht="15" customHeight="1" x14ac:dyDescent="0.3">
      <c r="J25495" s="33"/>
    </row>
    <row r="25496" spans="10:10" ht="15" customHeight="1" x14ac:dyDescent="0.3">
      <c r="J25496" s="33"/>
    </row>
    <row r="25497" spans="10:10" ht="15" customHeight="1" x14ac:dyDescent="0.3">
      <c r="J25497" s="33"/>
    </row>
    <row r="25498" spans="10:10" ht="15" customHeight="1" x14ac:dyDescent="0.3">
      <c r="J25498" s="33"/>
    </row>
    <row r="25499" spans="10:10" ht="15" customHeight="1" x14ac:dyDescent="0.3">
      <c r="J25499" s="33"/>
    </row>
    <row r="25500" spans="10:10" ht="15" customHeight="1" x14ac:dyDescent="0.3">
      <c r="J25500" s="33"/>
    </row>
    <row r="25501" spans="10:10" ht="15" customHeight="1" x14ac:dyDescent="0.3">
      <c r="J25501" s="33"/>
    </row>
    <row r="25502" spans="10:10" ht="15" customHeight="1" x14ac:dyDescent="0.3">
      <c r="J25502" s="33"/>
    </row>
    <row r="25503" spans="10:10" ht="15" customHeight="1" x14ac:dyDescent="0.3">
      <c r="J25503" s="33"/>
    </row>
    <row r="25504" spans="10:10" ht="15" customHeight="1" x14ac:dyDescent="0.3">
      <c r="J25504" s="33"/>
    </row>
    <row r="25505" spans="10:10" ht="15" customHeight="1" x14ac:dyDescent="0.3">
      <c r="J25505" s="33"/>
    </row>
    <row r="25506" spans="10:10" ht="15" customHeight="1" x14ac:dyDescent="0.3">
      <c r="J25506" s="33"/>
    </row>
    <row r="25507" spans="10:10" ht="15" customHeight="1" x14ac:dyDescent="0.3">
      <c r="J25507" s="33"/>
    </row>
    <row r="25508" spans="10:10" ht="15" customHeight="1" x14ac:dyDescent="0.3">
      <c r="J25508" s="33"/>
    </row>
    <row r="25509" spans="10:10" ht="15" customHeight="1" x14ac:dyDescent="0.3">
      <c r="J25509" s="33"/>
    </row>
    <row r="25510" spans="10:10" ht="15" customHeight="1" x14ac:dyDescent="0.3">
      <c r="J25510" s="33"/>
    </row>
    <row r="25511" spans="10:10" ht="15" customHeight="1" x14ac:dyDescent="0.3">
      <c r="J25511" s="33"/>
    </row>
    <row r="25512" spans="10:10" ht="15" customHeight="1" x14ac:dyDescent="0.3">
      <c r="J25512" s="33"/>
    </row>
    <row r="25513" spans="10:10" ht="15" customHeight="1" x14ac:dyDescent="0.3">
      <c r="J25513" s="33"/>
    </row>
    <row r="25514" spans="10:10" ht="15" customHeight="1" x14ac:dyDescent="0.3">
      <c r="J25514" s="33"/>
    </row>
    <row r="25515" spans="10:10" ht="15" customHeight="1" x14ac:dyDescent="0.3">
      <c r="J25515" s="33"/>
    </row>
    <row r="25516" spans="10:10" ht="15" customHeight="1" x14ac:dyDescent="0.3">
      <c r="J25516" s="33"/>
    </row>
    <row r="25517" spans="10:10" ht="15" customHeight="1" x14ac:dyDescent="0.3">
      <c r="J25517" s="33"/>
    </row>
    <row r="25518" spans="10:10" ht="15" customHeight="1" x14ac:dyDescent="0.3">
      <c r="J25518" s="33"/>
    </row>
    <row r="25519" spans="10:10" ht="15" customHeight="1" x14ac:dyDescent="0.3">
      <c r="J25519" s="33"/>
    </row>
    <row r="25520" spans="10:10" ht="15" customHeight="1" x14ac:dyDescent="0.3">
      <c r="J25520" s="33"/>
    </row>
    <row r="25521" spans="10:10" ht="15" customHeight="1" x14ac:dyDescent="0.3">
      <c r="J25521" s="33"/>
    </row>
    <row r="25522" spans="10:10" ht="15" customHeight="1" x14ac:dyDescent="0.3">
      <c r="J25522" s="33"/>
    </row>
    <row r="25523" spans="10:10" ht="15" customHeight="1" x14ac:dyDescent="0.3">
      <c r="J25523" s="33"/>
    </row>
    <row r="25524" spans="10:10" ht="15" customHeight="1" x14ac:dyDescent="0.3">
      <c r="J25524" s="33"/>
    </row>
    <row r="25525" spans="10:10" ht="15" customHeight="1" x14ac:dyDescent="0.3">
      <c r="J25525" s="33"/>
    </row>
    <row r="25526" spans="10:10" ht="15" customHeight="1" x14ac:dyDescent="0.3">
      <c r="J25526" s="33"/>
    </row>
    <row r="25527" spans="10:10" ht="15" customHeight="1" x14ac:dyDescent="0.3">
      <c r="J25527" s="33"/>
    </row>
    <row r="25528" spans="10:10" ht="15" customHeight="1" x14ac:dyDescent="0.3">
      <c r="J25528" s="33"/>
    </row>
    <row r="25529" spans="10:10" ht="15" customHeight="1" x14ac:dyDescent="0.3">
      <c r="J25529" s="33"/>
    </row>
    <row r="25530" spans="10:10" ht="15" customHeight="1" x14ac:dyDescent="0.3">
      <c r="J25530" s="33"/>
    </row>
    <row r="25531" spans="10:10" ht="15" customHeight="1" x14ac:dyDescent="0.3">
      <c r="J25531" s="33"/>
    </row>
    <row r="25532" spans="10:10" ht="15" customHeight="1" x14ac:dyDescent="0.3">
      <c r="J25532" s="33"/>
    </row>
    <row r="25533" spans="10:10" ht="15" customHeight="1" x14ac:dyDescent="0.3">
      <c r="J25533" s="33"/>
    </row>
    <row r="25534" spans="10:10" ht="15" customHeight="1" x14ac:dyDescent="0.3">
      <c r="J25534" s="33"/>
    </row>
    <row r="25535" spans="10:10" ht="15" customHeight="1" x14ac:dyDescent="0.3">
      <c r="J25535" s="33"/>
    </row>
    <row r="25536" spans="10:10" ht="15" customHeight="1" x14ac:dyDescent="0.3">
      <c r="J25536" s="33"/>
    </row>
    <row r="25537" spans="10:10" ht="15" customHeight="1" x14ac:dyDescent="0.3">
      <c r="J25537" s="33"/>
    </row>
    <row r="25538" spans="10:10" ht="15" customHeight="1" x14ac:dyDescent="0.3">
      <c r="J25538" s="33"/>
    </row>
    <row r="25539" spans="10:10" ht="15" customHeight="1" x14ac:dyDescent="0.3">
      <c r="J25539" s="33"/>
    </row>
    <row r="25540" spans="10:10" ht="15" customHeight="1" x14ac:dyDescent="0.3">
      <c r="J25540" s="33"/>
    </row>
    <row r="25541" spans="10:10" ht="15" customHeight="1" x14ac:dyDescent="0.3">
      <c r="J25541" s="33"/>
    </row>
    <row r="25542" spans="10:10" ht="15" customHeight="1" x14ac:dyDescent="0.3">
      <c r="J25542" s="33"/>
    </row>
    <row r="25543" spans="10:10" ht="15" customHeight="1" x14ac:dyDescent="0.3">
      <c r="J25543" s="33"/>
    </row>
    <row r="25544" spans="10:10" ht="15" customHeight="1" x14ac:dyDescent="0.3">
      <c r="J25544" s="33"/>
    </row>
    <row r="25545" spans="10:10" ht="15" customHeight="1" x14ac:dyDescent="0.3">
      <c r="J25545" s="33"/>
    </row>
    <row r="25546" spans="10:10" ht="15" customHeight="1" x14ac:dyDescent="0.3">
      <c r="J25546" s="33"/>
    </row>
    <row r="25547" spans="10:10" ht="15" customHeight="1" x14ac:dyDescent="0.3">
      <c r="J25547" s="33"/>
    </row>
    <row r="25548" spans="10:10" ht="15" customHeight="1" x14ac:dyDescent="0.3">
      <c r="J25548" s="33"/>
    </row>
    <row r="25549" spans="10:10" ht="15" customHeight="1" x14ac:dyDescent="0.3">
      <c r="J25549" s="33"/>
    </row>
    <row r="25550" spans="10:10" ht="15" customHeight="1" x14ac:dyDescent="0.3">
      <c r="J25550" s="33"/>
    </row>
    <row r="25551" spans="10:10" ht="15" customHeight="1" x14ac:dyDescent="0.3">
      <c r="J25551" s="33"/>
    </row>
    <row r="25552" spans="10:10" ht="15" customHeight="1" x14ac:dyDescent="0.3">
      <c r="J25552" s="33"/>
    </row>
    <row r="25553" spans="10:10" ht="15" customHeight="1" x14ac:dyDescent="0.3">
      <c r="J25553" s="33"/>
    </row>
    <row r="25554" spans="10:10" ht="15" customHeight="1" x14ac:dyDescent="0.3">
      <c r="J25554" s="33"/>
    </row>
    <row r="25555" spans="10:10" ht="15" customHeight="1" x14ac:dyDescent="0.3">
      <c r="J25555" s="33"/>
    </row>
    <row r="25556" spans="10:10" ht="15" customHeight="1" x14ac:dyDescent="0.3">
      <c r="J25556" s="33"/>
    </row>
    <row r="25557" spans="10:10" ht="15" customHeight="1" x14ac:dyDescent="0.3">
      <c r="J25557" s="33"/>
    </row>
    <row r="25558" spans="10:10" ht="15" customHeight="1" x14ac:dyDescent="0.3">
      <c r="J25558" s="33"/>
    </row>
    <row r="25559" spans="10:10" ht="15" customHeight="1" x14ac:dyDescent="0.3">
      <c r="J25559" s="33"/>
    </row>
    <row r="25560" spans="10:10" ht="15" customHeight="1" x14ac:dyDescent="0.3">
      <c r="J25560" s="33"/>
    </row>
    <row r="25561" spans="10:10" ht="15" customHeight="1" x14ac:dyDescent="0.3">
      <c r="J25561" s="33"/>
    </row>
    <row r="25562" spans="10:10" ht="15" customHeight="1" x14ac:dyDescent="0.3">
      <c r="J25562" s="33"/>
    </row>
    <row r="25563" spans="10:10" ht="15" customHeight="1" x14ac:dyDescent="0.3">
      <c r="J25563" s="33"/>
    </row>
    <row r="25564" spans="10:10" ht="15" customHeight="1" x14ac:dyDescent="0.3">
      <c r="J25564" s="33"/>
    </row>
    <row r="25565" spans="10:10" ht="15" customHeight="1" x14ac:dyDescent="0.3">
      <c r="J25565" s="33"/>
    </row>
    <row r="25566" spans="10:10" ht="15" customHeight="1" x14ac:dyDescent="0.3">
      <c r="J25566" s="33"/>
    </row>
    <row r="25567" spans="10:10" ht="15" customHeight="1" x14ac:dyDescent="0.3">
      <c r="J25567" s="33"/>
    </row>
    <row r="25568" spans="10:10" ht="15" customHeight="1" x14ac:dyDescent="0.3">
      <c r="J25568" s="33"/>
    </row>
    <row r="25569" spans="10:10" ht="15" customHeight="1" x14ac:dyDescent="0.3">
      <c r="J25569" s="33"/>
    </row>
    <row r="25570" spans="10:10" ht="15" customHeight="1" x14ac:dyDescent="0.3">
      <c r="J25570" s="33"/>
    </row>
    <row r="25571" spans="10:10" ht="15" customHeight="1" x14ac:dyDescent="0.3">
      <c r="J25571" s="33"/>
    </row>
    <row r="25572" spans="10:10" ht="15" customHeight="1" x14ac:dyDescent="0.3">
      <c r="J25572" s="33"/>
    </row>
    <row r="25573" spans="10:10" ht="15" customHeight="1" x14ac:dyDescent="0.3">
      <c r="J25573" s="33"/>
    </row>
    <row r="25574" spans="10:10" ht="15" customHeight="1" x14ac:dyDescent="0.3">
      <c r="J25574" s="33"/>
    </row>
    <row r="25575" spans="10:10" ht="15" customHeight="1" x14ac:dyDescent="0.3">
      <c r="J25575" s="33"/>
    </row>
    <row r="25576" spans="10:10" ht="15" customHeight="1" x14ac:dyDescent="0.3">
      <c r="J25576" s="33"/>
    </row>
    <row r="25577" spans="10:10" ht="15" customHeight="1" x14ac:dyDescent="0.3">
      <c r="J25577" s="33"/>
    </row>
    <row r="25578" spans="10:10" ht="15" customHeight="1" x14ac:dyDescent="0.3">
      <c r="J25578" s="33"/>
    </row>
    <row r="25579" spans="10:10" ht="15" customHeight="1" x14ac:dyDescent="0.3">
      <c r="J25579" s="33"/>
    </row>
    <row r="25580" spans="10:10" ht="15" customHeight="1" x14ac:dyDescent="0.3">
      <c r="J25580" s="33"/>
    </row>
    <row r="25581" spans="10:10" ht="15" customHeight="1" x14ac:dyDescent="0.3">
      <c r="J25581" s="33"/>
    </row>
    <row r="25582" spans="10:10" ht="15" customHeight="1" x14ac:dyDescent="0.3">
      <c r="J25582" s="33"/>
    </row>
    <row r="25583" spans="10:10" ht="15" customHeight="1" x14ac:dyDescent="0.3">
      <c r="J25583" s="33"/>
    </row>
    <row r="25584" spans="10:10" ht="15" customHeight="1" x14ac:dyDescent="0.3">
      <c r="J25584" s="33"/>
    </row>
    <row r="25585" spans="10:10" ht="15" customHeight="1" x14ac:dyDescent="0.3">
      <c r="J25585" s="33"/>
    </row>
    <row r="25586" spans="10:10" ht="15" customHeight="1" x14ac:dyDescent="0.3">
      <c r="J25586" s="33"/>
    </row>
    <row r="25587" spans="10:10" ht="15" customHeight="1" x14ac:dyDescent="0.3">
      <c r="J25587" s="33"/>
    </row>
    <row r="25588" spans="10:10" ht="15" customHeight="1" x14ac:dyDescent="0.3">
      <c r="J25588" s="33"/>
    </row>
    <row r="25589" spans="10:10" ht="15" customHeight="1" x14ac:dyDescent="0.3">
      <c r="J25589" s="33"/>
    </row>
    <row r="25590" spans="10:10" ht="15" customHeight="1" x14ac:dyDescent="0.3">
      <c r="J25590" s="33"/>
    </row>
    <row r="25591" spans="10:10" ht="15" customHeight="1" x14ac:dyDescent="0.3">
      <c r="J25591" s="33"/>
    </row>
    <row r="25592" spans="10:10" ht="15" customHeight="1" x14ac:dyDescent="0.3">
      <c r="J25592" s="33"/>
    </row>
    <row r="25593" spans="10:10" ht="15" customHeight="1" x14ac:dyDescent="0.3">
      <c r="J25593" s="33"/>
    </row>
    <row r="25594" spans="10:10" ht="15" customHeight="1" x14ac:dyDescent="0.3">
      <c r="J25594" s="33"/>
    </row>
    <row r="25595" spans="10:10" ht="15" customHeight="1" x14ac:dyDescent="0.3">
      <c r="J25595" s="33"/>
    </row>
    <row r="25596" spans="10:10" ht="15" customHeight="1" x14ac:dyDescent="0.3">
      <c r="J25596" s="33"/>
    </row>
    <row r="25597" spans="10:10" ht="15" customHeight="1" x14ac:dyDescent="0.3">
      <c r="J25597" s="33"/>
    </row>
    <row r="25598" spans="10:10" ht="15" customHeight="1" x14ac:dyDescent="0.3">
      <c r="J25598" s="33"/>
    </row>
    <row r="25599" spans="10:10" ht="15" customHeight="1" x14ac:dyDescent="0.3">
      <c r="J25599" s="33"/>
    </row>
    <row r="25600" spans="10:10" ht="15" customHeight="1" x14ac:dyDescent="0.3">
      <c r="J25600" s="33"/>
    </row>
    <row r="25601" spans="10:10" ht="15" customHeight="1" x14ac:dyDescent="0.3">
      <c r="J25601" s="33"/>
    </row>
    <row r="25602" spans="10:10" ht="15" customHeight="1" x14ac:dyDescent="0.3">
      <c r="J25602" s="33"/>
    </row>
    <row r="25603" spans="10:10" ht="15" customHeight="1" x14ac:dyDescent="0.3">
      <c r="J25603" s="33"/>
    </row>
    <row r="25604" spans="10:10" ht="15" customHeight="1" x14ac:dyDescent="0.3">
      <c r="J25604" s="33"/>
    </row>
    <row r="25605" spans="10:10" ht="15" customHeight="1" x14ac:dyDescent="0.3">
      <c r="J25605" s="33"/>
    </row>
    <row r="25606" spans="10:10" ht="15" customHeight="1" x14ac:dyDescent="0.3">
      <c r="J25606" s="33"/>
    </row>
    <row r="25607" spans="10:10" ht="15" customHeight="1" x14ac:dyDescent="0.3">
      <c r="J25607" s="33"/>
    </row>
    <row r="25608" spans="10:10" ht="15" customHeight="1" x14ac:dyDescent="0.3">
      <c r="J25608" s="33"/>
    </row>
    <row r="25609" spans="10:10" ht="15" customHeight="1" x14ac:dyDescent="0.3">
      <c r="J25609" s="33"/>
    </row>
    <row r="25610" spans="10:10" ht="15" customHeight="1" x14ac:dyDescent="0.3">
      <c r="J25610" s="33"/>
    </row>
    <row r="25611" spans="10:10" ht="15" customHeight="1" x14ac:dyDescent="0.3">
      <c r="J25611" s="33"/>
    </row>
    <row r="25612" spans="10:10" ht="15" customHeight="1" x14ac:dyDescent="0.3">
      <c r="J25612" s="33"/>
    </row>
    <row r="25613" spans="10:10" ht="15" customHeight="1" x14ac:dyDescent="0.3">
      <c r="J25613" s="33"/>
    </row>
    <row r="25614" spans="10:10" ht="15" customHeight="1" x14ac:dyDescent="0.3">
      <c r="J25614" s="33"/>
    </row>
    <row r="25615" spans="10:10" ht="15" customHeight="1" x14ac:dyDescent="0.3">
      <c r="J25615" s="33"/>
    </row>
    <row r="25616" spans="10:10" ht="15" customHeight="1" x14ac:dyDescent="0.3">
      <c r="J25616" s="33"/>
    </row>
    <row r="25617" spans="10:10" ht="15" customHeight="1" x14ac:dyDescent="0.3">
      <c r="J25617" s="33"/>
    </row>
    <row r="25618" spans="10:10" ht="15" customHeight="1" x14ac:dyDescent="0.3">
      <c r="J25618" s="33"/>
    </row>
    <row r="25619" spans="10:10" ht="15" customHeight="1" x14ac:dyDescent="0.3">
      <c r="J25619" s="33"/>
    </row>
    <row r="25620" spans="10:10" ht="15" customHeight="1" x14ac:dyDescent="0.3">
      <c r="J25620" s="33"/>
    </row>
    <row r="25621" spans="10:10" ht="15" customHeight="1" x14ac:dyDescent="0.3">
      <c r="J25621" s="33"/>
    </row>
    <row r="25622" spans="10:10" ht="15" customHeight="1" x14ac:dyDescent="0.3">
      <c r="J25622" s="33"/>
    </row>
    <row r="25623" spans="10:10" ht="15" customHeight="1" x14ac:dyDescent="0.3">
      <c r="J25623" s="33"/>
    </row>
    <row r="25624" spans="10:10" ht="15" customHeight="1" x14ac:dyDescent="0.3">
      <c r="J25624" s="33"/>
    </row>
    <row r="25625" spans="10:10" ht="15" customHeight="1" x14ac:dyDescent="0.3">
      <c r="J25625" s="33"/>
    </row>
    <row r="25626" spans="10:10" ht="15" customHeight="1" x14ac:dyDescent="0.3">
      <c r="J25626" s="33"/>
    </row>
    <row r="25627" spans="10:10" ht="15" customHeight="1" x14ac:dyDescent="0.3">
      <c r="J25627" s="33"/>
    </row>
    <row r="25628" spans="10:10" ht="15" customHeight="1" x14ac:dyDescent="0.3">
      <c r="J25628" s="33"/>
    </row>
    <row r="25629" spans="10:10" ht="15" customHeight="1" x14ac:dyDescent="0.3">
      <c r="J25629" s="33"/>
    </row>
    <row r="25630" spans="10:10" ht="15" customHeight="1" x14ac:dyDescent="0.3">
      <c r="J25630" s="33"/>
    </row>
    <row r="25631" spans="10:10" ht="15" customHeight="1" x14ac:dyDescent="0.3">
      <c r="J25631" s="33"/>
    </row>
    <row r="25632" spans="10:10" ht="15" customHeight="1" x14ac:dyDescent="0.3">
      <c r="J25632" s="33"/>
    </row>
    <row r="25633" spans="10:10" ht="15" customHeight="1" x14ac:dyDescent="0.3">
      <c r="J25633" s="33"/>
    </row>
    <row r="25634" spans="10:10" ht="15" customHeight="1" x14ac:dyDescent="0.3">
      <c r="J25634" s="33"/>
    </row>
    <row r="25635" spans="10:10" ht="15" customHeight="1" x14ac:dyDescent="0.3">
      <c r="J25635" s="33"/>
    </row>
    <row r="25636" spans="10:10" ht="15" customHeight="1" x14ac:dyDescent="0.3">
      <c r="J25636" s="33"/>
    </row>
    <row r="25637" spans="10:10" ht="15" customHeight="1" x14ac:dyDescent="0.3">
      <c r="J25637" s="33"/>
    </row>
    <row r="25638" spans="10:10" ht="15" customHeight="1" x14ac:dyDescent="0.3">
      <c r="J25638" s="33"/>
    </row>
    <row r="25639" spans="10:10" ht="15" customHeight="1" x14ac:dyDescent="0.3">
      <c r="J25639" s="33"/>
    </row>
    <row r="25640" spans="10:10" ht="15" customHeight="1" x14ac:dyDescent="0.3">
      <c r="J25640" s="33"/>
    </row>
    <row r="25641" spans="10:10" ht="15" customHeight="1" x14ac:dyDescent="0.3">
      <c r="J25641" s="33"/>
    </row>
    <row r="25642" spans="10:10" ht="15" customHeight="1" x14ac:dyDescent="0.3">
      <c r="J25642" s="33"/>
    </row>
    <row r="25643" spans="10:10" ht="15" customHeight="1" x14ac:dyDescent="0.3">
      <c r="J25643" s="33"/>
    </row>
    <row r="25644" spans="10:10" ht="15" customHeight="1" x14ac:dyDescent="0.3">
      <c r="J25644" s="33"/>
    </row>
    <row r="25645" spans="10:10" ht="15" customHeight="1" x14ac:dyDescent="0.3">
      <c r="J25645" s="33"/>
    </row>
    <row r="25646" spans="10:10" ht="15" customHeight="1" x14ac:dyDescent="0.3">
      <c r="J25646" s="33"/>
    </row>
    <row r="25647" spans="10:10" ht="15" customHeight="1" x14ac:dyDescent="0.3">
      <c r="J25647" s="33"/>
    </row>
    <row r="25648" spans="10:10" ht="15" customHeight="1" x14ac:dyDescent="0.3">
      <c r="J25648" s="33"/>
    </row>
    <row r="25649" spans="10:10" ht="15" customHeight="1" x14ac:dyDescent="0.3">
      <c r="J25649" s="33"/>
    </row>
    <row r="25650" spans="10:10" ht="15" customHeight="1" x14ac:dyDescent="0.3">
      <c r="J25650" s="33"/>
    </row>
    <row r="25651" spans="10:10" ht="15" customHeight="1" x14ac:dyDescent="0.3">
      <c r="J25651" s="33"/>
    </row>
    <row r="25652" spans="10:10" ht="15" customHeight="1" x14ac:dyDescent="0.3">
      <c r="J25652" s="33"/>
    </row>
    <row r="25653" spans="10:10" ht="15" customHeight="1" x14ac:dyDescent="0.3">
      <c r="J25653" s="33"/>
    </row>
    <row r="25654" spans="10:10" ht="15" customHeight="1" x14ac:dyDescent="0.3">
      <c r="J25654" s="33"/>
    </row>
    <row r="25655" spans="10:10" ht="15" customHeight="1" x14ac:dyDescent="0.3">
      <c r="J25655" s="33"/>
    </row>
    <row r="25656" spans="10:10" ht="15" customHeight="1" x14ac:dyDescent="0.3">
      <c r="J25656" s="33"/>
    </row>
    <row r="25657" spans="10:10" ht="15" customHeight="1" x14ac:dyDescent="0.3">
      <c r="J25657" s="33"/>
    </row>
    <row r="25658" spans="10:10" ht="15" customHeight="1" x14ac:dyDescent="0.3">
      <c r="J25658" s="33"/>
    </row>
    <row r="25659" spans="10:10" ht="15" customHeight="1" x14ac:dyDescent="0.3">
      <c r="J25659" s="33"/>
    </row>
    <row r="25660" spans="10:10" ht="15" customHeight="1" x14ac:dyDescent="0.3">
      <c r="J25660" s="33"/>
    </row>
    <row r="25661" spans="10:10" ht="15" customHeight="1" x14ac:dyDescent="0.3">
      <c r="J25661" s="33"/>
    </row>
    <row r="25662" spans="10:10" ht="15" customHeight="1" x14ac:dyDescent="0.3">
      <c r="J25662" s="33"/>
    </row>
    <row r="25663" spans="10:10" ht="15" customHeight="1" x14ac:dyDescent="0.3">
      <c r="J25663" s="33"/>
    </row>
    <row r="25664" spans="10:10" ht="15" customHeight="1" x14ac:dyDescent="0.3">
      <c r="J25664" s="33"/>
    </row>
    <row r="25665" spans="10:10" ht="15" customHeight="1" x14ac:dyDescent="0.3">
      <c r="J25665" s="33"/>
    </row>
    <row r="25666" spans="10:10" ht="15" customHeight="1" x14ac:dyDescent="0.3">
      <c r="J25666" s="33"/>
    </row>
    <row r="25667" spans="10:10" ht="15" customHeight="1" x14ac:dyDescent="0.3">
      <c r="J25667" s="33"/>
    </row>
    <row r="25668" spans="10:10" ht="15" customHeight="1" x14ac:dyDescent="0.3">
      <c r="J25668" s="33"/>
    </row>
    <row r="25669" spans="10:10" ht="15" customHeight="1" x14ac:dyDescent="0.3">
      <c r="J25669" s="33"/>
    </row>
    <row r="25670" spans="10:10" ht="15" customHeight="1" x14ac:dyDescent="0.3">
      <c r="J25670" s="33"/>
    </row>
    <row r="25671" spans="10:10" ht="15" customHeight="1" x14ac:dyDescent="0.3">
      <c r="J25671" s="33"/>
    </row>
    <row r="25672" spans="10:10" ht="15" customHeight="1" x14ac:dyDescent="0.3">
      <c r="J25672" s="33"/>
    </row>
    <row r="25673" spans="10:10" ht="15" customHeight="1" x14ac:dyDescent="0.3">
      <c r="J25673" s="33"/>
    </row>
    <row r="25674" spans="10:10" ht="15" customHeight="1" x14ac:dyDescent="0.3">
      <c r="J25674" s="33"/>
    </row>
    <row r="25675" spans="10:10" ht="15" customHeight="1" x14ac:dyDescent="0.3">
      <c r="J25675" s="33"/>
    </row>
    <row r="25676" spans="10:10" ht="15" customHeight="1" x14ac:dyDescent="0.3">
      <c r="J25676" s="33"/>
    </row>
    <row r="25677" spans="10:10" ht="15" customHeight="1" x14ac:dyDescent="0.3">
      <c r="J25677" s="33"/>
    </row>
    <row r="25678" spans="10:10" ht="15" customHeight="1" x14ac:dyDescent="0.3">
      <c r="J25678" s="33"/>
    </row>
    <row r="25679" spans="10:10" ht="15" customHeight="1" x14ac:dyDescent="0.3">
      <c r="J25679" s="33"/>
    </row>
    <row r="25680" spans="10:10" ht="15" customHeight="1" x14ac:dyDescent="0.3">
      <c r="J25680" s="33"/>
    </row>
    <row r="25681" spans="10:10" ht="15" customHeight="1" x14ac:dyDescent="0.3">
      <c r="J25681" s="33"/>
    </row>
    <row r="25682" spans="10:10" ht="15" customHeight="1" x14ac:dyDescent="0.3">
      <c r="J25682" s="33"/>
    </row>
    <row r="25683" spans="10:10" ht="15" customHeight="1" x14ac:dyDescent="0.3">
      <c r="J25683" s="33"/>
    </row>
    <row r="25684" spans="10:10" ht="15" customHeight="1" x14ac:dyDescent="0.3">
      <c r="J25684" s="33"/>
    </row>
    <row r="25685" spans="10:10" ht="15" customHeight="1" x14ac:dyDescent="0.3">
      <c r="J25685" s="33"/>
    </row>
    <row r="25686" spans="10:10" ht="15" customHeight="1" x14ac:dyDescent="0.3">
      <c r="J25686" s="33"/>
    </row>
    <row r="25687" spans="10:10" ht="15" customHeight="1" x14ac:dyDescent="0.3">
      <c r="J25687" s="33"/>
    </row>
    <row r="25688" spans="10:10" ht="15" customHeight="1" x14ac:dyDescent="0.3">
      <c r="J25688" s="33"/>
    </row>
    <row r="25689" spans="10:10" ht="15" customHeight="1" x14ac:dyDescent="0.3">
      <c r="J25689" s="33"/>
    </row>
    <row r="25690" spans="10:10" ht="15" customHeight="1" x14ac:dyDescent="0.3">
      <c r="J25690" s="33"/>
    </row>
    <row r="25691" spans="10:10" ht="15" customHeight="1" x14ac:dyDescent="0.3">
      <c r="J25691" s="33"/>
    </row>
    <row r="25692" spans="10:10" ht="15" customHeight="1" x14ac:dyDescent="0.3">
      <c r="J25692" s="33"/>
    </row>
    <row r="25693" spans="10:10" ht="15" customHeight="1" x14ac:dyDescent="0.3">
      <c r="J25693" s="33"/>
    </row>
    <row r="25694" spans="10:10" ht="15" customHeight="1" x14ac:dyDescent="0.3">
      <c r="J25694" s="33"/>
    </row>
    <row r="25695" spans="10:10" ht="15" customHeight="1" x14ac:dyDescent="0.3">
      <c r="J25695" s="33"/>
    </row>
    <row r="25696" spans="10:10" ht="15" customHeight="1" x14ac:dyDescent="0.3">
      <c r="J25696" s="33"/>
    </row>
    <row r="25697" spans="10:10" ht="15" customHeight="1" x14ac:dyDescent="0.3">
      <c r="J25697" s="33"/>
    </row>
    <row r="25698" spans="10:10" ht="15" customHeight="1" x14ac:dyDescent="0.3">
      <c r="J25698" s="33"/>
    </row>
    <row r="25699" spans="10:10" ht="15" customHeight="1" x14ac:dyDescent="0.3">
      <c r="J25699" s="33"/>
    </row>
    <row r="25700" spans="10:10" ht="15" customHeight="1" x14ac:dyDescent="0.3">
      <c r="J25700" s="33"/>
    </row>
    <row r="25701" spans="10:10" ht="15" customHeight="1" x14ac:dyDescent="0.3">
      <c r="J25701" s="33"/>
    </row>
    <row r="25702" spans="10:10" ht="15" customHeight="1" x14ac:dyDescent="0.3">
      <c r="J25702" s="33"/>
    </row>
    <row r="25703" spans="10:10" ht="15" customHeight="1" x14ac:dyDescent="0.3">
      <c r="J25703" s="33"/>
    </row>
    <row r="25704" spans="10:10" ht="15" customHeight="1" x14ac:dyDescent="0.3">
      <c r="J25704" s="33"/>
    </row>
    <row r="25705" spans="10:10" ht="15" customHeight="1" x14ac:dyDescent="0.3">
      <c r="J25705" s="33"/>
    </row>
    <row r="25706" spans="10:10" ht="15" customHeight="1" x14ac:dyDescent="0.3">
      <c r="J25706" s="33"/>
    </row>
    <row r="25707" spans="10:10" ht="15" customHeight="1" x14ac:dyDescent="0.3">
      <c r="J25707" s="33"/>
    </row>
    <row r="25708" spans="10:10" ht="15" customHeight="1" x14ac:dyDescent="0.3">
      <c r="J25708" s="33"/>
    </row>
    <row r="25709" spans="10:10" ht="15" customHeight="1" x14ac:dyDescent="0.3">
      <c r="J25709" s="33"/>
    </row>
    <row r="25710" spans="10:10" ht="15" customHeight="1" x14ac:dyDescent="0.3">
      <c r="J25710" s="33"/>
    </row>
    <row r="25711" spans="10:10" ht="15" customHeight="1" x14ac:dyDescent="0.3">
      <c r="J25711" s="33"/>
    </row>
    <row r="25712" spans="10:10" ht="15" customHeight="1" x14ac:dyDescent="0.3">
      <c r="J25712" s="33"/>
    </row>
    <row r="25713" spans="10:10" ht="15" customHeight="1" x14ac:dyDescent="0.3">
      <c r="J25713" s="33"/>
    </row>
    <row r="25714" spans="10:10" ht="15" customHeight="1" x14ac:dyDescent="0.3">
      <c r="J25714" s="33"/>
    </row>
    <row r="25715" spans="10:10" ht="15" customHeight="1" x14ac:dyDescent="0.3">
      <c r="J25715" s="33"/>
    </row>
    <row r="25716" spans="10:10" ht="15" customHeight="1" x14ac:dyDescent="0.3">
      <c r="J25716" s="33"/>
    </row>
    <row r="25717" spans="10:10" ht="15" customHeight="1" x14ac:dyDescent="0.3">
      <c r="J25717" s="33"/>
    </row>
    <row r="25718" spans="10:10" ht="15" customHeight="1" x14ac:dyDescent="0.3">
      <c r="J25718" s="33"/>
    </row>
    <row r="25719" spans="10:10" ht="15" customHeight="1" x14ac:dyDescent="0.3">
      <c r="J25719" s="33"/>
    </row>
    <row r="25720" spans="10:10" ht="15" customHeight="1" x14ac:dyDescent="0.3">
      <c r="J25720" s="33"/>
    </row>
    <row r="25721" spans="10:10" ht="15" customHeight="1" x14ac:dyDescent="0.3">
      <c r="J25721" s="33"/>
    </row>
    <row r="25722" spans="10:10" ht="15" customHeight="1" x14ac:dyDescent="0.3">
      <c r="J25722" s="33"/>
    </row>
    <row r="25723" spans="10:10" ht="15" customHeight="1" x14ac:dyDescent="0.3">
      <c r="J25723" s="33"/>
    </row>
    <row r="25724" spans="10:10" ht="15" customHeight="1" x14ac:dyDescent="0.3">
      <c r="J25724" s="33"/>
    </row>
    <row r="25725" spans="10:10" ht="15" customHeight="1" x14ac:dyDescent="0.3">
      <c r="J25725" s="33"/>
    </row>
    <row r="25726" spans="10:10" ht="15" customHeight="1" x14ac:dyDescent="0.3">
      <c r="J25726" s="33"/>
    </row>
    <row r="25727" spans="10:10" ht="15" customHeight="1" x14ac:dyDescent="0.3">
      <c r="J25727" s="33"/>
    </row>
    <row r="25728" spans="10:10" ht="15" customHeight="1" x14ac:dyDescent="0.3">
      <c r="J25728" s="33"/>
    </row>
    <row r="25729" spans="10:10" ht="15" customHeight="1" x14ac:dyDescent="0.3">
      <c r="J25729" s="33"/>
    </row>
    <row r="25730" spans="10:10" ht="15" customHeight="1" x14ac:dyDescent="0.3">
      <c r="J25730" s="33"/>
    </row>
    <row r="25731" spans="10:10" ht="15" customHeight="1" x14ac:dyDescent="0.3">
      <c r="J25731" s="33"/>
    </row>
    <row r="25732" spans="10:10" ht="15" customHeight="1" x14ac:dyDescent="0.3">
      <c r="J25732" s="33"/>
    </row>
    <row r="25733" spans="10:10" ht="15" customHeight="1" x14ac:dyDescent="0.3">
      <c r="J25733" s="33"/>
    </row>
    <row r="25734" spans="10:10" ht="15" customHeight="1" x14ac:dyDescent="0.3">
      <c r="J25734" s="33"/>
    </row>
    <row r="25735" spans="10:10" ht="15" customHeight="1" x14ac:dyDescent="0.3">
      <c r="J25735" s="33"/>
    </row>
    <row r="25736" spans="10:10" ht="15" customHeight="1" x14ac:dyDescent="0.3">
      <c r="J25736" s="33"/>
    </row>
    <row r="25737" spans="10:10" ht="15" customHeight="1" x14ac:dyDescent="0.3">
      <c r="J25737" s="33"/>
    </row>
    <row r="25738" spans="10:10" ht="15" customHeight="1" x14ac:dyDescent="0.3">
      <c r="J25738" s="33"/>
    </row>
    <row r="25739" spans="10:10" ht="15" customHeight="1" x14ac:dyDescent="0.3">
      <c r="J25739" s="33"/>
    </row>
    <row r="25740" spans="10:10" ht="15" customHeight="1" x14ac:dyDescent="0.3">
      <c r="J25740" s="33"/>
    </row>
    <row r="25741" spans="10:10" ht="15" customHeight="1" x14ac:dyDescent="0.3">
      <c r="J25741" s="33"/>
    </row>
    <row r="25742" spans="10:10" ht="15" customHeight="1" x14ac:dyDescent="0.3">
      <c r="J25742" s="33"/>
    </row>
    <row r="25743" spans="10:10" ht="15" customHeight="1" x14ac:dyDescent="0.3">
      <c r="J25743" s="33"/>
    </row>
    <row r="25744" spans="10:10" ht="15" customHeight="1" x14ac:dyDescent="0.3">
      <c r="J25744" s="33"/>
    </row>
    <row r="25745" spans="10:10" ht="15" customHeight="1" x14ac:dyDescent="0.3">
      <c r="J25745" s="33"/>
    </row>
    <row r="25746" spans="10:10" ht="15" customHeight="1" x14ac:dyDescent="0.3">
      <c r="J25746" s="33"/>
    </row>
    <row r="25747" spans="10:10" ht="15" customHeight="1" x14ac:dyDescent="0.3">
      <c r="J25747" s="33"/>
    </row>
    <row r="25748" spans="10:10" ht="15" customHeight="1" x14ac:dyDescent="0.3">
      <c r="J25748" s="33"/>
    </row>
    <row r="25749" spans="10:10" ht="15" customHeight="1" x14ac:dyDescent="0.3">
      <c r="J25749" s="33"/>
    </row>
    <row r="25750" spans="10:10" ht="15" customHeight="1" x14ac:dyDescent="0.3">
      <c r="J25750" s="33"/>
    </row>
    <row r="25751" spans="10:10" ht="15" customHeight="1" x14ac:dyDescent="0.3">
      <c r="J25751" s="33"/>
    </row>
    <row r="25752" spans="10:10" ht="15" customHeight="1" x14ac:dyDescent="0.3">
      <c r="J25752" s="33"/>
    </row>
    <row r="25753" spans="10:10" ht="15" customHeight="1" x14ac:dyDescent="0.3">
      <c r="J25753" s="33"/>
    </row>
    <row r="25754" spans="10:10" ht="15" customHeight="1" x14ac:dyDescent="0.3">
      <c r="J25754" s="33"/>
    </row>
    <row r="25755" spans="10:10" ht="15" customHeight="1" x14ac:dyDescent="0.3">
      <c r="J25755" s="33"/>
    </row>
    <row r="25756" spans="10:10" ht="15" customHeight="1" x14ac:dyDescent="0.3">
      <c r="J25756" s="33"/>
    </row>
    <row r="25757" spans="10:10" ht="15" customHeight="1" x14ac:dyDescent="0.3">
      <c r="J25757" s="33"/>
    </row>
    <row r="25758" spans="10:10" ht="15" customHeight="1" x14ac:dyDescent="0.3">
      <c r="J25758" s="33"/>
    </row>
    <row r="25759" spans="10:10" ht="15" customHeight="1" x14ac:dyDescent="0.3">
      <c r="J25759" s="33"/>
    </row>
    <row r="25760" spans="10:10" ht="15" customHeight="1" x14ac:dyDescent="0.3">
      <c r="J25760" s="33"/>
    </row>
    <row r="25761" spans="10:10" ht="15" customHeight="1" x14ac:dyDescent="0.3">
      <c r="J25761" s="33"/>
    </row>
    <row r="25762" spans="10:10" ht="15" customHeight="1" x14ac:dyDescent="0.3">
      <c r="J25762" s="33"/>
    </row>
    <row r="25763" spans="10:10" ht="15" customHeight="1" x14ac:dyDescent="0.3">
      <c r="J25763" s="33"/>
    </row>
    <row r="25764" spans="10:10" ht="15" customHeight="1" x14ac:dyDescent="0.3">
      <c r="J25764" s="33"/>
    </row>
    <row r="25765" spans="10:10" ht="15" customHeight="1" x14ac:dyDescent="0.3">
      <c r="J25765" s="33"/>
    </row>
    <row r="25766" spans="10:10" ht="15" customHeight="1" x14ac:dyDescent="0.3">
      <c r="J25766" s="33"/>
    </row>
    <row r="25767" spans="10:10" ht="15" customHeight="1" x14ac:dyDescent="0.3">
      <c r="J25767" s="33"/>
    </row>
    <row r="25768" spans="10:10" ht="15" customHeight="1" x14ac:dyDescent="0.3">
      <c r="J25768" s="33"/>
    </row>
    <row r="25769" spans="10:10" ht="15" customHeight="1" x14ac:dyDescent="0.3">
      <c r="J25769" s="33"/>
    </row>
    <row r="25770" spans="10:10" ht="15" customHeight="1" x14ac:dyDescent="0.3">
      <c r="J25770" s="33"/>
    </row>
    <row r="25771" spans="10:10" ht="15" customHeight="1" x14ac:dyDescent="0.3">
      <c r="J25771" s="33"/>
    </row>
    <row r="25772" spans="10:10" ht="15" customHeight="1" x14ac:dyDescent="0.3">
      <c r="J25772" s="33"/>
    </row>
    <row r="25773" spans="10:10" ht="15" customHeight="1" x14ac:dyDescent="0.3">
      <c r="J25773" s="33"/>
    </row>
    <row r="25774" spans="10:10" ht="15" customHeight="1" x14ac:dyDescent="0.3">
      <c r="J25774" s="33"/>
    </row>
    <row r="25775" spans="10:10" ht="15" customHeight="1" x14ac:dyDescent="0.3">
      <c r="J25775" s="33"/>
    </row>
    <row r="25776" spans="10:10" ht="15" customHeight="1" x14ac:dyDescent="0.3">
      <c r="J25776" s="33"/>
    </row>
    <row r="25777" spans="10:10" ht="15" customHeight="1" x14ac:dyDescent="0.3">
      <c r="J25777" s="33"/>
    </row>
    <row r="25778" spans="10:10" ht="15" customHeight="1" x14ac:dyDescent="0.3">
      <c r="J25778" s="33"/>
    </row>
    <row r="25779" spans="10:10" ht="15" customHeight="1" x14ac:dyDescent="0.3">
      <c r="J25779" s="33"/>
    </row>
    <row r="25780" spans="10:10" ht="15" customHeight="1" x14ac:dyDescent="0.3">
      <c r="J25780" s="33"/>
    </row>
    <row r="25781" spans="10:10" ht="15" customHeight="1" x14ac:dyDescent="0.3">
      <c r="J25781" s="33"/>
    </row>
    <row r="25782" spans="10:10" ht="15" customHeight="1" x14ac:dyDescent="0.3">
      <c r="J25782" s="33"/>
    </row>
    <row r="25783" spans="10:10" ht="15" customHeight="1" x14ac:dyDescent="0.3">
      <c r="J25783" s="33"/>
    </row>
    <row r="25784" spans="10:10" ht="15" customHeight="1" x14ac:dyDescent="0.3">
      <c r="J25784" s="33"/>
    </row>
    <row r="25785" spans="10:10" ht="15" customHeight="1" x14ac:dyDescent="0.3">
      <c r="J25785" s="33"/>
    </row>
    <row r="25786" spans="10:10" ht="15" customHeight="1" x14ac:dyDescent="0.3">
      <c r="J25786" s="33"/>
    </row>
    <row r="25787" spans="10:10" ht="15" customHeight="1" x14ac:dyDescent="0.3">
      <c r="J25787" s="33"/>
    </row>
    <row r="25788" spans="10:10" ht="15" customHeight="1" x14ac:dyDescent="0.3">
      <c r="J25788" s="33"/>
    </row>
    <row r="25789" spans="10:10" ht="15" customHeight="1" x14ac:dyDescent="0.3">
      <c r="J25789" s="33"/>
    </row>
    <row r="25790" spans="10:10" ht="15" customHeight="1" x14ac:dyDescent="0.3">
      <c r="J25790" s="33"/>
    </row>
    <row r="25791" spans="10:10" ht="15" customHeight="1" x14ac:dyDescent="0.3">
      <c r="J25791" s="33"/>
    </row>
    <row r="25792" spans="10:10" ht="15" customHeight="1" x14ac:dyDescent="0.3">
      <c r="J25792" s="33"/>
    </row>
    <row r="25793" spans="10:10" ht="15" customHeight="1" x14ac:dyDescent="0.3">
      <c r="J25793" s="33"/>
    </row>
    <row r="25794" spans="10:10" ht="15" customHeight="1" x14ac:dyDescent="0.3">
      <c r="J25794" s="33"/>
    </row>
    <row r="25795" spans="10:10" ht="15" customHeight="1" x14ac:dyDescent="0.3">
      <c r="J25795" s="33"/>
    </row>
    <row r="25796" spans="10:10" ht="15" customHeight="1" x14ac:dyDescent="0.3">
      <c r="J25796" s="33"/>
    </row>
    <row r="25797" spans="10:10" ht="15" customHeight="1" x14ac:dyDescent="0.3">
      <c r="J25797" s="33"/>
    </row>
    <row r="25798" spans="10:10" ht="15" customHeight="1" x14ac:dyDescent="0.3">
      <c r="J25798" s="33"/>
    </row>
    <row r="25799" spans="10:10" ht="15" customHeight="1" x14ac:dyDescent="0.3">
      <c r="J25799" s="33"/>
    </row>
    <row r="25800" spans="10:10" ht="15" customHeight="1" x14ac:dyDescent="0.3">
      <c r="J25800" s="33"/>
    </row>
    <row r="25801" spans="10:10" ht="15" customHeight="1" x14ac:dyDescent="0.3">
      <c r="J25801" s="33"/>
    </row>
    <row r="25802" spans="10:10" ht="15" customHeight="1" x14ac:dyDescent="0.3">
      <c r="J25802" s="33"/>
    </row>
    <row r="25803" spans="10:10" ht="15" customHeight="1" x14ac:dyDescent="0.3">
      <c r="J25803" s="33"/>
    </row>
    <row r="25804" spans="10:10" ht="15" customHeight="1" x14ac:dyDescent="0.3">
      <c r="J25804" s="33"/>
    </row>
    <row r="25805" spans="10:10" ht="15" customHeight="1" x14ac:dyDescent="0.3">
      <c r="J25805" s="33"/>
    </row>
    <row r="25806" spans="10:10" ht="15" customHeight="1" x14ac:dyDescent="0.3">
      <c r="J25806" s="33"/>
    </row>
    <row r="25807" spans="10:10" ht="15" customHeight="1" x14ac:dyDescent="0.3">
      <c r="J25807" s="33"/>
    </row>
    <row r="25808" spans="10:10" ht="15" customHeight="1" x14ac:dyDescent="0.3">
      <c r="J25808" s="33"/>
    </row>
    <row r="25809" spans="10:10" ht="15" customHeight="1" x14ac:dyDescent="0.3">
      <c r="J25809" s="33"/>
    </row>
    <row r="25810" spans="10:10" ht="15" customHeight="1" x14ac:dyDescent="0.3">
      <c r="J25810" s="33"/>
    </row>
    <row r="25811" spans="10:10" ht="15" customHeight="1" x14ac:dyDescent="0.3">
      <c r="J25811" s="33"/>
    </row>
    <row r="25812" spans="10:10" ht="15" customHeight="1" x14ac:dyDescent="0.3">
      <c r="J25812" s="33"/>
    </row>
    <row r="25813" spans="10:10" ht="15" customHeight="1" x14ac:dyDescent="0.3">
      <c r="J25813" s="33"/>
    </row>
    <row r="25814" spans="10:10" ht="15" customHeight="1" x14ac:dyDescent="0.3">
      <c r="J25814" s="33"/>
    </row>
    <row r="25815" spans="10:10" ht="15" customHeight="1" x14ac:dyDescent="0.3">
      <c r="J25815" s="33"/>
    </row>
    <row r="25816" spans="10:10" ht="15" customHeight="1" x14ac:dyDescent="0.3">
      <c r="J25816" s="33"/>
    </row>
    <row r="25817" spans="10:10" ht="15" customHeight="1" x14ac:dyDescent="0.3">
      <c r="J25817" s="33"/>
    </row>
    <row r="25818" spans="10:10" ht="15" customHeight="1" x14ac:dyDescent="0.3">
      <c r="J25818" s="33"/>
    </row>
    <row r="25819" spans="10:10" ht="15" customHeight="1" x14ac:dyDescent="0.3">
      <c r="J25819" s="33"/>
    </row>
    <row r="25820" spans="10:10" ht="15" customHeight="1" x14ac:dyDescent="0.3">
      <c r="J25820" s="33"/>
    </row>
    <row r="25821" spans="10:10" ht="15" customHeight="1" x14ac:dyDescent="0.3">
      <c r="J25821" s="33"/>
    </row>
    <row r="25822" spans="10:10" ht="15" customHeight="1" x14ac:dyDescent="0.3">
      <c r="J25822" s="33"/>
    </row>
    <row r="25823" spans="10:10" ht="15" customHeight="1" x14ac:dyDescent="0.3">
      <c r="J25823" s="33"/>
    </row>
    <row r="25824" spans="10:10" ht="15" customHeight="1" x14ac:dyDescent="0.3">
      <c r="J25824" s="33"/>
    </row>
    <row r="25825" spans="10:10" ht="15" customHeight="1" x14ac:dyDescent="0.3">
      <c r="J25825" s="33"/>
    </row>
    <row r="25826" spans="10:10" ht="15" customHeight="1" x14ac:dyDescent="0.3">
      <c r="J25826" s="33"/>
    </row>
    <row r="25827" spans="10:10" ht="15" customHeight="1" x14ac:dyDescent="0.3">
      <c r="J25827" s="33"/>
    </row>
    <row r="25828" spans="10:10" ht="15" customHeight="1" x14ac:dyDescent="0.3">
      <c r="J25828" s="33"/>
    </row>
    <row r="25829" spans="10:10" ht="15" customHeight="1" x14ac:dyDescent="0.3">
      <c r="J25829" s="33"/>
    </row>
    <row r="25830" spans="10:10" ht="15" customHeight="1" x14ac:dyDescent="0.3">
      <c r="J25830" s="33"/>
    </row>
    <row r="25831" spans="10:10" ht="15" customHeight="1" x14ac:dyDescent="0.3">
      <c r="J25831" s="33"/>
    </row>
    <row r="25832" spans="10:10" ht="15" customHeight="1" x14ac:dyDescent="0.3">
      <c r="J25832" s="33"/>
    </row>
    <row r="25833" spans="10:10" ht="15" customHeight="1" x14ac:dyDescent="0.3">
      <c r="J25833" s="33"/>
    </row>
    <row r="25834" spans="10:10" ht="15" customHeight="1" x14ac:dyDescent="0.3">
      <c r="J25834" s="33"/>
    </row>
    <row r="25835" spans="10:10" ht="15" customHeight="1" x14ac:dyDescent="0.3">
      <c r="J25835" s="33"/>
    </row>
    <row r="25836" spans="10:10" ht="15" customHeight="1" x14ac:dyDescent="0.3">
      <c r="J25836" s="33"/>
    </row>
    <row r="25837" spans="10:10" ht="15" customHeight="1" x14ac:dyDescent="0.3">
      <c r="J25837" s="33"/>
    </row>
    <row r="25838" spans="10:10" ht="15" customHeight="1" x14ac:dyDescent="0.3">
      <c r="J25838" s="33"/>
    </row>
    <row r="25839" spans="10:10" ht="15" customHeight="1" x14ac:dyDescent="0.3">
      <c r="J25839" s="33"/>
    </row>
    <row r="25840" spans="10:10" ht="15" customHeight="1" x14ac:dyDescent="0.3">
      <c r="J25840" s="33"/>
    </row>
    <row r="25841" spans="10:10" ht="15" customHeight="1" x14ac:dyDescent="0.3">
      <c r="J25841" s="33"/>
    </row>
    <row r="25842" spans="10:10" ht="15" customHeight="1" x14ac:dyDescent="0.3">
      <c r="J25842" s="33"/>
    </row>
    <row r="25843" spans="10:10" ht="15" customHeight="1" x14ac:dyDescent="0.3">
      <c r="J25843" s="33"/>
    </row>
    <row r="25844" spans="10:10" ht="15" customHeight="1" x14ac:dyDescent="0.3">
      <c r="J25844" s="33"/>
    </row>
    <row r="25845" spans="10:10" ht="15" customHeight="1" x14ac:dyDescent="0.3">
      <c r="J25845" s="33"/>
    </row>
    <row r="25846" spans="10:10" ht="15" customHeight="1" x14ac:dyDescent="0.3">
      <c r="J25846" s="33"/>
    </row>
    <row r="25847" spans="10:10" ht="15" customHeight="1" x14ac:dyDescent="0.3">
      <c r="J25847" s="33"/>
    </row>
    <row r="25848" spans="10:10" ht="15" customHeight="1" x14ac:dyDescent="0.3">
      <c r="J25848" s="33"/>
    </row>
    <row r="25849" spans="10:10" ht="15" customHeight="1" x14ac:dyDescent="0.3">
      <c r="J25849" s="33"/>
    </row>
    <row r="25850" spans="10:10" ht="15" customHeight="1" x14ac:dyDescent="0.3">
      <c r="J25850" s="33"/>
    </row>
    <row r="25851" spans="10:10" ht="15" customHeight="1" x14ac:dyDescent="0.3">
      <c r="J25851" s="33"/>
    </row>
    <row r="25852" spans="10:10" ht="15" customHeight="1" x14ac:dyDescent="0.3">
      <c r="J25852" s="33"/>
    </row>
    <row r="25853" spans="10:10" ht="15" customHeight="1" x14ac:dyDescent="0.3">
      <c r="J25853" s="33"/>
    </row>
    <row r="25854" spans="10:10" ht="15" customHeight="1" x14ac:dyDescent="0.3">
      <c r="J25854" s="33"/>
    </row>
    <row r="25855" spans="10:10" ht="15" customHeight="1" x14ac:dyDescent="0.3">
      <c r="J25855" s="33"/>
    </row>
    <row r="25856" spans="10:10" ht="15" customHeight="1" x14ac:dyDescent="0.3">
      <c r="J25856" s="33"/>
    </row>
    <row r="25857" spans="10:10" ht="15" customHeight="1" x14ac:dyDescent="0.3">
      <c r="J25857" s="33"/>
    </row>
    <row r="25858" spans="10:10" ht="15" customHeight="1" x14ac:dyDescent="0.3">
      <c r="J25858" s="33"/>
    </row>
    <row r="25859" spans="10:10" ht="15" customHeight="1" x14ac:dyDescent="0.3">
      <c r="J25859" s="33"/>
    </row>
    <row r="25860" spans="10:10" ht="15" customHeight="1" x14ac:dyDescent="0.3">
      <c r="J25860" s="33"/>
    </row>
    <row r="25861" spans="10:10" ht="15" customHeight="1" x14ac:dyDescent="0.3">
      <c r="J25861" s="33"/>
    </row>
    <row r="25862" spans="10:10" ht="15" customHeight="1" x14ac:dyDescent="0.3">
      <c r="J25862" s="33"/>
    </row>
    <row r="25863" spans="10:10" ht="15" customHeight="1" x14ac:dyDescent="0.3">
      <c r="J25863" s="33"/>
    </row>
    <row r="25864" spans="10:10" ht="15" customHeight="1" x14ac:dyDescent="0.3">
      <c r="J25864" s="33"/>
    </row>
    <row r="25865" spans="10:10" ht="15" customHeight="1" x14ac:dyDescent="0.3">
      <c r="J25865" s="33"/>
    </row>
    <row r="25866" spans="10:10" ht="15" customHeight="1" x14ac:dyDescent="0.3">
      <c r="J25866" s="33"/>
    </row>
    <row r="25867" spans="10:10" ht="15" customHeight="1" x14ac:dyDescent="0.3">
      <c r="J25867" s="33"/>
    </row>
    <row r="25868" spans="10:10" ht="15" customHeight="1" x14ac:dyDescent="0.3">
      <c r="J25868" s="33"/>
    </row>
    <row r="25869" spans="10:10" ht="15" customHeight="1" x14ac:dyDescent="0.3">
      <c r="J25869" s="33"/>
    </row>
    <row r="25870" spans="10:10" ht="15" customHeight="1" x14ac:dyDescent="0.3">
      <c r="J25870" s="33"/>
    </row>
    <row r="25871" spans="10:10" ht="15" customHeight="1" x14ac:dyDescent="0.3">
      <c r="J25871" s="33"/>
    </row>
    <row r="25872" spans="10:10" ht="15" customHeight="1" x14ac:dyDescent="0.3">
      <c r="J25872" s="33"/>
    </row>
    <row r="25873" spans="10:10" ht="15" customHeight="1" x14ac:dyDescent="0.3">
      <c r="J25873" s="33"/>
    </row>
    <row r="25874" spans="10:10" ht="15" customHeight="1" x14ac:dyDescent="0.3">
      <c r="J25874" s="33"/>
    </row>
    <row r="25875" spans="10:10" ht="15" customHeight="1" x14ac:dyDescent="0.3">
      <c r="J25875" s="33"/>
    </row>
    <row r="25876" spans="10:10" ht="15" customHeight="1" x14ac:dyDescent="0.3">
      <c r="J25876" s="33"/>
    </row>
    <row r="25877" spans="10:10" ht="15" customHeight="1" x14ac:dyDescent="0.3">
      <c r="J25877" s="33"/>
    </row>
    <row r="25878" spans="10:10" ht="15" customHeight="1" x14ac:dyDescent="0.3">
      <c r="J25878" s="33"/>
    </row>
    <row r="25879" spans="10:10" ht="15" customHeight="1" x14ac:dyDescent="0.3">
      <c r="J25879" s="33"/>
    </row>
    <row r="25880" spans="10:10" ht="15" customHeight="1" x14ac:dyDescent="0.3">
      <c r="J25880" s="33"/>
    </row>
    <row r="25881" spans="10:10" ht="15" customHeight="1" x14ac:dyDescent="0.3">
      <c r="J25881" s="33"/>
    </row>
    <row r="25882" spans="10:10" ht="15" customHeight="1" x14ac:dyDescent="0.3">
      <c r="J25882" s="33"/>
    </row>
    <row r="25883" spans="10:10" ht="15" customHeight="1" x14ac:dyDescent="0.3">
      <c r="J25883" s="33"/>
    </row>
    <row r="25884" spans="10:10" ht="15" customHeight="1" x14ac:dyDescent="0.3">
      <c r="J25884" s="33"/>
    </row>
    <row r="25885" spans="10:10" ht="15" customHeight="1" x14ac:dyDescent="0.3">
      <c r="J25885" s="33"/>
    </row>
    <row r="25886" spans="10:10" ht="15" customHeight="1" x14ac:dyDescent="0.3">
      <c r="J25886" s="33"/>
    </row>
    <row r="25887" spans="10:10" ht="15" customHeight="1" x14ac:dyDescent="0.3">
      <c r="J25887" s="33"/>
    </row>
    <row r="25888" spans="10:10" ht="15" customHeight="1" x14ac:dyDescent="0.3">
      <c r="J25888" s="33"/>
    </row>
    <row r="25889" spans="10:10" ht="15" customHeight="1" x14ac:dyDescent="0.3">
      <c r="J25889" s="33"/>
    </row>
    <row r="25890" spans="10:10" ht="15" customHeight="1" x14ac:dyDescent="0.3">
      <c r="J25890" s="33"/>
    </row>
    <row r="25891" spans="10:10" ht="15" customHeight="1" x14ac:dyDescent="0.3">
      <c r="J25891" s="33"/>
    </row>
    <row r="25892" spans="10:10" ht="15" customHeight="1" x14ac:dyDescent="0.3">
      <c r="J25892" s="33"/>
    </row>
    <row r="25893" spans="10:10" ht="15" customHeight="1" x14ac:dyDescent="0.3">
      <c r="J25893" s="33"/>
    </row>
    <row r="25894" spans="10:10" ht="15" customHeight="1" x14ac:dyDescent="0.3">
      <c r="J25894" s="33"/>
    </row>
    <row r="25895" spans="10:10" ht="15" customHeight="1" x14ac:dyDescent="0.3">
      <c r="J25895" s="33"/>
    </row>
    <row r="25896" spans="10:10" ht="15" customHeight="1" x14ac:dyDescent="0.3">
      <c r="J25896" s="33"/>
    </row>
    <row r="25897" spans="10:10" ht="15" customHeight="1" x14ac:dyDescent="0.3">
      <c r="J25897" s="33"/>
    </row>
    <row r="25898" spans="10:10" ht="15" customHeight="1" x14ac:dyDescent="0.3">
      <c r="J25898" s="33"/>
    </row>
    <row r="25899" spans="10:10" ht="15" customHeight="1" x14ac:dyDescent="0.3">
      <c r="J25899" s="33"/>
    </row>
    <row r="25900" spans="10:10" ht="15" customHeight="1" x14ac:dyDescent="0.3">
      <c r="J25900" s="33"/>
    </row>
    <row r="25901" spans="10:10" ht="15" customHeight="1" x14ac:dyDescent="0.3">
      <c r="J25901" s="33"/>
    </row>
    <row r="25902" spans="10:10" ht="15" customHeight="1" x14ac:dyDescent="0.3">
      <c r="J25902" s="33"/>
    </row>
    <row r="25903" spans="10:10" ht="15" customHeight="1" x14ac:dyDescent="0.3">
      <c r="J25903" s="33"/>
    </row>
    <row r="25904" spans="10:10" ht="15" customHeight="1" x14ac:dyDescent="0.3">
      <c r="J25904" s="33"/>
    </row>
    <row r="25905" spans="10:10" ht="15" customHeight="1" x14ac:dyDescent="0.3">
      <c r="J25905" s="33"/>
    </row>
    <row r="25906" spans="10:10" ht="15" customHeight="1" x14ac:dyDescent="0.3">
      <c r="J25906" s="33"/>
    </row>
    <row r="25907" spans="10:10" ht="15" customHeight="1" x14ac:dyDescent="0.3">
      <c r="J25907" s="33"/>
    </row>
    <row r="25908" spans="10:10" ht="15" customHeight="1" x14ac:dyDescent="0.3">
      <c r="J25908" s="33"/>
    </row>
    <row r="25909" spans="10:10" ht="15" customHeight="1" x14ac:dyDescent="0.3">
      <c r="J25909" s="33"/>
    </row>
    <row r="25910" spans="10:10" ht="15" customHeight="1" x14ac:dyDescent="0.3">
      <c r="J25910" s="33"/>
    </row>
    <row r="25911" spans="10:10" ht="15" customHeight="1" x14ac:dyDescent="0.3">
      <c r="J25911" s="33"/>
    </row>
    <row r="25912" spans="10:10" ht="15" customHeight="1" x14ac:dyDescent="0.3">
      <c r="J25912" s="33"/>
    </row>
    <row r="25913" spans="10:10" ht="15" customHeight="1" x14ac:dyDescent="0.3">
      <c r="J25913" s="33"/>
    </row>
    <row r="25914" spans="10:10" ht="15" customHeight="1" x14ac:dyDescent="0.3">
      <c r="J25914" s="33"/>
    </row>
    <row r="25915" spans="10:10" ht="15" customHeight="1" x14ac:dyDescent="0.3">
      <c r="J25915" s="33"/>
    </row>
    <row r="25916" spans="10:10" ht="15" customHeight="1" x14ac:dyDescent="0.3">
      <c r="J25916" s="33"/>
    </row>
    <row r="25917" spans="10:10" ht="15" customHeight="1" x14ac:dyDescent="0.3">
      <c r="J25917" s="33"/>
    </row>
    <row r="25918" spans="10:10" ht="15" customHeight="1" x14ac:dyDescent="0.3">
      <c r="J25918" s="33"/>
    </row>
    <row r="25919" spans="10:10" ht="15" customHeight="1" x14ac:dyDescent="0.3">
      <c r="J25919" s="33"/>
    </row>
    <row r="25920" spans="10:10" ht="15" customHeight="1" x14ac:dyDescent="0.3">
      <c r="J25920" s="33"/>
    </row>
    <row r="25921" spans="10:10" ht="15" customHeight="1" x14ac:dyDescent="0.3">
      <c r="J25921" s="33"/>
    </row>
    <row r="25922" spans="10:10" ht="15" customHeight="1" x14ac:dyDescent="0.3">
      <c r="J25922" s="33"/>
    </row>
    <row r="25923" spans="10:10" ht="15" customHeight="1" x14ac:dyDescent="0.3">
      <c r="J25923" s="33"/>
    </row>
    <row r="25924" spans="10:10" ht="15" customHeight="1" x14ac:dyDescent="0.3">
      <c r="J25924" s="33"/>
    </row>
    <row r="25925" spans="10:10" ht="15" customHeight="1" x14ac:dyDescent="0.3">
      <c r="J25925" s="33"/>
    </row>
    <row r="25926" spans="10:10" ht="15" customHeight="1" x14ac:dyDescent="0.3">
      <c r="J25926" s="33"/>
    </row>
    <row r="25927" spans="10:10" ht="15" customHeight="1" x14ac:dyDescent="0.3">
      <c r="J25927" s="33"/>
    </row>
    <row r="25928" spans="10:10" ht="15" customHeight="1" x14ac:dyDescent="0.3">
      <c r="J25928" s="33"/>
    </row>
    <row r="25929" spans="10:10" ht="15" customHeight="1" x14ac:dyDescent="0.3">
      <c r="J25929" s="33"/>
    </row>
    <row r="25930" spans="10:10" ht="15" customHeight="1" x14ac:dyDescent="0.3">
      <c r="J25930" s="33"/>
    </row>
    <row r="25931" spans="10:10" ht="15" customHeight="1" x14ac:dyDescent="0.3">
      <c r="J25931" s="33"/>
    </row>
    <row r="25932" spans="10:10" ht="15" customHeight="1" x14ac:dyDescent="0.3">
      <c r="J25932" s="33"/>
    </row>
    <row r="25933" spans="10:10" ht="15" customHeight="1" x14ac:dyDescent="0.3">
      <c r="J25933" s="33"/>
    </row>
    <row r="25934" spans="10:10" ht="15" customHeight="1" x14ac:dyDescent="0.3">
      <c r="J25934" s="33"/>
    </row>
    <row r="25935" spans="10:10" ht="15" customHeight="1" x14ac:dyDescent="0.3">
      <c r="J25935" s="33"/>
    </row>
    <row r="25936" spans="10:10" ht="15" customHeight="1" x14ac:dyDescent="0.3">
      <c r="J25936" s="33"/>
    </row>
    <row r="25937" spans="10:10" ht="15" customHeight="1" x14ac:dyDescent="0.3">
      <c r="J25937" s="33"/>
    </row>
    <row r="25938" spans="10:10" ht="15" customHeight="1" x14ac:dyDescent="0.3">
      <c r="J25938" s="33"/>
    </row>
    <row r="25939" spans="10:10" ht="15" customHeight="1" x14ac:dyDescent="0.3">
      <c r="J25939" s="33"/>
    </row>
    <row r="25940" spans="10:10" ht="15" customHeight="1" x14ac:dyDescent="0.3">
      <c r="J25940" s="33"/>
    </row>
    <row r="25941" spans="10:10" ht="15" customHeight="1" x14ac:dyDescent="0.3">
      <c r="J25941" s="33"/>
    </row>
    <row r="25942" spans="10:10" ht="15" customHeight="1" x14ac:dyDescent="0.3">
      <c r="J25942" s="33"/>
    </row>
    <row r="25943" spans="10:10" ht="15" customHeight="1" x14ac:dyDescent="0.3">
      <c r="J25943" s="33"/>
    </row>
    <row r="25944" spans="10:10" ht="15" customHeight="1" x14ac:dyDescent="0.3">
      <c r="J25944" s="33"/>
    </row>
    <row r="25945" spans="10:10" ht="15" customHeight="1" x14ac:dyDescent="0.3">
      <c r="J25945" s="33"/>
    </row>
    <row r="25946" spans="10:10" ht="15" customHeight="1" x14ac:dyDescent="0.3">
      <c r="J25946" s="33"/>
    </row>
    <row r="25947" spans="10:10" ht="15" customHeight="1" x14ac:dyDescent="0.3">
      <c r="J25947" s="33"/>
    </row>
    <row r="25948" spans="10:10" ht="15" customHeight="1" x14ac:dyDescent="0.3">
      <c r="J25948" s="33"/>
    </row>
    <row r="25949" spans="10:10" ht="15" customHeight="1" x14ac:dyDescent="0.3">
      <c r="J25949" s="33"/>
    </row>
    <row r="25950" spans="10:10" ht="15" customHeight="1" x14ac:dyDescent="0.3">
      <c r="J25950" s="33"/>
    </row>
    <row r="25951" spans="10:10" ht="15" customHeight="1" x14ac:dyDescent="0.3">
      <c r="J25951" s="33"/>
    </row>
    <row r="25952" spans="10:10" ht="15" customHeight="1" x14ac:dyDescent="0.3">
      <c r="J25952" s="33"/>
    </row>
    <row r="25953" spans="10:10" ht="15" customHeight="1" x14ac:dyDescent="0.3">
      <c r="J25953" s="33"/>
    </row>
    <row r="25954" spans="10:10" ht="15" customHeight="1" x14ac:dyDescent="0.3">
      <c r="J25954" s="33"/>
    </row>
    <row r="25955" spans="10:10" ht="15" customHeight="1" x14ac:dyDescent="0.3">
      <c r="J25955" s="33"/>
    </row>
    <row r="25956" spans="10:10" ht="15" customHeight="1" x14ac:dyDescent="0.3">
      <c r="J25956" s="33"/>
    </row>
    <row r="25957" spans="10:10" ht="15" customHeight="1" x14ac:dyDescent="0.3">
      <c r="J25957" s="33"/>
    </row>
    <row r="25958" spans="10:10" ht="15" customHeight="1" x14ac:dyDescent="0.3">
      <c r="J25958" s="33"/>
    </row>
    <row r="25959" spans="10:10" ht="15" customHeight="1" x14ac:dyDescent="0.3">
      <c r="J25959" s="33"/>
    </row>
    <row r="25960" spans="10:10" ht="15" customHeight="1" x14ac:dyDescent="0.3">
      <c r="J25960" s="33"/>
    </row>
    <row r="25961" spans="10:10" ht="15" customHeight="1" x14ac:dyDescent="0.3">
      <c r="J25961" s="33"/>
    </row>
    <row r="25962" spans="10:10" ht="15" customHeight="1" x14ac:dyDescent="0.3">
      <c r="J25962" s="33"/>
    </row>
    <row r="25963" spans="10:10" ht="15" customHeight="1" x14ac:dyDescent="0.3">
      <c r="J25963" s="33"/>
    </row>
    <row r="25964" spans="10:10" ht="15" customHeight="1" x14ac:dyDescent="0.3">
      <c r="J25964" s="33"/>
    </row>
    <row r="25965" spans="10:10" ht="15" customHeight="1" x14ac:dyDescent="0.3">
      <c r="J25965" s="33"/>
    </row>
    <row r="25966" spans="10:10" ht="15" customHeight="1" x14ac:dyDescent="0.3">
      <c r="J25966" s="33"/>
    </row>
    <row r="25967" spans="10:10" ht="15" customHeight="1" x14ac:dyDescent="0.3">
      <c r="J25967" s="33"/>
    </row>
    <row r="25968" spans="10:10" ht="15" customHeight="1" x14ac:dyDescent="0.3">
      <c r="J25968" s="33"/>
    </row>
    <row r="25969" spans="10:10" ht="15" customHeight="1" x14ac:dyDescent="0.3">
      <c r="J25969" s="33"/>
    </row>
    <row r="25970" spans="10:10" ht="15" customHeight="1" x14ac:dyDescent="0.3">
      <c r="J25970" s="33"/>
    </row>
    <row r="25971" spans="10:10" ht="15" customHeight="1" x14ac:dyDescent="0.3">
      <c r="J25971" s="33"/>
    </row>
    <row r="25972" spans="10:10" ht="15" customHeight="1" x14ac:dyDescent="0.3">
      <c r="J25972" s="33"/>
    </row>
    <row r="25973" spans="10:10" ht="15" customHeight="1" x14ac:dyDescent="0.3">
      <c r="J25973" s="33"/>
    </row>
    <row r="25974" spans="10:10" ht="15" customHeight="1" x14ac:dyDescent="0.3">
      <c r="J25974" s="33"/>
    </row>
    <row r="25975" spans="10:10" ht="15" customHeight="1" x14ac:dyDescent="0.3">
      <c r="J25975" s="33"/>
    </row>
    <row r="25976" spans="10:10" ht="15" customHeight="1" x14ac:dyDescent="0.3">
      <c r="J25976" s="33"/>
    </row>
    <row r="25977" spans="10:10" ht="15" customHeight="1" x14ac:dyDescent="0.3">
      <c r="J25977" s="33"/>
    </row>
    <row r="25978" spans="10:10" ht="15" customHeight="1" x14ac:dyDescent="0.3">
      <c r="J25978" s="33"/>
    </row>
    <row r="25979" spans="10:10" ht="15" customHeight="1" x14ac:dyDescent="0.3">
      <c r="J25979" s="33"/>
    </row>
    <row r="25980" spans="10:10" ht="15" customHeight="1" x14ac:dyDescent="0.3">
      <c r="J25980" s="33"/>
    </row>
    <row r="25981" spans="10:10" ht="15" customHeight="1" x14ac:dyDescent="0.3">
      <c r="J25981" s="33"/>
    </row>
    <row r="25982" spans="10:10" ht="15" customHeight="1" x14ac:dyDescent="0.3">
      <c r="J25982" s="33"/>
    </row>
    <row r="25983" spans="10:10" ht="15" customHeight="1" x14ac:dyDescent="0.3">
      <c r="J25983" s="33"/>
    </row>
    <row r="25984" spans="10:10" ht="15" customHeight="1" x14ac:dyDescent="0.3">
      <c r="J25984" s="33"/>
    </row>
    <row r="25985" spans="10:10" ht="15" customHeight="1" x14ac:dyDescent="0.3">
      <c r="J25985" s="33"/>
    </row>
    <row r="25986" spans="10:10" ht="15" customHeight="1" x14ac:dyDescent="0.3">
      <c r="J25986" s="33"/>
    </row>
    <row r="25987" spans="10:10" ht="15" customHeight="1" x14ac:dyDescent="0.3">
      <c r="J25987" s="33"/>
    </row>
    <row r="25988" spans="10:10" ht="15" customHeight="1" x14ac:dyDescent="0.3">
      <c r="J25988" s="33"/>
    </row>
    <row r="25989" spans="10:10" ht="15" customHeight="1" x14ac:dyDescent="0.3">
      <c r="J25989" s="33"/>
    </row>
    <row r="25990" spans="10:10" ht="15" customHeight="1" x14ac:dyDescent="0.3">
      <c r="J25990" s="33"/>
    </row>
    <row r="25991" spans="10:10" ht="15" customHeight="1" x14ac:dyDescent="0.3">
      <c r="J25991" s="33"/>
    </row>
    <row r="25992" spans="10:10" ht="15" customHeight="1" x14ac:dyDescent="0.3">
      <c r="J25992" s="33"/>
    </row>
    <row r="25993" spans="10:10" ht="15" customHeight="1" x14ac:dyDescent="0.3">
      <c r="J25993" s="33"/>
    </row>
    <row r="25994" spans="10:10" ht="15" customHeight="1" x14ac:dyDescent="0.3">
      <c r="J25994" s="33"/>
    </row>
    <row r="25995" spans="10:10" ht="15" customHeight="1" x14ac:dyDescent="0.3">
      <c r="J25995" s="33"/>
    </row>
    <row r="25996" spans="10:10" ht="15" customHeight="1" x14ac:dyDescent="0.3">
      <c r="J25996" s="33"/>
    </row>
    <row r="25997" spans="10:10" ht="15" customHeight="1" x14ac:dyDescent="0.3">
      <c r="J25997" s="33"/>
    </row>
    <row r="25998" spans="10:10" ht="15" customHeight="1" x14ac:dyDescent="0.3">
      <c r="J25998" s="33"/>
    </row>
    <row r="25999" spans="10:10" ht="15" customHeight="1" x14ac:dyDescent="0.3">
      <c r="J25999" s="33"/>
    </row>
    <row r="26000" spans="10:10" ht="15" customHeight="1" x14ac:dyDescent="0.3">
      <c r="J26000" s="33"/>
    </row>
    <row r="26001" spans="10:10" ht="15" customHeight="1" x14ac:dyDescent="0.3">
      <c r="J26001" s="33"/>
    </row>
    <row r="26002" spans="10:10" ht="15" customHeight="1" x14ac:dyDescent="0.3">
      <c r="J26002" s="33"/>
    </row>
    <row r="26003" spans="10:10" ht="15" customHeight="1" x14ac:dyDescent="0.3">
      <c r="J26003" s="33"/>
    </row>
    <row r="26004" spans="10:10" ht="15" customHeight="1" x14ac:dyDescent="0.3">
      <c r="J26004" s="33"/>
    </row>
    <row r="26005" spans="10:10" ht="15" customHeight="1" x14ac:dyDescent="0.3">
      <c r="J26005" s="33"/>
    </row>
    <row r="26006" spans="10:10" ht="15" customHeight="1" x14ac:dyDescent="0.3">
      <c r="J26006" s="33"/>
    </row>
    <row r="26007" spans="10:10" ht="15" customHeight="1" x14ac:dyDescent="0.3">
      <c r="J26007" s="33"/>
    </row>
    <row r="26008" spans="10:10" ht="15" customHeight="1" x14ac:dyDescent="0.3">
      <c r="J26008" s="33"/>
    </row>
    <row r="26009" spans="10:10" ht="15" customHeight="1" x14ac:dyDescent="0.3">
      <c r="J26009" s="33"/>
    </row>
    <row r="26010" spans="10:10" ht="15" customHeight="1" x14ac:dyDescent="0.3">
      <c r="J26010" s="33"/>
    </row>
    <row r="26011" spans="10:10" ht="15" customHeight="1" x14ac:dyDescent="0.3">
      <c r="J26011" s="33"/>
    </row>
    <row r="26012" spans="10:10" ht="15" customHeight="1" x14ac:dyDescent="0.3">
      <c r="J26012" s="33"/>
    </row>
    <row r="26013" spans="10:10" ht="15" customHeight="1" x14ac:dyDescent="0.3">
      <c r="J26013" s="33"/>
    </row>
    <row r="26014" spans="10:10" ht="15" customHeight="1" x14ac:dyDescent="0.3">
      <c r="J26014" s="33"/>
    </row>
    <row r="26015" spans="10:10" ht="15" customHeight="1" x14ac:dyDescent="0.3">
      <c r="J26015" s="33"/>
    </row>
    <row r="26016" spans="10:10" ht="15" customHeight="1" x14ac:dyDescent="0.3">
      <c r="J26016" s="33"/>
    </row>
    <row r="26017" spans="10:10" ht="15" customHeight="1" x14ac:dyDescent="0.3">
      <c r="J26017" s="33"/>
    </row>
    <row r="26018" spans="10:10" ht="15" customHeight="1" x14ac:dyDescent="0.3">
      <c r="J26018" s="33"/>
    </row>
    <row r="26019" spans="10:10" ht="15" customHeight="1" x14ac:dyDescent="0.3">
      <c r="J26019" s="33"/>
    </row>
    <row r="26020" spans="10:10" ht="15" customHeight="1" x14ac:dyDescent="0.3">
      <c r="J26020" s="33"/>
    </row>
    <row r="26021" spans="10:10" ht="15" customHeight="1" x14ac:dyDescent="0.3">
      <c r="J26021" s="33"/>
    </row>
    <row r="26022" spans="10:10" ht="15" customHeight="1" x14ac:dyDescent="0.3">
      <c r="J26022" s="33"/>
    </row>
    <row r="26023" spans="10:10" ht="15" customHeight="1" x14ac:dyDescent="0.3">
      <c r="J26023" s="33"/>
    </row>
    <row r="26024" spans="10:10" ht="15" customHeight="1" x14ac:dyDescent="0.3">
      <c r="J26024" s="33"/>
    </row>
    <row r="26025" spans="10:10" ht="15" customHeight="1" x14ac:dyDescent="0.3">
      <c r="J26025" s="33"/>
    </row>
    <row r="26026" spans="10:10" ht="15" customHeight="1" x14ac:dyDescent="0.3">
      <c r="J26026" s="33"/>
    </row>
    <row r="26027" spans="10:10" ht="15" customHeight="1" x14ac:dyDescent="0.3">
      <c r="J26027" s="33"/>
    </row>
    <row r="26028" spans="10:10" ht="15" customHeight="1" x14ac:dyDescent="0.3">
      <c r="J26028" s="33"/>
    </row>
    <row r="26029" spans="10:10" ht="15" customHeight="1" x14ac:dyDescent="0.3">
      <c r="J26029" s="33"/>
    </row>
    <row r="26030" spans="10:10" ht="15" customHeight="1" x14ac:dyDescent="0.3">
      <c r="J26030" s="33"/>
    </row>
    <row r="26031" spans="10:10" ht="15" customHeight="1" x14ac:dyDescent="0.3">
      <c r="J26031" s="33"/>
    </row>
    <row r="26032" spans="10:10" ht="15" customHeight="1" x14ac:dyDescent="0.3">
      <c r="J26032" s="33"/>
    </row>
    <row r="26033" spans="10:10" ht="15" customHeight="1" x14ac:dyDescent="0.3">
      <c r="J26033" s="33"/>
    </row>
    <row r="26034" spans="10:10" ht="15" customHeight="1" x14ac:dyDescent="0.3">
      <c r="J26034" s="33"/>
    </row>
    <row r="26035" spans="10:10" ht="15" customHeight="1" x14ac:dyDescent="0.3">
      <c r="J26035" s="33"/>
    </row>
    <row r="26036" spans="10:10" ht="15" customHeight="1" x14ac:dyDescent="0.3">
      <c r="J26036" s="33"/>
    </row>
    <row r="26037" spans="10:10" ht="15" customHeight="1" x14ac:dyDescent="0.3">
      <c r="J26037" s="33"/>
    </row>
    <row r="26038" spans="10:10" ht="15" customHeight="1" x14ac:dyDescent="0.3">
      <c r="J26038" s="33"/>
    </row>
    <row r="26039" spans="10:10" ht="15" customHeight="1" x14ac:dyDescent="0.3">
      <c r="J26039" s="33"/>
    </row>
    <row r="26040" spans="10:10" ht="15" customHeight="1" x14ac:dyDescent="0.3">
      <c r="J26040" s="33"/>
    </row>
    <row r="26041" spans="10:10" ht="15" customHeight="1" x14ac:dyDescent="0.3">
      <c r="J26041" s="33"/>
    </row>
    <row r="26042" spans="10:10" ht="15" customHeight="1" x14ac:dyDescent="0.3">
      <c r="J26042" s="33"/>
    </row>
    <row r="26043" spans="10:10" ht="15" customHeight="1" x14ac:dyDescent="0.3">
      <c r="J26043" s="33"/>
    </row>
    <row r="26044" spans="10:10" ht="15" customHeight="1" x14ac:dyDescent="0.3">
      <c r="J26044" s="33"/>
    </row>
    <row r="26045" spans="10:10" ht="15" customHeight="1" x14ac:dyDescent="0.3">
      <c r="J26045" s="33"/>
    </row>
    <row r="26046" spans="10:10" ht="15" customHeight="1" x14ac:dyDescent="0.3">
      <c r="J26046" s="33"/>
    </row>
    <row r="26047" spans="10:10" ht="15" customHeight="1" x14ac:dyDescent="0.3">
      <c r="J26047" s="33"/>
    </row>
    <row r="26048" spans="10:10" ht="15" customHeight="1" x14ac:dyDescent="0.3">
      <c r="J26048" s="33"/>
    </row>
    <row r="26049" spans="10:10" ht="15" customHeight="1" x14ac:dyDescent="0.3">
      <c r="J26049" s="33"/>
    </row>
    <row r="26050" spans="10:10" ht="15" customHeight="1" x14ac:dyDescent="0.3">
      <c r="J26050" s="33"/>
    </row>
    <row r="26051" spans="10:10" ht="15" customHeight="1" x14ac:dyDescent="0.3">
      <c r="J26051" s="33"/>
    </row>
    <row r="26052" spans="10:10" ht="15" customHeight="1" x14ac:dyDescent="0.3">
      <c r="J26052" s="33"/>
    </row>
    <row r="26053" spans="10:10" ht="15" customHeight="1" x14ac:dyDescent="0.3">
      <c r="J26053" s="33"/>
    </row>
    <row r="26054" spans="10:10" ht="15" customHeight="1" x14ac:dyDescent="0.3">
      <c r="J26054" s="33"/>
    </row>
    <row r="26055" spans="10:10" ht="15" customHeight="1" x14ac:dyDescent="0.3">
      <c r="J26055" s="33"/>
    </row>
    <row r="26056" spans="10:10" ht="15" customHeight="1" x14ac:dyDescent="0.3">
      <c r="J26056" s="33"/>
    </row>
    <row r="26057" spans="10:10" ht="15" customHeight="1" x14ac:dyDescent="0.3">
      <c r="J26057" s="33"/>
    </row>
    <row r="26058" spans="10:10" ht="15" customHeight="1" x14ac:dyDescent="0.3">
      <c r="J26058" s="33"/>
    </row>
    <row r="26059" spans="10:10" ht="15" customHeight="1" x14ac:dyDescent="0.3">
      <c r="J26059" s="33"/>
    </row>
    <row r="26060" spans="10:10" ht="15" customHeight="1" x14ac:dyDescent="0.3">
      <c r="J26060" s="33"/>
    </row>
    <row r="26061" spans="10:10" ht="15" customHeight="1" x14ac:dyDescent="0.3">
      <c r="J26061" s="33"/>
    </row>
    <row r="26062" spans="10:10" ht="15" customHeight="1" x14ac:dyDescent="0.3">
      <c r="J26062" s="33"/>
    </row>
    <row r="26063" spans="10:10" ht="15" customHeight="1" x14ac:dyDescent="0.3">
      <c r="J26063" s="33"/>
    </row>
    <row r="26064" spans="10:10" ht="15" customHeight="1" x14ac:dyDescent="0.3">
      <c r="J26064" s="33"/>
    </row>
    <row r="26065" spans="10:10" ht="15" customHeight="1" x14ac:dyDescent="0.3">
      <c r="J26065" s="33"/>
    </row>
    <row r="26066" spans="10:10" ht="15" customHeight="1" x14ac:dyDescent="0.3">
      <c r="J26066" s="33"/>
    </row>
    <row r="26067" spans="10:10" ht="15" customHeight="1" x14ac:dyDescent="0.3">
      <c r="J26067" s="33"/>
    </row>
    <row r="26068" spans="10:10" ht="15" customHeight="1" x14ac:dyDescent="0.3">
      <c r="J26068" s="33"/>
    </row>
    <row r="26069" spans="10:10" ht="15" customHeight="1" x14ac:dyDescent="0.3">
      <c r="J26069" s="33"/>
    </row>
    <row r="26070" spans="10:10" ht="15" customHeight="1" x14ac:dyDescent="0.3">
      <c r="J26070" s="33"/>
    </row>
    <row r="26071" spans="10:10" ht="15" customHeight="1" x14ac:dyDescent="0.3">
      <c r="J26071" s="33"/>
    </row>
    <row r="26072" spans="10:10" ht="15" customHeight="1" x14ac:dyDescent="0.3">
      <c r="J26072" s="33"/>
    </row>
    <row r="26073" spans="10:10" ht="15" customHeight="1" x14ac:dyDescent="0.3">
      <c r="J26073" s="33"/>
    </row>
    <row r="26074" spans="10:10" ht="15" customHeight="1" x14ac:dyDescent="0.3">
      <c r="J26074" s="33"/>
    </row>
    <row r="26075" spans="10:10" ht="15" customHeight="1" x14ac:dyDescent="0.3">
      <c r="J26075" s="33"/>
    </row>
    <row r="26076" spans="10:10" ht="15" customHeight="1" x14ac:dyDescent="0.3">
      <c r="J26076" s="33"/>
    </row>
    <row r="26077" spans="10:10" ht="15" customHeight="1" x14ac:dyDescent="0.3">
      <c r="J26077" s="33"/>
    </row>
    <row r="26078" spans="10:10" ht="15" customHeight="1" x14ac:dyDescent="0.3">
      <c r="J26078" s="33"/>
    </row>
    <row r="26079" spans="10:10" ht="15" customHeight="1" x14ac:dyDescent="0.3">
      <c r="J26079" s="33"/>
    </row>
    <row r="26080" spans="10:10" ht="15" customHeight="1" x14ac:dyDescent="0.3">
      <c r="J26080" s="33"/>
    </row>
    <row r="26081" spans="10:10" ht="15" customHeight="1" x14ac:dyDescent="0.3">
      <c r="J26081" s="33"/>
    </row>
    <row r="26082" spans="10:10" ht="15" customHeight="1" x14ac:dyDescent="0.3">
      <c r="J26082" s="33"/>
    </row>
    <row r="26083" spans="10:10" ht="15" customHeight="1" x14ac:dyDescent="0.3">
      <c r="J26083" s="33"/>
    </row>
    <row r="26084" spans="10:10" ht="15" customHeight="1" x14ac:dyDescent="0.3">
      <c r="J26084" s="33"/>
    </row>
    <row r="26085" spans="10:10" ht="15" customHeight="1" x14ac:dyDescent="0.3">
      <c r="J26085" s="33"/>
    </row>
    <row r="26086" spans="10:10" ht="15" customHeight="1" x14ac:dyDescent="0.3">
      <c r="J26086" s="33"/>
    </row>
    <row r="26087" spans="10:10" ht="15" customHeight="1" x14ac:dyDescent="0.3">
      <c r="J26087" s="33"/>
    </row>
    <row r="26088" spans="10:10" ht="15" customHeight="1" x14ac:dyDescent="0.3">
      <c r="J26088" s="33"/>
    </row>
    <row r="26089" spans="10:10" ht="15" customHeight="1" x14ac:dyDescent="0.3">
      <c r="J26089" s="33"/>
    </row>
    <row r="26090" spans="10:10" ht="15" customHeight="1" x14ac:dyDescent="0.3">
      <c r="J26090" s="33"/>
    </row>
    <row r="26091" spans="10:10" ht="15" customHeight="1" x14ac:dyDescent="0.3">
      <c r="J26091" s="33"/>
    </row>
    <row r="26092" spans="10:10" ht="15" customHeight="1" x14ac:dyDescent="0.3">
      <c r="J26092" s="33"/>
    </row>
    <row r="26093" spans="10:10" ht="15" customHeight="1" x14ac:dyDescent="0.3">
      <c r="J26093" s="33"/>
    </row>
    <row r="26094" spans="10:10" ht="15" customHeight="1" x14ac:dyDescent="0.3">
      <c r="J26094" s="33"/>
    </row>
    <row r="26095" spans="10:10" ht="15" customHeight="1" x14ac:dyDescent="0.3">
      <c r="J26095" s="33"/>
    </row>
    <row r="26096" spans="10:10" ht="15" customHeight="1" x14ac:dyDescent="0.3">
      <c r="J26096" s="33"/>
    </row>
    <row r="26097" spans="10:10" ht="15" customHeight="1" x14ac:dyDescent="0.3">
      <c r="J26097" s="33"/>
    </row>
    <row r="26098" spans="10:10" ht="15" customHeight="1" x14ac:dyDescent="0.3">
      <c r="J26098" s="33"/>
    </row>
    <row r="26099" spans="10:10" ht="15" customHeight="1" x14ac:dyDescent="0.3">
      <c r="J26099" s="33"/>
    </row>
    <row r="26100" spans="10:10" ht="15" customHeight="1" x14ac:dyDescent="0.3">
      <c r="J26100" s="33"/>
    </row>
    <row r="26101" spans="10:10" ht="15" customHeight="1" x14ac:dyDescent="0.3">
      <c r="J26101" s="33"/>
    </row>
    <row r="26102" spans="10:10" ht="15" customHeight="1" x14ac:dyDescent="0.3">
      <c r="J26102" s="33"/>
    </row>
    <row r="26103" spans="10:10" ht="15" customHeight="1" x14ac:dyDescent="0.3">
      <c r="J26103" s="33"/>
    </row>
    <row r="26104" spans="10:10" ht="15" customHeight="1" x14ac:dyDescent="0.3">
      <c r="J26104" s="33"/>
    </row>
    <row r="26105" spans="10:10" ht="15" customHeight="1" x14ac:dyDescent="0.3">
      <c r="J26105" s="33"/>
    </row>
    <row r="26106" spans="10:10" ht="15" customHeight="1" x14ac:dyDescent="0.3">
      <c r="J26106" s="33"/>
    </row>
    <row r="26107" spans="10:10" ht="15" customHeight="1" x14ac:dyDescent="0.3">
      <c r="J26107" s="33"/>
    </row>
    <row r="26108" spans="10:10" ht="15" customHeight="1" x14ac:dyDescent="0.3">
      <c r="J26108" s="33"/>
    </row>
    <row r="26109" spans="10:10" ht="15" customHeight="1" x14ac:dyDescent="0.3">
      <c r="J26109" s="33"/>
    </row>
    <row r="26110" spans="10:10" ht="15" customHeight="1" x14ac:dyDescent="0.3">
      <c r="J26110" s="33"/>
    </row>
    <row r="26111" spans="10:10" ht="15" customHeight="1" x14ac:dyDescent="0.3">
      <c r="J26111" s="33"/>
    </row>
    <row r="26112" spans="10:10" ht="15" customHeight="1" x14ac:dyDescent="0.3">
      <c r="J26112" s="33"/>
    </row>
    <row r="26113" spans="10:10" ht="15" customHeight="1" x14ac:dyDescent="0.3">
      <c r="J26113" s="33"/>
    </row>
    <row r="26114" spans="10:10" ht="15" customHeight="1" x14ac:dyDescent="0.3">
      <c r="J26114" s="33"/>
    </row>
    <row r="26115" spans="10:10" ht="15" customHeight="1" x14ac:dyDescent="0.3">
      <c r="J26115" s="33"/>
    </row>
    <row r="26116" spans="10:10" ht="15" customHeight="1" x14ac:dyDescent="0.3">
      <c r="J26116" s="33"/>
    </row>
    <row r="26117" spans="10:10" ht="15" customHeight="1" x14ac:dyDescent="0.3">
      <c r="J26117" s="33"/>
    </row>
    <row r="26118" spans="10:10" ht="15" customHeight="1" x14ac:dyDescent="0.3">
      <c r="J26118" s="33"/>
    </row>
    <row r="26119" spans="10:10" ht="15" customHeight="1" x14ac:dyDescent="0.3">
      <c r="J26119" s="33"/>
    </row>
    <row r="26120" spans="10:10" ht="15" customHeight="1" x14ac:dyDescent="0.3">
      <c r="J26120" s="33"/>
    </row>
    <row r="26121" spans="10:10" ht="15" customHeight="1" x14ac:dyDescent="0.3">
      <c r="J26121" s="33"/>
    </row>
    <row r="26122" spans="10:10" ht="15" customHeight="1" x14ac:dyDescent="0.3">
      <c r="J26122" s="33"/>
    </row>
    <row r="26123" spans="10:10" ht="15" customHeight="1" x14ac:dyDescent="0.3">
      <c r="J26123" s="33"/>
    </row>
    <row r="26124" spans="10:10" ht="15" customHeight="1" x14ac:dyDescent="0.3">
      <c r="J26124" s="33"/>
    </row>
    <row r="26125" spans="10:10" ht="15" customHeight="1" x14ac:dyDescent="0.3">
      <c r="J26125" s="33"/>
    </row>
    <row r="26126" spans="10:10" ht="15" customHeight="1" x14ac:dyDescent="0.3">
      <c r="J26126" s="33"/>
    </row>
    <row r="26127" spans="10:10" ht="15" customHeight="1" x14ac:dyDescent="0.3">
      <c r="J26127" s="33"/>
    </row>
    <row r="26128" spans="10:10" ht="15" customHeight="1" x14ac:dyDescent="0.3">
      <c r="J26128" s="33"/>
    </row>
    <row r="26129" spans="10:10" ht="15" customHeight="1" x14ac:dyDescent="0.3">
      <c r="J26129" s="33"/>
    </row>
    <row r="26130" spans="10:10" ht="15" customHeight="1" x14ac:dyDescent="0.3">
      <c r="J26130" s="33"/>
    </row>
    <row r="26131" spans="10:10" ht="15" customHeight="1" x14ac:dyDescent="0.3">
      <c r="J26131" s="33"/>
    </row>
    <row r="26132" spans="10:10" ht="15" customHeight="1" x14ac:dyDescent="0.3">
      <c r="J26132" s="33"/>
    </row>
    <row r="26133" spans="10:10" ht="15" customHeight="1" x14ac:dyDescent="0.3">
      <c r="J26133" s="33"/>
    </row>
    <row r="26134" spans="10:10" ht="15" customHeight="1" x14ac:dyDescent="0.3">
      <c r="J26134" s="33"/>
    </row>
    <row r="26135" spans="10:10" ht="15" customHeight="1" x14ac:dyDescent="0.3">
      <c r="J26135" s="33"/>
    </row>
    <row r="26136" spans="10:10" ht="15" customHeight="1" x14ac:dyDescent="0.3">
      <c r="J26136" s="33"/>
    </row>
    <row r="26137" spans="10:10" ht="15" customHeight="1" x14ac:dyDescent="0.3">
      <c r="J26137" s="33"/>
    </row>
    <row r="26138" spans="10:10" ht="15" customHeight="1" x14ac:dyDescent="0.3">
      <c r="J26138" s="33"/>
    </row>
    <row r="26139" spans="10:10" ht="15" customHeight="1" x14ac:dyDescent="0.3">
      <c r="J26139" s="33"/>
    </row>
    <row r="26140" spans="10:10" ht="15" customHeight="1" x14ac:dyDescent="0.3">
      <c r="J26140" s="33"/>
    </row>
    <row r="26141" spans="10:10" ht="15" customHeight="1" x14ac:dyDescent="0.3">
      <c r="J26141" s="33"/>
    </row>
    <row r="26142" spans="10:10" ht="15" customHeight="1" x14ac:dyDescent="0.3">
      <c r="J26142" s="33"/>
    </row>
    <row r="26143" spans="10:10" ht="15" customHeight="1" x14ac:dyDescent="0.3">
      <c r="J26143" s="33"/>
    </row>
    <row r="26144" spans="10:10" ht="15" customHeight="1" x14ac:dyDescent="0.3">
      <c r="J26144" s="33"/>
    </row>
    <row r="26145" spans="10:10" ht="15" customHeight="1" x14ac:dyDescent="0.3">
      <c r="J26145" s="33"/>
    </row>
    <row r="26146" spans="10:10" ht="15" customHeight="1" x14ac:dyDescent="0.3">
      <c r="J26146" s="33"/>
    </row>
    <row r="26147" spans="10:10" ht="15" customHeight="1" x14ac:dyDescent="0.3">
      <c r="J26147" s="33"/>
    </row>
    <row r="26148" spans="10:10" ht="15" customHeight="1" x14ac:dyDescent="0.3">
      <c r="J26148" s="33"/>
    </row>
    <row r="26149" spans="10:10" ht="15" customHeight="1" x14ac:dyDescent="0.3">
      <c r="J26149" s="33"/>
    </row>
    <row r="26150" spans="10:10" ht="15" customHeight="1" x14ac:dyDescent="0.3">
      <c r="J26150" s="33"/>
    </row>
    <row r="26151" spans="10:10" ht="15" customHeight="1" x14ac:dyDescent="0.3">
      <c r="J26151" s="33"/>
    </row>
    <row r="26152" spans="10:10" ht="15" customHeight="1" x14ac:dyDescent="0.3">
      <c r="J26152" s="33"/>
    </row>
    <row r="26153" spans="10:10" ht="15" customHeight="1" x14ac:dyDescent="0.3">
      <c r="J26153" s="33"/>
    </row>
    <row r="26154" spans="10:10" ht="15" customHeight="1" x14ac:dyDescent="0.3">
      <c r="J26154" s="33"/>
    </row>
    <row r="26155" spans="10:10" ht="15" customHeight="1" x14ac:dyDescent="0.3">
      <c r="J26155" s="33"/>
    </row>
    <row r="26156" spans="10:10" ht="15" customHeight="1" x14ac:dyDescent="0.3">
      <c r="J26156" s="33"/>
    </row>
    <row r="26157" spans="10:10" ht="15" customHeight="1" x14ac:dyDescent="0.3">
      <c r="J26157" s="33"/>
    </row>
    <row r="26158" spans="10:10" ht="15" customHeight="1" x14ac:dyDescent="0.3">
      <c r="J26158" s="33"/>
    </row>
    <row r="26159" spans="10:10" ht="15" customHeight="1" x14ac:dyDescent="0.3">
      <c r="J26159" s="33"/>
    </row>
    <row r="26160" spans="10:10" ht="15" customHeight="1" x14ac:dyDescent="0.3">
      <c r="J26160" s="33"/>
    </row>
    <row r="26161" spans="10:10" ht="15" customHeight="1" x14ac:dyDescent="0.3">
      <c r="J26161" s="33"/>
    </row>
    <row r="26162" spans="10:10" ht="15" customHeight="1" x14ac:dyDescent="0.3">
      <c r="J26162" s="33"/>
    </row>
    <row r="26163" spans="10:10" ht="15" customHeight="1" x14ac:dyDescent="0.3">
      <c r="J26163" s="33"/>
    </row>
    <row r="26164" spans="10:10" ht="15" customHeight="1" x14ac:dyDescent="0.3">
      <c r="J26164" s="33"/>
    </row>
    <row r="26165" spans="10:10" ht="15" customHeight="1" x14ac:dyDescent="0.3">
      <c r="J26165" s="33"/>
    </row>
    <row r="26166" spans="10:10" ht="15" customHeight="1" x14ac:dyDescent="0.3">
      <c r="J26166" s="33"/>
    </row>
    <row r="26167" spans="10:10" ht="15" customHeight="1" x14ac:dyDescent="0.3">
      <c r="J26167" s="33"/>
    </row>
    <row r="26168" spans="10:10" ht="15" customHeight="1" x14ac:dyDescent="0.3">
      <c r="J26168" s="33"/>
    </row>
    <row r="26169" spans="10:10" ht="15" customHeight="1" x14ac:dyDescent="0.3">
      <c r="J26169" s="33"/>
    </row>
    <row r="26170" spans="10:10" ht="15" customHeight="1" x14ac:dyDescent="0.3">
      <c r="J26170" s="33"/>
    </row>
    <row r="26171" spans="10:10" ht="15" customHeight="1" x14ac:dyDescent="0.3">
      <c r="J26171" s="33"/>
    </row>
    <row r="26172" spans="10:10" ht="15" customHeight="1" x14ac:dyDescent="0.3">
      <c r="J26172" s="33"/>
    </row>
    <row r="26173" spans="10:10" ht="15" customHeight="1" x14ac:dyDescent="0.3">
      <c r="J26173" s="33"/>
    </row>
    <row r="26174" spans="10:10" ht="15" customHeight="1" x14ac:dyDescent="0.3">
      <c r="J26174" s="33"/>
    </row>
    <row r="26175" spans="10:10" ht="15" customHeight="1" x14ac:dyDescent="0.3">
      <c r="J26175" s="33"/>
    </row>
    <row r="26176" spans="10:10" ht="15" customHeight="1" x14ac:dyDescent="0.3">
      <c r="J26176" s="33"/>
    </row>
    <row r="26177" spans="10:10" ht="15" customHeight="1" x14ac:dyDescent="0.3">
      <c r="J26177" s="33"/>
    </row>
    <row r="26178" spans="10:10" ht="15" customHeight="1" x14ac:dyDescent="0.3">
      <c r="J26178" s="33"/>
    </row>
    <row r="26179" spans="10:10" ht="15" customHeight="1" x14ac:dyDescent="0.3">
      <c r="J26179" s="33"/>
    </row>
    <row r="26180" spans="10:10" ht="15" customHeight="1" x14ac:dyDescent="0.3">
      <c r="J26180" s="33"/>
    </row>
    <row r="26181" spans="10:10" ht="15" customHeight="1" x14ac:dyDescent="0.3">
      <c r="J26181" s="33"/>
    </row>
    <row r="26182" spans="10:10" ht="15" customHeight="1" x14ac:dyDescent="0.3">
      <c r="J26182" s="33"/>
    </row>
    <row r="26183" spans="10:10" ht="15" customHeight="1" x14ac:dyDescent="0.3">
      <c r="J26183" s="33"/>
    </row>
    <row r="26184" spans="10:10" ht="15" customHeight="1" x14ac:dyDescent="0.3">
      <c r="J26184" s="33"/>
    </row>
    <row r="26185" spans="10:10" ht="15" customHeight="1" x14ac:dyDescent="0.3">
      <c r="J26185" s="33"/>
    </row>
    <row r="26186" spans="10:10" ht="15" customHeight="1" x14ac:dyDescent="0.3">
      <c r="J26186" s="33"/>
    </row>
    <row r="26187" spans="10:10" ht="15" customHeight="1" x14ac:dyDescent="0.3">
      <c r="J26187" s="33"/>
    </row>
    <row r="26188" spans="10:10" ht="15" customHeight="1" x14ac:dyDescent="0.3">
      <c r="J26188" s="33"/>
    </row>
    <row r="26189" spans="10:10" ht="15" customHeight="1" x14ac:dyDescent="0.3">
      <c r="J26189" s="33"/>
    </row>
    <row r="26190" spans="10:10" ht="15" customHeight="1" x14ac:dyDescent="0.3">
      <c r="J26190" s="33"/>
    </row>
    <row r="26191" spans="10:10" ht="15" customHeight="1" x14ac:dyDescent="0.3">
      <c r="J26191" s="33"/>
    </row>
    <row r="26192" spans="10:10" ht="15" customHeight="1" x14ac:dyDescent="0.3">
      <c r="J26192" s="33"/>
    </row>
    <row r="26193" spans="10:10" ht="15" customHeight="1" x14ac:dyDescent="0.3">
      <c r="J26193" s="33"/>
    </row>
    <row r="26194" spans="10:10" ht="15" customHeight="1" x14ac:dyDescent="0.3">
      <c r="J26194" s="33"/>
    </row>
    <row r="26195" spans="10:10" ht="15" customHeight="1" x14ac:dyDescent="0.3">
      <c r="J26195" s="33"/>
    </row>
    <row r="26196" spans="10:10" ht="15" customHeight="1" x14ac:dyDescent="0.3">
      <c r="J26196" s="33"/>
    </row>
    <row r="26197" spans="10:10" ht="15" customHeight="1" x14ac:dyDescent="0.3">
      <c r="J26197" s="33"/>
    </row>
    <row r="26198" spans="10:10" ht="15" customHeight="1" x14ac:dyDescent="0.3">
      <c r="J26198" s="33"/>
    </row>
    <row r="26199" spans="10:10" ht="15" customHeight="1" x14ac:dyDescent="0.3">
      <c r="J26199" s="33"/>
    </row>
    <row r="26200" spans="10:10" ht="15" customHeight="1" x14ac:dyDescent="0.3">
      <c r="J26200" s="33"/>
    </row>
    <row r="26201" spans="10:10" ht="15" customHeight="1" x14ac:dyDescent="0.3">
      <c r="J26201" s="33"/>
    </row>
    <row r="26202" spans="10:10" ht="15" customHeight="1" x14ac:dyDescent="0.3">
      <c r="J26202" s="33"/>
    </row>
    <row r="26203" spans="10:10" ht="15" customHeight="1" x14ac:dyDescent="0.3">
      <c r="J26203" s="33"/>
    </row>
    <row r="26204" spans="10:10" ht="15" customHeight="1" x14ac:dyDescent="0.3">
      <c r="J26204" s="33"/>
    </row>
    <row r="26205" spans="10:10" ht="15" customHeight="1" x14ac:dyDescent="0.3">
      <c r="J26205" s="33"/>
    </row>
    <row r="26206" spans="10:10" ht="15" customHeight="1" x14ac:dyDescent="0.3">
      <c r="J26206" s="33"/>
    </row>
    <row r="26207" spans="10:10" ht="15" customHeight="1" x14ac:dyDescent="0.3">
      <c r="J26207" s="33"/>
    </row>
    <row r="26208" spans="10:10" ht="15" customHeight="1" x14ac:dyDescent="0.3">
      <c r="J26208" s="33"/>
    </row>
    <row r="26209" spans="10:10" ht="15" customHeight="1" x14ac:dyDescent="0.3">
      <c r="J26209" s="33"/>
    </row>
    <row r="26210" spans="10:10" ht="15" customHeight="1" x14ac:dyDescent="0.3">
      <c r="J26210" s="33"/>
    </row>
    <row r="26211" spans="10:10" ht="15" customHeight="1" x14ac:dyDescent="0.3">
      <c r="J26211" s="33"/>
    </row>
    <row r="26212" spans="10:10" ht="15" customHeight="1" x14ac:dyDescent="0.3">
      <c r="J26212" s="33"/>
    </row>
    <row r="26213" spans="10:10" ht="15" customHeight="1" x14ac:dyDescent="0.3">
      <c r="J26213" s="33"/>
    </row>
    <row r="26214" spans="10:10" ht="15" customHeight="1" x14ac:dyDescent="0.3">
      <c r="J26214" s="33"/>
    </row>
    <row r="26215" spans="10:10" ht="15" customHeight="1" x14ac:dyDescent="0.3">
      <c r="J26215" s="33"/>
    </row>
    <row r="26216" spans="10:10" ht="15" customHeight="1" x14ac:dyDescent="0.3">
      <c r="J26216" s="33"/>
    </row>
    <row r="26217" spans="10:10" ht="15" customHeight="1" x14ac:dyDescent="0.3">
      <c r="J26217" s="33"/>
    </row>
    <row r="26218" spans="10:10" ht="15" customHeight="1" x14ac:dyDescent="0.3">
      <c r="J26218" s="33"/>
    </row>
    <row r="26219" spans="10:10" ht="15" customHeight="1" x14ac:dyDescent="0.3">
      <c r="J26219" s="33"/>
    </row>
    <row r="26220" spans="10:10" ht="15" customHeight="1" x14ac:dyDescent="0.3">
      <c r="J26220" s="33"/>
    </row>
    <row r="26221" spans="10:10" ht="15" customHeight="1" x14ac:dyDescent="0.3">
      <c r="J26221" s="33"/>
    </row>
    <row r="26222" spans="10:10" ht="15" customHeight="1" x14ac:dyDescent="0.3">
      <c r="J26222" s="33"/>
    </row>
    <row r="26223" spans="10:10" ht="15" customHeight="1" x14ac:dyDescent="0.3">
      <c r="J26223" s="33"/>
    </row>
    <row r="26224" spans="10:10" ht="15" customHeight="1" x14ac:dyDescent="0.3">
      <c r="J26224" s="33"/>
    </row>
    <row r="26225" spans="10:10" ht="15" customHeight="1" x14ac:dyDescent="0.3">
      <c r="J26225" s="33"/>
    </row>
    <row r="26226" spans="10:10" ht="15" customHeight="1" x14ac:dyDescent="0.3">
      <c r="J26226" s="33"/>
    </row>
    <row r="26227" spans="10:10" ht="15" customHeight="1" x14ac:dyDescent="0.3">
      <c r="J26227" s="33"/>
    </row>
    <row r="26228" spans="10:10" ht="15" customHeight="1" x14ac:dyDescent="0.3">
      <c r="J26228" s="33"/>
    </row>
    <row r="26229" spans="10:10" ht="15" customHeight="1" x14ac:dyDescent="0.3">
      <c r="J26229" s="33"/>
    </row>
    <row r="26230" spans="10:10" ht="15" customHeight="1" x14ac:dyDescent="0.3">
      <c r="J26230" s="33"/>
    </row>
    <row r="26231" spans="10:10" ht="15" customHeight="1" x14ac:dyDescent="0.3">
      <c r="J26231" s="33"/>
    </row>
    <row r="26232" spans="10:10" ht="15" customHeight="1" x14ac:dyDescent="0.3">
      <c r="J26232" s="33"/>
    </row>
    <row r="26233" spans="10:10" ht="15" customHeight="1" x14ac:dyDescent="0.3">
      <c r="J26233" s="33"/>
    </row>
    <row r="26234" spans="10:10" ht="15" customHeight="1" x14ac:dyDescent="0.3">
      <c r="J26234" s="33"/>
    </row>
    <row r="26235" spans="10:10" ht="15" customHeight="1" x14ac:dyDescent="0.3">
      <c r="J26235" s="33"/>
    </row>
    <row r="26236" spans="10:10" ht="15" customHeight="1" x14ac:dyDescent="0.3">
      <c r="J26236" s="33"/>
    </row>
    <row r="26237" spans="10:10" ht="15" customHeight="1" x14ac:dyDescent="0.3">
      <c r="J26237" s="33"/>
    </row>
    <row r="26238" spans="10:10" ht="15" customHeight="1" x14ac:dyDescent="0.3">
      <c r="J26238" s="33"/>
    </row>
    <row r="26239" spans="10:10" ht="15" customHeight="1" x14ac:dyDescent="0.3">
      <c r="J26239" s="33"/>
    </row>
    <row r="26240" spans="10:10" ht="15" customHeight="1" x14ac:dyDescent="0.3">
      <c r="J26240" s="33"/>
    </row>
    <row r="26241" spans="10:10" ht="15" customHeight="1" x14ac:dyDescent="0.3">
      <c r="J26241" s="33"/>
    </row>
    <row r="26242" spans="10:10" ht="15" customHeight="1" x14ac:dyDescent="0.3">
      <c r="J26242" s="33"/>
    </row>
    <row r="26243" spans="10:10" ht="15" customHeight="1" x14ac:dyDescent="0.3">
      <c r="J26243" s="33"/>
    </row>
    <row r="26244" spans="10:10" ht="15" customHeight="1" x14ac:dyDescent="0.3">
      <c r="J26244" s="33"/>
    </row>
    <row r="26245" spans="10:10" ht="15" customHeight="1" x14ac:dyDescent="0.3">
      <c r="J26245" s="33"/>
    </row>
    <row r="26246" spans="10:10" ht="15" customHeight="1" x14ac:dyDescent="0.3">
      <c r="J26246" s="33"/>
    </row>
    <row r="26247" spans="10:10" ht="15" customHeight="1" x14ac:dyDescent="0.3">
      <c r="J26247" s="33"/>
    </row>
    <row r="26248" spans="10:10" ht="15" customHeight="1" x14ac:dyDescent="0.3">
      <c r="J26248" s="33"/>
    </row>
    <row r="26249" spans="10:10" ht="15" customHeight="1" x14ac:dyDescent="0.3">
      <c r="J26249" s="33"/>
    </row>
    <row r="26250" spans="10:10" ht="15" customHeight="1" x14ac:dyDescent="0.3">
      <c r="J26250" s="33"/>
    </row>
    <row r="26251" spans="10:10" ht="15" customHeight="1" x14ac:dyDescent="0.3">
      <c r="J26251" s="33"/>
    </row>
    <row r="26252" spans="10:10" ht="15" customHeight="1" x14ac:dyDescent="0.3">
      <c r="J26252" s="33"/>
    </row>
    <row r="26253" spans="10:10" ht="15" customHeight="1" x14ac:dyDescent="0.3">
      <c r="J26253" s="33"/>
    </row>
    <row r="26254" spans="10:10" ht="15" customHeight="1" x14ac:dyDescent="0.3">
      <c r="J26254" s="33"/>
    </row>
    <row r="26255" spans="10:10" ht="15" customHeight="1" x14ac:dyDescent="0.3">
      <c r="J26255" s="33"/>
    </row>
    <row r="26256" spans="10:10" ht="15" customHeight="1" x14ac:dyDescent="0.3">
      <c r="J26256" s="33"/>
    </row>
    <row r="26257" spans="10:10" ht="15" customHeight="1" x14ac:dyDescent="0.3">
      <c r="J26257" s="33"/>
    </row>
    <row r="26258" spans="10:10" ht="15" customHeight="1" x14ac:dyDescent="0.3">
      <c r="J26258" s="33"/>
    </row>
    <row r="26259" spans="10:10" ht="15" customHeight="1" x14ac:dyDescent="0.3">
      <c r="J26259" s="33"/>
    </row>
    <row r="26260" spans="10:10" ht="15" customHeight="1" x14ac:dyDescent="0.3">
      <c r="J26260" s="33"/>
    </row>
    <row r="26261" spans="10:10" ht="15" customHeight="1" x14ac:dyDescent="0.3">
      <c r="J26261" s="33"/>
    </row>
    <row r="26262" spans="10:10" ht="15" customHeight="1" x14ac:dyDescent="0.3">
      <c r="J26262" s="33"/>
    </row>
    <row r="26263" spans="10:10" ht="15" customHeight="1" x14ac:dyDescent="0.3">
      <c r="J26263" s="33"/>
    </row>
    <row r="26264" spans="10:10" ht="15" customHeight="1" x14ac:dyDescent="0.3">
      <c r="J26264" s="33"/>
    </row>
    <row r="26265" spans="10:10" ht="15" customHeight="1" x14ac:dyDescent="0.3">
      <c r="J26265" s="33"/>
    </row>
    <row r="26266" spans="10:10" ht="15" customHeight="1" x14ac:dyDescent="0.3">
      <c r="J26266" s="33"/>
    </row>
    <row r="26267" spans="10:10" ht="15" customHeight="1" x14ac:dyDescent="0.3">
      <c r="J26267" s="33"/>
    </row>
    <row r="26268" spans="10:10" ht="15" customHeight="1" x14ac:dyDescent="0.3">
      <c r="J26268" s="33"/>
    </row>
    <row r="26269" spans="10:10" ht="15" customHeight="1" x14ac:dyDescent="0.3">
      <c r="J26269" s="33"/>
    </row>
    <row r="26270" spans="10:10" ht="15" customHeight="1" x14ac:dyDescent="0.3">
      <c r="J26270" s="33"/>
    </row>
    <row r="26271" spans="10:10" ht="15" customHeight="1" x14ac:dyDescent="0.3">
      <c r="J26271" s="33"/>
    </row>
    <row r="26272" spans="10:10" ht="15" customHeight="1" x14ac:dyDescent="0.3">
      <c r="J26272" s="33"/>
    </row>
    <row r="26273" spans="10:10" ht="15" customHeight="1" x14ac:dyDescent="0.3">
      <c r="J26273" s="33"/>
    </row>
    <row r="26274" spans="10:10" ht="15" customHeight="1" x14ac:dyDescent="0.3">
      <c r="J26274" s="33"/>
    </row>
    <row r="26275" spans="10:10" ht="15" customHeight="1" x14ac:dyDescent="0.3">
      <c r="J26275" s="33"/>
    </row>
    <row r="26276" spans="10:10" ht="15" customHeight="1" x14ac:dyDescent="0.3">
      <c r="J26276" s="33"/>
    </row>
    <row r="26277" spans="10:10" ht="15" customHeight="1" x14ac:dyDescent="0.3">
      <c r="J26277" s="33"/>
    </row>
    <row r="26278" spans="10:10" ht="15" customHeight="1" x14ac:dyDescent="0.3">
      <c r="J26278" s="33"/>
    </row>
    <row r="26279" spans="10:10" ht="15" customHeight="1" x14ac:dyDescent="0.3">
      <c r="J26279" s="33"/>
    </row>
    <row r="26280" spans="10:10" ht="15" customHeight="1" x14ac:dyDescent="0.3">
      <c r="J26280" s="33"/>
    </row>
    <row r="26281" spans="10:10" ht="15" customHeight="1" x14ac:dyDescent="0.3">
      <c r="J26281" s="33"/>
    </row>
    <row r="26282" spans="10:10" ht="15" customHeight="1" x14ac:dyDescent="0.3">
      <c r="J26282" s="33"/>
    </row>
    <row r="26283" spans="10:10" ht="15" customHeight="1" x14ac:dyDescent="0.3">
      <c r="J26283" s="33"/>
    </row>
    <row r="26284" spans="10:10" ht="15" customHeight="1" x14ac:dyDescent="0.3">
      <c r="J26284" s="33"/>
    </row>
    <row r="26285" spans="10:10" ht="15" customHeight="1" x14ac:dyDescent="0.3">
      <c r="J26285" s="33"/>
    </row>
    <row r="26286" spans="10:10" ht="15" customHeight="1" x14ac:dyDescent="0.3">
      <c r="J26286" s="33"/>
    </row>
    <row r="26287" spans="10:10" ht="15" customHeight="1" x14ac:dyDescent="0.3">
      <c r="J26287" s="33"/>
    </row>
    <row r="26288" spans="10:10" ht="15" customHeight="1" x14ac:dyDescent="0.3">
      <c r="J26288" s="33"/>
    </row>
    <row r="26289" spans="10:10" ht="15" customHeight="1" x14ac:dyDescent="0.3">
      <c r="J26289" s="33"/>
    </row>
    <row r="26290" spans="10:10" ht="15" customHeight="1" x14ac:dyDescent="0.3">
      <c r="J26290" s="33"/>
    </row>
    <row r="26291" spans="10:10" ht="15" customHeight="1" x14ac:dyDescent="0.3">
      <c r="J26291" s="33"/>
    </row>
    <row r="26292" spans="10:10" ht="15" customHeight="1" x14ac:dyDescent="0.3">
      <c r="J26292" s="33"/>
    </row>
    <row r="26293" spans="10:10" ht="15" customHeight="1" x14ac:dyDescent="0.3">
      <c r="J26293" s="33"/>
    </row>
    <row r="26294" spans="10:10" ht="15" customHeight="1" x14ac:dyDescent="0.3">
      <c r="J26294" s="33"/>
    </row>
    <row r="26295" spans="10:10" ht="15" customHeight="1" x14ac:dyDescent="0.3">
      <c r="J26295" s="33"/>
    </row>
    <row r="26296" spans="10:10" ht="15" customHeight="1" x14ac:dyDescent="0.3">
      <c r="J26296" s="33"/>
    </row>
    <row r="26297" spans="10:10" ht="15" customHeight="1" x14ac:dyDescent="0.3">
      <c r="J26297" s="33"/>
    </row>
    <row r="26298" spans="10:10" ht="15" customHeight="1" x14ac:dyDescent="0.3">
      <c r="J26298" s="33"/>
    </row>
    <row r="26299" spans="10:10" ht="15" customHeight="1" x14ac:dyDescent="0.3">
      <c r="J26299" s="33"/>
    </row>
    <row r="26300" spans="10:10" ht="15" customHeight="1" x14ac:dyDescent="0.3">
      <c r="J26300" s="33"/>
    </row>
    <row r="26301" spans="10:10" ht="15" customHeight="1" x14ac:dyDescent="0.3">
      <c r="J26301" s="33"/>
    </row>
    <row r="26302" spans="10:10" ht="15" customHeight="1" x14ac:dyDescent="0.3">
      <c r="J26302" s="33"/>
    </row>
    <row r="26303" spans="10:10" ht="15" customHeight="1" x14ac:dyDescent="0.3">
      <c r="J26303" s="33"/>
    </row>
    <row r="26304" spans="10:10" ht="15" customHeight="1" x14ac:dyDescent="0.3">
      <c r="J26304" s="33"/>
    </row>
    <row r="26305" spans="10:10" ht="15" customHeight="1" x14ac:dyDescent="0.3">
      <c r="J26305" s="33"/>
    </row>
    <row r="26306" spans="10:10" ht="15" customHeight="1" x14ac:dyDescent="0.3">
      <c r="J26306" s="33"/>
    </row>
    <row r="26307" spans="10:10" ht="15" customHeight="1" x14ac:dyDescent="0.3">
      <c r="J26307" s="33"/>
    </row>
    <row r="26308" spans="10:10" ht="15" customHeight="1" x14ac:dyDescent="0.3">
      <c r="J26308" s="33"/>
    </row>
    <row r="26309" spans="10:10" ht="15" customHeight="1" x14ac:dyDescent="0.3">
      <c r="J26309" s="33"/>
    </row>
    <row r="26310" spans="10:10" ht="15" customHeight="1" x14ac:dyDescent="0.3">
      <c r="J26310" s="33"/>
    </row>
    <row r="26311" spans="10:10" ht="15" customHeight="1" x14ac:dyDescent="0.3">
      <c r="J26311" s="33"/>
    </row>
    <row r="26312" spans="10:10" ht="15" customHeight="1" x14ac:dyDescent="0.3">
      <c r="J26312" s="33"/>
    </row>
    <row r="26313" spans="10:10" ht="15" customHeight="1" x14ac:dyDescent="0.3">
      <c r="J26313" s="33"/>
    </row>
    <row r="26314" spans="10:10" ht="15" customHeight="1" x14ac:dyDescent="0.3">
      <c r="J26314" s="33"/>
    </row>
    <row r="26315" spans="10:10" ht="15" customHeight="1" x14ac:dyDescent="0.3">
      <c r="J26315" s="33"/>
    </row>
    <row r="26316" spans="10:10" ht="15" customHeight="1" x14ac:dyDescent="0.3">
      <c r="J26316" s="33"/>
    </row>
    <row r="26317" spans="10:10" ht="15" customHeight="1" x14ac:dyDescent="0.3">
      <c r="J26317" s="33"/>
    </row>
    <row r="26318" spans="10:10" ht="15" customHeight="1" x14ac:dyDescent="0.3">
      <c r="J26318" s="33"/>
    </row>
    <row r="26319" spans="10:10" ht="15" customHeight="1" x14ac:dyDescent="0.3">
      <c r="J26319" s="33"/>
    </row>
    <row r="26320" spans="10:10" ht="15" customHeight="1" x14ac:dyDescent="0.3">
      <c r="J26320" s="33"/>
    </row>
    <row r="26321" spans="10:10" ht="15" customHeight="1" x14ac:dyDescent="0.3">
      <c r="J26321" s="33"/>
    </row>
    <row r="26322" spans="10:10" ht="15" customHeight="1" x14ac:dyDescent="0.3">
      <c r="J26322" s="33"/>
    </row>
    <row r="26323" spans="10:10" ht="15" customHeight="1" x14ac:dyDescent="0.3">
      <c r="J26323" s="33"/>
    </row>
    <row r="26324" spans="10:10" ht="15" customHeight="1" x14ac:dyDescent="0.3">
      <c r="J26324" s="33"/>
    </row>
    <row r="26325" spans="10:10" ht="15" customHeight="1" x14ac:dyDescent="0.3">
      <c r="J26325" s="33"/>
    </row>
    <row r="26326" spans="10:10" ht="15" customHeight="1" x14ac:dyDescent="0.3">
      <c r="J26326" s="33"/>
    </row>
    <row r="26327" spans="10:10" ht="15" customHeight="1" x14ac:dyDescent="0.3">
      <c r="J26327" s="33"/>
    </row>
    <row r="26328" spans="10:10" ht="15" customHeight="1" x14ac:dyDescent="0.3">
      <c r="J26328" s="33"/>
    </row>
    <row r="26329" spans="10:10" ht="15" customHeight="1" x14ac:dyDescent="0.3">
      <c r="J26329" s="33"/>
    </row>
    <row r="26330" spans="10:10" ht="15" customHeight="1" x14ac:dyDescent="0.3">
      <c r="J26330" s="33"/>
    </row>
    <row r="26331" spans="10:10" ht="15" customHeight="1" x14ac:dyDescent="0.3">
      <c r="J26331" s="33"/>
    </row>
    <row r="26332" spans="10:10" ht="15" customHeight="1" x14ac:dyDescent="0.3">
      <c r="J26332" s="33"/>
    </row>
    <row r="26333" spans="10:10" ht="15" customHeight="1" x14ac:dyDescent="0.3">
      <c r="J26333" s="33"/>
    </row>
    <row r="26334" spans="10:10" ht="15" customHeight="1" x14ac:dyDescent="0.3">
      <c r="J26334" s="33"/>
    </row>
    <row r="26335" spans="10:10" ht="15" customHeight="1" x14ac:dyDescent="0.3">
      <c r="J26335" s="33"/>
    </row>
    <row r="26336" spans="10:10" ht="15" customHeight="1" x14ac:dyDescent="0.3">
      <c r="J26336" s="33"/>
    </row>
    <row r="26337" spans="10:10" ht="15" customHeight="1" x14ac:dyDescent="0.3">
      <c r="J26337" s="33"/>
    </row>
    <row r="26338" spans="10:10" ht="15" customHeight="1" x14ac:dyDescent="0.3">
      <c r="J26338" s="33"/>
    </row>
    <row r="26339" spans="10:10" ht="15" customHeight="1" x14ac:dyDescent="0.3">
      <c r="J26339" s="33"/>
    </row>
    <row r="26340" spans="10:10" ht="15" customHeight="1" x14ac:dyDescent="0.3">
      <c r="J26340" s="33"/>
    </row>
    <row r="26341" spans="10:10" ht="15" customHeight="1" x14ac:dyDescent="0.3">
      <c r="J26341" s="33"/>
    </row>
    <row r="26342" spans="10:10" ht="15" customHeight="1" x14ac:dyDescent="0.3">
      <c r="J26342" s="33"/>
    </row>
    <row r="26343" spans="10:10" ht="15" customHeight="1" x14ac:dyDescent="0.3">
      <c r="J26343" s="33"/>
    </row>
    <row r="26344" spans="10:10" ht="15" customHeight="1" x14ac:dyDescent="0.3">
      <c r="J26344" s="33"/>
    </row>
    <row r="26345" spans="10:10" ht="15" customHeight="1" x14ac:dyDescent="0.3">
      <c r="J26345" s="33"/>
    </row>
    <row r="26346" spans="10:10" ht="15" customHeight="1" x14ac:dyDescent="0.3">
      <c r="J26346" s="33"/>
    </row>
    <row r="26347" spans="10:10" ht="15" customHeight="1" x14ac:dyDescent="0.3">
      <c r="J26347" s="33"/>
    </row>
    <row r="26348" spans="10:10" ht="15" customHeight="1" x14ac:dyDescent="0.3">
      <c r="J26348" s="33"/>
    </row>
    <row r="26349" spans="10:10" ht="15" customHeight="1" x14ac:dyDescent="0.3">
      <c r="J26349" s="33"/>
    </row>
    <row r="26350" spans="10:10" ht="15" customHeight="1" x14ac:dyDescent="0.3">
      <c r="J26350" s="33"/>
    </row>
    <row r="26351" spans="10:10" ht="15" customHeight="1" x14ac:dyDescent="0.3">
      <c r="J26351" s="33"/>
    </row>
    <row r="26352" spans="10:10" ht="15" customHeight="1" x14ac:dyDescent="0.3">
      <c r="J26352" s="33"/>
    </row>
    <row r="26353" spans="10:10" ht="15" customHeight="1" x14ac:dyDescent="0.3">
      <c r="J26353" s="33"/>
    </row>
    <row r="26354" spans="10:10" ht="15" customHeight="1" x14ac:dyDescent="0.3">
      <c r="J26354" s="33"/>
    </row>
    <row r="26355" spans="10:10" ht="15" customHeight="1" x14ac:dyDescent="0.3">
      <c r="J26355" s="33"/>
    </row>
    <row r="26356" spans="10:10" ht="15" customHeight="1" x14ac:dyDescent="0.3">
      <c r="J26356" s="33"/>
    </row>
    <row r="26357" spans="10:10" ht="15" customHeight="1" x14ac:dyDescent="0.3">
      <c r="J26357" s="33"/>
    </row>
    <row r="26358" spans="10:10" ht="15" customHeight="1" x14ac:dyDescent="0.3">
      <c r="J26358" s="33"/>
    </row>
    <row r="26359" spans="10:10" ht="15" customHeight="1" x14ac:dyDescent="0.3">
      <c r="J26359" s="33"/>
    </row>
    <row r="26360" spans="10:10" ht="15" customHeight="1" x14ac:dyDescent="0.3">
      <c r="J26360" s="33"/>
    </row>
    <row r="26361" spans="10:10" ht="15" customHeight="1" x14ac:dyDescent="0.3">
      <c r="J26361" s="33"/>
    </row>
    <row r="26362" spans="10:10" ht="15" customHeight="1" x14ac:dyDescent="0.3">
      <c r="J26362" s="33"/>
    </row>
    <row r="26363" spans="10:10" ht="15" customHeight="1" x14ac:dyDescent="0.3">
      <c r="J26363" s="33"/>
    </row>
    <row r="26364" spans="10:10" ht="15" customHeight="1" x14ac:dyDescent="0.3">
      <c r="J26364" s="33"/>
    </row>
    <row r="26365" spans="10:10" ht="15" customHeight="1" x14ac:dyDescent="0.3">
      <c r="J26365" s="33"/>
    </row>
    <row r="26366" spans="10:10" ht="15" customHeight="1" x14ac:dyDescent="0.3">
      <c r="J26366" s="33"/>
    </row>
    <row r="26367" spans="10:10" ht="15" customHeight="1" x14ac:dyDescent="0.3">
      <c r="J26367" s="33"/>
    </row>
    <row r="26368" spans="10:10" ht="15" customHeight="1" x14ac:dyDescent="0.3">
      <c r="J26368" s="33"/>
    </row>
    <row r="26369" spans="10:10" ht="15" customHeight="1" x14ac:dyDescent="0.3">
      <c r="J26369" s="33"/>
    </row>
    <row r="26370" spans="10:10" ht="15" customHeight="1" x14ac:dyDescent="0.3">
      <c r="J26370" s="33"/>
    </row>
    <row r="26371" spans="10:10" ht="15" customHeight="1" x14ac:dyDescent="0.3">
      <c r="J26371" s="33"/>
    </row>
    <row r="26372" spans="10:10" ht="15" customHeight="1" x14ac:dyDescent="0.3">
      <c r="J26372" s="33"/>
    </row>
    <row r="26373" spans="10:10" ht="15" customHeight="1" x14ac:dyDescent="0.3">
      <c r="J26373" s="33"/>
    </row>
    <row r="26374" spans="10:10" ht="15" customHeight="1" x14ac:dyDescent="0.3">
      <c r="J26374" s="33"/>
    </row>
    <row r="26375" spans="10:10" ht="15" customHeight="1" x14ac:dyDescent="0.3">
      <c r="J26375" s="33"/>
    </row>
    <row r="26376" spans="10:10" ht="15" customHeight="1" x14ac:dyDescent="0.3">
      <c r="J26376" s="33"/>
    </row>
    <row r="26377" spans="10:10" ht="15" customHeight="1" x14ac:dyDescent="0.3">
      <c r="J26377" s="33"/>
    </row>
    <row r="26378" spans="10:10" ht="15" customHeight="1" x14ac:dyDescent="0.3">
      <c r="J26378" s="33"/>
    </row>
    <row r="26379" spans="10:10" ht="15" customHeight="1" x14ac:dyDescent="0.3">
      <c r="J26379" s="33"/>
    </row>
    <row r="26380" spans="10:10" ht="15" customHeight="1" x14ac:dyDescent="0.3">
      <c r="J26380" s="33"/>
    </row>
    <row r="26381" spans="10:10" ht="15" customHeight="1" x14ac:dyDescent="0.3">
      <c r="J26381" s="33"/>
    </row>
    <row r="26382" spans="10:10" ht="15" customHeight="1" x14ac:dyDescent="0.3">
      <c r="J26382" s="33"/>
    </row>
    <row r="26383" spans="10:10" ht="15" customHeight="1" x14ac:dyDescent="0.3">
      <c r="J26383" s="33"/>
    </row>
    <row r="26384" spans="10:10" ht="15" customHeight="1" x14ac:dyDescent="0.3">
      <c r="J26384" s="33"/>
    </row>
    <row r="26385" spans="10:10" ht="15" customHeight="1" x14ac:dyDescent="0.3">
      <c r="J26385" s="33"/>
    </row>
    <row r="26386" spans="10:10" ht="15" customHeight="1" x14ac:dyDescent="0.3">
      <c r="J26386" s="33"/>
    </row>
    <row r="26387" spans="10:10" ht="15" customHeight="1" x14ac:dyDescent="0.3">
      <c r="J26387" s="33"/>
    </row>
    <row r="26388" spans="10:10" ht="15" customHeight="1" x14ac:dyDescent="0.3">
      <c r="J26388" s="33"/>
    </row>
    <row r="26389" spans="10:10" ht="15" customHeight="1" x14ac:dyDescent="0.3">
      <c r="J26389" s="33"/>
    </row>
    <row r="26390" spans="10:10" ht="15" customHeight="1" x14ac:dyDescent="0.3">
      <c r="J26390" s="33"/>
    </row>
    <row r="26391" spans="10:10" ht="15" customHeight="1" x14ac:dyDescent="0.3">
      <c r="J26391" s="33"/>
    </row>
    <row r="26392" spans="10:10" ht="15" customHeight="1" x14ac:dyDescent="0.3">
      <c r="J26392" s="33"/>
    </row>
    <row r="26393" spans="10:10" ht="15" customHeight="1" x14ac:dyDescent="0.3">
      <c r="J26393" s="33"/>
    </row>
    <row r="26394" spans="10:10" ht="15" customHeight="1" x14ac:dyDescent="0.3">
      <c r="J26394" s="33"/>
    </row>
    <row r="26395" spans="10:10" ht="15" customHeight="1" x14ac:dyDescent="0.3">
      <c r="J26395" s="33"/>
    </row>
    <row r="26396" spans="10:10" ht="15" customHeight="1" x14ac:dyDescent="0.3">
      <c r="J26396" s="33"/>
    </row>
    <row r="26397" spans="10:10" ht="15" customHeight="1" x14ac:dyDescent="0.3">
      <c r="J26397" s="33"/>
    </row>
    <row r="26398" spans="10:10" ht="15" customHeight="1" x14ac:dyDescent="0.3">
      <c r="J26398" s="33"/>
    </row>
    <row r="26399" spans="10:10" ht="15" customHeight="1" x14ac:dyDescent="0.3">
      <c r="J26399" s="33"/>
    </row>
    <row r="26400" spans="10:10" ht="15" customHeight="1" x14ac:dyDescent="0.3">
      <c r="J26400" s="33"/>
    </row>
    <row r="26401" spans="10:10" ht="15" customHeight="1" x14ac:dyDescent="0.3">
      <c r="J26401" s="33"/>
    </row>
    <row r="26402" spans="10:10" ht="15" customHeight="1" x14ac:dyDescent="0.3">
      <c r="J26402" s="33"/>
    </row>
    <row r="26403" spans="10:10" ht="15" customHeight="1" x14ac:dyDescent="0.3">
      <c r="J26403" s="33"/>
    </row>
    <row r="26404" spans="10:10" ht="15" customHeight="1" x14ac:dyDescent="0.3">
      <c r="J26404" s="33"/>
    </row>
    <row r="26405" spans="10:10" ht="15" customHeight="1" x14ac:dyDescent="0.3">
      <c r="J26405" s="33"/>
    </row>
    <row r="26406" spans="10:10" ht="15" customHeight="1" x14ac:dyDescent="0.3">
      <c r="J26406" s="33"/>
    </row>
    <row r="26407" spans="10:10" ht="15" customHeight="1" x14ac:dyDescent="0.3">
      <c r="J26407" s="33"/>
    </row>
    <row r="26408" spans="10:10" ht="15" customHeight="1" x14ac:dyDescent="0.3">
      <c r="J26408" s="33"/>
    </row>
    <row r="26409" spans="10:10" ht="15" customHeight="1" x14ac:dyDescent="0.3">
      <c r="J26409" s="33"/>
    </row>
    <row r="26410" spans="10:10" ht="15" customHeight="1" x14ac:dyDescent="0.3">
      <c r="J26410" s="33"/>
    </row>
    <row r="26411" spans="10:10" ht="15" customHeight="1" x14ac:dyDescent="0.3">
      <c r="J26411" s="33"/>
    </row>
    <row r="26412" spans="10:10" ht="15" customHeight="1" x14ac:dyDescent="0.3">
      <c r="J26412" s="33"/>
    </row>
    <row r="26413" spans="10:10" ht="15" customHeight="1" x14ac:dyDescent="0.3">
      <c r="J26413" s="33"/>
    </row>
    <row r="26414" spans="10:10" ht="15" customHeight="1" x14ac:dyDescent="0.3">
      <c r="J26414" s="33"/>
    </row>
    <row r="26415" spans="10:10" ht="15" customHeight="1" x14ac:dyDescent="0.3">
      <c r="J26415" s="33"/>
    </row>
    <row r="26416" spans="10:10" ht="15" customHeight="1" x14ac:dyDescent="0.3">
      <c r="J26416" s="33"/>
    </row>
    <row r="26417" spans="10:10" ht="15" customHeight="1" x14ac:dyDescent="0.3">
      <c r="J26417" s="33"/>
    </row>
    <row r="26418" spans="10:10" ht="15" customHeight="1" x14ac:dyDescent="0.3">
      <c r="J26418" s="33"/>
    </row>
    <row r="26419" spans="10:10" ht="15" customHeight="1" x14ac:dyDescent="0.3">
      <c r="J26419" s="33"/>
    </row>
    <row r="26420" spans="10:10" ht="15" customHeight="1" x14ac:dyDescent="0.3">
      <c r="J26420" s="33"/>
    </row>
    <row r="26421" spans="10:10" ht="15" customHeight="1" x14ac:dyDescent="0.3">
      <c r="J26421" s="33"/>
    </row>
    <row r="26422" spans="10:10" ht="15" customHeight="1" x14ac:dyDescent="0.3">
      <c r="J26422" s="33"/>
    </row>
    <row r="26423" spans="10:10" ht="15" customHeight="1" x14ac:dyDescent="0.3">
      <c r="J26423" s="33"/>
    </row>
    <row r="26424" spans="10:10" ht="15" customHeight="1" x14ac:dyDescent="0.3">
      <c r="J26424" s="33"/>
    </row>
    <row r="26425" spans="10:10" ht="15" customHeight="1" x14ac:dyDescent="0.3">
      <c r="J26425" s="33"/>
    </row>
    <row r="26426" spans="10:10" ht="15" customHeight="1" x14ac:dyDescent="0.3">
      <c r="J26426" s="33"/>
    </row>
    <row r="26427" spans="10:10" ht="15" customHeight="1" x14ac:dyDescent="0.3">
      <c r="J26427" s="33"/>
    </row>
    <row r="26428" spans="10:10" ht="15" customHeight="1" x14ac:dyDescent="0.3">
      <c r="J26428" s="33"/>
    </row>
    <row r="26429" spans="10:10" ht="15" customHeight="1" x14ac:dyDescent="0.3">
      <c r="J26429" s="33"/>
    </row>
    <row r="26430" spans="10:10" ht="15" customHeight="1" x14ac:dyDescent="0.3">
      <c r="J26430" s="33"/>
    </row>
    <row r="26431" spans="10:10" ht="15" customHeight="1" x14ac:dyDescent="0.3">
      <c r="J26431" s="33"/>
    </row>
    <row r="26432" spans="10:10" ht="15" customHeight="1" x14ac:dyDescent="0.3">
      <c r="J26432" s="33"/>
    </row>
    <row r="26433" spans="10:10" ht="15" customHeight="1" x14ac:dyDescent="0.3">
      <c r="J26433" s="33"/>
    </row>
    <row r="26434" spans="10:10" ht="15" customHeight="1" x14ac:dyDescent="0.3">
      <c r="J26434" s="33"/>
    </row>
    <row r="26435" spans="10:10" ht="15" customHeight="1" x14ac:dyDescent="0.3">
      <c r="J26435" s="33"/>
    </row>
    <row r="26436" spans="10:10" ht="15" customHeight="1" x14ac:dyDescent="0.3">
      <c r="J26436" s="33"/>
    </row>
    <row r="26437" spans="10:10" ht="15" customHeight="1" x14ac:dyDescent="0.3">
      <c r="J26437" s="33"/>
    </row>
    <row r="26438" spans="10:10" ht="15" customHeight="1" x14ac:dyDescent="0.3">
      <c r="J26438" s="33"/>
    </row>
    <row r="26439" spans="10:10" ht="15" customHeight="1" x14ac:dyDescent="0.3">
      <c r="J26439" s="33"/>
    </row>
    <row r="26440" spans="10:10" ht="15" customHeight="1" x14ac:dyDescent="0.3">
      <c r="J26440" s="33"/>
    </row>
    <row r="26441" spans="10:10" ht="15" customHeight="1" x14ac:dyDescent="0.3">
      <c r="J26441" s="33"/>
    </row>
    <row r="26442" spans="10:10" ht="15" customHeight="1" x14ac:dyDescent="0.3">
      <c r="J26442" s="33"/>
    </row>
    <row r="26443" spans="10:10" ht="15" customHeight="1" x14ac:dyDescent="0.3">
      <c r="J26443" s="33"/>
    </row>
    <row r="26444" spans="10:10" ht="15" customHeight="1" x14ac:dyDescent="0.3">
      <c r="J26444" s="33"/>
    </row>
    <row r="26445" spans="10:10" ht="15" customHeight="1" x14ac:dyDescent="0.3">
      <c r="J26445" s="33"/>
    </row>
    <row r="26446" spans="10:10" ht="15" customHeight="1" x14ac:dyDescent="0.3">
      <c r="J26446" s="33"/>
    </row>
    <row r="26447" spans="10:10" ht="15" customHeight="1" x14ac:dyDescent="0.3">
      <c r="J26447" s="33"/>
    </row>
    <row r="26448" spans="10:10" ht="15" customHeight="1" x14ac:dyDescent="0.3">
      <c r="J26448" s="33"/>
    </row>
    <row r="26449" spans="10:10" ht="15" customHeight="1" x14ac:dyDescent="0.3">
      <c r="J26449" s="33"/>
    </row>
    <row r="26450" spans="10:10" ht="15" customHeight="1" x14ac:dyDescent="0.3">
      <c r="J26450" s="33"/>
    </row>
    <row r="26451" spans="10:10" ht="15" customHeight="1" x14ac:dyDescent="0.3">
      <c r="J26451" s="33"/>
    </row>
    <row r="26452" spans="10:10" ht="15" customHeight="1" x14ac:dyDescent="0.3">
      <c r="J26452" s="33"/>
    </row>
    <row r="26453" spans="10:10" ht="15" customHeight="1" x14ac:dyDescent="0.3">
      <c r="J26453" s="33"/>
    </row>
    <row r="26454" spans="10:10" ht="15" customHeight="1" x14ac:dyDescent="0.3">
      <c r="J26454" s="33"/>
    </row>
    <row r="26455" spans="10:10" ht="15" customHeight="1" x14ac:dyDescent="0.3">
      <c r="J26455" s="33"/>
    </row>
    <row r="26456" spans="10:10" ht="15" customHeight="1" x14ac:dyDescent="0.3">
      <c r="J26456" s="33"/>
    </row>
    <row r="26457" spans="10:10" ht="15" customHeight="1" x14ac:dyDescent="0.3">
      <c r="J26457" s="33"/>
    </row>
    <row r="26458" spans="10:10" ht="15" customHeight="1" x14ac:dyDescent="0.3">
      <c r="J26458" s="33"/>
    </row>
    <row r="26459" spans="10:10" ht="15" customHeight="1" x14ac:dyDescent="0.3">
      <c r="J26459" s="33"/>
    </row>
    <row r="26460" spans="10:10" ht="15" customHeight="1" x14ac:dyDescent="0.3">
      <c r="J26460" s="33"/>
    </row>
    <row r="26461" spans="10:10" ht="15" customHeight="1" x14ac:dyDescent="0.3">
      <c r="J26461" s="33"/>
    </row>
    <row r="26462" spans="10:10" ht="15" customHeight="1" x14ac:dyDescent="0.3">
      <c r="J26462" s="33"/>
    </row>
    <row r="26463" spans="10:10" ht="15" customHeight="1" x14ac:dyDescent="0.3">
      <c r="J26463" s="33"/>
    </row>
    <row r="26464" spans="10:10" ht="15" customHeight="1" x14ac:dyDescent="0.3">
      <c r="J26464" s="33"/>
    </row>
    <row r="26465" spans="10:10" ht="15" customHeight="1" x14ac:dyDescent="0.3">
      <c r="J26465" s="33"/>
    </row>
    <row r="26466" spans="10:10" ht="15" customHeight="1" x14ac:dyDescent="0.3">
      <c r="J26466" s="33"/>
    </row>
    <row r="26467" spans="10:10" ht="15" customHeight="1" x14ac:dyDescent="0.3">
      <c r="J26467" s="33"/>
    </row>
    <row r="26468" spans="10:10" ht="15" customHeight="1" x14ac:dyDescent="0.3">
      <c r="J26468" s="33"/>
    </row>
    <row r="26469" spans="10:10" ht="15" customHeight="1" x14ac:dyDescent="0.3">
      <c r="J26469" s="33"/>
    </row>
    <row r="26470" spans="10:10" ht="15" customHeight="1" x14ac:dyDescent="0.3">
      <c r="J26470" s="33"/>
    </row>
    <row r="26471" spans="10:10" ht="15" customHeight="1" x14ac:dyDescent="0.3">
      <c r="J26471" s="33"/>
    </row>
    <row r="26472" spans="10:10" ht="15" customHeight="1" x14ac:dyDescent="0.3">
      <c r="J26472" s="33"/>
    </row>
    <row r="26473" spans="10:10" ht="15" customHeight="1" x14ac:dyDescent="0.3">
      <c r="J26473" s="33"/>
    </row>
    <row r="26474" spans="10:10" ht="15" customHeight="1" x14ac:dyDescent="0.3">
      <c r="J26474" s="33"/>
    </row>
    <row r="26475" spans="10:10" ht="15" customHeight="1" x14ac:dyDescent="0.3">
      <c r="J26475" s="33"/>
    </row>
    <row r="26476" spans="10:10" ht="15" customHeight="1" x14ac:dyDescent="0.3">
      <c r="J26476" s="33"/>
    </row>
    <row r="26477" spans="10:10" ht="15" customHeight="1" x14ac:dyDescent="0.3">
      <c r="J26477" s="33"/>
    </row>
    <row r="26478" spans="10:10" ht="15" customHeight="1" x14ac:dyDescent="0.3">
      <c r="J26478" s="33"/>
    </row>
    <row r="26479" spans="10:10" ht="15" customHeight="1" x14ac:dyDescent="0.3">
      <c r="J26479" s="33"/>
    </row>
    <row r="26480" spans="10:10" ht="15" customHeight="1" x14ac:dyDescent="0.3">
      <c r="J26480" s="33"/>
    </row>
    <row r="26481" spans="10:10" ht="15" customHeight="1" x14ac:dyDescent="0.3">
      <c r="J26481" s="33"/>
    </row>
    <row r="26482" spans="10:10" ht="15" customHeight="1" x14ac:dyDescent="0.3">
      <c r="J26482" s="33"/>
    </row>
    <row r="26483" spans="10:10" ht="15" customHeight="1" x14ac:dyDescent="0.3">
      <c r="J26483" s="33"/>
    </row>
    <row r="26484" spans="10:10" ht="15" customHeight="1" x14ac:dyDescent="0.3">
      <c r="J26484" s="33"/>
    </row>
    <row r="26485" spans="10:10" ht="15" customHeight="1" x14ac:dyDescent="0.3">
      <c r="J26485" s="33"/>
    </row>
    <row r="26486" spans="10:10" ht="15" customHeight="1" x14ac:dyDescent="0.3">
      <c r="J26486" s="33"/>
    </row>
    <row r="26487" spans="10:10" ht="15" customHeight="1" x14ac:dyDescent="0.3">
      <c r="J26487" s="33"/>
    </row>
    <row r="26488" spans="10:10" ht="15" customHeight="1" x14ac:dyDescent="0.3">
      <c r="J26488" s="33"/>
    </row>
    <row r="26489" spans="10:10" ht="15" customHeight="1" x14ac:dyDescent="0.3">
      <c r="J26489" s="33"/>
    </row>
    <row r="26490" spans="10:10" ht="15" customHeight="1" x14ac:dyDescent="0.3">
      <c r="J26490" s="33"/>
    </row>
    <row r="26491" spans="10:10" ht="15" customHeight="1" x14ac:dyDescent="0.3">
      <c r="J26491" s="33"/>
    </row>
    <row r="26492" spans="10:10" ht="15" customHeight="1" x14ac:dyDescent="0.3">
      <c r="J26492" s="33"/>
    </row>
    <row r="26493" spans="10:10" ht="15" customHeight="1" x14ac:dyDescent="0.3">
      <c r="J26493" s="33"/>
    </row>
    <row r="26494" spans="10:10" ht="15" customHeight="1" x14ac:dyDescent="0.3">
      <c r="J26494" s="33"/>
    </row>
    <row r="26495" spans="10:10" ht="15" customHeight="1" x14ac:dyDescent="0.3">
      <c r="J26495" s="33"/>
    </row>
    <row r="26496" spans="10:10" ht="15" customHeight="1" x14ac:dyDescent="0.3">
      <c r="J26496" s="33"/>
    </row>
    <row r="26497" spans="10:10" ht="15" customHeight="1" x14ac:dyDescent="0.3">
      <c r="J26497" s="33"/>
    </row>
    <row r="26498" spans="10:10" ht="15" customHeight="1" x14ac:dyDescent="0.3">
      <c r="J26498" s="33"/>
    </row>
    <row r="26499" spans="10:10" ht="15" customHeight="1" x14ac:dyDescent="0.3">
      <c r="J26499" s="33"/>
    </row>
    <row r="26500" spans="10:10" ht="15" customHeight="1" x14ac:dyDescent="0.3">
      <c r="J26500" s="33"/>
    </row>
    <row r="26501" spans="10:10" ht="15" customHeight="1" x14ac:dyDescent="0.3">
      <c r="J26501" s="33"/>
    </row>
    <row r="26502" spans="10:10" ht="15" customHeight="1" x14ac:dyDescent="0.3">
      <c r="J26502" s="33"/>
    </row>
    <row r="26503" spans="10:10" ht="15" customHeight="1" x14ac:dyDescent="0.3">
      <c r="J26503" s="33"/>
    </row>
    <row r="26504" spans="10:10" ht="15" customHeight="1" x14ac:dyDescent="0.3">
      <c r="J26504" s="33"/>
    </row>
    <row r="26505" spans="10:10" ht="15" customHeight="1" x14ac:dyDescent="0.3">
      <c r="J26505" s="33"/>
    </row>
    <row r="26506" spans="10:10" ht="15" customHeight="1" x14ac:dyDescent="0.3">
      <c r="J26506" s="33"/>
    </row>
    <row r="26507" spans="10:10" ht="15" customHeight="1" x14ac:dyDescent="0.3">
      <c r="J26507" s="33"/>
    </row>
    <row r="26508" spans="10:10" ht="15" customHeight="1" x14ac:dyDescent="0.3">
      <c r="J26508" s="33"/>
    </row>
    <row r="26509" spans="10:10" ht="15" customHeight="1" x14ac:dyDescent="0.3">
      <c r="J26509" s="33"/>
    </row>
    <row r="26510" spans="10:10" ht="15" customHeight="1" x14ac:dyDescent="0.3">
      <c r="J26510" s="33"/>
    </row>
    <row r="26511" spans="10:10" ht="15" customHeight="1" x14ac:dyDescent="0.3">
      <c r="J26511" s="33"/>
    </row>
    <row r="26512" spans="10:10" ht="15" customHeight="1" x14ac:dyDescent="0.3">
      <c r="J26512" s="33"/>
    </row>
    <row r="26513" spans="10:10" ht="15" customHeight="1" x14ac:dyDescent="0.3">
      <c r="J26513" s="33"/>
    </row>
    <row r="26514" spans="10:10" ht="15" customHeight="1" x14ac:dyDescent="0.3">
      <c r="J26514" s="33"/>
    </row>
    <row r="26515" spans="10:10" ht="15" customHeight="1" x14ac:dyDescent="0.3">
      <c r="J26515" s="33"/>
    </row>
    <row r="26516" spans="10:10" ht="15" customHeight="1" x14ac:dyDescent="0.3">
      <c r="J26516" s="33"/>
    </row>
    <row r="26517" spans="10:10" ht="15" customHeight="1" x14ac:dyDescent="0.3">
      <c r="J26517" s="33"/>
    </row>
    <row r="26518" spans="10:10" ht="15" customHeight="1" x14ac:dyDescent="0.3">
      <c r="J26518" s="33"/>
    </row>
    <row r="26519" spans="10:10" ht="15" customHeight="1" x14ac:dyDescent="0.3">
      <c r="J26519" s="33"/>
    </row>
    <row r="26520" spans="10:10" ht="15" customHeight="1" x14ac:dyDescent="0.3">
      <c r="J26520" s="33"/>
    </row>
    <row r="26521" spans="10:10" ht="15" customHeight="1" x14ac:dyDescent="0.3">
      <c r="J26521" s="33"/>
    </row>
    <row r="26522" spans="10:10" ht="15" customHeight="1" x14ac:dyDescent="0.3">
      <c r="J26522" s="33"/>
    </row>
    <row r="26523" spans="10:10" ht="15" customHeight="1" x14ac:dyDescent="0.3">
      <c r="J26523" s="33"/>
    </row>
    <row r="26524" spans="10:10" ht="15" customHeight="1" x14ac:dyDescent="0.3">
      <c r="J26524" s="33"/>
    </row>
    <row r="26525" spans="10:10" ht="15" customHeight="1" x14ac:dyDescent="0.3">
      <c r="J26525" s="33"/>
    </row>
    <row r="26526" spans="10:10" ht="15" customHeight="1" x14ac:dyDescent="0.3">
      <c r="J26526" s="33"/>
    </row>
    <row r="26527" spans="10:10" ht="15" customHeight="1" x14ac:dyDescent="0.3">
      <c r="J26527" s="33"/>
    </row>
    <row r="26528" spans="10:10" ht="15" customHeight="1" x14ac:dyDescent="0.3">
      <c r="J26528" s="33"/>
    </row>
    <row r="26529" spans="10:10" ht="15" customHeight="1" x14ac:dyDescent="0.3">
      <c r="J26529" s="33"/>
    </row>
    <row r="26530" spans="10:10" ht="15" customHeight="1" x14ac:dyDescent="0.3">
      <c r="J26530" s="33"/>
    </row>
    <row r="26531" spans="10:10" ht="15" customHeight="1" x14ac:dyDescent="0.3">
      <c r="J26531" s="33"/>
    </row>
    <row r="26532" spans="10:10" ht="15" customHeight="1" x14ac:dyDescent="0.3">
      <c r="J26532" s="33"/>
    </row>
    <row r="26533" spans="10:10" ht="15" customHeight="1" x14ac:dyDescent="0.3">
      <c r="J26533" s="33"/>
    </row>
    <row r="26534" spans="10:10" ht="15" customHeight="1" x14ac:dyDescent="0.3">
      <c r="J26534" s="33"/>
    </row>
    <row r="26535" spans="10:10" ht="15" customHeight="1" x14ac:dyDescent="0.3">
      <c r="J26535" s="33"/>
    </row>
    <row r="26536" spans="10:10" ht="15" customHeight="1" x14ac:dyDescent="0.3">
      <c r="J26536" s="33"/>
    </row>
    <row r="26537" spans="10:10" ht="15" customHeight="1" x14ac:dyDescent="0.3">
      <c r="J26537" s="33"/>
    </row>
    <row r="26538" spans="10:10" ht="15" customHeight="1" x14ac:dyDescent="0.3">
      <c r="J26538" s="33"/>
    </row>
    <row r="26539" spans="10:10" ht="15" customHeight="1" x14ac:dyDescent="0.3">
      <c r="J26539" s="33"/>
    </row>
    <row r="26540" spans="10:10" ht="15" customHeight="1" x14ac:dyDescent="0.3">
      <c r="J26540" s="33"/>
    </row>
    <row r="26541" spans="10:10" ht="15" customHeight="1" x14ac:dyDescent="0.3">
      <c r="J26541" s="33"/>
    </row>
    <row r="26542" spans="10:10" ht="15" customHeight="1" x14ac:dyDescent="0.3">
      <c r="J26542" s="33"/>
    </row>
    <row r="26543" spans="10:10" ht="15" customHeight="1" x14ac:dyDescent="0.3">
      <c r="J26543" s="33"/>
    </row>
    <row r="26544" spans="10:10" ht="15" customHeight="1" x14ac:dyDescent="0.3">
      <c r="J26544" s="33"/>
    </row>
    <row r="26545" spans="10:10" ht="15" customHeight="1" x14ac:dyDescent="0.3">
      <c r="J26545" s="33"/>
    </row>
    <row r="26546" spans="10:10" ht="15" customHeight="1" x14ac:dyDescent="0.3">
      <c r="J26546" s="33"/>
    </row>
    <row r="26547" spans="10:10" ht="15" customHeight="1" x14ac:dyDescent="0.3">
      <c r="J26547" s="33"/>
    </row>
    <row r="26548" spans="10:10" ht="15" customHeight="1" x14ac:dyDescent="0.3">
      <c r="J26548" s="33"/>
    </row>
    <row r="26549" spans="10:10" ht="15" customHeight="1" x14ac:dyDescent="0.3">
      <c r="J26549" s="33"/>
    </row>
    <row r="26550" spans="10:10" ht="15" customHeight="1" x14ac:dyDescent="0.3">
      <c r="J26550" s="33"/>
    </row>
    <row r="26551" spans="10:10" ht="15" customHeight="1" x14ac:dyDescent="0.3">
      <c r="J26551" s="33"/>
    </row>
    <row r="26552" spans="10:10" ht="15" customHeight="1" x14ac:dyDescent="0.3">
      <c r="J26552" s="33"/>
    </row>
    <row r="26553" spans="10:10" ht="15" customHeight="1" x14ac:dyDescent="0.3">
      <c r="J26553" s="33"/>
    </row>
    <row r="26554" spans="10:10" ht="15" customHeight="1" x14ac:dyDescent="0.3">
      <c r="J26554" s="33"/>
    </row>
    <row r="26555" spans="10:10" ht="15" customHeight="1" x14ac:dyDescent="0.3">
      <c r="J26555" s="33"/>
    </row>
    <row r="26556" spans="10:10" ht="15" customHeight="1" x14ac:dyDescent="0.3">
      <c r="J26556" s="33"/>
    </row>
    <row r="26557" spans="10:10" ht="15" customHeight="1" x14ac:dyDescent="0.3">
      <c r="J26557" s="33"/>
    </row>
    <row r="26558" spans="10:10" ht="15" customHeight="1" x14ac:dyDescent="0.3">
      <c r="J26558" s="33"/>
    </row>
    <row r="26559" spans="10:10" ht="15" customHeight="1" x14ac:dyDescent="0.3">
      <c r="J26559" s="33"/>
    </row>
    <row r="26560" spans="10:10" ht="15" customHeight="1" x14ac:dyDescent="0.3">
      <c r="J26560" s="33"/>
    </row>
    <row r="26561" spans="10:10" ht="15" customHeight="1" x14ac:dyDescent="0.3">
      <c r="J26561" s="33"/>
    </row>
    <row r="26562" spans="10:10" ht="15" customHeight="1" x14ac:dyDescent="0.3">
      <c r="J26562" s="33"/>
    </row>
    <row r="26563" spans="10:10" ht="15" customHeight="1" x14ac:dyDescent="0.3">
      <c r="J26563" s="33"/>
    </row>
    <row r="26564" spans="10:10" ht="15" customHeight="1" x14ac:dyDescent="0.3">
      <c r="J26564" s="33"/>
    </row>
    <row r="26565" spans="10:10" ht="15" customHeight="1" x14ac:dyDescent="0.3">
      <c r="J26565" s="33"/>
    </row>
    <row r="26566" spans="10:10" ht="15" customHeight="1" x14ac:dyDescent="0.3">
      <c r="J26566" s="33"/>
    </row>
    <row r="26567" spans="10:10" ht="15" customHeight="1" x14ac:dyDescent="0.3">
      <c r="J26567" s="33"/>
    </row>
    <row r="26568" spans="10:10" ht="15" customHeight="1" x14ac:dyDescent="0.3">
      <c r="J26568" s="33"/>
    </row>
    <row r="26569" spans="10:10" ht="15" customHeight="1" x14ac:dyDescent="0.3">
      <c r="J26569" s="33"/>
    </row>
    <row r="26570" spans="10:10" ht="15" customHeight="1" x14ac:dyDescent="0.3">
      <c r="J26570" s="33"/>
    </row>
    <row r="26571" spans="10:10" ht="15" customHeight="1" x14ac:dyDescent="0.3">
      <c r="J26571" s="33"/>
    </row>
    <row r="26572" spans="10:10" ht="15" customHeight="1" x14ac:dyDescent="0.3">
      <c r="J26572" s="33"/>
    </row>
    <row r="26573" spans="10:10" ht="15" customHeight="1" x14ac:dyDescent="0.3">
      <c r="J26573" s="33"/>
    </row>
    <row r="26574" spans="10:10" ht="15" customHeight="1" x14ac:dyDescent="0.3">
      <c r="J26574" s="33"/>
    </row>
    <row r="26575" spans="10:10" ht="15" customHeight="1" x14ac:dyDescent="0.3">
      <c r="J26575" s="33"/>
    </row>
    <row r="26576" spans="10:10" ht="15" customHeight="1" x14ac:dyDescent="0.3">
      <c r="J26576" s="33"/>
    </row>
    <row r="26577" spans="10:10" ht="15" customHeight="1" x14ac:dyDescent="0.3">
      <c r="J26577" s="33"/>
    </row>
    <row r="26578" spans="10:10" ht="15" customHeight="1" x14ac:dyDescent="0.3">
      <c r="J26578" s="33"/>
    </row>
    <row r="26579" spans="10:10" ht="15" customHeight="1" x14ac:dyDescent="0.3">
      <c r="J26579" s="33"/>
    </row>
    <row r="26580" spans="10:10" ht="15" customHeight="1" x14ac:dyDescent="0.3">
      <c r="J26580" s="33"/>
    </row>
    <row r="26581" spans="10:10" ht="15" customHeight="1" x14ac:dyDescent="0.3">
      <c r="J26581" s="33"/>
    </row>
    <row r="26582" spans="10:10" ht="15" customHeight="1" x14ac:dyDescent="0.3">
      <c r="J26582" s="33"/>
    </row>
    <row r="26583" spans="10:10" ht="15" customHeight="1" x14ac:dyDescent="0.3">
      <c r="J26583" s="33"/>
    </row>
    <row r="26584" spans="10:10" ht="15" customHeight="1" x14ac:dyDescent="0.3">
      <c r="J26584" s="33"/>
    </row>
    <row r="26585" spans="10:10" ht="15" customHeight="1" x14ac:dyDescent="0.3">
      <c r="J26585" s="33"/>
    </row>
    <row r="26586" spans="10:10" ht="15" customHeight="1" x14ac:dyDescent="0.3">
      <c r="J26586" s="33"/>
    </row>
    <row r="26587" spans="10:10" ht="15" customHeight="1" x14ac:dyDescent="0.3">
      <c r="J26587" s="33"/>
    </row>
    <row r="26588" spans="10:10" ht="15" customHeight="1" x14ac:dyDescent="0.3">
      <c r="J26588" s="33"/>
    </row>
    <row r="26589" spans="10:10" ht="15" customHeight="1" x14ac:dyDescent="0.3">
      <c r="J26589" s="33"/>
    </row>
    <row r="26590" spans="10:10" ht="15" customHeight="1" x14ac:dyDescent="0.3">
      <c r="J26590" s="33"/>
    </row>
    <row r="26591" spans="10:10" ht="15" customHeight="1" x14ac:dyDescent="0.3">
      <c r="J26591" s="33"/>
    </row>
    <row r="26592" spans="10:10" ht="15" customHeight="1" x14ac:dyDescent="0.3">
      <c r="J26592" s="33"/>
    </row>
    <row r="26593" spans="10:10" ht="15" customHeight="1" x14ac:dyDescent="0.3">
      <c r="J26593" s="33"/>
    </row>
    <row r="26594" spans="10:10" ht="15" customHeight="1" x14ac:dyDescent="0.3">
      <c r="J26594" s="33"/>
    </row>
    <row r="26595" spans="10:10" ht="15" customHeight="1" x14ac:dyDescent="0.3">
      <c r="J26595" s="33"/>
    </row>
    <row r="26596" spans="10:10" ht="15" customHeight="1" x14ac:dyDescent="0.3">
      <c r="J26596" s="33"/>
    </row>
    <row r="26597" spans="10:10" ht="15" customHeight="1" x14ac:dyDescent="0.3">
      <c r="J26597" s="33"/>
    </row>
    <row r="26598" spans="10:10" ht="15" customHeight="1" x14ac:dyDescent="0.3">
      <c r="J26598" s="33"/>
    </row>
    <row r="26599" spans="10:10" ht="15" customHeight="1" x14ac:dyDescent="0.3">
      <c r="J26599" s="33"/>
    </row>
    <row r="26600" spans="10:10" ht="15" customHeight="1" x14ac:dyDescent="0.3">
      <c r="J26600" s="33"/>
    </row>
    <row r="26601" spans="10:10" ht="15" customHeight="1" x14ac:dyDescent="0.3">
      <c r="J26601" s="33"/>
    </row>
    <row r="26602" spans="10:10" ht="15" customHeight="1" x14ac:dyDescent="0.3">
      <c r="J26602" s="33"/>
    </row>
    <row r="26603" spans="10:10" ht="15" customHeight="1" x14ac:dyDescent="0.3">
      <c r="J26603" s="33"/>
    </row>
    <row r="26604" spans="10:10" ht="15" customHeight="1" x14ac:dyDescent="0.3">
      <c r="J26604" s="33"/>
    </row>
    <row r="26605" spans="10:10" ht="15" customHeight="1" x14ac:dyDescent="0.3">
      <c r="J26605" s="33"/>
    </row>
    <row r="26606" spans="10:10" ht="15" customHeight="1" x14ac:dyDescent="0.3">
      <c r="J26606" s="33"/>
    </row>
    <row r="26607" spans="10:10" ht="15" customHeight="1" x14ac:dyDescent="0.3">
      <c r="J26607" s="33"/>
    </row>
    <row r="26608" spans="10:10" ht="15" customHeight="1" x14ac:dyDescent="0.3">
      <c r="J26608" s="33"/>
    </row>
    <row r="26609" spans="10:10" ht="15" customHeight="1" x14ac:dyDescent="0.3">
      <c r="J26609" s="33"/>
    </row>
    <row r="26610" spans="10:10" ht="15" customHeight="1" x14ac:dyDescent="0.3">
      <c r="J26610" s="33"/>
    </row>
    <row r="26611" spans="10:10" ht="15" customHeight="1" x14ac:dyDescent="0.3">
      <c r="J26611" s="33"/>
    </row>
    <row r="26612" spans="10:10" ht="15" customHeight="1" x14ac:dyDescent="0.3">
      <c r="J26612" s="33"/>
    </row>
    <row r="26613" spans="10:10" ht="15" customHeight="1" x14ac:dyDescent="0.3">
      <c r="J26613" s="33"/>
    </row>
    <row r="26614" spans="10:10" ht="15" customHeight="1" x14ac:dyDescent="0.3">
      <c r="J26614" s="33"/>
    </row>
    <row r="26615" spans="10:10" ht="15" customHeight="1" x14ac:dyDescent="0.3">
      <c r="J26615" s="33"/>
    </row>
    <row r="26616" spans="10:10" ht="15" customHeight="1" x14ac:dyDescent="0.3">
      <c r="J26616" s="33"/>
    </row>
    <row r="26617" spans="10:10" ht="15" customHeight="1" x14ac:dyDescent="0.3">
      <c r="J26617" s="33"/>
    </row>
    <row r="26618" spans="10:10" ht="15" customHeight="1" x14ac:dyDescent="0.3">
      <c r="J26618" s="33"/>
    </row>
    <row r="26619" spans="10:10" ht="15" customHeight="1" x14ac:dyDescent="0.3">
      <c r="J26619" s="33"/>
    </row>
    <row r="26620" spans="10:10" ht="15" customHeight="1" x14ac:dyDescent="0.3">
      <c r="J26620" s="33"/>
    </row>
    <row r="26621" spans="10:10" ht="15" customHeight="1" x14ac:dyDescent="0.3">
      <c r="J26621" s="33"/>
    </row>
    <row r="26622" spans="10:10" ht="15" customHeight="1" x14ac:dyDescent="0.3">
      <c r="J26622" s="33"/>
    </row>
    <row r="26623" spans="10:10" ht="15" customHeight="1" x14ac:dyDescent="0.3">
      <c r="J26623" s="33"/>
    </row>
    <row r="26624" spans="10:10" ht="15" customHeight="1" x14ac:dyDescent="0.3">
      <c r="J26624" s="33"/>
    </row>
    <row r="26625" spans="10:10" ht="15" customHeight="1" x14ac:dyDescent="0.3">
      <c r="J26625" s="33"/>
    </row>
    <row r="26626" spans="10:10" ht="15" customHeight="1" x14ac:dyDescent="0.3">
      <c r="J26626" s="33"/>
    </row>
    <row r="26627" spans="10:10" ht="15" customHeight="1" x14ac:dyDescent="0.3">
      <c r="J26627" s="33"/>
    </row>
    <row r="26628" spans="10:10" ht="15" customHeight="1" x14ac:dyDescent="0.3">
      <c r="J26628" s="33"/>
    </row>
    <row r="26629" spans="10:10" ht="15" customHeight="1" x14ac:dyDescent="0.3">
      <c r="J26629" s="33"/>
    </row>
    <row r="26630" spans="10:10" ht="15" customHeight="1" x14ac:dyDescent="0.3">
      <c r="J26630" s="33"/>
    </row>
    <row r="26631" spans="10:10" ht="15" customHeight="1" x14ac:dyDescent="0.3">
      <c r="J26631" s="33"/>
    </row>
    <row r="26632" spans="10:10" ht="15" customHeight="1" x14ac:dyDescent="0.3">
      <c r="J26632" s="33"/>
    </row>
    <row r="26633" spans="10:10" ht="15" customHeight="1" x14ac:dyDescent="0.3">
      <c r="J26633" s="33"/>
    </row>
    <row r="26634" spans="10:10" ht="15" customHeight="1" x14ac:dyDescent="0.3">
      <c r="J26634" s="33"/>
    </row>
    <row r="26635" spans="10:10" ht="15" customHeight="1" x14ac:dyDescent="0.3">
      <c r="J26635" s="33"/>
    </row>
    <row r="26636" spans="10:10" ht="15" customHeight="1" x14ac:dyDescent="0.3">
      <c r="J26636" s="33"/>
    </row>
    <row r="26637" spans="10:10" ht="15" customHeight="1" x14ac:dyDescent="0.3">
      <c r="J26637" s="33"/>
    </row>
    <row r="26638" spans="10:10" ht="15" customHeight="1" x14ac:dyDescent="0.3">
      <c r="J26638" s="33"/>
    </row>
    <row r="26639" spans="10:10" ht="15" customHeight="1" x14ac:dyDescent="0.3">
      <c r="J26639" s="33"/>
    </row>
    <row r="26640" spans="10:10" ht="15" customHeight="1" x14ac:dyDescent="0.3">
      <c r="J26640" s="33"/>
    </row>
    <row r="26641" spans="10:10" ht="15" customHeight="1" x14ac:dyDescent="0.3">
      <c r="J26641" s="33"/>
    </row>
    <row r="26642" spans="10:10" ht="15" customHeight="1" x14ac:dyDescent="0.3">
      <c r="J26642" s="33"/>
    </row>
    <row r="26643" spans="10:10" ht="15" customHeight="1" x14ac:dyDescent="0.3">
      <c r="J26643" s="33"/>
    </row>
    <row r="26644" spans="10:10" ht="15" customHeight="1" x14ac:dyDescent="0.3">
      <c r="J26644" s="33"/>
    </row>
    <row r="26645" spans="10:10" ht="15" customHeight="1" x14ac:dyDescent="0.3">
      <c r="J26645" s="33"/>
    </row>
    <row r="26646" spans="10:10" ht="15" customHeight="1" x14ac:dyDescent="0.3">
      <c r="J26646" s="33"/>
    </row>
    <row r="26647" spans="10:10" ht="15" customHeight="1" x14ac:dyDescent="0.3">
      <c r="J26647" s="33"/>
    </row>
    <row r="26648" spans="10:10" ht="15" customHeight="1" x14ac:dyDescent="0.3">
      <c r="J26648" s="33"/>
    </row>
    <row r="26649" spans="10:10" ht="15" customHeight="1" x14ac:dyDescent="0.3">
      <c r="J26649" s="33"/>
    </row>
    <row r="26650" spans="10:10" ht="15" customHeight="1" x14ac:dyDescent="0.3">
      <c r="J26650" s="33"/>
    </row>
    <row r="26651" spans="10:10" ht="15" customHeight="1" x14ac:dyDescent="0.3">
      <c r="J26651" s="33"/>
    </row>
    <row r="26652" spans="10:10" ht="15" customHeight="1" x14ac:dyDescent="0.3">
      <c r="J26652" s="33"/>
    </row>
    <row r="26653" spans="10:10" ht="15" customHeight="1" x14ac:dyDescent="0.3">
      <c r="J26653" s="33"/>
    </row>
    <row r="26654" spans="10:10" ht="15" customHeight="1" x14ac:dyDescent="0.3">
      <c r="J26654" s="33"/>
    </row>
    <row r="26655" spans="10:10" ht="15" customHeight="1" x14ac:dyDescent="0.3">
      <c r="J26655" s="33"/>
    </row>
    <row r="26656" spans="10:10" ht="15" customHeight="1" x14ac:dyDescent="0.3">
      <c r="J26656" s="33"/>
    </row>
    <row r="26657" spans="10:10" ht="15" customHeight="1" x14ac:dyDescent="0.3">
      <c r="J26657" s="33"/>
    </row>
    <row r="26658" spans="10:10" ht="15" customHeight="1" x14ac:dyDescent="0.3">
      <c r="J26658" s="33"/>
    </row>
    <row r="26659" spans="10:10" ht="15" customHeight="1" x14ac:dyDescent="0.3">
      <c r="J26659" s="33"/>
    </row>
    <row r="26660" spans="10:10" ht="15" customHeight="1" x14ac:dyDescent="0.3">
      <c r="J26660" s="33"/>
    </row>
    <row r="26661" spans="10:10" ht="15" customHeight="1" x14ac:dyDescent="0.3">
      <c r="J26661" s="33"/>
    </row>
    <row r="26662" spans="10:10" ht="15" customHeight="1" x14ac:dyDescent="0.3">
      <c r="J26662" s="33"/>
    </row>
    <row r="26663" spans="10:10" ht="15" customHeight="1" x14ac:dyDescent="0.3">
      <c r="J26663" s="33"/>
    </row>
    <row r="26664" spans="10:10" ht="15" customHeight="1" x14ac:dyDescent="0.3">
      <c r="J26664" s="33"/>
    </row>
    <row r="26665" spans="10:10" ht="15" customHeight="1" x14ac:dyDescent="0.3">
      <c r="J26665" s="33"/>
    </row>
    <row r="26666" spans="10:10" ht="15" customHeight="1" x14ac:dyDescent="0.3">
      <c r="J26666" s="33"/>
    </row>
    <row r="26667" spans="10:10" ht="15" customHeight="1" x14ac:dyDescent="0.3">
      <c r="J26667" s="33"/>
    </row>
    <row r="26668" spans="10:10" ht="15" customHeight="1" x14ac:dyDescent="0.3">
      <c r="J26668" s="33"/>
    </row>
    <row r="26669" spans="10:10" ht="15" customHeight="1" x14ac:dyDescent="0.3">
      <c r="J26669" s="33"/>
    </row>
    <row r="26670" spans="10:10" ht="15" customHeight="1" x14ac:dyDescent="0.3">
      <c r="J26670" s="33"/>
    </row>
    <row r="26671" spans="10:10" ht="15" customHeight="1" x14ac:dyDescent="0.3">
      <c r="J26671" s="33"/>
    </row>
    <row r="26672" spans="10:10" ht="15" customHeight="1" x14ac:dyDescent="0.3">
      <c r="J26672" s="33"/>
    </row>
    <row r="26673" spans="10:10" ht="15" customHeight="1" x14ac:dyDescent="0.3">
      <c r="J26673" s="33"/>
    </row>
    <row r="26674" spans="10:10" ht="15" customHeight="1" x14ac:dyDescent="0.3">
      <c r="J26674" s="33"/>
    </row>
    <row r="26675" spans="10:10" ht="15" customHeight="1" x14ac:dyDescent="0.3">
      <c r="J26675" s="33"/>
    </row>
    <row r="26676" spans="10:10" ht="15" customHeight="1" x14ac:dyDescent="0.3">
      <c r="J26676" s="33"/>
    </row>
    <row r="26677" spans="10:10" ht="15" customHeight="1" x14ac:dyDescent="0.3">
      <c r="J26677" s="33"/>
    </row>
    <row r="26678" spans="10:10" ht="15" customHeight="1" x14ac:dyDescent="0.3">
      <c r="J26678" s="33"/>
    </row>
    <row r="26679" spans="10:10" ht="15" customHeight="1" x14ac:dyDescent="0.3">
      <c r="J26679" s="33"/>
    </row>
    <row r="26680" spans="10:10" ht="15" customHeight="1" x14ac:dyDescent="0.3">
      <c r="J26680" s="33"/>
    </row>
    <row r="26681" spans="10:10" ht="15" customHeight="1" x14ac:dyDescent="0.3">
      <c r="J26681" s="33"/>
    </row>
    <row r="26682" spans="10:10" ht="15" customHeight="1" x14ac:dyDescent="0.3">
      <c r="J26682" s="33"/>
    </row>
    <row r="26683" spans="10:10" ht="15" customHeight="1" x14ac:dyDescent="0.3">
      <c r="J26683" s="33"/>
    </row>
    <row r="26684" spans="10:10" ht="15" customHeight="1" x14ac:dyDescent="0.3">
      <c r="J26684" s="33"/>
    </row>
    <row r="26685" spans="10:10" ht="15" customHeight="1" x14ac:dyDescent="0.3">
      <c r="J26685" s="33"/>
    </row>
    <row r="26686" spans="10:10" ht="15" customHeight="1" x14ac:dyDescent="0.3">
      <c r="J26686" s="33"/>
    </row>
    <row r="26687" spans="10:10" ht="15" customHeight="1" x14ac:dyDescent="0.3">
      <c r="J26687" s="33"/>
    </row>
    <row r="26688" spans="10:10" ht="15" customHeight="1" x14ac:dyDescent="0.3">
      <c r="J26688" s="33"/>
    </row>
    <row r="26689" spans="10:10" ht="15" customHeight="1" x14ac:dyDescent="0.3">
      <c r="J26689" s="33"/>
    </row>
    <row r="26690" spans="10:10" ht="15" customHeight="1" x14ac:dyDescent="0.3">
      <c r="J26690" s="33"/>
    </row>
    <row r="26691" spans="10:10" ht="15" customHeight="1" x14ac:dyDescent="0.3">
      <c r="J26691" s="33"/>
    </row>
    <row r="26692" spans="10:10" ht="15" customHeight="1" x14ac:dyDescent="0.3">
      <c r="J26692" s="33"/>
    </row>
    <row r="26693" spans="10:10" ht="15" customHeight="1" x14ac:dyDescent="0.3">
      <c r="J26693" s="33"/>
    </row>
    <row r="26694" spans="10:10" ht="15" customHeight="1" x14ac:dyDescent="0.3">
      <c r="J26694" s="33"/>
    </row>
    <row r="26695" spans="10:10" ht="15" customHeight="1" x14ac:dyDescent="0.3">
      <c r="J26695" s="33"/>
    </row>
    <row r="26696" spans="10:10" ht="15" customHeight="1" x14ac:dyDescent="0.3">
      <c r="J26696" s="33"/>
    </row>
    <row r="26697" spans="10:10" ht="15" customHeight="1" x14ac:dyDescent="0.3">
      <c r="J26697" s="33"/>
    </row>
    <row r="26698" spans="10:10" ht="15" customHeight="1" x14ac:dyDescent="0.3">
      <c r="J26698" s="33"/>
    </row>
    <row r="26699" spans="10:10" ht="15" customHeight="1" x14ac:dyDescent="0.3">
      <c r="J26699" s="33"/>
    </row>
    <row r="26700" spans="10:10" ht="15" customHeight="1" x14ac:dyDescent="0.3">
      <c r="J26700" s="33"/>
    </row>
    <row r="26701" spans="10:10" ht="15" customHeight="1" x14ac:dyDescent="0.3">
      <c r="J26701" s="33"/>
    </row>
    <row r="26702" spans="10:10" ht="15" customHeight="1" x14ac:dyDescent="0.3">
      <c r="J26702" s="33"/>
    </row>
    <row r="26703" spans="10:10" ht="15" customHeight="1" x14ac:dyDescent="0.3">
      <c r="J26703" s="33"/>
    </row>
    <row r="26704" spans="10:10" ht="15" customHeight="1" x14ac:dyDescent="0.3">
      <c r="J26704" s="33"/>
    </row>
    <row r="26705" spans="10:10" ht="15" customHeight="1" x14ac:dyDescent="0.3">
      <c r="J26705" s="33"/>
    </row>
    <row r="26706" spans="10:10" ht="15" customHeight="1" x14ac:dyDescent="0.3">
      <c r="J26706" s="33"/>
    </row>
    <row r="26707" spans="10:10" ht="15" customHeight="1" x14ac:dyDescent="0.3">
      <c r="J26707" s="33"/>
    </row>
    <row r="26708" spans="10:10" ht="15" customHeight="1" x14ac:dyDescent="0.3">
      <c r="J26708" s="33"/>
    </row>
    <row r="26709" spans="10:10" ht="15" customHeight="1" x14ac:dyDescent="0.3">
      <c r="J26709" s="33"/>
    </row>
    <row r="26710" spans="10:10" ht="15" customHeight="1" x14ac:dyDescent="0.3">
      <c r="J26710" s="33"/>
    </row>
    <row r="26711" spans="10:10" ht="15" customHeight="1" x14ac:dyDescent="0.3">
      <c r="J26711" s="33"/>
    </row>
    <row r="26712" spans="10:10" ht="15" customHeight="1" x14ac:dyDescent="0.3">
      <c r="J26712" s="33"/>
    </row>
    <row r="26713" spans="10:10" ht="15" customHeight="1" x14ac:dyDescent="0.3">
      <c r="J26713" s="33"/>
    </row>
    <row r="26714" spans="10:10" ht="15" customHeight="1" x14ac:dyDescent="0.3">
      <c r="J26714" s="33"/>
    </row>
    <row r="26715" spans="10:10" ht="15" customHeight="1" x14ac:dyDescent="0.3">
      <c r="J26715" s="33"/>
    </row>
    <row r="26716" spans="10:10" ht="15" customHeight="1" x14ac:dyDescent="0.3">
      <c r="J26716" s="33"/>
    </row>
    <row r="26717" spans="10:10" ht="15" customHeight="1" x14ac:dyDescent="0.3">
      <c r="J26717" s="33"/>
    </row>
    <row r="26718" spans="10:10" ht="15" customHeight="1" x14ac:dyDescent="0.3">
      <c r="J26718" s="33"/>
    </row>
    <row r="26719" spans="10:10" ht="15" customHeight="1" x14ac:dyDescent="0.3">
      <c r="J26719" s="33"/>
    </row>
    <row r="26720" spans="10:10" ht="15" customHeight="1" x14ac:dyDescent="0.3">
      <c r="J26720" s="33"/>
    </row>
    <row r="26721" spans="10:10" ht="15" customHeight="1" x14ac:dyDescent="0.3">
      <c r="J26721" s="33"/>
    </row>
    <row r="26722" spans="10:10" ht="15" customHeight="1" x14ac:dyDescent="0.3">
      <c r="J26722" s="33"/>
    </row>
    <row r="26723" spans="10:10" ht="15" customHeight="1" x14ac:dyDescent="0.3">
      <c r="J26723" s="33"/>
    </row>
    <row r="26724" spans="10:10" ht="15" customHeight="1" x14ac:dyDescent="0.3">
      <c r="J26724" s="33"/>
    </row>
    <row r="26725" spans="10:10" ht="15" customHeight="1" x14ac:dyDescent="0.3">
      <c r="J26725" s="33"/>
    </row>
    <row r="26726" spans="10:10" ht="15" customHeight="1" x14ac:dyDescent="0.3">
      <c r="J26726" s="33"/>
    </row>
    <row r="26727" spans="10:10" ht="15" customHeight="1" x14ac:dyDescent="0.3">
      <c r="J26727" s="33"/>
    </row>
    <row r="26728" spans="10:10" ht="15" customHeight="1" x14ac:dyDescent="0.3">
      <c r="J26728" s="33"/>
    </row>
    <row r="26729" spans="10:10" ht="15" customHeight="1" x14ac:dyDescent="0.3">
      <c r="J26729" s="33"/>
    </row>
    <row r="26730" spans="10:10" ht="15" customHeight="1" x14ac:dyDescent="0.3">
      <c r="J26730" s="33"/>
    </row>
    <row r="26731" spans="10:10" ht="15" customHeight="1" x14ac:dyDescent="0.3">
      <c r="J26731" s="33"/>
    </row>
    <row r="26732" spans="10:10" ht="15" customHeight="1" x14ac:dyDescent="0.3">
      <c r="J26732" s="33"/>
    </row>
    <row r="26733" spans="10:10" ht="15" customHeight="1" x14ac:dyDescent="0.3">
      <c r="J26733" s="33"/>
    </row>
    <row r="26734" spans="10:10" ht="15" customHeight="1" x14ac:dyDescent="0.3">
      <c r="J26734" s="33"/>
    </row>
    <row r="26735" spans="10:10" ht="15" customHeight="1" x14ac:dyDescent="0.3">
      <c r="J26735" s="33"/>
    </row>
    <row r="26736" spans="10:10" ht="15" customHeight="1" x14ac:dyDescent="0.3">
      <c r="J26736" s="33"/>
    </row>
    <row r="26737" spans="10:10" ht="15" customHeight="1" x14ac:dyDescent="0.3">
      <c r="J26737" s="33"/>
    </row>
    <row r="26738" spans="10:10" ht="15" customHeight="1" x14ac:dyDescent="0.3">
      <c r="J26738" s="33"/>
    </row>
    <row r="26739" spans="10:10" ht="15" customHeight="1" x14ac:dyDescent="0.3">
      <c r="J26739" s="33"/>
    </row>
    <row r="26740" spans="10:10" ht="15" customHeight="1" x14ac:dyDescent="0.3">
      <c r="J26740" s="33"/>
    </row>
    <row r="26741" spans="10:10" ht="15" customHeight="1" x14ac:dyDescent="0.3">
      <c r="J26741" s="33"/>
    </row>
    <row r="26742" spans="10:10" ht="15" customHeight="1" x14ac:dyDescent="0.3">
      <c r="J26742" s="33"/>
    </row>
    <row r="26743" spans="10:10" ht="15" customHeight="1" x14ac:dyDescent="0.3">
      <c r="J26743" s="33"/>
    </row>
    <row r="26744" spans="10:10" ht="15" customHeight="1" x14ac:dyDescent="0.3">
      <c r="J26744" s="33"/>
    </row>
    <row r="26745" spans="10:10" ht="15" customHeight="1" x14ac:dyDescent="0.3">
      <c r="J26745" s="33"/>
    </row>
    <row r="26746" spans="10:10" ht="15" customHeight="1" x14ac:dyDescent="0.3">
      <c r="J26746" s="33"/>
    </row>
    <row r="26747" spans="10:10" ht="15" customHeight="1" x14ac:dyDescent="0.3">
      <c r="J26747" s="33"/>
    </row>
    <row r="26748" spans="10:10" ht="15" customHeight="1" x14ac:dyDescent="0.3">
      <c r="J26748" s="33"/>
    </row>
    <row r="26749" spans="10:10" ht="15" customHeight="1" x14ac:dyDescent="0.3">
      <c r="J26749" s="33"/>
    </row>
    <row r="26750" spans="10:10" ht="15" customHeight="1" x14ac:dyDescent="0.3">
      <c r="J26750" s="33"/>
    </row>
    <row r="26751" spans="10:10" ht="15" customHeight="1" x14ac:dyDescent="0.3">
      <c r="J26751" s="33"/>
    </row>
    <row r="26752" spans="10:10" ht="15" customHeight="1" x14ac:dyDescent="0.3">
      <c r="J26752" s="33"/>
    </row>
    <row r="26753" spans="10:10" ht="15" customHeight="1" x14ac:dyDescent="0.3">
      <c r="J26753" s="33"/>
    </row>
    <row r="26754" spans="10:10" ht="15" customHeight="1" x14ac:dyDescent="0.3">
      <c r="J26754" s="33"/>
    </row>
    <row r="26755" spans="10:10" ht="15" customHeight="1" x14ac:dyDescent="0.3">
      <c r="J26755" s="33"/>
    </row>
    <row r="26756" spans="10:10" ht="15" customHeight="1" x14ac:dyDescent="0.3">
      <c r="J26756" s="33"/>
    </row>
    <row r="26757" spans="10:10" ht="15" customHeight="1" x14ac:dyDescent="0.3">
      <c r="J26757" s="33"/>
    </row>
    <row r="26758" spans="10:10" ht="15" customHeight="1" x14ac:dyDescent="0.3">
      <c r="J26758" s="33"/>
    </row>
    <row r="26759" spans="10:10" ht="15" customHeight="1" x14ac:dyDescent="0.3">
      <c r="J26759" s="33"/>
    </row>
    <row r="26760" spans="10:10" ht="15" customHeight="1" x14ac:dyDescent="0.3">
      <c r="J26760" s="33"/>
    </row>
    <row r="26761" spans="10:10" ht="15" customHeight="1" x14ac:dyDescent="0.3">
      <c r="J26761" s="33"/>
    </row>
    <row r="26762" spans="10:10" ht="15" customHeight="1" x14ac:dyDescent="0.3">
      <c r="J26762" s="33"/>
    </row>
    <row r="26763" spans="10:10" ht="15" customHeight="1" x14ac:dyDescent="0.3">
      <c r="J26763" s="33"/>
    </row>
    <row r="26764" spans="10:10" ht="15" customHeight="1" x14ac:dyDescent="0.3">
      <c r="J26764" s="33"/>
    </row>
    <row r="26765" spans="10:10" ht="15" customHeight="1" x14ac:dyDescent="0.3">
      <c r="J26765" s="33"/>
    </row>
    <row r="26766" spans="10:10" ht="15" customHeight="1" x14ac:dyDescent="0.3">
      <c r="J26766" s="33"/>
    </row>
    <row r="26767" spans="10:10" ht="15" customHeight="1" x14ac:dyDescent="0.3">
      <c r="J26767" s="33"/>
    </row>
    <row r="26768" spans="10:10" ht="15" customHeight="1" x14ac:dyDescent="0.3">
      <c r="J26768" s="33"/>
    </row>
    <row r="26769" spans="10:10" ht="15" customHeight="1" x14ac:dyDescent="0.3">
      <c r="J26769" s="33"/>
    </row>
    <row r="26770" spans="10:10" ht="15" customHeight="1" x14ac:dyDescent="0.3">
      <c r="J26770" s="33"/>
    </row>
    <row r="26771" spans="10:10" ht="15" customHeight="1" x14ac:dyDescent="0.3">
      <c r="J26771" s="33"/>
    </row>
    <row r="26772" spans="10:10" ht="15" customHeight="1" x14ac:dyDescent="0.3">
      <c r="J26772" s="33"/>
    </row>
    <row r="26773" spans="10:10" ht="15" customHeight="1" x14ac:dyDescent="0.3">
      <c r="J26773" s="33"/>
    </row>
    <row r="26774" spans="10:10" ht="15" customHeight="1" x14ac:dyDescent="0.3">
      <c r="J26774" s="33"/>
    </row>
    <row r="26775" spans="10:10" ht="15" customHeight="1" x14ac:dyDescent="0.3">
      <c r="J26775" s="33"/>
    </row>
    <row r="26776" spans="10:10" ht="15" customHeight="1" x14ac:dyDescent="0.3">
      <c r="J26776" s="33"/>
    </row>
    <row r="26777" spans="10:10" ht="15" customHeight="1" x14ac:dyDescent="0.3">
      <c r="J26777" s="33"/>
    </row>
    <row r="26778" spans="10:10" ht="15" customHeight="1" x14ac:dyDescent="0.3">
      <c r="J26778" s="33"/>
    </row>
    <row r="26779" spans="10:10" ht="15" customHeight="1" x14ac:dyDescent="0.3">
      <c r="J26779" s="33"/>
    </row>
    <row r="26780" spans="10:10" ht="15" customHeight="1" x14ac:dyDescent="0.3">
      <c r="J26780" s="33"/>
    </row>
    <row r="26781" spans="10:10" ht="15" customHeight="1" x14ac:dyDescent="0.3">
      <c r="J26781" s="33"/>
    </row>
    <row r="26782" spans="10:10" ht="15" customHeight="1" x14ac:dyDescent="0.3">
      <c r="J26782" s="33"/>
    </row>
    <row r="26783" spans="10:10" ht="15" customHeight="1" x14ac:dyDescent="0.3">
      <c r="J26783" s="33"/>
    </row>
    <row r="26784" spans="10:10" ht="15" customHeight="1" x14ac:dyDescent="0.3">
      <c r="J26784" s="33"/>
    </row>
    <row r="26785" spans="10:10" ht="15" customHeight="1" x14ac:dyDescent="0.3">
      <c r="J26785" s="33"/>
    </row>
    <row r="26786" spans="10:10" ht="15" customHeight="1" x14ac:dyDescent="0.3">
      <c r="J26786" s="33"/>
    </row>
    <row r="26787" spans="10:10" ht="15" customHeight="1" x14ac:dyDescent="0.3">
      <c r="J26787" s="33"/>
    </row>
    <row r="26788" spans="10:10" ht="15" customHeight="1" x14ac:dyDescent="0.3">
      <c r="J26788" s="33"/>
    </row>
    <row r="26789" spans="10:10" ht="15" customHeight="1" x14ac:dyDescent="0.3">
      <c r="J26789" s="33"/>
    </row>
    <row r="26790" spans="10:10" ht="15" customHeight="1" x14ac:dyDescent="0.3">
      <c r="J26790" s="33"/>
    </row>
    <row r="26791" spans="10:10" ht="15" customHeight="1" x14ac:dyDescent="0.3">
      <c r="J26791" s="33"/>
    </row>
    <row r="26792" spans="10:10" ht="15" customHeight="1" x14ac:dyDescent="0.3">
      <c r="J26792" s="33"/>
    </row>
    <row r="26793" spans="10:10" ht="15" customHeight="1" x14ac:dyDescent="0.3">
      <c r="J26793" s="33"/>
    </row>
    <row r="26794" spans="10:10" ht="15" customHeight="1" x14ac:dyDescent="0.3">
      <c r="J26794" s="33"/>
    </row>
    <row r="26795" spans="10:10" ht="15" customHeight="1" x14ac:dyDescent="0.3">
      <c r="J26795" s="33"/>
    </row>
    <row r="26796" spans="10:10" ht="15" customHeight="1" x14ac:dyDescent="0.3">
      <c r="J26796" s="33"/>
    </row>
    <row r="26797" spans="10:10" ht="15" customHeight="1" x14ac:dyDescent="0.3">
      <c r="J26797" s="33"/>
    </row>
    <row r="26798" spans="10:10" ht="15" customHeight="1" x14ac:dyDescent="0.3">
      <c r="J26798" s="33"/>
    </row>
    <row r="26799" spans="10:10" ht="15" customHeight="1" x14ac:dyDescent="0.3">
      <c r="J26799" s="33"/>
    </row>
    <row r="26800" spans="10:10" ht="15" customHeight="1" x14ac:dyDescent="0.3">
      <c r="J26800" s="33"/>
    </row>
    <row r="26801" spans="10:10" ht="15" customHeight="1" x14ac:dyDescent="0.3">
      <c r="J26801" s="33"/>
    </row>
    <row r="26802" spans="10:10" ht="15" customHeight="1" x14ac:dyDescent="0.3">
      <c r="J26802" s="33"/>
    </row>
    <row r="26803" spans="10:10" ht="15" customHeight="1" x14ac:dyDescent="0.3">
      <c r="J26803" s="33"/>
    </row>
    <row r="26804" spans="10:10" ht="15" customHeight="1" x14ac:dyDescent="0.3">
      <c r="J26804" s="33"/>
    </row>
    <row r="26805" spans="10:10" ht="15" customHeight="1" x14ac:dyDescent="0.3">
      <c r="J26805" s="33"/>
    </row>
    <row r="26806" spans="10:10" ht="15" customHeight="1" x14ac:dyDescent="0.3">
      <c r="J26806" s="33"/>
    </row>
    <row r="26807" spans="10:10" ht="15" customHeight="1" x14ac:dyDescent="0.3">
      <c r="J26807" s="33"/>
    </row>
    <row r="26808" spans="10:10" ht="15" customHeight="1" x14ac:dyDescent="0.3">
      <c r="J26808" s="33"/>
    </row>
    <row r="26809" spans="10:10" ht="15" customHeight="1" x14ac:dyDescent="0.3">
      <c r="J26809" s="33"/>
    </row>
    <row r="26810" spans="10:10" ht="15" customHeight="1" x14ac:dyDescent="0.3">
      <c r="J26810" s="33"/>
    </row>
    <row r="26811" spans="10:10" ht="15" customHeight="1" x14ac:dyDescent="0.3">
      <c r="J26811" s="33"/>
    </row>
    <row r="26812" spans="10:10" ht="15" customHeight="1" x14ac:dyDescent="0.3">
      <c r="J26812" s="33"/>
    </row>
    <row r="26813" spans="10:10" ht="15" customHeight="1" x14ac:dyDescent="0.3">
      <c r="J26813" s="33"/>
    </row>
    <row r="26814" spans="10:10" ht="15" customHeight="1" x14ac:dyDescent="0.3">
      <c r="J26814" s="33"/>
    </row>
    <row r="26815" spans="10:10" ht="15" customHeight="1" x14ac:dyDescent="0.3">
      <c r="J26815" s="33"/>
    </row>
    <row r="26816" spans="10:10" ht="15" customHeight="1" x14ac:dyDescent="0.3">
      <c r="J26816" s="33"/>
    </row>
    <row r="26817" spans="10:10" ht="15" customHeight="1" x14ac:dyDescent="0.3">
      <c r="J26817" s="33"/>
    </row>
    <row r="26818" spans="10:10" ht="15" customHeight="1" x14ac:dyDescent="0.3">
      <c r="J26818" s="33"/>
    </row>
    <row r="26819" spans="10:10" ht="15" customHeight="1" x14ac:dyDescent="0.3">
      <c r="J26819" s="33"/>
    </row>
    <row r="26820" spans="10:10" ht="15" customHeight="1" x14ac:dyDescent="0.3">
      <c r="J26820" s="33"/>
    </row>
    <row r="26821" spans="10:10" ht="15" customHeight="1" x14ac:dyDescent="0.3">
      <c r="J26821" s="33"/>
    </row>
    <row r="26822" spans="10:10" ht="15" customHeight="1" x14ac:dyDescent="0.3">
      <c r="J26822" s="33"/>
    </row>
    <row r="26823" spans="10:10" ht="15" customHeight="1" x14ac:dyDescent="0.3">
      <c r="J26823" s="33"/>
    </row>
    <row r="26824" spans="10:10" ht="15" customHeight="1" x14ac:dyDescent="0.3">
      <c r="J26824" s="33"/>
    </row>
    <row r="26825" spans="10:10" ht="15" customHeight="1" x14ac:dyDescent="0.3">
      <c r="J26825" s="33"/>
    </row>
    <row r="26826" spans="10:10" ht="15" customHeight="1" x14ac:dyDescent="0.3">
      <c r="J26826" s="33"/>
    </row>
    <row r="26827" spans="10:10" ht="15" customHeight="1" x14ac:dyDescent="0.3">
      <c r="J26827" s="33"/>
    </row>
    <row r="26828" spans="10:10" ht="15" customHeight="1" x14ac:dyDescent="0.3">
      <c r="J26828" s="33"/>
    </row>
    <row r="26829" spans="10:10" ht="15" customHeight="1" x14ac:dyDescent="0.3">
      <c r="J26829" s="33"/>
    </row>
    <row r="26830" spans="10:10" ht="15" customHeight="1" x14ac:dyDescent="0.3">
      <c r="J26830" s="33"/>
    </row>
    <row r="26831" spans="10:10" ht="15" customHeight="1" x14ac:dyDescent="0.3">
      <c r="J26831" s="33"/>
    </row>
    <row r="26832" spans="10:10" ht="15" customHeight="1" x14ac:dyDescent="0.3">
      <c r="J26832" s="33"/>
    </row>
    <row r="26833" spans="10:10" ht="15" customHeight="1" x14ac:dyDescent="0.3">
      <c r="J26833" s="33"/>
    </row>
    <row r="26834" spans="10:10" ht="15" customHeight="1" x14ac:dyDescent="0.3">
      <c r="J26834" s="33"/>
    </row>
    <row r="26835" spans="10:10" ht="15" customHeight="1" x14ac:dyDescent="0.3">
      <c r="J26835" s="33"/>
    </row>
    <row r="26836" spans="10:10" ht="15" customHeight="1" x14ac:dyDescent="0.3">
      <c r="J26836" s="33"/>
    </row>
    <row r="26837" spans="10:10" ht="15" customHeight="1" x14ac:dyDescent="0.3">
      <c r="J26837" s="33"/>
    </row>
    <row r="26838" spans="10:10" ht="15" customHeight="1" x14ac:dyDescent="0.3">
      <c r="J26838" s="33"/>
    </row>
    <row r="26839" spans="10:10" ht="15" customHeight="1" x14ac:dyDescent="0.3">
      <c r="J26839" s="33"/>
    </row>
    <row r="26840" spans="10:10" ht="15" customHeight="1" x14ac:dyDescent="0.3">
      <c r="J26840" s="33"/>
    </row>
    <row r="26841" spans="10:10" ht="15" customHeight="1" x14ac:dyDescent="0.3">
      <c r="J26841" s="33"/>
    </row>
    <row r="26842" spans="10:10" ht="15" customHeight="1" x14ac:dyDescent="0.3">
      <c r="J26842" s="33"/>
    </row>
    <row r="26843" spans="10:10" ht="15" customHeight="1" x14ac:dyDescent="0.3">
      <c r="J26843" s="33"/>
    </row>
    <row r="26844" spans="10:10" ht="15" customHeight="1" x14ac:dyDescent="0.3">
      <c r="J26844" s="33"/>
    </row>
    <row r="26845" spans="10:10" ht="15" customHeight="1" x14ac:dyDescent="0.3">
      <c r="J26845" s="33"/>
    </row>
    <row r="26846" spans="10:10" ht="15" customHeight="1" x14ac:dyDescent="0.3">
      <c r="J26846" s="33"/>
    </row>
    <row r="26847" spans="10:10" ht="15" customHeight="1" x14ac:dyDescent="0.3">
      <c r="J26847" s="33"/>
    </row>
    <row r="26848" spans="10:10" ht="15" customHeight="1" x14ac:dyDescent="0.3">
      <c r="J26848" s="33"/>
    </row>
    <row r="26849" spans="10:10" ht="15" customHeight="1" x14ac:dyDescent="0.3">
      <c r="J26849" s="33"/>
    </row>
    <row r="26850" spans="10:10" ht="15" customHeight="1" x14ac:dyDescent="0.3">
      <c r="J26850" s="33"/>
    </row>
    <row r="26851" spans="10:10" ht="15" customHeight="1" x14ac:dyDescent="0.3">
      <c r="J26851" s="33"/>
    </row>
    <row r="26852" spans="10:10" ht="15" customHeight="1" x14ac:dyDescent="0.3">
      <c r="J26852" s="33"/>
    </row>
    <row r="26853" spans="10:10" ht="15" customHeight="1" x14ac:dyDescent="0.3">
      <c r="J26853" s="33"/>
    </row>
    <row r="26854" spans="10:10" ht="15" customHeight="1" x14ac:dyDescent="0.3">
      <c r="J26854" s="33"/>
    </row>
    <row r="26855" spans="10:10" ht="15" customHeight="1" x14ac:dyDescent="0.3">
      <c r="J26855" s="33"/>
    </row>
    <row r="26856" spans="10:10" ht="15" customHeight="1" x14ac:dyDescent="0.3">
      <c r="J26856" s="33"/>
    </row>
    <row r="26857" spans="10:10" ht="15" customHeight="1" x14ac:dyDescent="0.3">
      <c r="J26857" s="33"/>
    </row>
    <row r="26858" spans="10:10" ht="15" customHeight="1" x14ac:dyDescent="0.3">
      <c r="J26858" s="33"/>
    </row>
    <row r="26859" spans="10:10" ht="15" customHeight="1" x14ac:dyDescent="0.3">
      <c r="J26859" s="33"/>
    </row>
    <row r="26860" spans="10:10" ht="15" customHeight="1" x14ac:dyDescent="0.3">
      <c r="J26860" s="33"/>
    </row>
    <row r="26861" spans="10:10" ht="15" customHeight="1" x14ac:dyDescent="0.3">
      <c r="J26861" s="33"/>
    </row>
    <row r="26862" spans="10:10" ht="15" customHeight="1" x14ac:dyDescent="0.3">
      <c r="J26862" s="33"/>
    </row>
    <row r="26863" spans="10:10" ht="15" customHeight="1" x14ac:dyDescent="0.3">
      <c r="J26863" s="33"/>
    </row>
    <row r="26864" spans="10:10" ht="15" customHeight="1" x14ac:dyDescent="0.3">
      <c r="J26864" s="33"/>
    </row>
    <row r="26865" spans="10:10" ht="15" customHeight="1" x14ac:dyDescent="0.3">
      <c r="J26865" s="33"/>
    </row>
    <row r="26866" spans="10:10" ht="15" customHeight="1" x14ac:dyDescent="0.3">
      <c r="J26866" s="33"/>
    </row>
    <row r="26867" spans="10:10" ht="15" customHeight="1" x14ac:dyDescent="0.3">
      <c r="J26867" s="33"/>
    </row>
    <row r="26868" spans="10:10" ht="15" customHeight="1" x14ac:dyDescent="0.3">
      <c r="J26868" s="33"/>
    </row>
    <row r="26869" spans="10:10" ht="15" customHeight="1" x14ac:dyDescent="0.3">
      <c r="J26869" s="33"/>
    </row>
    <row r="26870" spans="10:10" ht="15" customHeight="1" x14ac:dyDescent="0.3">
      <c r="J26870" s="33"/>
    </row>
    <row r="26871" spans="10:10" ht="15" customHeight="1" x14ac:dyDescent="0.3">
      <c r="J26871" s="33"/>
    </row>
    <row r="26872" spans="10:10" ht="15" customHeight="1" x14ac:dyDescent="0.3">
      <c r="J26872" s="33"/>
    </row>
    <row r="26873" spans="10:10" ht="15" customHeight="1" x14ac:dyDescent="0.3">
      <c r="J26873" s="33"/>
    </row>
    <row r="26874" spans="10:10" ht="15" customHeight="1" x14ac:dyDescent="0.3">
      <c r="J26874" s="33"/>
    </row>
    <row r="26875" spans="10:10" ht="15" customHeight="1" x14ac:dyDescent="0.3">
      <c r="J26875" s="33"/>
    </row>
    <row r="26876" spans="10:10" ht="15" customHeight="1" x14ac:dyDescent="0.3">
      <c r="J26876" s="33"/>
    </row>
    <row r="26877" spans="10:10" ht="15" customHeight="1" x14ac:dyDescent="0.3">
      <c r="J26877" s="33"/>
    </row>
    <row r="26878" spans="10:10" ht="15" customHeight="1" x14ac:dyDescent="0.3">
      <c r="J26878" s="33"/>
    </row>
    <row r="26879" spans="10:10" ht="15" customHeight="1" x14ac:dyDescent="0.3">
      <c r="J26879" s="33"/>
    </row>
    <row r="26880" spans="10:10" ht="15" customHeight="1" x14ac:dyDescent="0.3">
      <c r="J26880" s="33"/>
    </row>
    <row r="26881" spans="10:10" ht="15" customHeight="1" x14ac:dyDescent="0.3">
      <c r="J26881" s="33"/>
    </row>
    <row r="26882" spans="10:10" ht="15" customHeight="1" x14ac:dyDescent="0.3">
      <c r="J26882" s="33"/>
    </row>
    <row r="26883" spans="10:10" ht="15" customHeight="1" x14ac:dyDescent="0.3">
      <c r="J26883" s="33"/>
    </row>
    <row r="26884" spans="10:10" ht="15" customHeight="1" x14ac:dyDescent="0.3">
      <c r="J26884" s="33"/>
    </row>
    <row r="26885" spans="10:10" ht="15" customHeight="1" x14ac:dyDescent="0.3">
      <c r="J26885" s="33"/>
    </row>
    <row r="26886" spans="10:10" ht="15" customHeight="1" x14ac:dyDescent="0.3">
      <c r="J26886" s="33"/>
    </row>
    <row r="26887" spans="10:10" ht="15" customHeight="1" x14ac:dyDescent="0.3">
      <c r="J26887" s="33"/>
    </row>
    <row r="26888" spans="10:10" ht="15" customHeight="1" x14ac:dyDescent="0.3">
      <c r="J26888" s="33"/>
    </row>
    <row r="26889" spans="10:10" ht="15" customHeight="1" x14ac:dyDescent="0.3">
      <c r="J26889" s="33"/>
    </row>
    <row r="26890" spans="10:10" ht="15" customHeight="1" x14ac:dyDescent="0.3">
      <c r="J26890" s="33"/>
    </row>
    <row r="26891" spans="10:10" ht="15" customHeight="1" x14ac:dyDescent="0.3">
      <c r="J26891" s="33"/>
    </row>
    <row r="26892" spans="10:10" ht="15" customHeight="1" x14ac:dyDescent="0.3">
      <c r="J26892" s="33"/>
    </row>
    <row r="26893" spans="10:10" ht="15" customHeight="1" x14ac:dyDescent="0.3">
      <c r="J26893" s="33"/>
    </row>
    <row r="26894" spans="10:10" ht="15" customHeight="1" x14ac:dyDescent="0.3">
      <c r="J26894" s="33"/>
    </row>
    <row r="26895" spans="10:10" ht="15" customHeight="1" x14ac:dyDescent="0.3">
      <c r="J26895" s="33"/>
    </row>
    <row r="26896" spans="10:10" ht="15" customHeight="1" x14ac:dyDescent="0.3">
      <c r="J26896" s="33"/>
    </row>
    <row r="26897" spans="10:10" ht="15" customHeight="1" x14ac:dyDescent="0.3">
      <c r="J26897" s="33"/>
    </row>
    <row r="26898" spans="10:10" ht="15" customHeight="1" x14ac:dyDescent="0.3">
      <c r="J26898" s="33"/>
    </row>
    <row r="26899" spans="10:10" ht="15" customHeight="1" x14ac:dyDescent="0.3">
      <c r="J26899" s="33"/>
    </row>
    <row r="26900" spans="10:10" ht="15" customHeight="1" x14ac:dyDescent="0.3">
      <c r="J26900" s="33"/>
    </row>
    <row r="26901" spans="10:10" ht="15" customHeight="1" x14ac:dyDescent="0.3">
      <c r="J26901" s="33"/>
    </row>
    <row r="26902" spans="10:10" ht="15" customHeight="1" x14ac:dyDescent="0.3">
      <c r="J26902" s="33"/>
    </row>
    <row r="26903" spans="10:10" ht="15" customHeight="1" x14ac:dyDescent="0.3">
      <c r="J26903" s="33"/>
    </row>
    <row r="26904" spans="10:10" ht="15" customHeight="1" x14ac:dyDescent="0.3">
      <c r="J26904" s="33"/>
    </row>
    <row r="26905" spans="10:10" ht="15" customHeight="1" x14ac:dyDescent="0.3">
      <c r="J26905" s="33"/>
    </row>
    <row r="26906" spans="10:10" ht="15" customHeight="1" x14ac:dyDescent="0.3">
      <c r="J26906" s="33"/>
    </row>
    <row r="26907" spans="10:10" ht="15" customHeight="1" x14ac:dyDescent="0.3">
      <c r="J26907" s="33"/>
    </row>
    <row r="26908" spans="10:10" ht="15" customHeight="1" x14ac:dyDescent="0.3">
      <c r="J26908" s="33"/>
    </row>
    <row r="26909" spans="10:10" ht="15" customHeight="1" x14ac:dyDescent="0.3">
      <c r="J26909" s="33"/>
    </row>
    <row r="26910" spans="10:10" ht="15" customHeight="1" x14ac:dyDescent="0.3">
      <c r="J26910" s="33"/>
    </row>
    <row r="26911" spans="10:10" ht="15" customHeight="1" x14ac:dyDescent="0.3">
      <c r="J26911" s="33"/>
    </row>
    <row r="26912" spans="10:10" ht="15" customHeight="1" x14ac:dyDescent="0.3">
      <c r="J26912" s="33"/>
    </row>
    <row r="26913" spans="10:10" ht="15" customHeight="1" x14ac:dyDescent="0.3">
      <c r="J26913" s="33"/>
    </row>
    <row r="26914" spans="10:10" ht="15" customHeight="1" x14ac:dyDescent="0.3">
      <c r="J26914" s="33"/>
    </row>
    <row r="26915" spans="10:10" ht="15" customHeight="1" x14ac:dyDescent="0.3">
      <c r="J26915" s="33"/>
    </row>
    <row r="26916" spans="10:10" ht="15" customHeight="1" x14ac:dyDescent="0.3">
      <c r="J26916" s="33"/>
    </row>
    <row r="26917" spans="10:10" ht="15" customHeight="1" x14ac:dyDescent="0.3">
      <c r="J26917" s="33"/>
    </row>
    <row r="26918" spans="10:10" ht="15" customHeight="1" x14ac:dyDescent="0.3">
      <c r="J26918" s="33"/>
    </row>
    <row r="26919" spans="10:10" ht="15" customHeight="1" x14ac:dyDescent="0.3">
      <c r="J26919" s="33"/>
    </row>
    <row r="26920" spans="10:10" ht="15" customHeight="1" x14ac:dyDescent="0.3">
      <c r="J26920" s="33"/>
    </row>
    <row r="26921" spans="10:10" ht="15" customHeight="1" x14ac:dyDescent="0.3">
      <c r="J26921" s="33"/>
    </row>
    <row r="26922" spans="10:10" ht="15" customHeight="1" x14ac:dyDescent="0.3">
      <c r="J26922" s="33"/>
    </row>
    <row r="26923" spans="10:10" ht="15" customHeight="1" x14ac:dyDescent="0.3">
      <c r="J26923" s="33"/>
    </row>
    <row r="26924" spans="10:10" ht="15" customHeight="1" x14ac:dyDescent="0.3">
      <c r="J26924" s="33"/>
    </row>
    <row r="26925" spans="10:10" ht="15" customHeight="1" x14ac:dyDescent="0.3">
      <c r="J26925" s="33"/>
    </row>
    <row r="26926" spans="10:10" ht="15" customHeight="1" x14ac:dyDescent="0.3">
      <c r="J26926" s="33"/>
    </row>
    <row r="26927" spans="10:10" ht="15" customHeight="1" x14ac:dyDescent="0.3">
      <c r="J26927" s="33"/>
    </row>
    <row r="26928" spans="10:10" ht="15" customHeight="1" x14ac:dyDescent="0.3">
      <c r="J26928" s="33"/>
    </row>
    <row r="26929" spans="10:10" ht="15" customHeight="1" x14ac:dyDescent="0.3">
      <c r="J26929" s="33"/>
    </row>
    <row r="26930" spans="10:10" ht="15" customHeight="1" x14ac:dyDescent="0.3">
      <c r="J26930" s="33"/>
    </row>
    <row r="26931" spans="10:10" ht="15" customHeight="1" x14ac:dyDescent="0.3">
      <c r="J26931" s="33"/>
    </row>
    <row r="26932" spans="10:10" ht="15" customHeight="1" x14ac:dyDescent="0.3">
      <c r="J26932" s="33"/>
    </row>
    <row r="26933" spans="10:10" ht="15" customHeight="1" x14ac:dyDescent="0.3">
      <c r="J26933" s="33"/>
    </row>
    <row r="26934" spans="10:10" ht="15" customHeight="1" x14ac:dyDescent="0.3">
      <c r="J26934" s="33"/>
    </row>
    <row r="26935" spans="10:10" ht="15" customHeight="1" x14ac:dyDescent="0.3">
      <c r="J26935" s="33"/>
    </row>
    <row r="26936" spans="10:10" ht="15" customHeight="1" x14ac:dyDescent="0.3">
      <c r="J26936" s="33"/>
    </row>
    <row r="26937" spans="10:10" ht="15" customHeight="1" x14ac:dyDescent="0.3">
      <c r="J26937" s="33"/>
    </row>
    <row r="26938" spans="10:10" ht="15" customHeight="1" x14ac:dyDescent="0.3">
      <c r="J26938" s="33"/>
    </row>
    <row r="26939" spans="10:10" ht="15" customHeight="1" x14ac:dyDescent="0.3">
      <c r="J26939" s="33"/>
    </row>
    <row r="26940" spans="10:10" ht="15" customHeight="1" x14ac:dyDescent="0.3">
      <c r="J26940" s="33"/>
    </row>
    <row r="26941" spans="10:10" ht="15" customHeight="1" x14ac:dyDescent="0.3">
      <c r="J26941" s="33"/>
    </row>
    <row r="26942" spans="10:10" ht="15" customHeight="1" x14ac:dyDescent="0.3">
      <c r="J26942" s="33"/>
    </row>
    <row r="26943" spans="10:10" ht="15" customHeight="1" x14ac:dyDescent="0.3">
      <c r="J26943" s="33"/>
    </row>
    <row r="26944" spans="10:10" ht="15" customHeight="1" x14ac:dyDescent="0.3">
      <c r="J26944" s="33"/>
    </row>
    <row r="26945" spans="10:10" ht="15" customHeight="1" x14ac:dyDescent="0.3">
      <c r="J26945" s="33"/>
    </row>
    <row r="26946" spans="10:10" ht="15" customHeight="1" x14ac:dyDescent="0.3">
      <c r="J26946" s="33"/>
    </row>
    <row r="26947" spans="10:10" ht="15" customHeight="1" x14ac:dyDescent="0.3">
      <c r="J26947" s="33"/>
    </row>
    <row r="26948" spans="10:10" ht="15" customHeight="1" x14ac:dyDescent="0.3">
      <c r="J26948" s="33"/>
    </row>
    <row r="26949" spans="10:10" ht="15" customHeight="1" x14ac:dyDescent="0.3">
      <c r="J26949" s="33"/>
    </row>
    <row r="26950" spans="10:10" ht="15" customHeight="1" x14ac:dyDescent="0.3">
      <c r="J26950" s="33"/>
    </row>
    <row r="26951" spans="10:10" ht="15" customHeight="1" x14ac:dyDescent="0.3">
      <c r="J26951" s="33"/>
    </row>
    <row r="26952" spans="10:10" ht="15" customHeight="1" x14ac:dyDescent="0.3">
      <c r="J26952" s="33"/>
    </row>
    <row r="26953" spans="10:10" ht="15" customHeight="1" x14ac:dyDescent="0.3">
      <c r="J26953" s="33"/>
    </row>
    <row r="26954" spans="10:10" ht="15" customHeight="1" x14ac:dyDescent="0.3">
      <c r="J26954" s="33"/>
    </row>
    <row r="26955" spans="10:10" ht="15" customHeight="1" x14ac:dyDescent="0.3">
      <c r="J26955" s="33"/>
    </row>
    <row r="26956" spans="10:10" ht="15" customHeight="1" x14ac:dyDescent="0.3">
      <c r="J26956" s="33"/>
    </row>
    <row r="26957" spans="10:10" ht="15" customHeight="1" x14ac:dyDescent="0.3">
      <c r="J26957" s="33"/>
    </row>
    <row r="26958" spans="10:10" ht="15" customHeight="1" x14ac:dyDescent="0.3">
      <c r="J26958" s="33"/>
    </row>
    <row r="26959" spans="10:10" ht="15" customHeight="1" x14ac:dyDescent="0.3">
      <c r="J26959" s="33"/>
    </row>
    <row r="26960" spans="10:10" ht="15" customHeight="1" x14ac:dyDescent="0.3">
      <c r="J26960" s="33"/>
    </row>
    <row r="26961" spans="10:10" ht="15" customHeight="1" x14ac:dyDescent="0.3">
      <c r="J26961" s="33"/>
    </row>
    <row r="26962" spans="10:10" ht="15" customHeight="1" x14ac:dyDescent="0.3">
      <c r="J26962" s="33"/>
    </row>
    <row r="26963" spans="10:10" ht="15" customHeight="1" x14ac:dyDescent="0.3">
      <c r="J26963" s="33"/>
    </row>
    <row r="26964" spans="10:10" ht="15" customHeight="1" x14ac:dyDescent="0.3">
      <c r="J26964" s="33"/>
    </row>
    <row r="26965" spans="10:10" ht="15" customHeight="1" x14ac:dyDescent="0.3">
      <c r="J26965" s="33"/>
    </row>
    <row r="26966" spans="10:10" ht="15" customHeight="1" x14ac:dyDescent="0.3">
      <c r="J26966" s="33"/>
    </row>
    <row r="26967" spans="10:10" ht="15" customHeight="1" x14ac:dyDescent="0.3">
      <c r="J26967" s="33"/>
    </row>
    <row r="26968" spans="10:10" ht="15" customHeight="1" x14ac:dyDescent="0.3">
      <c r="J26968" s="33"/>
    </row>
    <row r="26969" spans="10:10" ht="15" customHeight="1" x14ac:dyDescent="0.3">
      <c r="J26969" s="33"/>
    </row>
    <row r="26970" spans="10:10" ht="15" customHeight="1" x14ac:dyDescent="0.3">
      <c r="J26970" s="33"/>
    </row>
    <row r="26971" spans="10:10" ht="15" customHeight="1" x14ac:dyDescent="0.3">
      <c r="J26971" s="33"/>
    </row>
    <row r="26972" spans="10:10" ht="15" customHeight="1" x14ac:dyDescent="0.3">
      <c r="J26972" s="33"/>
    </row>
    <row r="26973" spans="10:10" ht="15" customHeight="1" x14ac:dyDescent="0.3">
      <c r="J26973" s="33"/>
    </row>
    <row r="26974" spans="10:10" ht="15" customHeight="1" x14ac:dyDescent="0.3">
      <c r="J26974" s="33"/>
    </row>
    <row r="26975" spans="10:10" ht="15" customHeight="1" x14ac:dyDescent="0.3">
      <c r="J26975" s="33"/>
    </row>
    <row r="26976" spans="10:10" ht="15" customHeight="1" x14ac:dyDescent="0.3">
      <c r="J26976" s="33"/>
    </row>
    <row r="26977" spans="10:10" ht="15" customHeight="1" x14ac:dyDescent="0.3">
      <c r="J26977" s="33"/>
    </row>
    <row r="26978" spans="10:10" ht="15" customHeight="1" x14ac:dyDescent="0.3">
      <c r="J26978" s="33"/>
    </row>
    <row r="26979" spans="10:10" ht="15" customHeight="1" x14ac:dyDescent="0.3">
      <c r="J26979" s="33"/>
    </row>
    <row r="26980" spans="10:10" ht="15" customHeight="1" x14ac:dyDescent="0.3">
      <c r="J26980" s="33"/>
    </row>
    <row r="26981" spans="10:10" ht="15" customHeight="1" x14ac:dyDescent="0.3">
      <c r="J26981" s="33"/>
    </row>
    <row r="26982" spans="10:10" ht="15" customHeight="1" x14ac:dyDescent="0.3">
      <c r="J26982" s="33"/>
    </row>
    <row r="26983" spans="10:10" ht="15" customHeight="1" x14ac:dyDescent="0.3">
      <c r="J26983" s="33"/>
    </row>
    <row r="26984" spans="10:10" ht="15" customHeight="1" x14ac:dyDescent="0.3">
      <c r="J26984" s="33"/>
    </row>
    <row r="26985" spans="10:10" ht="15" customHeight="1" x14ac:dyDescent="0.3">
      <c r="J26985" s="33"/>
    </row>
    <row r="26986" spans="10:10" ht="15" customHeight="1" x14ac:dyDescent="0.3">
      <c r="J26986" s="33"/>
    </row>
    <row r="26987" spans="10:10" ht="15" customHeight="1" x14ac:dyDescent="0.3">
      <c r="J26987" s="33"/>
    </row>
    <row r="26988" spans="10:10" ht="15" customHeight="1" x14ac:dyDescent="0.3">
      <c r="J26988" s="33"/>
    </row>
    <row r="26989" spans="10:10" ht="15" customHeight="1" x14ac:dyDescent="0.3">
      <c r="J26989" s="33"/>
    </row>
    <row r="26990" spans="10:10" ht="15" customHeight="1" x14ac:dyDescent="0.3">
      <c r="J26990" s="33"/>
    </row>
    <row r="26991" spans="10:10" ht="15" customHeight="1" x14ac:dyDescent="0.3">
      <c r="J26991" s="33"/>
    </row>
    <row r="26992" spans="10:10" ht="15" customHeight="1" x14ac:dyDescent="0.3">
      <c r="J26992" s="33"/>
    </row>
    <row r="26993" spans="10:10" ht="15" customHeight="1" x14ac:dyDescent="0.3">
      <c r="J26993" s="33"/>
    </row>
    <row r="26994" spans="10:10" ht="15" customHeight="1" x14ac:dyDescent="0.3">
      <c r="J26994" s="33"/>
    </row>
    <row r="26995" spans="10:10" ht="15" customHeight="1" x14ac:dyDescent="0.3">
      <c r="J26995" s="33"/>
    </row>
    <row r="26996" spans="10:10" ht="15" customHeight="1" x14ac:dyDescent="0.3">
      <c r="J26996" s="33"/>
    </row>
    <row r="26997" spans="10:10" ht="15" customHeight="1" x14ac:dyDescent="0.3">
      <c r="J26997" s="33"/>
    </row>
    <row r="26998" spans="10:10" ht="15" customHeight="1" x14ac:dyDescent="0.3">
      <c r="J26998" s="33"/>
    </row>
    <row r="26999" spans="10:10" ht="15" customHeight="1" x14ac:dyDescent="0.3">
      <c r="J26999" s="33"/>
    </row>
    <row r="27000" spans="10:10" ht="15" customHeight="1" x14ac:dyDescent="0.3">
      <c r="J27000" s="33"/>
    </row>
    <row r="27001" spans="10:10" ht="15" customHeight="1" x14ac:dyDescent="0.3">
      <c r="J27001" s="33"/>
    </row>
    <row r="27002" spans="10:10" ht="15" customHeight="1" x14ac:dyDescent="0.3">
      <c r="J27002" s="33"/>
    </row>
    <row r="27003" spans="10:10" ht="15" customHeight="1" x14ac:dyDescent="0.3">
      <c r="J27003" s="33"/>
    </row>
    <row r="27004" spans="10:10" ht="15" customHeight="1" x14ac:dyDescent="0.3">
      <c r="J27004" s="33"/>
    </row>
    <row r="27005" spans="10:10" ht="15" customHeight="1" x14ac:dyDescent="0.3">
      <c r="J27005" s="33"/>
    </row>
    <row r="27006" spans="10:10" ht="15" customHeight="1" x14ac:dyDescent="0.3">
      <c r="J27006" s="33"/>
    </row>
    <row r="27007" spans="10:10" ht="15" customHeight="1" x14ac:dyDescent="0.3">
      <c r="J27007" s="33"/>
    </row>
    <row r="27008" spans="10:10" ht="15" customHeight="1" x14ac:dyDescent="0.3">
      <c r="J27008" s="33"/>
    </row>
    <row r="27009" spans="10:10" ht="15" customHeight="1" x14ac:dyDescent="0.3">
      <c r="J27009" s="33"/>
    </row>
    <row r="27010" spans="10:10" ht="15" customHeight="1" x14ac:dyDescent="0.3">
      <c r="J27010" s="33"/>
    </row>
    <row r="27011" spans="10:10" ht="15" customHeight="1" x14ac:dyDescent="0.3">
      <c r="J27011" s="33"/>
    </row>
    <row r="27012" spans="10:10" ht="15" customHeight="1" x14ac:dyDescent="0.3">
      <c r="J27012" s="33"/>
    </row>
    <row r="27013" spans="10:10" ht="15" customHeight="1" x14ac:dyDescent="0.3">
      <c r="J27013" s="33"/>
    </row>
    <row r="27014" spans="10:10" ht="15" customHeight="1" x14ac:dyDescent="0.3">
      <c r="J27014" s="33"/>
    </row>
    <row r="27015" spans="10:10" ht="15" customHeight="1" x14ac:dyDescent="0.3">
      <c r="J27015" s="33"/>
    </row>
    <row r="27016" spans="10:10" ht="15" customHeight="1" x14ac:dyDescent="0.3">
      <c r="J27016" s="33"/>
    </row>
    <row r="27017" spans="10:10" ht="15" customHeight="1" x14ac:dyDescent="0.3">
      <c r="J27017" s="33"/>
    </row>
    <row r="27018" spans="10:10" ht="15" customHeight="1" x14ac:dyDescent="0.3">
      <c r="J27018" s="33"/>
    </row>
    <row r="27019" spans="10:10" ht="15" customHeight="1" x14ac:dyDescent="0.3">
      <c r="J27019" s="33"/>
    </row>
    <row r="27020" spans="10:10" ht="15" customHeight="1" x14ac:dyDescent="0.3">
      <c r="J27020" s="33"/>
    </row>
    <row r="27021" spans="10:10" ht="15" customHeight="1" x14ac:dyDescent="0.3">
      <c r="J27021" s="33"/>
    </row>
    <row r="27022" spans="10:10" ht="15" customHeight="1" x14ac:dyDescent="0.3">
      <c r="J27022" s="33"/>
    </row>
    <row r="27023" spans="10:10" ht="15" customHeight="1" x14ac:dyDescent="0.3">
      <c r="J27023" s="33"/>
    </row>
    <row r="27024" spans="10:10" ht="15" customHeight="1" x14ac:dyDescent="0.3">
      <c r="J27024" s="33"/>
    </row>
    <row r="27025" spans="10:10" ht="15" customHeight="1" x14ac:dyDescent="0.3">
      <c r="J27025" s="33"/>
    </row>
    <row r="27026" spans="10:10" ht="15" customHeight="1" x14ac:dyDescent="0.3">
      <c r="J27026" s="33"/>
    </row>
    <row r="27027" spans="10:10" ht="15" customHeight="1" x14ac:dyDescent="0.3">
      <c r="J27027" s="33"/>
    </row>
    <row r="27028" spans="10:10" ht="15" customHeight="1" x14ac:dyDescent="0.3">
      <c r="J27028" s="33"/>
    </row>
    <row r="27029" spans="10:10" ht="15" customHeight="1" x14ac:dyDescent="0.3">
      <c r="J27029" s="33"/>
    </row>
    <row r="27030" spans="10:10" ht="15" customHeight="1" x14ac:dyDescent="0.3">
      <c r="J27030" s="33"/>
    </row>
    <row r="27031" spans="10:10" ht="15" customHeight="1" x14ac:dyDescent="0.3">
      <c r="J27031" s="33"/>
    </row>
    <row r="27032" spans="10:10" ht="15" customHeight="1" x14ac:dyDescent="0.3">
      <c r="J27032" s="33"/>
    </row>
    <row r="27033" spans="10:10" ht="15" customHeight="1" x14ac:dyDescent="0.3">
      <c r="J27033" s="33"/>
    </row>
    <row r="27034" spans="10:10" ht="15" customHeight="1" x14ac:dyDescent="0.3">
      <c r="J27034" s="33"/>
    </row>
    <row r="27035" spans="10:10" ht="15" customHeight="1" x14ac:dyDescent="0.3">
      <c r="J27035" s="33"/>
    </row>
    <row r="27036" spans="10:10" ht="15" customHeight="1" x14ac:dyDescent="0.3">
      <c r="J27036" s="33"/>
    </row>
    <row r="27037" spans="10:10" ht="15" customHeight="1" x14ac:dyDescent="0.3">
      <c r="J27037" s="33"/>
    </row>
    <row r="27038" spans="10:10" ht="15" customHeight="1" x14ac:dyDescent="0.3">
      <c r="J27038" s="33"/>
    </row>
    <row r="27039" spans="10:10" ht="15" customHeight="1" x14ac:dyDescent="0.3">
      <c r="J27039" s="33"/>
    </row>
    <row r="27040" spans="10:10" ht="15" customHeight="1" x14ac:dyDescent="0.3">
      <c r="J27040" s="33"/>
    </row>
    <row r="27041" spans="10:10" ht="15" customHeight="1" x14ac:dyDescent="0.3">
      <c r="J27041" s="33"/>
    </row>
    <row r="27042" spans="10:10" ht="15" customHeight="1" x14ac:dyDescent="0.3">
      <c r="J27042" s="33"/>
    </row>
    <row r="27043" spans="10:10" ht="15" customHeight="1" x14ac:dyDescent="0.3">
      <c r="J27043" s="33"/>
    </row>
    <row r="27044" spans="10:10" ht="15" customHeight="1" x14ac:dyDescent="0.3">
      <c r="J27044" s="33"/>
    </row>
    <row r="27045" spans="10:10" ht="15" customHeight="1" x14ac:dyDescent="0.3">
      <c r="J27045" s="33"/>
    </row>
    <row r="27046" spans="10:10" ht="15" customHeight="1" x14ac:dyDescent="0.3">
      <c r="J27046" s="33"/>
    </row>
    <row r="27047" spans="10:10" ht="15" customHeight="1" x14ac:dyDescent="0.3">
      <c r="J27047" s="33"/>
    </row>
    <row r="27048" spans="10:10" ht="15" customHeight="1" x14ac:dyDescent="0.3">
      <c r="J27048" s="33"/>
    </row>
    <row r="27049" spans="10:10" ht="15" customHeight="1" x14ac:dyDescent="0.3">
      <c r="J27049" s="33"/>
    </row>
    <row r="27050" spans="10:10" ht="15" customHeight="1" x14ac:dyDescent="0.3">
      <c r="J27050" s="33"/>
    </row>
    <row r="27051" spans="10:10" ht="15" customHeight="1" x14ac:dyDescent="0.3">
      <c r="J27051" s="33"/>
    </row>
    <row r="27052" spans="10:10" ht="15" customHeight="1" x14ac:dyDescent="0.3">
      <c r="J27052" s="33"/>
    </row>
    <row r="27053" spans="10:10" ht="15" customHeight="1" x14ac:dyDescent="0.3">
      <c r="J27053" s="33"/>
    </row>
    <row r="27054" spans="10:10" ht="15" customHeight="1" x14ac:dyDescent="0.3">
      <c r="J27054" s="33"/>
    </row>
    <row r="27055" spans="10:10" ht="15" customHeight="1" x14ac:dyDescent="0.3">
      <c r="J27055" s="33"/>
    </row>
    <row r="27056" spans="10:10" ht="15" customHeight="1" x14ac:dyDescent="0.3">
      <c r="J27056" s="33"/>
    </row>
    <row r="27057" spans="10:10" ht="15" customHeight="1" x14ac:dyDescent="0.3">
      <c r="J27057" s="33"/>
    </row>
    <row r="27058" spans="10:10" ht="15" customHeight="1" x14ac:dyDescent="0.3">
      <c r="J27058" s="33"/>
    </row>
    <row r="27059" spans="10:10" ht="15" customHeight="1" x14ac:dyDescent="0.3">
      <c r="J27059" s="33"/>
    </row>
    <row r="27060" spans="10:10" ht="15" customHeight="1" x14ac:dyDescent="0.3">
      <c r="J27060" s="33"/>
    </row>
    <row r="27061" spans="10:10" ht="15" customHeight="1" x14ac:dyDescent="0.3">
      <c r="J27061" s="33"/>
    </row>
    <row r="27062" spans="10:10" ht="15" customHeight="1" x14ac:dyDescent="0.3">
      <c r="J27062" s="33"/>
    </row>
    <row r="27063" spans="10:10" ht="15" customHeight="1" x14ac:dyDescent="0.3">
      <c r="J27063" s="33"/>
    </row>
    <row r="27064" spans="10:10" ht="15" customHeight="1" x14ac:dyDescent="0.3">
      <c r="J27064" s="33"/>
    </row>
    <row r="27065" spans="10:10" ht="15" customHeight="1" x14ac:dyDescent="0.3">
      <c r="J27065" s="33"/>
    </row>
    <row r="27066" spans="10:10" ht="15" customHeight="1" x14ac:dyDescent="0.3">
      <c r="J27066" s="33"/>
    </row>
    <row r="27067" spans="10:10" ht="15" customHeight="1" x14ac:dyDescent="0.3">
      <c r="J27067" s="33"/>
    </row>
    <row r="27068" spans="10:10" ht="15" customHeight="1" x14ac:dyDescent="0.3">
      <c r="J27068" s="33"/>
    </row>
    <row r="27069" spans="10:10" ht="15" customHeight="1" x14ac:dyDescent="0.3">
      <c r="J27069" s="33"/>
    </row>
    <row r="27070" spans="10:10" ht="15" customHeight="1" x14ac:dyDescent="0.3">
      <c r="J27070" s="33"/>
    </row>
    <row r="27071" spans="10:10" ht="15" customHeight="1" x14ac:dyDescent="0.3">
      <c r="J27071" s="33"/>
    </row>
    <row r="27072" spans="10:10" ht="15" customHeight="1" x14ac:dyDescent="0.3">
      <c r="J27072" s="33"/>
    </row>
    <row r="27073" spans="10:10" ht="15" customHeight="1" x14ac:dyDescent="0.3">
      <c r="J27073" s="33"/>
    </row>
    <row r="27074" spans="10:10" ht="15" customHeight="1" x14ac:dyDescent="0.3">
      <c r="J27074" s="33"/>
    </row>
    <row r="27075" spans="10:10" ht="15" customHeight="1" x14ac:dyDescent="0.3">
      <c r="J27075" s="33"/>
    </row>
    <row r="27076" spans="10:10" ht="15" customHeight="1" x14ac:dyDescent="0.3">
      <c r="J27076" s="33"/>
    </row>
    <row r="27077" spans="10:10" ht="15" customHeight="1" x14ac:dyDescent="0.3">
      <c r="J27077" s="33"/>
    </row>
    <row r="27078" spans="10:10" ht="15" customHeight="1" x14ac:dyDescent="0.3">
      <c r="J27078" s="33"/>
    </row>
    <row r="27079" spans="10:10" ht="15" customHeight="1" x14ac:dyDescent="0.3">
      <c r="J27079" s="33"/>
    </row>
    <row r="27080" spans="10:10" ht="15" customHeight="1" x14ac:dyDescent="0.3">
      <c r="J27080" s="33"/>
    </row>
    <row r="27081" spans="10:10" ht="15" customHeight="1" x14ac:dyDescent="0.3">
      <c r="J27081" s="33"/>
    </row>
    <row r="27082" spans="10:10" ht="15" customHeight="1" x14ac:dyDescent="0.3">
      <c r="J27082" s="33"/>
    </row>
    <row r="27083" spans="10:10" ht="15" customHeight="1" x14ac:dyDescent="0.3">
      <c r="J27083" s="33"/>
    </row>
    <row r="27084" spans="10:10" ht="15" customHeight="1" x14ac:dyDescent="0.3">
      <c r="J27084" s="33"/>
    </row>
    <row r="27085" spans="10:10" ht="15" customHeight="1" x14ac:dyDescent="0.3">
      <c r="J27085" s="33"/>
    </row>
    <row r="27086" spans="10:10" ht="15" customHeight="1" x14ac:dyDescent="0.3">
      <c r="J27086" s="33"/>
    </row>
    <row r="27087" spans="10:10" ht="15" customHeight="1" x14ac:dyDescent="0.3">
      <c r="J27087" s="33"/>
    </row>
    <row r="27088" spans="10:10" ht="15" customHeight="1" x14ac:dyDescent="0.3">
      <c r="J27088" s="33"/>
    </row>
    <row r="27089" spans="10:10" ht="15" customHeight="1" x14ac:dyDescent="0.3">
      <c r="J27089" s="33"/>
    </row>
    <row r="27090" spans="10:10" ht="15" customHeight="1" x14ac:dyDescent="0.3">
      <c r="J27090" s="33"/>
    </row>
    <row r="27091" spans="10:10" ht="15" customHeight="1" x14ac:dyDescent="0.3">
      <c r="J27091" s="33"/>
    </row>
    <row r="27092" spans="10:10" ht="15" customHeight="1" x14ac:dyDescent="0.3">
      <c r="J27092" s="33"/>
    </row>
    <row r="27093" spans="10:10" ht="15" customHeight="1" x14ac:dyDescent="0.3">
      <c r="J27093" s="33"/>
    </row>
    <row r="27094" spans="10:10" ht="15" customHeight="1" x14ac:dyDescent="0.3">
      <c r="J27094" s="33"/>
    </row>
    <row r="27095" spans="10:10" ht="15" customHeight="1" x14ac:dyDescent="0.3">
      <c r="J27095" s="33"/>
    </row>
    <row r="27096" spans="10:10" ht="15" customHeight="1" x14ac:dyDescent="0.3">
      <c r="J27096" s="33"/>
    </row>
    <row r="27097" spans="10:10" ht="15" customHeight="1" x14ac:dyDescent="0.3">
      <c r="J27097" s="33"/>
    </row>
    <row r="27098" spans="10:10" ht="15" customHeight="1" x14ac:dyDescent="0.3">
      <c r="J27098" s="33"/>
    </row>
    <row r="27099" spans="10:10" ht="15" customHeight="1" x14ac:dyDescent="0.3">
      <c r="J27099" s="33"/>
    </row>
    <row r="27100" spans="10:10" ht="15" customHeight="1" x14ac:dyDescent="0.3">
      <c r="J27100" s="33"/>
    </row>
    <row r="27101" spans="10:10" ht="15" customHeight="1" x14ac:dyDescent="0.3">
      <c r="J27101" s="33"/>
    </row>
    <row r="27102" spans="10:10" ht="15" customHeight="1" x14ac:dyDescent="0.3">
      <c r="J27102" s="33"/>
    </row>
    <row r="27103" spans="10:10" ht="15" customHeight="1" x14ac:dyDescent="0.3">
      <c r="J27103" s="33"/>
    </row>
    <row r="27104" spans="10:10" ht="15" customHeight="1" x14ac:dyDescent="0.3">
      <c r="J27104" s="33"/>
    </row>
    <row r="27105" spans="10:10" ht="15" customHeight="1" x14ac:dyDescent="0.3">
      <c r="J27105" s="33"/>
    </row>
    <row r="27106" spans="10:10" ht="15" customHeight="1" x14ac:dyDescent="0.3">
      <c r="J27106" s="33"/>
    </row>
    <row r="27107" spans="10:10" ht="15" customHeight="1" x14ac:dyDescent="0.3">
      <c r="J27107" s="33"/>
    </row>
    <row r="27108" spans="10:10" ht="15" customHeight="1" x14ac:dyDescent="0.3">
      <c r="J27108" s="33"/>
    </row>
    <row r="27109" spans="10:10" ht="15" customHeight="1" x14ac:dyDescent="0.3">
      <c r="J27109" s="33"/>
    </row>
    <row r="27110" spans="10:10" ht="15" customHeight="1" x14ac:dyDescent="0.3">
      <c r="J27110" s="33"/>
    </row>
    <row r="27111" spans="10:10" ht="15" customHeight="1" x14ac:dyDescent="0.3">
      <c r="J27111" s="33"/>
    </row>
    <row r="27112" spans="10:10" ht="15" customHeight="1" x14ac:dyDescent="0.3">
      <c r="J27112" s="33"/>
    </row>
    <row r="27113" spans="10:10" ht="15" customHeight="1" x14ac:dyDescent="0.3">
      <c r="J27113" s="33"/>
    </row>
    <row r="27114" spans="10:10" ht="15" customHeight="1" x14ac:dyDescent="0.3">
      <c r="J27114" s="33"/>
    </row>
    <row r="27115" spans="10:10" ht="15" customHeight="1" x14ac:dyDescent="0.3">
      <c r="J27115" s="33"/>
    </row>
    <row r="27116" spans="10:10" ht="15" customHeight="1" x14ac:dyDescent="0.3">
      <c r="J27116" s="33"/>
    </row>
    <row r="27117" spans="10:10" ht="15" customHeight="1" x14ac:dyDescent="0.3">
      <c r="J27117" s="33"/>
    </row>
    <row r="27118" spans="10:10" ht="15" customHeight="1" x14ac:dyDescent="0.3">
      <c r="J27118" s="33"/>
    </row>
    <row r="27119" spans="10:10" ht="15" customHeight="1" x14ac:dyDescent="0.3">
      <c r="J27119" s="33"/>
    </row>
    <row r="27120" spans="10:10" ht="15" customHeight="1" x14ac:dyDescent="0.3">
      <c r="J27120" s="33"/>
    </row>
    <row r="27121" spans="10:10" ht="15" customHeight="1" x14ac:dyDescent="0.3">
      <c r="J27121" s="33"/>
    </row>
    <row r="27122" spans="10:10" ht="15" customHeight="1" x14ac:dyDescent="0.3">
      <c r="J27122" s="33"/>
    </row>
    <row r="27123" spans="10:10" ht="15" customHeight="1" x14ac:dyDescent="0.3">
      <c r="J27123" s="33"/>
    </row>
    <row r="27124" spans="10:10" ht="15" customHeight="1" x14ac:dyDescent="0.3">
      <c r="J27124" s="33"/>
    </row>
    <row r="27125" spans="10:10" ht="15" customHeight="1" x14ac:dyDescent="0.3">
      <c r="J27125" s="33"/>
    </row>
    <row r="27126" spans="10:10" ht="15" customHeight="1" x14ac:dyDescent="0.3">
      <c r="J27126" s="33"/>
    </row>
    <row r="27127" spans="10:10" ht="15" customHeight="1" x14ac:dyDescent="0.3">
      <c r="J27127" s="33"/>
    </row>
    <row r="27128" spans="10:10" ht="15" customHeight="1" x14ac:dyDescent="0.3">
      <c r="J27128" s="33"/>
    </row>
    <row r="27129" spans="10:10" ht="15" customHeight="1" x14ac:dyDescent="0.3">
      <c r="J27129" s="33"/>
    </row>
    <row r="27130" spans="10:10" ht="15" customHeight="1" x14ac:dyDescent="0.3">
      <c r="J27130" s="33"/>
    </row>
    <row r="27131" spans="10:10" ht="15" customHeight="1" x14ac:dyDescent="0.3">
      <c r="J27131" s="33"/>
    </row>
    <row r="27132" spans="10:10" ht="15" customHeight="1" x14ac:dyDescent="0.3">
      <c r="J27132" s="33"/>
    </row>
    <row r="27133" spans="10:10" ht="15" customHeight="1" x14ac:dyDescent="0.3">
      <c r="J27133" s="33"/>
    </row>
    <row r="27134" spans="10:10" ht="15" customHeight="1" x14ac:dyDescent="0.3">
      <c r="J27134" s="33"/>
    </row>
    <row r="27135" spans="10:10" ht="15" customHeight="1" x14ac:dyDescent="0.3">
      <c r="J27135" s="33"/>
    </row>
    <row r="27136" spans="10:10" ht="15" customHeight="1" x14ac:dyDescent="0.3">
      <c r="J27136" s="33"/>
    </row>
    <row r="27137" spans="10:10" ht="15" customHeight="1" x14ac:dyDescent="0.3">
      <c r="J27137" s="33"/>
    </row>
    <row r="27138" spans="10:10" ht="15" customHeight="1" x14ac:dyDescent="0.3">
      <c r="J27138" s="33"/>
    </row>
    <row r="27139" spans="10:10" ht="15" customHeight="1" x14ac:dyDescent="0.3">
      <c r="J27139" s="33"/>
    </row>
    <row r="27140" spans="10:10" ht="15" customHeight="1" x14ac:dyDescent="0.3">
      <c r="J27140" s="33"/>
    </row>
    <row r="27141" spans="10:10" ht="15" customHeight="1" x14ac:dyDescent="0.3">
      <c r="J27141" s="33"/>
    </row>
    <row r="27142" spans="10:10" ht="15" customHeight="1" x14ac:dyDescent="0.3">
      <c r="J27142" s="33"/>
    </row>
    <row r="27143" spans="10:10" ht="15" customHeight="1" x14ac:dyDescent="0.3">
      <c r="J27143" s="33"/>
    </row>
    <row r="27144" spans="10:10" ht="15" customHeight="1" x14ac:dyDescent="0.3">
      <c r="J27144" s="33"/>
    </row>
    <row r="27145" spans="10:10" ht="15" customHeight="1" x14ac:dyDescent="0.3">
      <c r="J27145" s="33"/>
    </row>
    <row r="27146" spans="10:10" ht="15" customHeight="1" x14ac:dyDescent="0.3">
      <c r="J27146" s="33"/>
    </row>
    <row r="27147" spans="10:10" ht="15" customHeight="1" x14ac:dyDescent="0.3">
      <c r="J27147" s="33"/>
    </row>
    <row r="27148" spans="10:10" ht="15" customHeight="1" x14ac:dyDescent="0.3">
      <c r="J27148" s="33"/>
    </row>
    <row r="27149" spans="10:10" ht="15" customHeight="1" x14ac:dyDescent="0.3">
      <c r="J27149" s="33"/>
    </row>
    <row r="27150" spans="10:10" ht="15" customHeight="1" x14ac:dyDescent="0.3">
      <c r="J27150" s="33"/>
    </row>
    <row r="27151" spans="10:10" ht="15" customHeight="1" x14ac:dyDescent="0.3">
      <c r="J27151" s="33"/>
    </row>
    <row r="27152" spans="10:10" ht="15" customHeight="1" x14ac:dyDescent="0.3">
      <c r="J27152" s="33"/>
    </row>
    <row r="27153" spans="10:10" ht="15" customHeight="1" x14ac:dyDescent="0.3">
      <c r="J27153" s="33"/>
    </row>
    <row r="27154" spans="10:10" ht="15" customHeight="1" x14ac:dyDescent="0.3">
      <c r="J27154" s="33"/>
    </row>
    <row r="27155" spans="10:10" ht="15" customHeight="1" x14ac:dyDescent="0.3">
      <c r="J27155" s="33"/>
    </row>
    <row r="27156" spans="10:10" ht="15" customHeight="1" x14ac:dyDescent="0.3">
      <c r="J27156" s="33"/>
    </row>
    <row r="27157" spans="10:10" ht="15" customHeight="1" x14ac:dyDescent="0.3">
      <c r="J27157" s="33"/>
    </row>
    <row r="27158" spans="10:10" ht="15" customHeight="1" x14ac:dyDescent="0.3">
      <c r="J27158" s="33"/>
    </row>
    <row r="27159" spans="10:10" ht="15" customHeight="1" x14ac:dyDescent="0.3">
      <c r="J27159" s="33"/>
    </row>
    <row r="27160" spans="10:10" ht="15" customHeight="1" x14ac:dyDescent="0.3">
      <c r="J27160" s="33"/>
    </row>
    <row r="27161" spans="10:10" ht="15" customHeight="1" x14ac:dyDescent="0.3">
      <c r="J27161" s="33"/>
    </row>
    <row r="27162" spans="10:10" ht="15" customHeight="1" x14ac:dyDescent="0.3">
      <c r="J27162" s="33"/>
    </row>
    <row r="27163" spans="10:10" ht="15" customHeight="1" x14ac:dyDescent="0.3">
      <c r="J27163" s="33"/>
    </row>
    <row r="27164" spans="10:10" ht="15" customHeight="1" x14ac:dyDescent="0.3">
      <c r="J27164" s="33"/>
    </row>
    <row r="27165" spans="10:10" ht="15" customHeight="1" x14ac:dyDescent="0.3">
      <c r="J27165" s="33"/>
    </row>
    <row r="27166" spans="10:10" ht="15" customHeight="1" x14ac:dyDescent="0.3">
      <c r="J27166" s="33"/>
    </row>
    <row r="27167" spans="10:10" ht="15" customHeight="1" x14ac:dyDescent="0.3">
      <c r="J27167" s="33"/>
    </row>
    <row r="27168" spans="10:10" ht="15" customHeight="1" x14ac:dyDescent="0.3">
      <c r="J27168" s="33"/>
    </row>
    <row r="27169" spans="10:10" ht="15" customHeight="1" x14ac:dyDescent="0.3">
      <c r="J27169" s="33"/>
    </row>
    <row r="27170" spans="10:10" ht="15" customHeight="1" x14ac:dyDescent="0.3">
      <c r="J27170" s="33"/>
    </row>
    <row r="27171" spans="10:10" ht="15" customHeight="1" x14ac:dyDescent="0.3">
      <c r="J27171" s="33"/>
    </row>
    <row r="27172" spans="10:10" ht="15" customHeight="1" x14ac:dyDescent="0.3">
      <c r="J27172" s="33"/>
    </row>
    <row r="27173" spans="10:10" ht="15" customHeight="1" x14ac:dyDescent="0.3">
      <c r="J27173" s="33"/>
    </row>
    <row r="27174" spans="10:10" ht="15" customHeight="1" x14ac:dyDescent="0.3">
      <c r="J27174" s="33"/>
    </row>
    <row r="27175" spans="10:10" ht="15" customHeight="1" x14ac:dyDescent="0.3">
      <c r="J27175" s="33"/>
    </row>
    <row r="27176" spans="10:10" ht="15" customHeight="1" x14ac:dyDescent="0.3">
      <c r="J27176" s="33"/>
    </row>
    <row r="27177" spans="10:10" ht="15" customHeight="1" x14ac:dyDescent="0.3">
      <c r="J27177" s="33"/>
    </row>
    <row r="27178" spans="10:10" ht="15" customHeight="1" x14ac:dyDescent="0.3">
      <c r="J27178" s="33"/>
    </row>
    <row r="27179" spans="10:10" ht="15" customHeight="1" x14ac:dyDescent="0.3">
      <c r="J27179" s="33"/>
    </row>
    <row r="27180" spans="10:10" ht="15" customHeight="1" x14ac:dyDescent="0.3">
      <c r="J27180" s="33"/>
    </row>
    <row r="27181" spans="10:10" ht="15" customHeight="1" x14ac:dyDescent="0.3">
      <c r="J27181" s="33"/>
    </row>
    <row r="27182" spans="10:10" ht="15" customHeight="1" x14ac:dyDescent="0.3">
      <c r="J27182" s="33"/>
    </row>
    <row r="27183" spans="10:10" ht="15" customHeight="1" x14ac:dyDescent="0.3">
      <c r="J27183" s="33"/>
    </row>
    <row r="27184" spans="10:10" ht="15" customHeight="1" x14ac:dyDescent="0.3">
      <c r="J27184" s="33"/>
    </row>
    <row r="27185" spans="10:10" ht="15" customHeight="1" x14ac:dyDescent="0.3">
      <c r="J27185" s="33"/>
    </row>
    <row r="27186" spans="10:10" ht="15" customHeight="1" x14ac:dyDescent="0.3">
      <c r="J27186" s="33"/>
    </row>
    <row r="27187" spans="10:10" ht="15" customHeight="1" x14ac:dyDescent="0.3">
      <c r="J27187" s="33"/>
    </row>
    <row r="27188" spans="10:10" ht="15" customHeight="1" x14ac:dyDescent="0.3">
      <c r="J27188" s="33"/>
    </row>
    <row r="27189" spans="10:10" ht="15" customHeight="1" x14ac:dyDescent="0.3">
      <c r="J27189" s="33"/>
    </row>
    <row r="27190" spans="10:10" ht="15" customHeight="1" x14ac:dyDescent="0.3">
      <c r="J27190" s="33"/>
    </row>
    <row r="27191" spans="10:10" ht="15" customHeight="1" x14ac:dyDescent="0.3">
      <c r="J27191" s="33"/>
    </row>
    <row r="27192" spans="10:10" ht="15" customHeight="1" x14ac:dyDescent="0.3">
      <c r="J27192" s="33"/>
    </row>
    <row r="27193" spans="10:10" ht="15" customHeight="1" x14ac:dyDescent="0.3">
      <c r="J27193" s="33"/>
    </row>
    <row r="27194" spans="10:10" ht="15" customHeight="1" x14ac:dyDescent="0.3">
      <c r="J27194" s="33"/>
    </row>
    <row r="27195" spans="10:10" ht="15" customHeight="1" x14ac:dyDescent="0.3">
      <c r="J27195" s="33"/>
    </row>
    <row r="27196" spans="10:10" ht="15" customHeight="1" x14ac:dyDescent="0.3">
      <c r="J27196" s="33"/>
    </row>
    <row r="27197" spans="10:10" ht="15" customHeight="1" x14ac:dyDescent="0.3">
      <c r="J27197" s="33"/>
    </row>
    <row r="27198" spans="10:10" ht="15" customHeight="1" x14ac:dyDescent="0.3">
      <c r="J27198" s="33"/>
    </row>
    <row r="27199" spans="10:10" ht="15" customHeight="1" x14ac:dyDescent="0.3">
      <c r="J27199" s="33"/>
    </row>
    <row r="27200" spans="10:10" ht="15" customHeight="1" x14ac:dyDescent="0.3">
      <c r="J27200" s="33"/>
    </row>
    <row r="27201" spans="10:10" ht="15" customHeight="1" x14ac:dyDescent="0.3">
      <c r="J27201" s="33"/>
    </row>
    <row r="27202" spans="10:10" ht="15" customHeight="1" x14ac:dyDescent="0.3">
      <c r="J27202" s="33"/>
    </row>
    <row r="27203" spans="10:10" ht="15" customHeight="1" x14ac:dyDescent="0.3">
      <c r="J27203" s="33"/>
    </row>
    <row r="27204" spans="10:10" ht="15" customHeight="1" x14ac:dyDescent="0.3">
      <c r="J27204" s="33"/>
    </row>
    <row r="27205" spans="10:10" ht="15" customHeight="1" x14ac:dyDescent="0.3">
      <c r="J27205" s="33"/>
    </row>
    <row r="27206" spans="10:10" ht="15" customHeight="1" x14ac:dyDescent="0.3">
      <c r="J27206" s="33"/>
    </row>
    <row r="27207" spans="10:10" ht="15" customHeight="1" x14ac:dyDescent="0.3">
      <c r="J27207" s="33"/>
    </row>
    <row r="27208" spans="10:10" ht="15" customHeight="1" x14ac:dyDescent="0.3">
      <c r="J27208" s="33"/>
    </row>
    <row r="27209" spans="10:10" ht="15" customHeight="1" x14ac:dyDescent="0.3">
      <c r="J27209" s="33"/>
    </row>
    <row r="27210" spans="10:10" ht="15" customHeight="1" x14ac:dyDescent="0.3">
      <c r="J27210" s="33"/>
    </row>
    <row r="27211" spans="10:10" ht="15" customHeight="1" x14ac:dyDescent="0.3">
      <c r="J27211" s="33"/>
    </row>
    <row r="27212" spans="10:10" ht="15" customHeight="1" x14ac:dyDescent="0.3">
      <c r="J27212" s="33"/>
    </row>
    <row r="27213" spans="10:10" ht="15" customHeight="1" x14ac:dyDescent="0.3">
      <c r="J27213" s="33"/>
    </row>
    <row r="27214" spans="10:10" ht="15" customHeight="1" x14ac:dyDescent="0.3">
      <c r="J27214" s="33"/>
    </row>
    <row r="27215" spans="10:10" ht="15" customHeight="1" x14ac:dyDescent="0.3">
      <c r="J27215" s="33"/>
    </row>
    <row r="27216" spans="10:10" ht="15" customHeight="1" x14ac:dyDescent="0.3">
      <c r="J27216" s="33"/>
    </row>
    <row r="27217" spans="10:10" ht="15" customHeight="1" x14ac:dyDescent="0.3">
      <c r="J27217" s="33"/>
    </row>
    <row r="27218" spans="10:10" ht="15" customHeight="1" x14ac:dyDescent="0.3">
      <c r="J27218" s="33"/>
    </row>
    <row r="27219" spans="10:10" ht="15" customHeight="1" x14ac:dyDescent="0.3">
      <c r="J27219" s="33"/>
    </row>
    <row r="27220" spans="10:10" ht="15" customHeight="1" x14ac:dyDescent="0.3">
      <c r="J27220" s="33"/>
    </row>
    <row r="27221" spans="10:10" ht="15" customHeight="1" x14ac:dyDescent="0.3">
      <c r="J27221" s="33"/>
    </row>
    <row r="27222" spans="10:10" ht="15" customHeight="1" x14ac:dyDescent="0.3">
      <c r="J27222" s="33"/>
    </row>
    <row r="27223" spans="10:10" ht="15" customHeight="1" x14ac:dyDescent="0.3">
      <c r="J27223" s="33"/>
    </row>
    <row r="27224" spans="10:10" ht="15" customHeight="1" x14ac:dyDescent="0.3">
      <c r="J27224" s="33"/>
    </row>
    <row r="27225" spans="10:10" ht="15" customHeight="1" x14ac:dyDescent="0.3">
      <c r="J27225" s="33"/>
    </row>
    <row r="27226" spans="10:10" ht="15" customHeight="1" x14ac:dyDescent="0.3">
      <c r="J27226" s="33"/>
    </row>
    <row r="27227" spans="10:10" ht="15" customHeight="1" x14ac:dyDescent="0.3">
      <c r="J27227" s="33"/>
    </row>
    <row r="27228" spans="10:10" ht="15" customHeight="1" x14ac:dyDescent="0.3">
      <c r="J27228" s="33"/>
    </row>
    <row r="27229" spans="10:10" ht="15" customHeight="1" x14ac:dyDescent="0.3">
      <c r="J27229" s="33"/>
    </row>
    <row r="27230" spans="10:10" ht="15" customHeight="1" x14ac:dyDescent="0.3">
      <c r="J27230" s="33"/>
    </row>
    <row r="27231" spans="10:10" ht="15" customHeight="1" x14ac:dyDescent="0.3">
      <c r="J27231" s="33"/>
    </row>
    <row r="27232" spans="10:10" ht="15" customHeight="1" x14ac:dyDescent="0.3">
      <c r="J27232" s="33"/>
    </row>
    <row r="27233" spans="10:10" ht="15" customHeight="1" x14ac:dyDescent="0.3">
      <c r="J27233" s="33"/>
    </row>
    <row r="27234" spans="10:10" ht="15" customHeight="1" x14ac:dyDescent="0.3">
      <c r="J27234" s="33"/>
    </row>
    <row r="27235" spans="10:10" ht="15" customHeight="1" x14ac:dyDescent="0.3">
      <c r="J27235" s="33"/>
    </row>
    <row r="27236" spans="10:10" ht="15" customHeight="1" x14ac:dyDescent="0.3">
      <c r="J27236" s="33"/>
    </row>
    <row r="27237" spans="10:10" ht="15" customHeight="1" x14ac:dyDescent="0.3">
      <c r="J27237" s="33"/>
    </row>
    <row r="27238" spans="10:10" ht="15" customHeight="1" x14ac:dyDescent="0.3">
      <c r="J27238" s="33"/>
    </row>
    <row r="27239" spans="10:10" ht="15" customHeight="1" x14ac:dyDescent="0.3">
      <c r="J27239" s="33"/>
    </row>
    <row r="27240" spans="10:10" ht="15" customHeight="1" x14ac:dyDescent="0.3">
      <c r="J27240" s="33"/>
    </row>
    <row r="27241" spans="10:10" ht="15" customHeight="1" x14ac:dyDescent="0.3">
      <c r="J27241" s="33"/>
    </row>
    <row r="27242" spans="10:10" ht="15" customHeight="1" x14ac:dyDescent="0.3">
      <c r="J27242" s="33"/>
    </row>
    <row r="27243" spans="10:10" ht="15" customHeight="1" x14ac:dyDescent="0.3">
      <c r="J27243" s="33"/>
    </row>
    <row r="27244" spans="10:10" ht="15" customHeight="1" x14ac:dyDescent="0.3">
      <c r="J27244" s="33"/>
    </row>
    <row r="27245" spans="10:10" ht="15" customHeight="1" x14ac:dyDescent="0.3">
      <c r="J27245" s="33"/>
    </row>
    <row r="27246" spans="10:10" ht="15" customHeight="1" x14ac:dyDescent="0.3">
      <c r="J27246" s="33"/>
    </row>
    <row r="27247" spans="10:10" ht="15" customHeight="1" x14ac:dyDescent="0.3">
      <c r="J27247" s="33"/>
    </row>
    <row r="27248" spans="10:10" ht="15" customHeight="1" x14ac:dyDescent="0.3">
      <c r="J27248" s="33"/>
    </row>
    <row r="27249" spans="10:10" ht="15" customHeight="1" x14ac:dyDescent="0.3">
      <c r="J27249" s="33"/>
    </row>
    <row r="27250" spans="10:10" ht="15" customHeight="1" x14ac:dyDescent="0.3">
      <c r="J27250" s="33"/>
    </row>
    <row r="27251" spans="10:10" ht="15" customHeight="1" x14ac:dyDescent="0.3">
      <c r="J27251" s="33"/>
    </row>
    <row r="27252" spans="10:10" ht="15" customHeight="1" x14ac:dyDescent="0.3">
      <c r="J27252" s="33"/>
    </row>
    <row r="27253" spans="10:10" ht="15" customHeight="1" x14ac:dyDescent="0.3">
      <c r="J27253" s="33"/>
    </row>
    <row r="27254" spans="10:10" ht="15" customHeight="1" x14ac:dyDescent="0.3">
      <c r="J27254" s="33"/>
    </row>
    <row r="27255" spans="10:10" ht="15" customHeight="1" x14ac:dyDescent="0.3">
      <c r="J27255" s="33"/>
    </row>
    <row r="27256" spans="10:10" ht="15" customHeight="1" x14ac:dyDescent="0.3">
      <c r="J27256" s="33"/>
    </row>
    <row r="27257" spans="10:10" ht="15" customHeight="1" x14ac:dyDescent="0.3">
      <c r="J27257" s="33"/>
    </row>
    <row r="27258" spans="10:10" ht="15" customHeight="1" x14ac:dyDescent="0.3">
      <c r="J27258" s="33"/>
    </row>
    <row r="27259" spans="10:10" ht="15" customHeight="1" x14ac:dyDescent="0.3">
      <c r="J27259" s="33"/>
    </row>
    <row r="27260" spans="10:10" ht="15" customHeight="1" x14ac:dyDescent="0.3">
      <c r="J27260" s="33"/>
    </row>
    <row r="27261" spans="10:10" ht="15" customHeight="1" x14ac:dyDescent="0.3">
      <c r="J27261" s="33"/>
    </row>
    <row r="27262" spans="10:10" ht="15" customHeight="1" x14ac:dyDescent="0.3">
      <c r="J27262" s="33"/>
    </row>
    <row r="27263" spans="10:10" ht="15" customHeight="1" x14ac:dyDescent="0.3">
      <c r="J27263" s="33"/>
    </row>
    <row r="27264" spans="10:10" ht="15" customHeight="1" x14ac:dyDescent="0.3">
      <c r="J27264" s="33"/>
    </row>
    <row r="27265" spans="10:10" ht="15" customHeight="1" x14ac:dyDescent="0.3">
      <c r="J27265" s="33"/>
    </row>
    <row r="27266" spans="10:10" ht="15" customHeight="1" x14ac:dyDescent="0.3">
      <c r="J27266" s="33"/>
    </row>
    <row r="27267" spans="10:10" ht="15" customHeight="1" x14ac:dyDescent="0.3">
      <c r="J27267" s="33"/>
    </row>
    <row r="27268" spans="10:10" ht="15" customHeight="1" x14ac:dyDescent="0.3">
      <c r="J27268" s="33"/>
    </row>
    <row r="27269" spans="10:10" ht="15" customHeight="1" x14ac:dyDescent="0.3">
      <c r="J27269" s="33"/>
    </row>
    <row r="27270" spans="10:10" ht="15" customHeight="1" x14ac:dyDescent="0.3">
      <c r="J27270" s="33"/>
    </row>
    <row r="27271" spans="10:10" ht="15" customHeight="1" x14ac:dyDescent="0.3">
      <c r="J27271" s="33"/>
    </row>
    <row r="27272" spans="10:10" ht="15" customHeight="1" x14ac:dyDescent="0.3">
      <c r="J27272" s="33"/>
    </row>
    <row r="27273" spans="10:10" ht="15" customHeight="1" x14ac:dyDescent="0.3">
      <c r="J27273" s="33"/>
    </row>
    <row r="27274" spans="10:10" ht="15" customHeight="1" x14ac:dyDescent="0.3">
      <c r="J27274" s="33"/>
    </row>
    <row r="27275" spans="10:10" ht="15" customHeight="1" x14ac:dyDescent="0.3">
      <c r="J27275" s="33"/>
    </row>
    <row r="27276" spans="10:10" ht="15" customHeight="1" x14ac:dyDescent="0.3">
      <c r="J27276" s="33"/>
    </row>
    <row r="27277" spans="10:10" ht="15" customHeight="1" x14ac:dyDescent="0.3">
      <c r="J27277" s="33"/>
    </row>
    <row r="27278" spans="10:10" ht="15" customHeight="1" x14ac:dyDescent="0.3">
      <c r="J27278" s="33"/>
    </row>
    <row r="27279" spans="10:10" ht="15" customHeight="1" x14ac:dyDescent="0.3">
      <c r="J27279" s="33"/>
    </row>
    <row r="27280" spans="10:10" ht="15" customHeight="1" x14ac:dyDescent="0.3">
      <c r="J27280" s="33"/>
    </row>
    <row r="27281" spans="10:10" ht="15" customHeight="1" x14ac:dyDescent="0.3">
      <c r="J27281" s="33"/>
    </row>
    <row r="27282" spans="10:10" ht="15" customHeight="1" x14ac:dyDescent="0.3">
      <c r="J27282" s="33"/>
    </row>
    <row r="27283" spans="10:10" ht="15" customHeight="1" x14ac:dyDescent="0.3">
      <c r="J27283" s="33"/>
    </row>
    <row r="27284" spans="10:10" ht="15" customHeight="1" x14ac:dyDescent="0.3">
      <c r="J27284" s="33"/>
    </row>
    <row r="27285" spans="10:10" ht="15" customHeight="1" x14ac:dyDescent="0.3">
      <c r="J27285" s="33"/>
    </row>
    <row r="27286" spans="10:10" ht="15" customHeight="1" x14ac:dyDescent="0.3">
      <c r="J27286" s="33"/>
    </row>
    <row r="27287" spans="10:10" ht="15" customHeight="1" x14ac:dyDescent="0.3">
      <c r="J27287" s="33"/>
    </row>
    <row r="27288" spans="10:10" ht="15" customHeight="1" x14ac:dyDescent="0.3">
      <c r="J27288" s="33"/>
    </row>
    <row r="27289" spans="10:10" ht="15" customHeight="1" x14ac:dyDescent="0.3">
      <c r="J27289" s="33"/>
    </row>
    <row r="27290" spans="10:10" ht="15" customHeight="1" x14ac:dyDescent="0.3">
      <c r="J27290" s="33"/>
    </row>
    <row r="27291" spans="10:10" ht="15" customHeight="1" x14ac:dyDescent="0.3">
      <c r="J27291" s="33"/>
    </row>
    <row r="27292" spans="10:10" ht="15" customHeight="1" x14ac:dyDescent="0.3">
      <c r="J27292" s="33"/>
    </row>
    <row r="27293" spans="10:10" ht="15" customHeight="1" x14ac:dyDescent="0.3">
      <c r="J27293" s="33"/>
    </row>
    <row r="27294" spans="10:10" ht="15" customHeight="1" x14ac:dyDescent="0.3">
      <c r="J27294" s="33"/>
    </row>
    <row r="27295" spans="10:10" ht="15" customHeight="1" x14ac:dyDescent="0.3">
      <c r="J27295" s="33"/>
    </row>
    <row r="27296" spans="10:10" ht="15" customHeight="1" x14ac:dyDescent="0.3">
      <c r="J27296" s="33"/>
    </row>
    <row r="27297" spans="10:10" ht="15" customHeight="1" x14ac:dyDescent="0.3">
      <c r="J27297" s="33"/>
    </row>
    <row r="27298" spans="10:10" ht="15" customHeight="1" x14ac:dyDescent="0.3">
      <c r="J27298" s="33"/>
    </row>
    <row r="27299" spans="10:10" ht="15" customHeight="1" x14ac:dyDescent="0.3">
      <c r="J27299" s="33"/>
    </row>
    <row r="27300" spans="10:10" ht="15" customHeight="1" x14ac:dyDescent="0.3">
      <c r="J27300" s="33"/>
    </row>
    <row r="27301" spans="10:10" ht="15" customHeight="1" x14ac:dyDescent="0.3">
      <c r="J27301" s="33"/>
    </row>
    <row r="27302" spans="10:10" ht="15" customHeight="1" x14ac:dyDescent="0.3">
      <c r="J27302" s="33"/>
    </row>
    <row r="27303" spans="10:10" ht="15" customHeight="1" x14ac:dyDescent="0.3">
      <c r="J27303" s="33"/>
    </row>
    <row r="27304" spans="10:10" ht="15" customHeight="1" x14ac:dyDescent="0.3">
      <c r="J27304" s="33"/>
    </row>
    <row r="27305" spans="10:10" ht="15" customHeight="1" x14ac:dyDescent="0.3">
      <c r="J27305" s="33"/>
    </row>
    <row r="27306" spans="10:10" ht="15" customHeight="1" x14ac:dyDescent="0.3">
      <c r="J27306" s="33"/>
    </row>
    <row r="27307" spans="10:10" ht="15" customHeight="1" x14ac:dyDescent="0.3">
      <c r="J27307" s="33"/>
    </row>
    <row r="27308" spans="10:10" ht="15" customHeight="1" x14ac:dyDescent="0.3">
      <c r="J27308" s="33"/>
    </row>
    <row r="27309" spans="10:10" ht="15" customHeight="1" x14ac:dyDescent="0.3">
      <c r="J27309" s="33"/>
    </row>
    <row r="27310" spans="10:10" ht="15" customHeight="1" x14ac:dyDescent="0.3">
      <c r="J27310" s="33"/>
    </row>
    <row r="27311" spans="10:10" ht="15" customHeight="1" x14ac:dyDescent="0.3">
      <c r="J27311" s="33"/>
    </row>
    <row r="27312" spans="10:10" ht="15" customHeight="1" x14ac:dyDescent="0.3">
      <c r="J27312" s="33"/>
    </row>
    <row r="27313" spans="10:10" ht="15" customHeight="1" x14ac:dyDescent="0.3">
      <c r="J27313" s="33"/>
    </row>
    <row r="27314" spans="10:10" ht="15" customHeight="1" x14ac:dyDescent="0.3">
      <c r="J27314" s="33"/>
    </row>
    <row r="27315" spans="10:10" ht="15" customHeight="1" x14ac:dyDescent="0.3">
      <c r="J27315" s="33"/>
    </row>
    <row r="27316" spans="10:10" ht="15" customHeight="1" x14ac:dyDescent="0.3">
      <c r="J27316" s="33"/>
    </row>
    <row r="27317" spans="10:10" ht="15" customHeight="1" x14ac:dyDescent="0.3">
      <c r="J27317" s="33"/>
    </row>
    <row r="27318" spans="10:10" ht="15" customHeight="1" x14ac:dyDescent="0.3">
      <c r="J27318" s="33"/>
    </row>
    <row r="27319" spans="10:10" ht="15" customHeight="1" x14ac:dyDescent="0.3">
      <c r="J27319" s="33"/>
    </row>
    <row r="27320" spans="10:10" ht="15" customHeight="1" x14ac:dyDescent="0.3">
      <c r="J27320" s="33"/>
    </row>
    <row r="27321" spans="10:10" ht="15" customHeight="1" x14ac:dyDescent="0.3">
      <c r="J27321" s="33"/>
    </row>
    <row r="27322" spans="10:10" ht="15" customHeight="1" x14ac:dyDescent="0.3">
      <c r="J27322" s="33"/>
    </row>
    <row r="27323" spans="10:10" ht="15" customHeight="1" x14ac:dyDescent="0.3">
      <c r="J27323" s="33"/>
    </row>
    <row r="27324" spans="10:10" ht="15" customHeight="1" x14ac:dyDescent="0.3">
      <c r="J27324" s="33"/>
    </row>
    <row r="27325" spans="10:10" ht="15" customHeight="1" x14ac:dyDescent="0.3">
      <c r="J27325" s="33"/>
    </row>
    <row r="27326" spans="10:10" ht="15" customHeight="1" x14ac:dyDescent="0.3">
      <c r="J27326" s="33"/>
    </row>
    <row r="27327" spans="10:10" ht="15" customHeight="1" x14ac:dyDescent="0.3">
      <c r="J27327" s="33"/>
    </row>
    <row r="27328" spans="10:10" ht="15" customHeight="1" x14ac:dyDescent="0.3">
      <c r="J27328" s="33"/>
    </row>
    <row r="27329" spans="10:10" ht="15" customHeight="1" x14ac:dyDescent="0.3">
      <c r="J27329" s="33"/>
    </row>
    <row r="27330" spans="10:10" ht="15" customHeight="1" x14ac:dyDescent="0.3">
      <c r="J27330" s="33"/>
    </row>
    <row r="27331" spans="10:10" ht="15" customHeight="1" x14ac:dyDescent="0.3">
      <c r="J27331" s="33"/>
    </row>
    <row r="27332" spans="10:10" ht="15" customHeight="1" x14ac:dyDescent="0.3">
      <c r="J27332" s="33"/>
    </row>
    <row r="27333" spans="10:10" ht="15" customHeight="1" x14ac:dyDescent="0.3">
      <c r="J27333" s="33"/>
    </row>
    <row r="27334" spans="10:10" ht="15" customHeight="1" x14ac:dyDescent="0.3">
      <c r="J27334" s="33"/>
    </row>
    <row r="27335" spans="10:10" ht="15" customHeight="1" x14ac:dyDescent="0.3">
      <c r="J27335" s="33"/>
    </row>
    <row r="27336" spans="10:10" ht="15" customHeight="1" x14ac:dyDescent="0.3">
      <c r="J27336" s="33"/>
    </row>
    <row r="27337" spans="10:10" ht="15" customHeight="1" x14ac:dyDescent="0.3">
      <c r="J27337" s="33"/>
    </row>
    <row r="27338" spans="10:10" ht="15" customHeight="1" x14ac:dyDescent="0.3">
      <c r="J27338" s="33"/>
    </row>
    <row r="27339" spans="10:10" ht="15" customHeight="1" x14ac:dyDescent="0.3">
      <c r="J27339" s="33"/>
    </row>
    <row r="27340" spans="10:10" ht="15" customHeight="1" x14ac:dyDescent="0.3">
      <c r="J27340" s="33"/>
    </row>
    <row r="27341" spans="10:10" ht="15" customHeight="1" x14ac:dyDescent="0.3">
      <c r="J27341" s="33"/>
    </row>
    <row r="27342" spans="10:10" ht="15" customHeight="1" x14ac:dyDescent="0.3">
      <c r="J27342" s="33"/>
    </row>
    <row r="27343" spans="10:10" ht="15" customHeight="1" x14ac:dyDescent="0.3">
      <c r="J27343" s="33"/>
    </row>
    <row r="27344" spans="10:10" ht="15" customHeight="1" x14ac:dyDescent="0.3">
      <c r="J27344" s="33"/>
    </row>
    <row r="27345" spans="10:10" ht="15" customHeight="1" x14ac:dyDescent="0.3">
      <c r="J27345" s="33"/>
    </row>
    <row r="27346" spans="10:10" ht="15" customHeight="1" x14ac:dyDescent="0.3">
      <c r="J27346" s="33"/>
    </row>
    <row r="27347" spans="10:10" ht="15" customHeight="1" x14ac:dyDescent="0.3">
      <c r="J27347" s="33"/>
    </row>
    <row r="27348" spans="10:10" ht="15" customHeight="1" x14ac:dyDescent="0.3">
      <c r="J27348" s="33"/>
    </row>
    <row r="27349" spans="10:10" ht="15" customHeight="1" x14ac:dyDescent="0.3">
      <c r="J27349" s="33"/>
    </row>
    <row r="27350" spans="10:10" ht="15" customHeight="1" x14ac:dyDescent="0.3">
      <c r="J27350" s="33"/>
    </row>
    <row r="27351" spans="10:10" ht="15" customHeight="1" x14ac:dyDescent="0.3">
      <c r="J27351" s="33"/>
    </row>
    <row r="27352" spans="10:10" ht="15" customHeight="1" x14ac:dyDescent="0.3">
      <c r="J27352" s="33"/>
    </row>
    <row r="27353" spans="10:10" ht="15" customHeight="1" x14ac:dyDescent="0.3">
      <c r="J27353" s="33"/>
    </row>
    <row r="27354" spans="10:10" ht="15" customHeight="1" x14ac:dyDescent="0.3">
      <c r="J27354" s="33"/>
    </row>
    <row r="27355" spans="10:10" ht="15" customHeight="1" x14ac:dyDescent="0.3">
      <c r="J27355" s="33"/>
    </row>
    <row r="27356" spans="10:10" ht="15" customHeight="1" x14ac:dyDescent="0.3">
      <c r="J27356" s="33"/>
    </row>
    <row r="27357" spans="10:10" ht="15" customHeight="1" x14ac:dyDescent="0.3">
      <c r="J27357" s="33"/>
    </row>
    <row r="27358" spans="10:10" ht="15" customHeight="1" x14ac:dyDescent="0.3">
      <c r="J27358" s="33"/>
    </row>
    <row r="27359" spans="10:10" ht="15" customHeight="1" x14ac:dyDescent="0.3">
      <c r="J27359" s="33"/>
    </row>
    <row r="27360" spans="10:10" ht="15" customHeight="1" x14ac:dyDescent="0.3">
      <c r="J27360" s="33"/>
    </row>
    <row r="27361" spans="10:10" ht="15" customHeight="1" x14ac:dyDescent="0.3">
      <c r="J27361" s="33"/>
    </row>
    <row r="27362" spans="10:10" ht="15" customHeight="1" x14ac:dyDescent="0.3">
      <c r="J27362" s="33"/>
    </row>
    <row r="27363" spans="10:10" ht="15" customHeight="1" x14ac:dyDescent="0.3">
      <c r="J27363" s="33"/>
    </row>
    <row r="27364" spans="10:10" ht="15" customHeight="1" x14ac:dyDescent="0.3">
      <c r="J27364" s="33"/>
    </row>
    <row r="27365" spans="10:10" ht="15" customHeight="1" x14ac:dyDescent="0.3">
      <c r="J27365" s="33"/>
    </row>
    <row r="27366" spans="10:10" ht="15" customHeight="1" x14ac:dyDescent="0.3">
      <c r="J27366" s="33"/>
    </row>
    <row r="27367" spans="10:10" ht="15" customHeight="1" x14ac:dyDescent="0.3">
      <c r="J27367" s="33"/>
    </row>
    <row r="27368" spans="10:10" ht="15" customHeight="1" x14ac:dyDescent="0.3">
      <c r="J27368" s="33"/>
    </row>
    <row r="27369" spans="10:10" ht="15" customHeight="1" x14ac:dyDescent="0.3">
      <c r="J27369" s="33"/>
    </row>
    <row r="27370" spans="10:10" ht="15" customHeight="1" x14ac:dyDescent="0.3">
      <c r="J27370" s="33"/>
    </row>
    <row r="27371" spans="10:10" ht="15" customHeight="1" x14ac:dyDescent="0.3">
      <c r="J27371" s="33"/>
    </row>
    <row r="27372" spans="10:10" ht="15" customHeight="1" x14ac:dyDescent="0.3">
      <c r="J27372" s="33"/>
    </row>
    <row r="27373" spans="10:10" ht="15" customHeight="1" x14ac:dyDescent="0.3">
      <c r="J27373" s="33"/>
    </row>
    <row r="27374" spans="10:10" ht="15" customHeight="1" x14ac:dyDescent="0.3">
      <c r="J27374" s="33"/>
    </row>
    <row r="27375" spans="10:10" ht="15" customHeight="1" x14ac:dyDescent="0.3">
      <c r="J27375" s="33"/>
    </row>
    <row r="27376" spans="10:10" ht="15" customHeight="1" x14ac:dyDescent="0.3">
      <c r="J27376" s="33"/>
    </row>
    <row r="27377" spans="10:10" ht="15" customHeight="1" x14ac:dyDescent="0.3">
      <c r="J27377" s="33"/>
    </row>
    <row r="27378" spans="10:10" ht="15" customHeight="1" x14ac:dyDescent="0.3">
      <c r="J27378" s="33"/>
    </row>
    <row r="27379" spans="10:10" ht="15" customHeight="1" x14ac:dyDescent="0.3">
      <c r="J27379" s="33"/>
    </row>
    <row r="27380" spans="10:10" ht="15" customHeight="1" x14ac:dyDescent="0.3">
      <c r="J27380" s="33"/>
    </row>
    <row r="27381" spans="10:10" ht="15" customHeight="1" x14ac:dyDescent="0.3">
      <c r="J27381" s="33"/>
    </row>
    <row r="27382" spans="10:10" ht="15" customHeight="1" x14ac:dyDescent="0.3">
      <c r="J27382" s="33"/>
    </row>
    <row r="27383" spans="10:10" ht="15" customHeight="1" x14ac:dyDescent="0.3">
      <c r="J27383" s="33"/>
    </row>
    <row r="27384" spans="10:10" ht="15" customHeight="1" x14ac:dyDescent="0.3">
      <c r="J27384" s="33"/>
    </row>
    <row r="27385" spans="10:10" ht="15" customHeight="1" x14ac:dyDescent="0.3">
      <c r="J27385" s="33"/>
    </row>
    <row r="27386" spans="10:10" ht="15" customHeight="1" x14ac:dyDescent="0.3">
      <c r="J27386" s="33"/>
    </row>
    <row r="27387" spans="10:10" ht="15" customHeight="1" x14ac:dyDescent="0.3">
      <c r="J27387" s="33"/>
    </row>
    <row r="27388" spans="10:10" ht="15" customHeight="1" x14ac:dyDescent="0.3">
      <c r="J27388" s="33"/>
    </row>
    <row r="27389" spans="10:10" ht="15" customHeight="1" x14ac:dyDescent="0.3">
      <c r="J27389" s="33"/>
    </row>
    <row r="27390" spans="10:10" ht="15" customHeight="1" x14ac:dyDescent="0.3">
      <c r="J27390" s="33"/>
    </row>
    <row r="27391" spans="10:10" ht="15" customHeight="1" x14ac:dyDescent="0.3">
      <c r="J27391" s="33"/>
    </row>
    <row r="27392" spans="10:10" ht="15" customHeight="1" x14ac:dyDescent="0.3">
      <c r="J27392" s="33"/>
    </row>
    <row r="27393" spans="10:10" ht="15" customHeight="1" x14ac:dyDescent="0.3">
      <c r="J27393" s="33"/>
    </row>
    <row r="27394" spans="10:10" ht="15" customHeight="1" x14ac:dyDescent="0.3">
      <c r="J27394" s="33"/>
    </row>
    <row r="27395" spans="10:10" ht="15" customHeight="1" x14ac:dyDescent="0.3">
      <c r="J27395" s="33"/>
    </row>
    <row r="27396" spans="10:10" ht="15" customHeight="1" x14ac:dyDescent="0.3">
      <c r="J27396" s="33"/>
    </row>
    <row r="27397" spans="10:10" ht="15" customHeight="1" x14ac:dyDescent="0.3">
      <c r="J27397" s="33"/>
    </row>
    <row r="27398" spans="10:10" ht="15" customHeight="1" x14ac:dyDescent="0.3">
      <c r="J27398" s="33"/>
    </row>
    <row r="27399" spans="10:10" ht="15" customHeight="1" x14ac:dyDescent="0.3">
      <c r="J27399" s="33"/>
    </row>
    <row r="27400" spans="10:10" ht="15" customHeight="1" x14ac:dyDescent="0.3">
      <c r="J27400" s="33"/>
    </row>
    <row r="27401" spans="10:10" ht="15" customHeight="1" x14ac:dyDescent="0.3">
      <c r="J27401" s="33"/>
    </row>
    <row r="27402" spans="10:10" ht="15" customHeight="1" x14ac:dyDescent="0.3">
      <c r="J27402" s="33"/>
    </row>
    <row r="27403" spans="10:10" ht="15" customHeight="1" x14ac:dyDescent="0.3">
      <c r="J27403" s="33"/>
    </row>
    <row r="27404" spans="10:10" ht="15" customHeight="1" x14ac:dyDescent="0.3">
      <c r="J27404" s="33"/>
    </row>
    <row r="27405" spans="10:10" ht="15" customHeight="1" x14ac:dyDescent="0.3">
      <c r="J27405" s="33"/>
    </row>
    <row r="27406" spans="10:10" ht="15" customHeight="1" x14ac:dyDescent="0.3">
      <c r="J27406" s="33"/>
    </row>
    <row r="27407" spans="10:10" ht="15" customHeight="1" x14ac:dyDescent="0.3">
      <c r="J27407" s="33"/>
    </row>
    <row r="27408" spans="10:10" ht="15" customHeight="1" x14ac:dyDescent="0.3">
      <c r="J27408" s="33"/>
    </row>
    <row r="27409" spans="10:10" ht="15" customHeight="1" x14ac:dyDescent="0.3">
      <c r="J27409" s="33"/>
    </row>
    <row r="27410" spans="10:10" ht="15" customHeight="1" x14ac:dyDescent="0.3">
      <c r="J27410" s="33"/>
    </row>
    <row r="27411" spans="10:10" ht="15" customHeight="1" x14ac:dyDescent="0.3">
      <c r="J27411" s="33"/>
    </row>
    <row r="27412" spans="10:10" ht="15" customHeight="1" x14ac:dyDescent="0.3">
      <c r="J27412" s="33"/>
    </row>
    <row r="27413" spans="10:10" ht="15" customHeight="1" x14ac:dyDescent="0.3">
      <c r="J27413" s="33"/>
    </row>
    <row r="27414" spans="10:10" ht="15" customHeight="1" x14ac:dyDescent="0.3">
      <c r="J27414" s="33"/>
    </row>
    <row r="27415" spans="10:10" ht="15" customHeight="1" x14ac:dyDescent="0.3">
      <c r="J27415" s="33"/>
    </row>
    <row r="27416" spans="10:10" ht="15" customHeight="1" x14ac:dyDescent="0.3">
      <c r="J27416" s="33"/>
    </row>
    <row r="27417" spans="10:10" ht="15" customHeight="1" x14ac:dyDescent="0.3">
      <c r="J27417" s="33"/>
    </row>
    <row r="27418" spans="10:10" ht="15" customHeight="1" x14ac:dyDescent="0.3">
      <c r="J27418" s="33"/>
    </row>
    <row r="27419" spans="10:10" ht="15" customHeight="1" x14ac:dyDescent="0.3">
      <c r="J27419" s="33"/>
    </row>
    <row r="27420" spans="10:10" ht="15" customHeight="1" x14ac:dyDescent="0.3">
      <c r="J27420" s="33"/>
    </row>
    <row r="27421" spans="10:10" ht="15" customHeight="1" x14ac:dyDescent="0.3">
      <c r="J27421" s="33"/>
    </row>
    <row r="27422" spans="10:10" ht="15" customHeight="1" x14ac:dyDescent="0.3">
      <c r="J27422" s="33"/>
    </row>
    <row r="27423" spans="10:10" ht="15" customHeight="1" x14ac:dyDescent="0.3">
      <c r="J27423" s="33"/>
    </row>
    <row r="27424" spans="10:10" ht="15" customHeight="1" x14ac:dyDescent="0.3">
      <c r="J27424" s="33"/>
    </row>
    <row r="27425" spans="10:10" ht="15" customHeight="1" x14ac:dyDescent="0.3">
      <c r="J27425" s="33"/>
    </row>
    <row r="27426" spans="10:10" ht="15" customHeight="1" x14ac:dyDescent="0.3">
      <c r="J27426" s="33"/>
    </row>
    <row r="27427" spans="10:10" ht="15" customHeight="1" x14ac:dyDescent="0.3">
      <c r="J27427" s="33"/>
    </row>
    <row r="27428" spans="10:10" ht="15" customHeight="1" x14ac:dyDescent="0.3">
      <c r="J27428" s="33"/>
    </row>
    <row r="27429" spans="10:10" ht="15" customHeight="1" x14ac:dyDescent="0.3">
      <c r="J27429" s="33"/>
    </row>
    <row r="27430" spans="10:10" ht="15" customHeight="1" x14ac:dyDescent="0.3">
      <c r="J27430" s="33"/>
    </row>
    <row r="27431" spans="10:10" ht="15" customHeight="1" x14ac:dyDescent="0.3">
      <c r="J27431" s="33"/>
    </row>
    <row r="27432" spans="10:10" ht="15" customHeight="1" x14ac:dyDescent="0.3">
      <c r="J27432" s="33"/>
    </row>
    <row r="27433" spans="10:10" ht="15" customHeight="1" x14ac:dyDescent="0.3">
      <c r="J27433" s="33"/>
    </row>
    <row r="27434" spans="10:10" ht="15" customHeight="1" x14ac:dyDescent="0.3">
      <c r="J27434" s="33"/>
    </row>
    <row r="27435" spans="10:10" ht="15" customHeight="1" x14ac:dyDescent="0.3">
      <c r="J27435" s="33"/>
    </row>
    <row r="27436" spans="10:10" ht="15" customHeight="1" x14ac:dyDescent="0.3">
      <c r="J27436" s="33"/>
    </row>
    <row r="27437" spans="10:10" ht="15" customHeight="1" x14ac:dyDescent="0.3">
      <c r="J27437" s="33"/>
    </row>
    <row r="27438" spans="10:10" ht="15" customHeight="1" x14ac:dyDescent="0.3">
      <c r="J27438" s="33"/>
    </row>
    <row r="27439" spans="10:10" ht="15" customHeight="1" x14ac:dyDescent="0.3">
      <c r="J27439" s="33"/>
    </row>
    <row r="27440" spans="10:10" ht="15" customHeight="1" x14ac:dyDescent="0.3">
      <c r="J27440" s="33"/>
    </row>
    <row r="27441" spans="10:10" ht="15" customHeight="1" x14ac:dyDescent="0.3">
      <c r="J27441" s="33"/>
    </row>
    <row r="27442" spans="10:10" ht="15" customHeight="1" x14ac:dyDescent="0.3">
      <c r="J27442" s="33"/>
    </row>
    <row r="27443" spans="10:10" ht="15" customHeight="1" x14ac:dyDescent="0.3">
      <c r="J27443" s="33"/>
    </row>
    <row r="27444" spans="10:10" ht="15" customHeight="1" x14ac:dyDescent="0.3">
      <c r="J27444" s="33"/>
    </row>
    <row r="27445" spans="10:10" ht="15" customHeight="1" x14ac:dyDescent="0.3">
      <c r="J27445" s="33"/>
    </row>
    <row r="27446" spans="10:10" ht="15" customHeight="1" x14ac:dyDescent="0.3">
      <c r="J27446" s="33"/>
    </row>
    <row r="27447" spans="10:10" ht="15" customHeight="1" x14ac:dyDescent="0.3">
      <c r="J27447" s="33"/>
    </row>
    <row r="27448" spans="10:10" ht="15" customHeight="1" x14ac:dyDescent="0.3">
      <c r="J27448" s="33"/>
    </row>
    <row r="27449" spans="10:10" ht="15" customHeight="1" x14ac:dyDescent="0.3">
      <c r="J27449" s="33"/>
    </row>
    <row r="27450" spans="10:10" ht="15" customHeight="1" x14ac:dyDescent="0.3">
      <c r="J27450" s="33"/>
    </row>
    <row r="27451" spans="10:10" ht="15" customHeight="1" x14ac:dyDescent="0.3">
      <c r="J27451" s="33"/>
    </row>
    <row r="27452" spans="10:10" ht="15" customHeight="1" x14ac:dyDescent="0.3">
      <c r="J27452" s="33"/>
    </row>
    <row r="27453" spans="10:10" ht="15" customHeight="1" x14ac:dyDescent="0.3">
      <c r="J27453" s="33"/>
    </row>
    <row r="27454" spans="10:10" ht="15" customHeight="1" x14ac:dyDescent="0.3">
      <c r="J27454" s="33"/>
    </row>
    <row r="27455" spans="10:10" ht="15" customHeight="1" x14ac:dyDescent="0.3">
      <c r="J27455" s="33"/>
    </row>
    <row r="27456" spans="10:10" ht="15" customHeight="1" x14ac:dyDescent="0.3">
      <c r="J27456" s="33"/>
    </row>
    <row r="27457" spans="10:10" ht="15" customHeight="1" x14ac:dyDescent="0.3">
      <c r="J27457" s="33"/>
    </row>
    <row r="27458" spans="10:10" ht="15" customHeight="1" x14ac:dyDescent="0.3">
      <c r="J27458" s="33"/>
    </row>
    <row r="27459" spans="10:10" ht="15" customHeight="1" x14ac:dyDescent="0.3">
      <c r="J27459" s="33"/>
    </row>
    <row r="27460" spans="10:10" ht="15" customHeight="1" x14ac:dyDescent="0.3">
      <c r="J27460" s="33"/>
    </row>
    <row r="27461" spans="10:10" ht="15" customHeight="1" x14ac:dyDescent="0.3">
      <c r="J27461" s="33"/>
    </row>
    <row r="27462" spans="10:10" ht="15" customHeight="1" x14ac:dyDescent="0.3">
      <c r="J27462" s="33"/>
    </row>
    <row r="27463" spans="10:10" ht="15" customHeight="1" x14ac:dyDescent="0.3">
      <c r="J27463" s="33"/>
    </row>
    <row r="27464" spans="10:10" ht="15" customHeight="1" x14ac:dyDescent="0.3">
      <c r="J27464" s="33"/>
    </row>
    <row r="27465" spans="10:10" ht="15" customHeight="1" x14ac:dyDescent="0.3">
      <c r="J27465" s="33"/>
    </row>
    <row r="27466" spans="10:10" ht="15" customHeight="1" x14ac:dyDescent="0.3">
      <c r="J27466" s="33"/>
    </row>
    <row r="27467" spans="10:10" ht="15" customHeight="1" x14ac:dyDescent="0.3">
      <c r="J27467" s="33"/>
    </row>
    <row r="27468" spans="10:10" ht="15" customHeight="1" x14ac:dyDescent="0.3">
      <c r="J27468" s="33"/>
    </row>
    <row r="27469" spans="10:10" ht="15" customHeight="1" x14ac:dyDescent="0.3">
      <c r="J27469" s="33"/>
    </row>
    <row r="27470" spans="10:10" ht="15" customHeight="1" x14ac:dyDescent="0.3">
      <c r="J27470" s="33"/>
    </row>
    <row r="27471" spans="10:10" ht="15" customHeight="1" x14ac:dyDescent="0.3">
      <c r="J27471" s="33"/>
    </row>
    <row r="27472" spans="10:10" ht="15" customHeight="1" x14ac:dyDescent="0.3">
      <c r="J27472" s="33"/>
    </row>
    <row r="27473" spans="10:10" ht="15" customHeight="1" x14ac:dyDescent="0.3">
      <c r="J27473" s="33"/>
    </row>
    <row r="27474" spans="10:10" ht="15" customHeight="1" x14ac:dyDescent="0.3">
      <c r="J27474" s="33"/>
    </row>
    <row r="27475" spans="10:10" ht="15" customHeight="1" x14ac:dyDescent="0.3">
      <c r="J27475" s="33"/>
    </row>
    <row r="27476" spans="10:10" ht="15" customHeight="1" x14ac:dyDescent="0.3">
      <c r="J27476" s="33"/>
    </row>
    <row r="27477" spans="10:10" ht="15" customHeight="1" x14ac:dyDescent="0.3">
      <c r="J27477" s="33"/>
    </row>
    <row r="27478" spans="10:10" ht="15" customHeight="1" x14ac:dyDescent="0.3">
      <c r="J27478" s="33"/>
    </row>
    <row r="27479" spans="10:10" ht="15" customHeight="1" x14ac:dyDescent="0.3">
      <c r="J27479" s="33"/>
    </row>
    <row r="27480" spans="10:10" ht="15" customHeight="1" x14ac:dyDescent="0.3">
      <c r="J27480" s="33"/>
    </row>
    <row r="27481" spans="10:10" ht="15" customHeight="1" x14ac:dyDescent="0.3">
      <c r="J27481" s="33"/>
    </row>
    <row r="27482" spans="10:10" ht="15" customHeight="1" x14ac:dyDescent="0.3">
      <c r="J27482" s="33"/>
    </row>
    <row r="27483" spans="10:10" ht="15" customHeight="1" x14ac:dyDescent="0.3">
      <c r="J27483" s="33"/>
    </row>
    <row r="27484" spans="10:10" ht="15" customHeight="1" x14ac:dyDescent="0.3">
      <c r="J27484" s="33"/>
    </row>
    <row r="27485" spans="10:10" ht="15" customHeight="1" x14ac:dyDescent="0.3">
      <c r="J27485" s="33"/>
    </row>
    <row r="27486" spans="10:10" ht="15" customHeight="1" x14ac:dyDescent="0.3">
      <c r="J27486" s="33"/>
    </row>
    <row r="27487" spans="10:10" ht="15" customHeight="1" x14ac:dyDescent="0.3">
      <c r="J27487" s="33"/>
    </row>
    <row r="27488" spans="10:10" ht="15" customHeight="1" x14ac:dyDescent="0.3">
      <c r="J27488" s="33"/>
    </row>
    <row r="27489" spans="10:10" ht="15" customHeight="1" x14ac:dyDescent="0.3">
      <c r="J27489" s="33"/>
    </row>
    <row r="27490" spans="10:10" ht="15" customHeight="1" x14ac:dyDescent="0.3">
      <c r="J27490" s="33"/>
    </row>
    <row r="27491" spans="10:10" ht="15" customHeight="1" x14ac:dyDescent="0.3">
      <c r="J27491" s="33"/>
    </row>
    <row r="27492" spans="10:10" ht="15" customHeight="1" x14ac:dyDescent="0.3">
      <c r="J27492" s="33"/>
    </row>
    <row r="27493" spans="10:10" ht="15" customHeight="1" x14ac:dyDescent="0.3">
      <c r="J27493" s="33"/>
    </row>
    <row r="27494" spans="10:10" ht="15" customHeight="1" x14ac:dyDescent="0.3">
      <c r="J27494" s="33"/>
    </row>
    <row r="27495" spans="10:10" ht="15" customHeight="1" x14ac:dyDescent="0.3">
      <c r="J27495" s="33"/>
    </row>
    <row r="27496" spans="10:10" ht="15" customHeight="1" x14ac:dyDescent="0.3">
      <c r="J27496" s="33"/>
    </row>
    <row r="27497" spans="10:10" ht="15" customHeight="1" x14ac:dyDescent="0.3">
      <c r="J27497" s="33"/>
    </row>
    <row r="27498" spans="10:10" ht="15" customHeight="1" x14ac:dyDescent="0.3">
      <c r="J27498" s="33"/>
    </row>
    <row r="27499" spans="10:10" ht="15" customHeight="1" x14ac:dyDescent="0.3">
      <c r="J27499" s="33"/>
    </row>
    <row r="27500" spans="10:10" ht="15" customHeight="1" x14ac:dyDescent="0.3">
      <c r="J27500" s="33"/>
    </row>
    <row r="27501" spans="10:10" ht="15" customHeight="1" x14ac:dyDescent="0.3">
      <c r="J27501" s="33"/>
    </row>
    <row r="27502" spans="10:10" ht="15" customHeight="1" x14ac:dyDescent="0.3">
      <c r="J27502" s="33"/>
    </row>
    <row r="27503" spans="10:10" ht="15" customHeight="1" x14ac:dyDescent="0.3">
      <c r="J27503" s="33"/>
    </row>
    <row r="27504" spans="10:10" ht="15" customHeight="1" x14ac:dyDescent="0.3">
      <c r="J27504" s="33"/>
    </row>
    <row r="27505" spans="10:10" ht="15" customHeight="1" x14ac:dyDescent="0.3">
      <c r="J27505" s="33"/>
    </row>
    <row r="27506" spans="10:10" ht="15" customHeight="1" x14ac:dyDescent="0.3">
      <c r="J27506" s="33"/>
    </row>
    <row r="27507" spans="10:10" ht="15" customHeight="1" x14ac:dyDescent="0.3">
      <c r="J27507" s="33"/>
    </row>
    <row r="27508" spans="10:10" ht="15" customHeight="1" x14ac:dyDescent="0.3">
      <c r="J27508" s="33"/>
    </row>
    <row r="27509" spans="10:10" ht="15" customHeight="1" x14ac:dyDescent="0.3">
      <c r="J27509" s="33"/>
    </row>
    <row r="27510" spans="10:10" ht="15" customHeight="1" x14ac:dyDescent="0.3">
      <c r="J27510" s="33"/>
    </row>
    <row r="27511" spans="10:10" ht="15" customHeight="1" x14ac:dyDescent="0.3">
      <c r="J27511" s="33"/>
    </row>
    <row r="27512" spans="10:10" ht="15" customHeight="1" x14ac:dyDescent="0.3">
      <c r="J27512" s="33"/>
    </row>
    <row r="27513" spans="10:10" ht="15" customHeight="1" x14ac:dyDescent="0.3">
      <c r="J27513" s="33"/>
    </row>
    <row r="27514" spans="10:10" ht="15" customHeight="1" x14ac:dyDescent="0.3">
      <c r="J27514" s="33"/>
    </row>
    <row r="27515" spans="10:10" ht="15" customHeight="1" x14ac:dyDescent="0.3">
      <c r="J27515" s="33"/>
    </row>
    <row r="27516" spans="10:10" ht="15" customHeight="1" x14ac:dyDescent="0.3">
      <c r="J27516" s="33"/>
    </row>
    <row r="27517" spans="10:10" ht="15" customHeight="1" x14ac:dyDescent="0.3">
      <c r="J27517" s="33"/>
    </row>
    <row r="27518" spans="10:10" ht="15" customHeight="1" x14ac:dyDescent="0.3">
      <c r="J27518" s="33"/>
    </row>
    <row r="27519" spans="10:10" ht="15" customHeight="1" x14ac:dyDescent="0.3">
      <c r="J27519" s="33"/>
    </row>
    <row r="27520" spans="10:10" ht="15" customHeight="1" x14ac:dyDescent="0.3">
      <c r="J27520" s="33"/>
    </row>
    <row r="27521" spans="10:10" ht="15" customHeight="1" x14ac:dyDescent="0.3">
      <c r="J27521" s="33"/>
    </row>
    <row r="27522" spans="10:10" ht="15" customHeight="1" x14ac:dyDescent="0.3">
      <c r="J27522" s="33"/>
    </row>
    <row r="27523" spans="10:10" ht="15" customHeight="1" x14ac:dyDescent="0.3">
      <c r="J27523" s="33"/>
    </row>
    <row r="27524" spans="10:10" ht="15" customHeight="1" x14ac:dyDescent="0.3">
      <c r="J27524" s="33"/>
    </row>
    <row r="27525" spans="10:10" ht="15" customHeight="1" x14ac:dyDescent="0.3">
      <c r="J27525" s="33"/>
    </row>
    <row r="27526" spans="10:10" ht="15" customHeight="1" x14ac:dyDescent="0.3">
      <c r="J27526" s="33"/>
    </row>
    <row r="27527" spans="10:10" ht="15" customHeight="1" x14ac:dyDescent="0.3">
      <c r="J27527" s="33"/>
    </row>
    <row r="27528" spans="10:10" ht="15" customHeight="1" x14ac:dyDescent="0.3">
      <c r="J27528" s="33"/>
    </row>
    <row r="27529" spans="10:10" ht="15" customHeight="1" x14ac:dyDescent="0.3">
      <c r="J27529" s="33"/>
    </row>
    <row r="27530" spans="10:10" ht="15" customHeight="1" x14ac:dyDescent="0.3">
      <c r="J27530" s="33"/>
    </row>
    <row r="27531" spans="10:10" ht="15" customHeight="1" x14ac:dyDescent="0.3">
      <c r="J27531" s="33"/>
    </row>
    <row r="27532" spans="10:10" ht="15" customHeight="1" x14ac:dyDescent="0.3">
      <c r="J27532" s="33"/>
    </row>
    <row r="27533" spans="10:10" ht="15" customHeight="1" x14ac:dyDescent="0.3">
      <c r="J27533" s="33"/>
    </row>
    <row r="27534" spans="10:10" ht="15" customHeight="1" x14ac:dyDescent="0.3">
      <c r="J27534" s="33"/>
    </row>
    <row r="27535" spans="10:10" ht="15" customHeight="1" x14ac:dyDescent="0.3">
      <c r="J27535" s="33"/>
    </row>
    <row r="27536" spans="10:10" ht="15" customHeight="1" x14ac:dyDescent="0.3">
      <c r="J27536" s="33"/>
    </row>
    <row r="27537" spans="10:10" ht="15" customHeight="1" x14ac:dyDescent="0.3">
      <c r="J27537" s="33"/>
    </row>
    <row r="27538" spans="10:10" ht="15" customHeight="1" x14ac:dyDescent="0.3">
      <c r="J27538" s="33"/>
    </row>
    <row r="27539" spans="10:10" ht="15" customHeight="1" x14ac:dyDescent="0.3">
      <c r="J27539" s="33"/>
    </row>
    <row r="27540" spans="10:10" ht="15" customHeight="1" x14ac:dyDescent="0.3">
      <c r="J27540" s="33"/>
    </row>
    <row r="27541" spans="10:10" ht="15" customHeight="1" x14ac:dyDescent="0.3">
      <c r="J27541" s="33"/>
    </row>
    <row r="27542" spans="10:10" ht="15" customHeight="1" x14ac:dyDescent="0.3">
      <c r="J27542" s="33"/>
    </row>
    <row r="27543" spans="10:10" ht="15" customHeight="1" x14ac:dyDescent="0.3">
      <c r="J27543" s="33"/>
    </row>
    <row r="27544" spans="10:10" ht="15" customHeight="1" x14ac:dyDescent="0.3">
      <c r="J27544" s="33"/>
    </row>
    <row r="27545" spans="10:10" ht="15" customHeight="1" x14ac:dyDescent="0.3">
      <c r="J27545" s="33"/>
    </row>
    <row r="27546" spans="10:10" ht="15" customHeight="1" x14ac:dyDescent="0.3">
      <c r="J27546" s="33"/>
    </row>
    <row r="27547" spans="10:10" ht="15" customHeight="1" x14ac:dyDescent="0.3">
      <c r="J27547" s="33"/>
    </row>
    <row r="27548" spans="10:10" ht="15" customHeight="1" x14ac:dyDescent="0.3">
      <c r="J27548" s="33"/>
    </row>
    <row r="27549" spans="10:10" ht="15" customHeight="1" x14ac:dyDescent="0.3">
      <c r="J27549" s="33"/>
    </row>
    <row r="27550" spans="10:10" ht="15" customHeight="1" x14ac:dyDescent="0.3">
      <c r="J27550" s="33"/>
    </row>
    <row r="27551" spans="10:10" ht="15" customHeight="1" x14ac:dyDescent="0.3">
      <c r="J27551" s="33"/>
    </row>
    <row r="27552" spans="10:10" ht="15" customHeight="1" x14ac:dyDescent="0.3">
      <c r="J27552" s="33"/>
    </row>
    <row r="27553" spans="10:10" ht="15" customHeight="1" x14ac:dyDescent="0.3">
      <c r="J27553" s="33"/>
    </row>
    <row r="27554" spans="10:10" ht="15" customHeight="1" x14ac:dyDescent="0.3">
      <c r="J27554" s="33"/>
    </row>
    <row r="27555" spans="10:10" ht="15" customHeight="1" x14ac:dyDescent="0.3">
      <c r="J27555" s="33"/>
    </row>
    <row r="27556" spans="10:10" ht="15" customHeight="1" x14ac:dyDescent="0.3">
      <c r="J27556" s="33"/>
    </row>
    <row r="27557" spans="10:10" ht="15" customHeight="1" x14ac:dyDescent="0.3">
      <c r="J27557" s="33"/>
    </row>
    <row r="27558" spans="10:10" ht="15" customHeight="1" x14ac:dyDescent="0.3">
      <c r="J27558" s="33"/>
    </row>
    <row r="27559" spans="10:10" ht="15" customHeight="1" x14ac:dyDescent="0.3">
      <c r="J27559" s="33"/>
    </row>
    <row r="27560" spans="10:10" ht="15" customHeight="1" x14ac:dyDescent="0.3">
      <c r="J27560" s="33"/>
    </row>
    <row r="27561" spans="10:10" ht="15" customHeight="1" x14ac:dyDescent="0.3">
      <c r="J27561" s="33"/>
    </row>
    <row r="27562" spans="10:10" ht="15" customHeight="1" x14ac:dyDescent="0.3">
      <c r="J27562" s="33"/>
    </row>
    <row r="27563" spans="10:10" ht="15" customHeight="1" x14ac:dyDescent="0.3">
      <c r="J27563" s="33"/>
    </row>
    <row r="27564" spans="10:10" ht="15" customHeight="1" x14ac:dyDescent="0.3">
      <c r="J27564" s="33"/>
    </row>
    <row r="27565" spans="10:10" ht="15" customHeight="1" x14ac:dyDescent="0.3">
      <c r="J27565" s="33"/>
    </row>
    <row r="27566" spans="10:10" ht="15" customHeight="1" x14ac:dyDescent="0.3">
      <c r="J27566" s="33"/>
    </row>
    <row r="27567" spans="10:10" ht="15" customHeight="1" x14ac:dyDescent="0.3">
      <c r="J27567" s="33"/>
    </row>
    <row r="27568" spans="10:10" ht="15" customHeight="1" x14ac:dyDescent="0.3">
      <c r="J27568" s="33"/>
    </row>
    <row r="27569" spans="10:10" ht="15" customHeight="1" x14ac:dyDescent="0.3">
      <c r="J27569" s="33"/>
    </row>
    <row r="27570" spans="10:10" ht="15" customHeight="1" x14ac:dyDescent="0.3">
      <c r="J27570" s="33"/>
    </row>
    <row r="27571" spans="10:10" ht="15" customHeight="1" x14ac:dyDescent="0.3">
      <c r="J27571" s="33"/>
    </row>
    <row r="27572" spans="10:10" ht="15" customHeight="1" x14ac:dyDescent="0.3">
      <c r="J27572" s="33"/>
    </row>
    <row r="27573" spans="10:10" ht="15" customHeight="1" x14ac:dyDescent="0.3">
      <c r="J27573" s="33"/>
    </row>
    <row r="27574" spans="10:10" ht="15" customHeight="1" x14ac:dyDescent="0.3">
      <c r="J27574" s="33"/>
    </row>
    <row r="27575" spans="10:10" ht="15" customHeight="1" x14ac:dyDescent="0.3">
      <c r="J27575" s="33"/>
    </row>
    <row r="27576" spans="10:10" ht="15" customHeight="1" x14ac:dyDescent="0.3">
      <c r="J27576" s="33"/>
    </row>
    <row r="27577" spans="10:10" ht="15" customHeight="1" x14ac:dyDescent="0.3">
      <c r="J27577" s="33"/>
    </row>
    <row r="27578" spans="10:10" ht="15" customHeight="1" x14ac:dyDescent="0.3">
      <c r="J27578" s="33"/>
    </row>
    <row r="27579" spans="10:10" ht="15" customHeight="1" x14ac:dyDescent="0.3">
      <c r="J27579" s="33"/>
    </row>
    <row r="27580" spans="10:10" ht="15" customHeight="1" x14ac:dyDescent="0.3">
      <c r="J27580" s="33"/>
    </row>
    <row r="27581" spans="10:10" ht="15" customHeight="1" x14ac:dyDescent="0.3">
      <c r="J27581" s="33"/>
    </row>
    <row r="27582" spans="10:10" ht="15" customHeight="1" x14ac:dyDescent="0.3">
      <c r="J27582" s="33"/>
    </row>
    <row r="27583" spans="10:10" ht="15" customHeight="1" x14ac:dyDescent="0.3">
      <c r="J27583" s="33"/>
    </row>
    <row r="27584" spans="10:10" ht="15" customHeight="1" x14ac:dyDescent="0.3">
      <c r="J27584" s="33"/>
    </row>
    <row r="27585" spans="10:10" ht="15" customHeight="1" x14ac:dyDescent="0.3">
      <c r="J27585" s="33"/>
    </row>
    <row r="27586" spans="10:10" ht="15" customHeight="1" x14ac:dyDescent="0.3">
      <c r="J27586" s="33"/>
    </row>
    <row r="27587" spans="10:10" ht="15" customHeight="1" x14ac:dyDescent="0.3">
      <c r="J27587" s="33"/>
    </row>
    <row r="27588" spans="10:10" ht="15" customHeight="1" x14ac:dyDescent="0.3">
      <c r="J27588" s="33"/>
    </row>
    <row r="27589" spans="10:10" ht="15" customHeight="1" x14ac:dyDescent="0.3">
      <c r="J27589" s="33"/>
    </row>
    <row r="27590" spans="10:10" ht="15" customHeight="1" x14ac:dyDescent="0.3">
      <c r="J27590" s="33"/>
    </row>
    <row r="27591" spans="10:10" ht="15" customHeight="1" x14ac:dyDescent="0.3">
      <c r="J27591" s="33"/>
    </row>
    <row r="27592" spans="10:10" ht="15" customHeight="1" x14ac:dyDescent="0.3">
      <c r="J27592" s="33"/>
    </row>
    <row r="27593" spans="10:10" ht="15" customHeight="1" x14ac:dyDescent="0.3">
      <c r="J27593" s="33"/>
    </row>
    <row r="27594" spans="10:10" ht="15" customHeight="1" x14ac:dyDescent="0.3">
      <c r="J27594" s="33"/>
    </row>
    <row r="27595" spans="10:10" ht="15" customHeight="1" x14ac:dyDescent="0.3">
      <c r="J27595" s="33"/>
    </row>
    <row r="27596" spans="10:10" ht="15" customHeight="1" x14ac:dyDescent="0.3">
      <c r="J27596" s="33"/>
    </row>
    <row r="27597" spans="10:10" ht="15" customHeight="1" x14ac:dyDescent="0.3">
      <c r="J27597" s="33"/>
    </row>
    <row r="27598" spans="10:10" ht="15" customHeight="1" x14ac:dyDescent="0.3">
      <c r="J27598" s="33"/>
    </row>
    <row r="27599" spans="10:10" ht="15" customHeight="1" x14ac:dyDescent="0.3">
      <c r="J27599" s="33"/>
    </row>
    <row r="27600" spans="10:10" ht="15" customHeight="1" x14ac:dyDescent="0.3">
      <c r="J27600" s="33"/>
    </row>
    <row r="27601" spans="10:10" ht="15" customHeight="1" x14ac:dyDescent="0.3">
      <c r="J27601" s="33"/>
    </row>
    <row r="27602" spans="10:10" ht="15" customHeight="1" x14ac:dyDescent="0.3">
      <c r="J27602" s="33"/>
    </row>
    <row r="27603" spans="10:10" ht="15" customHeight="1" x14ac:dyDescent="0.3">
      <c r="J27603" s="33"/>
    </row>
    <row r="27604" spans="10:10" ht="15" customHeight="1" x14ac:dyDescent="0.3">
      <c r="J27604" s="33"/>
    </row>
    <row r="27605" spans="10:10" ht="15" customHeight="1" x14ac:dyDescent="0.3">
      <c r="J27605" s="33"/>
    </row>
    <row r="27606" spans="10:10" ht="15" customHeight="1" x14ac:dyDescent="0.3">
      <c r="J27606" s="33"/>
    </row>
    <row r="27607" spans="10:10" ht="15" customHeight="1" x14ac:dyDescent="0.3">
      <c r="J27607" s="33"/>
    </row>
    <row r="27608" spans="10:10" ht="15" customHeight="1" x14ac:dyDescent="0.3">
      <c r="J27608" s="33"/>
    </row>
    <row r="27609" spans="10:10" ht="15" customHeight="1" x14ac:dyDescent="0.3">
      <c r="J27609" s="33"/>
    </row>
    <row r="27610" spans="10:10" ht="15" customHeight="1" x14ac:dyDescent="0.3">
      <c r="J27610" s="33"/>
    </row>
    <row r="27611" spans="10:10" ht="15" customHeight="1" x14ac:dyDescent="0.3">
      <c r="J27611" s="33"/>
    </row>
    <row r="27612" spans="10:10" ht="15" customHeight="1" x14ac:dyDescent="0.3">
      <c r="J27612" s="33"/>
    </row>
    <row r="27613" spans="10:10" ht="15" customHeight="1" x14ac:dyDescent="0.3">
      <c r="J27613" s="33"/>
    </row>
    <row r="27614" spans="10:10" ht="15" customHeight="1" x14ac:dyDescent="0.3">
      <c r="J27614" s="33"/>
    </row>
    <row r="27615" spans="10:10" ht="15" customHeight="1" x14ac:dyDescent="0.3">
      <c r="J27615" s="33"/>
    </row>
    <row r="27616" spans="10:10" ht="15" customHeight="1" x14ac:dyDescent="0.3">
      <c r="J27616" s="33"/>
    </row>
    <row r="27617" spans="10:10" ht="15" customHeight="1" x14ac:dyDescent="0.3">
      <c r="J27617" s="33"/>
    </row>
    <row r="27618" spans="10:10" ht="15" customHeight="1" x14ac:dyDescent="0.3">
      <c r="J27618" s="33"/>
    </row>
    <row r="27619" spans="10:10" ht="15" customHeight="1" x14ac:dyDescent="0.3">
      <c r="J27619" s="33"/>
    </row>
    <row r="27620" spans="10:10" ht="15" customHeight="1" x14ac:dyDescent="0.3">
      <c r="J27620" s="33"/>
    </row>
    <row r="27621" spans="10:10" ht="15" customHeight="1" x14ac:dyDescent="0.3">
      <c r="J27621" s="33"/>
    </row>
    <row r="27622" spans="10:10" ht="15" customHeight="1" x14ac:dyDescent="0.3">
      <c r="J27622" s="33"/>
    </row>
    <row r="27623" spans="10:10" ht="15" customHeight="1" x14ac:dyDescent="0.3">
      <c r="J27623" s="33"/>
    </row>
    <row r="27624" spans="10:10" ht="15" customHeight="1" x14ac:dyDescent="0.3">
      <c r="J27624" s="33"/>
    </row>
    <row r="27625" spans="10:10" ht="15" customHeight="1" x14ac:dyDescent="0.3">
      <c r="J27625" s="33"/>
    </row>
    <row r="27626" spans="10:10" ht="15" customHeight="1" x14ac:dyDescent="0.3">
      <c r="J27626" s="33"/>
    </row>
    <row r="27627" spans="10:10" ht="15" customHeight="1" x14ac:dyDescent="0.3">
      <c r="J27627" s="33"/>
    </row>
    <row r="27628" spans="10:10" ht="15" customHeight="1" x14ac:dyDescent="0.3">
      <c r="J27628" s="33"/>
    </row>
    <row r="27629" spans="10:10" ht="15" customHeight="1" x14ac:dyDescent="0.3">
      <c r="J27629" s="33"/>
    </row>
    <row r="27630" spans="10:10" ht="15" customHeight="1" x14ac:dyDescent="0.3">
      <c r="J27630" s="33"/>
    </row>
    <row r="27631" spans="10:10" ht="15" customHeight="1" x14ac:dyDescent="0.3">
      <c r="J27631" s="33"/>
    </row>
    <row r="27632" spans="10:10" ht="15" customHeight="1" x14ac:dyDescent="0.3">
      <c r="J27632" s="33"/>
    </row>
    <row r="27633" spans="10:10" ht="15" customHeight="1" x14ac:dyDescent="0.3">
      <c r="J27633" s="33"/>
    </row>
    <row r="27634" spans="10:10" ht="15" customHeight="1" x14ac:dyDescent="0.3">
      <c r="J27634" s="33"/>
    </row>
    <row r="27635" spans="10:10" ht="15" customHeight="1" x14ac:dyDescent="0.3">
      <c r="J27635" s="33"/>
    </row>
    <row r="27636" spans="10:10" ht="15" customHeight="1" x14ac:dyDescent="0.3">
      <c r="J27636" s="33"/>
    </row>
    <row r="27637" spans="10:10" ht="15" customHeight="1" x14ac:dyDescent="0.3">
      <c r="J27637" s="33"/>
    </row>
    <row r="27638" spans="10:10" ht="15" customHeight="1" x14ac:dyDescent="0.3">
      <c r="J27638" s="33"/>
    </row>
    <row r="27639" spans="10:10" ht="15" customHeight="1" x14ac:dyDescent="0.3">
      <c r="J27639" s="33"/>
    </row>
    <row r="27640" spans="10:10" ht="15" customHeight="1" x14ac:dyDescent="0.3">
      <c r="J27640" s="33"/>
    </row>
    <row r="27641" spans="10:10" ht="15" customHeight="1" x14ac:dyDescent="0.3">
      <c r="J27641" s="33"/>
    </row>
    <row r="27642" spans="10:10" ht="15" customHeight="1" x14ac:dyDescent="0.3">
      <c r="J27642" s="33"/>
    </row>
    <row r="27643" spans="10:10" ht="15" customHeight="1" x14ac:dyDescent="0.3">
      <c r="J27643" s="33"/>
    </row>
    <row r="27644" spans="10:10" ht="15" customHeight="1" x14ac:dyDescent="0.3">
      <c r="J27644" s="33"/>
    </row>
    <row r="27645" spans="10:10" ht="15" customHeight="1" x14ac:dyDescent="0.3">
      <c r="J27645" s="33"/>
    </row>
    <row r="27646" spans="10:10" ht="15" customHeight="1" x14ac:dyDescent="0.3">
      <c r="J27646" s="33"/>
    </row>
    <row r="27647" spans="10:10" ht="15" customHeight="1" x14ac:dyDescent="0.3">
      <c r="J27647" s="33"/>
    </row>
    <row r="27648" spans="10:10" ht="15" customHeight="1" x14ac:dyDescent="0.3">
      <c r="J27648" s="33"/>
    </row>
    <row r="27649" spans="10:10" ht="15" customHeight="1" x14ac:dyDescent="0.3">
      <c r="J27649" s="33"/>
    </row>
    <row r="27650" spans="10:10" ht="15" customHeight="1" x14ac:dyDescent="0.3">
      <c r="J27650" s="33"/>
    </row>
    <row r="27651" spans="10:10" ht="15" customHeight="1" x14ac:dyDescent="0.3">
      <c r="J27651" s="33"/>
    </row>
    <row r="27652" spans="10:10" ht="15" customHeight="1" x14ac:dyDescent="0.3">
      <c r="J27652" s="33"/>
    </row>
    <row r="27653" spans="10:10" ht="15" customHeight="1" x14ac:dyDescent="0.3">
      <c r="J27653" s="33"/>
    </row>
    <row r="27654" spans="10:10" ht="15" customHeight="1" x14ac:dyDescent="0.3">
      <c r="J27654" s="33"/>
    </row>
    <row r="27655" spans="10:10" ht="15" customHeight="1" x14ac:dyDescent="0.3">
      <c r="J27655" s="33"/>
    </row>
    <row r="27656" spans="10:10" ht="15" customHeight="1" x14ac:dyDescent="0.3">
      <c r="J27656" s="33"/>
    </row>
    <row r="27657" spans="10:10" ht="15" customHeight="1" x14ac:dyDescent="0.3">
      <c r="J27657" s="33"/>
    </row>
    <row r="27658" spans="10:10" ht="15" customHeight="1" x14ac:dyDescent="0.3">
      <c r="J27658" s="33"/>
    </row>
    <row r="27659" spans="10:10" ht="15" customHeight="1" x14ac:dyDescent="0.3">
      <c r="J27659" s="33"/>
    </row>
    <row r="27660" spans="10:10" ht="15" customHeight="1" x14ac:dyDescent="0.3">
      <c r="J27660" s="33"/>
    </row>
    <row r="27661" spans="10:10" ht="15" customHeight="1" x14ac:dyDescent="0.3">
      <c r="J27661" s="33"/>
    </row>
    <row r="27662" spans="10:10" ht="15" customHeight="1" x14ac:dyDescent="0.3">
      <c r="J27662" s="33"/>
    </row>
    <row r="27663" spans="10:10" ht="15" customHeight="1" x14ac:dyDescent="0.3">
      <c r="J27663" s="33"/>
    </row>
    <row r="27664" spans="10:10" ht="15" customHeight="1" x14ac:dyDescent="0.3">
      <c r="J27664" s="33"/>
    </row>
    <row r="27665" spans="10:10" ht="15" customHeight="1" x14ac:dyDescent="0.3">
      <c r="J27665" s="33"/>
    </row>
    <row r="27666" spans="10:10" ht="15" customHeight="1" x14ac:dyDescent="0.3">
      <c r="J27666" s="33"/>
    </row>
    <row r="27667" spans="10:10" ht="15" customHeight="1" x14ac:dyDescent="0.3">
      <c r="J27667" s="33"/>
    </row>
    <row r="27668" spans="10:10" ht="15" customHeight="1" x14ac:dyDescent="0.3">
      <c r="J27668" s="33"/>
    </row>
    <row r="27669" spans="10:10" ht="15" customHeight="1" x14ac:dyDescent="0.3">
      <c r="J27669" s="33"/>
    </row>
    <row r="27670" spans="10:10" ht="15" customHeight="1" x14ac:dyDescent="0.3">
      <c r="J27670" s="33"/>
    </row>
    <row r="27671" spans="10:10" ht="15" customHeight="1" x14ac:dyDescent="0.3">
      <c r="J27671" s="33"/>
    </row>
    <row r="27672" spans="10:10" ht="15" customHeight="1" x14ac:dyDescent="0.3">
      <c r="J27672" s="33"/>
    </row>
    <row r="27673" spans="10:10" ht="15" customHeight="1" x14ac:dyDescent="0.3">
      <c r="J27673" s="33"/>
    </row>
    <row r="27674" spans="10:10" ht="15" customHeight="1" x14ac:dyDescent="0.3">
      <c r="J27674" s="33"/>
    </row>
    <row r="27675" spans="10:10" ht="15" customHeight="1" x14ac:dyDescent="0.3">
      <c r="J27675" s="33"/>
    </row>
    <row r="27676" spans="10:10" ht="15" customHeight="1" x14ac:dyDescent="0.3">
      <c r="J27676" s="33"/>
    </row>
    <row r="27677" spans="10:10" ht="15" customHeight="1" x14ac:dyDescent="0.3">
      <c r="J27677" s="33"/>
    </row>
    <row r="27678" spans="10:10" ht="15" customHeight="1" x14ac:dyDescent="0.3">
      <c r="J27678" s="33"/>
    </row>
    <row r="27679" spans="10:10" ht="15" customHeight="1" x14ac:dyDescent="0.3">
      <c r="J27679" s="33"/>
    </row>
    <row r="27680" spans="10:10" ht="15" customHeight="1" x14ac:dyDescent="0.3">
      <c r="J27680" s="33"/>
    </row>
    <row r="27681" spans="10:10" ht="15" customHeight="1" x14ac:dyDescent="0.3">
      <c r="J27681" s="33"/>
    </row>
    <row r="27682" spans="10:10" ht="15" customHeight="1" x14ac:dyDescent="0.3">
      <c r="J27682" s="33"/>
    </row>
    <row r="27683" spans="10:10" ht="15" customHeight="1" x14ac:dyDescent="0.3">
      <c r="J27683" s="33"/>
    </row>
    <row r="27684" spans="10:10" ht="15" customHeight="1" x14ac:dyDescent="0.3">
      <c r="J27684" s="33"/>
    </row>
    <row r="27685" spans="10:10" ht="15" customHeight="1" x14ac:dyDescent="0.3">
      <c r="J27685" s="33"/>
    </row>
    <row r="27686" spans="10:10" ht="15" customHeight="1" x14ac:dyDescent="0.3">
      <c r="J27686" s="33"/>
    </row>
    <row r="27687" spans="10:10" ht="15" customHeight="1" x14ac:dyDescent="0.3">
      <c r="J27687" s="33"/>
    </row>
    <row r="27688" spans="10:10" ht="15" customHeight="1" x14ac:dyDescent="0.3">
      <c r="J27688" s="33"/>
    </row>
    <row r="27689" spans="10:10" ht="15" customHeight="1" x14ac:dyDescent="0.3">
      <c r="J27689" s="33"/>
    </row>
    <row r="27690" spans="10:10" ht="15" customHeight="1" x14ac:dyDescent="0.3">
      <c r="J27690" s="33"/>
    </row>
    <row r="27691" spans="10:10" ht="15" customHeight="1" x14ac:dyDescent="0.3">
      <c r="J27691" s="33"/>
    </row>
    <row r="27692" spans="10:10" ht="15" customHeight="1" x14ac:dyDescent="0.3">
      <c r="J27692" s="33"/>
    </row>
    <row r="27693" spans="10:10" ht="15" customHeight="1" x14ac:dyDescent="0.3">
      <c r="J27693" s="33"/>
    </row>
    <row r="27694" spans="10:10" ht="15" customHeight="1" x14ac:dyDescent="0.3">
      <c r="J27694" s="33"/>
    </row>
    <row r="27695" spans="10:10" ht="15" customHeight="1" x14ac:dyDescent="0.3">
      <c r="J27695" s="33"/>
    </row>
    <row r="27696" spans="10:10" ht="15" customHeight="1" x14ac:dyDescent="0.3">
      <c r="J27696" s="33"/>
    </row>
    <row r="27697" spans="10:10" ht="15" customHeight="1" x14ac:dyDescent="0.3">
      <c r="J27697" s="33"/>
    </row>
    <row r="27698" spans="10:10" ht="15" customHeight="1" x14ac:dyDescent="0.3">
      <c r="J27698" s="33"/>
    </row>
    <row r="27699" spans="10:10" ht="15" customHeight="1" x14ac:dyDescent="0.3">
      <c r="J27699" s="33"/>
    </row>
    <row r="27700" spans="10:10" ht="15" customHeight="1" x14ac:dyDescent="0.3">
      <c r="J27700" s="33"/>
    </row>
    <row r="27701" spans="10:10" ht="15" customHeight="1" x14ac:dyDescent="0.3">
      <c r="J27701" s="33"/>
    </row>
    <row r="27702" spans="10:10" ht="15" customHeight="1" x14ac:dyDescent="0.3">
      <c r="J27702" s="33"/>
    </row>
    <row r="27703" spans="10:10" ht="15" customHeight="1" x14ac:dyDescent="0.3">
      <c r="J27703" s="33"/>
    </row>
    <row r="27704" spans="10:10" ht="15" customHeight="1" x14ac:dyDescent="0.3">
      <c r="J27704" s="33"/>
    </row>
    <row r="27705" spans="10:10" ht="15" customHeight="1" x14ac:dyDescent="0.3">
      <c r="J27705" s="33"/>
    </row>
    <row r="27706" spans="10:10" ht="15" customHeight="1" x14ac:dyDescent="0.3">
      <c r="J27706" s="33"/>
    </row>
    <row r="27707" spans="10:10" ht="15" customHeight="1" x14ac:dyDescent="0.3">
      <c r="J27707" s="33"/>
    </row>
    <row r="27708" spans="10:10" ht="15" customHeight="1" x14ac:dyDescent="0.3">
      <c r="J27708" s="33"/>
    </row>
    <row r="27709" spans="10:10" ht="15" customHeight="1" x14ac:dyDescent="0.3">
      <c r="J27709" s="33"/>
    </row>
    <row r="27710" spans="10:10" ht="15" customHeight="1" x14ac:dyDescent="0.3">
      <c r="J27710" s="33"/>
    </row>
    <row r="27711" spans="10:10" ht="15" customHeight="1" x14ac:dyDescent="0.3">
      <c r="J27711" s="33"/>
    </row>
    <row r="27712" spans="10:10" ht="15" customHeight="1" x14ac:dyDescent="0.3">
      <c r="J27712" s="33"/>
    </row>
    <row r="27713" spans="10:10" ht="15" customHeight="1" x14ac:dyDescent="0.3">
      <c r="J27713" s="33"/>
    </row>
    <row r="27714" spans="10:10" ht="15" customHeight="1" x14ac:dyDescent="0.3">
      <c r="J27714" s="33"/>
    </row>
    <row r="27715" spans="10:10" ht="15" customHeight="1" x14ac:dyDescent="0.3">
      <c r="J27715" s="33"/>
    </row>
    <row r="27716" spans="10:10" ht="15" customHeight="1" x14ac:dyDescent="0.3">
      <c r="J27716" s="33"/>
    </row>
    <row r="27717" spans="10:10" ht="15" customHeight="1" x14ac:dyDescent="0.3">
      <c r="J27717" s="33"/>
    </row>
    <row r="27718" spans="10:10" ht="15" customHeight="1" x14ac:dyDescent="0.3">
      <c r="J27718" s="33"/>
    </row>
    <row r="27719" spans="10:10" ht="15" customHeight="1" x14ac:dyDescent="0.3">
      <c r="J27719" s="33"/>
    </row>
    <row r="27720" spans="10:10" ht="15" customHeight="1" x14ac:dyDescent="0.3">
      <c r="J27720" s="33"/>
    </row>
    <row r="27721" spans="10:10" ht="15" customHeight="1" x14ac:dyDescent="0.3">
      <c r="J27721" s="33"/>
    </row>
    <row r="27722" spans="10:10" ht="15" customHeight="1" x14ac:dyDescent="0.3">
      <c r="J27722" s="33"/>
    </row>
    <row r="27723" spans="10:10" ht="15" customHeight="1" x14ac:dyDescent="0.3">
      <c r="J27723" s="33"/>
    </row>
    <row r="27724" spans="10:10" ht="15" customHeight="1" x14ac:dyDescent="0.3">
      <c r="J27724" s="33"/>
    </row>
    <row r="27725" spans="10:10" ht="15" customHeight="1" x14ac:dyDescent="0.3">
      <c r="J27725" s="33"/>
    </row>
    <row r="27726" spans="10:10" ht="15" customHeight="1" x14ac:dyDescent="0.3">
      <c r="J27726" s="33"/>
    </row>
    <row r="27727" spans="10:10" ht="15" customHeight="1" x14ac:dyDescent="0.3">
      <c r="J27727" s="33"/>
    </row>
    <row r="27728" spans="10:10" ht="15" customHeight="1" x14ac:dyDescent="0.3">
      <c r="J27728" s="33"/>
    </row>
    <row r="27729" spans="10:10" ht="15" customHeight="1" x14ac:dyDescent="0.3">
      <c r="J27729" s="33"/>
    </row>
    <row r="27730" spans="10:10" ht="15" customHeight="1" x14ac:dyDescent="0.3">
      <c r="J27730" s="33"/>
    </row>
    <row r="27731" spans="10:10" ht="15" customHeight="1" x14ac:dyDescent="0.3">
      <c r="J27731" s="33"/>
    </row>
    <row r="27732" spans="10:10" ht="15" customHeight="1" x14ac:dyDescent="0.3">
      <c r="J27732" s="33"/>
    </row>
    <row r="27733" spans="10:10" ht="15" customHeight="1" x14ac:dyDescent="0.3">
      <c r="J27733" s="33"/>
    </row>
    <row r="27734" spans="10:10" ht="15" customHeight="1" x14ac:dyDescent="0.3">
      <c r="J27734" s="33"/>
    </row>
    <row r="27735" spans="10:10" ht="15" customHeight="1" x14ac:dyDescent="0.3">
      <c r="J27735" s="33"/>
    </row>
    <row r="27736" spans="10:10" ht="15" customHeight="1" x14ac:dyDescent="0.3">
      <c r="J27736" s="33"/>
    </row>
    <row r="27737" spans="10:10" ht="15" customHeight="1" x14ac:dyDescent="0.3">
      <c r="J27737" s="33"/>
    </row>
    <row r="27738" spans="10:10" ht="15" customHeight="1" x14ac:dyDescent="0.3">
      <c r="J27738" s="33"/>
    </row>
    <row r="27739" spans="10:10" ht="15" customHeight="1" x14ac:dyDescent="0.3">
      <c r="J27739" s="33"/>
    </row>
    <row r="27740" spans="10:10" ht="15" customHeight="1" x14ac:dyDescent="0.3">
      <c r="J27740" s="33"/>
    </row>
    <row r="27741" spans="10:10" ht="15" customHeight="1" x14ac:dyDescent="0.3">
      <c r="J27741" s="33"/>
    </row>
    <row r="27742" spans="10:10" ht="15" customHeight="1" x14ac:dyDescent="0.3">
      <c r="J27742" s="33"/>
    </row>
    <row r="27743" spans="10:10" ht="15" customHeight="1" x14ac:dyDescent="0.3">
      <c r="J27743" s="33"/>
    </row>
    <row r="27744" spans="10:10" ht="15" customHeight="1" x14ac:dyDescent="0.3">
      <c r="J27744" s="33"/>
    </row>
    <row r="27745" spans="10:10" ht="15" customHeight="1" x14ac:dyDescent="0.3">
      <c r="J27745" s="33"/>
    </row>
    <row r="27746" spans="10:10" ht="15" customHeight="1" x14ac:dyDescent="0.3">
      <c r="J27746" s="33"/>
    </row>
    <row r="27747" spans="10:10" ht="15" customHeight="1" x14ac:dyDescent="0.3">
      <c r="J27747" s="33"/>
    </row>
    <row r="27748" spans="10:10" ht="15" customHeight="1" x14ac:dyDescent="0.3">
      <c r="J27748" s="33"/>
    </row>
    <row r="27749" spans="10:10" ht="15" customHeight="1" x14ac:dyDescent="0.3">
      <c r="J27749" s="33"/>
    </row>
    <row r="27750" spans="10:10" ht="15" customHeight="1" x14ac:dyDescent="0.3">
      <c r="J27750" s="33"/>
    </row>
    <row r="27751" spans="10:10" ht="15" customHeight="1" x14ac:dyDescent="0.3">
      <c r="J27751" s="33"/>
    </row>
    <row r="27752" spans="10:10" ht="15" customHeight="1" x14ac:dyDescent="0.3">
      <c r="J27752" s="33"/>
    </row>
    <row r="27753" spans="10:10" ht="15" customHeight="1" x14ac:dyDescent="0.3">
      <c r="J27753" s="33"/>
    </row>
    <row r="27754" spans="10:10" ht="15" customHeight="1" x14ac:dyDescent="0.3">
      <c r="J27754" s="33"/>
    </row>
    <row r="27755" spans="10:10" ht="15" customHeight="1" x14ac:dyDescent="0.3">
      <c r="J27755" s="33"/>
    </row>
    <row r="27756" spans="10:10" ht="15" customHeight="1" x14ac:dyDescent="0.3">
      <c r="J27756" s="33"/>
    </row>
    <row r="27757" spans="10:10" ht="15" customHeight="1" x14ac:dyDescent="0.3">
      <c r="J27757" s="33"/>
    </row>
    <row r="27758" spans="10:10" ht="15" customHeight="1" x14ac:dyDescent="0.3">
      <c r="J27758" s="33"/>
    </row>
    <row r="27759" spans="10:10" ht="15" customHeight="1" x14ac:dyDescent="0.3">
      <c r="J27759" s="33"/>
    </row>
    <row r="27760" spans="10:10" ht="15" customHeight="1" x14ac:dyDescent="0.3">
      <c r="J27760" s="33"/>
    </row>
    <row r="27761" spans="10:10" ht="15" customHeight="1" x14ac:dyDescent="0.3">
      <c r="J27761" s="33"/>
    </row>
    <row r="27762" spans="10:10" ht="15" customHeight="1" x14ac:dyDescent="0.3">
      <c r="J27762" s="33"/>
    </row>
    <row r="27763" spans="10:10" ht="15" customHeight="1" x14ac:dyDescent="0.3">
      <c r="J27763" s="33"/>
    </row>
    <row r="27764" spans="10:10" ht="15" customHeight="1" x14ac:dyDescent="0.3">
      <c r="J27764" s="33"/>
    </row>
    <row r="27765" spans="10:10" ht="15" customHeight="1" x14ac:dyDescent="0.3">
      <c r="J27765" s="33"/>
    </row>
    <row r="27766" spans="10:10" ht="15" customHeight="1" x14ac:dyDescent="0.3">
      <c r="J27766" s="33"/>
    </row>
    <row r="27767" spans="10:10" ht="15" customHeight="1" x14ac:dyDescent="0.3">
      <c r="J27767" s="33"/>
    </row>
    <row r="27768" spans="10:10" ht="15" customHeight="1" x14ac:dyDescent="0.3">
      <c r="J27768" s="33"/>
    </row>
    <row r="27769" spans="10:10" ht="15" customHeight="1" x14ac:dyDescent="0.3">
      <c r="J27769" s="33"/>
    </row>
    <row r="27770" spans="10:10" ht="15" customHeight="1" x14ac:dyDescent="0.3">
      <c r="J27770" s="33"/>
    </row>
    <row r="27771" spans="10:10" ht="15" customHeight="1" x14ac:dyDescent="0.3">
      <c r="J27771" s="33"/>
    </row>
    <row r="27772" spans="10:10" ht="15" customHeight="1" x14ac:dyDescent="0.3">
      <c r="J27772" s="33"/>
    </row>
    <row r="27773" spans="10:10" ht="15" customHeight="1" x14ac:dyDescent="0.3">
      <c r="J27773" s="33"/>
    </row>
    <row r="27774" spans="10:10" ht="15" customHeight="1" x14ac:dyDescent="0.3">
      <c r="J27774" s="33"/>
    </row>
    <row r="27775" spans="10:10" ht="15" customHeight="1" x14ac:dyDescent="0.3">
      <c r="J27775" s="33"/>
    </row>
    <row r="27776" spans="10:10" ht="15" customHeight="1" x14ac:dyDescent="0.3">
      <c r="J27776" s="33"/>
    </row>
    <row r="27777" spans="10:10" ht="15" customHeight="1" x14ac:dyDescent="0.3">
      <c r="J27777" s="33"/>
    </row>
    <row r="27778" spans="10:10" ht="15" customHeight="1" x14ac:dyDescent="0.3">
      <c r="J27778" s="33"/>
    </row>
    <row r="27779" spans="10:10" ht="15" customHeight="1" x14ac:dyDescent="0.3">
      <c r="J27779" s="33"/>
    </row>
    <row r="27780" spans="10:10" ht="15" customHeight="1" x14ac:dyDescent="0.3">
      <c r="J27780" s="33"/>
    </row>
    <row r="27781" spans="10:10" ht="15" customHeight="1" x14ac:dyDescent="0.3">
      <c r="J27781" s="33"/>
    </row>
    <row r="27782" spans="10:10" ht="15" customHeight="1" x14ac:dyDescent="0.3">
      <c r="J27782" s="33"/>
    </row>
    <row r="27783" spans="10:10" ht="15" customHeight="1" x14ac:dyDescent="0.3">
      <c r="J27783" s="33"/>
    </row>
    <row r="27784" spans="10:10" ht="15" customHeight="1" x14ac:dyDescent="0.3">
      <c r="J27784" s="33"/>
    </row>
    <row r="27785" spans="10:10" ht="15" customHeight="1" x14ac:dyDescent="0.3">
      <c r="J27785" s="33"/>
    </row>
    <row r="27786" spans="10:10" ht="15" customHeight="1" x14ac:dyDescent="0.3">
      <c r="J27786" s="33"/>
    </row>
    <row r="27787" spans="10:10" ht="15" customHeight="1" x14ac:dyDescent="0.3">
      <c r="J27787" s="33"/>
    </row>
    <row r="27788" spans="10:10" ht="15" customHeight="1" x14ac:dyDescent="0.3">
      <c r="J27788" s="33"/>
    </row>
    <row r="27789" spans="10:10" ht="15" customHeight="1" x14ac:dyDescent="0.3">
      <c r="J27789" s="33"/>
    </row>
    <row r="27790" spans="10:10" ht="15" customHeight="1" x14ac:dyDescent="0.3">
      <c r="J27790" s="33"/>
    </row>
    <row r="27791" spans="10:10" ht="15" customHeight="1" x14ac:dyDescent="0.3">
      <c r="J27791" s="33"/>
    </row>
    <row r="27792" spans="10:10" ht="15" customHeight="1" x14ac:dyDescent="0.3">
      <c r="J27792" s="33"/>
    </row>
    <row r="27793" spans="10:10" ht="15" customHeight="1" x14ac:dyDescent="0.3">
      <c r="J27793" s="33"/>
    </row>
    <row r="27794" spans="10:10" ht="15" customHeight="1" x14ac:dyDescent="0.3">
      <c r="J27794" s="33"/>
    </row>
    <row r="27795" spans="10:10" ht="15" customHeight="1" x14ac:dyDescent="0.3">
      <c r="J27795" s="33"/>
    </row>
    <row r="27796" spans="10:10" ht="15" customHeight="1" x14ac:dyDescent="0.3">
      <c r="J27796" s="33"/>
    </row>
    <row r="27797" spans="10:10" ht="15" customHeight="1" x14ac:dyDescent="0.3">
      <c r="J27797" s="33"/>
    </row>
    <row r="27798" spans="10:10" ht="15" customHeight="1" x14ac:dyDescent="0.3">
      <c r="J27798" s="33"/>
    </row>
    <row r="27799" spans="10:10" ht="15" customHeight="1" x14ac:dyDescent="0.3">
      <c r="J27799" s="33"/>
    </row>
    <row r="27800" spans="10:10" ht="15" customHeight="1" x14ac:dyDescent="0.3">
      <c r="J27800" s="33"/>
    </row>
    <row r="27801" spans="10:10" ht="15" customHeight="1" x14ac:dyDescent="0.3">
      <c r="J27801" s="33"/>
    </row>
    <row r="27802" spans="10:10" ht="15" customHeight="1" x14ac:dyDescent="0.3">
      <c r="J27802" s="33"/>
    </row>
    <row r="27803" spans="10:10" ht="15" customHeight="1" x14ac:dyDescent="0.3">
      <c r="J27803" s="33"/>
    </row>
    <row r="27804" spans="10:10" ht="15" customHeight="1" x14ac:dyDescent="0.3">
      <c r="J27804" s="33"/>
    </row>
    <row r="27805" spans="10:10" ht="15" customHeight="1" x14ac:dyDescent="0.3">
      <c r="J27805" s="33"/>
    </row>
    <row r="27806" spans="10:10" ht="15" customHeight="1" x14ac:dyDescent="0.3">
      <c r="J27806" s="33"/>
    </row>
    <row r="27807" spans="10:10" ht="15" customHeight="1" x14ac:dyDescent="0.3">
      <c r="J27807" s="33"/>
    </row>
    <row r="27808" spans="10:10" ht="15" customHeight="1" x14ac:dyDescent="0.3">
      <c r="J27808" s="33"/>
    </row>
    <row r="27809" spans="10:10" ht="15" customHeight="1" x14ac:dyDescent="0.3">
      <c r="J27809" s="33"/>
    </row>
    <row r="27810" spans="10:10" ht="15" customHeight="1" x14ac:dyDescent="0.3">
      <c r="J27810" s="33"/>
    </row>
    <row r="27811" spans="10:10" ht="15" customHeight="1" x14ac:dyDescent="0.3">
      <c r="J27811" s="33"/>
    </row>
    <row r="27812" spans="10:10" ht="15" customHeight="1" x14ac:dyDescent="0.3">
      <c r="J27812" s="33"/>
    </row>
    <row r="27813" spans="10:10" ht="15" customHeight="1" x14ac:dyDescent="0.3">
      <c r="J27813" s="33"/>
    </row>
    <row r="27814" spans="10:10" ht="15" customHeight="1" x14ac:dyDescent="0.3">
      <c r="J27814" s="33"/>
    </row>
    <row r="27815" spans="10:10" ht="15" customHeight="1" x14ac:dyDescent="0.3">
      <c r="J27815" s="33"/>
    </row>
    <row r="27816" spans="10:10" ht="15" customHeight="1" x14ac:dyDescent="0.3">
      <c r="J27816" s="33"/>
    </row>
    <row r="27817" spans="10:10" ht="15" customHeight="1" x14ac:dyDescent="0.3">
      <c r="J27817" s="33"/>
    </row>
    <row r="27818" spans="10:10" ht="15" customHeight="1" x14ac:dyDescent="0.3">
      <c r="J27818" s="33"/>
    </row>
    <row r="27819" spans="10:10" ht="15" customHeight="1" x14ac:dyDescent="0.3">
      <c r="J27819" s="33"/>
    </row>
    <row r="27820" spans="10:10" ht="15" customHeight="1" x14ac:dyDescent="0.3">
      <c r="J27820" s="33"/>
    </row>
    <row r="27821" spans="10:10" ht="15" customHeight="1" x14ac:dyDescent="0.3">
      <c r="J27821" s="33"/>
    </row>
    <row r="27822" spans="10:10" ht="15" customHeight="1" x14ac:dyDescent="0.3">
      <c r="J27822" s="33"/>
    </row>
    <row r="27823" spans="10:10" ht="15" customHeight="1" x14ac:dyDescent="0.3">
      <c r="J27823" s="33"/>
    </row>
    <row r="27824" spans="10:10" ht="15" customHeight="1" x14ac:dyDescent="0.3">
      <c r="J27824" s="33"/>
    </row>
    <row r="27825" spans="10:10" ht="15" customHeight="1" x14ac:dyDescent="0.3">
      <c r="J27825" s="33"/>
    </row>
    <row r="27826" spans="10:10" ht="15" customHeight="1" x14ac:dyDescent="0.3">
      <c r="J27826" s="33"/>
    </row>
    <row r="27827" spans="10:10" ht="15" customHeight="1" x14ac:dyDescent="0.3">
      <c r="J27827" s="33"/>
    </row>
    <row r="27828" spans="10:10" ht="15" customHeight="1" x14ac:dyDescent="0.3">
      <c r="J27828" s="33"/>
    </row>
    <row r="27829" spans="10:10" ht="15" customHeight="1" x14ac:dyDescent="0.3">
      <c r="J27829" s="33"/>
    </row>
    <row r="27830" spans="10:10" ht="15" customHeight="1" x14ac:dyDescent="0.3">
      <c r="J27830" s="33"/>
    </row>
    <row r="27831" spans="10:10" ht="15" customHeight="1" x14ac:dyDescent="0.3">
      <c r="J27831" s="33"/>
    </row>
    <row r="27832" spans="10:10" ht="15" customHeight="1" x14ac:dyDescent="0.3">
      <c r="J27832" s="33"/>
    </row>
    <row r="27833" spans="10:10" ht="15" customHeight="1" x14ac:dyDescent="0.3">
      <c r="J27833" s="33"/>
    </row>
    <row r="27834" spans="10:10" ht="15" customHeight="1" x14ac:dyDescent="0.3">
      <c r="J27834" s="33"/>
    </row>
    <row r="27835" spans="10:10" ht="15" customHeight="1" x14ac:dyDescent="0.3">
      <c r="J27835" s="33"/>
    </row>
    <row r="27836" spans="10:10" ht="15" customHeight="1" x14ac:dyDescent="0.3">
      <c r="J27836" s="33"/>
    </row>
    <row r="27837" spans="10:10" ht="15" customHeight="1" x14ac:dyDescent="0.3">
      <c r="J27837" s="33"/>
    </row>
    <row r="27838" spans="10:10" ht="15" customHeight="1" x14ac:dyDescent="0.3">
      <c r="J27838" s="33"/>
    </row>
    <row r="27839" spans="10:10" ht="15" customHeight="1" x14ac:dyDescent="0.3">
      <c r="J27839" s="33"/>
    </row>
    <row r="27840" spans="10:10" ht="15" customHeight="1" x14ac:dyDescent="0.3">
      <c r="J27840" s="33"/>
    </row>
    <row r="27841" spans="10:10" ht="15" customHeight="1" x14ac:dyDescent="0.3">
      <c r="J27841" s="33"/>
    </row>
    <row r="27842" spans="10:10" ht="15" customHeight="1" x14ac:dyDescent="0.3">
      <c r="J27842" s="33"/>
    </row>
    <row r="27843" spans="10:10" ht="15" customHeight="1" x14ac:dyDescent="0.3">
      <c r="J27843" s="33"/>
    </row>
    <row r="27844" spans="10:10" ht="15" customHeight="1" x14ac:dyDescent="0.3">
      <c r="J27844" s="33"/>
    </row>
    <row r="27845" spans="10:10" ht="15" customHeight="1" x14ac:dyDescent="0.3">
      <c r="J27845" s="33"/>
    </row>
    <row r="27846" spans="10:10" ht="15" customHeight="1" x14ac:dyDescent="0.3">
      <c r="J27846" s="33"/>
    </row>
    <row r="27847" spans="10:10" ht="15" customHeight="1" x14ac:dyDescent="0.3">
      <c r="J27847" s="33"/>
    </row>
    <row r="27848" spans="10:10" ht="15" customHeight="1" x14ac:dyDescent="0.3">
      <c r="J27848" s="33"/>
    </row>
    <row r="27849" spans="10:10" ht="15" customHeight="1" x14ac:dyDescent="0.3">
      <c r="J27849" s="33"/>
    </row>
    <row r="27850" spans="10:10" ht="15" customHeight="1" x14ac:dyDescent="0.3">
      <c r="J27850" s="33"/>
    </row>
    <row r="27851" spans="10:10" ht="15" customHeight="1" x14ac:dyDescent="0.3">
      <c r="J27851" s="33"/>
    </row>
    <row r="27852" spans="10:10" ht="15" customHeight="1" x14ac:dyDescent="0.3">
      <c r="J27852" s="33"/>
    </row>
    <row r="27853" spans="10:10" ht="15" customHeight="1" x14ac:dyDescent="0.3">
      <c r="J27853" s="33"/>
    </row>
    <row r="27854" spans="10:10" ht="15" customHeight="1" x14ac:dyDescent="0.3">
      <c r="J27854" s="33"/>
    </row>
    <row r="27855" spans="10:10" ht="15" customHeight="1" x14ac:dyDescent="0.3">
      <c r="J27855" s="33"/>
    </row>
    <row r="27856" spans="10:10" ht="15" customHeight="1" x14ac:dyDescent="0.3">
      <c r="J27856" s="33"/>
    </row>
    <row r="27857" spans="10:10" ht="15" customHeight="1" x14ac:dyDescent="0.3">
      <c r="J27857" s="33"/>
    </row>
    <row r="27858" spans="10:10" ht="15" customHeight="1" x14ac:dyDescent="0.3">
      <c r="J27858" s="33"/>
    </row>
    <row r="27859" spans="10:10" ht="15" customHeight="1" x14ac:dyDescent="0.3">
      <c r="J27859" s="33"/>
    </row>
    <row r="27860" spans="10:10" ht="15" customHeight="1" x14ac:dyDescent="0.3">
      <c r="J27860" s="33"/>
    </row>
    <row r="27861" spans="10:10" ht="15" customHeight="1" x14ac:dyDescent="0.3">
      <c r="J27861" s="33"/>
    </row>
    <row r="27862" spans="10:10" ht="15" customHeight="1" x14ac:dyDescent="0.3">
      <c r="J27862" s="33"/>
    </row>
    <row r="27863" spans="10:10" ht="15" customHeight="1" x14ac:dyDescent="0.3">
      <c r="J27863" s="33"/>
    </row>
    <row r="27864" spans="10:10" ht="15" customHeight="1" x14ac:dyDescent="0.3">
      <c r="J27864" s="33"/>
    </row>
    <row r="27865" spans="10:10" ht="15" customHeight="1" x14ac:dyDescent="0.3">
      <c r="J27865" s="33"/>
    </row>
    <row r="27866" spans="10:10" ht="15" customHeight="1" x14ac:dyDescent="0.3">
      <c r="J27866" s="33"/>
    </row>
    <row r="27867" spans="10:10" ht="15" customHeight="1" x14ac:dyDescent="0.3">
      <c r="J27867" s="33"/>
    </row>
    <row r="27868" spans="10:10" ht="15" customHeight="1" x14ac:dyDescent="0.3">
      <c r="J27868" s="33"/>
    </row>
    <row r="27869" spans="10:10" ht="15" customHeight="1" x14ac:dyDescent="0.3">
      <c r="J27869" s="33"/>
    </row>
    <row r="27870" spans="10:10" ht="15" customHeight="1" x14ac:dyDescent="0.3">
      <c r="J27870" s="33"/>
    </row>
    <row r="27871" spans="10:10" ht="15" customHeight="1" x14ac:dyDescent="0.3">
      <c r="J27871" s="33"/>
    </row>
    <row r="27872" spans="10:10" ht="15" customHeight="1" x14ac:dyDescent="0.3">
      <c r="J27872" s="33"/>
    </row>
    <row r="27873" spans="10:10" ht="15" customHeight="1" x14ac:dyDescent="0.3">
      <c r="J27873" s="33"/>
    </row>
    <row r="27874" spans="10:10" ht="15" customHeight="1" x14ac:dyDescent="0.3">
      <c r="J27874" s="33"/>
    </row>
    <row r="27875" spans="10:10" ht="15" customHeight="1" x14ac:dyDescent="0.3">
      <c r="J27875" s="33"/>
    </row>
    <row r="27876" spans="10:10" ht="15" customHeight="1" x14ac:dyDescent="0.3">
      <c r="J27876" s="33"/>
    </row>
    <row r="27877" spans="10:10" ht="15" customHeight="1" x14ac:dyDescent="0.3">
      <c r="J27877" s="33"/>
    </row>
    <row r="27878" spans="10:10" ht="15" customHeight="1" x14ac:dyDescent="0.3">
      <c r="J27878" s="33"/>
    </row>
    <row r="27879" spans="10:10" ht="15" customHeight="1" x14ac:dyDescent="0.3">
      <c r="J27879" s="33"/>
    </row>
    <row r="27880" spans="10:10" ht="15" customHeight="1" x14ac:dyDescent="0.3">
      <c r="J27880" s="33"/>
    </row>
    <row r="27881" spans="10:10" ht="15" customHeight="1" x14ac:dyDescent="0.3">
      <c r="J27881" s="33"/>
    </row>
    <row r="27882" spans="10:10" ht="15" customHeight="1" x14ac:dyDescent="0.3">
      <c r="J27882" s="33"/>
    </row>
    <row r="27883" spans="10:10" ht="15" customHeight="1" x14ac:dyDescent="0.3">
      <c r="J27883" s="33"/>
    </row>
    <row r="27884" spans="10:10" ht="15" customHeight="1" x14ac:dyDescent="0.3">
      <c r="J27884" s="33"/>
    </row>
    <row r="27885" spans="10:10" ht="15" customHeight="1" x14ac:dyDescent="0.3">
      <c r="J27885" s="33"/>
    </row>
    <row r="27886" spans="10:10" ht="15" customHeight="1" x14ac:dyDescent="0.3">
      <c r="J27886" s="33"/>
    </row>
    <row r="27887" spans="10:10" ht="15" customHeight="1" x14ac:dyDescent="0.3">
      <c r="J27887" s="33"/>
    </row>
    <row r="27888" spans="10:10" ht="15" customHeight="1" x14ac:dyDescent="0.3">
      <c r="J27888" s="33"/>
    </row>
    <row r="27889" spans="10:10" ht="15" customHeight="1" x14ac:dyDescent="0.3">
      <c r="J27889" s="33"/>
    </row>
    <row r="27890" spans="10:10" ht="15" customHeight="1" x14ac:dyDescent="0.3">
      <c r="J27890" s="33"/>
    </row>
    <row r="27891" spans="10:10" ht="15" customHeight="1" x14ac:dyDescent="0.3">
      <c r="J27891" s="33"/>
    </row>
    <row r="27892" spans="10:10" ht="15" customHeight="1" x14ac:dyDescent="0.3">
      <c r="J27892" s="33"/>
    </row>
    <row r="27893" spans="10:10" ht="15" customHeight="1" x14ac:dyDescent="0.3">
      <c r="J27893" s="33"/>
    </row>
    <row r="27894" spans="10:10" ht="15" customHeight="1" x14ac:dyDescent="0.3">
      <c r="J27894" s="33"/>
    </row>
    <row r="27895" spans="10:10" ht="15" customHeight="1" x14ac:dyDescent="0.3">
      <c r="J27895" s="33"/>
    </row>
    <row r="27896" spans="10:10" ht="15" customHeight="1" x14ac:dyDescent="0.3">
      <c r="J27896" s="33"/>
    </row>
    <row r="27897" spans="10:10" ht="15" customHeight="1" x14ac:dyDescent="0.3">
      <c r="J27897" s="33"/>
    </row>
    <row r="27898" spans="10:10" ht="15" customHeight="1" x14ac:dyDescent="0.3">
      <c r="J27898" s="33"/>
    </row>
    <row r="27899" spans="10:10" ht="15" customHeight="1" x14ac:dyDescent="0.3">
      <c r="J27899" s="33"/>
    </row>
    <row r="27900" spans="10:10" ht="15" customHeight="1" x14ac:dyDescent="0.3">
      <c r="J27900" s="33"/>
    </row>
    <row r="27901" spans="10:10" ht="15" customHeight="1" x14ac:dyDescent="0.3">
      <c r="J27901" s="33"/>
    </row>
    <row r="27902" spans="10:10" ht="15" customHeight="1" x14ac:dyDescent="0.3">
      <c r="J27902" s="33"/>
    </row>
    <row r="27903" spans="10:10" ht="15" customHeight="1" x14ac:dyDescent="0.3">
      <c r="J27903" s="33"/>
    </row>
    <row r="27904" spans="10:10" ht="15" customHeight="1" x14ac:dyDescent="0.3">
      <c r="J27904" s="33"/>
    </row>
    <row r="27905" spans="10:10" ht="15" customHeight="1" x14ac:dyDescent="0.3">
      <c r="J27905" s="33"/>
    </row>
    <row r="27906" spans="10:10" ht="15" customHeight="1" x14ac:dyDescent="0.3">
      <c r="J27906" s="33"/>
    </row>
    <row r="27907" spans="10:10" ht="15" customHeight="1" x14ac:dyDescent="0.3">
      <c r="J27907" s="33"/>
    </row>
    <row r="27908" spans="10:10" ht="15" customHeight="1" x14ac:dyDescent="0.3">
      <c r="J27908" s="33"/>
    </row>
    <row r="27909" spans="10:10" ht="15" customHeight="1" x14ac:dyDescent="0.3">
      <c r="J27909" s="33"/>
    </row>
    <row r="27910" spans="10:10" ht="15" customHeight="1" x14ac:dyDescent="0.3">
      <c r="J27910" s="33"/>
    </row>
    <row r="27911" spans="10:10" ht="15" customHeight="1" x14ac:dyDescent="0.3">
      <c r="J27911" s="33"/>
    </row>
    <row r="27912" spans="10:10" ht="15" customHeight="1" x14ac:dyDescent="0.3">
      <c r="J27912" s="33"/>
    </row>
    <row r="27913" spans="10:10" ht="15" customHeight="1" x14ac:dyDescent="0.3">
      <c r="J27913" s="33"/>
    </row>
    <row r="27914" spans="10:10" ht="15" customHeight="1" x14ac:dyDescent="0.3">
      <c r="J27914" s="33"/>
    </row>
    <row r="27915" spans="10:10" ht="15" customHeight="1" x14ac:dyDescent="0.3">
      <c r="J27915" s="33"/>
    </row>
    <row r="27916" spans="10:10" ht="15" customHeight="1" x14ac:dyDescent="0.3">
      <c r="J27916" s="33"/>
    </row>
    <row r="27917" spans="10:10" ht="15" customHeight="1" x14ac:dyDescent="0.3">
      <c r="J27917" s="33"/>
    </row>
    <row r="27918" spans="10:10" ht="15" customHeight="1" x14ac:dyDescent="0.3">
      <c r="J27918" s="33"/>
    </row>
    <row r="27919" spans="10:10" ht="15" customHeight="1" x14ac:dyDescent="0.3">
      <c r="J27919" s="33"/>
    </row>
    <row r="27920" spans="10:10" ht="15" customHeight="1" x14ac:dyDescent="0.3">
      <c r="J27920" s="33"/>
    </row>
    <row r="27921" spans="10:10" ht="15" customHeight="1" x14ac:dyDescent="0.3">
      <c r="J27921" s="33"/>
    </row>
    <row r="27922" spans="10:10" ht="15" customHeight="1" x14ac:dyDescent="0.3">
      <c r="J27922" s="33"/>
    </row>
    <row r="27923" spans="10:10" ht="15" customHeight="1" x14ac:dyDescent="0.3">
      <c r="J27923" s="33"/>
    </row>
    <row r="27924" spans="10:10" ht="15" customHeight="1" x14ac:dyDescent="0.3">
      <c r="J27924" s="33"/>
    </row>
    <row r="27925" spans="10:10" ht="15" customHeight="1" x14ac:dyDescent="0.3">
      <c r="J27925" s="33"/>
    </row>
    <row r="27926" spans="10:10" ht="15" customHeight="1" x14ac:dyDescent="0.3">
      <c r="J27926" s="33"/>
    </row>
    <row r="27927" spans="10:10" ht="15" customHeight="1" x14ac:dyDescent="0.3">
      <c r="J27927" s="33"/>
    </row>
    <row r="27928" spans="10:10" ht="15" customHeight="1" x14ac:dyDescent="0.3">
      <c r="J27928" s="33"/>
    </row>
    <row r="27929" spans="10:10" ht="15" customHeight="1" x14ac:dyDescent="0.3">
      <c r="J27929" s="33"/>
    </row>
    <row r="27930" spans="10:10" ht="15" customHeight="1" x14ac:dyDescent="0.3">
      <c r="J27930" s="33"/>
    </row>
    <row r="27931" spans="10:10" ht="15" customHeight="1" x14ac:dyDescent="0.3">
      <c r="J27931" s="33"/>
    </row>
    <row r="27932" spans="10:10" ht="15" customHeight="1" x14ac:dyDescent="0.3">
      <c r="J27932" s="33"/>
    </row>
    <row r="27933" spans="10:10" ht="15" customHeight="1" x14ac:dyDescent="0.3">
      <c r="J27933" s="33"/>
    </row>
    <row r="27934" spans="10:10" ht="15" customHeight="1" x14ac:dyDescent="0.3">
      <c r="J27934" s="33"/>
    </row>
    <row r="27935" spans="10:10" ht="15" customHeight="1" x14ac:dyDescent="0.3">
      <c r="J27935" s="33"/>
    </row>
    <row r="27936" spans="10:10" ht="15" customHeight="1" x14ac:dyDescent="0.3">
      <c r="J27936" s="33"/>
    </row>
    <row r="27937" spans="10:10" ht="15" customHeight="1" x14ac:dyDescent="0.3">
      <c r="J27937" s="33"/>
    </row>
    <row r="27938" spans="10:10" ht="15" customHeight="1" x14ac:dyDescent="0.3">
      <c r="J27938" s="33"/>
    </row>
    <row r="27939" spans="10:10" ht="15" customHeight="1" x14ac:dyDescent="0.3">
      <c r="J27939" s="33"/>
    </row>
    <row r="27940" spans="10:10" ht="15" customHeight="1" x14ac:dyDescent="0.3">
      <c r="J27940" s="33"/>
    </row>
    <row r="27941" spans="10:10" ht="15" customHeight="1" x14ac:dyDescent="0.3">
      <c r="J27941" s="33"/>
    </row>
    <row r="27942" spans="10:10" ht="15" customHeight="1" x14ac:dyDescent="0.3">
      <c r="J27942" s="33"/>
    </row>
    <row r="27943" spans="10:10" ht="15" customHeight="1" x14ac:dyDescent="0.3">
      <c r="J27943" s="33"/>
    </row>
    <row r="27944" spans="10:10" ht="15" customHeight="1" x14ac:dyDescent="0.3">
      <c r="J27944" s="33"/>
    </row>
    <row r="27945" spans="10:10" ht="15" customHeight="1" x14ac:dyDescent="0.3">
      <c r="J27945" s="33"/>
    </row>
    <row r="27946" spans="10:10" ht="15" customHeight="1" x14ac:dyDescent="0.3">
      <c r="J27946" s="33"/>
    </row>
    <row r="27947" spans="10:10" ht="15" customHeight="1" x14ac:dyDescent="0.3">
      <c r="J27947" s="33"/>
    </row>
    <row r="27948" spans="10:10" ht="15" customHeight="1" x14ac:dyDescent="0.3">
      <c r="J27948" s="33"/>
    </row>
    <row r="27949" spans="10:10" ht="15" customHeight="1" x14ac:dyDescent="0.3">
      <c r="J27949" s="33"/>
    </row>
    <row r="27950" spans="10:10" ht="15" customHeight="1" x14ac:dyDescent="0.3">
      <c r="J27950" s="33"/>
    </row>
    <row r="27951" spans="10:10" ht="15" customHeight="1" x14ac:dyDescent="0.3">
      <c r="J27951" s="33"/>
    </row>
    <row r="27952" spans="10:10" ht="15" customHeight="1" x14ac:dyDescent="0.3">
      <c r="J27952" s="33"/>
    </row>
    <row r="27953" spans="10:10" ht="15" customHeight="1" x14ac:dyDescent="0.3">
      <c r="J27953" s="33"/>
    </row>
    <row r="27954" spans="10:10" ht="15" customHeight="1" x14ac:dyDescent="0.3">
      <c r="J27954" s="33"/>
    </row>
    <row r="27955" spans="10:10" ht="15" customHeight="1" x14ac:dyDescent="0.3">
      <c r="J27955" s="33"/>
    </row>
    <row r="27956" spans="10:10" ht="15" customHeight="1" x14ac:dyDescent="0.3">
      <c r="J27956" s="33"/>
    </row>
    <row r="27957" spans="10:10" ht="15" customHeight="1" x14ac:dyDescent="0.3">
      <c r="J27957" s="33"/>
    </row>
    <row r="27958" spans="10:10" ht="15" customHeight="1" x14ac:dyDescent="0.3">
      <c r="J27958" s="33"/>
    </row>
    <row r="27959" spans="10:10" ht="15" customHeight="1" x14ac:dyDescent="0.3">
      <c r="J27959" s="33"/>
    </row>
    <row r="27960" spans="10:10" ht="15" customHeight="1" x14ac:dyDescent="0.3">
      <c r="J27960" s="33"/>
    </row>
    <row r="27961" spans="10:10" ht="15" customHeight="1" x14ac:dyDescent="0.3">
      <c r="J27961" s="33"/>
    </row>
    <row r="27962" spans="10:10" ht="15" customHeight="1" x14ac:dyDescent="0.3">
      <c r="J27962" s="33"/>
    </row>
    <row r="27963" spans="10:10" ht="15" customHeight="1" x14ac:dyDescent="0.3">
      <c r="J27963" s="33"/>
    </row>
    <row r="27964" spans="10:10" ht="15" customHeight="1" x14ac:dyDescent="0.3">
      <c r="J27964" s="33"/>
    </row>
    <row r="27965" spans="10:10" ht="15" customHeight="1" x14ac:dyDescent="0.3">
      <c r="J27965" s="33"/>
    </row>
    <row r="27966" spans="10:10" ht="15" customHeight="1" x14ac:dyDescent="0.3">
      <c r="J27966" s="33"/>
    </row>
    <row r="27967" spans="10:10" ht="15" customHeight="1" x14ac:dyDescent="0.3">
      <c r="J27967" s="33"/>
    </row>
    <row r="27968" spans="10:10" ht="15" customHeight="1" x14ac:dyDescent="0.3">
      <c r="J27968" s="33"/>
    </row>
    <row r="27969" spans="10:10" ht="15" customHeight="1" x14ac:dyDescent="0.3">
      <c r="J27969" s="33"/>
    </row>
    <row r="27970" spans="10:10" ht="15" customHeight="1" x14ac:dyDescent="0.3">
      <c r="J27970" s="33"/>
    </row>
    <row r="27971" spans="10:10" ht="15" customHeight="1" x14ac:dyDescent="0.3">
      <c r="J27971" s="33"/>
    </row>
    <row r="27972" spans="10:10" ht="15" customHeight="1" x14ac:dyDescent="0.3">
      <c r="J27972" s="33"/>
    </row>
    <row r="27973" spans="10:10" ht="15" customHeight="1" x14ac:dyDescent="0.3">
      <c r="J27973" s="33"/>
    </row>
    <row r="27974" spans="10:10" ht="15" customHeight="1" x14ac:dyDescent="0.3">
      <c r="J27974" s="33"/>
    </row>
    <row r="27975" spans="10:10" ht="15" customHeight="1" x14ac:dyDescent="0.3">
      <c r="J27975" s="33"/>
    </row>
    <row r="27976" spans="10:10" ht="15" customHeight="1" x14ac:dyDescent="0.3">
      <c r="J27976" s="33"/>
    </row>
    <row r="27977" spans="10:10" ht="15" customHeight="1" x14ac:dyDescent="0.3">
      <c r="J27977" s="33"/>
    </row>
    <row r="27978" spans="10:10" ht="15" customHeight="1" x14ac:dyDescent="0.3">
      <c r="J27978" s="33"/>
    </row>
    <row r="27979" spans="10:10" ht="15" customHeight="1" x14ac:dyDescent="0.3">
      <c r="J27979" s="33"/>
    </row>
    <row r="27980" spans="10:10" ht="15" customHeight="1" x14ac:dyDescent="0.3">
      <c r="J27980" s="33"/>
    </row>
    <row r="27981" spans="10:10" ht="15" customHeight="1" x14ac:dyDescent="0.3">
      <c r="J27981" s="33"/>
    </row>
    <row r="27982" spans="10:10" ht="15" customHeight="1" x14ac:dyDescent="0.3">
      <c r="J27982" s="33"/>
    </row>
    <row r="27983" spans="10:10" ht="15" customHeight="1" x14ac:dyDescent="0.3">
      <c r="J27983" s="33"/>
    </row>
    <row r="27984" spans="10:10" ht="15" customHeight="1" x14ac:dyDescent="0.3">
      <c r="J27984" s="33"/>
    </row>
    <row r="27985" spans="10:10" ht="15" customHeight="1" x14ac:dyDescent="0.3">
      <c r="J27985" s="33"/>
    </row>
    <row r="27986" spans="10:10" ht="15" customHeight="1" x14ac:dyDescent="0.3">
      <c r="J27986" s="33"/>
    </row>
    <row r="27987" spans="10:10" ht="15" customHeight="1" x14ac:dyDescent="0.3">
      <c r="J27987" s="33"/>
    </row>
    <row r="27988" spans="10:10" ht="15" customHeight="1" x14ac:dyDescent="0.3">
      <c r="J27988" s="33"/>
    </row>
    <row r="27989" spans="10:10" ht="15" customHeight="1" x14ac:dyDescent="0.3">
      <c r="J27989" s="33"/>
    </row>
    <row r="27990" spans="10:10" ht="15" customHeight="1" x14ac:dyDescent="0.3">
      <c r="J27990" s="33"/>
    </row>
    <row r="27991" spans="10:10" ht="15" customHeight="1" x14ac:dyDescent="0.3">
      <c r="J27991" s="33"/>
    </row>
    <row r="27992" spans="10:10" ht="15" customHeight="1" x14ac:dyDescent="0.3">
      <c r="J27992" s="33"/>
    </row>
    <row r="27993" spans="10:10" ht="15" customHeight="1" x14ac:dyDescent="0.3">
      <c r="J27993" s="33"/>
    </row>
    <row r="27994" spans="10:10" ht="15" customHeight="1" x14ac:dyDescent="0.3">
      <c r="J27994" s="33"/>
    </row>
    <row r="27995" spans="10:10" ht="15" customHeight="1" x14ac:dyDescent="0.3">
      <c r="J27995" s="33"/>
    </row>
    <row r="27996" spans="10:10" ht="15" customHeight="1" x14ac:dyDescent="0.3">
      <c r="J27996" s="33"/>
    </row>
    <row r="27997" spans="10:10" ht="15" customHeight="1" x14ac:dyDescent="0.3">
      <c r="J27997" s="33"/>
    </row>
    <row r="27998" spans="10:10" ht="15" customHeight="1" x14ac:dyDescent="0.3">
      <c r="J27998" s="33"/>
    </row>
    <row r="27999" spans="10:10" ht="15" customHeight="1" x14ac:dyDescent="0.3">
      <c r="J27999" s="33"/>
    </row>
    <row r="28000" spans="10:10" ht="15" customHeight="1" x14ac:dyDescent="0.3">
      <c r="J28000" s="33"/>
    </row>
    <row r="28001" spans="10:10" ht="15" customHeight="1" x14ac:dyDescent="0.3">
      <c r="J28001" s="33"/>
    </row>
    <row r="28002" spans="10:10" ht="15" customHeight="1" x14ac:dyDescent="0.3">
      <c r="J28002" s="33"/>
    </row>
    <row r="28003" spans="10:10" ht="15" customHeight="1" x14ac:dyDescent="0.3">
      <c r="J28003" s="33"/>
    </row>
    <row r="28004" spans="10:10" ht="15" customHeight="1" x14ac:dyDescent="0.3">
      <c r="J28004" s="33"/>
    </row>
    <row r="28005" spans="10:10" ht="15" customHeight="1" x14ac:dyDescent="0.3">
      <c r="J28005" s="33"/>
    </row>
    <row r="28006" spans="10:10" ht="15" customHeight="1" x14ac:dyDescent="0.3">
      <c r="J28006" s="33"/>
    </row>
    <row r="28007" spans="10:10" ht="15" customHeight="1" x14ac:dyDescent="0.3">
      <c r="J28007" s="33"/>
    </row>
    <row r="28008" spans="10:10" ht="15" customHeight="1" x14ac:dyDescent="0.3">
      <c r="J28008" s="33"/>
    </row>
    <row r="28009" spans="10:10" ht="15" customHeight="1" x14ac:dyDescent="0.3">
      <c r="J28009" s="33"/>
    </row>
    <row r="28010" spans="10:10" ht="15" customHeight="1" x14ac:dyDescent="0.3">
      <c r="J28010" s="33"/>
    </row>
    <row r="28011" spans="10:10" ht="15" customHeight="1" x14ac:dyDescent="0.3">
      <c r="J28011" s="33"/>
    </row>
    <row r="28012" spans="10:10" ht="15" customHeight="1" x14ac:dyDescent="0.3">
      <c r="J28012" s="33"/>
    </row>
    <row r="28013" spans="10:10" ht="15" customHeight="1" x14ac:dyDescent="0.3">
      <c r="J28013" s="33"/>
    </row>
    <row r="28014" spans="10:10" ht="15" customHeight="1" x14ac:dyDescent="0.3">
      <c r="J28014" s="33"/>
    </row>
    <row r="28015" spans="10:10" ht="15" customHeight="1" x14ac:dyDescent="0.3">
      <c r="J28015" s="33"/>
    </row>
    <row r="28016" spans="10:10" ht="15" customHeight="1" x14ac:dyDescent="0.3">
      <c r="J28016" s="33"/>
    </row>
    <row r="28017" spans="10:10" ht="15" customHeight="1" x14ac:dyDescent="0.3">
      <c r="J28017" s="33"/>
    </row>
    <row r="28018" spans="10:10" ht="15" customHeight="1" x14ac:dyDescent="0.3">
      <c r="J28018" s="33"/>
    </row>
    <row r="28019" spans="10:10" ht="15" customHeight="1" x14ac:dyDescent="0.3">
      <c r="J28019" s="33"/>
    </row>
    <row r="28020" spans="10:10" ht="15" customHeight="1" x14ac:dyDescent="0.3">
      <c r="J28020" s="33"/>
    </row>
    <row r="28021" spans="10:10" ht="15" customHeight="1" x14ac:dyDescent="0.3">
      <c r="J28021" s="33"/>
    </row>
    <row r="28022" spans="10:10" ht="15" customHeight="1" x14ac:dyDescent="0.3">
      <c r="J28022" s="33"/>
    </row>
    <row r="28023" spans="10:10" ht="15" customHeight="1" x14ac:dyDescent="0.3">
      <c r="J28023" s="33"/>
    </row>
    <row r="28024" spans="10:10" ht="15" customHeight="1" x14ac:dyDescent="0.3">
      <c r="J28024" s="33"/>
    </row>
    <row r="28025" spans="10:10" ht="15" customHeight="1" x14ac:dyDescent="0.3">
      <c r="J28025" s="33"/>
    </row>
    <row r="28026" spans="10:10" ht="15" customHeight="1" x14ac:dyDescent="0.3">
      <c r="J28026" s="33"/>
    </row>
    <row r="28027" spans="10:10" ht="15" customHeight="1" x14ac:dyDescent="0.3">
      <c r="J28027" s="33"/>
    </row>
    <row r="28028" spans="10:10" ht="15" customHeight="1" x14ac:dyDescent="0.3">
      <c r="J28028" s="33"/>
    </row>
    <row r="28029" spans="10:10" ht="15" customHeight="1" x14ac:dyDescent="0.3">
      <c r="J28029" s="33"/>
    </row>
    <row r="28030" spans="10:10" ht="15" customHeight="1" x14ac:dyDescent="0.3">
      <c r="J28030" s="33"/>
    </row>
    <row r="28031" spans="10:10" ht="15" customHeight="1" x14ac:dyDescent="0.3">
      <c r="J28031" s="33"/>
    </row>
    <row r="28032" spans="10:10" ht="15" customHeight="1" x14ac:dyDescent="0.3">
      <c r="J28032" s="33"/>
    </row>
    <row r="28033" spans="10:10" ht="15" customHeight="1" x14ac:dyDescent="0.3">
      <c r="J28033" s="33"/>
    </row>
    <row r="28034" spans="10:10" ht="15" customHeight="1" x14ac:dyDescent="0.3">
      <c r="J28034" s="33"/>
    </row>
    <row r="28035" spans="10:10" ht="15" customHeight="1" x14ac:dyDescent="0.3">
      <c r="J28035" s="33"/>
    </row>
    <row r="28036" spans="10:10" ht="15" customHeight="1" x14ac:dyDescent="0.3">
      <c r="J28036" s="33"/>
    </row>
    <row r="28037" spans="10:10" ht="15" customHeight="1" x14ac:dyDescent="0.3">
      <c r="J28037" s="33"/>
    </row>
    <row r="28038" spans="10:10" ht="15" customHeight="1" x14ac:dyDescent="0.3">
      <c r="J28038" s="33"/>
    </row>
    <row r="28039" spans="10:10" ht="15" customHeight="1" x14ac:dyDescent="0.3">
      <c r="J28039" s="33"/>
    </row>
    <row r="28040" spans="10:10" ht="15" customHeight="1" x14ac:dyDescent="0.3">
      <c r="J28040" s="33"/>
    </row>
    <row r="28041" spans="10:10" ht="15" customHeight="1" x14ac:dyDescent="0.3">
      <c r="J28041" s="33"/>
    </row>
    <row r="28042" spans="10:10" ht="15" customHeight="1" x14ac:dyDescent="0.3">
      <c r="J28042" s="33"/>
    </row>
    <row r="28043" spans="10:10" ht="15" customHeight="1" x14ac:dyDescent="0.3">
      <c r="J28043" s="33"/>
    </row>
    <row r="28044" spans="10:10" ht="15" customHeight="1" x14ac:dyDescent="0.3">
      <c r="J28044" s="33"/>
    </row>
    <row r="28045" spans="10:10" ht="15" customHeight="1" x14ac:dyDescent="0.3">
      <c r="J28045" s="33"/>
    </row>
    <row r="28046" spans="10:10" ht="15" customHeight="1" x14ac:dyDescent="0.3">
      <c r="J28046" s="33"/>
    </row>
    <row r="28047" spans="10:10" ht="15" customHeight="1" x14ac:dyDescent="0.3">
      <c r="J28047" s="33"/>
    </row>
    <row r="28048" spans="10:10" ht="15" customHeight="1" x14ac:dyDescent="0.3">
      <c r="J28048" s="33"/>
    </row>
    <row r="28049" spans="10:10" ht="15" customHeight="1" x14ac:dyDescent="0.3">
      <c r="J28049" s="33"/>
    </row>
    <row r="28050" spans="10:10" ht="15" customHeight="1" x14ac:dyDescent="0.3">
      <c r="J28050" s="33"/>
    </row>
    <row r="28051" spans="10:10" ht="15" customHeight="1" x14ac:dyDescent="0.3">
      <c r="J28051" s="33"/>
    </row>
    <row r="28052" spans="10:10" ht="15" customHeight="1" x14ac:dyDescent="0.3">
      <c r="J28052" s="33"/>
    </row>
    <row r="28053" spans="10:10" ht="15" customHeight="1" x14ac:dyDescent="0.3">
      <c r="J28053" s="33"/>
    </row>
    <row r="28054" spans="10:10" ht="15" customHeight="1" x14ac:dyDescent="0.3">
      <c r="J28054" s="33"/>
    </row>
    <row r="28055" spans="10:10" ht="15" customHeight="1" x14ac:dyDescent="0.3">
      <c r="J28055" s="33"/>
    </row>
    <row r="28056" spans="10:10" ht="15" customHeight="1" x14ac:dyDescent="0.3">
      <c r="J28056" s="33"/>
    </row>
    <row r="28057" spans="10:10" ht="15" customHeight="1" x14ac:dyDescent="0.3">
      <c r="J28057" s="33"/>
    </row>
    <row r="28058" spans="10:10" ht="15" customHeight="1" x14ac:dyDescent="0.3">
      <c r="J28058" s="33"/>
    </row>
    <row r="28059" spans="10:10" ht="15" customHeight="1" x14ac:dyDescent="0.3">
      <c r="J28059" s="33"/>
    </row>
    <row r="28060" spans="10:10" ht="15" customHeight="1" x14ac:dyDescent="0.3">
      <c r="J28060" s="33"/>
    </row>
    <row r="28061" spans="10:10" ht="15" customHeight="1" x14ac:dyDescent="0.3">
      <c r="J28061" s="33"/>
    </row>
    <row r="28062" spans="10:10" ht="15" customHeight="1" x14ac:dyDescent="0.3">
      <c r="J28062" s="33"/>
    </row>
    <row r="28063" spans="10:10" ht="15" customHeight="1" x14ac:dyDescent="0.3">
      <c r="J28063" s="33"/>
    </row>
    <row r="28064" spans="10:10" ht="15" customHeight="1" x14ac:dyDescent="0.3">
      <c r="J28064" s="33"/>
    </row>
    <row r="28065" spans="10:10" ht="15" customHeight="1" x14ac:dyDescent="0.3">
      <c r="J28065" s="33"/>
    </row>
    <row r="28066" spans="10:10" ht="15" customHeight="1" x14ac:dyDescent="0.3">
      <c r="J28066" s="33"/>
    </row>
    <row r="28067" spans="10:10" ht="15" customHeight="1" x14ac:dyDescent="0.3">
      <c r="J28067" s="33"/>
    </row>
    <row r="28068" spans="10:10" ht="15" customHeight="1" x14ac:dyDescent="0.3">
      <c r="J28068" s="33"/>
    </row>
    <row r="28069" spans="10:10" ht="15" customHeight="1" x14ac:dyDescent="0.3">
      <c r="J28069" s="33"/>
    </row>
    <row r="28070" spans="10:10" ht="15" customHeight="1" x14ac:dyDescent="0.3">
      <c r="J28070" s="33"/>
    </row>
    <row r="28071" spans="10:10" ht="15" customHeight="1" x14ac:dyDescent="0.3">
      <c r="J28071" s="33"/>
    </row>
    <row r="28072" spans="10:10" ht="15" customHeight="1" x14ac:dyDescent="0.3">
      <c r="J28072" s="33"/>
    </row>
    <row r="28073" spans="10:10" ht="15" customHeight="1" x14ac:dyDescent="0.3">
      <c r="J28073" s="33"/>
    </row>
    <row r="28074" spans="10:10" ht="15" customHeight="1" x14ac:dyDescent="0.3">
      <c r="J28074" s="33"/>
    </row>
    <row r="28075" spans="10:10" ht="15" customHeight="1" x14ac:dyDescent="0.3">
      <c r="J28075" s="33"/>
    </row>
    <row r="28076" spans="10:10" ht="15" customHeight="1" x14ac:dyDescent="0.3">
      <c r="J28076" s="33"/>
    </row>
    <row r="28077" spans="10:10" ht="15" customHeight="1" x14ac:dyDescent="0.3">
      <c r="J28077" s="33"/>
    </row>
    <row r="28078" spans="10:10" ht="15" customHeight="1" x14ac:dyDescent="0.3">
      <c r="J28078" s="33"/>
    </row>
    <row r="28079" spans="10:10" ht="15" customHeight="1" x14ac:dyDescent="0.3">
      <c r="J28079" s="33"/>
    </row>
    <row r="28080" spans="10:10" ht="15" customHeight="1" x14ac:dyDescent="0.3">
      <c r="J28080" s="33"/>
    </row>
    <row r="28081" spans="10:10" ht="15" customHeight="1" x14ac:dyDescent="0.3">
      <c r="J28081" s="33"/>
    </row>
    <row r="28082" spans="10:10" ht="15" customHeight="1" x14ac:dyDescent="0.3">
      <c r="J28082" s="33"/>
    </row>
    <row r="28083" spans="10:10" ht="15" customHeight="1" x14ac:dyDescent="0.3">
      <c r="J28083" s="33"/>
    </row>
    <row r="28084" spans="10:10" ht="15" customHeight="1" x14ac:dyDescent="0.3">
      <c r="J28084" s="33"/>
    </row>
    <row r="28085" spans="10:10" ht="15" customHeight="1" x14ac:dyDescent="0.3">
      <c r="J28085" s="33"/>
    </row>
    <row r="28086" spans="10:10" ht="15" customHeight="1" x14ac:dyDescent="0.3">
      <c r="J28086" s="33"/>
    </row>
    <row r="28087" spans="10:10" ht="15" customHeight="1" x14ac:dyDescent="0.3">
      <c r="J28087" s="33"/>
    </row>
    <row r="28088" spans="10:10" ht="15" customHeight="1" x14ac:dyDescent="0.3">
      <c r="J28088" s="33"/>
    </row>
    <row r="28089" spans="10:10" ht="15" customHeight="1" x14ac:dyDescent="0.3">
      <c r="J28089" s="33"/>
    </row>
    <row r="28090" spans="10:10" ht="15" customHeight="1" x14ac:dyDescent="0.3">
      <c r="J28090" s="33"/>
    </row>
    <row r="28091" spans="10:10" ht="15" customHeight="1" x14ac:dyDescent="0.3">
      <c r="J28091" s="33"/>
    </row>
    <row r="28092" spans="10:10" ht="15" customHeight="1" x14ac:dyDescent="0.3">
      <c r="J28092" s="33"/>
    </row>
    <row r="28093" spans="10:10" ht="15" customHeight="1" x14ac:dyDescent="0.3">
      <c r="J28093" s="33"/>
    </row>
    <row r="28094" spans="10:10" ht="15" customHeight="1" x14ac:dyDescent="0.3">
      <c r="J28094" s="33"/>
    </row>
    <row r="28095" spans="10:10" ht="15" customHeight="1" x14ac:dyDescent="0.3">
      <c r="J28095" s="33"/>
    </row>
    <row r="28096" spans="10:10" ht="15" customHeight="1" x14ac:dyDescent="0.3">
      <c r="J28096" s="33"/>
    </row>
    <row r="28097" spans="10:10" ht="15" customHeight="1" x14ac:dyDescent="0.3">
      <c r="J28097" s="33"/>
    </row>
    <row r="28098" spans="10:10" ht="15" customHeight="1" x14ac:dyDescent="0.3">
      <c r="J28098" s="33"/>
    </row>
    <row r="28099" spans="10:10" ht="15" customHeight="1" x14ac:dyDescent="0.3">
      <c r="J28099" s="33"/>
    </row>
    <row r="28100" spans="10:10" ht="15" customHeight="1" x14ac:dyDescent="0.3">
      <c r="J28100" s="33"/>
    </row>
    <row r="28101" spans="10:10" ht="15" customHeight="1" x14ac:dyDescent="0.3">
      <c r="J28101" s="33"/>
    </row>
    <row r="28102" spans="10:10" ht="15" customHeight="1" x14ac:dyDescent="0.3">
      <c r="J28102" s="33"/>
    </row>
    <row r="28103" spans="10:10" ht="15" customHeight="1" x14ac:dyDescent="0.3">
      <c r="J28103" s="33"/>
    </row>
    <row r="28104" spans="10:10" ht="15" customHeight="1" x14ac:dyDescent="0.3">
      <c r="J28104" s="33"/>
    </row>
    <row r="28105" spans="10:10" ht="15" customHeight="1" x14ac:dyDescent="0.3">
      <c r="J28105" s="33"/>
    </row>
    <row r="28106" spans="10:10" ht="15" customHeight="1" x14ac:dyDescent="0.3">
      <c r="J28106" s="33"/>
    </row>
    <row r="28107" spans="10:10" ht="15" customHeight="1" x14ac:dyDescent="0.3">
      <c r="J28107" s="33"/>
    </row>
    <row r="28108" spans="10:10" ht="15" customHeight="1" x14ac:dyDescent="0.3">
      <c r="J28108" s="33"/>
    </row>
    <row r="28109" spans="10:10" ht="15" customHeight="1" x14ac:dyDescent="0.3">
      <c r="J28109" s="33"/>
    </row>
    <row r="28110" spans="10:10" ht="15" customHeight="1" x14ac:dyDescent="0.3">
      <c r="J28110" s="33"/>
    </row>
    <row r="28111" spans="10:10" ht="15" customHeight="1" x14ac:dyDescent="0.3">
      <c r="J28111" s="33"/>
    </row>
    <row r="28112" spans="10:10" ht="15" customHeight="1" x14ac:dyDescent="0.3">
      <c r="J28112" s="33"/>
    </row>
    <row r="28113" spans="10:10" ht="15" customHeight="1" x14ac:dyDescent="0.3">
      <c r="J28113" s="33"/>
    </row>
    <row r="28114" spans="10:10" ht="15" customHeight="1" x14ac:dyDescent="0.3">
      <c r="J28114" s="33"/>
    </row>
    <row r="28115" spans="10:10" ht="15" customHeight="1" x14ac:dyDescent="0.3">
      <c r="J28115" s="33"/>
    </row>
    <row r="28116" spans="10:10" ht="15" customHeight="1" x14ac:dyDescent="0.3">
      <c r="J28116" s="33"/>
    </row>
    <row r="28117" spans="10:10" ht="15" customHeight="1" x14ac:dyDescent="0.3">
      <c r="J28117" s="33"/>
    </row>
    <row r="28118" spans="10:10" ht="15" customHeight="1" x14ac:dyDescent="0.3">
      <c r="J28118" s="33"/>
    </row>
    <row r="28119" spans="10:10" ht="15" customHeight="1" x14ac:dyDescent="0.3">
      <c r="J28119" s="33"/>
    </row>
    <row r="28120" spans="10:10" ht="15" customHeight="1" x14ac:dyDescent="0.3">
      <c r="J28120" s="33"/>
    </row>
    <row r="28121" spans="10:10" ht="15" customHeight="1" x14ac:dyDescent="0.3">
      <c r="J28121" s="33"/>
    </row>
    <row r="28122" spans="10:10" ht="15" customHeight="1" x14ac:dyDescent="0.3">
      <c r="J28122" s="33"/>
    </row>
    <row r="28123" spans="10:10" ht="15" customHeight="1" x14ac:dyDescent="0.3">
      <c r="J28123" s="33"/>
    </row>
    <row r="28124" spans="10:10" ht="15" customHeight="1" x14ac:dyDescent="0.3">
      <c r="J28124" s="33"/>
    </row>
    <row r="28125" spans="10:10" ht="15" customHeight="1" x14ac:dyDescent="0.3">
      <c r="J28125" s="33"/>
    </row>
    <row r="28126" spans="10:10" ht="15" customHeight="1" x14ac:dyDescent="0.3">
      <c r="J28126" s="33"/>
    </row>
    <row r="28127" spans="10:10" ht="15" customHeight="1" x14ac:dyDescent="0.3">
      <c r="J28127" s="33"/>
    </row>
    <row r="28128" spans="10:10" ht="15" customHeight="1" x14ac:dyDescent="0.3">
      <c r="J28128" s="33"/>
    </row>
    <row r="28129" spans="10:10" ht="15" customHeight="1" x14ac:dyDescent="0.3">
      <c r="J28129" s="33"/>
    </row>
    <row r="28130" spans="10:10" ht="15" customHeight="1" x14ac:dyDescent="0.3">
      <c r="J28130" s="33"/>
    </row>
    <row r="28131" spans="10:10" ht="15" customHeight="1" x14ac:dyDescent="0.3">
      <c r="J28131" s="33"/>
    </row>
    <row r="28132" spans="10:10" ht="15" customHeight="1" x14ac:dyDescent="0.3">
      <c r="J28132" s="33"/>
    </row>
    <row r="28133" spans="10:10" ht="15" customHeight="1" x14ac:dyDescent="0.3">
      <c r="J28133" s="33"/>
    </row>
    <row r="28134" spans="10:10" ht="15" customHeight="1" x14ac:dyDescent="0.3">
      <c r="J28134" s="33"/>
    </row>
    <row r="28135" spans="10:10" ht="15" customHeight="1" x14ac:dyDescent="0.3">
      <c r="J28135" s="33"/>
    </row>
    <row r="28136" spans="10:10" ht="15" customHeight="1" x14ac:dyDescent="0.3">
      <c r="J28136" s="33"/>
    </row>
    <row r="28137" spans="10:10" ht="15" customHeight="1" x14ac:dyDescent="0.3">
      <c r="J28137" s="33"/>
    </row>
    <row r="28138" spans="10:10" ht="15" customHeight="1" x14ac:dyDescent="0.3">
      <c r="J28138" s="33"/>
    </row>
    <row r="28139" spans="10:10" ht="15" customHeight="1" x14ac:dyDescent="0.3">
      <c r="J28139" s="33"/>
    </row>
    <row r="28140" spans="10:10" ht="15" customHeight="1" x14ac:dyDescent="0.3">
      <c r="J28140" s="33"/>
    </row>
    <row r="28141" spans="10:10" ht="15" customHeight="1" x14ac:dyDescent="0.3">
      <c r="J28141" s="33"/>
    </row>
    <row r="28142" spans="10:10" ht="15" customHeight="1" x14ac:dyDescent="0.3">
      <c r="J28142" s="33"/>
    </row>
    <row r="28143" spans="10:10" ht="15" customHeight="1" x14ac:dyDescent="0.3">
      <c r="J28143" s="33"/>
    </row>
    <row r="28144" spans="10:10" ht="15" customHeight="1" x14ac:dyDescent="0.3">
      <c r="J28144" s="33"/>
    </row>
    <row r="28145" spans="10:10" ht="15" customHeight="1" x14ac:dyDescent="0.3">
      <c r="J28145" s="33"/>
    </row>
    <row r="28146" spans="10:10" ht="15" customHeight="1" x14ac:dyDescent="0.3">
      <c r="J28146" s="33"/>
    </row>
    <row r="28147" spans="10:10" ht="15" customHeight="1" x14ac:dyDescent="0.3">
      <c r="J28147" s="33"/>
    </row>
    <row r="28148" spans="10:10" ht="15" customHeight="1" x14ac:dyDescent="0.3">
      <c r="J28148" s="33"/>
    </row>
    <row r="28149" spans="10:10" ht="15" customHeight="1" x14ac:dyDescent="0.3">
      <c r="J28149" s="33"/>
    </row>
    <row r="28150" spans="10:10" ht="15" customHeight="1" x14ac:dyDescent="0.3">
      <c r="J28150" s="33"/>
    </row>
    <row r="28151" spans="10:10" ht="15" customHeight="1" x14ac:dyDescent="0.3">
      <c r="J28151" s="33"/>
    </row>
    <row r="28152" spans="10:10" ht="15" customHeight="1" x14ac:dyDescent="0.3">
      <c r="J28152" s="33"/>
    </row>
    <row r="28153" spans="10:10" ht="15" customHeight="1" x14ac:dyDescent="0.3">
      <c r="J28153" s="33"/>
    </row>
    <row r="28154" spans="10:10" ht="15" customHeight="1" x14ac:dyDescent="0.3">
      <c r="J28154" s="33"/>
    </row>
    <row r="28155" spans="10:10" ht="15" customHeight="1" x14ac:dyDescent="0.3">
      <c r="J28155" s="33"/>
    </row>
    <row r="28156" spans="10:10" ht="15" customHeight="1" x14ac:dyDescent="0.3">
      <c r="J28156" s="33"/>
    </row>
    <row r="28157" spans="10:10" ht="15" customHeight="1" x14ac:dyDescent="0.3">
      <c r="J28157" s="33"/>
    </row>
    <row r="28158" spans="10:10" ht="15" customHeight="1" x14ac:dyDescent="0.3">
      <c r="J28158" s="33"/>
    </row>
    <row r="28159" spans="10:10" ht="15" customHeight="1" x14ac:dyDescent="0.3">
      <c r="J28159" s="33"/>
    </row>
    <row r="28160" spans="10:10" ht="15" customHeight="1" x14ac:dyDescent="0.3">
      <c r="J28160" s="33"/>
    </row>
    <row r="28161" spans="10:10" ht="15" customHeight="1" x14ac:dyDescent="0.3">
      <c r="J28161" s="33"/>
    </row>
    <row r="28162" spans="10:10" ht="15" customHeight="1" x14ac:dyDescent="0.3">
      <c r="J28162" s="33"/>
    </row>
    <row r="28163" spans="10:10" ht="15" customHeight="1" x14ac:dyDescent="0.3">
      <c r="J28163" s="33"/>
    </row>
    <row r="28164" spans="10:10" ht="15" customHeight="1" x14ac:dyDescent="0.3">
      <c r="J28164" s="33"/>
    </row>
    <row r="28165" spans="10:10" ht="15" customHeight="1" x14ac:dyDescent="0.3">
      <c r="J28165" s="33"/>
    </row>
    <row r="28166" spans="10:10" ht="15" customHeight="1" x14ac:dyDescent="0.3">
      <c r="J28166" s="33"/>
    </row>
    <row r="28167" spans="10:10" ht="15" customHeight="1" x14ac:dyDescent="0.3">
      <c r="J28167" s="33"/>
    </row>
    <row r="28168" spans="10:10" ht="15" customHeight="1" x14ac:dyDescent="0.3">
      <c r="J28168" s="33"/>
    </row>
    <row r="28169" spans="10:10" ht="15" customHeight="1" x14ac:dyDescent="0.3">
      <c r="J28169" s="33"/>
    </row>
    <row r="28170" spans="10:10" ht="15" customHeight="1" x14ac:dyDescent="0.3">
      <c r="J28170" s="33"/>
    </row>
    <row r="28171" spans="10:10" ht="15" customHeight="1" x14ac:dyDescent="0.3">
      <c r="J28171" s="33"/>
    </row>
    <row r="28172" spans="10:10" ht="15" customHeight="1" x14ac:dyDescent="0.3">
      <c r="J28172" s="33"/>
    </row>
    <row r="28173" spans="10:10" ht="15" customHeight="1" x14ac:dyDescent="0.3">
      <c r="J28173" s="33"/>
    </row>
    <row r="28174" spans="10:10" ht="15" customHeight="1" x14ac:dyDescent="0.3">
      <c r="J28174" s="33"/>
    </row>
    <row r="28175" spans="10:10" ht="15" customHeight="1" x14ac:dyDescent="0.3">
      <c r="J28175" s="33"/>
    </row>
    <row r="28176" spans="10:10" ht="15" customHeight="1" x14ac:dyDescent="0.3">
      <c r="J28176" s="33"/>
    </row>
    <row r="28177" spans="10:10" ht="15" customHeight="1" x14ac:dyDescent="0.3">
      <c r="J28177" s="33"/>
    </row>
    <row r="28178" spans="10:10" ht="15" customHeight="1" x14ac:dyDescent="0.3">
      <c r="J28178" s="33"/>
    </row>
    <row r="28179" spans="10:10" ht="15" customHeight="1" x14ac:dyDescent="0.3">
      <c r="J28179" s="33"/>
    </row>
    <row r="28180" spans="10:10" ht="15" customHeight="1" x14ac:dyDescent="0.3">
      <c r="J28180" s="33"/>
    </row>
    <row r="28181" spans="10:10" ht="15" customHeight="1" x14ac:dyDescent="0.3">
      <c r="J28181" s="33"/>
    </row>
    <row r="28182" spans="10:10" ht="15" customHeight="1" x14ac:dyDescent="0.3">
      <c r="J28182" s="33"/>
    </row>
    <row r="28183" spans="10:10" ht="15" customHeight="1" x14ac:dyDescent="0.3">
      <c r="J28183" s="33"/>
    </row>
    <row r="28184" spans="10:10" ht="15" customHeight="1" x14ac:dyDescent="0.3">
      <c r="J28184" s="33"/>
    </row>
    <row r="28185" spans="10:10" ht="15" customHeight="1" x14ac:dyDescent="0.3">
      <c r="J28185" s="33"/>
    </row>
    <row r="28186" spans="10:10" ht="15" customHeight="1" x14ac:dyDescent="0.3">
      <c r="J28186" s="33"/>
    </row>
    <row r="28187" spans="10:10" ht="15" customHeight="1" x14ac:dyDescent="0.3">
      <c r="J28187" s="33"/>
    </row>
    <row r="28188" spans="10:10" ht="15" customHeight="1" x14ac:dyDescent="0.3">
      <c r="J28188" s="33"/>
    </row>
    <row r="28189" spans="10:10" ht="15" customHeight="1" x14ac:dyDescent="0.3">
      <c r="J28189" s="33"/>
    </row>
    <row r="28190" spans="10:10" ht="15" customHeight="1" x14ac:dyDescent="0.3">
      <c r="J28190" s="33"/>
    </row>
    <row r="28191" spans="10:10" ht="15" customHeight="1" x14ac:dyDescent="0.3">
      <c r="J28191" s="33"/>
    </row>
    <row r="28192" spans="10:10" ht="15" customHeight="1" x14ac:dyDescent="0.3">
      <c r="J28192" s="33"/>
    </row>
    <row r="28193" spans="10:10" ht="15" customHeight="1" x14ac:dyDescent="0.3">
      <c r="J28193" s="33"/>
    </row>
    <row r="28194" spans="10:10" ht="15" customHeight="1" x14ac:dyDescent="0.3">
      <c r="J28194" s="33"/>
    </row>
    <row r="28195" spans="10:10" ht="15" customHeight="1" x14ac:dyDescent="0.3">
      <c r="J28195" s="33"/>
    </row>
    <row r="28196" spans="10:10" ht="15" customHeight="1" x14ac:dyDescent="0.3">
      <c r="J28196" s="33"/>
    </row>
    <row r="28197" spans="10:10" ht="15" customHeight="1" x14ac:dyDescent="0.3">
      <c r="J28197" s="33"/>
    </row>
    <row r="28198" spans="10:10" ht="15" customHeight="1" x14ac:dyDescent="0.3">
      <c r="J28198" s="33"/>
    </row>
    <row r="28199" spans="10:10" ht="15" customHeight="1" x14ac:dyDescent="0.3">
      <c r="J28199" s="33"/>
    </row>
    <row r="28200" spans="10:10" ht="15" customHeight="1" x14ac:dyDescent="0.3">
      <c r="J28200" s="33"/>
    </row>
    <row r="28201" spans="10:10" ht="15" customHeight="1" x14ac:dyDescent="0.3">
      <c r="J28201" s="33"/>
    </row>
    <row r="28202" spans="10:10" ht="15" customHeight="1" x14ac:dyDescent="0.3">
      <c r="J28202" s="33"/>
    </row>
    <row r="28203" spans="10:10" ht="15" customHeight="1" x14ac:dyDescent="0.3">
      <c r="J28203" s="33"/>
    </row>
    <row r="28204" spans="10:10" ht="15" customHeight="1" x14ac:dyDescent="0.3">
      <c r="J28204" s="33"/>
    </row>
    <row r="28205" spans="10:10" ht="15" customHeight="1" x14ac:dyDescent="0.3">
      <c r="J28205" s="33"/>
    </row>
    <row r="28206" spans="10:10" ht="15" customHeight="1" x14ac:dyDescent="0.3">
      <c r="J28206" s="33"/>
    </row>
    <row r="28207" spans="10:10" ht="15" customHeight="1" x14ac:dyDescent="0.3">
      <c r="J28207" s="33"/>
    </row>
    <row r="28208" spans="10:10" ht="15" customHeight="1" x14ac:dyDescent="0.3">
      <c r="J28208" s="33"/>
    </row>
    <row r="28209" spans="10:10" ht="15" customHeight="1" x14ac:dyDescent="0.3">
      <c r="J28209" s="33"/>
    </row>
    <row r="28210" spans="10:10" ht="15" customHeight="1" x14ac:dyDescent="0.3">
      <c r="J28210" s="33"/>
    </row>
    <row r="28211" spans="10:10" ht="15" customHeight="1" x14ac:dyDescent="0.3">
      <c r="J28211" s="33"/>
    </row>
    <row r="28212" spans="10:10" ht="15" customHeight="1" x14ac:dyDescent="0.3">
      <c r="J28212" s="33"/>
    </row>
    <row r="28213" spans="10:10" ht="15" customHeight="1" x14ac:dyDescent="0.3">
      <c r="J28213" s="33"/>
    </row>
    <row r="28214" spans="10:10" ht="15" customHeight="1" x14ac:dyDescent="0.3">
      <c r="J28214" s="33"/>
    </row>
    <row r="28215" spans="10:10" ht="15" customHeight="1" x14ac:dyDescent="0.3">
      <c r="J28215" s="33"/>
    </row>
    <row r="28216" spans="10:10" ht="15" customHeight="1" x14ac:dyDescent="0.3">
      <c r="J28216" s="33"/>
    </row>
    <row r="28217" spans="10:10" ht="15" customHeight="1" x14ac:dyDescent="0.3">
      <c r="J28217" s="33"/>
    </row>
    <row r="28218" spans="10:10" ht="15" customHeight="1" x14ac:dyDescent="0.3">
      <c r="J28218" s="33"/>
    </row>
    <row r="28219" spans="10:10" ht="15" customHeight="1" x14ac:dyDescent="0.3">
      <c r="J28219" s="33"/>
    </row>
    <row r="28220" spans="10:10" ht="15" customHeight="1" x14ac:dyDescent="0.3">
      <c r="J28220" s="33"/>
    </row>
    <row r="28221" spans="10:10" ht="15" customHeight="1" x14ac:dyDescent="0.3">
      <c r="J28221" s="33"/>
    </row>
    <row r="28222" spans="10:10" ht="15" customHeight="1" x14ac:dyDescent="0.3">
      <c r="J28222" s="33"/>
    </row>
    <row r="28223" spans="10:10" ht="15" customHeight="1" x14ac:dyDescent="0.3">
      <c r="J28223" s="33"/>
    </row>
    <row r="28224" spans="10:10" ht="15" customHeight="1" x14ac:dyDescent="0.3">
      <c r="J28224" s="33"/>
    </row>
    <row r="28225" spans="10:10" ht="15" customHeight="1" x14ac:dyDescent="0.3">
      <c r="J28225" s="33"/>
    </row>
    <row r="28226" spans="10:10" ht="15" customHeight="1" x14ac:dyDescent="0.3">
      <c r="J28226" s="33"/>
    </row>
    <row r="28227" spans="10:10" ht="15" customHeight="1" x14ac:dyDescent="0.3">
      <c r="J28227" s="33"/>
    </row>
    <row r="28228" spans="10:10" ht="15" customHeight="1" x14ac:dyDescent="0.3">
      <c r="J28228" s="33"/>
    </row>
    <row r="28229" spans="10:10" ht="15" customHeight="1" x14ac:dyDescent="0.3">
      <c r="J28229" s="33"/>
    </row>
    <row r="28230" spans="10:10" ht="15" customHeight="1" x14ac:dyDescent="0.3">
      <c r="J28230" s="33"/>
    </row>
    <row r="28231" spans="10:10" ht="15" customHeight="1" x14ac:dyDescent="0.3">
      <c r="J28231" s="33"/>
    </row>
    <row r="28232" spans="10:10" ht="15" customHeight="1" x14ac:dyDescent="0.3">
      <c r="J28232" s="33"/>
    </row>
    <row r="28233" spans="10:10" ht="15" customHeight="1" x14ac:dyDescent="0.3">
      <c r="J28233" s="33"/>
    </row>
    <row r="28234" spans="10:10" ht="15" customHeight="1" x14ac:dyDescent="0.3">
      <c r="J28234" s="33"/>
    </row>
    <row r="28235" spans="10:10" ht="15" customHeight="1" x14ac:dyDescent="0.3">
      <c r="J28235" s="33"/>
    </row>
    <row r="28236" spans="10:10" ht="15" customHeight="1" x14ac:dyDescent="0.3">
      <c r="J28236" s="33"/>
    </row>
    <row r="28237" spans="10:10" ht="15" customHeight="1" x14ac:dyDescent="0.3">
      <c r="J28237" s="33"/>
    </row>
    <row r="28238" spans="10:10" ht="15" customHeight="1" x14ac:dyDescent="0.3">
      <c r="J28238" s="33"/>
    </row>
    <row r="28239" spans="10:10" ht="15" customHeight="1" x14ac:dyDescent="0.3">
      <c r="J28239" s="33"/>
    </row>
    <row r="28240" spans="10:10" ht="15" customHeight="1" x14ac:dyDescent="0.3">
      <c r="J28240" s="33"/>
    </row>
    <row r="28241" spans="10:10" ht="15" customHeight="1" x14ac:dyDescent="0.3">
      <c r="J28241" s="33"/>
    </row>
    <row r="28242" spans="10:10" ht="15" customHeight="1" x14ac:dyDescent="0.3">
      <c r="J28242" s="33"/>
    </row>
    <row r="28243" spans="10:10" ht="15" customHeight="1" x14ac:dyDescent="0.3">
      <c r="J28243" s="33"/>
    </row>
    <row r="28244" spans="10:10" ht="15" customHeight="1" x14ac:dyDescent="0.3">
      <c r="J28244" s="33"/>
    </row>
    <row r="28245" spans="10:10" ht="15" customHeight="1" x14ac:dyDescent="0.3">
      <c r="J28245" s="33"/>
    </row>
    <row r="28246" spans="10:10" ht="15" customHeight="1" x14ac:dyDescent="0.3">
      <c r="J28246" s="33"/>
    </row>
    <row r="28247" spans="10:10" ht="15" customHeight="1" x14ac:dyDescent="0.3">
      <c r="J28247" s="33"/>
    </row>
    <row r="28248" spans="10:10" ht="15" customHeight="1" x14ac:dyDescent="0.3">
      <c r="J28248" s="33"/>
    </row>
    <row r="28249" spans="10:10" ht="15" customHeight="1" x14ac:dyDescent="0.3">
      <c r="J28249" s="33"/>
    </row>
    <row r="28250" spans="10:10" ht="15" customHeight="1" x14ac:dyDescent="0.3">
      <c r="J28250" s="33"/>
    </row>
    <row r="28251" spans="10:10" ht="15" customHeight="1" x14ac:dyDescent="0.3">
      <c r="J28251" s="33"/>
    </row>
    <row r="28252" spans="10:10" ht="15" customHeight="1" x14ac:dyDescent="0.3">
      <c r="J28252" s="33"/>
    </row>
    <row r="28253" spans="10:10" ht="15" customHeight="1" x14ac:dyDescent="0.3">
      <c r="J28253" s="33"/>
    </row>
    <row r="28254" spans="10:10" ht="15" customHeight="1" x14ac:dyDescent="0.3">
      <c r="J28254" s="33"/>
    </row>
    <row r="28255" spans="10:10" ht="15" customHeight="1" x14ac:dyDescent="0.3">
      <c r="J28255" s="33"/>
    </row>
    <row r="28256" spans="10:10" ht="15" customHeight="1" x14ac:dyDescent="0.3">
      <c r="J28256" s="33"/>
    </row>
    <row r="28257" spans="10:10" ht="15" customHeight="1" x14ac:dyDescent="0.3">
      <c r="J28257" s="33"/>
    </row>
    <row r="28258" spans="10:10" ht="15" customHeight="1" x14ac:dyDescent="0.3">
      <c r="J28258" s="33"/>
    </row>
    <row r="28259" spans="10:10" ht="15" customHeight="1" x14ac:dyDescent="0.3">
      <c r="J28259" s="33"/>
    </row>
    <row r="28260" spans="10:10" ht="15" customHeight="1" x14ac:dyDescent="0.3">
      <c r="J28260" s="33"/>
    </row>
    <row r="28261" spans="10:10" ht="15" customHeight="1" x14ac:dyDescent="0.3">
      <c r="J28261" s="33"/>
    </row>
    <row r="28262" spans="10:10" ht="15" customHeight="1" x14ac:dyDescent="0.3">
      <c r="J28262" s="33"/>
    </row>
    <row r="28263" spans="10:10" ht="15" customHeight="1" x14ac:dyDescent="0.3">
      <c r="J28263" s="33"/>
    </row>
    <row r="28264" spans="10:10" ht="15" customHeight="1" x14ac:dyDescent="0.3">
      <c r="J28264" s="33"/>
    </row>
    <row r="28265" spans="10:10" ht="15" customHeight="1" x14ac:dyDescent="0.3">
      <c r="J28265" s="33"/>
    </row>
    <row r="28266" spans="10:10" ht="15" customHeight="1" x14ac:dyDescent="0.3">
      <c r="J28266" s="33"/>
    </row>
    <row r="28267" spans="10:10" ht="15" customHeight="1" x14ac:dyDescent="0.3">
      <c r="J28267" s="33"/>
    </row>
    <row r="28268" spans="10:10" ht="15" customHeight="1" x14ac:dyDescent="0.3">
      <c r="J28268" s="33"/>
    </row>
    <row r="28269" spans="10:10" ht="15" customHeight="1" x14ac:dyDescent="0.3">
      <c r="J28269" s="33"/>
    </row>
    <row r="28270" spans="10:10" ht="15" customHeight="1" x14ac:dyDescent="0.3">
      <c r="J28270" s="33"/>
    </row>
    <row r="28271" spans="10:10" ht="15" customHeight="1" x14ac:dyDescent="0.3">
      <c r="J28271" s="33"/>
    </row>
    <row r="28272" spans="10:10" ht="15" customHeight="1" x14ac:dyDescent="0.3">
      <c r="J28272" s="33"/>
    </row>
    <row r="28273" spans="10:10" ht="15" customHeight="1" x14ac:dyDescent="0.3">
      <c r="J28273" s="33"/>
    </row>
    <row r="28274" spans="10:10" ht="15" customHeight="1" x14ac:dyDescent="0.3">
      <c r="J28274" s="33"/>
    </row>
    <row r="28275" spans="10:10" ht="15" customHeight="1" x14ac:dyDescent="0.3">
      <c r="J28275" s="33"/>
    </row>
    <row r="28276" spans="10:10" ht="15" customHeight="1" x14ac:dyDescent="0.3">
      <c r="J28276" s="33"/>
    </row>
    <row r="28277" spans="10:10" ht="15" customHeight="1" x14ac:dyDescent="0.3">
      <c r="J28277" s="33"/>
    </row>
    <row r="28278" spans="10:10" ht="15" customHeight="1" x14ac:dyDescent="0.3">
      <c r="J28278" s="33"/>
    </row>
    <row r="28279" spans="10:10" ht="15" customHeight="1" x14ac:dyDescent="0.3">
      <c r="J28279" s="33"/>
    </row>
    <row r="28280" spans="10:10" ht="15" customHeight="1" x14ac:dyDescent="0.3">
      <c r="J28280" s="33"/>
    </row>
    <row r="28281" spans="10:10" ht="15" customHeight="1" x14ac:dyDescent="0.3">
      <c r="J28281" s="33"/>
    </row>
    <row r="28282" spans="10:10" ht="15" customHeight="1" x14ac:dyDescent="0.3">
      <c r="J28282" s="33"/>
    </row>
    <row r="28283" spans="10:10" ht="15" customHeight="1" x14ac:dyDescent="0.3">
      <c r="J28283" s="33"/>
    </row>
    <row r="28284" spans="10:10" ht="15" customHeight="1" x14ac:dyDescent="0.3">
      <c r="J28284" s="33"/>
    </row>
    <row r="28285" spans="10:10" ht="15" customHeight="1" x14ac:dyDescent="0.3">
      <c r="J28285" s="33"/>
    </row>
    <row r="28286" spans="10:10" ht="15" customHeight="1" x14ac:dyDescent="0.3">
      <c r="J28286" s="33"/>
    </row>
    <row r="28287" spans="10:10" ht="15" customHeight="1" x14ac:dyDescent="0.3">
      <c r="J28287" s="33"/>
    </row>
    <row r="28288" spans="10:10" ht="15" customHeight="1" x14ac:dyDescent="0.3">
      <c r="J28288" s="33"/>
    </row>
    <row r="28289" spans="10:10" ht="15" customHeight="1" x14ac:dyDescent="0.3">
      <c r="J28289" s="33"/>
    </row>
    <row r="28290" spans="10:10" ht="15" customHeight="1" x14ac:dyDescent="0.3">
      <c r="J28290" s="33"/>
    </row>
    <row r="28291" spans="10:10" ht="15" customHeight="1" x14ac:dyDescent="0.3">
      <c r="J28291" s="33"/>
    </row>
    <row r="28292" spans="10:10" ht="15" customHeight="1" x14ac:dyDescent="0.3">
      <c r="J28292" s="33"/>
    </row>
    <row r="28293" spans="10:10" ht="15" customHeight="1" x14ac:dyDescent="0.3">
      <c r="J28293" s="33"/>
    </row>
    <row r="28294" spans="10:10" ht="15" customHeight="1" x14ac:dyDescent="0.3">
      <c r="J28294" s="33"/>
    </row>
    <row r="28295" spans="10:10" ht="15" customHeight="1" x14ac:dyDescent="0.3">
      <c r="J28295" s="33"/>
    </row>
    <row r="28296" spans="10:10" ht="15" customHeight="1" x14ac:dyDescent="0.3">
      <c r="J28296" s="33"/>
    </row>
    <row r="28297" spans="10:10" ht="15" customHeight="1" x14ac:dyDescent="0.3">
      <c r="J28297" s="33"/>
    </row>
    <row r="28298" spans="10:10" ht="15" customHeight="1" x14ac:dyDescent="0.3">
      <c r="J28298" s="33"/>
    </row>
    <row r="28299" spans="10:10" ht="15" customHeight="1" x14ac:dyDescent="0.3">
      <c r="J28299" s="33"/>
    </row>
    <row r="28300" spans="10:10" ht="15" customHeight="1" x14ac:dyDescent="0.3">
      <c r="J28300" s="33"/>
    </row>
    <row r="28301" spans="10:10" ht="15" customHeight="1" x14ac:dyDescent="0.3">
      <c r="J28301" s="33"/>
    </row>
    <row r="28302" spans="10:10" ht="15" customHeight="1" x14ac:dyDescent="0.3">
      <c r="J28302" s="33"/>
    </row>
    <row r="28303" spans="10:10" ht="15" customHeight="1" x14ac:dyDescent="0.3">
      <c r="J28303" s="33"/>
    </row>
    <row r="28304" spans="10:10" ht="15" customHeight="1" x14ac:dyDescent="0.3">
      <c r="J28304" s="33"/>
    </row>
    <row r="28305" spans="10:10" ht="15" customHeight="1" x14ac:dyDescent="0.3">
      <c r="J28305" s="33"/>
    </row>
    <row r="28306" spans="10:10" ht="15" customHeight="1" x14ac:dyDescent="0.3">
      <c r="J28306" s="33"/>
    </row>
    <row r="28307" spans="10:10" ht="15" customHeight="1" x14ac:dyDescent="0.3">
      <c r="J28307" s="33"/>
    </row>
    <row r="28308" spans="10:10" ht="15" customHeight="1" x14ac:dyDescent="0.3">
      <c r="J28308" s="33"/>
    </row>
    <row r="28309" spans="10:10" ht="15" customHeight="1" x14ac:dyDescent="0.3">
      <c r="J28309" s="33"/>
    </row>
    <row r="28310" spans="10:10" ht="15" customHeight="1" x14ac:dyDescent="0.3">
      <c r="J28310" s="33"/>
    </row>
    <row r="28311" spans="10:10" ht="15" customHeight="1" x14ac:dyDescent="0.3">
      <c r="J28311" s="33"/>
    </row>
    <row r="28312" spans="10:10" ht="15" customHeight="1" x14ac:dyDescent="0.3">
      <c r="J28312" s="33"/>
    </row>
    <row r="28313" spans="10:10" ht="15" customHeight="1" x14ac:dyDescent="0.3">
      <c r="J28313" s="33"/>
    </row>
    <row r="28314" spans="10:10" ht="15" customHeight="1" x14ac:dyDescent="0.3">
      <c r="J28314" s="33"/>
    </row>
    <row r="28315" spans="10:10" ht="15" customHeight="1" x14ac:dyDescent="0.3">
      <c r="J28315" s="33"/>
    </row>
    <row r="28316" spans="10:10" ht="15" customHeight="1" x14ac:dyDescent="0.3">
      <c r="J28316" s="33"/>
    </row>
    <row r="28317" spans="10:10" ht="15" customHeight="1" x14ac:dyDescent="0.3">
      <c r="J28317" s="33"/>
    </row>
    <row r="28318" spans="10:10" ht="15" customHeight="1" x14ac:dyDescent="0.3">
      <c r="J28318" s="33"/>
    </row>
    <row r="28319" spans="10:10" ht="15" customHeight="1" x14ac:dyDescent="0.3">
      <c r="J28319" s="33"/>
    </row>
    <row r="28320" spans="10:10" ht="15" customHeight="1" x14ac:dyDescent="0.3">
      <c r="J28320" s="33"/>
    </row>
    <row r="28321" spans="10:10" ht="15" customHeight="1" x14ac:dyDescent="0.3">
      <c r="J28321" s="33"/>
    </row>
    <row r="28322" spans="10:10" ht="15" customHeight="1" x14ac:dyDescent="0.3">
      <c r="J28322" s="33"/>
    </row>
    <row r="28323" spans="10:10" ht="15" customHeight="1" x14ac:dyDescent="0.3">
      <c r="J28323" s="33"/>
    </row>
    <row r="28324" spans="10:10" ht="15" customHeight="1" x14ac:dyDescent="0.3">
      <c r="J28324" s="33"/>
    </row>
    <row r="28325" spans="10:10" ht="15" customHeight="1" x14ac:dyDescent="0.3">
      <c r="J28325" s="33"/>
    </row>
    <row r="28326" spans="10:10" ht="15" customHeight="1" x14ac:dyDescent="0.3">
      <c r="J28326" s="33"/>
    </row>
    <row r="28327" spans="10:10" ht="15" customHeight="1" x14ac:dyDescent="0.3">
      <c r="J28327" s="33"/>
    </row>
    <row r="28328" spans="10:10" ht="15" customHeight="1" x14ac:dyDescent="0.3">
      <c r="J28328" s="33"/>
    </row>
    <row r="28329" spans="10:10" ht="15" customHeight="1" x14ac:dyDescent="0.3">
      <c r="J28329" s="33"/>
    </row>
    <row r="28330" spans="10:10" ht="15" customHeight="1" x14ac:dyDescent="0.3">
      <c r="J28330" s="33"/>
    </row>
    <row r="28331" spans="10:10" ht="15" customHeight="1" x14ac:dyDescent="0.3">
      <c r="J28331" s="33"/>
    </row>
    <row r="28332" spans="10:10" ht="15" customHeight="1" x14ac:dyDescent="0.3">
      <c r="J28332" s="33"/>
    </row>
    <row r="28333" spans="10:10" ht="15" customHeight="1" x14ac:dyDescent="0.3">
      <c r="J28333" s="33"/>
    </row>
    <row r="28334" spans="10:10" ht="15" customHeight="1" x14ac:dyDescent="0.3">
      <c r="J28334" s="33"/>
    </row>
    <row r="28335" spans="10:10" ht="15" customHeight="1" x14ac:dyDescent="0.3">
      <c r="J28335" s="33"/>
    </row>
    <row r="28336" spans="10:10" ht="15" customHeight="1" x14ac:dyDescent="0.3">
      <c r="J28336" s="33"/>
    </row>
    <row r="28337" spans="10:10" ht="15" customHeight="1" x14ac:dyDescent="0.3">
      <c r="J28337" s="33"/>
    </row>
    <row r="28338" spans="10:10" ht="15" customHeight="1" x14ac:dyDescent="0.3">
      <c r="J28338" s="33"/>
    </row>
    <row r="28339" spans="10:10" ht="15" customHeight="1" x14ac:dyDescent="0.3">
      <c r="J28339" s="33"/>
    </row>
    <row r="28340" spans="10:10" ht="15" customHeight="1" x14ac:dyDescent="0.3">
      <c r="J28340" s="33"/>
    </row>
    <row r="28341" spans="10:10" ht="15" customHeight="1" x14ac:dyDescent="0.3">
      <c r="J28341" s="33"/>
    </row>
    <row r="28342" spans="10:10" ht="15" customHeight="1" x14ac:dyDescent="0.3">
      <c r="J28342" s="33"/>
    </row>
    <row r="28343" spans="10:10" ht="15" customHeight="1" x14ac:dyDescent="0.3">
      <c r="J28343" s="33"/>
    </row>
    <row r="28344" spans="10:10" ht="15" customHeight="1" x14ac:dyDescent="0.3">
      <c r="J28344" s="33"/>
    </row>
    <row r="28345" spans="10:10" ht="15" customHeight="1" x14ac:dyDescent="0.3">
      <c r="J28345" s="33"/>
    </row>
    <row r="28346" spans="10:10" ht="15" customHeight="1" x14ac:dyDescent="0.3">
      <c r="J28346" s="33"/>
    </row>
    <row r="28347" spans="10:10" ht="15" customHeight="1" x14ac:dyDescent="0.3">
      <c r="J28347" s="33"/>
    </row>
    <row r="28348" spans="10:10" ht="15" customHeight="1" x14ac:dyDescent="0.3">
      <c r="J28348" s="33"/>
    </row>
    <row r="28349" spans="10:10" ht="15" customHeight="1" x14ac:dyDescent="0.3">
      <c r="J28349" s="33"/>
    </row>
    <row r="28350" spans="10:10" ht="15" customHeight="1" x14ac:dyDescent="0.3">
      <c r="J28350" s="33"/>
    </row>
    <row r="28351" spans="10:10" ht="15" customHeight="1" x14ac:dyDescent="0.3">
      <c r="J28351" s="33"/>
    </row>
    <row r="28352" spans="10:10" ht="15" customHeight="1" x14ac:dyDescent="0.3">
      <c r="J28352" s="33"/>
    </row>
    <row r="28353" spans="10:10" ht="15" customHeight="1" x14ac:dyDescent="0.3">
      <c r="J28353" s="33"/>
    </row>
    <row r="28354" spans="10:10" ht="15" customHeight="1" x14ac:dyDescent="0.3">
      <c r="J28354" s="33"/>
    </row>
    <row r="28355" spans="10:10" ht="15" customHeight="1" x14ac:dyDescent="0.3">
      <c r="J28355" s="33"/>
    </row>
    <row r="28356" spans="10:10" ht="15" customHeight="1" x14ac:dyDescent="0.3">
      <c r="J28356" s="33"/>
    </row>
    <row r="28357" spans="10:10" ht="15" customHeight="1" x14ac:dyDescent="0.3">
      <c r="J28357" s="33"/>
    </row>
    <row r="28358" spans="10:10" ht="15" customHeight="1" x14ac:dyDescent="0.3">
      <c r="J28358" s="33"/>
    </row>
    <row r="28359" spans="10:10" ht="15" customHeight="1" x14ac:dyDescent="0.3">
      <c r="J28359" s="33"/>
    </row>
    <row r="28360" spans="10:10" ht="15" customHeight="1" x14ac:dyDescent="0.3">
      <c r="J28360" s="33"/>
    </row>
    <row r="28361" spans="10:10" ht="15" customHeight="1" x14ac:dyDescent="0.3">
      <c r="J28361" s="33"/>
    </row>
    <row r="28362" spans="10:10" ht="15" customHeight="1" x14ac:dyDescent="0.3">
      <c r="J28362" s="33"/>
    </row>
    <row r="28363" spans="10:10" ht="15" customHeight="1" x14ac:dyDescent="0.3">
      <c r="J28363" s="33"/>
    </row>
    <row r="28364" spans="10:10" ht="15" customHeight="1" x14ac:dyDescent="0.3">
      <c r="J28364" s="33"/>
    </row>
    <row r="28365" spans="10:10" ht="15" customHeight="1" x14ac:dyDescent="0.3">
      <c r="J28365" s="33"/>
    </row>
    <row r="28366" spans="10:10" ht="15" customHeight="1" x14ac:dyDescent="0.3">
      <c r="J28366" s="33"/>
    </row>
    <row r="28367" spans="10:10" ht="15" customHeight="1" x14ac:dyDescent="0.3">
      <c r="J28367" s="33"/>
    </row>
    <row r="28368" spans="10:10" ht="15" customHeight="1" x14ac:dyDescent="0.3">
      <c r="J28368" s="33"/>
    </row>
    <row r="28369" spans="10:10" ht="15" customHeight="1" x14ac:dyDescent="0.3">
      <c r="J28369" s="33"/>
    </row>
    <row r="28370" spans="10:10" ht="15" customHeight="1" x14ac:dyDescent="0.3">
      <c r="J28370" s="33"/>
    </row>
    <row r="28371" spans="10:10" ht="15" customHeight="1" x14ac:dyDescent="0.3">
      <c r="J28371" s="33"/>
    </row>
    <row r="28372" spans="10:10" ht="15" customHeight="1" x14ac:dyDescent="0.3">
      <c r="J28372" s="33"/>
    </row>
    <row r="28373" spans="10:10" ht="15" customHeight="1" x14ac:dyDescent="0.3">
      <c r="J28373" s="33"/>
    </row>
    <row r="28374" spans="10:10" ht="15" customHeight="1" x14ac:dyDescent="0.3">
      <c r="J28374" s="33"/>
    </row>
    <row r="28375" spans="10:10" ht="15" customHeight="1" x14ac:dyDescent="0.3">
      <c r="J28375" s="33"/>
    </row>
    <row r="28376" spans="10:10" ht="15" customHeight="1" x14ac:dyDescent="0.3">
      <c r="J28376" s="33"/>
    </row>
    <row r="28377" spans="10:10" ht="15" customHeight="1" x14ac:dyDescent="0.3">
      <c r="J28377" s="33"/>
    </row>
    <row r="28378" spans="10:10" ht="15" customHeight="1" x14ac:dyDescent="0.3">
      <c r="J28378" s="33"/>
    </row>
    <row r="28379" spans="10:10" ht="15" customHeight="1" x14ac:dyDescent="0.3">
      <c r="J28379" s="33"/>
    </row>
    <row r="28380" spans="10:10" ht="15" customHeight="1" x14ac:dyDescent="0.3">
      <c r="J28380" s="33"/>
    </row>
    <row r="28381" spans="10:10" ht="15" customHeight="1" x14ac:dyDescent="0.3">
      <c r="J28381" s="33"/>
    </row>
    <row r="28382" spans="10:10" ht="15" customHeight="1" x14ac:dyDescent="0.3">
      <c r="J28382" s="33"/>
    </row>
    <row r="28383" spans="10:10" ht="15" customHeight="1" x14ac:dyDescent="0.3">
      <c r="J28383" s="33"/>
    </row>
    <row r="28384" spans="10:10" ht="15" customHeight="1" x14ac:dyDescent="0.3">
      <c r="J28384" s="33"/>
    </row>
    <row r="28385" spans="10:10" ht="15" customHeight="1" x14ac:dyDescent="0.3">
      <c r="J28385" s="33"/>
    </row>
    <row r="28386" spans="10:10" ht="15" customHeight="1" x14ac:dyDescent="0.3">
      <c r="J28386" s="33"/>
    </row>
    <row r="28387" spans="10:10" ht="15" customHeight="1" x14ac:dyDescent="0.3">
      <c r="J28387" s="33"/>
    </row>
    <row r="28388" spans="10:10" ht="15" customHeight="1" x14ac:dyDescent="0.3">
      <c r="J28388" s="33"/>
    </row>
    <row r="28389" spans="10:10" ht="15" customHeight="1" x14ac:dyDescent="0.3">
      <c r="J28389" s="33"/>
    </row>
    <row r="28390" spans="10:10" ht="15" customHeight="1" x14ac:dyDescent="0.3">
      <c r="J28390" s="33"/>
    </row>
    <row r="28391" spans="10:10" ht="15" customHeight="1" x14ac:dyDescent="0.3">
      <c r="J28391" s="33"/>
    </row>
    <row r="28392" spans="10:10" ht="15" customHeight="1" x14ac:dyDescent="0.3">
      <c r="J28392" s="33"/>
    </row>
    <row r="28393" spans="10:10" ht="15" customHeight="1" x14ac:dyDescent="0.3">
      <c r="J28393" s="33"/>
    </row>
    <row r="28394" spans="10:10" ht="15" customHeight="1" x14ac:dyDescent="0.3">
      <c r="J28394" s="33"/>
    </row>
    <row r="28395" spans="10:10" ht="15" customHeight="1" x14ac:dyDescent="0.3">
      <c r="J28395" s="33"/>
    </row>
    <row r="28396" spans="10:10" ht="15" customHeight="1" x14ac:dyDescent="0.3">
      <c r="J28396" s="33"/>
    </row>
    <row r="28397" spans="10:10" ht="15" customHeight="1" x14ac:dyDescent="0.3">
      <c r="J28397" s="33"/>
    </row>
    <row r="28398" spans="10:10" ht="15" customHeight="1" x14ac:dyDescent="0.3">
      <c r="J28398" s="33"/>
    </row>
    <row r="28399" spans="10:10" ht="15" customHeight="1" x14ac:dyDescent="0.3">
      <c r="J28399" s="33"/>
    </row>
    <row r="28400" spans="10:10" ht="15" customHeight="1" x14ac:dyDescent="0.3">
      <c r="J28400" s="33"/>
    </row>
    <row r="28401" spans="10:10" ht="15" customHeight="1" x14ac:dyDescent="0.3">
      <c r="J28401" s="33"/>
    </row>
    <row r="28402" spans="10:10" ht="15" customHeight="1" x14ac:dyDescent="0.3">
      <c r="J28402" s="33"/>
    </row>
    <row r="28403" spans="10:10" ht="15" customHeight="1" x14ac:dyDescent="0.3">
      <c r="J28403" s="33"/>
    </row>
    <row r="28404" spans="10:10" ht="15" customHeight="1" x14ac:dyDescent="0.3">
      <c r="J28404" s="33"/>
    </row>
    <row r="28405" spans="10:10" ht="15" customHeight="1" x14ac:dyDescent="0.3">
      <c r="J28405" s="33"/>
    </row>
    <row r="28406" spans="10:10" ht="15" customHeight="1" x14ac:dyDescent="0.3">
      <c r="J28406" s="33"/>
    </row>
    <row r="28407" spans="10:10" ht="15" customHeight="1" x14ac:dyDescent="0.3">
      <c r="J28407" s="33"/>
    </row>
    <row r="28408" spans="10:10" ht="15" customHeight="1" x14ac:dyDescent="0.3">
      <c r="J28408" s="33"/>
    </row>
    <row r="28409" spans="10:10" ht="15" customHeight="1" x14ac:dyDescent="0.3">
      <c r="J28409" s="33"/>
    </row>
    <row r="28410" spans="10:10" ht="15" customHeight="1" x14ac:dyDescent="0.3">
      <c r="J28410" s="33"/>
    </row>
    <row r="28411" spans="10:10" ht="15" customHeight="1" x14ac:dyDescent="0.3">
      <c r="J28411" s="33"/>
    </row>
    <row r="28412" spans="10:10" ht="15" customHeight="1" x14ac:dyDescent="0.3">
      <c r="J28412" s="33"/>
    </row>
    <row r="28413" spans="10:10" ht="15" customHeight="1" x14ac:dyDescent="0.3">
      <c r="J28413" s="33"/>
    </row>
    <row r="28414" spans="10:10" ht="15" customHeight="1" x14ac:dyDescent="0.3">
      <c r="J28414" s="33"/>
    </row>
    <row r="28415" spans="10:10" ht="15" customHeight="1" x14ac:dyDescent="0.3">
      <c r="J28415" s="33"/>
    </row>
    <row r="28416" spans="10:10" ht="15" customHeight="1" x14ac:dyDescent="0.3">
      <c r="J28416" s="33"/>
    </row>
    <row r="28417" spans="10:10" ht="15" customHeight="1" x14ac:dyDescent="0.3">
      <c r="J28417" s="33"/>
    </row>
    <row r="28418" spans="10:10" ht="15" customHeight="1" x14ac:dyDescent="0.3">
      <c r="J28418" s="33"/>
    </row>
    <row r="28419" spans="10:10" ht="15" customHeight="1" x14ac:dyDescent="0.3">
      <c r="J28419" s="33"/>
    </row>
    <row r="28420" spans="10:10" ht="15" customHeight="1" x14ac:dyDescent="0.3">
      <c r="J28420" s="33"/>
    </row>
    <row r="28421" spans="10:10" ht="15" customHeight="1" x14ac:dyDescent="0.3">
      <c r="J28421" s="33"/>
    </row>
    <row r="28422" spans="10:10" ht="15" customHeight="1" x14ac:dyDescent="0.3">
      <c r="J28422" s="33"/>
    </row>
    <row r="28423" spans="10:10" ht="15" customHeight="1" x14ac:dyDescent="0.3">
      <c r="J28423" s="33"/>
    </row>
    <row r="28424" spans="10:10" ht="15" customHeight="1" x14ac:dyDescent="0.3">
      <c r="J28424" s="33"/>
    </row>
    <row r="28425" spans="10:10" ht="15" customHeight="1" x14ac:dyDescent="0.3">
      <c r="J28425" s="33"/>
    </row>
    <row r="28426" spans="10:10" ht="15" customHeight="1" x14ac:dyDescent="0.3">
      <c r="J28426" s="33"/>
    </row>
    <row r="28427" spans="10:10" ht="15" customHeight="1" x14ac:dyDescent="0.3">
      <c r="J28427" s="33"/>
    </row>
    <row r="28428" spans="10:10" ht="15" customHeight="1" x14ac:dyDescent="0.3">
      <c r="J28428" s="33"/>
    </row>
    <row r="28429" spans="10:10" ht="15" customHeight="1" x14ac:dyDescent="0.3">
      <c r="J28429" s="33"/>
    </row>
    <row r="28430" spans="10:10" ht="15" customHeight="1" x14ac:dyDescent="0.3">
      <c r="J28430" s="33"/>
    </row>
    <row r="28431" spans="10:10" ht="15" customHeight="1" x14ac:dyDescent="0.3">
      <c r="J28431" s="33"/>
    </row>
    <row r="28432" spans="10:10" ht="15" customHeight="1" x14ac:dyDescent="0.3">
      <c r="J28432" s="33"/>
    </row>
    <row r="28433" spans="10:10" ht="15" customHeight="1" x14ac:dyDescent="0.3">
      <c r="J28433" s="33"/>
    </row>
    <row r="28434" spans="10:10" ht="15" customHeight="1" x14ac:dyDescent="0.3">
      <c r="J28434" s="33"/>
    </row>
    <row r="28435" spans="10:10" ht="15" customHeight="1" x14ac:dyDescent="0.3">
      <c r="J28435" s="33"/>
    </row>
    <row r="28436" spans="10:10" ht="15" customHeight="1" x14ac:dyDescent="0.3">
      <c r="J28436" s="33"/>
    </row>
    <row r="28437" spans="10:10" ht="15" customHeight="1" x14ac:dyDescent="0.3">
      <c r="J28437" s="33"/>
    </row>
    <row r="28438" spans="10:10" ht="15" customHeight="1" x14ac:dyDescent="0.3">
      <c r="J28438" s="33"/>
    </row>
    <row r="28439" spans="10:10" ht="15" customHeight="1" x14ac:dyDescent="0.3">
      <c r="J28439" s="33"/>
    </row>
    <row r="28440" spans="10:10" ht="15" customHeight="1" x14ac:dyDescent="0.3">
      <c r="J28440" s="33"/>
    </row>
    <row r="28441" spans="10:10" ht="15" customHeight="1" x14ac:dyDescent="0.3">
      <c r="J28441" s="33"/>
    </row>
    <row r="28442" spans="10:10" ht="15" customHeight="1" x14ac:dyDescent="0.3">
      <c r="J28442" s="33"/>
    </row>
    <row r="28443" spans="10:10" ht="15" customHeight="1" x14ac:dyDescent="0.3">
      <c r="J28443" s="33"/>
    </row>
    <row r="28444" spans="10:10" ht="15" customHeight="1" x14ac:dyDescent="0.3">
      <c r="J28444" s="33"/>
    </row>
    <row r="28445" spans="10:10" ht="15" customHeight="1" x14ac:dyDescent="0.3">
      <c r="J28445" s="33"/>
    </row>
    <row r="28446" spans="10:10" ht="15" customHeight="1" x14ac:dyDescent="0.3">
      <c r="J28446" s="33"/>
    </row>
    <row r="28447" spans="10:10" ht="15" customHeight="1" x14ac:dyDescent="0.3">
      <c r="J28447" s="33"/>
    </row>
    <row r="28448" spans="10:10" ht="15" customHeight="1" x14ac:dyDescent="0.3">
      <c r="J28448" s="33"/>
    </row>
    <row r="28449" spans="10:10" ht="15" customHeight="1" x14ac:dyDescent="0.3">
      <c r="J28449" s="33"/>
    </row>
    <row r="28450" spans="10:10" ht="15" customHeight="1" x14ac:dyDescent="0.3">
      <c r="J28450" s="33"/>
    </row>
    <row r="28451" spans="10:10" ht="15" customHeight="1" x14ac:dyDescent="0.3">
      <c r="J28451" s="33"/>
    </row>
    <row r="28452" spans="10:10" ht="15" customHeight="1" x14ac:dyDescent="0.3">
      <c r="J28452" s="33"/>
    </row>
    <row r="28453" spans="10:10" ht="15" customHeight="1" x14ac:dyDescent="0.3">
      <c r="J28453" s="33"/>
    </row>
    <row r="28454" spans="10:10" ht="15" customHeight="1" x14ac:dyDescent="0.3">
      <c r="J28454" s="33"/>
    </row>
    <row r="28455" spans="10:10" ht="15" customHeight="1" x14ac:dyDescent="0.3">
      <c r="J28455" s="33"/>
    </row>
    <row r="28456" spans="10:10" ht="15" customHeight="1" x14ac:dyDescent="0.3">
      <c r="J28456" s="33"/>
    </row>
    <row r="28457" spans="10:10" ht="15" customHeight="1" x14ac:dyDescent="0.3">
      <c r="J28457" s="33"/>
    </row>
    <row r="28458" spans="10:10" ht="15" customHeight="1" x14ac:dyDescent="0.3">
      <c r="J28458" s="33"/>
    </row>
    <row r="28459" spans="10:10" ht="15" customHeight="1" x14ac:dyDescent="0.3">
      <c r="J28459" s="33"/>
    </row>
    <row r="28460" spans="10:10" ht="15" customHeight="1" x14ac:dyDescent="0.3">
      <c r="J28460" s="33"/>
    </row>
    <row r="28461" spans="10:10" ht="15" customHeight="1" x14ac:dyDescent="0.3">
      <c r="J28461" s="33"/>
    </row>
    <row r="28462" spans="10:10" ht="15" customHeight="1" x14ac:dyDescent="0.3">
      <c r="J28462" s="33"/>
    </row>
    <row r="28463" spans="10:10" ht="15" customHeight="1" x14ac:dyDescent="0.3">
      <c r="J28463" s="33"/>
    </row>
    <row r="28464" spans="10:10" ht="15" customHeight="1" x14ac:dyDescent="0.3">
      <c r="J28464" s="33"/>
    </row>
    <row r="28465" spans="10:10" ht="15" customHeight="1" x14ac:dyDescent="0.3">
      <c r="J28465" s="33"/>
    </row>
    <row r="28466" spans="10:10" ht="15" customHeight="1" x14ac:dyDescent="0.3">
      <c r="J28466" s="33"/>
    </row>
    <row r="28467" spans="10:10" ht="15" customHeight="1" x14ac:dyDescent="0.3">
      <c r="J28467" s="33"/>
    </row>
    <row r="28468" spans="10:10" ht="15" customHeight="1" x14ac:dyDescent="0.3">
      <c r="J28468" s="33"/>
    </row>
    <row r="28469" spans="10:10" ht="15" customHeight="1" x14ac:dyDescent="0.3">
      <c r="J28469" s="33"/>
    </row>
    <row r="28470" spans="10:10" ht="15" customHeight="1" x14ac:dyDescent="0.3">
      <c r="J28470" s="33"/>
    </row>
    <row r="28471" spans="10:10" ht="15" customHeight="1" x14ac:dyDescent="0.3">
      <c r="J28471" s="33"/>
    </row>
    <row r="28472" spans="10:10" ht="15" customHeight="1" x14ac:dyDescent="0.3">
      <c r="J28472" s="33"/>
    </row>
    <row r="28473" spans="10:10" ht="15" customHeight="1" x14ac:dyDescent="0.3">
      <c r="J28473" s="33"/>
    </row>
    <row r="28474" spans="10:10" ht="15" customHeight="1" x14ac:dyDescent="0.3">
      <c r="J28474" s="33"/>
    </row>
    <row r="28475" spans="10:10" ht="15" customHeight="1" x14ac:dyDescent="0.3">
      <c r="J28475" s="33"/>
    </row>
    <row r="28476" spans="10:10" ht="15" customHeight="1" x14ac:dyDescent="0.3">
      <c r="J28476" s="33"/>
    </row>
    <row r="28477" spans="10:10" ht="15" customHeight="1" x14ac:dyDescent="0.3">
      <c r="J28477" s="33"/>
    </row>
    <row r="28478" spans="10:10" ht="15" customHeight="1" x14ac:dyDescent="0.3">
      <c r="J28478" s="33"/>
    </row>
    <row r="28479" spans="10:10" ht="15" customHeight="1" x14ac:dyDescent="0.3">
      <c r="J28479" s="33"/>
    </row>
    <row r="28480" spans="10:10" ht="15" customHeight="1" x14ac:dyDescent="0.3">
      <c r="J28480" s="33"/>
    </row>
    <row r="28481" spans="10:10" ht="15" customHeight="1" x14ac:dyDescent="0.3">
      <c r="J28481" s="33"/>
    </row>
    <row r="28482" spans="10:10" ht="15" customHeight="1" x14ac:dyDescent="0.3">
      <c r="J28482" s="33"/>
    </row>
    <row r="28483" spans="10:10" ht="15" customHeight="1" x14ac:dyDescent="0.3">
      <c r="J28483" s="33"/>
    </row>
    <row r="28484" spans="10:10" ht="15" customHeight="1" x14ac:dyDescent="0.3">
      <c r="J28484" s="33"/>
    </row>
    <row r="28485" spans="10:10" ht="15" customHeight="1" x14ac:dyDescent="0.3">
      <c r="J28485" s="33"/>
    </row>
    <row r="28486" spans="10:10" ht="15" customHeight="1" x14ac:dyDescent="0.3">
      <c r="J28486" s="33"/>
    </row>
    <row r="28487" spans="10:10" ht="15" customHeight="1" x14ac:dyDescent="0.3">
      <c r="J28487" s="33"/>
    </row>
    <row r="28488" spans="10:10" ht="15" customHeight="1" x14ac:dyDescent="0.3">
      <c r="J28488" s="33"/>
    </row>
    <row r="28489" spans="10:10" ht="15" customHeight="1" x14ac:dyDescent="0.3">
      <c r="J28489" s="33"/>
    </row>
    <row r="28490" spans="10:10" ht="15" customHeight="1" x14ac:dyDescent="0.3">
      <c r="J28490" s="33"/>
    </row>
    <row r="28491" spans="10:10" ht="15" customHeight="1" x14ac:dyDescent="0.3">
      <c r="J28491" s="33"/>
    </row>
    <row r="28492" spans="10:10" ht="15" customHeight="1" x14ac:dyDescent="0.3">
      <c r="J28492" s="33"/>
    </row>
    <row r="28493" spans="10:10" ht="15" customHeight="1" x14ac:dyDescent="0.3">
      <c r="J28493" s="33"/>
    </row>
    <row r="28494" spans="10:10" ht="15" customHeight="1" x14ac:dyDescent="0.3">
      <c r="J28494" s="33"/>
    </row>
    <row r="28495" spans="10:10" ht="15" customHeight="1" x14ac:dyDescent="0.3">
      <c r="J28495" s="33"/>
    </row>
    <row r="28496" spans="10:10" ht="15" customHeight="1" x14ac:dyDescent="0.3">
      <c r="J28496" s="33"/>
    </row>
    <row r="28497" spans="10:10" ht="15" customHeight="1" x14ac:dyDescent="0.3">
      <c r="J28497" s="33"/>
    </row>
    <row r="28498" spans="10:10" ht="15" customHeight="1" x14ac:dyDescent="0.3">
      <c r="J28498" s="33"/>
    </row>
    <row r="28499" spans="10:10" ht="15" customHeight="1" x14ac:dyDescent="0.3">
      <c r="J28499" s="33"/>
    </row>
    <row r="28500" spans="10:10" ht="15" customHeight="1" x14ac:dyDescent="0.3">
      <c r="J28500" s="33"/>
    </row>
    <row r="28501" spans="10:10" ht="15" customHeight="1" x14ac:dyDescent="0.3">
      <c r="J28501" s="33"/>
    </row>
    <row r="28502" spans="10:10" ht="15" customHeight="1" x14ac:dyDescent="0.3">
      <c r="J28502" s="33"/>
    </row>
    <row r="28503" spans="10:10" ht="15" customHeight="1" x14ac:dyDescent="0.3">
      <c r="J28503" s="33"/>
    </row>
    <row r="28504" spans="10:10" ht="15" customHeight="1" x14ac:dyDescent="0.3">
      <c r="J28504" s="33"/>
    </row>
    <row r="28505" spans="10:10" ht="15" customHeight="1" x14ac:dyDescent="0.3">
      <c r="J28505" s="33"/>
    </row>
    <row r="28506" spans="10:10" ht="15" customHeight="1" x14ac:dyDescent="0.3">
      <c r="J28506" s="33"/>
    </row>
    <row r="28507" spans="10:10" ht="15" customHeight="1" x14ac:dyDescent="0.3">
      <c r="J28507" s="33"/>
    </row>
    <row r="28508" spans="10:10" ht="15" customHeight="1" x14ac:dyDescent="0.3">
      <c r="J28508" s="33"/>
    </row>
    <row r="28509" spans="10:10" ht="15" customHeight="1" x14ac:dyDescent="0.3">
      <c r="J28509" s="33"/>
    </row>
    <row r="28510" spans="10:10" ht="15" customHeight="1" x14ac:dyDescent="0.3">
      <c r="J28510" s="33"/>
    </row>
    <row r="28511" spans="10:10" ht="15" customHeight="1" x14ac:dyDescent="0.3">
      <c r="J28511" s="33"/>
    </row>
    <row r="28512" spans="10:10" ht="15" customHeight="1" x14ac:dyDescent="0.3">
      <c r="J28512" s="33"/>
    </row>
    <row r="28513" spans="10:10" ht="15" customHeight="1" x14ac:dyDescent="0.3">
      <c r="J28513" s="33"/>
    </row>
    <row r="28514" spans="10:10" ht="15" customHeight="1" x14ac:dyDescent="0.3">
      <c r="J28514" s="33"/>
    </row>
    <row r="28515" spans="10:10" ht="15" customHeight="1" x14ac:dyDescent="0.3">
      <c r="J28515" s="33"/>
    </row>
    <row r="28516" spans="10:10" ht="15" customHeight="1" x14ac:dyDescent="0.3">
      <c r="J28516" s="33"/>
    </row>
    <row r="28517" spans="10:10" ht="15" customHeight="1" x14ac:dyDescent="0.3">
      <c r="J28517" s="33"/>
    </row>
    <row r="28518" spans="10:10" ht="15" customHeight="1" x14ac:dyDescent="0.3">
      <c r="J28518" s="33"/>
    </row>
    <row r="28519" spans="10:10" ht="15" customHeight="1" x14ac:dyDescent="0.3">
      <c r="J28519" s="33"/>
    </row>
    <row r="28520" spans="10:10" ht="15" customHeight="1" x14ac:dyDescent="0.3">
      <c r="J28520" s="33"/>
    </row>
    <row r="28521" spans="10:10" ht="15" customHeight="1" x14ac:dyDescent="0.3">
      <c r="J28521" s="33"/>
    </row>
    <row r="28522" spans="10:10" ht="15" customHeight="1" x14ac:dyDescent="0.3">
      <c r="J28522" s="33"/>
    </row>
    <row r="28523" spans="10:10" ht="15" customHeight="1" x14ac:dyDescent="0.3">
      <c r="J28523" s="33"/>
    </row>
    <row r="28524" spans="10:10" ht="15" customHeight="1" x14ac:dyDescent="0.3">
      <c r="J28524" s="33"/>
    </row>
    <row r="28525" spans="10:10" ht="15" customHeight="1" x14ac:dyDescent="0.3">
      <c r="J28525" s="33"/>
    </row>
    <row r="28526" spans="10:10" ht="15" customHeight="1" x14ac:dyDescent="0.3">
      <c r="J28526" s="33"/>
    </row>
    <row r="28527" spans="10:10" ht="15" customHeight="1" x14ac:dyDescent="0.3">
      <c r="J28527" s="33"/>
    </row>
    <row r="28528" spans="10:10" ht="15" customHeight="1" x14ac:dyDescent="0.3">
      <c r="J28528" s="33"/>
    </row>
    <row r="28529" spans="10:10" ht="15" customHeight="1" x14ac:dyDescent="0.3">
      <c r="J28529" s="33"/>
    </row>
    <row r="28530" spans="10:10" ht="15" customHeight="1" x14ac:dyDescent="0.3">
      <c r="J28530" s="33"/>
    </row>
    <row r="28531" spans="10:10" ht="15" customHeight="1" x14ac:dyDescent="0.3">
      <c r="J28531" s="33"/>
    </row>
    <row r="28532" spans="10:10" ht="15" customHeight="1" x14ac:dyDescent="0.3">
      <c r="J28532" s="33"/>
    </row>
    <row r="28533" spans="10:10" ht="15" customHeight="1" x14ac:dyDescent="0.3">
      <c r="J28533" s="33"/>
    </row>
    <row r="28534" spans="10:10" ht="15" customHeight="1" x14ac:dyDescent="0.3">
      <c r="J28534" s="33"/>
    </row>
    <row r="28535" spans="10:10" ht="15" customHeight="1" x14ac:dyDescent="0.3">
      <c r="J28535" s="33"/>
    </row>
    <row r="28536" spans="10:10" ht="15" customHeight="1" x14ac:dyDescent="0.3">
      <c r="J28536" s="33"/>
    </row>
    <row r="28537" spans="10:10" ht="15" customHeight="1" x14ac:dyDescent="0.3">
      <c r="J28537" s="33"/>
    </row>
    <row r="28538" spans="10:10" ht="15" customHeight="1" x14ac:dyDescent="0.3">
      <c r="J28538" s="33"/>
    </row>
    <row r="28539" spans="10:10" ht="15" customHeight="1" x14ac:dyDescent="0.3">
      <c r="J28539" s="33"/>
    </row>
    <row r="28540" spans="10:10" ht="15" customHeight="1" x14ac:dyDescent="0.3">
      <c r="J28540" s="33"/>
    </row>
    <row r="28541" spans="10:10" ht="15" customHeight="1" x14ac:dyDescent="0.3">
      <c r="J28541" s="33"/>
    </row>
    <row r="28542" spans="10:10" ht="15" customHeight="1" x14ac:dyDescent="0.3">
      <c r="J28542" s="33"/>
    </row>
    <row r="28543" spans="10:10" ht="15" customHeight="1" x14ac:dyDescent="0.3">
      <c r="J28543" s="33"/>
    </row>
    <row r="28544" spans="10:10" ht="15" customHeight="1" x14ac:dyDescent="0.3">
      <c r="J28544" s="33"/>
    </row>
    <row r="28545" spans="10:10" ht="15" customHeight="1" x14ac:dyDescent="0.3">
      <c r="J28545" s="33"/>
    </row>
    <row r="28546" spans="10:10" ht="15" customHeight="1" x14ac:dyDescent="0.3">
      <c r="J28546" s="33"/>
    </row>
    <row r="28547" spans="10:10" ht="15" customHeight="1" x14ac:dyDescent="0.3">
      <c r="J28547" s="33"/>
    </row>
    <row r="28548" spans="10:10" ht="15" customHeight="1" x14ac:dyDescent="0.3">
      <c r="J28548" s="33"/>
    </row>
    <row r="28549" spans="10:10" ht="15" customHeight="1" x14ac:dyDescent="0.3">
      <c r="J28549" s="33"/>
    </row>
    <row r="28550" spans="10:10" ht="15" customHeight="1" x14ac:dyDescent="0.3">
      <c r="J28550" s="33"/>
    </row>
    <row r="28551" spans="10:10" ht="15" customHeight="1" x14ac:dyDescent="0.3">
      <c r="J28551" s="33"/>
    </row>
    <row r="28552" spans="10:10" ht="15" customHeight="1" x14ac:dyDescent="0.3">
      <c r="J28552" s="33"/>
    </row>
    <row r="28553" spans="10:10" ht="15" customHeight="1" x14ac:dyDescent="0.3">
      <c r="J28553" s="33"/>
    </row>
    <row r="28554" spans="10:10" ht="15" customHeight="1" x14ac:dyDescent="0.3">
      <c r="J28554" s="33"/>
    </row>
    <row r="28555" spans="10:10" ht="15" customHeight="1" x14ac:dyDescent="0.3">
      <c r="J28555" s="33"/>
    </row>
    <row r="28556" spans="10:10" ht="15" customHeight="1" x14ac:dyDescent="0.3">
      <c r="J28556" s="33"/>
    </row>
    <row r="28557" spans="10:10" ht="15" customHeight="1" x14ac:dyDescent="0.3">
      <c r="J28557" s="33"/>
    </row>
    <row r="28558" spans="10:10" ht="15" customHeight="1" x14ac:dyDescent="0.3">
      <c r="J28558" s="33"/>
    </row>
    <row r="28559" spans="10:10" ht="15" customHeight="1" x14ac:dyDescent="0.3">
      <c r="J28559" s="33"/>
    </row>
    <row r="28560" spans="10:10" ht="15" customHeight="1" x14ac:dyDescent="0.3">
      <c r="J28560" s="33"/>
    </row>
    <row r="28561" spans="10:10" ht="15" customHeight="1" x14ac:dyDescent="0.3">
      <c r="J28561" s="33"/>
    </row>
    <row r="28562" spans="10:10" ht="15" customHeight="1" x14ac:dyDescent="0.3">
      <c r="J28562" s="33"/>
    </row>
    <row r="28563" spans="10:10" ht="15" customHeight="1" x14ac:dyDescent="0.3">
      <c r="J28563" s="33"/>
    </row>
    <row r="28564" spans="10:10" ht="15" customHeight="1" x14ac:dyDescent="0.3">
      <c r="J28564" s="33"/>
    </row>
    <row r="28565" spans="10:10" ht="15" customHeight="1" x14ac:dyDescent="0.3">
      <c r="J28565" s="33"/>
    </row>
    <row r="28566" spans="10:10" ht="15" customHeight="1" x14ac:dyDescent="0.3">
      <c r="J28566" s="33"/>
    </row>
    <row r="28567" spans="10:10" ht="15" customHeight="1" x14ac:dyDescent="0.3">
      <c r="J28567" s="33"/>
    </row>
    <row r="28568" spans="10:10" ht="15" customHeight="1" x14ac:dyDescent="0.3">
      <c r="J28568" s="33"/>
    </row>
    <row r="28569" spans="10:10" ht="15" customHeight="1" x14ac:dyDescent="0.3">
      <c r="J28569" s="33"/>
    </row>
    <row r="28570" spans="10:10" ht="15" customHeight="1" x14ac:dyDescent="0.3">
      <c r="J28570" s="33"/>
    </row>
    <row r="28571" spans="10:10" ht="15" customHeight="1" x14ac:dyDescent="0.3">
      <c r="J28571" s="33"/>
    </row>
    <row r="28572" spans="10:10" ht="15" customHeight="1" x14ac:dyDescent="0.3">
      <c r="J28572" s="33"/>
    </row>
    <row r="28573" spans="10:10" ht="15" customHeight="1" x14ac:dyDescent="0.3">
      <c r="J28573" s="33"/>
    </row>
    <row r="28574" spans="10:10" ht="15" customHeight="1" x14ac:dyDescent="0.3">
      <c r="J28574" s="33"/>
    </row>
    <row r="28575" spans="10:10" ht="15" customHeight="1" x14ac:dyDescent="0.3">
      <c r="J28575" s="33"/>
    </row>
    <row r="28576" spans="10:10" ht="15" customHeight="1" x14ac:dyDescent="0.3">
      <c r="J28576" s="33"/>
    </row>
    <row r="28577" spans="10:10" ht="15" customHeight="1" x14ac:dyDescent="0.3">
      <c r="J28577" s="33"/>
    </row>
    <row r="28578" spans="10:10" ht="15" customHeight="1" x14ac:dyDescent="0.3">
      <c r="J28578" s="33"/>
    </row>
    <row r="28579" spans="10:10" ht="15" customHeight="1" x14ac:dyDescent="0.3">
      <c r="J28579" s="33"/>
    </row>
    <row r="28580" spans="10:10" ht="15" customHeight="1" x14ac:dyDescent="0.3">
      <c r="J28580" s="33"/>
    </row>
    <row r="28581" spans="10:10" ht="15" customHeight="1" x14ac:dyDescent="0.3">
      <c r="J28581" s="33"/>
    </row>
    <row r="28582" spans="10:10" ht="15" customHeight="1" x14ac:dyDescent="0.3">
      <c r="J28582" s="33"/>
    </row>
    <row r="28583" spans="10:10" ht="15" customHeight="1" x14ac:dyDescent="0.3">
      <c r="J28583" s="33"/>
    </row>
    <row r="28584" spans="10:10" ht="15" customHeight="1" x14ac:dyDescent="0.3">
      <c r="J28584" s="33"/>
    </row>
    <row r="28585" spans="10:10" ht="15" customHeight="1" x14ac:dyDescent="0.3">
      <c r="J28585" s="33"/>
    </row>
    <row r="28586" spans="10:10" ht="15" customHeight="1" x14ac:dyDescent="0.3">
      <c r="J28586" s="33"/>
    </row>
    <row r="28587" spans="10:10" ht="15" customHeight="1" x14ac:dyDescent="0.3">
      <c r="J28587" s="33"/>
    </row>
    <row r="28588" spans="10:10" ht="15" customHeight="1" x14ac:dyDescent="0.3">
      <c r="J28588" s="33"/>
    </row>
    <row r="28589" spans="10:10" ht="15" customHeight="1" x14ac:dyDescent="0.3">
      <c r="J28589" s="33"/>
    </row>
    <row r="28590" spans="10:10" ht="15" customHeight="1" x14ac:dyDescent="0.3">
      <c r="J28590" s="33"/>
    </row>
    <row r="28591" spans="10:10" ht="15" customHeight="1" x14ac:dyDescent="0.3">
      <c r="J28591" s="33"/>
    </row>
    <row r="28592" spans="10:10" ht="15" customHeight="1" x14ac:dyDescent="0.3">
      <c r="J28592" s="33"/>
    </row>
    <row r="28593" spans="10:10" ht="15" customHeight="1" x14ac:dyDescent="0.3">
      <c r="J28593" s="33"/>
    </row>
    <row r="28594" spans="10:10" ht="15" customHeight="1" x14ac:dyDescent="0.3">
      <c r="J28594" s="33"/>
    </row>
    <row r="28595" spans="10:10" ht="15" customHeight="1" x14ac:dyDescent="0.3">
      <c r="J28595" s="33"/>
    </row>
    <row r="28596" spans="10:10" ht="15" customHeight="1" x14ac:dyDescent="0.3">
      <c r="J28596" s="33"/>
    </row>
    <row r="28597" spans="10:10" ht="15" customHeight="1" x14ac:dyDescent="0.3">
      <c r="J28597" s="33"/>
    </row>
    <row r="28598" spans="10:10" ht="15" customHeight="1" x14ac:dyDescent="0.3">
      <c r="J28598" s="33"/>
    </row>
    <row r="28599" spans="10:10" ht="15" customHeight="1" x14ac:dyDescent="0.3">
      <c r="J28599" s="33"/>
    </row>
    <row r="28600" spans="10:10" ht="15" customHeight="1" x14ac:dyDescent="0.3">
      <c r="J28600" s="33"/>
    </row>
    <row r="28601" spans="10:10" ht="15" customHeight="1" x14ac:dyDescent="0.3">
      <c r="J28601" s="33"/>
    </row>
    <row r="28602" spans="10:10" ht="15" customHeight="1" x14ac:dyDescent="0.3">
      <c r="J28602" s="33"/>
    </row>
    <row r="28603" spans="10:10" ht="15" customHeight="1" x14ac:dyDescent="0.3">
      <c r="J28603" s="33"/>
    </row>
    <row r="28604" spans="10:10" ht="15" customHeight="1" x14ac:dyDescent="0.3">
      <c r="J28604" s="33"/>
    </row>
    <row r="28605" spans="10:10" ht="15" customHeight="1" x14ac:dyDescent="0.3">
      <c r="J28605" s="33"/>
    </row>
    <row r="28606" spans="10:10" ht="15" customHeight="1" x14ac:dyDescent="0.3">
      <c r="J28606" s="33"/>
    </row>
    <row r="28607" spans="10:10" ht="15" customHeight="1" x14ac:dyDescent="0.3">
      <c r="J28607" s="33"/>
    </row>
    <row r="28608" spans="10:10" ht="15" customHeight="1" x14ac:dyDescent="0.3">
      <c r="J28608" s="33"/>
    </row>
    <row r="28609" spans="10:10" ht="15" customHeight="1" x14ac:dyDescent="0.3">
      <c r="J28609" s="33"/>
    </row>
    <row r="28610" spans="10:10" ht="15" customHeight="1" x14ac:dyDescent="0.3">
      <c r="J28610" s="33"/>
    </row>
    <row r="28611" spans="10:10" ht="15" customHeight="1" x14ac:dyDescent="0.3">
      <c r="J28611" s="33"/>
    </row>
    <row r="28612" spans="10:10" ht="15" customHeight="1" x14ac:dyDescent="0.3">
      <c r="J28612" s="33"/>
    </row>
    <row r="28613" spans="10:10" ht="15" customHeight="1" x14ac:dyDescent="0.3">
      <c r="J28613" s="33"/>
    </row>
    <row r="28614" spans="10:10" ht="15" customHeight="1" x14ac:dyDescent="0.3">
      <c r="J28614" s="33"/>
    </row>
    <row r="28615" spans="10:10" ht="15" customHeight="1" x14ac:dyDescent="0.3">
      <c r="J28615" s="33"/>
    </row>
    <row r="28616" spans="10:10" ht="15" customHeight="1" x14ac:dyDescent="0.3">
      <c r="J28616" s="33"/>
    </row>
    <row r="28617" spans="10:10" ht="15" customHeight="1" x14ac:dyDescent="0.3">
      <c r="J28617" s="33"/>
    </row>
    <row r="28618" spans="10:10" ht="15" customHeight="1" x14ac:dyDescent="0.3">
      <c r="J28618" s="33"/>
    </row>
    <row r="28619" spans="10:10" ht="15" customHeight="1" x14ac:dyDescent="0.3">
      <c r="J28619" s="33"/>
    </row>
    <row r="28620" spans="10:10" ht="15" customHeight="1" x14ac:dyDescent="0.3">
      <c r="J28620" s="33"/>
    </row>
    <row r="28621" spans="10:10" ht="15" customHeight="1" x14ac:dyDescent="0.3">
      <c r="J28621" s="33"/>
    </row>
    <row r="28622" spans="10:10" ht="15" customHeight="1" x14ac:dyDescent="0.3">
      <c r="J28622" s="33"/>
    </row>
    <row r="28623" spans="10:10" ht="15" customHeight="1" x14ac:dyDescent="0.3">
      <c r="J28623" s="33"/>
    </row>
    <row r="28624" spans="10:10" ht="15" customHeight="1" x14ac:dyDescent="0.3">
      <c r="J28624" s="33"/>
    </row>
    <row r="28625" spans="10:10" ht="15" customHeight="1" x14ac:dyDescent="0.3">
      <c r="J28625" s="33"/>
    </row>
    <row r="28626" spans="10:10" ht="15" customHeight="1" x14ac:dyDescent="0.3">
      <c r="J28626" s="33"/>
    </row>
    <row r="28627" spans="10:10" ht="15" customHeight="1" x14ac:dyDescent="0.3">
      <c r="J28627" s="33"/>
    </row>
    <row r="28628" spans="10:10" ht="15" customHeight="1" x14ac:dyDescent="0.3">
      <c r="J28628" s="33"/>
    </row>
    <row r="28629" spans="10:10" ht="15" customHeight="1" x14ac:dyDescent="0.3">
      <c r="J28629" s="33"/>
    </row>
    <row r="28630" spans="10:10" ht="15" customHeight="1" x14ac:dyDescent="0.3">
      <c r="J28630" s="33"/>
    </row>
    <row r="28631" spans="10:10" ht="15" customHeight="1" x14ac:dyDescent="0.3">
      <c r="J28631" s="33"/>
    </row>
    <row r="28632" spans="10:10" ht="15" customHeight="1" x14ac:dyDescent="0.3">
      <c r="J28632" s="33"/>
    </row>
    <row r="28633" spans="10:10" ht="15" customHeight="1" x14ac:dyDescent="0.3">
      <c r="J28633" s="33"/>
    </row>
    <row r="28634" spans="10:10" ht="15" customHeight="1" x14ac:dyDescent="0.3">
      <c r="J28634" s="33"/>
    </row>
    <row r="28635" spans="10:10" ht="15" customHeight="1" x14ac:dyDescent="0.3">
      <c r="J28635" s="33"/>
    </row>
    <row r="28636" spans="10:10" ht="15" customHeight="1" x14ac:dyDescent="0.3">
      <c r="J28636" s="33"/>
    </row>
    <row r="28637" spans="10:10" ht="15" customHeight="1" x14ac:dyDescent="0.3">
      <c r="J28637" s="33"/>
    </row>
    <row r="28638" spans="10:10" ht="15" customHeight="1" x14ac:dyDescent="0.3">
      <c r="J28638" s="33"/>
    </row>
    <row r="28639" spans="10:10" ht="15" customHeight="1" x14ac:dyDescent="0.3">
      <c r="J28639" s="33"/>
    </row>
    <row r="28640" spans="10:10" ht="15" customHeight="1" x14ac:dyDescent="0.3">
      <c r="J28640" s="33"/>
    </row>
    <row r="28641" spans="10:10" ht="15" customHeight="1" x14ac:dyDescent="0.3">
      <c r="J28641" s="33"/>
    </row>
    <row r="28642" spans="10:10" ht="15" customHeight="1" x14ac:dyDescent="0.3">
      <c r="J28642" s="33"/>
    </row>
    <row r="28643" spans="10:10" ht="15" customHeight="1" x14ac:dyDescent="0.3">
      <c r="J28643" s="33"/>
    </row>
    <row r="28644" spans="10:10" ht="15" customHeight="1" x14ac:dyDescent="0.3">
      <c r="J28644" s="33"/>
    </row>
    <row r="28645" spans="10:10" ht="15" customHeight="1" x14ac:dyDescent="0.3">
      <c r="J28645" s="33"/>
    </row>
    <row r="28646" spans="10:10" ht="15" customHeight="1" x14ac:dyDescent="0.3">
      <c r="J28646" s="33"/>
    </row>
    <row r="28647" spans="10:10" ht="15" customHeight="1" x14ac:dyDescent="0.3">
      <c r="J28647" s="33"/>
    </row>
    <row r="28648" spans="10:10" ht="15" customHeight="1" x14ac:dyDescent="0.3">
      <c r="J28648" s="33"/>
    </row>
    <row r="28649" spans="10:10" ht="15" customHeight="1" x14ac:dyDescent="0.3">
      <c r="J28649" s="33"/>
    </row>
    <row r="28650" spans="10:10" ht="15" customHeight="1" x14ac:dyDescent="0.3">
      <c r="J28650" s="33"/>
    </row>
    <row r="28651" spans="10:10" ht="15" customHeight="1" x14ac:dyDescent="0.3">
      <c r="J28651" s="33"/>
    </row>
    <row r="28652" spans="10:10" ht="15" customHeight="1" x14ac:dyDescent="0.3">
      <c r="J28652" s="33"/>
    </row>
    <row r="28653" spans="10:10" ht="15" customHeight="1" x14ac:dyDescent="0.3">
      <c r="J28653" s="33"/>
    </row>
    <row r="28654" spans="10:10" ht="15" customHeight="1" x14ac:dyDescent="0.3">
      <c r="J28654" s="33"/>
    </row>
    <row r="28655" spans="10:10" ht="15" customHeight="1" x14ac:dyDescent="0.3">
      <c r="J28655" s="33"/>
    </row>
    <row r="28656" spans="10:10" ht="15" customHeight="1" x14ac:dyDescent="0.3">
      <c r="J28656" s="33"/>
    </row>
    <row r="28657" spans="10:10" ht="15" customHeight="1" x14ac:dyDescent="0.3">
      <c r="J28657" s="33"/>
    </row>
    <row r="28658" spans="10:10" ht="15" customHeight="1" x14ac:dyDescent="0.3">
      <c r="J28658" s="33"/>
    </row>
    <row r="28659" spans="10:10" ht="15" customHeight="1" x14ac:dyDescent="0.3">
      <c r="J28659" s="33"/>
    </row>
    <row r="28660" spans="10:10" ht="15" customHeight="1" x14ac:dyDescent="0.3">
      <c r="J28660" s="33"/>
    </row>
    <row r="28661" spans="10:10" ht="15" customHeight="1" x14ac:dyDescent="0.3">
      <c r="J28661" s="33"/>
    </row>
    <row r="28662" spans="10:10" ht="15" customHeight="1" x14ac:dyDescent="0.3">
      <c r="J28662" s="33"/>
    </row>
    <row r="28663" spans="10:10" ht="15" customHeight="1" x14ac:dyDescent="0.3">
      <c r="J28663" s="33"/>
    </row>
    <row r="28664" spans="10:10" ht="15" customHeight="1" x14ac:dyDescent="0.3">
      <c r="J28664" s="33"/>
    </row>
    <row r="28665" spans="10:10" ht="15" customHeight="1" x14ac:dyDescent="0.3">
      <c r="J28665" s="33"/>
    </row>
    <row r="28666" spans="10:10" ht="15" customHeight="1" x14ac:dyDescent="0.3">
      <c r="J28666" s="33"/>
    </row>
    <row r="28667" spans="10:10" ht="15" customHeight="1" x14ac:dyDescent="0.3">
      <c r="J28667" s="33"/>
    </row>
    <row r="28668" spans="10:10" ht="15" customHeight="1" x14ac:dyDescent="0.3">
      <c r="J28668" s="33"/>
    </row>
    <row r="28669" spans="10:10" ht="15" customHeight="1" x14ac:dyDescent="0.3">
      <c r="J28669" s="33"/>
    </row>
    <row r="28670" spans="10:10" ht="15" customHeight="1" x14ac:dyDescent="0.3">
      <c r="J28670" s="33"/>
    </row>
    <row r="28671" spans="10:10" ht="15" customHeight="1" x14ac:dyDescent="0.3">
      <c r="J28671" s="33"/>
    </row>
    <row r="28672" spans="10:10" ht="15" customHeight="1" x14ac:dyDescent="0.3">
      <c r="J28672" s="33"/>
    </row>
    <row r="28673" spans="10:10" ht="15" customHeight="1" x14ac:dyDescent="0.3">
      <c r="J28673" s="33"/>
    </row>
    <row r="28674" spans="10:10" ht="15" customHeight="1" x14ac:dyDescent="0.3">
      <c r="J28674" s="33"/>
    </row>
    <row r="28675" spans="10:10" ht="15" customHeight="1" x14ac:dyDescent="0.3">
      <c r="J28675" s="33"/>
    </row>
    <row r="28676" spans="10:10" ht="15" customHeight="1" x14ac:dyDescent="0.3">
      <c r="J28676" s="33"/>
    </row>
    <row r="28677" spans="10:10" ht="15" customHeight="1" x14ac:dyDescent="0.3">
      <c r="J28677" s="33"/>
    </row>
    <row r="28678" spans="10:10" ht="15" customHeight="1" x14ac:dyDescent="0.3">
      <c r="J28678" s="33"/>
    </row>
    <row r="28679" spans="10:10" ht="15" customHeight="1" x14ac:dyDescent="0.3">
      <c r="J28679" s="33"/>
    </row>
    <row r="28680" spans="10:10" ht="15" customHeight="1" x14ac:dyDescent="0.3">
      <c r="J28680" s="33"/>
    </row>
    <row r="28681" spans="10:10" ht="15" customHeight="1" x14ac:dyDescent="0.3">
      <c r="J28681" s="33"/>
    </row>
    <row r="28682" spans="10:10" ht="15" customHeight="1" x14ac:dyDescent="0.3">
      <c r="J28682" s="33"/>
    </row>
    <row r="28683" spans="10:10" ht="15" customHeight="1" x14ac:dyDescent="0.3">
      <c r="J28683" s="33"/>
    </row>
    <row r="28684" spans="10:10" ht="15" customHeight="1" x14ac:dyDescent="0.3">
      <c r="J28684" s="33"/>
    </row>
    <row r="28685" spans="10:10" ht="15" customHeight="1" x14ac:dyDescent="0.3">
      <c r="J28685" s="33"/>
    </row>
    <row r="28686" spans="10:10" ht="15" customHeight="1" x14ac:dyDescent="0.3">
      <c r="J28686" s="33"/>
    </row>
    <row r="28687" spans="10:10" ht="15" customHeight="1" x14ac:dyDescent="0.3">
      <c r="J28687" s="33"/>
    </row>
    <row r="28688" spans="10:10" ht="15" customHeight="1" x14ac:dyDescent="0.3">
      <c r="J28688" s="33"/>
    </row>
    <row r="28689" spans="10:10" ht="15" customHeight="1" x14ac:dyDescent="0.3">
      <c r="J28689" s="33"/>
    </row>
    <row r="28690" spans="10:10" ht="15" customHeight="1" x14ac:dyDescent="0.3">
      <c r="J28690" s="33"/>
    </row>
    <row r="28691" spans="10:10" ht="15" customHeight="1" x14ac:dyDescent="0.3">
      <c r="J28691" s="33"/>
    </row>
    <row r="28692" spans="10:10" ht="15" customHeight="1" x14ac:dyDescent="0.3">
      <c r="J28692" s="33"/>
    </row>
    <row r="28693" spans="10:10" ht="15" customHeight="1" x14ac:dyDescent="0.3">
      <c r="J28693" s="33"/>
    </row>
    <row r="28694" spans="10:10" ht="15" customHeight="1" x14ac:dyDescent="0.3">
      <c r="J28694" s="33"/>
    </row>
    <row r="28695" spans="10:10" ht="15" customHeight="1" x14ac:dyDescent="0.3">
      <c r="J28695" s="33"/>
    </row>
    <row r="28696" spans="10:10" ht="15" customHeight="1" x14ac:dyDescent="0.3">
      <c r="J28696" s="33"/>
    </row>
    <row r="28697" spans="10:10" ht="15" customHeight="1" x14ac:dyDescent="0.3">
      <c r="J28697" s="33"/>
    </row>
    <row r="28698" spans="10:10" ht="15" customHeight="1" x14ac:dyDescent="0.3">
      <c r="J28698" s="33"/>
    </row>
    <row r="28699" spans="10:10" ht="15" customHeight="1" x14ac:dyDescent="0.3">
      <c r="J28699" s="33"/>
    </row>
    <row r="28700" spans="10:10" ht="15" customHeight="1" x14ac:dyDescent="0.3">
      <c r="J28700" s="33"/>
    </row>
    <row r="28701" spans="10:10" ht="15" customHeight="1" x14ac:dyDescent="0.3">
      <c r="J28701" s="33"/>
    </row>
    <row r="28702" spans="10:10" ht="15" customHeight="1" x14ac:dyDescent="0.3">
      <c r="J28702" s="33"/>
    </row>
    <row r="28703" spans="10:10" ht="15" customHeight="1" x14ac:dyDescent="0.3">
      <c r="J28703" s="33"/>
    </row>
    <row r="28704" spans="10:10" ht="15" customHeight="1" x14ac:dyDescent="0.3">
      <c r="J28704" s="33"/>
    </row>
    <row r="28705" spans="10:10" ht="15" customHeight="1" x14ac:dyDescent="0.3">
      <c r="J28705" s="33"/>
    </row>
    <row r="28706" spans="10:10" ht="15" customHeight="1" x14ac:dyDescent="0.3">
      <c r="J28706" s="33"/>
    </row>
    <row r="28707" spans="10:10" ht="15" customHeight="1" x14ac:dyDescent="0.3">
      <c r="J28707" s="33"/>
    </row>
    <row r="28708" spans="10:10" ht="15" customHeight="1" x14ac:dyDescent="0.3">
      <c r="J28708" s="33"/>
    </row>
    <row r="28709" spans="10:10" ht="15" customHeight="1" x14ac:dyDescent="0.3">
      <c r="J28709" s="33"/>
    </row>
    <row r="28710" spans="10:10" ht="15" customHeight="1" x14ac:dyDescent="0.3">
      <c r="J28710" s="33"/>
    </row>
    <row r="28711" spans="10:10" ht="15" customHeight="1" x14ac:dyDescent="0.3">
      <c r="J28711" s="33"/>
    </row>
    <row r="28712" spans="10:10" ht="15" customHeight="1" x14ac:dyDescent="0.3">
      <c r="J28712" s="33"/>
    </row>
    <row r="28713" spans="10:10" ht="15" customHeight="1" x14ac:dyDescent="0.3">
      <c r="J28713" s="33"/>
    </row>
    <row r="28714" spans="10:10" ht="15" customHeight="1" x14ac:dyDescent="0.3">
      <c r="J28714" s="33"/>
    </row>
    <row r="28715" spans="10:10" ht="15" customHeight="1" x14ac:dyDescent="0.3">
      <c r="J28715" s="33"/>
    </row>
    <row r="28716" spans="10:10" ht="15" customHeight="1" x14ac:dyDescent="0.3">
      <c r="J28716" s="33"/>
    </row>
    <row r="28717" spans="10:10" ht="15" customHeight="1" x14ac:dyDescent="0.3">
      <c r="J28717" s="33"/>
    </row>
    <row r="28718" spans="10:10" ht="15" customHeight="1" x14ac:dyDescent="0.3">
      <c r="J28718" s="33"/>
    </row>
    <row r="28719" spans="10:10" ht="15" customHeight="1" x14ac:dyDescent="0.3">
      <c r="J28719" s="33"/>
    </row>
    <row r="28720" spans="10:10" ht="15" customHeight="1" x14ac:dyDescent="0.3">
      <c r="J28720" s="33"/>
    </row>
    <row r="28721" spans="10:10" ht="15" customHeight="1" x14ac:dyDescent="0.3">
      <c r="J28721" s="33"/>
    </row>
    <row r="28722" spans="10:10" ht="15" customHeight="1" x14ac:dyDescent="0.3">
      <c r="J28722" s="33"/>
    </row>
    <row r="28723" spans="10:10" ht="15" customHeight="1" x14ac:dyDescent="0.3">
      <c r="J28723" s="33"/>
    </row>
    <row r="28724" spans="10:10" ht="15" customHeight="1" x14ac:dyDescent="0.3">
      <c r="J28724" s="33"/>
    </row>
    <row r="28725" spans="10:10" ht="15" customHeight="1" x14ac:dyDescent="0.3">
      <c r="J28725" s="33"/>
    </row>
    <row r="28726" spans="10:10" ht="15" customHeight="1" x14ac:dyDescent="0.3">
      <c r="J28726" s="33"/>
    </row>
    <row r="28727" spans="10:10" ht="15" customHeight="1" x14ac:dyDescent="0.3">
      <c r="J28727" s="33"/>
    </row>
    <row r="28728" spans="10:10" ht="15" customHeight="1" x14ac:dyDescent="0.3">
      <c r="J28728" s="33"/>
    </row>
    <row r="28729" spans="10:10" ht="15" customHeight="1" x14ac:dyDescent="0.3">
      <c r="J28729" s="33"/>
    </row>
    <row r="28730" spans="10:10" ht="15" customHeight="1" x14ac:dyDescent="0.3">
      <c r="J28730" s="33"/>
    </row>
    <row r="28731" spans="10:10" ht="15" customHeight="1" x14ac:dyDescent="0.3">
      <c r="J28731" s="33"/>
    </row>
    <row r="28732" spans="10:10" ht="15" customHeight="1" x14ac:dyDescent="0.3">
      <c r="J28732" s="33"/>
    </row>
    <row r="28733" spans="10:10" ht="15" customHeight="1" x14ac:dyDescent="0.3">
      <c r="J28733" s="33"/>
    </row>
    <row r="28734" spans="10:10" ht="15" customHeight="1" x14ac:dyDescent="0.3">
      <c r="J28734" s="33"/>
    </row>
    <row r="28735" spans="10:10" ht="15" customHeight="1" x14ac:dyDescent="0.3">
      <c r="J28735" s="33"/>
    </row>
    <row r="28736" spans="10:10" ht="15" customHeight="1" x14ac:dyDescent="0.3">
      <c r="J28736" s="33"/>
    </row>
    <row r="28737" spans="10:10" ht="15" customHeight="1" x14ac:dyDescent="0.3">
      <c r="J28737" s="33"/>
    </row>
    <row r="28738" spans="10:10" ht="15" customHeight="1" x14ac:dyDescent="0.3">
      <c r="J28738" s="33"/>
    </row>
    <row r="28739" spans="10:10" ht="15" customHeight="1" x14ac:dyDescent="0.3">
      <c r="J28739" s="33"/>
    </row>
    <row r="28740" spans="10:10" ht="15" customHeight="1" x14ac:dyDescent="0.3">
      <c r="J28740" s="33"/>
    </row>
    <row r="28741" spans="10:10" ht="15" customHeight="1" x14ac:dyDescent="0.3">
      <c r="J28741" s="33"/>
    </row>
    <row r="28742" spans="10:10" ht="15" customHeight="1" x14ac:dyDescent="0.3">
      <c r="J28742" s="33"/>
    </row>
    <row r="28743" spans="10:10" ht="15" customHeight="1" x14ac:dyDescent="0.3">
      <c r="J28743" s="33"/>
    </row>
    <row r="28744" spans="10:10" ht="15" customHeight="1" x14ac:dyDescent="0.3">
      <c r="J28744" s="33"/>
    </row>
    <row r="28745" spans="10:10" ht="15" customHeight="1" x14ac:dyDescent="0.3">
      <c r="J28745" s="33"/>
    </row>
    <row r="28746" spans="10:10" ht="15" customHeight="1" x14ac:dyDescent="0.3">
      <c r="J28746" s="33"/>
    </row>
    <row r="28747" spans="10:10" ht="15" customHeight="1" x14ac:dyDescent="0.3">
      <c r="J28747" s="33"/>
    </row>
    <row r="28748" spans="10:10" ht="15" customHeight="1" x14ac:dyDescent="0.3">
      <c r="J28748" s="33"/>
    </row>
    <row r="28749" spans="10:10" ht="15" customHeight="1" x14ac:dyDescent="0.3">
      <c r="J28749" s="33"/>
    </row>
    <row r="28750" spans="10:10" ht="15" customHeight="1" x14ac:dyDescent="0.3">
      <c r="J28750" s="33"/>
    </row>
    <row r="28751" spans="10:10" ht="15" customHeight="1" x14ac:dyDescent="0.3">
      <c r="J28751" s="33"/>
    </row>
    <row r="28752" spans="10:10" ht="15" customHeight="1" x14ac:dyDescent="0.3">
      <c r="J28752" s="33"/>
    </row>
    <row r="28753" spans="10:10" ht="15" customHeight="1" x14ac:dyDescent="0.3">
      <c r="J28753" s="33"/>
    </row>
    <row r="28754" spans="10:10" ht="15" customHeight="1" x14ac:dyDescent="0.3">
      <c r="J28754" s="33"/>
    </row>
    <row r="28755" spans="10:10" ht="15" customHeight="1" x14ac:dyDescent="0.3">
      <c r="J28755" s="33"/>
    </row>
    <row r="28756" spans="10:10" ht="15" customHeight="1" x14ac:dyDescent="0.3">
      <c r="J28756" s="33"/>
    </row>
    <row r="28757" spans="10:10" ht="15" customHeight="1" x14ac:dyDescent="0.3">
      <c r="J28757" s="33"/>
    </row>
    <row r="28758" spans="10:10" ht="15" customHeight="1" x14ac:dyDescent="0.3">
      <c r="J28758" s="33"/>
    </row>
    <row r="28759" spans="10:10" ht="15" customHeight="1" x14ac:dyDescent="0.3">
      <c r="J28759" s="33"/>
    </row>
    <row r="28760" spans="10:10" ht="15" customHeight="1" x14ac:dyDescent="0.3">
      <c r="J28760" s="33"/>
    </row>
    <row r="28761" spans="10:10" ht="15" customHeight="1" x14ac:dyDescent="0.3">
      <c r="J28761" s="33"/>
    </row>
    <row r="28762" spans="10:10" ht="15" customHeight="1" x14ac:dyDescent="0.3">
      <c r="J28762" s="33"/>
    </row>
    <row r="28763" spans="10:10" ht="15" customHeight="1" x14ac:dyDescent="0.3">
      <c r="J28763" s="33"/>
    </row>
    <row r="28764" spans="10:10" ht="15" customHeight="1" x14ac:dyDescent="0.3">
      <c r="J28764" s="33"/>
    </row>
    <row r="28765" spans="10:10" ht="15" customHeight="1" x14ac:dyDescent="0.3">
      <c r="J28765" s="33"/>
    </row>
    <row r="28766" spans="10:10" ht="15" customHeight="1" x14ac:dyDescent="0.3">
      <c r="J28766" s="33"/>
    </row>
    <row r="28767" spans="10:10" ht="15" customHeight="1" x14ac:dyDescent="0.3">
      <c r="J28767" s="33"/>
    </row>
    <row r="28768" spans="10:10" ht="15" customHeight="1" x14ac:dyDescent="0.3">
      <c r="J28768" s="33"/>
    </row>
    <row r="28769" spans="10:10" ht="15" customHeight="1" x14ac:dyDescent="0.3">
      <c r="J28769" s="33"/>
    </row>
    <row r="28770" spans="10:10" ht="15" customHeight="1" x14ac:dyDescent="0.3">
      <c r="J28770" s="33"/>
    </row>
    <row r="28771" spans="10:10" ht="15" customHeight="1" x14ac:dyDescent="0.3">
      <c r="J28771" s="33"/>
    </row>
    <row r="28772" spans="10:10" ht="15" customHeight="1" x14ac:dyDescent="0.3">
      <c r="J28772" s="33"/>
    </row>
    <row r="28773" spans="10:10" ht="15" customHeight="1" x14ac:dyDescent="0.3">
      <c r="J28773" s="33"/>
    </row>
    <row r="28774" spans="10:10" ht="15" customHeight="1" x14ac:dyDescent="0.3">
      <c r="J28774" s="33"/>
    </row>
    <row r="28775" spans="10:10" ht="15" customHeight="1" x14ac:dyDescent="0.3">
      <c r="J28775" s="33"/>
    </row>
    <row r="28776" spans="10:10" ht="15" customHeight="1" x14ac:dyDescent="0.3">
      <c r="J28776" s="33"/>
    </row>
    <row r="28777" spans="10:10" ht="15" customHeight="1" x14ac:dyDescent="0.3">
      <c r="J28777" s="33"/>
    </row>
    <row r="28778" spans="10:10" ht="15" customHeight="1" x14ac:dyDescent="0.3">
      <c r="J28778" s="33"/>
    </row>
    <row r="28779" spans="10:10" ht="15" customHeight="1" x14ac:dyDescent="0.3">
      <c r="J28779" s="33"/>
    </row>
    <row r="28780" spans="10:10" ht="15" customHeight="1" x14ac:dyDescent="0.3">
      <c r="J28780" s="33"/>
    </row>
    <row r="28781" spans="10:10" ht="15" customHeight="1" x14ac:dyDescent="0.3">
      <c r="J28781" s="33"/>
    </row>
    <row r="28782" spans="10:10" ht="15" customHeight="1" x14ac:dyDescent="0.3">
      <c r="J28782" s="33"/>
    </row>
    <row r="28783" spans="10:10" ht="15" customHeight="1" x14ac:dyDescent="0.3">
      <c r="J28783" s="33"/>
    </row>
    <row r="28784" spans="10:10" ht="15" customHeight="1" x14ac:dyDescent="0.3">
      <c r="J28784" s="33"/>
    </row>
    <row r="28785" spans="10:10" ht="15" customHeight="1" x14ac:dyDescent="0.3">
      <c r="J28785" s="33"/>
    </row>
    <row r="28786" spans="10:10" ht="15" customHeight="1" x14ac:dyDescent="0.3">
      <c r="J28786" s="33"/>
    </row>
    <row r="28787" spans="10:10" ht="15" customHeight="1" x14ac:dyDescent="0.3">
      <c r="J28787" s="33"/>
    </row>
    <row r="28788" spans="10:10" ht="15" customHeight="1" x14ac:dyDescent="0.3">
      <c r="J28788" s="33"/>
    </row>
    <row r="28789" spans="10:10" ht="15" customHeight="1" x14ac:dyDescent="0.3">
      <c r="J28789" s="33"/>
    </row>
    <row r="28790" spans="10:10" ht="15" customHeight="1" x14ac:dyDescent="0.3">
      <c r="J28790" s="33"/>
    </row>
    <row r="28791" spans="10:10" ht="15" customHeight="1" x14ac:dyDescent="0.3">
      <c r="J28791" s="33"/>
    </row>
    <row r="28792" spans="10:10" ht="15" customHeight="1" x14ac:dyDescent="0.3">
      <c r="J28792" s="33"/>
    </row>
    <row r="28793" spans="10:10" ht="15" customHeight="1" x14ac:dyDescent="0.3">
      <c r="J28793" s="33"/>
    </row>
    <row r="28794" spans="10:10" ht="15" customHeight="1" x14ac:dyDescent="0.3">
      <c r="J28794" s="33"/>
    </row>
    <row r="28795" spans="10:10" ht="15" customHeight="1" x14ac:dyDescent="0.3">
      <c r="J28795" s="33"/>
    </row>
    <row r="28796" spans="10:10" ht="15" customHeight="1" x14ac:dyDescent="0.3">
      <c r="J28796" s="33"/>
    </row>
    <row r="28797" spans="10:10" ht="15" customHeight="1" x14ac:dyDescent="0.3">
      <c r="J28797" s="33"/>
    </row>
    <row r="28798" spans="10:10" ht="15" customHeight="1" x14ac:dyDescent="0.3">
      <c r="J28798" s="33"/>
    </row>
    <row r="28799" spans="10:10" ht="15" customHeight="1" x14ac:dyDescent="0.3">
      <c r="J28799" s="33"/>
    </row>
    <row r="28800" spans="10:10" ht="15" customHeight="1" x14ac:dyDescent="0.3">
      <c r="J28800" s="33"/>
    </row>
    <row r="28801" spans="10:10" ht="15" customHeight="1" x14ac:dyDescent="0.3">
      <c r="J28801" s="33"/>
    </row>
    <row r="28802" spans="10:10" ht="15" customHeight="1" x14ac:dyDescent="0.3">
      <c r="J28802" s="33"/>
    </row>
    <row r="28803" spans="10:10" ht="15" customHeight="1" x14ac:dyDescent="0.3">
      <c r="J28803" s="33"/>
    </row>
    <row r="28804" spans="10:10" ht="15" customHeight="1" x14ac:dyDescent="0.3">
      <c r="J28804" s="33"/>
    </row>
    <row r="28805" spans="10:10" ht="15" customHeight="1" x14ac:dyDescent="0.3">
      <c r="J28805" s="33"/>
    </row>
    <row r="28806" spans="10:10" ht="15" customHeight="1" x14ac:dyDescent="0.3">
      <c r="J28806" s="33"/>
    </row>
    <row r="28807" spans="10:10" ht="15" customHeight="1" x14ac:dyDescent="0.3">
      <c r="J28807" s="33"/>
    </row>
    <row r="28808" spans="10:10" ht="15" customHeight="1" x14ac:dyDescent="0.3">
      <c r="J28808" s="33"/>
    </row>
    <row r="28809" spans="10:10" ht="15" customHeight="1" x14ac:dyDescent="0.3">
      <c r="J28809" s="33"/>
    </row>
    <row r="28810" spans="10:10" ht="15" customHeight="1" x14ac:dyDescent="0.3">
      <c r="J28810" s="33"/>
    </row>
    <row r="28811" spans="10:10" ht="15" customHeight="1" x14ac:dyDescent="0.3">
      <c r="J28811" s="33"/>
    </row>
    <row r="28812" spans="10:10" ht="15" customHeight="1" x14ac:dyDescent="0.3">
      <c r="J28812" s="33"/>
    </row>
    <row r="28813" spans="10:10" ht="15" customHeight="1" x14ac:dyDescent="0.3">
      <c r="J28813" s="33"/>
    </row>
    <row r="28814" spans="10:10" ht="15" customHeight="1" x14ac:dyDescent="0.3">
      <c r="J28814" s="33"/>
    </row>
    <row r="28815" spans="10:10" ht="15" customHeight="1" x14ac:dyDescent="0.3">
      <c r="J28815" s="33"/>
    </row>
    <row r="28816" spans="10:10" ht="15" customHeight="1" x14ac:dyDescent="0.3">
      <c r="J28816" s="33"/>
    </row>
    <row r="28817" spans="10:10" ht="15" customHeight="1" x14ac:dyDescent="0.3">
      <c r="J28817" s="33"/>
    </row>
    <row r="28818" spans="10:10" ht="15" customHeight="1" x14ac:dyDescent="0.3">
      <c r="J28818" s="33"/>
    </row>
    <row r="28819" spans="10:10" ht="15" customHeight="1" x14ac:dyDescent="0.3">
      <c r="J28819" s="33"/>
    </row>
    <row r="28820" spans="10:10" ht="15" customHeight="1" x14ac:dyDescent="0.3">
      <c r="J28820" s="33"/>
    </row>
    <row r="28821" spans="10:10" ht="15" customHeight="1" x14ac:dyDescent="0.3">
      <c r="J28821" s="33"/>
    </row>
    <row r="28822" spans="10:10" ht="15" customHeight="1" x14ac:dyDescent="0.3">
      <c r="J28822" s="33"/>
    </row>
    <row r="28823" spans="10:10" ht="15" customHeight="1" x14ac:dyDescent="0.3">
      <c r="J28823" s="33"/>
    </row>
    <row r="28824" spans="10:10" ht="15" customHeight="1" x14ac:dyDescent="0.3">
      <c r="J28824" s="33"/>
    </row>
    <row r="28825" spans="10:10" ht="15" customHeight="1" x14ac:dyDescent="0.3">
      <c r="J28825" s="33"/>
    </row>
    <row r="28826" spans="10:10" ht="15" customHeight="1" x14ac:dyDescent="0.3">
      <c r="J28826" s="33"/>
    </row>
    <row r="28827" spans="10:10" ht="15" customHeight="1" x14ac:dyDescent="0.3">
      <c r="J28827" s="33"/>
    </row>
    <row r="28828" spans="10:10" ht="15" customHeight="1" x14ac:dyDescent="0.3">
      <c r="J28828" s="33"/>
    </row>
    <row r="28829" spans="10:10" ht="15" customHeight="1" x14ac:dyDescent="0.3">
      <c r="J28829" s="33"/>
    </row>
    <row r="28830" spans="10:10" ht="15" customHeight="1" x14ac:dyDescent="0.3">
      <c r="J28830" s="33"/>
    </row>
    <row r="28831" spans="10:10" ht="15" customHeight="1" x14ac:dyDescent="0.3">
      <c r="J28831" s="33"/>
    </row>
    <row r="28832" spans="10:10" ht="15" customHeight="1" x14ac:dyDescent="0.3">
      <c r="J28832" s="33"/>
    </row>
    <row r="28833" spans="10:10" ht="15" customHeight="1" x14ac:dyDescent="0.3">
      <c r="J28833" s="33"/>
    </row>
    <row r="28834" spans="10:10" ht="15" customHeight="1" x14ac:dyDescent="0.3">
      <c r="J28834" s="33"/>
    </row>
    <row r="28835" spans="10:10" ht="15" customHeight="1" x14ac:dyDescent="0.3">
      <c r="J28835" s="33"/>
    </row>
    <row r="28836" spans="10:10" ht="15" customHeight="1" x14ac:dyDescent="0.3">
      <c r="J28836" s="33"/>
    </row>
    <row r="28837" spans="10:10" ht="15" customHeight="1" x14ac:dyDescent="0.3">
      <c r="J28837" s="33"/>
    </row>
    <row r="28838" spans="10:10" ht="15" customHeight="1" x14ac:dyDescent="0.3">
      <c r="J28838" s="33"/>
    </row>
    <row r="28839" spans="10:10" ht="15" customHeight="1" x14ac:dyDescent="0.3">
      <c r="J28839" s="33"/>
    </row>
    <row r="28840" spans="10:10" ht="15" customHeight="1" x14ac:dyDescent="0.3">
      <c r="J28840" s="33"/>
    </row>
    <row r="28841" spans="10:10" ht="15" customHeight="1" x14ac:dyDescent="0.3">
      <c r="J28841" s="33"/>
    </row>
    <row r="28842" spans="10:10" ht="15" customHeight="1" x14ac:dyDescent="0.3">
      <c r="J28842" s="33"/>
    </row>
    <row r="28843" spans="10:10" ht="15" customHeight="1" x14ac:dyDescent="0.3">
      <c r="J28843" s="33"/>
    </row>
    <row r="28844" spans="10:10" ht="15" customHeight="1" x14ac:dyDescent="0.3">
      <c r="J28844" s="33"/>
    </row>
    <row r="28845" spans="10:10" ht="15" customHeight="1" x14ac:dyDescent="0.3">
      <c r="J28845" s="33"/>
    </row>
    <row r="28846" spans="10:10" ht="15" customHeight="1" x14ac:dyDescent="0.3">
      <c r="J28846" s="33"/>
    </row>
    <row r="28847" spans="10:10" ht="15" customHeight="1" x14ac:dyDescent="0.3">
      <c r="J28847" s="33"/>
    </row>
    <row r="28848" spans="10:10" ht="15" customHeight="1" x14ac:dyDescent="0.3">
      <c r="J28848" s="33"/>
    </row>
    <row r="28849" spans="10:10" ht="15" customHeight="1" x14ac:dyDescent="0.3">
      <c r="J28849" s="33"/>
    </row>
    <row r="28850" spans="10:10" ht="15" customHeight="1" x14ac:dyDescent="0.3">
      <c r="J28850" s="33"/>
    </row>
    <row r="28851" spans="10:10" ht="15" customHeight="1" x14ac:dyDescent="0.3">
      <c r="J28851" s="33"/>
    </row>
    <row r="28852" spans="10:10" ht="15" customHeight="1" x14ac:dyDescent="0.3">
      <c r="J28852" s="33"/>
    </row>
    <row r="28853" spans="10:10" ht="15" customHeight="1" x14ac:dyDescent="0.3">
      <c r="J28853" s="33"/>
    </row>
    <row r="28854" spans="10:10" ht="15" customHeight="1" x14ac:dyDescent="0.3">
      <c r="J28854" s="33"/>
    </row>
    <row r="28855" spans="10:10" ht="15" customHeight="1" x14ac:dyDescent="0.3">
      <c r="J28855" s="33"/>
    </row>
    <row r="28856" spans="10:10" ht="15" customHeight="1" x14ac:dyDescent="0.3">
      <c r="J28856" s="33"/>
    </row>
    <row r="28857" spans="10:10" ht="15" customHeight="1" x14ac:dyDescent="0.3">
      <c r="J28857" s="33"/>
    </row>
    <row r="28858" spans="10:10" ht="15" customHeight="1" x14ac:dyDescent="0.3">
      <c r="J28858" s="33"/>
    </row>
    <row r="28859" spans="10:10" ht="15" customHeight="1" x14ac:dyDescent="0.3">
      <c r="J28859" s="33"/>
    </row>
    <row r="28860" spans="10:10" ht="15" customHeight="1" x14ac:dyDescent="0.3">
      <c r="J28860" s="33"/>
    </row>
    <row r="28861" spans="10:10" ht="15" customHeight="1" x14ac:dyDescent="0.3">
      <c r="J28861" s="33"/>
    </row>
    <row r="28862" spans="10:10" ht="15" customHeight="1" x14ac:dyDescent="0.3">
      <c r="J28862" s="33"/>
    </row>
    <row r="28863" spans="10:10" ht="15" customHeight="1" x14ac:dyDescent="0.3">
      <c r="J28863" s="33"/>
    </row>
    <row r="28864" spans="10:10" ht="15" customHeight="1" x14ac:dyDescent="0.3">
      <c r="J28864" s="33"/>
    </row>
    <row r="28865" spans="10:10" ht="15" customHeight="1" x14ac:dyDescent="0.3">
      <c r="J28865" s="33"/>
    </row>
    <row r="28866" spans="10:10" ht="15" customHeight="1" x14ac:dyDescent="0.3">
      <c r="J28866" s="33"/>
    </row>
    <row r="28867" spans="10:10" ht="15" customHeight="1" x14ac:dyDescent="0.3">
      <c r="J28867" s="33"/>
    </row>
    <row r="28868" spans="10:10" ht="15" customHeight="1" x14ac:dyDescent="0.3">
      <c r="J28868" s="33"/>
    </row>
    <row r="28869" spans="10:10" ht="15" customHeight="1" x14ac:dyDescent="0.3">
      <c r="J28869" s="33"/>
    </row>
    <row r="28870" spans="10:10" ht="15" customHeight="1" x14ac:dyDescent="0.3">
      <c r="J28870" s="33"/>
    </row>
    <row r="28871" spans="10:10" ht="15" customHeight="1" x14ac:dyDescent="0.3">
      <c r="J28871" s="33"/>
    </row>
    <row r="28872" spans="10:10" ht="15" customHeight="1" x14ac:dyDescent="0.3">
      <c r="J28872" s="33"/>
    </row>
    <row r="28873" spans="10:10" ht="15" customHeight="1" x14ac:dyDescent="0.3">
      <c r="J28873" s="33"/>
    </row>
    <row r="28874" spans="10:10" ht="15" customHeight="1" x14ac:dyDescent="0.3">
      <c r="J28874" s="33"/>
    </row>
    <row r="28875" spans="10:10" ht="15" customHeight="1" x14ac:dyDescent="0.3">
      <c r="J28875" s="33"/>
    </row>
    <row r="28876" spans="10:10" ht="15" customHeight="1" x14ac:dyDescent="0.3">
      <c r="J28876" s="33"/>
    </row>
    <row r="28877" spans="10:10" ht="15" customHeight="1" x14ac:dyDescent="0.3">
      <c r="J28877" s="33"/>
    </row>
    <row r="28878" spans="10:10" ht="15" customHeight="1" x14ac:dyDescent="0.3">
      <c r="J28878" s="33"/>
    </row>
    <row r="28879" spans="10:10" ht="15" customHeight="1" x14ac:dyDescent="0.3">
      <c r="J28879" s="33"/>
    </row>
    <row r="28880" spans="10:10" ht="15" customHeight="1" x14ac:dyDescent="0.3">
      <c r="J28880" s="33"/>
    </row>
    <row r="28881" spans="10:10" ht="15" customHeight="1" x14ac:dyDescent="0.3">
      <c r="J28881" s="33"/>
    </row>
    <row r="28882" spans="10:10" ht="15" customHeight="1" x14ac:dyDescent="0.3">
      <c r="J28882" s="33"/>
    </row>
    <row r="28883" spans="10:10" ht="15" customHeight="1" x14ac:dyDescent="0.3">
      <c r="J28883" s="33"/>
    </row>
    <row r="28884" spans="10:10" ht="15" customHeight="1" x14ac:dyDescent="0.3">
      <c r="J28884" s="33"/>
    </row>
    <row r="28885" spans="10:10" ht="15" customHeight="1" x14ac:dyDescent="0.3">
      <c r="J28885" s="33"/>
    </row>
    <row r="28886" spans="10:10" ht="15" customHeight="1" x14ac:dyDescent="0.3">
      <c r="J28886" s="33"/>
    </row>
    <row r="28887" spans="10:10" ht="15" customHeight="1" x14ac:dyDescent="0.3">
      <c r="J28887" s="33"/>
    </row>
    <row r="28888" spans="10:10" ht="15" customHeight="1" x14ac:dyDescent="0.3">
      <c r="J28888" s="33"/>
    </row>
    <row r="28889" spans="10:10" ht="15" customHeight="1" x14ac:dyDescent="0.3">
      <c r="J28889" s="33"/>
    </row>
    <row r="28890" spans="10:10" ht="15" customHeight="1" x14ac:dyDescent="0.3">
      <c r="J28890" s="33"/>
    </row>
    <row r="28891" spans="10:10" ht="15" customHeight="1" x14ac:dyDescent="0.3">
      <c r="J28891" s="33"/>
    </row>
    <row r="28892" spans="10:10" ht="15" customHeight="1" x14ac:dyDescent="0.3">
      <c r="J28892" s="33"/>
    </row>
    <row r="28893" spans="10:10" ht="15" customHeight="1" x14ac:dyDescent="0.3">
      <c r="J28893" s="33"/>
    </row>
    <row r="28894" spans="10:10" ht="15" customHeight="1" x14ac:dyDescent="0.3">
      <c r="J28894" s="33"/>
    </row>
    <row r="28895" spans="10:10" ht="15" customHeight="1" x14ac:dyDescent="0.3">
      <c r="J28895" s="33"/>
    </row>
    <row r="28896" spans="10:10" ht="15" customHeight="1" x14ac:dyDescent="0.3">
      <c r="J28896" s="33"/>
    </row>
    <row r="28897" spans="10:10" ht="15" customHeight="1" x14ac:dyDescent="0.3">
      <c r="J28897" s="33"/>
    </row>
    <row r="28898" spans="10:10" ht="15" customHeight="1" x14ac:dyDescent="0.3">
      <c r="J28898" s="33"/>
    </row>
    <row r="28899" spans="10:10" ht="15" customHeight="1" x14ac:dyDescent="0.3">
      <c r="J28899" s="33"/>
    </row>
    <row r="28900" spans="10:10" ht="15" customHeight="1" x14ac:dyDescent="0.3">
      <c r="J28900" s="33"/>
    </row>
    <row r="28901" spans="10:10" ht="15" customHeight="1" x14ac:dyDescent="0.3">
      <c r="J28901" s="33"/>
    </row>
    <row r="28902" spans="10:10" ht="15" customHeight="1" x14ac:dyDescent="0.3">
      <c r="J28902" s="33"/>
    </row>
    <row r="28903" spans="10:10" ht="15" customHeight="1" x14ac:dyDescent="0.3">
      <c r="J28903" s="33"/>
    </row>
    <row r="28904" spans="10:10" ht="15" customHeight="1" x14ac:dyDescent="0.3">
      <c r="J28904" s="33"/>
    </row>
    <row r="28905" spans="10:10" ht="15" customHeight="1" x14ac:dyDescent="0.3">
      <c r="J28905" s="33"/>
    </row>
    <row r="28906" spans="10:10" ht="15" customHeight="1" x14ac:dyDescent="0.3">
      <c r="J28906" s="33"/>
    </row>
    <row r="28907" spans="10:10" ht="15" customHeight="1" x14ac:dyDescent="0.3">
      <c r="J28907" s="33"/>
    </row>
    <row r="28908" spans="10:10" ht="15" customHeight="1" x14ac:dyDescent="0.3">
      <c r="J28908" s="33"/>
    </row>
    <row r="28909" spans="10:10" ht="15" customHeight="1" x14ac:dyDescent="0.3">
      <c r="J28909" s="33"/>
    </row>
    <row r="28910" spans="10:10" ht="15" customHeight="1" x14ac:dyDescent="0.3">
      <c r="J28910" s="33"/>
    </row>
    <row r="28911" spans="10:10" ht="15" customHeight="1" x14ac:dyDescent="0.3">
      <c r="J28911" s="33"/>
    </row>
    <row r="28912" spans="10:10" ht="15" customHeight="1" x14ac:dyDescent="0.3">
      <c r="J28912" s="33"/>
    </row>
    <row r="28913" spans="10:10" ht="15" customHeight="1" x14ac:dyDescent="0.3">
      <c r="J28913" s="33"/>
    </row>
    <row r="28914" spans="10:10" ht="15" customHeight="1" x14ac:dyDescent="0.3">
      <c r="J28914" s="33"/>
    </row>
    <row r="28915" spans="10:10" ht="15" customHeight="1" x14ac:dyDescent="0.3">
      <c r="J28915" s="33"/>
    </row>
    <row r="28916" spans="10:10" ht="15" customHeight="1" x14ac:dyDescent="0.3">
      <c r="J28916" s="33"/>
    </row>
    <row r="28917" spans="10:10" ht="15" customHeight="1" x14ac:dyDescent="0.3">
      <c r="J28917" s="33"/>
    </row>
    <row r="28918" spans="10:10" ht="15" customHeight="1" x14ac:dyDescent="0.3">
      <c r="J28918" s="33"/>
    </row>
    <row r="28919" spans="10:10" ht="15" customHeight="1" x14ac:dyDescent="0.3">
      <c r="J28919" s="33"/>
    </row>
    <row r="28920" spans="10:10" ht="15" customHeight="1" x14ac:dyDescent="0.3">
      <c r="J28920" s="33"/>
    </row>
    <row r="28921" spans="10:10" ht="15" customHeight="1" x14ac:dyDescent="0.3">
      <c r="J28921" s="33"/>
    </row>
    <row r="28922" spans="10:10" ht="15" customHeight="1" x14ac:dyDescent="0.3">
      <c r="J28922" s="33"/>
    </row>
    <row r="28923" spans="10:10" ht="15" customHeight="1" x14ac:dyDescent="0.3">
      <c r="J28923" s="33"/>
    </row>
    <row r="28924" spans="10:10" ht="15" customHeight="1" x14ac:dyDescent="0.3">
      <c r="J28924" s="33"/>
    </row>
    <row r="28925" spans="10:10" ht="15" customHeight="1" x14ac:dyDescent="0.3">
      <c r="J28925" s="33"/>
    </row>
    <row r="28926" spans="10:10" ht="15" customHeight="1" x14ac:dyDescent="0.3">
      <c r="J28926" s="33"/>
    </row>
    <row r="28927" spans="10:10" ht="15" customHeight="1" x14ac:dyDescent="0.3">
      <c r="J28927" s="33"/>
    </row>
    <row r="28928" spans="10:10" ht="15" customHeight="1" x14ac:dyDescent="0.3">
      <c r="J28928" s="33"/>
    </row>
    <row r="28929" spans="10:10" ht="15" customHeight="1" x14ac:dyDescent="0.3">
      <c r="J28929" s="33"/>
    </row>
    <row r="28930" spans="10:10" ht="15" customHeight="1" x14ac:dyDescent="0.3">
      <c r="J28930" s="33"/>
    </row>
    <row r="28931" spans="10:10" ht="15" customHeight="1" x14ac:dyDescent="0.3">
      <c r="J28931" s="33"/>
    </row>
    <row r="28932" spans="10:10" ht="15" customHeight="1" x14ac:dyDescent="0.3">
      <c r="J28932" s="33"/>
    </row>
    <row r="28933" spans="10:10" ht="15" customHeight="1" x14ac:dyDescent="0.3">
      <c r="J28933" s="33"/>
    </row>
    <row r="28934" spans="10:10" ht="15" customHeight="1" x14ac:dyDescent="0.3">
      <c r="J28934" s="33"/>
    </row>
    <row r="28935" spans="10:10" ht="15" customHeight="1" x14ac:dyDescent="0.3">
      <c r="J28935" s="33"/>
    </row>
    <row r="28936" spans="10:10" ht="15" customHeight="1" x14ac:dyDescent="0.3">
      <c r="J28936" s="33"/>
    </row>
    <row r="28937" spans="10:10" ht="15" customHeight="1" x14ac:dyDescent="0.3">
      <c r="J28937" s="33"/>
    </row>
    <row r="28938" spans="10:10" ht="15" customHeight="1" x14ac:dyDescent="0.3">
      <c r="J28938" s="33"/>
    </row>
    <row r="28939" spans="10:10" ht="15" customHeight="1" x14ac:dyDescent="0.3">
      <c r="J28939" s="33"/>
    </row>
    <row r="28940" spans="10:10" ht="15" customHeight="1" x14ac:dyDescent="0.3">
      <c r="J28940" s="33"/>
    </row>
    <row r="28941" spans="10:10" ht="15" customHeight="1" x14ac:dyDescent="0.3">
      <c r="J28941" s="33"/>
    </row>
    <row r="28942" spans="10:10" ht="15" customHeight="1" x14ac:dyDescent="0.3">
      <c r="J28942" s="33"/>
    </row>
    <row r="28943" spans="10:10" ht="15" customHeight="1" x14ac:dyDescent="0.3">
      <c r="J28943" s="33"/>
    </row>
    <row r="28944" spans="10:10" ht="15" customHeight="1" x14ac:dyDescent="0.3">
      <c r="J28944" s="33"/>
    </row>
    <row r="28945" spans="10:10" ht="15" customHeight="1" x14ac:dyDescent="0.3">
      <c r="J28945" s="33"/>
    </row>
    <row r="28946" spans="10:10" ht="15" customHeight="1" x14ac:dyDescent="0.3">
      <c r="J28946" s="33"/>
    </row>
    <row r="28947" spans="10:10" ht="15" customHeight="1" x14ac:dyDescent="0.3">
      <c r="J28947" s="33"/>
    </row>
    <row r="28948" spans="10:10" ht="15" customHeight="1" x14ac:dyDescent="0.3">
      <c r="J28948" s="33"/>
    </row>
    <row r="28949" spans="10:10" ht="15" customHeight="1" x14ac:dyDescent="0.3">
      <c r="J28949" s="33"/>
    </row>
    <row r="28950" spans="10:10" ht="15" customHeight="1" x14ac:dyDescent="0.3">
      <c r="J28950" s="33"/>
    </row>
    <row r="28951" spans="10:10" ht="15" customHeight="1" x14ac:dyDescent="0.3">
      <c r="J28951" s="33"/>
    </row>
    <row r="28952" spans="10:10" ht="15" customHeight="1" x14ac:dyDescent="0.3">
      <c r="J28952" s="33"/>
    </row>
    <row r="28953" spans="10:10" ht="15" customHeight="1" x14ac:dyDescent="0.3">
      <c r="J28953" s="33"/>
    </row>
    <row r="28954" spans="10:10" ht="15" customHeight="1" x14ac:dyDescent="0.3">
      <c r="J28954" s="33"/>
    </row>
    <row r="28955" spans="10:10" ht="15" customHeight="1" x14ac:dyDescent="0.3">
      <c r="J28955" s="33"/>
    </row>
    <row r="28956" spans="10:10" ht="15" customHeight="1" x14ac:dyDescent="0.3">
      <c r="J28956" s="33"/>
    </row>
    <row r="28957" spans="10:10" ht="15" customHeight="1" x14ac:dyDescent="0.3">
      <c r="J28957" s="33"/>
    </row>
    <row r="28958" spans="10:10" ht="15" customHeight="1" x14ac:dyDescent="0.3">
      <c r="J28958" s="33"/>
    </row>
    <row r="28959" spans="10:10" ht="15" customHeight="1" x14ac:dyDescent="0.3">
      <c r="J28959" s="33"/>
    </row>
    <row r="28960" spans="10:10" ht="15" customHeight="1" x14ac:dyDescent="0.3">
      <c r="J28960" s="33"/>
    </row>
    <row r="28961" spans="10:10" ht="15" customHeight="1" x14ac:dyDescent="0.3">
      <c r="J28961" s="33"/>
    </row>
    <row r="28962" spans="10:10" ht="15" customHeight="1" x14ac:dyDescent="0.3">
      <c r="J28962" s="33"/>
    </row>
    <row r="28963" spans="10:10" ht="15" customHeight="1" x14ac:dyDescent="0.3">
      <c r="J28963" s="33"/>
    </row>
    <row r="28964" spans="10:10" ht="15" customHeight="1" x14ac:dyDescent="0.3">
      <c r="J28964" s="33"/>
    </row>
    <row r="28965" spans="10:10" ht="15" customHeight="1" x14ac:dyDescent="0.3">
      <c r="J28965" s="33"/>
    </row>
    <row r="28966" spans="10:10" ht="15" customHeight="1" x14ac:dyDescent="0.3">
      <c r="J28966" s="33"/>
    </row>
    <row r="28967" spans="10:10" ht="15" customHeight="1" x14ac:dyDescent="0.3">
      <c r="J28967" s="33"/>
    </row>
    <row r="28968" spans="10:10" ht="15" customHeight="1" x14ac:dyDescent="0.3">
      <c r="J28968" s="33"/>
    </row>
    <row r="28969" spans="10:10" ht="15" customHeight="1" x14ac:dyDescent="0.3">
      <c r="J28969" s="33"/>
    </row>
    <row r="28970" spans="10:10" ht="15" customHeight="1" x14ac:dyDescent="0.3">
      <c r="J28970" s="33"/>
    </row>
    <row r="28971" spans="10:10" ht="15" customHeight="1" x14ac:dyDescent="0.3">
      <c r="J28971" s="33"/>
    </row>
    <row r="28972" spans="10:10" ht="15" customHeight="1" x14ac:dyDescent="0.3">
      <c r="J28972" s="33"/>
    </row>
    <row r="28973" spans="10:10" ht="15" customHeight="1" x14ac:dyDescent="0.3">
      <c r="J28973" s="33"/>
    </row>
    <row r="28974" spans="10:10" ht="15" customHeight="1" x14ac:dyDescent="0.3">
      <c r="J28974" s="33"/>
    </row>
    <row r="28975" spans="10:10" ht="15" customHeight="1" x14ac:dyDescent="0.3">
      <c r="J28975" s="33"/>
    </row>
    <row r="28976" spans="10:10" ht="15" customHeight="1" x14ac:dyDescent="0.3">
      <c r="J28976" s="33"/>
    </row>
    <row r="28977" spans="10:10" ht="15" customHeight="1" x14ac:dyDescent="0.3">
      <c r="J28977" s="33"/>
    </row>
    <row r="28978" spans="10:10" ht="15" customHeight="1" x14ac:dyDescent="0.3">
      <c r="J28978" s="33"/>
    </row>
    <row r="28979" spans="10:10" ht="15" customHeight="1" x14ac:dyDescent="0.3">
      <c r="J28979" s="33"/>
    </row>
    <row r="28980" spans="10:10" ht="15" customHeight="1" x14ac:dyDescent="0.3">
      <c r="J28980" s="33"/>
    </row>
    <row r="28981" spans="10:10" ht="15" customHeight="1" x14ac:dyDescent="0.3">
      <c r="J28981" s="33"/>
    </row>
    <row r="28982" spans="10:10" ht="15" customHeight="1" x14ac:dyDescent="0.3">
      <c r="J28982" s="33"/>
    </row>
    <row r="28983" spans="10:10" ht="15" customHeight="1" x14ac:dyDescent="0.3">
      <c r="J28983" s="33"/>
    </row>
    <row r="28984" spans="10:10" ht="15" customHeight="1" x14ac:dyDescent="0.3">
      <c r="J28984" s="33"/>
    </row>
    <row r="28985" spans="10:10" ht="15" customHeight="1" x14ac:dyDescent="0.3">
      <c r="J28985" s="33"/>
    </row>
    <row r="28986" spans="10:10" ht="15" customHeight="1" x14ac:dyDescent="0.3">
      <c r="J28986" s="33"/>
    </row>
    <row r="28987" spans="10:10" ht="15" customHeight="1" x14ac:dyDescent="0.3">
      <c r="J28987" s="33"/>
    </row>
    <row r="28988" spans="10:10" ht="15" customHeight="1" x14ac:dyDescent="0.3">
      <c r="J28988" s="33"/>
    </row>
    <row r="28989" spans="10:10" ht="15" customHeight="1" x14ac:dyDescent="0.3">
      <c r="J28989" s="33"/>
    </row>
    <row r="28990" spans="10:10" ht="15" customHeight="1" x14ac:dyDescent="0.3">
      <c r="J28990" s="33"/>
    </row>
    <row r="28991" spans="10:10" ht="15" customHeight="1" x14ac:dyDescent="0.3">
      <c r="J28991" s="33"/>
    </row>
    <row r="28992" spans="10:10" ht="15" customHeight="1" x14ac:dyDescent="0.3">
      <c r="J28992" s="33"/>
    </row>
    <row r="28993" spans="10:10" ht="15" customHeight="1" x14ac:dyDescent="0.3">
      <c r="J28993" s="33"/>
    </row>
    <row r="28994" spans="10:10" ht="15" customHeight="1" x14ac:dyDescent="0.3">
      <c r="J28994" s="33"/>
    </row>
    <row r="28995" spans="10:10" ht="15" customHeight="1" x14ac:dyDescent="0.3">
      <c r="J28995" s="33"/>
    </row>
    <row r="28996" spans="10:10" ht="15" customHeight="1" x14ac:dyDescent="0.3">
      <c r="J28996" s="33"/>
    </row>
    <row r="28997" spans="10:10" ht="15" customHeight="1" x14ac:dyDescent="0.3">
      <c r="J28997" s="33"/>
    </row>
    <row r="28998" spans="10:10" ht="15" customHeight="1" x14ac:dyDescent="0.3">
      <c r="J28998" s="33"/>
    </row>
    <row r="28999" spans="10:10" ht="15" customHeight="1" x14ac:dyDescent="0.3">
      <c r="J28999" s="33"/>
    </row>
    <row r="29000" spans="10:10" ht="15" customHeight="1" x14ac:dyDescent="0.3">
      <c r="J29000" s="33"/>
    </row>
    <row r="29001" spans="10:10" ht="15" customHeight="1" x14ac:dyDescent="0.3">
      <c r="J29001" s="33"/>
    </row>
    <row r="29002" spans="10:10" ht="15" customHeight="1" x14ac:dyDescent="0.3">
      <c r="J29002" s="33"/>
    </row>
    <row r="29003" spans="10:10" ht="15" customHeight="1" x14ac:dyDescent="0.3">
      <c r="J29003" s="33"/>
    </row>
    <row r="29004" spans="10:10" ht="15" customHeight="1" x14ac:dyDescent="0.3">
      <c r="J29004" s="33"/>
    </row>
    <row r="29005" spans="10:10" ht="15" customHeight="1" x14ac:dyDescent="0.3">
      <c r="J29005" s="33"/>
    </row>
    <row r="29006" spans="10:10" ht="15" customHeight="1" x14ac:dyDescent="0.3">
      <c r="J29006" s="33"/>
    </row>
    <row r="29007" spans="10:10" ht="15" customHeight="1" x14ac:dyDescent="0.3">
      <c r="J29007" s="33"/>
    </row>
    <row r="29008" spans="10:10" ht="15" customHeight="1" x14ac:dyDescent="0.3">
      <c r="J29008" s="33"/>
    </row>
    <row r="29009" spans="10:10" ht="15" customHeight="1" x14ac:dyDescent="0.3">
      <c r="J29009" s="33"/>
    </row>
    <row r="29010" spans="10:10" ht="15" customHeight="1" x14ac:dyDescent="0.3">
      <c r="J29010" s="33"/>
    </row>
    <row r="29011" spans="10:10" ht="15" customHeight="1" x14ac:dyDescent="0.3">
      <c r="J29011" s="33"/>
    </row>
    <row r="29012" spans="10:10" ht="15" customHeight="1" x14ac:dyDescent="0.3">
      <c r="J29012" s="33"/>
    </row>
    <row r="29013" spans="10:10" ht="15" customHeight="1" x14ac:dyDescent="0.3">
      <c r="J29013" s="33"/>
    </row>
    <row r="29014" spans="10:10" ht="15" customHeight="1" x14ac:dyDescent="0.3">
      <c r="J29014" s="33"/>
    </row>
    <row r="29015" spans="10:10" ht="15" customHeight="1" x14ac:dyDescent="0.3">
      <c r="J29015" s="33"/>
    </row>
    <row r="29016" spans="10:10" ht="15" customHeight="1" x14ac:dyDescent="0.3">
      <c r="J29016" s="33"/>
    </row>
    <row r="29017" spans="10:10" ht="15" customHeight="1" x14ac:dyDescent="0.3">
      <c r="J29017" s="33"/>
    </row>
    <row r="29018" spans="10:10" ht="15" customHeight="1" x14ac:dyDescent="0.3">
      <c r="J29018" s="33"/>
    </row>
    <row r="29019" spans="10:10" ht="15" customHeight="1" x14ac:dyDescent="0.3">
      <c r="J29019" s="33"/>
    </row>
    <row r="29020" spans="10:10" ht="15" customHeight="1" x14ac:dyDescent="0.3">
      <c r="J29020" s="33"/>
    </row>
    <row r="29021" spans="10:10" ht="15" customHeight="1" x14ac:dyDescent="0.3">
      <c r="J29021" s="33"/>
    </row>
    <row r="29022" spans="10:10" ht="15" customHeight="1" x14ac:dyDescent="0.3">
      <c r="J29022" s="33"/>
    </row>
    <row r="29023" spans="10:10" ht="15" customHeight="1" x14ac:dyDescent="0.3">
      <c r="J29023" s="33"/>
    </row>
    <row r="29024" spans="10:10" ht="15" customHeight="1" x14ac:dyDescent="0.3">
      <c r="J29024" s="33"/>
    </row>
    <row r="29025" spans="10:10" ht="15" customHeight="1" x14ac:dyDescent="0.3">
      <c r="J29025" s="33"/>
    </row>
    <row r="29026" spans="10:10" ht="15" customHeight="1" x14ac:dyDescent="0.3">
      <c r="J29026" s="33"/>
    </row>
    <row r="29027" spans="10:10" ht="15" customHeight="1" x14ac:dyDescent="0.3">
      <c r="J29027" s="33"/>
    </row>
    <row r="29028" spans="10:10" ht="15" customHeight="1" x14ac:dyDescent="0.3">
      <c r="J29028" s="33"/>
    </row>
    <row r="29029" spans="10:10" ht="15" customHeight="1" x14ac:dyDescent="0.3">
      <c r="J29029" s="33"/>
    </row>
    <row r="29030" spans="10:10" ht="15" customHeight="1" x14ac:dyDescent="0.3">
      <c r="J29030" s="33"/>
    </row>
    <row r="29031" spans="10:10" ht="15" customHeight="1" x14ac:dyDescent="0.3">
      <c r="J29031" s="33"/>
    </row>
    <row r="29032" spans="10:10" ht="15" customHeight="1" x14ac:dyDescent="0.3">
      <c r="J29032" s="33"/>
    </row>
    <row r="29033" spans="10:10" ht="15" customHeight="1" x14ac:dyDescent="0.3">
      <c r="J29033" s="33"/>
    </row>
    <row r="29034" spans="10:10" ht="15" customHeight="1" x14ac:dyDescent="0.3">
      <c r="J29034" s="33"/>
    </row>
    <row r="29035" spans="10:10" ht="15" customHeight="1" x14ac:dyDescent="0.3">
      <c r="J29035" s="33"/>
    </row>
    <row r="29036" spans="10:10" ht="15" customHeight="1" x14ac:dyDescent="0.3">
      <c r="J29036" s="33"/>
    </row>
    <row r="29037" spans="10:10" ht="15" customHeight="1" x14ac:dyDescent="0.3">
      <c r="J29037" s="33"/>
    </row>
    <row r="29038" spans="10:10" ht="15" customHeight="1" x14ac:dyDescent="0.3">
      <c r="J29038" s="33"/>
    </row>
    <row r="29039" spans="10:10" ht="15" customHeight="1" x14ac:dyDescent="0.3">
      <c r="J29039" s="33"/>
    </row>
    <row r="29040" spans="10:10" ht="15" customHeight="1" x14ac:dyDescent="0.3">
      <c r="J29040" s="33"/>
    </row>
    <row r="29041" spans="10:10" ht="15" customHeight="1" x14ac:dyDescent="0.3">
      <c r="J29041" s="33"/>
    </row>
    <row r="29042" spans="10:10" ht="15" customHeight="1" x14ac:dyDescent="0.3">
      <c r="J29042" s="33"/>
    </row>
    <row r="29043" spans="10:10" ht="15" customHeight="1" x14ac:dyDescent="0.3">
      <c r="J29043" s="33"/>
    </row>
    <row r="29044" spans="10:10" ht="15" customHeight="1" x14ac:dyDescent="0.3">
      <c r="J29044" s="33"/>
    </row>
    <row r="29045" spans="10:10" ht="15" customHeight="1" x14ac:dyDescent="0.3">
      <c r="J29045" s="33"/>
    </row>
    <row r="29046" spans="10:10" ht="15" customHeight="1" x14ac:dyDescent="0.3">
      <c r="J29046" s="33"/>
    </row>
    <row r="29047" spans="10:10" ht="15" customHeight="1" x14ac:dyDescent="0.3">
      <c r="J29047" s="33"/>
    </row>
    <row r="29048" spans="10:10" ht="15" customHeight="1" x14ac:dyDescent="0.3">
      <c r="J29048" s="33"/>
    </row>
    <row r="29049" spans="10:10" ht="15" customHeight="1" x14ac:dyDescent="0.3">
      <c r="J29049" s="33"/>
    </row>
    <row r="29050" spans="10:10" ht="15" customHeight="1" x14ac:dyDescent="0.3">
      <c r="J29050" s="33"/>
    </row>
    <row r="29051" spans="10:10" ht="15" customHeight="1" x14ac:dyDescent="0.3">
      <c r="J29051" s="33"/>
    </row>
    <row r="29052" spans="10:10" ht="15" customHeight="1" x14ac:dyDescent="0.3">
      <c r="J29052" s="33"/>
    </row>
    <row r="29053" spans="10:10" ht="15" customHeight="1" x14ac:dyDescent="0.3">
      <c r="J29053" s="33"/>
    </row>
    <row r="29054" spans="10:10" ht="15" customHeight="1" x14ac:dyDescent="0.3">
      <c r="J29054" s="33"/>
    </row>
    <row r="29055" spans="10:10" ht="15" customHeight="1" x14ac:dyDescent="0.3">
      <c r="J29055" s="33"/>
    </row>
    <row r="29056" spans="10:10" ht="15" customHeight="1" x14ac:dyDescent="0.3">
      <c r="J29056" s="33"/>
    </row>
    <row r="29057" spans="10:10" ht="15" customHeight="1" x14ac:dyDescent="0.3">
      <c r="J29057" s="33"/>
    </row>
    <row r="29058" spans="10:10" ht="15" customHeight="1" x14ac:dyDescent="0.3">
      <c r="J29058" s="33"/>
    </row>
    <row r="29059" spans="10:10" ht="15" customHeight="1" x14ac:dyDescent="0.3">
      <c r="J29059" s="33"/>
    </row>
    <row r="29060" spans="10:10" ht="15" customHeight="1" x14ac:dyDescent="0.3">
      <c r="J29060" s="33"/>
    </row>
    <row r="29061" spans="10:10" ht="15" customHeight="1" x14ac:dyDescent="0.3">
      <c r="J29061" s="33"/>
    </row>
    <row r="29062" spans="10:10" ht="15" customHeight="1" x14ac:dyDescent="0.3">
      <c r="J29062" s="33"/>
    </row>
    <row r="29063" spans="10:10" ht="15" customHeight="1" x14ac:dyDescent="0.3">
      <c r="J29063" s="33"/>
    </row>
    <row r="29064" spans="10:10" ht="15" customHeight="1" x14ac:dyDescent="0.3">
      <c r="J29064" s="33"/>
    </row>
    <row r="29065" spans="10:10" ht="15" customHeight="1" x14ac:dyDescent="0.3">
      <c r="J29065" s="33"/>
    </row>
    <row r="29066" spans="10:10" ht="15" customHeight="1" x14ac:dyDescent="0.3">
      <c r="J29066" s="33"/>
    </row>
    <row r="29067" spans="10:10" ht="15" customHeight="1" x14ac:dyDescent="0.3">
      <c r="J29067" s="33"/>
    </row>
    <row r="29068" spans="10:10" ht="15" customHeight="1" x14ac:dyDescent="0.3">
      <c r="J29068" s="33"/>
    </row>
    <row r="29069" spans="10:10" ht="15" customHeight="1" x14ac:dyDescent="0.3">
      <c r="J29069" s="33"/>
    </row>
    <row r="29070" spans="10:10" ht="15" customHeight="1" x14ac:dyDescent="0.3">
      <c r="J29070" s="33"/>
    </row>
    <row r="29071" spans="10:10" ht="15" customHeight="1" x14ac:dyDescent="0.3">
      <c r="J29071" s="33"/>
    </row>
    <row r="29072" spans="10:10" ht="15" customHeight="1" x14ac:dyDescent="0.3">
      <c r="J29072" s="33"/>
    </row>
    <row r="29073" spans="10:10" ht="15" customHeight="1" x14ac:dyDescent="0.3">
      <c r="J29073" s="33"/>
    </row>
    <row r="29074" spans="10:10" ht="15" customHeight="1" x14ac:dyDescent="0.3">
      <c r="J29074" s="33"/>
    </row>
    <row r="29075" spans="10:10" ht="15" customHeight="1" x14ac:dyDescent="0.3">
      <c r="J29075" s="33"/>
    </row>
    <row r="29076" spans="10:10" ht="15" customHeight="1" x14ac:dyDescent="0.3">
      <c r="J29076" s="33"/>
    </row>
    <row r="29077" spans="10:10" ht="15" customHeight="1" x14ac:dyDescent="0.3">
      <c r="J29077" s="33"/>
    </row>
    <row r="29078" spans="10:10" ht="15" customHeight="1" x14ac:dyDescent="0.3">
      <c r="J29078" s="33"/>
    </row>
    <row r="29079" spans="10:10" ht="15" customHeight="1" x14ac:dyDescent="0.3">
      <c r="J29079" s="33"/>
    </row>
    <row r="29080" spans="10:10" ht="15" customHeight="1" x14ac:dyDescent="0.3">
      <c r="J29080" s="33"/>
    </row>
    <row r="29081" spans="10:10" ht="15" customHeight="1" x14ac:dyDescent="0.3">
      <c r="J29081" s="33"/>
    </row>
    <row r="29082" spans="10:10" ht="15" customHeight="1" x14ac:dyDescent="0.3">
      <c r="J29082" s="33"/>
    </row>
    <row r="29083" spans="10:10" ht="15" customHeight="1" x14ac:dyDescent="0.3">
      <c r="J29083" s="33"/>
    </row>
    <row r="29084" spans="10:10" ht="15" customHeight="1" x14ac:dyDescent="0.3">
      <c r="J29084" s="33"/>
    </row>
    <row r="29085" spans="10:10" ht="15" customHeight="1" x14ac:dyDescent="0.3">
      <c r="J29085" s="33"/>
    </row>
    <row r="29086" spans="10:10" ht="15" customHeight="1" x14ac:dyDescent="0.3">
      <c r="J29086" s="33"/>
    </row>
    <row r="29087" spans="10:10" ht="15" customHeight="1" x14ac:dyDescent="0.3">
      <c r="J29087" s="33"/>
    </row>
    <row r="29088" spans="10:10" ht="15" customHeight="1" x14ac:dyDescent="0.3">
      <c r="J29088" s="33"/>
    </row>
    <row r="29089" spans="10:10" ht="15" customHeight="1" x14ac:dyDescent="0.3">
      <c r="J29089" s="33"/>
    </row>
    <row r="29090" spans="10:10" ht="15" customHeight="1" x14ac:dyDescent="0.3">
      <c r="J29090" s="33"/>
    </row>
    <row r="29091" spans="10:10" ht="15" customHeight="1" x14ac:dyDescent="0.3">
      <c r="J29091" s="33"/>
    </row>
    <row r="29092" spans="10:10" ht="15" customHeight="1" x14ac:dyDescent="0.3">
      <c r="J29092" s="33"/>
    </row>
    <row r="29093" spans="10:10" ht="15" customHeight="1" x14ac:dyDescent="0.3">
      <c r="J29093" s="33"/>
    </row>
    <row r="29094" spans="10:10" ht="15" customHeight="1" x14ac:dyDescent="0.3">
      <c r="J29094" s="33"/>
    </row>
    <row r="29095" spans="10:10" ht="15" customHeight="1" x14ac:dyDescent="0.3">
      <c r="J29095" s="33"/>
    </row>
    <row r="29096" spans="10:10" ht="15" customHeight="1" x14ac:dyDescent="0.3">
      <c r="J29096" s="33"/>
    </row>
    <row r="29097" spans="10:10" ht="15" customHeight="1" x14ac:dyDescent="0.3">
      <c r="J29097" s="33"/>
    </row>
    <row r="29098" spans="10:10" ht="15" customHeight="1" x14ac:dyDescent="0.3">
      <c r="J29098" s="33"/>
    </row>
    <row r="29099" spans="10:10" ht="15" customHeight="1" x14ac:dyDescent="0.3">
      <c r="J29099" s="33"/>
    </row>
    <row r="29100" spans="10:10" ht="15" customHeight="1" x14ac:dyDescent="0.3">
      <c r="J29100" s="33"/>
    </row>
    <row r="29101" spans="10:10" ht="15" customHeight="1" x14ac:dyDescent="0.3">
      <c r="J29101" s="33"/>
    </row>
    <row r="29102" spans="10:10" ht="15" customHeight="1" x14ac:dyDescent="0.3">
      <c r="J29102" s="33"/>
    </row>
    <row r="29103" spans="10:10" ht="15" customHeight="1" x14ac:dyDescent="0.3">
      <c r="J29103" s="33"/>
    </row>
    <row r="29104" spans="10:10" ht="15" customHeight="1" x14ac:dyDescent="0.3">
      <c r="J29104" s="33"/>
    </row>
    <row r="29105" spans="10:10" ht="15" customHeight="1" x14ac:dyDescent="0.3">
      <c r="J29105" s="33"/>
    </row>
    <row r="29106" spans="10:10" ht="15" customHeight="1" x14ac:dyDescent="0.3">
      <c r="J29106" s="33"/>
    </row>
    <row r="29107" spans="10:10" ht="15" customHeight="1" x14ac:dyDescent="0.3">
      <c r="J29107" s="33"/>
    </row>
    <row r="29108" spans="10:10" ht="15" customHeight="1" x14ac:dyDescent="0.3">
      <c r="J29108" s="33"/>
    </row>
    <row r="29109" spans="10:10" ht="15" customHeight="1" x14ac:dyDescent="0.3">
      <c r="J29109" s="33"/>
    </row>
    <row r="29110" spans="10:10" ht="15" customHeight="1" x14ac:dyDescent="0.3">
      <c r="J29110" s="33"/>
    </row>
    <row r="29111" spans="10:10" ht="15" customHeight="1" x14ac:dyDescent="0.3">
      <c r="J29111" s="33"/>
    </row>
    <row r="29112" spans="10:10" ht="15" customHeight="1" x14ac:dyDescent="0.3">
      <c r="J29112" s="33"/>
    </row>
    <row r="29113" spans="10:10" ht="15" customHeight="1" x14ac:dyDescent="0.3">
      <c r="J29113" s="33"/>
    </row>
    <row r="29114" spans="10:10" ht="15" customHeight="1" x14ac:dyDescent="0.3">
      <c r="J29114" s="33"/>
    </row>
    <row r="29115" spans="10:10" ht="15" customHeight="1" x14ac:dyDescent="0.3">
      <c r="J29115" s="33"/>
    </row>
    <row r="29116" spans="10:10" ht="15" customHeight="1" x14ac:dyDescent="0.3">
      <c r="J29116" s="33"/>
    </row>
    <row r="29117" spans="10:10" ht="15" customHeight="1" x14ac:dyDescent="0.3">
      <c r="J29117" s="33"/>
    </row>
    <row r="29118" spans="10:10" ht="15" customHeight="1" x14ac:dyDescent="0.3">
      <c r="J29118" s="33"/>
    </row>
    <row r="29119" spans="10:10" ht="15" customHeight="1" x14ac:dyDescent="0.3">
      <c r="J29119" s="33"/>
    </row>
    <row r="29120" spans="10:10" ht="15" customHeight="1" x14ac:dyDescent="0.3">
      <c r="J29120" s="33"/>
    </row>
    <row r="29121" spans="10:10" ht="15" customHeight="1" x14ac:dyDescent="0.3">
      <c r="J29121" s="33"/>
    </row>
    <row r="29122" spans="10:10" ht="15" customHeight="1" x14ac:dyDescent="0.3">
      <c r="J29122" s="33"/>
    </row>
    <row r="29123" spans="10:10" ht="15" customHeight="1" x14ac:dyDescent="0.3">
      <c r="J29123" s="33"/>
    </row>
    <row r="29124" spans="10:10" ht="15" customHeight="1" x14ac:dyDescent="0.3">
      <c r="J29124" s="33"/>
    </row>
    <row r="29125" spans="10:10" ht="15" customHeight="1" x14ac:dyDescent="0.3">
      <c r="J29125" s="33"/>
    </row>
    <row r="29126" spans="10:10" ht="15" customHeight="1" x14ac:dyDescent="0.3">
      <c r="J29126" s="33"/>
    </row>
    <row r="29127" spans="10:10" ht="15" customHeight="1" x14ac:dyDescent="0.3">
      <c r="J29127" s="33"/>
    </row>
    <row r="29128" spans="10:10" ht="15" customHeight="1" x14ac:dyDescent="0.3">
      <c r="J29128" s="33"/>
    </row>
    <row r="29129" spans="10:10" ht="15" customHeight="1" x14ac:dyDescent="0.3">
      <c r="J29129" s="33"/>
    </row>
    <row r="29130" spans="10:10" ht="15" customHeight="1" x14ac:dyDescent="0.3">
      <c r="J29130" s="33"/>
    </row>
    <row r="29131" spans="10:10" ht="15" customHeight="1" x14ac:dyDescent="0.3">
      <c r="J29131" s="33"/>
    </row>
    <row r="29132" spans="10:10" ht="15" customHeight="1" x14ac:dyDescent="0.3">
      <c r="J29132" s="33"/>
    </row>
    <row r="29133" spans="10:10" ht="15" customHeight="1" x14ac:dyDescent="0.3">
      <c r="J29133" s="33"/>
    </row>
    <row r="29134" spans="10:10" ht="15" customHeight="1" x14ac:dyDescent="0.3">
      <c r="J29134" s="33"/>
    </row>
    <row r="29135" spans="10:10" ht="15" customHeight="1" x14ac:dyDescent="0.3">
      <c r="J29135" s="33"/>
    </row>
    <row r="29136" spans="10:10" ht="15" customHeight="1" x14ac:dyDescent="0.3">
      <c r="J29136" s="33"/>
    </row>
    <row r="29137" spans="10:10" ht="15" customHeight="1" x14ac:dyDescent="0.3">
      <c r="J29137" s="33"/>
    </row>
    <row r="29138" spans="10:10" ht="15" customHeight="1" x14ac:dyDescent="0.3">
      <c r="J29138" s="33"/>
    </row>
    <row r="29139" spans="10:10" ht="15" customHeight="1" x14ac:dyDescent="0.3">
      <c r="J29139" s="33"/>
    </row>
    <row r="29140" spans="10:10" ht="15" customHeight="1" x14ac:dyDescent="0.3">
      <c r="J29140" s="33"/>
    </row>
    <row r="29141" spans="10:10" ht="15" customHeight="1" x14ac:dyDescent="0.3">
      <c r="J29141" s="33"/>
    </row>
    <row r="29142" spans="10:10" ht="15" customHeight="1" x14ac:dyDescent="0.3">
      <c r="J29142" s="33"/>
    </row>
    <row r="29143" spans="10:10" ht="15" customHeight="1" x14ac:dyDescent="0.3">
      <c r="J29143" s="33"/>
    </row>
    <row r="29144" spans="10:10" ht="15" customHeight="1" x14ac:dyDescent="0.3">
      <c r="J29144" s="33"/>
    </row>
    <row r="29145" spans="10:10" ht="15" customHeight="1" x14ac:dyDescent="0.3">
      <c r="J29145" s="33"/>
    </row>
    <row r="29146" spans="10:10" ht="15" customHeight="1" x14ac:dyDescent="0.3">
      <c r="J29146" s="33"/>
    </row>
    <row r="29147" spans="10:10" ht="15" customHeight="1" x14ac:dyDescent="0.3">
      <c r="J29147" s="33"/>
    </row>
    <row r="29148" spans="10:10" ht="15" customHeight="1" x14ac:dyDescent="0.3">
      <c r="J29148" s="33"/>
    </row>
    <row r="29149" spans="10:10" ht="15" customHeight="1" x14ac:dyDescent="0.3">
      <c r="J29149" s="33"/>
    </row>
    <row r="29150" spans="10:10" ht="15" customHeight="1" x14ac:dyDescent="0.3">
      <c r="J29150" s="33"/>
    </row>
    <row r="29151" spans="10:10" ht="15" customHeight="1" x14ac:dyDescent="0.3">
      <c r="J29151" s="33"/>
    </row>
    <row r="29152" spans="10:10" ht="15" customHeight="1" x14ac:dyDescent="0.3">
      <c r="J29152" s="33"/>
    </row>
    <row r="29153" spans="10:10" ht="15" customHeight="1" x14ac:dyDescent="0.3">
      <c r="J29153" s="33"/>
    </row>
    <row r="29154" spans="10:10" ht="15" customHeight="1" x14ac:dyDescent="0.3">
      <c r="J29154" s="33"/>
    </row>
    <row r="29155" spans="10:10" ht="15" customHeight="1" x14ac:dyDescent="0.3">
      <c r="J29155" s="33"/>
    </row>
    <row r="29156" spans="10:10" ht="15" customHeight="1" x14ac:dyDescent="0.3">
      <c r="J29156" s="33"/>
    </row>
    <row r="29157" spans="10:10" ht="15" customHeight="1" x14ac:dyDescent="0.3">
      <c r="J29157" s="33"/>
    </row>
    <row r="29158" spans="10:10" ht="15" customHeight="1" x14ac:dyDescent="0.3">
      <c r="J29158" s="33"/>
    </row>
    <row r="29159" spans="10:10" ht="15" customHeight="1" x14ac:dyDescent="0.3">
      <c r="J29159" s="33"/>
    </row>
    <row r="29160" spans="10:10" ht="15" customHeight="1" x14ac:dyDescent="0.3">
      <c r="J29160" s="33"/>
    </row>
    <row r="29161" spans="10:10" ht="15" customHeight="1" x14ac:dyDescent="0.3">
      <c r="J29161" s="33"/>
    </row>
    <row r="29162" spans="10:10" ht="15" customHeight="1" x14ac:dyDescent="0.3">
      <c r="J29162" s="33"/>
    </row>
    <row r="29163" spans="10:10" ht="15" customHeight="1" x14ac:dyDescent="0.3">
      <c r="J29163" s="33"/>
    </row>
    <row r="29164" spans="10:10" ht="15" customHeight="1" x14ac:dyDescent="0.3">
      <c r="J29164" s="33"/>
    </row>
    <row r="29165" spans="10:10" ht="15" customHeight="1" x14ac:dyDescent="0.3">
      <c r="J29165" s="33"/>
    </row>
    <row r="29166" spans="10:10" ht="15" customHeight="1" x14ac:dyDescent="0.3">
      <c r="J29166" s="33"/>
    </row>
    <row r="29167" spans="10:10" ht="15" customHeight="1" x14ac:dyDescent="0.3">
      <c r="J29167" s="33"/>
    </row>
    <row r="29168" spans="10:10" ht="15" customHeight="1" x14ac:dyDescent="0.3">
      <c r="J29168" s="33"/>
    </row>
    <row r="29169" spans="10:10" ht="15" customHeight="1" x14ac:dyDescent="0.3">
      <c r="J29169" s="33"/>
    </row>
    <row r="29170" spans="10:10" ht="15" customHeight="1" x14ac:dyDescent="0.3">
      <c r="J29170" s="33"/>
    </row>
    <row r="29171" spans="10:10" ht="15" customHeight="1" x14ac:dyDescent="0.3">
      <c r="J29171" s="33"/>
    </row>
    <row r="29172" spans="10:10" ht="15" customHeight="1" x14ac:dyDescent="0.3">
      <c r="J29172" s="33"/>
    </row>
    <row r="29173" spans="10:10" ht="15" customHeight="1" x14ac:dyDescent="0.3">
      <c r="J29173" s="33"/>
    </row>
    <row r="29174" spans="10:10" ht="15" customHeight="1" x14ac:dyDescent="0.3">
      <c r="J29174" s="33"/>
    </row>
    <row r="29175" spans="10:10" ht="15" customHeight="1" x14ac:dyDescent="0.3">
      <c r="J29175" s="33"/>
    </row>
    <row r="29176" spans="10:10" ht="15" customHeight="1" x14ac:dyDescent="0.3">
      <c r="J29176" s="33"/>
    </row>
    <row r="29177" spans="10:10" ht="15" customHeight="1" x14ac:dyDescent="0.3">
      <c r="J29177" s="33"/>
    </row>
    <row r="29178" spans="10:10" ht="15" customHeight="1" x14ac:dyDescent="0.3">
      <c r="J29178" s="33"/>
    </row>
    <row r="29179" spans="10:10" ht="15" customHeight="1" x14ac:dyDescent="0.3">
      <c r="J29179" s="33"/>
    </row>
    <row r="29180" spans="10:10" ht="15" customHeight="1" x14ac:dyDescent="0.3">
      <c r="J29180" s="33"/>
    </row>
    <row r="29181" spans="10:10" ht="15" customHeight="1" x14ac:dyDescent="0.3">
      <c r="J29181" s="33"/>
    </row>
    <row r="29182" spans="10:10" ht="15" customHeight="1" x14ac:dyDescent="0.3">
      <c r="J29182" s="33"/>
    </row>
    <row r="29183" spans="10:10" ht="15" customHeight="1" x14ac:dyDescent="0.3">
      <c r="J29183" s="33"/>
    </row>
    <row r="29184" spans="10:10" ht="15" customHeight="1" x14ac:dyDescent="0.3">
      <c r="J29184" s="33"/>
    </row>
    <row r="29185" spans="10:10" ht="15" customHeight="1" x14ac:dyDescent="0.3">
      <c r="J29185" s="33"/>
    </row>
    <row r="29186" spans="10:10" ht="15" customHeight="1" x14ac:dyDescent="0.3">
      <c r="J29186" s="33"/>
    </row>
    <row r="29187" spans="10:10" ht="15" customHeight="1" x14ac:dyDescent="0.3">
      <c r="J29187" s="33"/>
    </row>
    <row r="29188" spans="10:10" ht="15" customHeight="1" x14ac:dyDescent="0.3">
      <c r="J29188" s="33"/>
    </row>
    <row r="29189" spans="10:10" ht="15" customHeight="1" x14ac:dyDescent="0.3">
      <c r="J29189" s="33"/>
    </row>
    <row r="29190" spans="10:10" ht="15" customHeight="1" x14ac:dyDescent="0.3">
      <c r="J29190" s="33"/>
    </row>
    <row r="29191" spans="10:10" ht="15" customHeight="1" x14ac:dyDescent="0.3">
      <c r="J29191" s="33"/>
    </row>
    <row r="29192" spans="10:10" ht="15" customHeight="1" x14ac:dyDescent="0.3">
      <c r="J29192" s="33"/>
    </row>
    <row r="29193" spans="10:10" ht="15" customHeight="1" x14ac:dyDescent="0.3">
      <c r="J29193" s="33"/>
    </row>
    <row r="29194" spans="10:10" ht="15" customHeight="1" x14ac:dyDescent="0.3">
      <c r="J29194" s="33"/>
    </row>
    <row r="29195" spans="10:10" ht="15" customHeight="1" x14ac:dyDescent="0.3">
      <c r="J29195" s="33"/>
    </row>
    <row r="29196" spans="10:10" ht="15" customHeight="1" x14ac:dyDescent="0.3">
      <c r="J29196" s="33"/>
    </row>
    <row r="29197" spans="10:10" ht="15" customHeight="1" x14ac:dyDescent="0.3">
      <c r="J29197" s="33"/>
    </row>
    <row r="29198" spans="10:10" ht="15" customHeight="1" x14ac:dyDescent="0.3">
      <c r="J29198" s="33"/>
    </row>
    <row r="29199" spans="10:10" ht="15" customHeight="1" x14ac:dyDescent="0.3">
      <c r="J29199" s="33"/>
    </row>
    <row r="29200" spans="10:10" ht="15" customHeight="1" x14ac:dyDescent="0.3">
      <c r="J29200" s="33"/>
    </row>
    <row r="29201" spans="10:10" ht="15" customHeight="1" x14ac:dyDescent="0.3">
      <c r="J29201" s="33"/>
    </row>
    <row r="29202" spans="10:10" ht="15" customHeight="1" x14ac:dyDescent="0.3">
      <c r="J29202" s="33"/>
    </row>
    <row r="29203" spans="10:10" ht="15" customHeight="1" x14ac:dyDescent="0.3">
      <c r="J29203" s="33"/>
    </row>
    <row r="29204" spans="10:10" ht="15" customHeight="1" x14ac:dyDescent="0.3">
      <c r="J29204" s="33"/>
    </row>
    <row r="29205" spans="10:10" ht="15" customHeight="1" x14ac:dyDescent="0.3">
      <c r="J29205" s="33"/>
    </row>
    <row r="29206" spans="10:10" ht="15" customHeight="1" x14ac:dyDescent="0.3">
      <c r="J29206" s="33"/>
    </row>
    <row r="29207" spans="10:10" ht="15" customHeight="1" x14ac:dyDescent="0.3">
      <c r="J29207" s="33"/>
    </row>
    <row r="29208" spans="10:10" ht="15" customHeight="1" x14ac:dyDescent="0.3">
      <c r="J29208" s="33"/>
    </row>
    <row r="29209" spans="10:10" ht="15" customHeight="1" x14ac:dyDescent="0.3">
      <c r="J29209" s="33"/>
    </row>
    <row r="29210" spans="10:10" ht="15" customHeight="1" x14ac:dyDescent="0.3">
      <c r="J29210" s="33"/>
    </row>
    <row r="29211" spans="10:10" ht="15" customHeight="1" x14ac:dyDescent="0.3">
      <c r="J29211" s="33"/>
    </row>
    <row r="29212" spans="10:10" ht="15" customHeight="1" x14ac:dyDescent="0.3">
      <c r="J29212" s="33"/>
    </row>
    <row r="29213" spans="10:10" ht="15" customHeight="1" x14ac:dyDescent="0.3">
      <c r="J29213" s="33"/>
    </row>
    <row r="29214" spans="10:10" ht="15" customHeight="1" x14ac:dyDescent="0.3">
      <c r="J29214" s="33"/>
    </row>
    <row r="29215" spans="10:10" ht="15" customHeight="1" x14ac:dyDescent="0.3">
      <c r="J29215" s="33"/>
    </row>
    <row r="29216" spans="10:10" ht="15" customHeight="1" x14ac:dyDescent="0.3">
      <c r="J29216" s="33"/>
    </row>
    <row r="29217" spans="10:10" ht="15" customHeight="1" x14ac:dyDescent="0.3">
      <c r="J29217" s="33"/>
    </row>
    <row r="29218" spans="10:10" ht="15" customHeight="1" x14ac:dyDescent="0.3">
      <c r="J29218" s="33"/>
    </row>
    <row r="29219" spans="10:10" ht="15" customHeight="1" x14ac:dyDescent="0.3">
      <c r="J29219" s="33"/>
    </row>
    <row r="29220" spans="10:10" ht="15" customHeight="1" x14ac:dyDescent="0.3">
      <c r="J29220" s="33"/>
    </row>
    <row r="29221" spans="10:10" ht="15" customHeight="1" x14ac:dyDescent="0.3">
      <c r="J29221" s="33"/>
    </row>
    <row r="29222" spans="10:10" ht="15" customHeight="1" x14ac:dyDescent="0.3">
      <c r="J29222" s="33"/>
    </row>
    <row r="29223" spans="10:10" ht="15" customHeight="1" x14ac:dyDescent="0.3">
      <c r="J29223" s="33"/>
    </row>
    <row r="29224" spans="10:10" ht="15" customHeight="1" x14ac:dyDescent="0.3">
      <c r="J29224" s="33"/>
    </row>
    <row r="29225" spans="10:10" ht="15" customHeight="1" x14ac:dyDescent="0.3">
      <c r="J29225" s="33"/>
    </row>
    <row r="29226" spans="10:10" ht="15" customHeight="1" x14ac:dyDescent="0.3">
      <c r="J29226" s="33"/>
    </row>
    <row r="29227" spans="10:10" ht="15" customHeight="1" x14ac:dyDescent="0.3">
      <c r="J29227" s="33"/>
    </row>
    <row r="29228" spans="10:10" ht="15" customHeight="1" x14ac:dyDescent="0.3">
      <c r="J29228" s="33"/>
    </row>
    <row r="29229" spans="10:10" ht="15" customHeight="1" x14ac:dyDescent="0.3">
      <c r="J29229" s="33"/>
    </row>
    <row r="29230" spans="10:10" ht="15" customHeight="1" x14ac:dyDescent="0.3">
      <c r="J29230" s="33"/>
    </row>
    <row r="29231" spans="10:10" ht="15" customHeight="1" x14ac:dyDescent="0.3">
      <c r="J29231" s="33"/>
    </row>
    <row r="29232" spans="10:10" ht="15" customHeight="1" x14ac:dyDescent="0.3">
      <c r="J29232" s="33"/>
    </row>
    <row r="29233" spans="10:10" ht="15" customHeight="1" x14ac:dyDescent="0.3">
      <c r="J29233" s="33"/>
    </row>
    <row r="29234" spans="10:10" ht="15" customHeight="1" x14ac:dyDescent="0.3">
      <c r="J29234" s="33"/>
    </row>
    <row r="29235" spans="10:10" ht="15" customHeight="1" x14ac:dyDescent="0.3">
      <c r="J29235" s="33"/>
    </row>
    <row r="29236" spans="10:10" ht="15" customHeight="1" x14ac:dyDescent="0.3">
      <c r="J29236" s="33"/>
    </row>
    <row r="29237" spans="10:10" ht="15" customHeight="1" x14ac:dyDescent="0.3">
      <c r="J29237" s="33"/>
    </row>
    <row r="29238" spans="10:10" ht="15" customHeight="1" x14ac:dyDescent="0.3">
      <c r="J29238" s="33"/>
    </row>
    <row r="29239" spans="10:10" ht="15" customHeight="1" x14ac:dyDescent="0.3">
      <c r="J29239" s="33"/>
    </row>
    <row r="29240" spans="10:10" ht="15" customHeight="1" x14ac:dyDescent="0.3">
      <c r="J29240" s="33"/>
    </row>
    <row r="29241" spans="10:10" ht="15" customHeight="1" x14ac:dyDescent="0.3">
      <c r="J29241" s="33"/>
    </row>
    <row r="29242" spans="10:10" ht="15" customHeight="1" x14ac:dyDescent="0.3">
      <c r="J29242" s="33"/>
    </row>
    <row r="29243" spans="10:10" ht="15" customHeight="1" x14ac:dyDescent="0.3">
      <c r="J29243" s="33"/>
    </row>
    <row r="29244" spans="10:10" ht="15" customHeight="1" x14ac:dyDescent="0.3">
      <c r="J29244" s="33"/>
    </row>
    <row r="29245" spans="10:10" ht="15" customHeight="1" x14ac:dyDescent="0.3">
      <c r="J29245" s="33"/>
    </row>
    <row r="29246" spans="10:10" ht="15" customHeight="1" x14ac:dyDescent="0.3">
      <c r="J29246" s="33"/>
    </row>
    <row r="29247" spans="10:10" ht="15" customHeight="1" x14ac:dyDescent="0.3">
      <c r="J29247" s="33"/>
    </row>
    <row r="29248" spans="10:10" ht="15" customHeight="1" x14ac:dyDescent="0.3">
      <c r="J29248" s="33"/>
    </row>
    <row r="29249" spans="10:10" ht="15" customHeight="1" x14ac:dyDescent="0.3">
      <c r="J29249" s="33"/>
    </row>
    <row r="29250" spans="10:10" ht="15" customHeight="1" x14ac:dyDescent="0.3">
      <c r="J29250" s="33"/>
    </row>
    <row r="29251" spans="10:10" ht="15" customHeight="1" x14ac:dyDescent="0.3">
      <c r="J29251" s="33"/>
    </row>
    <row r="29252" spans="10:10" ht="15" customHeight="1" x14ac:dyDescent="0.3">
      <c r="J29252" s="33"/>
    </row>
    <row r="29253" spans="10:10" ht="15" customHeight="1" x14ac:dyDescent="0.3">
      <c r="J29253" s="33"/>
    </row>
    <row r="29254" spans="10:10" ht="15" customHeight="1" x14ac:dyDescent="0.3">
      <c r="J29254" s="33"/>
    </row>
    <row r="29255" spans="10:10" ht="15" customHeight="1" x14ac:dyDescent="0.3">
      <c r="J29255" s="33"/>
    </row>
    <row r="29256" spans="10:10" ht="15" customHeight="1" x14ac:dyDescent="0.3">
      <c r="J29256" s="33"/>
    </row>
    <row r="29257" spans="10:10" ht="15" customHeight="1" x14ac:dyDescent="0.3">
      <c r="J29257" s="33"/>
    </row>
    <row r="29258" spans="10:10" ht="15" customHeight="1" x14ac:dyDescent="0.3">
      <c r="J29258" s="33"/>
    </row>
    <row r="29259" spans="10:10" ht="15" customHeight="1" x14ac:dyDescent="0.3">
      <c r="J29259" s="33"/>
    </row>
    <row r="29260" spans="10:10" ht="15" customHeight="1" x14ac:dyDescent="0.3">
      <c r="J29260" s="33"/>
    </row>
    <row r="29261" spans="10:10" ht="15" customHeight="1" x14ac:dyDescent="0.3">
      <c r="J29261" s="33"/>
    </row>
    <row r="29262" spans="10:10" ht="15" customHeight="1" x14ac:dyDescent="0.3">
      <c r="J29262" s="33"/>
    </row>
    <row r="29263" spans="10:10" ht="15" customHeight="1" x14ac:dyDescent="0.3">
      <c r="J29263" s="33"/>
    </row>
    <row r="29264" spans="10:10" ht="15" customHeight="1" x14ac:dyDescent="0.3">
      <c r="J29264" s="33"/>
    </row>
    <row r="29265" spans="10:10" ht="15" customHeight="1" x14ac:dyDescent="0.3">
      <c r="J29265" s="33"/>
    </row>
    <row r="29266" spans="10:10" ht="15" customHeight="1" x14ac:dyDescent="0.3">
      <c r="J29266" s="33"/>
    </row>
    <row r="29267" spans="10:10" ht="15" customHeight="1" x14ac:dyDescent="0.3">
      <c r="J29267" s="33"/>
    </row>
    <row r="29268" spans="10:10" ht="15" customHeight="1" x14ac:dyDescent="0.3">
      <c r="J29268" s="33"/>
    </row>
    <row r="29269" spans="10:10" ht="15" customHeight="1" x14ac:dyDescent="0.3">
      <c r="J29269" s="33"/>
    </row>
    <row r="29270" spans="10:10" ht="15" customHeight="1" x14ac:dyDescent="0.3">
      <c r="J29270" s="33"/>
    </row>
    <row r="29271" spans="10:10" ht="15" customHeight="1" x14ac:dyDescent="0.3">
      <c r="J29271" s="33"/>
    </row>
    <row r="29272" spans="10:10" ht="15" customHeight="1" x14ac:dyDescent="0.3">
      <c r="J29272" s="33"/>
    </row>
    <row r="29273" spans="10:10" ht="15" customHeight="1" x14ac:dyDescent="0.3">
      <c r="J29273" s="33"/>
    </row>
    <row r="29274" spans="10:10" ht="15" customHeight="1" x14ac:dyDescent="0.3">
      <c r="J29274" s="33"/>
    </row>
    <row r="29275" spans="10:10" ht="15" customHeight="1" x14ac:dyDescent="0.3">
      <c r="J29275" s="33"/>
    </row>
    <row r="29276" spans="10:10" ht="15" customHeight="1" x14ac:dyDescent="0.3">
      <c r="J29276" s="33"/>
    </row>
    <row r="29277" spans="10:10" ht="15" customHeight="1" x14ac:dyDescent="0.3">
      <c r="J29277" s="33"/>
    </row>
    <row r="29278" spans="10:10" ht="15" customHeight="1" x14ac:dyDescent="0.3">
      <c r="J29278" s="33"/>
    </row>
    <row r="29279" spans="10:10" ht="15" customHeight="1" x14ac:dyDescent="0.3">
      <c r="J29279" s="33"/>
    </row>
    <row r="29280" spans="10:10" ht="15" customHeight="1" x14ac:dyDescent="0.3">
      <c r="J29280" s="33"/>
    </row>
    <row r="29281" spans="10:10" ht="15" customHeight="1" x14ac:dyDescent="0.3">
      <c r="J29281" s="33"/>
    </row>
    <row r="29282" spans="10:10" ht="15" customHeight="1" x14ac:dyDescent="0.3">
      <c r="J29282" s="33"/>
    </row>
    <row r="29283" spans="10:10" ht="15" customHeight="1" x14ac:dyDescent="0.3">
      <c r="J29283" s="33"/>
    </row>
    <row r="29284" spans="10:10" ht="15" customHeight="1" x14ac:dyDescent="0.3">
      <c r="J29284" s="33"/>
    </row>
    <row r="29285" spans="10:10" ht="15" customHeight="1" x14ac:dyDescent="0.3">
      <c r="J29285" s="33"/>
    </row>
    <row r="29286" spans="10:10" ht="15" customHeight="1" x14ac:dyDescent="0.3">
      <c r="J29286" s="33"/>
    </row>
    <row r="29287" spans="10:10" ht="15" customHeight="1" x14ac:dyDescent="0.3">
      <c r="J29287" s="33"/>
    </row>
    <row r="29288" spans="10:10" ht="15" customHeight="1" x14ac:dyDescent="0.3">
      <c r="J29288" s="33"/>
    </row>
    <row r="29289" spans="10:10" ht="15" customHeight="1" x14ac:dyDescent="0.3">
      <c r="J29289" s="33"/>
    </row>
    <row r="29290" spans="10:10" ht="15" customHeight="1" x14ac:dyDescent="0.3">
      <c r="J29290" s="33"/>
    </row>
    <row r="29291" spans="10:10" ht="15" customHeight="1" x14ac:dyDescent="0.3">
      <c r="J29291" s="33"/>
    </row>
    <row r="29292" spans="10:10" ht="15" customHeight="1" x14ac:dyDescent="0.3">
      <c r="J29292" s="33"/>
    </row>
    <row r="29293" spans="10:10" ht="15" customHeight="1" x14ac:dyDescent="0.3">
      <c r="J29293" s="33"/>
    </row>
    <row r="29294" spans="10:10" ht="15" customHeight="1" x14ac:dyDescent="0.3">
      <c r="J29294" s="33"/>
    </row>
    <row r="29295" spans="10:10" ht="15" customHeight="1" x14ac:dyDescent="0.3">
      <c r="J29295" s="33"/>
    </row>
    <row r="29296" spans="10:10" ht="15" customHeight="1" x14ac:dyDescent="0.3">
      <c r="J29296" s="33"/>
    </row>
    <row r="29297" spans="10:10" ht="15" customHeight="1" x14ac:dyDescent="0.3">
      <c r="J29297" s="33"/>
    </row>
    <row r="29298" spans="10:10" ht="15" customHeight="1" x14ac:dyDescent="0.3">
      <c r="J29298" s="33"/>
    </row>
    <row r="29299" spans="10:10" ht="15" customHeight="1" x14ac:dyDescent="0.3">
      <c r="J29299" s="33"/>
    </row>
    <row r="29300" spans="10:10" ht="15" customHeight="1" x14ac:dyDescent="0.3">
      <c r="J29300" s="33"/>
    </row>
    <row r="29301" spans="10:10" ht="15" customHeight="1" x14ac:dyDescent="0.3">
      <c r="J29301" s="33"/>
    </row>
    <row r="29302" spans="10:10" ht="15" customHeight="1" x14ac:dyDescent="0.3">
      <c r="J29302" s="33"/>
    </row>
    <row r="29303" spans="10:10" ht="15" customHeight="1" x14ac:dyDescent="0.3">
      <c r="J29303" s="33"/>
    </row>
    <row r="29304" spans="10:10" ht="15" customHeight="1" x14ac:dyDescent="0.3">
      <c r="J29304" s="33"/>
    </row>
    <row r="29305" spans="10:10" ht="15" customHeight="1" x14ac:dyDescent="0.3">
      <c r="J29305" s="33"/>
    </row>
    <row r="29306" spans="10:10" ht="15" customHeight="1" x14ac:dyDescent="0.3">
      <c r="J29306" s="33"/>
    </row>
    <row r="29307" spans="10:10" ht="15" customHeight="1" x14ac:dyDescent="0.3">
      <c r="J29307" s="33"/>
    </row>
    <row r="29308" spans="10:10" ht="15" customHeight="1" x14ac:dyDescent="0.3">
      <c r="J29308" s="33"/>
    </row>
    <row r="29309" spans="10:10" ht="15" customHeight="1" x14ac:dyDescent="0.3">
      <c r="J29309" s="33"/>
    </row>
    <row r="29310" spans="10:10" ht="15" customHeight="1" x14ac:dyDescent="0.3">
      <c r="J29310" s="33"/>
    </row>
    <row r="29311" spans="10:10" ht="15" customHeight="1" x14ac:dyDescent="0.3">
      <c r="J29311" s="33"/>
    </row>
    <row r="29312" spans="10:10" ht="15" customHeight="1" x14ac:dyDescent="0.3">
      <c r="J29312" s="33"/>
    </row>
    <row r="29313" spans="10:10" ht="15" customHeight="1" x14ac:dyDescent="0.3">
      <c r="J29313" s="33"/>
    </row>
    <row r="29314" spans="10:10" ht="15" customHeight="1" x14ac:dyDescent="0.3">
      <c r="J29314" s="33"/>
    </row>
    <row r="29315" spans="10:10" ht="15" customHeight="1" x14ac:dyDescent="0.3">
      <c r="J29315" s="33"/>
    </row>
    <row r="29316" spans="10:10" ht="15" customHeight="1" x14ac:dyDescent="0.3">
      <c r="J29316" s="33"/>
    </row>
    <row r="29317" spans="10:10" ht="15" customHeight="1" x14ac:dyDescent="0.3">
      <c r="J29317" s="33"/>
    </row>
    <row r="29318" spans="10:10" ht="15" customHeight="1" x14ac:dyDescent="0.3">
      <c r="J29318" s="33"/>
    </row>
    <row r="29319" spans="10:10" ht="15" customHeight="1" x14ac:dyDescent="0.3">
      <c r="J29319" s="33"/>
    </row>
    <row r="29320" spans="10:10" ht="15" customHeight="1" x14ac:dyDescent="0.3">
      <c r="J29320" s="33"/>
    </row>
    <row r="29321" spans="10:10" ht="15" customHeight="1" x14ac:dyDescent="0.3">
      <c r="J29321" s="33"/>
    </row>
    <row r="29322" spans="10:10" ht="15" customHeight="1" x14ac:dyDescent="0.3">
      <c r="J29322" s="33"/>
    </row>
    <row r="29323" spans="10:10" ht="15" customHeight="1" x14ac:dyDescent="0.3">
      <c r="J29323" s="33"/>
    </row>
    <row r="29324" spans="10:10" ht="15" customHeight="1" x14ac:dyDescent="0.3">
      <c r="J29324" s="33"/>
    </row>
    <row r="29325" spans="10:10" ht="15" customHeight="1" x14ac:dyDescent="0.3">
      <c r="J29325" s="33"/>
    </row>
    <row r="29326" spans="10:10" ht="15" customHeight="1" x14ac:dyDescent="0.3">
      <c r="J29326" s="33"/>
    </row>
    <row r="29327" spans="10:10" ht="15" customHeight="1" x14ac:dyDescent="0.3">
      <c r="J29327" s="33"/>
    </row>
    <row r="29328" spans="10:10" ht="15" customHeight="1" x14ac:dyDescent="0.3">
      <c r="J29328" s="33"/>
    </row>
    <row r="29329" spans="10:10" ht="15" customHeight="1" x14ac:dyDescent="0.3">
      <c r="J29329" s="33"/>
    </row>
    <row r="29330" spans="10:10" ht="15" customHeight="1" x14ac:dyDescent="0.3">
      <c r="J29330" s="33"/>
    </row>
    <row r="29331" spans="10:10" ht="15" customHeight="1" x14ac:dyDescent="0.3">
      <c r="J29331" s="33"/>
    </row>
    <row r="29332" spans="10:10" ht="15" customHeight="1" x14ac:dyDescent="0.3">
      <c r="J29332" s="33"/>
    </row>
    <row r="29333" spans="10:10" ht="15" customHeight="1" x14ac:dyDescent="0.3">
      <c r="J29333" s="33"/>
    </row>
    <row r="29334" spans="10:10" ht="15" customHeight="1" x14ac:dyDescent="0.3">
      <c r="J29334" s="33"/>
    </row>
    <row r="29335" spans="10:10" ht="15" customHeight="1" x14ac:dyDescent="0.3">
      <c r="J29335" s="33"/>
    </row>
    <row r="29336" spans="10:10" ht="15" customHeight="1" x14ac:dyDescent="0.3">
      <c r="J29336" s="33"/>
    </row>
    <row r="29337" spans="10:10" ht="15" customHeight="1" x14ac:dyDescent="0.3">
      <c r="J29337" s="33"/>
    </row>
    <row r="29338" spans="10:10" ht="15" customHeight="1" x14ac:dyDescent="0.3">
      <c r="J29338" s="33"/>
    </row>
    <row r="29339" spans="10:10" ht="15" customHeight="1" x14ac:dyDescent="0.3">
      <c r="J29339" s="33"/>
    </row>
    <row r="29340" spans="10:10" ht="15" customHeight="1" x14ac:dyDescent="0.3">
      <c r="J29340" s="33"/>
    </row>
    <row r="29341" spans="10:10" ht="15" customHeight="1" x14ac:dyDescent="0.3">
      <c r="J29341" s="33"/>
    </row>
    <row r="29342" spans="10:10" ht="15" customHeight="1" x14ac:dyDescent="0.3">
      <c r="J29342" s="33"/>
    </row>
    <row r="29343" spans="10:10" ht="15" customHeight="1" x14ac:dyDescent="0.3">
      <c r="J29343" s="33"/>
    </row>
    <row r="29344" spans="10:10" ht="15" customHeight="1" x14ac:dyDescent="0.3">
      <c r="J29344" s="33"/>
    </row>
    <row r="29345" spans="10:10" ht="15" customHeight="1" x14ac:dyDescent="0.3">
      <c r="J29345" s="33"/>
    </row>
    <row r="29346" spans="10:10" ht="15" customHeight="1" x14ac:dyDescent="0.3">
      <c r="J29346" s="33"/>
    </row>
    <row r="29347" spans="10:10" ht="15" customHeight="1" x14ac:dyDescent="0.3">
      <c r="J29347" s="33"/>
    </row>
    <row r="29348" spans="10:10" ht="15" customHeight="1" x14ac:dyDescent="0.3">
      <c r="J29348" s="33"/>
    </row>
    <row r="29349" spans="10:10" ht="15" customHeight="1" x14ac:dyDescent="0.3">
      <c r="J29349" s="33"/>
    </row>
    <row r="29350" spans="10:10" ht="15" customHeight="1" x14ac:dyDescent="0.3">
      <c r="J29350" s="33"/>
    </row>
    <row r="29351" spans="10:10" ht="15" customHeight="1" x14ac:dyDescent="0.3">
      <c r="J29351" s="33"/>
    </row>
    <row r="29352" spans="10:10" ht="15" customHeight="1" x14ac:dyDescent="0.3">
      <c r="J29352" s="33"/>
    </row>
    <row r="29353" spans="10:10" ht="15" customHeight="1" x14ac:dyDescent="0.3">
      <c r="J29353" s="33"/>
    </row>
    <row r="29354" spans="10:10" ht="15" customHeight="1" x14ac:dyDescent="0.3">
      <c r="J29354" s="33"/>
    </row>
    <row r="29355" spans="10:10" ht="15" customHeight="1" x14ac:dyDescent="0.3">
      <c r="J29355" s="33"/>
    </row>
    <row r="29356" spans="10:10" ht="15" customHeight="1" x14ac:dyDescent="0.3">
      <c r="J29356" s="33"/>
    </row>
    <row r="29357" spans="10:10" ht="15" customHeight="1" x14ac:dyDescent="0.3">
      <c r="J29357" s="33"/>
    </row>
    <row r="29358" spans="10:10" ht="15" customHeight="1" x14ac:dyDescent="0.3">
      <c r="J29358" s="33"/>
    </row>
    <row r="29359" spans="10:10" ht="15" customHeight="1" x14ac:dyDescent="0.3">
      <c r="J29359" s="33"/>
    </row>
    <row r="29360" spans="10:10" ht="15" customHeight="1" x14ac:dyDescent="0.3">
      <c r="J29360" s="33"/>
    </row>
    <row r="29361" spans="10:10" ht="15" customHeight="1" x14ac:dyDescent="0.3">
      <c r="J29361" s="33"/>
    </row>
    <row r="29362" spans="10:10" ht="15" customHeight="1" x14ac:dyDescent="0.3">
      <c r="J29362" s="33"/>
    </row>
    <row r="29363" spans="10:10" ht="15" customHeight="1" x14ac:dyDescent="0.3">
      <c r="J29363" s="33"/>
    </row>
    <row r="29364" spans="10:10" ht="15" customHeight="1" x14ac:dyDescent="0.3">
      <c r="J29364" s="33"/>
    </row>
    <row r="29365" spans="10:10" ht="15" customHeight="1" x14ac:dyDescent="0.3">
      <c r="J29365" s="33"/>
    </row>
    <row r="29366" spans="10:10" ht="15" customHeight="1" x14ac:dyDescent="0.3">
      <c r="J29366" s="33"/>
    </row>
    <row r="29367" spans="10:10" ht="15" customHeight="1" x14ac:dyDescent="0.3">
      <c r="J29367" s="33"/>
    </row>
    <row r="29368" spans="10:10" ht="15" customHeight="1" x14ac:dyDescent="0.3">
      <c r="J29368" s="33"/>
    </row>
    <row r="29369" spans="10:10" ht="15" customHeight="1" x14ac:dyDescent="0.3">
      <c r="J29369" s="33"/>
    </row>
    <row r="29370" spans="10:10" ht="15" customHeight="1" x14ac:dyDescent="0.3">
      <c r="J29370" s="33"/>
    </row>
    <row r="29371" spans="10:10" ht="15" customHeight="1" x14ac:dyDescent="0.3">
      <c r="J29371" s="33"/>
    </row>
    <row r="29372" spans="10:10" ht="15" customHeight="1" x14ac:dyDescent="0.3">
      <c r="J29372" s="33"/>
    </row>
    <row r="29373" spans="10:10" ht="15" customHeight="1" x14ac:dyDescent="0.3">
      <c r="J29373" s="33"/>
    </row>
    <row r="29374" spans="10:10" ht="15" customHeight="1" x14ac:dyDescent="0.3">
      <c r="J29374" s="33"/>
    </row>
    <row r="29375" spans="10:10" ht="15" customHeight="1" x14ac:dyDescent="0.3">
      <c r="J29375" s="33"/>
    </row>
    <row r="29376" spans="10:10" ht="15" customHeight="1" x14ac:dyDescent="0.3">
      <c r="J29376" s="33"/>
    </row>
    <row r="29377" spans="10:10" ht="15" customHeight="1" x14ac:dyDescent="0.3">
      <c r="J29377" s="33"/>
    </row>
    <row r="29378" spans="10:10" ht="15" customHeight="1" x14ac:dyDescent="0.3">
      <c r="J29378" s="33"/>
    </row>
    <row r="29379" spans="10:10" ht="15" customHeight="1" x14ac:dyDescent="0.3">
      <c r="J29379" s="33"/>
    </row>
    <row r="29380" spans="10:10" ht="15" customHeight="1" x14ac:dyDescent="0.3">
      <c r="J29380" s="33"/>
    </row>
    <row r="29381" spans="10:10" ht="15" customHeight="1" x14ac:dyDescent="0.3">
      <c r="J29381" s="33"/>
    </row>
    <row r="29382" spans="10:10" ht="15" customHeight="1" x14ac:dyDescent="0.3">
      <c r="J29382" s="33"/>
    </row>
    <row r="29383" spans="10:10" ht="15" customHeight="1" x14ac:dyDescent="0.3">
      <c r="J29383" s="33"/>
    </row>
    <row r="29384" spans="10:10" ht="15" customHeight="1" x14ac:dyDescent="0.3">
      <c r="J29384" s="33"/>
    </row>
    <row r="29385" spans="10:10" ht="15" customHeight="1" x14ac:dyDescent="0.3">
      <c r="J29385" s="33"/>
    </row>
    <row r="29386" spans="10:10" ht="15" customHeight="1" x14ac:dyDescent="0.3">
      <c r="J29386" s="33"/>
    </row>
    <row r="29387" spans="10:10" ht="15" customHeight="1" x14ac:dyDescent="0.3">
      <c r="J29387" s="33"/>
    </row>
    <row r="29388" spans="10:10" ht="15" customHeight="1" x14ac:dyDescent="0.3">
      <c r="J29388" s="33"/>
    </row>
    <row r="29389" spans="10:10" ht="15" customHeight="1" x14ac:dyDescent="0.3">
      <c r="J29389" s="33"/>
    </row>
    <row r="29390" spans="10:10" ht="15" customHeight="1" x14ac:dyDescent="0.3">
      <c r="J29390" s="33"/>
    </row>
    <row r="29391" spans="10:10" ht="15" customHeight="1" x14ac:dyDescent="0.3">
      <c r="J29391" s="33"/>
    </row>
    <row r="29392" spans="10:10" ht="15" customHeight="1" x14ac:dyDescent="0.3">
      <c r="J29392" s="33"/>
    </row>
    <row r="29393" spans="10:10" ht="15" customHeight="1" x14ac:dyDescent="0.3">
      <c r="J29393" s="33"/>
    </row>
    <row r="29394" spans="10:10" ht="15" customHeight="1" x14ac:dyDescent="0.3">
      <c r="J29394" s="33"/>
    </row>
    <row r="29395" spans="10:10" ht="15" customHeight="1" x14ac:dyDescent="0.3">
      <c r="J29395" s="33"/>
    </row>
    <row r="29396" spans="10:10" ht="15" customHeight="1" x14ac:dyDescent="0.3">
      <c r="J29396" s="33"/>
    </row>
    <row r="29397" spans="10:10" ht="15" customHeight="1" x14ac:dyDescent="0.3">
      <c r="J29397" s="33"/>
    </row>
    <row r="29398" spans="10:10" ht="15" customHeight="1" x14ac:dyDescent="0.3">
      <c r="J29398" s="33"/>
    </row>
    <row r="29399" spans="10:10" ht="15" customHeight="1" x14ac:dyDescent="0.3">
      <c r="J29399" s="33"/>
    </row>
    <row r="29400" spans="10:10" ht="15" customHeight="1" x14ac:dyDescent="0.3">
      <c r="J29400" s="33"/>
    </row>
    <row r="29401" spans="10:10" ht="15" customHeight="1" x14ac:dyDescent="0.3">
      <c r="J29401" s="33"/>
    </row>
    <row r="29402" spans="10:10" ht="15" customHeight="1" x14ac:dyDescent="0.3">
      <c r="J29402" s="33"/>
    </row>
    <row r="29403" spans="10:10" ht="15" customHeight="1" x14ac:dyDescent="0.3">
      <c r="J29403" s="33"/>
    </row>
    <row r="29404" spans="10:10" ht="15" customHeight="1" x14ac:dyDescent="0.3">
      <c r="J29404" s="33"/>
    </row>
    <row r="29405" spans="10:10" ht="15" customHeight="1" x14ac:dyDescent="0.3">
      <c r="J29405" s="33"/>
    </row>
    <row r="29406" spans="10:10" ht="15" customHeight="1" x14ac:dyDescent="0.3">
      <c r="J29406" s="33"/>
    </row>
    <row r="29407" spans="10:10" ht="15" customHeight="1" x14ac:dyDescent="0.3">
      <c r="J29407" s="33"/>
    </row>
    <row r="29408" spans="10:10" ht="15" customHeight="1" x14ac:dyDescent="0.3">
      <c r="J29408" s="33"/>
    </row>
    <row r="29409" spans="10:10" ht="15" customHeight="1" x14ac:dyDescent="0.3">
      <c r="J29409" s="33"/>
    </row>
    <row r="29410" spans="10:10" ht="15" customHeight="1" x14ac:dyDescent="0.3">
      <c r="J29410" s="33"/>
    </row>
    <row r="29411" spans="10:10" ht="15" customHeight="1" x14ac:dyDescent="0.3">
      <c r="J29411" s="33"/>
    </row>
    <row r="29412" spans="10:10" ht="15" customHeight="1" x14ac:dyDescent="0.3">
      <c r="J29412" s="33"/>
    </row>
    <row r="29413" spans="10:10" ht="15" customHeight="1" x14ac:dyDescent="0.3">
      <c r="J29413" s="33"/>
    </row>
    <row r="29414" spans="10:10" ht="15" customHeight="1" x14ac:dyDescent="0.3">
      <c r="J29414" s="33"/>
    </row>
    <row r="29415" spans="10:10" ht="15" customHeight="1" x14ac:dyDescent="0.3">
      <c r="J29415" s="33"/>
    </row>
    <row r="29416" spans="10:10" ht="15" customHeight="1" x14ac:dyDescent="0.3">
      <c r="J29416" s="33"/>
    </row>
    <row r="29417" spans="10:10" ht="15" customHeight="1" x14ac:dyDescent="0.3">
      <c r="J29417" s="33"/>
    </row>
    <row r="29418" spans="10:10" ht="15" customHeight="1" x14ac:dyDescent="0.3">
      <c r="J29418" s="33"/>
    </row>
    <row r="29419" spans="10:10" ht="15" customHeight="1" x14ac:dyDescent="0.3">
      <c r="J29419" s="33"/>
    </row>
    <row r="29420" spans="10:10" ht="15" customHeight="1" x14ac:dyDescent="0.3">
      <c r="J29420" s="33"/>
    </row>
    <row r="29421" spans="10:10" ht="15" customHeight="1" x14ac:dyDescent="0.3">
      <c r="J29421" s="33"/>
    </row>
    <row r="29422" spans="10:10" ht="15" customHeight="1" x14ac:dyDescent="0.3">
      <c r="J29422" s="33"/>
    </row>
    <row r="29423" spans="10:10" ht="15" customHeight="1" x14ac:dyDescent="0.3">
      <c r="J29423" s="33"/>
    </row>
    <row r="29424" spans="10:10" ht="15" customHeight="1" x14ac:dyDescent="0.3">
      <c r="J29424" s="33"/>
    </row>
    <row r="29425" spans="10:10" ht="15" customHeight="1" x14ac:dyDescent="0.3">
      <c r="J29425" s="33"/>
    </row>
    <row r="29426" spans="10:10" ht="15" customHeight="1" x14ac:dyDescent="0.3">
      <c r="J29426" s="33"/>
    </row>
    <row r="29427" spans="10:10" ht="15" customHeight="1" x14ac:dyDescent="0.3">
      <c r="J29427" s="33"/>
    </row>
    <row r="29428" spans="10:10" ht="15" customHeight="1" x14ac:dyDescent="0.3">
      <c r="J29428" s="33"/>
    </row>
    <row r="29429" spans="10:10" ht="15" customHeight="1" x14ac:dyDescent="0.3">
      <c r="J29429" s="33"/>
    </row>
    <row r="29430" spans="10:10" ht="15" customHeight="1" x14ac:dyDescent="0.3">
      <c r="J29430" s="33"/>
    </row>
    <row r="29431" spans="10:10" ht="15" customHeight="1" x14ac:dyDescent="0.3">
      <c r="J29431" s="33"/>
    </row>
    <row r="29432" spans="10:10" ht="15" customHeight="1" x14ac:dyDescent="0.3">
      <c r="J29432" s="33"/>
    </row>
    <row r="29433" spans="10:10" ht="15" customHeight="1" x14ac:dyDescent="0.3">
      <c r="J29433" s="33"/>
    </row>
    <row r="29434" spans="10:10" ht="15" customHeight="1" x14ac:dyDescent="0.3">
      <c r="J29434" s="33"/>
    </row>
    <row r="29435" spans="10:10" ht="15" customHeight="1" x14ac:dyDescent="0.3">
      <c r="J29435" s="33"/>
    </row>
    <row r="29436" spans="10:10" ht="15" customHeight="1" x14ac:dyDescent="0.3">
      <c r="J29436" s="33"/>
    </row>
    <row r="29437" spans="10:10" ht="15" customHeight="1" x14ac:dyDescent="0.3">
      <c r="J29437" s="33"/>
    </row>
    <row r="29438" spans="10:10" ht="15" customHeight="1" x14ac:dyDescent="0.3">
      <c r="J29438" s="33"/>
    </row>
    <row r="29439" spans="10:10" ht="15" customHeight="1" x14ac:dyDescent="0.3">
      <c r="J29439" s="33"/>
    </row>
    <row r="29440" spans="10:10" ht="15" customHeight="1" x14ac:dyDescent="0.3">
      <c r="J29440" s="33"/>
    </row>
    <row r="29441" spans="10:10" ht="15" customHeight="1" x14ac:dyDescent="0.3">
      <c r="J29441" s="33"/>
    </row>
    <row r="29442" spans="10:10" ht="15" customHeight="1" x14ac:dyDescent="0.3">
      <c r="J29442" s="33"/>
    </row>
    <row r="29443" spans="10:10" ht="15" customHeight="1" x14ac:dyDescent="0.3">
      <c r="J29443" s="33"/>
    </row>
    <row r="29444" spans="10:10" ht="15" customHeight="1" x14ac:dyDescent="0.3">
      <c r="J29444" s="33"/>
    </row>
    <row r="29445" spans="10:10" ht="15" customHeight="1" x14ac:dyDescent="0.3">
      <c r="J29445" s="33"/>
    </row>
    <row r="29446" spans="10:10" ht="15" customHeight="1" x14ac:dyDescent="0.3">
      <c r="J29446" s="33"/>
    </row>
    <row r="29447" spans="10:10" ht="15" customHeight="1" x14ac:dyDescent="0.3">
      <c r="J29447" s="33"/>
    </row>
    <row r="29448" spans="10:10" ht="15" customHeight="1" x14ac:dyDescent="0.3">
      <c r="J29448" s="33"/>
    </row>
    <row r="29449" spans="10:10" ht="15" customHeight="1" x14ac:dyDescent="0.3">
      <c r="J29449" s="33"/>
    </row>
    <row r="29450" spans="10:10" ht="15" customHeight="1" x14ac:dyDescent="0.3">
      <c r="J29450" s="33"/>
    </row>
    <row r="29451" spans="10:10" ht="15" customHeight="1" x14ac:dyDescent="0.3">
      <c r="J29451" s="33"/>
    </row>
    <row r="29452" spans="10:10" ht="15" customHeight="1" x14ac:dyDescent="0.3">
      <c r="J29452" s="33"/>
    </row>
    <row r="29453" spans="10:10" ht="15" customHeight="1" x14ac:dyDescent="0.3">
      <c r="J29453" s="33"/>
    </row>
    <row r="29454" spans="10:10" ht="15" customHeight="1" x14ac:dyDescent="0.3">
      <c r="J29454" s="33"/>
    </row>
    <row r="29455" spans="10:10" ht="15" customHeight="1" x14ac:dyDescent="0.3">
      <c r="J29455" s="33"/>
    </row>
    <row r="29456" spans="10:10" ht="15" customHeight="1" x14ac:dyDescent="0.3">
      <c r="J29456" s="33"/>
    </row>
    <row r="29457" spans="10:10" ht="15" customHeight="1" x14ac:dyDescent="0.3">
      <c r="J29457" s="33"/>
    </row>
    <row r="29458" spans="10:10" ht="15" customHeight="1" x14ac:dyDescent="0.3">
      <c r="J29458" s="33"/>
    </row>
    <row r="29459" spans="10:10" ht="15" customHeight="1" x14ac:dyDescent="0.3">
      <c r="J29459" s="33"/>
    </row>
    <row r="29460" spans="10:10" ht="15" customHeight="1" x14ac:dyDescent="0.3">
      <c r="J29460" s="33"/>
    </row>
    <row r="29461" spans="10:10" ht="15" customHeight="1" x14ac:dyDescent="0.3">
      <c r="J29461" s="33"/>
    </row>
    <row r="29462" spans="10:10" ht="15" customHeight="1" x14ac:dyDescent="0.3">
      <c r="J29462" s="33"/>
    </row>
    <row r="29463" spans="10:10" ht="15" customHeight="1" x14ac:dyDescent="0.3">
      <c r="J29463" s="33"/>
    </row>
    <row r="29464" spans="10:10" ht="15" customHeight="1" x14ac:dyDescent="0.3">
      <c r="J29464" s="33"/>
    </row>
    <row r="29465" spans="10:10" ht="15" customHeight="1" x14ac:dyDescent="0.3">
      <c r="J29465" s="33"/>
    </row>
    <row r="29466" spans="10:10" ht="15" customHeight="1" x14ac:dyDescent="0.3">
      <c r="J29466" s="33"/>
    </row>
    <row r="29467" spans="10:10" ht="15" customHeight="1" x14ac:dyDescent="0.3">
      <c r="J29467" s="33"/>
    </row>
    <row r="29468" spans="10:10" ht="15" customHeight="1" x14ac:dyDescent="0.3">
      <c r="J29468" s="33"/>
    </row>
    <row r="29469" spans="10:10" ht="15" customHeight="1" x14ac:dyDescent="0.3">
      <c r="J29469" s="33"/>
    </row>
    <row r="29470" spans="10:10" ht="15" customHeight="1" x14ac:dyDescent="0.3">
      <c r="J29470" s="33"/>
    </row>
    <row r="29471" spans="10:10" ht="15" customHeight="1" x14ac:dyDescent="0.3">
      <c r="J29471" s="33"/>
    </row>
    <row r="29472" spans="10:10" ht="15" customHeight="1" x14ac:dyDescent="0.3">
      <c r="J29472" s="33"/>
    </row>
    <row r="29473" spans="10:10" ht="15" customHeight="1" x14ac:dyDescent="0.3">
      <c r="J29473" s="33"/>
    </row>
    <row r="29474" spans="10:10" ht="15" customHeight="1" x14ac:dyDescent="0.3">
      <c r="J29474" s="33"/>
    </row>
    <row r="29475" spans="10:10" ht="15" customHeight="1" x14ac:dyDescent="0.3">
      <c r="J29475" s="33"/>
    </row>
    <row r="29476" spans="10:10" ht="15" customHeight="1" x14ac:dyDescent="0.3">
      <c r="J29476" s="33"/>
    </row>
    <row r="29477" spans="10:10" ht="15" customHeight="1" x14ac:dyDescent="0.3">
      <c r="J29477" s="33"/>
    </row>
    <row r="29478" spans="10:10" ht="15" customHeight="1" x14ac:dyDescent="0.3">
      <c r="J29478" s="33"/>
    </row>
    <row r="29479" spans="10:10" ht="15" customHeight="1" x14ac:dyDescent="0.3">
      <c r="J29479" s="33"/>
    </row>
    <row r="29480" spans="10:10" ht="15" customHeight="1" x14ac:dyDescent="0.3">
      <c r="J29480" s="33"/>
    </row>
    <row r="29481" spans="10:10" ht="15" customHeight="1" x14ac:dyDescent="0.3">
      <c r="J29481" s="33"/>
    </row>
    <row r="29482" spans="10:10" ht="15" customHeight="1" x14ac:dyDescent="0.3">
      <c r="J29482" s="33"/>
    </row>
    <row r="29483" spans="10:10" ht="15" customHeight="1" x14ac:dyDescent="0.3">
      <c r="J29483" s="33"/>
    </row>
    <row r="29484" spans="10:10" ht="15" customHeight="1" x14ac:dyDescent="0.3">
      <c r="J29484" s="33"/>
    </row>
    <row r="29485" spans="10:10" ht="15" customHeight="1" x14ac:dyDescent="0.3">
      <c r="J29485" s="33"/>
    </row>
    <row r="29486" spans="10:10" ht="15" customHeight="1" x14ac:dyDescent="0.3">
      <c r="J29486" s="33"/>
    </row>
    <row r="29487" spans="10:10" ht="15" customHeight="1" x14ac:dyDescent="0.3">
      <c r="J29487" s="33"/>
    </row>
    <row r="29488" spans="10:10" ht="15" customHeight="1" x14ac:dyDescent="0.3">
      <c r="J29488" s="33"/>
    </row>
    <row r="29489" spans="10:10" ht="15" customHeight="1" x14ac:dyDescent="0.3">
      <c r="J29489" s="33"/>
    </row>
    <row r="29490" spans="10:10" ht="15" customHeight="1" x14ac:dyDescent="0.3">
      <c r="J29490" s="33"/>
    </row>
    <row r="29491" spans="10:10" ht="15" customHeight="1" x14ac:dyDescent="0.3">
      <c r="J29491" s="33"/>
    </row>
    <row r="29492" spans="10:10" ht="15" customHeight="1" x14ac:dyDescent="0.3">
      <c r="J29492" s="33"/>
    </row>
    <row r="29493" spans="10:10" ht="15" customHeight="1" x14ac:dyDescent="0.3">
      <c r="J29493" s="33"/>
    </row>
    <row r="29494" spans="10:10" ht="15" customHeight="1" x14ac:dyDescent="0.3">
      <c r="J29494" s="33"/>
    </row>
    <row r="29495" spans="10:10" ht="15" customHeight="1" x14ac:dyDescent="0.3">
      <c r="J29495" s="33"/>
    </row>
    <row r="29496" spans="10:10" ht="15" customHeight="1" x14ac:dyDescent="0.3">
      <c r="J29496" s="33"/>
    </row>
    <row r="29497" spans="10:10" ht="15" customHeight="1" x14ac:dyDescent="0.3">
      <c r="J29497" s="33"/>
    </row>
    <row r="29498" spans="10:10" ht="15" customHeight="1" x14ac:dyDescent="0.3">
      <c r="J29498" s="33"/>
    </row>
    <row r="29499" spans="10:10" ht="15" customHeight="1" x14ac:dyDescent="0.3">
      <c r="J29499" s="33"/>
    </row>
    <row r="29500" spans="10:10" ht="15" customHeight="1" x14ac:dyDescent="0.3">
      <c r="J29500" s="33"/>
    </row>
    <row r="29501" spans="10:10" ht="15" customHeight="1" x14ac:dyDescent="0.3">
      <c r="J29501" s="33"/>
    </row>
    <row r="29502" spans="10:10" ht="15" customHeight="1" x14ac:dyDescent="0.3">
      <c r="J29502" s="33"/>
    </row>
    <row r="29503" spans="10:10" ht="15" customHeight="1" x14ac:dyDescent="0.3">
      <c r="J29503" s="33"/>
    </row>
    <row r="29504" spans="10:10" ht="15" customHeight="1" x14ac:dyDescent="0.3">
      <c r="J29504" s="33"/>
    </row>
    <row r="29505" spans="10:10" ht="15" customHeight="1" x14ac:dyDescent="0.3">
      <c r="J29505" s="33"/>
    </row>
    <row r="29506" spans="10:10" ht="15" customHeight="1" x14ac:dyDescent="0.3">
      <c r="J29506" s="33"/>
    </row>
    <row r="29507" spans="10:10" ht="15" customHeight="1" x14ac:dyDescent="0.3">
      <c r="J29507" s="33"/>
    </row>
    <row r="29508" spans="10:10" ht="15" customHeight="1" x14ac:dyDescent="0.3">
      <c r="J29508" s="33"/>
    </row>
    <row r="29509" spans="10:10" ht="15" customHeight="1" x14ac:dyDescent="0.3">
      <c r="J29509" s="33"/>
    </row>
    <row r="29510" spans="10:10" ht="15" customHeight="1" x14ac:dyDescent="0.3">
      <c r="J29510" s="33"/>
    </row>
    <row r="29511" spans="10:10" ht="15" customHeight="1" x14ac:dyDescent="0.3">
      <c r="J29511" s="33"/>
    </row>
    <row r="29512" spans="10:10" ht="15" customHeight="1" x14ac:dyDescent="0.3">
      <c r="J29512" s="33"/>
    </row>
    <row r="29513" spans="10:10" ht="15" customHeight="1" x14ac:dyDescent="0.3">
      <c r="J29513" s="33"/>
    </row>
    <row r="29514" spans="10:10" ht="15" customHeight="1" x14ac:dyDescent="0.3">
      <c r="J29514" s="33"/>
    </row>
    <row r="29515" spans="10:10" ht="15" customHeight="1" x14ac:dyDescent="0.3">
      <c r="J29515" s="33"/>
    </row>
    <row r="29516" spans="10:10" ht="15" customHeight="1" x14ac:dyDescent="0.3">
      <c r="J29516" s="33"/>
    </row>
    <row r="29517" spans="10:10" ht="15" customHeight="1" x14ac:dyDescent="0.3">
      <c r="J29517" s="33"/>
    </row>
    <row r="29518" spans="10:10" ht="15" customHeight="1" x14ac:dyDescent="0.3">
      <c r="J29518" s="33"/>
    </row>
    <row r="29519" spans="10:10" ht="15" customHeight="1" x14ac:dyDescent="0.3">
      <c r="J29519" s="33"/>
    </row>
    <row r="29520" spans="10:10" ht="15" customHeight="1" x14ac:dyDescent="0.3">
      <c r="J29520" s="33"/>
    </row>
    <row r="29521" spans="10:10" ht="15" customHeight="1" x14ac:dyDescent="0.3">
      <c r="J29521" s="33"/>
    </row>
    <row r="29522" spans="10:10" ht="15" customHeight="1" x14ac:dyDescent="0.3">
      <c r="J29522" s="33"/>
    </row>
    <row r="29523" spans="10:10" ht="15" customHeight="1" x14ac:dyDescent="0.3">
      <c r="J29523" s="33"/>
    </row>
    <row r="29524" spans="10:10" ht="15" customHeight="1" x14ac:dyDescent="0.3">
      <c r="J29524" s="33"/>
    </row>
    <row r="29525" spans="10:10" ht="15" customHeight="1" x14ac:dyDescent="0.3">
      <c r="J29525" s="33"/>
    </row>
    <row r="29526" spans="10:10" ht="15" customHeight="1" x14ac:dyDescent="0.3">
      <c r="J29526" s="33"/>
    </row>
    <row r="29527" spans="10:10" ht="15" customHeight="1" x14ac:dyDescent="0.3">
      <c r="J29527" s="33"/>
    </row>
    <row r="29528" spans="10:10" ht="15" customHeight="1" x14ac:dyDescent="0.3">
      <c r="J29528" s="33"/>
    </row>
    <row r="29529" spans="10:10" ht="15" customHeight="1" x14ac:dyDescent="0.3">
      <c r="J29529" s="33"/>
    </row>
    <row r="29530" spans="10:10" ht="15" customHeight="1" x14ac:dyDescent="0.3">
      <c r="J29530" s="33"/>
    </row>
    <row r="29531" spans="10:10" ht="15" customHeight="1" x14ac:dyDescent="0.3">
      <c r="J29531" s="33"/>
    </row>
    <row r="29532" spans="10:10" ht="15" customHeight="1" x14ac:dyDescent="0.3">
      <c r="J29532" s="33"/>
    </row>
    <row r="29533" spans="10:10" ht="15" customHeight="1" x14ac:dyDescent="0.3">
      <c r="J29533" s="33"/>
    </row>
    <row r="29534" spans="10:10" ht="15" customHeight="1" x14ac:dyDescent="0.3">
      <c r="J29534" s="33"/>
    </row>
    <row r="29535" spans="10:10" ht="15" customHeight="1" x14ac:dyDescent="0.3">
      <c r="J29535" s="33"/>
    </row>
    <row r="29536" spans="10:10" ht="15" customHeight="1" x14ac:dyDescent="0.3">
      <c r="J29536" s="33"/>
    </row>
    <row r="29537" spans="10:10" ht="15" customHeight="1" x14ac:dyDescent="0.3">
      <c r="J29537" s="33"/>
    </row>
    <row r="29538" spans="10:10" ht="15" customHeight="1" x14ac:dyDescent="0.3">
      <c r="J29538" s="33"/>
    </row>
    <row r="29539" spans="10:10" ht="15" customHeight="1" x14ac:dyDescent="0.3">
      <c r="J29539" s="33"/>
    </row>
    <row r="29540" spans="10:10" ht="15" customHeight="1" x14ac:dyDescent="0.3">
      <c r="J29540" s="33"/>
    </row>
    <row r="29541" spans="10:10" ht="15" customHeight="1" x14ac:dyDescent="0.3">
      <c r="J29541" s="33"/>
    </row>
    <row r="29542" spans="10:10" ht="15" customHeight="1" x14ac:dyDescent="0.3">
      <c r="J29542" s="33"/>
    </row>
    <row r="29543" spans="10:10" ht="15" customHeight="1" x14ac:dyDescent="0.3">
      <c r="J29543" s="33"/>
    </row>
    <row r="29544" spans="10:10" ht="15" customHeight="1" x14ac:dyDescent="0.3">
      <c r="J29544" s="33"/>
    </row>
    <row r="29545" spans="10:10" ht="15" customHeight="1" x14ac:dyDescent="0.3">
      <c r="J29545" s="33"/>
    </row>
    <row r="29546" spans="10:10" ht="15" customHeight="1" x14ac:dyDescent="0.3">
      <c r="J29546" s="33"/>
    </row>
    <row r="29547" spans="10:10" ht="15" customHeight="1" x14ac:dyDescent="0.3">
      <c r="J29547" s="33"/>
    </row>
    <row r="29548" spans="10:10" ht="15" customHeight="1" x14ac:dyDescent="0.3">
      <c r="J29548" s="33"/>
    </row>
    <row r="29549" spans="10:10" ht="15" customHeight="1" x14ac:dyDescent="0.3">
      <c r="J29549" s="33"/>
    </row>
    <row r="29550" spans="10:10" ht="15" customHeight="1" x14ac:dyDescent="0.3">
      <c r="J29550" s="33"/>
    </row>
    <row r="29551" spans="10:10" ht="15" customHeight="1" x14ac:dyDescent="0.3">
      <c r="J29551" s="33"/>
    </row>
    <row r="29552" spans="10:10" ht="15" customHeight="1" x14ac:dyDescent="0.3">
      <c r="J29552" s="33"/>
    </row>
    <row r="29553" spans="10:10" ht="15" customHeight="1" x14ac:dyDescent="0.3">
      <c r="J29553" s="33"/>
    </row>
    <row r="29554" spans="10:10" ht="15" customHeight="1" x14ac:dyDescent="0.3">
      <c r="J29554" s="33"/>
    </row>
    <row r="29555" spans="10:10" ht="15" customHeight="1" x14ac:dyDescent="0.3">
      <c r="J29555" s="33"/>
    </row>
    <row r="29556" spans="10:10" ht="15" customHeight="1" x14ac:dyDescent="0.3">
      <c r="J29556" s="33"/>
    </row>
    <row r="29557" spans="10:10" ht="15" customHeight="1" x14ac:dyDescent="0.3">
      <c r="J29557" s="33"/>
    </row>
    <row r="29558" spans="10:10" ht="15" customHeight="1" x14ac:dyDescent="0.3">
      <c r="J29558" s="33"/>
    </row>
    <row r="29559" spans="10:10" ht="15" customHeight="1" x14ac:dyDescent="0.3">
      <c r="J29559" s="33"/>
    </row>
    <row r="29560" spans="10:10" ht="15" customHeight="1" x14ac:dyDescent="0.3">
      <c r="J29560" s="33"/>
    </row>
    <row r="29561" spans="10:10" ht="15" customHeight="1" x14ac:dyDescent="0.3">
      <c r="J29561" s="33"/>
    </row>
    <row r="29562" spans="10:10" ht="15" customHeight="1" x14ac:dyDescent="0.3">
      <c r="J29562" s="33"/>
    </row>
    <row r="29563" spans="10:10" x14ac:dyDescent="0.3">
      <c r="J29563" s="33"/>
    </row>
    <row r="29564" spans="10:10" ht="15" customHeight="1" x14ac:dyDescent="0.3">
      <c r="J29564" s="33"/>
    </row>
    <row r="29565" spans="10:10" x14ac:dyDescent="0.3">
      <c r="J29565" s="33"/>
    </row>
    <row r="29566" spans="10:10" x14ac:dyDescent="0.3">
      <c r="J29566" s="33"/>
    </row>
    <row r="29567" spans="10:10" x14ac:dyDescent="0.3">
      <c r="J29567" s="33"/>
    </row>
    <row r="29568" spans="10:10" x14ac:dyDescent="0.3">
      <c r="J29568" s="33"/>
    </row>
    <row r="29569" spans="10:10" x14ac:dyDescent="0.3">
      <c r="J29569" s="33"/>
    </row>
    <row r="29570" spans="10:10" x14ac:dyDescent="0.3">
      <c r="J29570" s="33"/>
    </row>
    <row r="29571" spans="10:10" ht="15" customHeight="1" x14ac:dyDescent="0.3">
      <c r="J29571" s="33"/>
    </row>
    <row r="29572" spans="10:10" ht="15" customHeight="1" x14ac:dyDescent="0.3">
      <c r="J29572" s="33"/>
    </row>
    <row r="29573" spans="10:10" ht="15" customHeight="1" x14ac:dyDescent="0.3">
      <c r="J29573" s="33"/>
    </row>
    <row r="29574" spans="10:10" ht="15" customHeight="1" x14ac:dyDescent="0.3">
      <c r="J29574" s="33"/>
    </row>
    <row r="29575" spans="10:10" x14ac:dyDescent="0.3">
      <c r="J29575" s="33"/>
    </row>
    <row r="29576" spans="10:10" ht="15" customHeight="1" x14ac:dyDescent="0.3">
      <c r="J29576" s="33"/>
    </row>
    <row r="29577" spans="10:10" ht="15" customHeight="1" x14ac:dyDescent="0.3">
      <c r="J29577" s="33"/>
    </row>
    <row r="29578" spans="10:10" x14ac:dyDescent="0.3">
      <c r="J29578" s="33"/>
    </row>
    <row r="29579" spans="10:10" ht="15" customHeight="1" x14ac:dyDescent="0.3">
      <c r="J29579" s="33"/>
    </row>
    <row r="29580" spans="10:10" ht="15" customHeight="1" x14ac:dyDescent="0.3">
      <c r="J29580" s="33"/>
    </row>
    <row r="29581" spans="10:10" x14ac:dyDescent="0.3">
      <c r="J29581" s="33"/>
    </row>
    <row r="29582" spans="10:10" x14ac:dyDescent="0.3">
      <c r="J29582" s="33"/>
    </row>
    <row r="29583" spans="10:10" ht="15" customHeight="1" x14ac:dyDescent="0.3">
      <c r="J29583" s="33"/>
    </row>
    <row r="29584" spans="10:10" ht="15" customHeight="1" x14ac:dyDescent="0.3">
      <c r="J29584" s="33"/>
    </row>
    <row r="29585" spans="10:10" x14ac:dyDescent="0.3">
      <c r="J29585" s="33"/>
    </row>
    <row r="29586" spans="10:10" ht="15" customHeight="1" x14ac:dyDescent="0.3">
      <c r="J29586" s="33"/>
    </row>
    <row r="29587" spans="10:10" x14ac:dyDescent="0.3">
      <c r="J29587" s="33"/>
    </row>
    <row r="29588" spans="10:10" ht="15" customHeight="1" x14ac:dyDescent="0.3">
      <c r="J29588" s="33"/>
    </row>
    <row r="29589" spans="10:10" x14ac:dyDescent="0.3">
      <c r="J29589" s="33"/>
    </row>
    <row r="29590" spans="10:10" x14ac:dyDescent="0.3">
      <c r="J29590" s="33"/>
    </row>
    <row r="29591" spans="10:10" ht="15" customHeight="1" x14ac:dyDescent="0.3">
      <c r="J29591" s="33"/>
    </row>
    <row r="29592" spans="10:10" ht="15" customHeight="1" x14ac:dyDescent="0.3">
      <c r="J29592" s="33"/>
    </row>
    <row r="29593" spans="10:10" ht="15" customHeight="1" x14ac:dyDescent="0.3">
      <c r="J29593" s="33"/>
    </row>
    <row r="29594" spans="10:10" x14ac:dyDescent="0.3">
      <c r="J29594" s="33"/>
    </row>
    <row r="29595" spans="10:10" x14ac:dyDescent="0.3">
      <c r="J29595" s="33"/>
    </row>
    <row r="29596" spans="10:10" x14ac:dyDescent="0.3">
      <c r="J29596" s="33"/>
    </row>
    <row r="29597" spans="10:10" x14ac:dyDescent="0.3">
      <c r="J29597" s="33"/>
    </row>
    <row r="29598" spans="10:10" x14ac:dyDescent="0.3">
      <c r="J29598" s="33"/>
    </row>
    <row r="29599" spans="10:10" ht="15" customHeight="1" x14ac:dyDescent="0.3">
      <c r="J29599" s="33"/>
    </row>
    <row r="29600" spans="10:10" ht="15" customHeight="1" x14ac:dyDescent="0.3">
      <c r="J29600" s="33"/>
    </row>
    <row r="29601" spans="10:10" ht="15" customHeight="1" x14ac:dyDescent="0.3">
      <c r="J29601" s="33"/>
    </row>
    <row r="29602" spans="10:10" ht="15" customHeight="1" x14ac:dyDescent="0.3">
      <c r="J29602" s="33"/>
    </row>
    <row r="29603" spans="10:10" ht="15" customHeight="1" x14ac:dyDescent="0.3">
      <c r="J29603" s="33"/>
    </row>
    <row r="29604" spans="10:10" ht="15" customHeight="1" x14ac:dyDescent="0.3">
      <c r="J29604" s="33"/>
    </row>
    <row r="29605" spans="10:10" x14ac:dyDescent="0.3">
      <c r="J29605" s="33"/>
    </row>
    <row r="29606" spans="10:10" x14ac:dyDescent="0.3">
      <c r="J29606" s="33"/>
    </row>
    <row r="29607" spans="10:10" x14ac:dyDescent="0.3">
      <c r="J29607" s="33"/>
    </row>
    <row r="29608" spans="10:10" x14ac:dyDescent="0.3">
      <c r="J29608" s="33"/>
    </row>
    <row r="29609" spans="10:10" x14ac:dyDescent="0.3">
      <c r="J29609" s="33"/>
    </row>
    <row r="29610" spans="10:10" x14ac:dyDescent="0.3">
      <c r="J29610" s="33"/>
    </row>
    <row r="29611" spans="10:10" ht="15" customHeight="1" x14ac:dyDescent="0.3">
      <c r="J29611" s="33"/>
    </row>
    <row r="29612" spans="10:10" ht="15" customHeight="1" x14ac:dyDescent="0.3">
      <c r="J29612" s="33"/>
    </row>
    <row r="29613" spans="10:10" x14ac:dyDescent="0.3">
      <c r="J29613" s="33"/>
    </row>
    <row r="29614" spans="10:10" x14ac:dyDescent="0.3">
      <c r="J29614" s="33"/>
    </row>
    <row r="29615" spans="10:10" ht="15" customHeight="1" x14ac:dyDescent="0.3">
      <c r="J29615" s="33"/>
    </row>
    <row r="29616" spans="10:10" x14ac:dyDescent="0.3">
      <c r="J29616" s="33"/>
    </row>
    <row r="29617" spans="10:10" ht="15" customHeight="1" x14ac:dyDescent="0.3">
      <c r="J29617" s="33"/>
    </row>
    <row r="29618" spans="10:10" x14ac:dyDescent="0.3">
      <c r="J29618" s="33"/>
    </row>
    <row r="29619" spans="10:10" ht="15" customHeight="1" x14ac:dyDescent="0.3">
      <c r="J29619" s="33"/>
    </row>
    <row r="29620" spans="10:10" ht="15" customHeight="1" x14ac:dyDescent="0.3">
      <c r="J29620" s="33"/>
    </row>
    <row r="29621" spans="10:10" x14ac:dyDescent="0.3">
      <c r="J29621" s="33"/>
    </row>
    <row r="29622" spans="10:10" x14ac:dyDescent="0.3">
      <c r="J29622" s="33"/>
    </row>
    <row r="29623" spans="10:10" ht="15" customHeight="1" x14ac:dyDescent="0.3">
      <c r="J29623" s="33"/>
    </row>
    <row r="29624" spans="10:10" x14ac:dyDescent="0.3">
      <c r="J29624" s="33"/>
    </row>
    <row r="29625" spans="10:10" x14ac:dyDescent="0.3">
      <c r="J29625" s="33"/>
    </row>
    <row r="29626" spans="10:10" x14ac:dyDescent="0.3">
      <c r="J29626" s="33"/>
    </row>
    <row r="29627" spans="10:10" x14ac:dyDescent="0.3">
      <c r="J29627" s="33"/>
    </row>
    <row r="29628" spans="10:10" ht="15" customHeight="1" x14ac:dyDescent="0.3">
      <c r="J29628" s="33"/>
    </row>
    <row r="29629" spans="10:10" x14ac:dyDescent="0.3">
      <c r="J29629" s="33"/>
    </row>
    <row r="29630" spans="10:10" x14ac:dyDescent="0.3">
      <c r="J29630" s="33"/>
    </row>
    <row r="29631" spans="10:10" ht="15" customHeight="1" x14ac:dyDescent="0.3">
      <c r="J29631" s="33"/>
    </row>
    <row r="29632" spans="10:10" ht="15" customHeight="1" x14ac:dyDescent="0.3">
      <c r="J29632" s="33"/>
    </row>
    <row r="29633" spans="10:10" ht="15" customHeight="1" x14ac:dyDescent="0.3">
      <c r="J29633" s="33"/>
    </row>
    <row r="29634" spans="10:10" x14ac:dyDescent="0.3">
      <c r="J29634" s="33"/>
    </row>
    <row r="29635" spans="10:10" x14ac:dyDescent="0.3">
      <c r="J29635" s="33"/>
    </row>
    <row r="29636" spans="10:10" x14ac:dyDescent="0.3">
      <c r="J29636" s="33"/>
    </row>
    <row r="29637" spans="10:10" ht="15" customHeight="1" x14ac:dyDescent="0.3">
      <c r="J29637" s="33"/>
    </row>
    <row r="29638" spans="10:10" x14ac:dyDescent="0.3">
      <c r="J29638" s="33"/>
    </row>
    <row r="29639" spans="10:10" x14ac:dyDescent="0.3">
      <c r="J29639" s="33"/>
    </row>
    <row r="29640" spans="10:10" ht="15" customHeight="1" x14ac:dyDescent="0.3">
      <c r="J29640" s="33"/>
    </row>
    <row r="29641" spans="10:10" ht="15" customHeight="1" x14ac:dyDescent="0.3">
      <c r="J29641" s="33"/>
    </row>
    <row r="29642" spans="10:10" x14ac:dyDescent="0.3">
      <c r="J29642" s="33"/>
    </row>
    <row r="29643" spans="10:10" x14ac:dyDescent="0.3">
      <c r="J29643" s="33"/>
    </row>
    <row r="29644" spans="10:10" ht="15" customHeight="1" x14ac:dyDescent="0.3">
      <c r="J29644" s="33"/>
    </row>
    <row r="29645" spans="10:10" x14ac:dyDescent="0.3">
      <c r="J29645" s="33"/>
    </row>
    <row r="29646" spans="10:10" x14ac:dyDescent="0.3">
      <c r="J29646" s="33"/>
    </row>
    <row r="29647" spans="10:10" ht="15" customHeight="1" x14ac:dyDescent="0.3">
      <c r="J29647" s="33"/>
    </row>
    <row r="29648" spans="10:10" ht="15" customHeight="1" x14ac:dyDescent="0.3">
      <c r="J29648" s="33"/>
    </row>
    <row r="29649" spans="10:10" x14ac:dyDescent="0.3">
      <c r="J29649" s="33"/>
    </row>
    <row r="29650" spans="10:10" ht="15" customHeight="1" x14ac:dyDescent="0.3">
      <c r="J29650" s="33"/>
    </row>
    <row r="29651" spans="10:10" ht="15" customHeight="1" x14ac:dyDescent="0.3">
      <c r="J29651" s="33"/>
    </row>
    <row r="29652" spans="10:10" ht="15" customHeight="1" x14ac:dyDescent="0.3">
      <c r="J29652" s="33"/>
    </row>
    <row r="29653" spans="10:10" ht="15" customHeight="1" x14ac:dyDescent="0.3">
      <c r="J29653" s="33"/>
    </row>
    <row r="29654" spans="10:10" x14ac:dyDescent="0.3">
      <c r="J29654" s="33"/>
    </row>
    <row r="29655" spans="10:10" x14ac:dyDescent="0.3">
      <c r="J29655" s="33"/>
    </row>
    <row r="29656" spans="10:10" ht="15" customHeight="1" x14ac:dyDescent="0.3">
      <c r="J29656" s="33"/>
    </row>
    <row r="29657" spans="10:10" ht="15" customHeight="1" x14ac:dyDescent="0.3">
      <c r="J29657" s="33"/>
    </row>
    <row r="29658" spans="10:10" ht="15" customHeight="1" x14ac:dyDescent="0.3">
      <c r="J29658" s="33"/>
    </row>
    <row r="29659" spans="10:10" x14ac:dyDescent="0.3">
      <c r="J29659" s="33"/>
    </row>
    <row r="29660" spans="10:10" x14ac:dyDescent="0.3">
      <c r="J29660" s="33"/>
    </row>
    <row r="29661" spans="10:10" ht="15" customHeight="1" x14ac:dyDescent="0.3">
      <c r="J29661" s="33"/>
    </row>
    <row r="29662" spans="10:10" x14ac:dyDescent="0.3">
      <c r="J29662" s="33"/>
    </row>
    <row r="29663" spans="10:10" x14ac:dyDescent="0.3">
      <c r="J29663" s="33"/>
    </row>
    <row r="29664" spans="10:10" ht="15" customHeight="1" x14ac:dyDescent="0.3">
      <c r="J29664" s="33"/>
    </row>
    <row r="29665" spans="10:10" ht="15" customHeight="1" x14ac:dyDescent="0.3">
      <c r="J29665" s="33"/>
    </row>
    <row r="29666" spans="10:10" x14ac:dyDescent="0.3">
      <c r="J29666" s="33"/>
    </row>
    <row r="29667" spans="10:10" ht="15" customHeight="1" x14ac:dyDescent="0.3">
      <c r="J29667" s="33"/>
    </row>
    <row r="29668" spans="10:10" ht="15" customHeight="1" x14ac:dyDescent="0.3">
      <c r="J29668" s="33"/>
    </row>
    <row r="29669" spans="10:10" ht="15" customHeight="1" x14ac:dyDescent="0.3">
      <c r="J29669" s="33"/>
    </row>
    <row r="29670" spans="10:10" x14ac:dyDescent="0.3">
      <c r="J29670" s="33"/>
    </row>
    <row r="29671" spans="10:10" x14ac:dyDescent="0.3">
      <c r="J29671" s="33"/>
    </row>
    <row r="29672" spans="10:10" ht="15" customHeight="1" x14ac:dyDescent="0.3">
      <c r="J29672" s="33"/>
    </row>
    <row r="29673" spans="10:10" x14ac:dyDescent="0.3">
      <c r="J29673" s="33"/>
    </row>
    <row r="29674" spans="10:10" ht="15" customHeight="1" x14ac:dyDescent="0.3">
      <c r="J29674" s="33"/>
    </row>
    <row r="29675" spans="10:10" x14ac:dyDescent="0.3">
      <c r="J29675" s="33"/>
    </row>
    <row r="29676" spans="10:10" ht="15" customHeight="1" x14ac:dyDescent="0.3">
      <c r="J29676" s="33"/>
    </row>
    <row r="29677" spans="10:10" ht="15" customHeight="1" x14ac:dyDescent="0.3">
      <c r="J29677" s="33"/>
    </row>
    <row r="29678" spans="10:10" ht="15" customHeight="1" x14ac:dyDescent="0.3">
      <c r="J29678" s="33"/>
    </row>
    <row r="29679" spans="10:10" ht="15" customHeight="1" x14ac:dyDescent="0.3">
      <c r="J29679" s="33"/>
    </row>
    <row r="29680" spans="10:10" ht="15" customHeight="1" x14ac:dyDescent="0.3">
      <c r="J29680" s="33"/>
    </row>
    <row r="29681" spans="10:10" x14ac:dyDescent="0.3">
      <c r="J29681" s="33"/>
    </row>
    <row r="29682" spans="10:10" x14ac:dyDescent="0.3">
      <c r="J29682" s="33"/>
    </row>
    <row r="29683" spans="10:10" ht="15" customHeight="1" x14ac:dyDescent="0.3">
      <c r="J29683" s="33"/>
    </row>
    <row r="29684" spans="10:10" ht="15" customHeight="1" x14ac:dyDescent="0.3">
      <c r="J29684" s="33"/>
    </row>
    <row r="29685" spans="10:10" x14ac:dyDescent="0.3">
      <c r="J29685" s="33"/>
    </row>
    <row r="29686" spans="10:10" x14ac:dyDescent="0.3">
      <c r="J29686" s="33"/>
    </row>
    <row r="29687" spans="10:10" ht="15" customHeight="1" x14ac:dyDescent="0.3">
      <c r="J29687" s="33"/>
    </row>
    <row r="29688" spans="10:10" ht="15" customHeight="1" x14ac:dyDescent="0.3">
      <c r="J29688" s="33"/>
    </row>
    <row r="29689" spans="10:10" x14ac:dyDescent="0.3">
      <c r="J29689" s="33"/>
    </row>
    <row r="29690" spans="10:10" x14ac:dyDescent="0.3">
      <c r="J29690" s="33"/>
    </row>
    <row r="29691" spans="10:10" x14ac:dyDescent="0.3">
      <c r="J29691" s="33"/>
    </row>
    <row r="29692" spans="10:10" x14ac:dyDescent="0.3">
      <c r="J29692" s="33"/>
    </row>
    <row r="29693" spans="10:10" ht="15" customHeight="1" x14ac:dyDescent="0.3">
      <c r="J29693" s="33"/>
    </row>
    <row r="29694" spans="10:10" ht="15" customHeight="1" x14ac:dyDescent="0.3">
      <c r="J29694" s="33"/>
    </row>
    <row r="29695" spans="10:10" x14ac:dyDescent="0.3">
      <c r="J29695" s="33"/>
    </row>
    <row r="29696" spans="10:10" ht="15" customHeight="1" x14ac:dyDescent="0.3">
      <c r="J29696" s="33"/>
    </row>
    <row r="29697" spans="10:10" x14ac:dyDescent="0.3">
      <c r="J29697" s="33"/>
    </row>
    <row r="29698" spans="10:10" ht="15" customHeight="1" x14ac:dyDescent="0.3">
      <c r="J29698" s="33"/>
    </row>
    <row r="29699" spans="10:10" ht="15" customHeight="1" x14ac:dyDescent="0.3">
      <c r="J29699" s="33"/>
    </row>
    <row r="29700" spans="10:10" x14ac:dyDescent="0.3">
      <c r="J29700" s="33"/>
    </row>
    <row r="29701" spans="10:10" ht="15" customHeight="1" x14ac:dyDescent="0.3">
      <c r="J29701" s="33"/>
    </row>
    <row r="29702" spans="10:10" ht="15" customHeight="1" x14ac:dyDescent="0.3">
      <c r="J29702" s="33"/>
    </row>
    <row r="29703" spans="10:10" x14ac:dyDescent="0.3">
      <c r="J29703" s="33"/>
    </row>
    <row r="29704" spans="10:10" ht="15" customHeight="1" x14ac:dyDescent="0.3">
      <c r="J29704" s="33"/>
    </row>
    <row r="29705" spans="10:10" ht="15" customHeight="1" x14ac:dyDescent="0.3">
      <c r="J29705" s="33"/>
    </row>
    <row r="29706" spans="10:10" ht="15" customHeight="1" x14ac:dyDescent="0.3">
      <c r="J29706" s="33"/>
    </row>
    <row r="29707" spans="10:10" ht="15" customHeight="1" x14ac:dyDescent="0.3">
      <c r="J29707" s="33"/>
    </row>
    <row r="29708" spans="10:10" ht="15" customHeight="1" x14ac:dyDescent="0.3">
      <c r="J29708" s="33"/>
    </row>
    <row r="29709" spans="10:10" x14ac:dyDescent="0.3">
      <c r="J29709" s="33"/>
    </row>
    <row r="29710" spans="10:10" x14ac:dyDescent="0.3">
      <c r="J29710" s="33"/>
    </row>
    <row r="29711" spans="10:10" ht="15" customHeight="1" x14ac:dyDescent="0.3">
      <c r="J29711" s="33"/>
    </row>
    <row r="29712" spans="10:10" x14ac:dyDescent="0.3">
      <c r="J29712" s="33"/>
    </row>
    <row r="29713" spans="10:10" ht="15" customHeight="1" x14ac:dyDescent="0.3">
      <c r="J29713" s="33"/>
    </row>
    <row r="29714" spans="10:10" ht="15" customHeight="1" x14ac:dyDescent="0.3">
      <c r="J29714" s="33"/>
    </row>
    <row r="29715" spans="10:10" x14ac:dyDescent="0.3">
      <c r="J29715" s="33"/>
    </row>
    <row r="29716" spans="10:10" x14ac:dyDescent="0.3">
      <c r="J29716" s="33"/>
    </row>
    <row r="29717" spans="10:10" x14ac:dyDescent="0.3">
      <c r="J29717" s="33"/>
    </row>
    <row r="29718" spans="10:10" x14ac:dyDescent="0.3">
      <c r="J29718" s="33"/>
    </row>
    <row r="29719" spans="10:10" ht="15" customHeight="1" x14ac:dyDescent="0.3">
      <c r="J29719" s="33"/>
    </row>
    <row r="29720" spans="10:10" ht="15" customHeight="1" x14ac:dyDescent="0.3">
      <c r="J29720" s="33"/>
    </row>
    <row r="29721" spans="10:10" ht="15" customHeight="1" x14ac:dyDescent="0.3">
      <c r="J29721" s="33"/>
    </row>
    <row r="29722" spans="10:10" x14ac:dyDescent="0.3">
      <c r="J29722" s="33"/>
    </row>
    <row r="29723" spans="10:10" x14ac:dyDescent="0.3">
      <c r="J29723" s="33"/>
    </row>
    <row r="29724" spans="10:10" x14ac:dyDescent="0.3">
      <c r="J29724" s="33"/>
    </row>
    <row r="29725" spans="10:10" ht="15" customHeight="1" x14ac:dyDescent="0.3">
      <c r="J29725" s="33"/>
    </row>
    <row r="29726" spans="10:10" ht="15" customHeight="1" x14ac:dyDescent="0.3">
      <c r="J29726" s="33"/>
    </row>
    <row r="29727" spans="10:10" x14ac:dyDescent="0.3">
      <c r="J29727" s="33"/>
    </row>
    <row r="29728" spans="10:10" ht="15" customHeight="1" x14ac:dyDescent="0.3">
      <c r="J29728" s="33"/>
    </row>
    <row r="29729" spans="10:10" x14ac:dyDescent="0.3">
      <c r="J29729" s="33"/>
    </row>
    <row r="29730" spans="10:10" x14ac:dyDescent="0.3">
      <c r="J29730" s="33"/>
    </row>
    <row r="29731" spans="10:10" x14ac:dyDescent="0.3">
      <c r="J29731" s="33"/>
    </row>
    <row r="29732" spans="10:10" ht="15" customHeight="1" x14ac:dyDescent="0.3">
      <c r="J29732" s="33"/>
    </row>
    <row r="29733" spans="10:10" ht="15" customHeight="1" x14ac:dyDescent="0.3">
      <c r="J29733" s="33"/>
    </row>
    <row r="29734" spans="10:10" ht="15" customHeight="1" x14ac:dyDescent="0.3">
      <c r="J29734" s="33"/>
    </row>
    <row r="29735" spans="10:10" ht="15" customHeight="1" x14ac:dyDescent="0.3">
      <c r="J29735" s="33"/>
    </row>
    <row r="29736" spans="10:10" ht="15" customHeight="1" x14ac:dyDescent="0.3">
      <c r="J29736" s="33"/>
    </row>
    <row r="29737" spans="10:10" x14ac:dyDescent="0.3">
      <c r="J29737" s="33"/>
    </row>
    <row r="29738" spans="10:10" ht="15" customHeight="1" x14ac:dyDescent="0.3">
      <c r="J29738" s="33"/>
    </row>
    <row r="29739" spans="10:10" x14ac:dyDescent="0.3">
      <c r="J29739" s="33"/>
    </row>
    <row r="29740" spans="10:10" x14ac:dyDescent="0.3">
      <c r="J29740" s="33"/>
    </row>
    <row r="29741" spans="10:10" ht="15" customHeight="1" x14ac:dyDescent="0.3">
      <c r="J29741" s="33"/>
    </row>
    <row r="29742" spans="10:10" x14ac:dyDescent="0.3">
      <c r="J29742" s="33"/>
    </row>
    <row r="29743" spans="10:10" x14ac:dyDescent="0.3">
      <c r="J29743" s="33"/>
    </row>
    <row r="29744" spans="10:10" ht="15" customHeight="1" x14ac:dyDescent="0.3">
      <c r="J29744" s="33"/>
    </row>
    <row r="29745" spans="10:10" x14ac:dyDescent="0.3">
      <c r="J29745" s="33"/>
    </row>
    <row r="29746" spans="10:10" ht="15" customHeight="1" x14ac:dyDescent="0.3">
      <c r="J29746" s="33"/>
    </row>
    <row r="29747" spans="10:10" x14ac:dyDescent="0.3">
      <c r="J29747" s="33"/>
    </row>
    <row r="29748" spans="10:10" x14ac:dyDescent="0.3">
      <c r="J29748" s="33"/>
    </row>
    <row r="29749" spans="10:10" x14ac:dyDescent="0.3">
      <c r="J29749" s="33"/>
    </row>
    <row r="29750" spans="10:10" x14ac:dyDescent="0.3">
      <c r="J29750" s="33"/>
    </row>
    <row r="29751" spans="10:10" x14ac:dyDescent="0.3">
      <c r="J29751" s="33"/>
    </row>
    <row r="29752" spans="10:10" ht="15" customHeight="1" x14ac:dyDescent="0.3">
      <c r="J29752" s="33"/>
    </row>
    <row r="29753" spans="10:10" x14ac:dyDescent="0.3">
      <c r="J29753" s="33"/>
    </row>
    <row r="29754" spans="10:10" x14ac:dyDescent="0.3">
      <c r="J29754" s="33"/>
    </row>
    <row r="29755" spans="10:10" ht="15" customHeight="1" x14ac:dyDescent="0.3">
      <c r="J29755" s="33"/>
    </row>
    <row r="29756" spans="10:10" ht="15" customHeight="1" x14ac:dyDescent="0.3">
      <c r="J29756" s="33"/>
    </row>
    <row r="29757" spans="10:10" ht="15" customHeight="1" x14ac:dyDescent="0.3">
      <c r="J29757" s="33"/>
    </row>
    <row r="29758" spans="10:10" x14ac:dyDescent="0.3">
      <c r="J29758" s="33"/>
    </row>
    <row r="29759" spans="10:10" x14ac:dyDescent="0.3">
      <c r="J29759" s="33"/>
    </row>
    <row r="29760" spans="10:10" x14ac:dyDescent="0.3">
      <c r="J29760" s="33"/>
    </row>
    <row r="29761" spans="10:10" ht="15" customHeight="1" x14ac:dyDescent="0.3">
      <c r="J29761" s="33"/>
    </row>
    <row r="29762" spans="10:10" ht="15" customHeight="1" x14ac:dyDescent="0.3">
      <c r="J29762" s="33"/>
    </row>
    <row r="29763" spans="10:10" x14ac:dyDescent="0.3">
      <c r="J29763" s="33"/>
    </row>
    <row r="29764" spans="10:10" x14ac:dyDescent="0.3">
      <c r="J29764" s="33"/>
    </row>
    <row r="29765" spans="10:10" x14ac:dyDescent="0.3">
      <c r="J29765" s="33"/>
    </row>
    <row r="29766" spans="10:10" x14ac:dyDescent="0.3">
      <c r="J29766" s="33"/>
    </row>
    <row r="29767" spans="10:10" ht="15" customHeight="1" x14ac:dyDescent="0.3">
      <c r="J29767" s="33"/>
    </row>
    <row r="29768" spans="10:10" ht="15" customHeight="1" x14ac:dyDescent="0.3">
      <c r="J29768" s="33"/>
    </row>
    <row r="29769" spans="10:10" ht="15" customHeight="1" x14ac:dyDescent="0.3">
      <c r="J29769" s="33"/>
    </row>
    <row r="29770" spans="10:10" x14ac:dyDescent="0.3">
      <c r="J29770" s="33"/>
    </row>
    <row r="29771" spans="10:10" ht="15" customHeight="1" x14ac:dyDescent="0.3">
      <c r="J29771" s="33"/>
    </row>
    <row r="29772" spans="10:10" x14ac:dyDescent="0.3">
      <c r="J29772" s="33"/>
    </row>
    <row r="29773" spans="10:10" x14ac:dyDescent="0.3">
      <c r="J29773" s="33"/>
    </row>
    <row r="29774" spans="10:10" x14ac:dyDescent="0.3">
      <c r="J29774" s="33"/>
    </row>
    <row r="29775" spans="10:10" ht="15" customHeight="1" x14ac:dyDescent="0.3">
      <c r="J29775" s="33"/>
    </row>
    <row r="29776" spans="10:10" ht="15" customHeight="1" x14ac:dyDescent="0.3">
      <c r="J29776" s="33"/>
    </row>
    <row r="29777" spans="10:10" x14ac:dyDescent="0.3">
      <c r="J29777" s="33"/>
    </row>
    <row r="29778" spans="10:10" ht="15" customHeight="1" x14ac:dyDescent="0.3">
      <c r="J29778" s="33"/>
    </row>
    <row r="29779" spans="10:10" x14ac:dyDescent="0.3">
      <c r="J29779" s="33"/>
    </row>
    <row r="29780" spans="10:10" x14ac:dyDescent="0.3">
      <c r="J29780" s="33"/>
    </row>
    <row r="29781" spans="10:10" ht="15" customHeight="1" x14ac:dyDescent="0.3">
      <c r="J29781" s="33"/>
    </row>
    <row r="29782" spans="10:10" x14ac:dyDescent="0.3">
      <c r="J29782" s="33"/>
    </row>
    <row r="29783" spans="10:10" ht="15" customHeight="1" x14ac:dyDescent="0.3">
      <c r="J29783" s="33"/>
    </row>
    <row r="29784" spans="10:10" x14ac:dyDescent="0.3">
      <c r="J29784" s="33"/>
    </row>
    <row r="29785" spans="10:10" x14ac:dyDescent="0.3">
      <c r="J29785" s="33"/>
    </row>
    <row r="29786" spans="10:10" ht="15" customHeight="1" x14ac:dyDescent="0.3">
      <c r="J29786" s="33"/>
    </row>
    <row r="29787" spans="10:10" ht="15" customHeight="1" x14ac:dyDescent="0.3">
      <c r="J29787" s="33"/>
    </row>
    <row r="29788" spans="10:10" ht="15" customHeight="1" x14ac:dyDescent="0.3">
      <c r="J29788" s="33"/>
    </row>
    <row r="29789" spans="10:10" ht="15" customHeight="1" x14ac:dyDescent="0.3">
      <c r="J29789" s="33"/>
    </row>
    <row r="29790" spans="10:10" x14ac:dyDescent="0.3">
      <c r="J29790" s="33"/>
    </row>
    <row r="29791" spans="10:10" x14ac:dyDescent="0.3">
      <c r="J29791" s="33"/>
    </row>
    <row r="29792" spans="10:10" ht="15" customHeight="1" x14ac:dyDescent="0.3">
      <c r="J29792" s="33"/>
    </row>
    <row r="29793" spans="10:10" ht="15" customHeight="1" x14ac:dyDescent="0.3">
      <c r="J29793" s="33"/>
    </row>
    <row r="29794" spans="10:10" ht="15" customHeight="1" x14ac:dyDescent="0.3">
      <c r="J29794" s="33"/>
    </row>
    <row r="29795" spans="10:10" ht="15" customHeight="1" x14ac:dyDescent="0.3">
      <c r="J29795" s="33"/>
    </row>
    <row r="29796" spans="10:10" ht="15" customHeight="1" x14ac:dyDescent="0.3">
      <c r="J29796" s="33"/>
    </row>
    <row r="29797" spans="10:10" x14ac:dyDescent="0.3">
      <c r="J29797" s="33"/>
    </row>
    <row r="29798" spans="10:10" x14ac:dyDescent="0.3">
      <c r="J29798" s="33"/>
    </row>
    <row r="29799" spans="10:10" x14ac:dyDescent="0.3">
      <c r="J29799" s="33"/>
    </row>
    <row r="29800" spans="10:10" x14ac:dyDescent="0.3">
      <c r="J29800" s="33"/>
    </row>
    <row r="29801" spans="10:10" x14ac:dyDescent="0.3">
      <c r="J29801" s="33"/>
    </row>
    <row r="29802" spans="10:10" ht="15" customHeight="1" x14ac:dyDescent="0.3">
      <c r="J29802" s="33"/>
    </row>
    <row r="29803" spans="10:10" x14ac:dyDescent="0.3">
      <c r="J29803" s="33"/>
    </row>
    <row r="29804" spans="10:10" ht="15" customHeight="1" x14ac:dyDescent="0.3">
      <c r="J29804" s="33"/>
    </row>
    <row r="29805" spans="10:10" ht="15" customHeight="1" x14ac:dyDescent="0.3">
      <c r="J29805" s="33"/>
    </row>
    <row r="29806" spans="10:10" x14ac:dyDescent="0.3">
      <c r="J29806" s="33"/>
    </row>
    <row r="29807" spans="10:10" x14ac:dyDescent="0.3">
      <c r="J29807" s="33"/>
    </row>
    <row r="29808" spans="10:10" x14ac:dyDescent="0.3">
      <c r="J29808" s="33"/>
    </row>
    <row r="29809" spans="10:10" ht="15" customHeight="1" x14ac:dyDescent="0.3">
      <c r="J29809" s="33"/>
    </row>
    <row r="29810" spans="10:10" x14ac:dyDescent="0.3">
      <c r="J29810" s="33"/>
    </row>
    <row r="29811" spans="10:10" x14ac:dyDescent="0.3">
      <c r="J29811" s="33"/>
    </row>
    <row r="29812" spans="10:10" ht="15" customHeight="1" x14ac:dyDescent="0.3">
      <c r="J29812" s="33"/>
    </row>
    <row r="29813" spans="10:10" x14ac:dyDescent="0.3">
      <c r="J29813" s="33"/>
    </row>
    <row r="29814" spans="10:10" ht="15" customHeight="1" x14ac:dyDescent="0.3">
      <c r="J29814" s="33"/>
    </row>
    <row r="29815" spans="10:10" ht="15" customHeight="1" x14ac:dyDescent="0.3">
      <c r="J29815" s="33"/>
    </row>
    <row r="29816" spans="10:10" ht="15" customHeight="1" x14ac:dyDescent="0.3">
      <c r="J29816" s="33"/>
    </row>
    <row r="29817" spans="10:10" x14ac:dyDescent="0.3">
      <c r="J29817" s="33"/>
    </row>
    <row r="29818" spans="10:10" x14ac:dyDescent="0.3">
      <c r="J29818" s="33"/>
    </row>
    <row r="29819" spans="10:10" x14ac:dyDescent="0.3">
      <c r="J29819" s="33"/>
    </row>
    <row r="29820" spans="10:10" ht="15" customHeight="1" x14ac:dyDescent="0.3">
      <c r="J29820" s="33"/>
    </row>
    <row r="29821" spans="10:10" x14ac:dyDescent="0.3">
      <c r="J29821" s="33"/>
    </row>
    <row r="29822" spans="10:10" ht="15" customHeight="1" x14ac:dyDescent="0.3">
      <c r="J29822" s="33"/>
    </row>
    <row r="29823" spans="10:10" x14ac:dyDescent="0.3">
      <c r="J29823" s="33"/>
    </row>
    <row r="29824" spans="10:10" x14ac:dyDescent="0.3">
      <c r="J29824" s="33"/>
    </row>
    <row r="29825" spans="10:10" x14ac:dyDescent="0.3">
      <c r="J29825" s="33"/>
    </row>
    <row r="29826" spans="10:10" ht="15" customHeight="1" x14ac:dyDescent="0.3">
      <c r="J29826" s="33"/>
    </row>
    <row r="29827" spans="10:10" x14ac:dyDescent="0.3">
      <c r="J29827" s="33"/>
    </row>
    <row r="29828" spans="10:10" ht="15" customHeight="1" x14ac:dyDescent="0.3">
      <c r="J29828" s="33"/>
    </row>
    <row r="29829" spans="10:10" x14ac:dyDescent="0.3">
      <c r="J29829" s="33"/>
    </row>
    <row r="29830" spans="10:10" ht="15" customHeight="1" x14ac:dyDescent="0.3">
      <c r="J29830" s="33"/>
    </row>
    <row r="29831" spans="10:10" x14ac:dyDescent="0.3">
      <c r="J29831" s="33"/>
    </row>
    <row r="29832" spans="10:10" ht="15" customHeight="1" x14ac:dyDescent="0.3">
      <c r="J29832" s="33"/>
    </row>
    <row r="29833" spans="10:10" x14ac:dyDescent="0.3">
      <c r="J29833" s="33"/>
    </row>
    <row r="29834" spans="10:10" ht="15" customHeight="1" x14ac:dyDescent="0.3">
      <c r="J29834" s="33"/>
    </row>
    <row r="29835" spans="10:10" x14ac:dyDescent="0.3">
      <c r="J29835" s="33"/>
    </row>
    <row r="29836" spans="10:10" x14ac:dyDescent="0.3">
      <c r="J29836" s="33"/>
    </row>
    <row r="29837" spans="10:10" ht="15" customHeight="1" x14ac:dyDescent="0.3">
      <c r="J29837" s="33"/>
    </row>
    <row r="29838" spans="10:10" ht="15" customHeight="1" x14ac:dyDescent="0.3">
      <c r="J29838" s="33"/>
    </row>
    <row r="29839" spans="10:10" ht="15" customHeight="1" x14ac:dyDescent="0.3">
      <c r="J29839" s="33"/>
    </row>
    <row r="29840" spans="10:10" ht="15" customHeight="1" x14ac:dyDescent="0.3">
      <c r="J29840" s="33"/>
    </row>
    <row r="29841" spans="10:10" ht="15" customHeight="1" x14ac:dyDescent="0.3">
      <c r="J29841" s="33"/>
    </row>
    <row r="29842" spans="10:10" ht="15" customHeight="1" x14ac:dyDescent="0.3">
      <c r="J29842" s="33"/>
    </row>
    <row r="29843" spans="10:10" ht="15" customHeight="1" x14ac:dyDescent="0.3">
      <c r="J29843" s="33"/>
    </row>
    <row r="29844" spans="10:10" ht="15" customHeight="1" x14ac:dyDescent="0.3">
      <c r="J29844" s="33"/>
    </row>
    <row r="29845" spans="10:10" x14ac:dyDescent="0.3">
      <c r="J29845" s="33"/>
    </row>
    <row r="29846" spans="10:10" ht="15" customHeight="1" x14ac:dyDescent="0.3">
      <c r="J29846" s="33"/>
    </row>
    <row r="29847" spans="10:10" x14ac:dyDescent="0.3">
      <c r="J29847" s="33"/>
    </row>
    <row r="29848" spans="10:10" x14ac:dyDescent="0.3">
      <c r="J29848" s="33"/>
    </row>
    <row r="29849" spans="10:10" x14ac:dyDescent="0.3">
      <c r="J29849" s="33"/>
    </row>
    <row r="29850" spans="10:10" ht="15" customHeight="1" x14ac:dyDescent="0.3">
      <c r="J29850" s="33"/>
    </row>
    <row r="29851" spans="10:10" x14ac:dyDescent="0.3">
      <c r="J29851" s="33"/>
    </row>
    <row r="29852" spans="10:10" ht="15" customHeight="1" x14ac:dyDescent="0.3">
      <c r="J29852" s="33"/>
    </row>
    <row r="29853" spans="10:10" ht="15" customHeight="1" x14ac:dyDescent="0.3">
      <c r="J29853" s="33"/>
    </row>
    <row r="29854" spans="10:10" ht="15" customHeight="1" x14ac:dyDescent="0.3">
      <c r="J29854" s="33"/>
    </row>
    <row r="29855" spans="10:10" ht="15" customHeight="1" x14ac:dyDescent="0.3">
      <c r="J29855" s="33"/>
    </row>
    <row r="29856" spans="10:10" ht="15" customHeight="1" x14ac:dyDescent="0.3">
      <c r="J29856" s="33"/>
    </row>
    <row r="29857" spans="10:10" ht="15" customHeight="1" x14ac:dyDescent="0.3">
      <c r="J29857" s="33"/>
    </row>
    <row r="29858" spans="10:10" x14ac:dyDescent="0.3">
      <c r="J29858" s="33"/>
    </row>
    <row r="29859" spans="10:10" x14ac:dyDescent="0.3">
      <c r="J29859" s="33"/>
    </row>
    <row r="29860" spans="10:10" ht="15" customHeight="1" x14ac:dyDescent="0.3">
      <c r="J29860" s="33"/>
    </row>
    <row r="29861" spans="10:10" ht="15" customHeight="1" x14ac:dyDescent="0.3">
      <c r="J29861" s="33"/>
    </row>
    <row r="29862" spans="10:10" x14ac:dyDescent="0.3">
      <c r="J29862" s="33"/>
    </row>
    <row r="29863" spans="10:10" ht="15" customHeight="1" x14ac:dyDescent="0.3">
      <c r="J29863" s="33"/>
    </row>
    <row r="29864" spans="10:10" x14ac:dyDescent="0.3">
      <c r="J29864" s="33"/>
    </row>
    <row r="29865" spans="10:10" x14ac:dyDescent="0.3">
      <c r="J29865" s="33"/>
    </row>
    <row r="29866" spans="10:10" ht="15" customHeight="1" x14ac:dyDescent="0.3">
      <c r="J29866" s="33"/>
    </row>
    <row r="29867" spans="10:10" x14ac:dyDescent="0.3">
      <c r="J29867" s="33"/>
    </row>
    <row r="29868" spans="10:10" ht="15" customHeight="1" x14ac:dyDescent="0.3">
      <c r="J29868" s="33"/>
    </row>
    <row r="29869" spans="10:10" x14ac:dyDescent="0.3">
      <c r="J29869" s="33"/>
    </row>
    <row r="29870" spans="10:10" ht="15" customHeight="1" x14ac:dyDescent="0.3">
      <c r="J29870" s="33"/>
    </row>
    <row r="29871" spans="10:10" ht="15" customHeight="1" x14ac:dyDescent="0.3">
      <c r="J29871" s="33"/>
    </row>
    <row r="29872" spans="10:10" ht="15" customHeight="1" x14ac:dyDescent="0.3">
      <c r="J29872" s="33"/>
    </row>
    <row r="29873" spans="10:10" ht="15" customHeight="1" x14ac:dyDescent="0.3">
      <c r="J29873" s="33"/>
    </row>
    <row r="29874" spans="10:10" x14ac:dyDescent="0.3">
      <c r="J29874" s="33"/>
    </row>
    <row r="29875" spans="10:10" x14ac:dyDescent="0.3">
      <c r="J29875" s="33"/>
    </row>
    <row r="29876" spans="10:10" x14ac:dyDescent="0.3">
      <c r="J29876" s="33"/>
    </row>
    <row r="29877" spans="10:10" x14ac:dyDescent="0.3">
      <c r="J29877" s="33"/>
    </row>
    <row r="29878" spans="10:10" ht="15" customHeight="1" x14ac:dyDescent="0.3">
      <c r="J29878" s="33"/>
    </row>
    <row r="29879" spans="10:10" ht="15" customHeight="1" x14ac:dyDescent="0.3">
      <c r="J29879" s="33"/>
    </row>
    <row r="29880" spans="10:10" ht="15" customHeight="1" x14ac:dyDescent="0.3">
      <c r="J29880" s="33"/>
    </row>
    <row r="29881" spans="10:10" ht="15" customHeight="1" x14ac:dyDescent="0.3">
      <c r="J29881" s="33"/>
    </row>
    <row r="29882" spans="10:10" ht="15" customHeight="1" x14ac:dyDescent="0.3">
      <c r="J29882" s="33"/>
    </row>
    <row r="29883" spans="10:10" x14ac:dyDescent="0.3">
      <c r="J29883" s="33"/>
    </row>
    <row r="29884" spans="10:10" x14ac:dyDescent="0.3">
      <c r="J29884" s="33"/>
    </row>
    <row r="29885" spans="10:10" ht="15" customHeight="1" x14ac:dyDescent="0.3">
      <c r="J29885" s="33"/>
    </row>
    <row r="29886" spans="10:10" x14ac:dyDescent="0.3">
      <c r="J29886" s="33"/>
    </row>
    <row r="29887" spans="10:10" ht="15" customHeight="1" x14ac:dyDescent="0.3">
      <c r="J29887" s="33"/>
    </row>
    <row r="29888" spans="10:10" x14ac:dyDescent="0.3">
      <c r="J29888" s="33"/>
    </row>
    <row r="29889" spans="10:10" x14ac:dyDescent="0.3">
      <c r="J29889" s="33"/>
    </row>
    <row r="29890" spans="10:10" x14ac:dyDescent="0.3">
      <c r="J29890" s="33"/>
    </row>
    <row r="29891" spans="10:10" ht="15" customHeight="1" x14ac:dyDescent="0.3">
      <c r="J29891" s="33"/>
    </row>
    <row r="29892" spans="10:10" x14ac:dyDescent="0.3">
      <c r="J29892" s="33"/>
    </row>
    <row r="29893" spans="10:10" x14ac:dyDescent="0.3">
      <c r="J29893" s="33"/>
    </row>
    <row r="29894" spans="10:10" ht="15" customHeight="1" x14ac:dyDescent="0.3">
      <c r="J29894" s="33"/>
    </row>
    <row r="29895" spans="10:10" x14ac:dyDescent="0.3">
      <c r="J29895" s="33"/>
    </row>
    <row r="29896" spans="10:10" ht="15" customHeight="1" x14ac:dyDescent="0.3">
      <c r="J29896" s="33"/>
    </row>
    <row r="29897" spans="10:10" ht="15" customHeight="1" x14ac:dyDescent="0.3">
      <c r="J29897" s="33"/>
    </row>
    <row r="29898" spans="10:10" ht="15" customHeight="1" x14ac:dyDescent="0.3">
      <c r="J29898" s="33"/>
    </row>
    <row r="29899" spans="10:10" ht="15" customHeight="1" x14ac:dyDescent="0.3">
      <c r="J29899" s="33"/>
    </row>
    <row r="29900" spans="10:10" x14ac:dyDescent="0.3">
      <c r="J29900" s="33"/>
    </row>
    <row r="29901" spans="10:10" x14ac:dyDescent="0.3">
      <c r="J29901" s="33"/>
    </row>
    <row r="29902" spans="10:10" x14ac:dyDescent="0.3">
      <c r="J29902" s="33"/>
    </row>
    <row r="29903" spans="10:10" ht="15" customHeight="1" x14ac:dyDescent="0.3">
      <c r="J29903" s="33"/>
    </row>
    <row r="29904" spans="10:10" ht="15" customHeight="1" x14ac:dyDescent="0.3">
      <c r="J29904" s="33"/>
    </row>
    <row r="29905" spans="10:10" ht="15" customHeight="1" x14ac:dyDescent="0.3">
      <c r="J29905" s="33"/>
    </row>
    <row r="29906" spans="10:10" ht="15" customHeight="1" x14ac:dyDescent="0.3">
      <c r="J29906" s="33"/>
    </row>
    <row r="29907" spans="10:10" x14ac:dyDescent="0.3">
      <c r="J29907" s="33"/>
    </row>
    <row r="29908" spans="10:10" ht="15" customHeight="1" x14ac:dyDescent="0.3">
      <c r="J29908" s="33"/>
    </row>
    <row r="29909" spans="10:10" ht="15" customHeight="1" x14ac:dyDescent="0.3">
      <c r="J29909" s="33"/>
    </row>
    <row r="29910" spans="10:10" ht="15" customHeight="1" x14ac:dyDescent="0.3">
      <c r="J29910" s="33"/>
    </row>
    <row r="29911" spans="10:10" x14ac:dyDescent="0.3">
      <c r="J29911" s="33"/>
    </row>
    <row r="29912" spans="10:10" x14ac:dyDescent="0.3">
      <c r="J29912" s="33"/>
    </row>
    <row r="29913" spans="10:10" ht="15" customHeight="1" x14ac:dyDescent="0.3">
      <c r="J29913" s="33"/>
    </row>
    <row r="29914" spans="10:10" x14ac:dyDescent="0.3">
      <c r="J29914" s="33"/>
    </row>
    <row r="29915" spans="10:10" ht="15" customHeight="1" x14ac:dyDescent="0.3">
      <c r="J29915" s="33"/>
    </row>
    <row r="29916" spans="10:10" x14ac:dyDescent="0.3">
      <c r="J29916" s="33"/>
    </row>
    <row r="29917" spans="10:10" ht="15" customHeight="1" x14ac:dyDescent="0.3">
      <c r="J29917" s="33"/>
    </row>
    <row r="29918" spans="10:10" ht="15" customHeight="1" x14ac:dyDescent="0.3">
      <c r="J29918" s="33"/>
    </row>
    <row r="29919" spans="10:10" ht="15" customHeight="1" x14ac:dyDescent="0.3">
      <c r="J29919" s="33"/>
    </row>
    <row r="29920" spans="10:10" ht="15" customHeight="1" x14ac:dyDescent="0.3">
      <c r="J29920" s="33"/>
    </row>
    <row r="29921" spans="10:10" x14ac:dyDescent="0.3">
      <c r="J29921" s="33"/>
    </row>
    <row r="29922" spans="10:10" x14ac:dyDescent="0.3">
      <c r="J29922" s="33"/>
    </row>
    <row r="29923" spans="10:10" x14ac:dyDescent="0.3">
      <c r="J29923" s="33"/>
    </row>
    <row r="29924" spans="10:10" ht="15" customHeight="1" x14ac:dyDescent="0.3">
      <c r="J29924" s="33"/>
    </row>
    <row r="29925" spans="10:10" x14ac:dyDescent="0.3">
      <c r="J29925" s="33"/>
    </row>
    <row r="29926" spans="10:10" ht="15" customHeight="1" x14ac:dyDescent="0.3">
      <c r="J29926" s="33"/>
    </row>
    <row r="29927" spans="10:10" ht="15" customHeight="1" x14ac:dyDescent="0.3">
      <c r="J29927" s="33"/>
    </row>
    <row r="29928" spans="10:10" ht="15" customHeight="1" x14ac:dyDescent="0.3">
      <c r="J29928" s="33"/>
    </row>
    <row r="29929" spans="10:10" x14ac:dyDescent="0.3">
      <c r="J29929" s="33"/>
    </row>
    <row r="29930" spans="10:10" ht="15" customHeight="1" x14ac:dyDescent="0.3">
      <c r="J29930" s="33"/>
    </row>
    <row r="29931" spans="10:10" ht="15" customHeight="1" x14ac:dyDescent="0.3">
      <c r="J29931" s="33"/>
    </row>
    <row r="29932" spans="10:10" ht="15" customHeight="1" x14ac:dyDescent="0.3">
      <c r="J29932" s="33"/>
    </row>
    <row r="29933" spans="10:10" x14ac:dyDescent="0.3">
      <c r="J29933" s="33"/>
    </row>
    <row r="29934" spans="10:10" x14ac:dyDescent="0.3">
      <c r="J29934" s="33"/>
    </row>
    <row r="29935" spans="10:10" ht="15" customHeight="1" x14ac:dyDescent="0.3">
      <c r="J29935" s="33"/>
    </row>
    <row r="29936" spans="10:10" x14ac:dyDescent="0.3">
      <c r="J29936" s="33"/>
    </row>
    <row r="29937" spans="10:10" x14ac:dyDescent="0.3">
      <c r="J29937" s="33"/>
    </row>
    <row r="29938" spans="10:10" x14ac:dyDescent="0.3">
      <c r="J29938" s="33"/>
    </row>
    <row r="29939" spans="10:10" ht="15" customHeight="1" x14ac:dyDescent="0.3">
      <c r="J29939" s="33"/>
    </row>
    <row r="29940" spans="10:10" ht="15" customHeight="1" x14ac:dyDescent="0.3">
      <c r="J29940" s="33"/>
    </row>
    <row r="29941" spans="10:10" ht="15" customHeight="1" x14ac:dyDescent="0.3">
      <c r="J29941" s="33"/>
    </row>
    <row r="29942" spans="10:10" ht="15" customHeight="1" x14ac:dyDescent="0.3">
      <c r="J29942" s="33"/>
    </row>
    <row r="29943" spans="10:10" ht="15" customHeight="1" x14ac:dyDescent="0.3">
      <c r="J29943" s="33"/>
    </row>
    <row r="29944" spans="10:10" x14ac:dyDescent="0.3">
      <c r="J29944" s="33"/>
    </row>
    <row r="29945" spans="10:10" x14ac:dyDescent="0.3">
      <c r="J29945" s="33"/>
    </row>
    <row r="29946" spans="10:10" ht="15" customHeight="1" x14ac:dyDescent="0.3">
      <c r="J29946" s="33"/>
    </row>
    <row r="29947" spans="10:10" ht="15" customHeight="1" x14ac:dyDescent="0.3">
      <c r="J29947" s="33"/>
    </row>
    <row r="29948" spans="10:10" ht="15" customHeight="1" x14ac:dyDescent="0.3">
      <c r="J29948" s="33"/>
    </row>
    <row r="29949" spans="10:10" ht="15" customHeight="1" x14ac:dyDescent="0.3">
      <c r="J29949" s="33"/>
    </row>
    <row r="29950" spans="10:10" ht="15" customHeight="1" x14ac:dyDescent="0.3">
      <c r="J29950" s="33"/>
    </row>
    <row r="29951" spans="10:10" ht="15" customHeight="1" x14ac:dyDescent="0.3">
      <c r="J29951" s="33"/>
    </row>
    <row r="29952" spans="10:10" x14ac:dyDescent="0.3">
      <c r="J29952" s="33"/>
    </row>
    <row r="29953" spans="10:10" ht="15" customHeight="1" x14ac:dyDescent="0.3">
      <c r="J29953" s="33"/>
    </row>
    <row r="29954" spans="10:10" x14ac:dyDescent="0.3">
      <c r="J29954" s="33"/>
    </row>
    <row r="29955" spans="10:10" ht="15" customHeight="1" x14ac:dyDescent="0.3">
      <c r="J29955" s="33"/>
    </row>
    <row r="29956" spans="10:10" x14ac:dyDescent="0.3">
      <c r="J29956" s="33"/>
    </row>
    <row r="29957" spans="10:10" x14ac:dyDescent="0.3">
      <c r="J29957" s="33"/>
    </row>
    <row r="29958" spans="10:10" ht="15" customHeight="1" x14ac:dyDescent="0.3">
      <c r="J29958" s="33"/>
    </row>
    <row r="29959" spans="10:10" x14ac:dyDescent="0.3">
      <c r="J29959" s="33"/>
    </row>
    <row r="29960" spans="10:10" ht="15" customHeight="1" x14ac:dyDescent="0.3">
      <c r="J29960" s="33"/>
    </row>
    <row r="29961" spans="10:10" x14ac:dyDescent="0.3">
      <c r="J29961" s="33"/>
    </row>
    <row r="29962" spans="10:10" x14ac:dyDescent="0.3">
      <c r="J29962" s="33"/>
    </row>
    <row r="29963" spans="10:10" x14ac:dyDescent="0.3">
      <c r="J29963" s="33"/>
    </row>
    <row r="29964" spans="10:10" ht="15" customHeight="1" x14ac:dyDescent="0.3">
      <c r="J29964" s="33"/>
    </row>
    <row r="29965" spans="10:10" ht="15" customHeight="1" x14ac:dyDescent="0.3">
      <c r="J29965" s="33"/>
    </row>
    <row r="29966" spans="10:10" x14ac:dyDescent="0.3">
      <c r="J29966" s="33"/>
    </row>
    <row r="29967" spans="10:10" x14ac:dyDescent="0.3">
      <c r="J29967" s="33"/>
    </row>
    <row r="29968" spans="10:10" ht="15" customHeight="1" x14ac:dyDescent="0.3">
      <c r="J29968" s="33"/>
    </row>
    <row r="29969" spans="10:10" x14ac:dyDescent="0.3">
      <c r="J29969" s="33"/>
    </row>
    <row r="29970" spans="10:10" x14ac:dyDescent="0.3">
      <c r="J29970" s="33"/>
    </row>
    <row r="29971" spans="10:10" x14ac:dyDescent="0.3">
      <c r="J29971" s="33"/>
    </row>
    <row r="29972" spans="10:10" ht="15" customHeight="1" x14ac:dyDescent="0.3">
      <c r="J29972" s="33"/>
    </row>
    <row r="29973" spans="10:10" ht="15" customHeight="1" x14ac:dyDescent="0.3">
      <c r="J29973" s="33"/>
    </row>
    <row r="29974" spans="10:10" ht="15" customHeight="1" x14ac:dyDescent="0.3">
      <c r="J29974" s="33"/>
    </row>
    <row r="29975" spans="10:10" ht="15" customHeight="1" x14ac:dyDescent="0.3">
      <c r="J29975" s="33"/>
    </row>
    <row r="29976" spans="10:10" ht="15" customHeight="1" x14ac:dyDescent="0.3">
      <c r="J29976" s="33"/>
    </row>
    <row r="29977" spans="10:10" x14ac:dyDescent="0.3">
      <c r="J29977" s="33"/>
    </row>
    <row r="29978" spans="10:10" ht="15" customHeight="1" x14ac:dyDescent="0.3">
      <c r="J29978" s="33"/>
    </row>
    <row r="29979" spans="10:10" x14ac:dyDescent="0.3">
      <c r="J29979" s="33"/>
    </row>
    <row r="29980" spans="10:10" ht="15" customHeight="1" x14ac:dyDescent="0.3">
      <c r="J29980" s="33"/>
    </row>
    <row r="29981" spans="10:10" x14ac:dyDescent="0.3">
      <c r="J29981" s="33"/>
    </row>
    <row r="29982" spans="10:10" ht="15" customHeight="1" x14ac:dyDescent="0.3">
      <c r="J29982" s="33"/>
    </row>
    <row r="29983" spans="10:10" x14ac:dyDescent="0.3">
      <c r="J29983" s="33"/>
    </row>
    <row r="29984" spans="10:10" ht="15" customHeight="1" x14ac:dyDescent="0.3">
      <c r="J29984" s="33"/>
    </row>
    <row r="29985" spans="10:10" ht="15" customHeight="1" x14ac:dyDescent="0.3">
      <c r="J29985" s="33"/>
    </row>
    <row r="29986" spans="10:10" x14ac:dyDescent="0.3">
      <c r="J29986" s="33"/>
    </row>
    <row r="29987" spans="10:10" ht="15" customHeight="1" x14ac:dyDescent="0.3">
      <c r="J29987" s="33"/>
    </row>
    <row r="29988" spans="10:10" ht="15" customHeight="1" x14ac:dyDescent="0.3">
      <c r="J29988" s="33"/>
    </row>
    <row r="29989" spans="10:10" ht="15" customHeight="1" x14ac:dyDescent="0.3">
      <c r="J29989" s="33"/>
    </row>
    <row r="29990" spans="10:10" ht="15" customHeight="1" x14ac:dyDescent="0.3">
      <c r="J29990" s="33"/>
    </row>
    <row r="29991" spans="10:10" x14ac:dyDescent="0.3">
      <c r="J29991" s="33"/>
    </row>
    <row r="29992" spans="10:10" ht="15" customHeight="1" x14ac:dyDescent="0.3">
      <c r="J29992" s="33"/>
    </row>
    <row r="29993" spans="10:10" ht="15" customHeight="1" x14ac:dyDescent="0.3">
      <c r="J29993" s="33"/>
    </row>
    <row r="29994" spans="10:10" x14ac:dyDescent="0.3">
      <c r="J29994" s="33"/>
    </row>
    <row r="29995" spans="10:10" ht="15" customHeight="1" x14ac:dyDescent="0.3">
      <c r="J29995" s="33"/>
    </row>
    <row r="29996" spans="10:10" x14ac:dyDescent="0.3">
      <c r="J29996" s="33"/>
    </row>
    <row r="29997" spans="10:10" ht="15" customHeight="1" x14ac:dyDescent="0.3">
      <c r="J29997" s="33"/>
    </row>
    <row r="29998" spans="10:10" x14ac:dyDescent="0.3">
      <c r="J29998" s="33"/>
    </row>
    <row r="29999" spans="10:10" x14ac:dyDescent="0.3">
      <c r="J29999" s="33"/>
    </row>
    <row r="30000" spans="10:10" ht="15" customHeight="1" x14ac:dyDescent="0.3">
      <c r="J30000" s="33"/>
    </row>
    <row r="30001" spans="10:10" ht="15" customHeight="1" x14ac:dyDescent="0.3">
      <c r="J30001" s="33"/>
    </row>
    <row r="30002" spans="10:10" x14ac:dyDescent="0.3">
      <c r="J30002" s="33"/>
    </row>
    <row r="30003" spans="10:10" ht="15" customHeight="1" x14ac:dyDescent="0.3">
      <c r="J30003" s="33"/>
    </row>
    <row r="30004" spans="10:10" x14ac:dyDescent="0.3">
      <c r="J30004" s="33"/>
    </row>
    <row r="30005" spans="10:10" ht="15" customHeight="1" x14ac:dyDescent="0.3">
      <c r="J30005" s="33"/>
    </row>
    <row r="30006" spans="10:10" ht="15" customHeight="1" x14ac:dyDescent="0.3">
      <c r="J30006" s="33"/>
    </row>
    <row r="30007" spans="10:10" x14ac:dyDescent="0.3">
      <c r="J30007" s="33"/>
    </row>
    <row r="30008" spans="10:10" ht="15" customHeight="1" x14ac:dyDescent="0.3">
      <c r="J30008" s="33"/>
    </row>
    <row r="30009" spans="10:10" x14ac:dyDescent="0.3">
      <c r="J30009" s="33"/>
    </row>
    <row r="30010" spans="10:10" ht="15" customHeight="1" x14ac:dyDescent="0.3">
      <c r="J30010" s="33"/>
    </row>
    <row r="30011" spans="10:10" x14ac:dyDescent="0.3">
      <c r="J30011" s="33"/>
    </row>
    <row r="30012" spans="10:10" ht="15" customHeight="1" x14ac:dyDescent="0.3">
      <c r="J30012" s="33"/>
    </row>
    <row r="30013" spans="10:10" ht="15" customHeight="1" x14ac:dyDescent="0.3">
      <c r="J30013" s="33"/>
    </row>
    <row r="30014" spans="10:10" x14ac:dyDescent="0.3">
      <c r="J30014" s="33"/>
    </row>
    <row r="30015" spans="10:10" x14ac:dyDescent="0.3">
      <c r="J30015" s="33"/>
    </row>
    <row r="30016" spans="10:10" x14ac:dyDescent="0.3">
      <c r="J30016" s="33"/>
    </row>
    <row r="30017" spans="10:10" x14ac:dyDescent="0.3">
      <c r="J30017" s="33"/>
    </row>
    <row r="30018" spans="10:10" x14ac:dyDescent="0.3">
      <c r="J30018" s="33"/>
    </row>
    <row r="30019" spans="10:10" ht="15" customHeight="1" x14ac:dyDescent="0.3">
      <c r="J30019" s="33"/>
    </row>
    <row r="30020" spans="10:10" x14ac:dyDescent="0.3">
      <c r="J30020" s="33"/>
    </row>
    <row r="30021" spans="10:10" ht="15" customHeight="1" x14ac:dyDescent="0.3">
      <c r="J30021" s="33"/>
    </row>
    <row r="30022" spans="10:10" x14ac:dyDescent="0.3">
      <c r="J30022" s="33"/>
    </row>
    <row r="30023" spans="10:10" x14ac:dyDescent="0.3">
      <c r="J30023" s="33"/>
    </row>
    <row r="30024" spans="10:10" x14ac:dyDescent="0.3">
      <c r="J30024" s="33"/>
    </row>
    <row r="30025" spans="10:10" x14ac:dyDescent="0.3">
      <c r="J30025" s="33"/>
    </row>
    <row r="30026" spans="10:10" ht="15" customHeight="1" x14ac:dyDescent="0.3">
      <c r="J30026" s="33"/>
    </row>
    <row r="30027" spans="10:10" ht="15" customHeight="1" x14ac:dyDescent="0.3">
      <c r="J30027" s="33"/>
    </row>
    <row r="30028" spans="10:10" x14ac:dyDescent="0.3">
      <c r="J30028" s="33"/>
    </row>
    <row r="30029" spans="10:10" x14ac:dyDescent="0.3">
      <c r="J30029" s="33"/>
    </row>
    <row r="30030" spans="10:10" x14ac:dyDescent="0.3">
      <c r="J30030" s="33"/>
    </row>
    <row r="30031" spans="10:10" x14ac:dyDescent="0.3">
      <c r="J30031" s="33"/>
    </row>
    <row r="30032" spans="10:10" ht="15" customHeight="1" x14ac:dyDescent="0.3">
      <c r="J30032" s="33"/>
    </row>
    <row r="30033" spans="10:10" x14ac:dyDescent="0.3">
      <c r="J30033" s="33"/>
    </row>
    <row r="30034" spans="10:10" ht="15" customHeight="1" x14ac:dyDescent="0.3">
      <c r="J30034" s="33"/>
    </row>
    <row r="30035" spans="10:10" x14ac:dyDescent="0.3">
      <c r="J30035" s="33"/>
    </row>
    <row r="30036" spans="10:10" ht="15" customHeight="1" x14ac:dyDescent="0.3">
      <c r="J30036" s="33"/>
    </row>
    <row r="30037" spans="10:10" ht="15" customHeight="1" x14ac:dyDescent="0.3">
      <c r="J30037" s="33"/>
    </row>
    <row r="30038" spans="10:10" ht="15" customHeight="1" x14ac:dyDescent="0.3">
      <c r="J30038" s="33"/>
    </row>
    <row r="30039" spans="10:10" x14ac:dyDescent="0.3">
      <c r="J30039" s="33"/>
    </row>
    <row r="30040" spans="10:10" x14ac:dyDescent="0.3">
      <c r="J30040" s="33"/>
    </row>
    <row r="30041" spans="10:10" x14ac:dyDescent="0.3">
      <c r="J30041" s="33"/>
    </row>
    <row r="30042" spans="10:10" ht="15" customHeight="1" x14ac:dyDescent="0.3">
      <c r="J30042" s="33"/>
    </row>
    <row r="30043" spans="10:10" x14ac:dyDescent="0.3">
      <c r="J30043" s="33"/>
    </row>
    <row r="30044" spans="10:10" ht="15" customHeight="1" x14ac:dyDescent="0.3">
      <c r="J30044" s="33"/>
    </row>
    <row r="30045" spans="10:10" x14ac:dyDescent="0.3">
      <c r="J30045" s="33"/>
    </row>
    <row r="30046" spans="10:10" x14ac:dyDescent="0.3">
      <c r="J30046" s="33"/>
    </row>
    <row r="30047" spans="10:10" x14ac:dyDescent="0.3">
      <c r="J30047" s="33"/>
    </row>
    <row r="30048" spans="10:10" ht="15" customHeight="1" x14ac:dyDescent="0.3">
      <c r="J30048" s="33"/>
    </row>
    <row r="30049" spans="10:10" ht="15" customHeight="1" x14ac:dyDescent="0.3">
      <c r="J30049" s="33"/>
    </row>
    <row r="30050" spans="10:10" x14ac:dyDescent="0.3">
      <c r="J30050" s="33"/>
    </row>
    <row r="30051" spans="10:10" ht="15" customHeight="1" x14ac:dyDescent="0.3">
      <c r="J30051" s="33"/>
    </row>
    <row r="30052" spans="10:10" ht="15" customHeight="1" x14ac:dyDescent="0.3">
      <c r="J30052" s="33"/>
    </row>
    <row r="30053" spans="10:10" ht="15" customHeight="1" x14ac:dyDescent="0.3">
      <c r="J30053" s="33"/>
    </row>
    <row r="30054" spans="10:10" x14ac:dyDescent="0.3">
      <c r="J30054" s="33"/>
    </row>
    <row r="30055" spans="10:10" x14ac:dyDescent="0.3">
      <c r="J30055" s="33"/>
    </row>
    <row r="30056" spans="10:10" ht="15" customHeight="1" x14ac:dyDescent="0.3">
      <c r="J30056" s="33"/>
    </row>
    <row r="30057" spans="10:10" ht="15" customHeight="1" x14ac:dyDescent="0.3">
      <c r="J30057" s="33"/>
    </row>
    <row r="30058" spans="10:10" x14ac:dyDescent="0.3">
      <c r="J30058" s="33"/>
    </row>
    <row r="30059" spans="10:10" ht="15" customHeight="1" x14ac:dyDescent="0.3">
      <c r="J30059" s="33"/>
    </row>
    <row r="30060" spans="10:10" ht="15" customHeight="1" x14ac:dyDescent="0.3">
      <c r="J30060" s="33"/>
    </row>
    <row r="30061" spans="10:10" ht="15" customHeight="1" x14ac:dyDescent="0.3">
      <c r="J30061" s="33"/>
    </row>
    <row r="30062" spans="10:10" x14ac:dyDescent="0.3">
      <c r="J30062" s="33"/>
    </row>
    <row r="30063" spans="10:10" ht="15" customHeight="1" x14ac:dyDescent="0.3">
      <c r="J30063" s="33"/>
    </row>
    <row r="30064" spans="10:10" ht="15" customHeight="1" x14ac:dyDescent="0.3">
      <c r="J30064" s="33"/>
    </row>
    <row r="30065" spans="10:10" x14ac:dyDescent="0.3">
      <c r="J30065" s="33"/>
    </row>
    <row r="30066" spans="10:10" x14ac:dyDescent="0.3">
      <c r="J30066" s="33"/>
    </row>
    <row r="30067" spans="10:10" x14ac:dyDescent="0.3">
      <c r="J30067" s="33"/>
    </row>
    <row r="30068" spans="10:10" x14ac:dyDescent="0.3">
      <c r="J30068" s="33"/>
    </row>
    <row r="30069" spans="10:10" x14ac:dyDescent="0.3">
      <c r="J30069" s="33"/>
    </row>
    <row r="30070" spans="10:10" ht="15" customHeight="1" x14ac:dyDescent="0.3">
      <c r="J30070" s="33"/>
    </row>
    <row r="30071" spans="10:10" x14ac:dyDescent="0.3">
      <c r="J30071" s="33"/>
    </row>
    <row r="30072" spans="10:10" ht="15" customHeight="1" x14ac:dyDescent="0.3">
      <c r="J30072" s="33"/>
    </row>
    <row r="30073" spans="10:10" ht="15" customHeight="1" x14ac:dyDescent="0.3">
      <c r="J30073" s="33"/>
    </row>
    <row r="30074" spans="10:10" x14ac:dyDescent="0.3">
      <c r="J30074" s="33"/>
    </row>
    <row r="30075" spans="10:10" x14ac:dyDescent="0.3">
      <c r="J30075" s="33"/>
    </row>
    <row r="30076" spans="10:10" x14ac:dyDescent="0.3">
      <c r="J30076" s="33"/>
    </row>
    <row r="30077" spans="10:10" x14ac:dyDescent="0.3">
      <c r="J30077" s="33"/>
    </row>
    <row r="30078" spans="10:10" x14ac:dyDescent="0.3">
      <c r="J30078" s="33"/>
    </row>
    <row r="30079" spans="10:10" ht="15" customHeight="1" x14ac:dyDescent="0.3">
      <c r="J30079" s="33"/>
    </row>
    <row r="30080" spans="10:10" x14ac:dyDescent="0.3">
      <c r="J30080" s="33"/>
    </row>
    <row r="30081" spans="10:10" x14ac:dyDescent="0.3">
      <c r="J30081" s="33"/>
    </row>
    <row r="30082" spans="10:10" ht="15" customHeight="1" x14ac:dyDescent="0.3">
      <c r="J30082" s="33"/>
    </row>
    <row r="30083" spans="10:10" ht="15" customHeight="1" x14ac:dyDescent="0.3">
      <c r="J30083" s="33"/>
    </row>
    <row r="30084" spans="10:10" x14ac:dyDescent="0.3">
      <c r="J30084" s="33"/>
    </row>
    <row r="30085" spans="10:10" ht="15" customHeight="1" x14ac:dyDescent="0.3">
      <c r="J30085" s="33"/>
    </row>
    <row r="30086" spans="10:10" x14ac:dyDescent="0.3">
      <c r="J30086" s="33"/>
    </row>
    <row r="30087" spans="10:10" ht="15" customHeight="1" x14ac:dyDescent="0.3">
      <c r="J30087" s="33"/>
    </row>
    <row r="30088" spans="10:10" x14ac:dyDescent="0.3">
      <c r="J30088" s="33"/>
    </row>
    <row r="30089" spans="10:10" x14ac:dyDescent="0.3">
      <c r="J30089" s="33"/>
    </row>
    <row r="30090" spans="10:10" x14ac:dyDescent="0.3">
      <c r="J30090" s="33"/>
    </row>
    <row r="30091" spans="10:10" x14ac:dyDescent="0.3">
      <c r="J30091" s="33"/>
    </row>
    <row r="30092" spans="10:10" ht="15" customHeight="1" x14ac:dyDescent="0.3">
      <c r="J30092" s="33"/>
    </row>
    <row r="30093" spans="10:10" ht="15" customHeight="1" x14ac:dyDescent="0.3">
      <c r="J30093" s="33"/>
    </row>
    <row r="30094" spans="10:10" x14ac:dyDescent="0.3">
      <c r="J30094" s="33"/>
    </row>
    <row r="30095" spans="10:10" ht="15" customHeight="1" x14ac:dyDescent="0.3">
      <c r="J30095" s="33"/>
    </row>
    <row r="30096" spans="10:10" ht="15" customHeight="1" x14ac:dyDescent="0.3">
      <c r="J30096" s="33"/>
    </row>
    <row r="30097" spans="10:10" x14ac:dyDescent="0.3">
      <c r="J30097" s="33"/>
    </row>
    <row r="30098" spans="10:10" x14ac:dyDescent="0.3">
      <c r="J30098" s="33"/>
    </row>
    <row r="30099" spans="10:10" ht="15" customHeight="1" x14ac:dyDescent="0.3">
      <c r="J30099" s="33"/>
    </row>
    <row r="30100" spans="10:10" x14ac:dyDescent="0.3">
      <c r="J30100" s="33"/>
    </row>
    <row r="30101" spans="10:10" ht="15" customHeight="1" x14ac:dyDescent="0.3">
      <c r="J30101" s="33"/>
    </row>
    <row r="30102" spans="10:10" x14ac:dyDescent="0.3">
      <c r="J30102" s="33"/>
    </row>
    <row r="30103" spans="10:10" x14ac:dyDescent="0.3">
      <c r="J30103" s="33"/>
    </row>
    <row r="30104" spans="10:10" ht="15" customHeight="1" x14ac:dyDescent="0.3">
      <c r="J30104" s="33"/>
    </row>
    <row r="30105" spans="10:10" ht="15" customHeight="1" x14ac:dyDescent="0.3">
      <c r="J30105" s="33"/>
    </row>
    <row r="30106" spans="10:10" ht="15" customHeight="1" x14ac:dyDescent="0.3">
      <c r="J30106" s="33"/>
    </row>
    <row r="30107" spans="10:10" ht="15" customHeight="1" x14ac:dyDescent="0.3">
      <c r="J30107" s="33"/>
    </row>
    <row r="30108" spans="10:10" ht="15" customHeight="1" x14ac:dyDescent="0.3">
      <c r="J30108" s="33"/>
    </row>
    <row r="30109" spans="10:10" x14ac:dyDescent="0.3">
      <c r="J30109" s="33"/>
    </row>
    <row r="30110" spans="10:10" ht="15" customHeight="1" x14ac:dyDescent="0.3">
      <c r="J30110" s="33"/>
    </row>
    <row r="30111" spans="10:10" ht="15" customHeight="1" x14ac:dyDescent="0.3">
      <c r="J30111" s="33"/>
    </row>
    <row r="30112" spans="10:10" x14ac:dyDescent="0.3">
      <c r="J30112" s="33"/>
    </row>
    <row r="30113" spans="10:10" ht="15" customHeight="1" x14ac:dyDescent="0.3">
      <c r="J30113" s="33"/>
    </row>
    <row r="30114" spans="10:10" ht="15" customHeight="1" x14ac:dyDescent="0.3">
      <c r="J30114" s="33"/>
    </row>
    <row r="30115" spans="10:10" ht="15" customHeight="1" x14ac:dyDescent="0.3">
      <c r="J30115" s="33"/>
    </row>
    <row r="30116" spans="10:10" ht="15" customHeight="1" x14ac:dyDescent="0.3">
      <c r="J30116" s="33"/>
    </row>
    <row r="30117" spans="10:10" x14ac:dyDescent="0.3">
      <c r="J30117" s="33"/>
    </row>
    <row r="30118" spans="10:10" x14ac:dyDescent="0.3">
      <c r="J30118" s="33"/>
    </row>
    <row r="30119" spans="10:10" x14ac:dyDescent="0.3">
      <c r="J30119" s="33"/>
    </row>
    <row r="30120" spans="10:10" ht="15" customHeight="1" x14ac:dyDescent="0.3">
      <c r="J30120" s="33"/>
    </row>
    <row r="30121" spans="10:10" x14ac:dyDescent="0.3">
      <c r="J30121" s="33"/>
    </row>
    <row r="30122" spans="10:10" ht="15" customHeight="1" x14ac:dyDescent="0.3">
      <c r="J30122" s="33"/>
    </row>
    <row r="30123" spans="10:10" ht="15" customHeight="1" x14ac:dyDescent="0.3">
      <c r="J30123" s="33"/>
    </row>
    <row r="30124" spans="10:10" ht="15" customHeight="1" x14ac:dyDescent="0.3">
      <c r="J30124" s="33"/>
    </row>
    <row r="30125" spans="10:10" ht="15" customHeight="1" x14ac:dyDescent="0.3">
      <c r="J30125" s="33"/>
    </row>
    <row r="30126" spans="10:10" x14ac:dyDescent="0.3">
      <c r="J30126" s="33"/>
    </row>
    <row r="30127" spans="10:10" x14ac:dyDescent="0.3">
      <c r="J30127" s="33"/>
    </row>
    <row r="30128" spans="10:10" ht="15" customHeight="1" x14ac:dyDescent="0.3">
      <c r="J30128" s="33"/>
    </row>
    <row r="30129" spans="10:10" ht="15" customHeight="1" x14ac:dyDescent="0.3">
      <c r="J30129" s="33"/>
    </row>
    <row r="30130" spans="10:10" ht="15" customHeight="1" x14ac:dyDescent="0.3">
      <c r="J30130" s="33"/>
    </row>
    <row r="30131" spans="10:10" x14ac:dyDescent="0.3">
      <c r="J30131" s="33"/>
    </row>
    <row r="30132" spans="10:10" x14ac:dyDescent="0.3">
      <c r="J30132" s="33"/>
    </row>
    <row r="30133" spans="10:10" ht="15" customHeight="1" x14ac:dyDescent="0.3">
      <c r="J30133" s="33"/>
    </row>
    <row r="30134" spans="10:10" ht="15" customHeight="1" x14ac:dyDescent="0.3">
      <c r="J30134" s="33"/>
    </row>
    <row r="30135" spans="10:10" ht="15" customHeight="1" x14ac:dyDescent="0.3">
      <c r="J30135" s="33"/>
    </row>
    <row r="30136" spans="10:10" ht="15" customHeight="1" x14ac:dyDescent="0.3">
      <c r="J30136" s="33"/>
    </row>
    <row r="30137" spans="10:10" ht="15" customHeight="1" x14ac:dyDescent="0.3">
      <c r="J30137" s="33"/>
    </row>
    <row r="30138" spans="10:10" x14ac:dyDescent="0.3">
      <c r="J30138" s="33"/>
    </row>
    <row r="30139" spans="10:10" x14ac:dyDescent="0.3">
      <c r="J30139" s="33"/>
    </row>
    <row r="30140" spans="10:10" ht="15" customHeight="1" x14ac:dyDescent="0.3">
      <c r="J30140" s="33"/>
    </row>
    <row r="30141" spans="10:10" ht="15" customHeight="1" x14ac:dyDescent="0.3">
      <c r="J30141" s="33"/>
    </row>
    <row r="30142" spans="10:10" x14ac:dyDescent="0.3">
      <c r="J30142" s="33"/>
    </row>
    <row r="30143" spans="10:10" x14ac:dyDescent="0.3">
      <c r="J30143" s="33"/>
    </row>
    <row r="30144" spans="10:10" ht="15" customHeight="1" x14ac:dyDescent="0.3">
      <c r="J30144" s="33"/>
    </row>
    <row r="30145" spans="10:10" x14ac:dyDescent="0.3">
      <c r="J30145" s="33"/>
    </row>
    <row r="30146" spans="10:10" x14ac:dyDescent="0.3">
      <c r="J30146" s="33"/>
    </row>
    <row r="30147" spans="10:10" ht="15" customHeight="1" x14ac:dyDescent="0.3">
      <c r="J30147" s="33"/>
    </row>
    <row r="30148" spans="10:10" x14ac:dyDescent="0.3">
      <c r="J30148" s="33"/>
    </row>
    <row r="30149" spans="10:10" x14ac:dyDescent="0.3">
      <c r="J30149" s="33"/>
    </row>
    <row r="30150" spans="10:10" x14ac:dyDescent="0.3">
      <c r="J30150" s="33"/>
    </row>
    <row r="30151" spans="10:10" x14ac:dyDescent="0.3">
      <c r="J30151" s="33"/>
    </row>
    <row r="30152" spans="10:10" x14ac:dyDescent="0.3">
      <c r="J30152" s="33"/>
    </row>
    <row r="30153" spans="10:10" x14ac:dyDescent="0.3">
      <c r="J30153" s="33"/>
    </row>
    <row r="30154" spans="10:10" x14ac:dyDescent="0.3">
      <c r="J30154" s="33"/>
    </row>
    <row r="30155" spans="10:10" ht="15" customHeight="1" x14ac:dyDescent="0.3">
      <c r="J30155" s="33"/>
    </row>
    <row r="30156" spans="10:10" x14ac:dyDescent="0.3">
      <c r="J30156" s="33"/>
    </row>
    <row r="30157" spans="10:10" ht="15" customHeight="1" x14ac:dyDescent="0.3">
      <c r="J30157" s="33"/>
    </row>
    <row r="30158" spans="10:10" ht="15" customHeight="1" x14ac:dyDescent="0.3">
      <c r="J30158" s="33"/>
    </row>
    <row r="30159" spans="10:10" ht="15" customHeight="1" x14ac:dyDescent="0.3">
      <c r="J30159" s="33"/>
    </row>
    <row r="30160" spans="10:10" ht="15" customHeight="1" x14ac:dyDescent="0.3">
      <c r="J30160" s="33"/>
    </row>
    <row r="30161" spans="10:10" x14ac:dyDescent="0.3">
      <c r="J30161" s="33"/>
    </row>
    <row r="30162" spans="10:10" ht="15" customHeight="1" x14ac:dyDescent="0.3">
      <c r="J30162" s="33"/>
    </row>
    <row r="30163" spans="10:10" x14ac:dyDescent="0.3">
      <c r="J30163" s="33"/>
    </row>
    <row r="30164" spans="10:10" ht="15" customHeight="1" x14ac:dyDescent="0.3">
      <c r="J30164" s="33"/>
    </row>
    <row r="30165" spans="10:10" x14ac:dyDescent="0.3">
      <c r="J30165" s="33"/>
    </row>
    <row r="30166" spans="10:10" ht="15" customHeight="1" x14ac:dyDescent="0.3">
      <c r="J30166" s="33"/>
    </row>
    <row r="30167" spans="10:10" ht="15" customHeight="1" x14ac:dyDescent="0.3">
      <c r="J30167" s="33"/>
    </row>
    <row r="30168" spans="10:10" x14ac:dyDescent="0.3">
      <c r="J30168" s="33"/>
    </row>
    <row r="30169" spans="10:10" x14ac:dyDescent="0.3">
      <c r="J30169" s="33"/>
    </row>
    <row r="30170" spans="10:10" x14ac:dyDescent="0.3">
      <c r="J30170" s="33"/>
    </row>
    <row r="30171" spans="10:10" x14ac:dyDescent="0.3">
      <c r="J30171" s="33"/>
    </row>
    <row r="30172" spans="10:10" x14ac:dyDescent="0.3">
      <c r="J30172" s="33"/>
    </row>
    <row r="30173" spans="10:10" x14ac:dyDescent="0.3">
      <c r="J30173" s="33"/>
    </row>
    <row r="30174" spans="10:10" ht="15" customHeight="1" x14ac:dyDescent="0.3">
      <c r="J30174" s="33"/>
    </row>
    <row r="30175" spans="10:10" ht="15" customHeight="1" x14ac:dyDescent="0.3">
      <c r="J30175" s="33"/>
    </row>
    <row r="30176" spans="10:10" ht="15" customHeight="1" x14ac:dyDescent="0.3">
      <c r="J30176" s="33"/>
    </row>
    <row r="30177" spans="10:10" x14ac:dyDescent="0.3">
      <c r="J30177" s="33"/>
    </row>
    <row r="30178" spans="10:10" x14ac:dyDescent="0.3">
      <c r="J30178" s="33"/>
    </row>
    <row r="30179" spans="10:10" x14ac:dyDescent="0.3">
      <c r="J30179" s="33"/>
    </row>
    <row r="30180" spans="10:10" ht="15" customHeight="1" x14ac:dyDescent="0.3">
      <c r="J30180" s="33"/>
    </row>
    <row r="30181" spans="10:10" ht="15" customHeight="1" x14ac:dyDescent="0.3">
      <c r="J30181" s="33"/>
    </row>
    <row r="30182" spans="10:10" ht="15" customHeight="1" x14ac:dyDescent="0.3">
      <c r="J30182" s="33"/>
    </row>
    <row r="30183" spans="10:10" ht="15" customHeight="1" x14ac:dyDescent="0.3">
      <c r="J30183" s="33"/>
    </row>
    <row r="30184" spans="10:10" x14ac:dyDescent="0.3">
      <c r="J30184" s="33"/>
    </row>
    <row r="30185" spans="10:10" ht="15" customHeight="1" x14ac:dyDescent="0.3">
      <c r="J30185" s="33"/>
    </row>
    <row r="30186" spans="10:10" x14ac:dyDescent="0.3">
      <c r="J30186" s="33"/>
    </row>
    <row r="30187" spans="10:10" ht="15" customHeight="1" x14ac:dyDescent="0.3">
      <c r="J30187" s="33"/>
    </row>
    <row r="30188" spans="10:10" x14ac:dyDescent="0.3">
      <c r="J30188" s="33"/>
    </row>
    <row r="30189" spans="10:10" ht="15" customHeight="1" x14ac:dyDescent="0.3">
      <c r="J30189" s="33"/>
    </row>
    <row r="30190" spans="10:10" ht="15" customHeight="1" x14ac:dyDescent="0.3">
      <c r="J30190" s="33"/>
    </row>
    <row r="30191" spans="10:10" ht="15" customHeight="1" x14ac:dyDescent="0.3">
      <c r="J30191" s="33"/>
    </row>
    <row r="30192" spans="10:10" x14ac:dyDescent="0.3">
      <c r="J30192" s="33"/>
    </row>
    <row r="30193" spans="10:10" x14ac:dyDescent="0.3">
      <c r="J30193" s="33"/>
    </row>
    <row r="30194" spans="10:10" ht="15" customHeight="1" x14ac:dyDescent="0.3">
      <c r="J30194" s="33"/>
    </row>
    <row r="30195" spans="10:10" ht="15" customHeight="1" x14ac:dyDescent="0.3">
      <c r="J30195" s="33"/>
    </row>
    <row r="30196" spans="10:10" ht="15" customHeight="1" x14ac:dyDescent="0.3">
      <c r="J30196" s="33"/>
    </row>
    <row r="30197" spans="10:10" x14ac:dyDescent="0.3">
      <c r="J30197" s="33"/>
    </row>
    <row r="30198" spans="10:10" x14ac:dyDescent="0.3">
      <c r="J30198" s="33"/>
    </row>
    <row r="30199" spans="10:10" x14ac:dyDescent="0.3">
      <c r="J30199" s="33"/>
    </row>
    <row r="30200" spans="10:10" ht="15" customHeight="1" x14ac:dyDescent="0.3">
      <c r="J30200" s="33"/>
    </row>
    <row r="30201" spans="10:10" x14ac:dyDescent="0.3">
      <c r="J30201" s="33"/>
    </row>
    <row r="30202" spans="10:10" ht="15" customHeight="1" x14ac:dyDescent="0.3">
      <c r="J30202" s="33"/>
    </row>
    <row r="30203" spans="10:10" ht="15" customHeight="1" x14ac:dyDescent="0.3">
      <c r="J30203" s="33"/>
    </row>
    <row r="30204" spans="10:10" ht="15" customHeight="1" x14ac:dyDescent="0.3">
      <c r="J30204" s="33"/>
    </row>
    <row r="30205" spans="10:10" ht="15" customHeight="1" x14ac:dyDescent="0.3">
      <c r="J30205" s="33"/>
    </row>
    <row r="30206" spans="10:10" x14ac:dyDescent="0.3">
      <c r="J30206" s="33"/>
    </row>
    <row r="30207" spans="10:10" ht="15" customHeight="1" x14ac:dyDescent="0.3">
      <c r="J30207" s="33"/>
    </row>
    <row r="30208" spans="10:10" x14ac:dyDescent="0.3">
      <c r="J30208" s="33"/>
    </row>
    <row r="30209" spans="10:10" x14ac:dyDescent="0.3">
      <c r="J30209" s="33"/>
    </row>
    <row r="30210" spans="10:10" ht="15" customHeight="1" x14ac:dyDescent="0.3">
      <c r="J30210" s="33"/>
    </row>
    <row r="30211" spans="10:10" x14ac:dyDescent="0.3">
      <c r="J30211" s="33"/>
    </row>
    <row r="30212" spans="10:10" x14ac:dyDescent="0.3">
      <c r="J30212" s="33"/>
    </row>
    <row r="30213" spans="10:10" x14ac:dyDescent="0.3">
      <c r="J30213" s="33"/>
    </row>
    <row r="30214" spans="10:10" ht="15" customHeight="1" x14ac:dyDescent="0.3">
      <c r="J30214" s="33"/>
    </row>
    <row r="30215" spans="10:10" x14ac:dyDescent="0.3">
      <c r="J30215" s="33"/>
    </row>
    <row r="30216" spans="10:10" ht="15" customHeight="1" x14ac:dyDescent="0.3">
      <c r="J30216" s="33"/>
    </row>
    <row r="30217" spans="10:10" x14ac:dyDescent="0.3">
      <c r="J30217" s="33"/>
    </row>
    <row r="30218" spans="10:10" x14ac:dyDescent="0.3">
      <c r="J30218" s="33"/>
    </row>
    <row r="30219" spans="10:10" x14ac:dyDescent="0.3">
      <c r="J30219" s="33"/>
    </row>
    <row r="30220" spans="10:10" ht="15" customHeight="1" x14ac:dyDescent="0.3">
      <c r="J30220" s="33"/>
    </row>
    <row r="30221" spans="10:10" ht="15" customHeight="1" x14ac:dyDescent="0.3">
      <c r="J30221" s="33"/>
    </row>
    <row r="30222" spans="10:10" x14ac:dyDescent="0.3">
      <c r="J30222" s="33"/>
    </row>
    <row r="30223" spans="10:10" ht="15" customHeight="1" x14ac:dyDescent="0.3">
      <c r="J30223" s="33"/>
    </row>
    <row r="30224" spans="10:10" ht="15" customHeight="1" x14ac:dyDescent="0.3">
      <c r="J30224" s="33"/>
    </row>
    <row r="30225" spans="10:10" ht="15" customHeight="1" x14ac:dyDescent="0.3">
      <c r="J30225" s="33"/>
    </row>
    <row r="30226" spans="10:10" ht="15" customHeight="1" x14ac:dyDescent="0.3">
      <c r="J30226" s="33"/>
    </row>
    <row r="30227" spans="10:10" x14ac:dyDescent="0.3">
      <c r="J30227" s="33"/>
    </row>
    <row r="30228" spans="10:10" ht="15" customHeight="1" x14ac:dyDescent="0.3">
      <c r="J30228" s="33"/>
    </row>
    <row r="30229" spans="10:10" ht="15" customHeight="1" x14ac:dyDescent="0.3">
      <c r="J30229" s="33"/>
    </row>
    <row r="30230" spans="10:10" ht="15" customHeight="1" x14ac:dyDescent="0.3">
      <c r="J30230" s="33"/>
    </row>
    <row r="30231" spans="10:10" x14ac:dyDescent="0.3">
      <c r="J30231" s="33"/>
    </row>
    <row r="30232" spans="10:10" ht="15" customHeight="1" x14ac:dyDescent="0.3">
      <c r="J30232" s="33"/>
    </row>
    <row r="30233" spans="10:10" ht="15" customHeight="1" x14ac:dyDescent="0.3">
      <c r="J30233" s="33"/>
    </row>
    <row r="30234" spans="10:10" x14ac:dyDescent="0.3">
      <c r="J30234" s="33"/>
    </row>
    <row r="30235" spans="10:10" ht="15" customHeight="1" x14ac:dyDescent="0.3">
      <c r="J30235" s="33"/>
    </row>
    <row r="30236" spans="10:10" x14ac:dyDescent="0.3">
      <c r="J30236" s="33"/>
    </row>
    <row r="30237" spans="10:10" x14ac:dyDescent="0.3">
      <c r="J30237" s="33"/>
    </row>
    <row r="30238" spans="10:10" x14ac:dyDescent="0.3">
      <c r="J30238" s="33"/>
    </row>
    <row r="30239" spans="10:10" x14ac:dyDescent="0.3">
      <c r="J30239" s="33"/>
    </row>
    <row r="30240" spans="10:10" ht="15" customHeight="1" x14ac:dyDescent="0.3">
      <c r="J30240" s="33"/>
    </row>
    <row r="30241" spans="10:10" ht="15" customHeight="1" x14ac:dyDescent="0.3">
      <c r="J30241" s="33"/>
    </row>
    <row r="30242" spans="10:10" ht="15" customHeight="1" x14ac:dyDescent="0.3">
      <c r="J30242" s="33"/>
    </row>
    <row r="30243" spans="10:10" x14ac:dyDescent="0.3">
      <c r="J30243" s="33"/>
    </row>
    <row r="30244" spans="10:10" x14ac:dyDescent="0.3">
      <c r="J30244" s="33"/>
    </row>
    <row r="30245" spans="10:10" ht="15" customHeight="1" x14ac:dyDescent="0.3">
      <c r="J30245" s="33"/>
    </row>
    <row r="30246" spans="10:10" ht="15" customHeight="1" x14ac:dyDescent="0.3">
      <c r="J30246" s="33"/>
    </row>
    <row r="30247" spans="10:10" x14ac:dyDescent="0.3">
      <c r="J30247" s="33"/>
    </row>
    <row r="30248" spans="10:10" x14ac:dyDescent="0.3">
      <c r="J30248" s="33"/>
    </row>
    <row r="30249" spans="10:10" x14ac:dyDescent="0.3">
      <c r="J30249" s="33"/>
    </row>
    <row r="30250" spans="10:10" x14ac:dyDescent="0.3">
      <c r="J30250" s="33"/>
    </row>
    <row r="30251" spans="10:10" ht="15" customHeight="1" x14ac:dyDescent="0.3">
      <c r="J30251" s="33"/>
    </row>
    <row r="30252" spans="10:10" ht="15" customHeight="1" x14ac:dyDescent="0.3">
      <c r="J30252" s="33"/>
    </row>
    <row r="30253" spans="10:10" ht="15" customHeight="1" x14ac:dyDescent="0.3">
      <c r="J30253" s="33"/>
    </row>
    <row r="30254" spans="10:10" x14ac:dyDescent="0.3">
      <c r="J30254" s="33"/>
    </row>
    <row r="30255" spans="10:10" x14ac:dyDescent="0.3">
      <c r="J30255" s="33"/>
    </row>
    <row r="30256" spans="10:10" ht="15" customHeight="1" x14ac:dyDescent="0.3">
      <c r="J30256" s="33"/>
    </row>
    <row r="30257" spans="10:10" ht="15" customHeight="1" x14ac:dyDescent="0.3">
      <c r="J30257" s="33"/>
    </row>
    <row r="30258" spans="10:10" ht="15" customHeight="1" x14ac:dyDescent="0.3">
      <c r="J30258" s="33"/>
    </row>
    <row r="30259" spans="10:10" x14ac:dyDescent="0.3">
      <c r="J30259" s="33"/>
    </row>
    <row r="30260" spans="10:10" ht="15" customHeight="1" x14ac:dyDescent="0.3">
      <c r="J30260" s="33"/>
    </row>
    <row r="30261" spans="10:10" x14ac:dyDescent="0.3">
      <c r="J30261" s="33"/>
    </row>
    <row r="30262" spans="10:10" ht="15" customHeight="1" x14ac:dyDescent="0.3">
      <c r="J30262" s="33"/>
    </row>
    <row r="30263" spans="10:10" ht="15" customHeight="1" x14ac:dyDescent="0.3">
      <c r="J30263" s="33"/>
    </row>
    <row r="30264" spans="10:10" ht="15" customHeight="1" x14ac:dyDescent="0.3">
      <c r="J30264" s="33"/>
    </row>
    <row r="30265" spans="10:10" x14ac:dyDescent="0.3">
      <c r="J30265" s="33"/>
    </row>
    <row r="30266" spans="10:10" x14ac:dyDescent="0.3">
      <c r="J30266" s="33"/>
    </row>
    <row r="30267" spans="10:10" ht="15" customHeight="1" x14ac:dyDescent="0.3">
      <c r="J30267" s="33"/>
    </row>
    <row r="30268" spans="10:10" x14ac:dyDescent="0.3">
      <c r="J30268" s="33"/>
    </row>
    <row r="30269" spans="10:10" ht="15" customHeight="1" x14ac:dyDescent="0.3">
      <c r="J30269" s="33"/>
    </row>
    <row r="30270" spans="10:10" ht="15" customHeight="1" x14ac:dyDescent="0.3">
      <c r="J30270" s="33"/>
    </row>
    <row r="30271" spans="10:10" ht="15" customHeight="1" x14ac:dyDescent="0.3">
      <c r="J30271" s="33"/>
    </row>
    <row r="30272" spans="10:10" x14ac:dyDescent="0.3">
      <c r="J30272" s="33"/>
    </row>
    <row r="30273" spans="10:10" ht="15" customHeight="1" x14ac:dyDescent="0.3">
      <c r="J30273" s="33"/>
    </row>
    <row r="30274" spans="10:10" ht="15" customHeight="1" x14ac:dyDescent="0.3">
      <c r="J30274" s="33"/>
    </row>
    <row r="30275" spans="10:10" ht="15" customHeight="1" x14ac:dyDescent="0.3">
      <c r="J30275" s="33"/>
    </row>
    <row r="30276" spans="10:10" x14ac:dyDescent="0.3">
      <c r="J30276" s="33"/>
    </row>
    <row r="30277" spans="10:10" x14ac:dyDescent="0.3">
      <c r="J30277" s="33"/>
    </row>
    <row r="30278" spans="10:10" ht="15" customHeight="1" x14ac:dyDescent="0.3">
      <c r="J30278" s="33"/>
    </row>
    <row r="30279" spans="10:10" x14ac:dyDescent="0.3">
      <c r="J30279" s="33"/>
    </row>
    <row r="30280" spans="10:10" ht="15" customHeight="1" x14ac:dyDescent="0.3">
      <c r="J30280" s="33"/>
    </row>
    <row r="30281" spans="10:10" x14ac:dyDescent="0.3">
      <c r="J30281" s="33"/>
    </row>
    <row r="30282" spans="10:10" x14ac:dyDescent="0.3">
      <c r="J30282" s="33"/>
    </row>
    <row r="30283" spans="10:10" ht="15" customHeight="1" x14ac:dyDescent="0.3">
      <c r="J30283" s="33"/>
    </row>
    <row r="30284" spans="10:10" ht="15" customHeight="1" x14ac:dyDescent="0.3">
      <c r="J30284" s="33"/>
    </row>
    <row r="30285" spans="10:10" x14ac:dyDescent="0.3">
      <c r="J30285" s="33"/>
    </row>
    <row r="30286" spans="10:10" ht="15" customHeight="1" x14ac:dyDescent="0.3">
      <c r="J30286" s="33"/>
    </row>
    <row r="30287" spans="10:10" x14ac:dyDescent="0.3">
      <c r="J30287" s="33"/>
    </row>
    <row r="30288" spans="10:10" x14ac:dyDescent="0.3">
      <c r="J30288" s="33"/>
    </row>
    <row r="30289" spans="10:10" ht="15" customHeight="1" x14ac:dyDescent="0.3">
      <c r="J30289" s="33"/>
    </row>
    <row r="30290" spans="10:10" x14ac:dyDescent="0.3">
      <c r="J30290" s="33"/>
    </row>
    <row r="30291" spans="10:10" x14ac:dyDescent="0.3">
      <c r="J30291" s="33"/>
    </row>
    <row r="30292" spans="10:10" ht="15" customHeight="1" x14ac:dyDescent="0.3">
      <c r="J30292" s="33"/>
    </row>
    <row r="30293" spans="10:10" ht="15" customHeight="1" x14ac:dyDescent="0.3">
      <c r="J30293" s="33"/>
    </row>
    <row r="30294" spans="10:10" ht="15" customHeight="1" x14ac:dyDescent="0.3">
      <c r="J30294" s="33"/>
    </row>
    <row r="30295" spans="10:10" ht="15" customHeight="1" x14ac:dyDescent="0.3">
      <c r="J30295" s="33"/>
    </row>
    <row r="30296" spans="10:10" x14ac:dyDescent="0.3">
      <c r="J30296" s="33"/>
    </row>
    <row r="30297" spans="10:10" ht="15" customHeight="1" x14ac:dyDescent="0.3">
      <c r="J30297" s="33"/>
    </row>
    <row r="30298" spans="10:10" ht="15" customHeight="1" x14ac:dyDescent="0.3">
      <c r="J30298" s="33"/>
    </row>
    <row r="30299" spans="10:10" x14ac:dyDescent="0.3">
      <c r="J30299" s="33"/>
    </row>
    <row r="30300" spans="10:10" x14ac:dyDescent="0.3">
      <c r="J30300" s="33"/>
    </row>
    <row r="30301" spans="10:10" ht="15" customHeight="1" x14ac:dyDescent="0.3">
      <c r="J30301" s="33"/>
    </row>
    <row r="30302" spans="10:10" x14ac:dyDescent="0.3">
      <c r="J30302" s="33"/>
    </row>
    <row r="30303" spans="10:10" x14ac:dyDescent="0.3">
      <c r="J30303" s="33"/>
    </row>
    <row r="30304" spans="10:10" x14ac:dyDescent="0.3">
      <c r="J30304" s="33"/>
    </row>
    <row r="30305" spans="10:10" ht="15" customHeight="1" x14ac:dyDescent="0.3">
      <c r="J30305" s="33"/>
    </row>
    <row r="30306" spans="10:10" x14ac:dyDescent="0.3">
      <c r="J30306" s="33"/>
    </row>
    <row r="30307" spans="10:10" x14ac:dyDescent="0.3">
      <c r="J30307" s="33"/>
    </row>
    <row r="30308" spans="10:10" ht="15" customHeight="1" x14ac:dyDescent="0.3">
      <c r="J30308" s="33"/>
    </row>
    <row r="30309" spans="10:10" ht="15" customHeight="1" x14ac:dyDescent="0.3">
      <c r="J30309" s="33"/>
    </row>
    <row r="30310" spans="10:10" x14ac:dyDescent="0.3">
      <c r="J30310" s="33"/>
    </row>
    <row r="30311" spans="10:10" ht="15" customHeight="1" x14ac:dyDescent="0.3">
      <c r="J30311" s="33"/>
    </row>
    <row r="30312" spans="10:10" x14ac:dyDescent="0.3">
      <c r="J30312" s="33"/>
    </row>
    <row r="30313" spans="10:10" x14ac:dyDescent="0.3">
      <c r="J30313" s="33"/>
    </row>
    <row r="30314" spans="10:10" x14ac:dyDescent="0.3">
      <c r="J30314" s="33"/>
    </row>
    <row r="30315" spans="10:10" ht="15" customHeight="1" x14ac:dyDescent="0.3">
      <c r="J30315" s="33"/>
    </row>
    <row r="30316" spans="10:10" ht="15" customHeight="1" x14ac:dyDescent="0.3">
      <c r="J30316" s="33"/>
    </row>
    <row r="30317" spans="10:10" ht="15" customHeight="1" x14ac:dyDescent="0.3">
      <c r="J30317" s="33"/>
    </row>
    <row r="30318" spans="10:10" ht="15" customHeight="1" x14ac:dyDescent="0.3">
      <c r="J30318" s="33"/>
    </row>
    <row r="30319" spans="10:10" ht="15" customHeight="1" x14ac:dyDescent="0.3">
      <c r="J30319" s="33"/>
    </row>
    <row r="30320" spans="10:10" ht="15" customHeight="1" x14ac:dyDescent="0.3">
      <c r="J30320" s="33"/>
    </row>
    <row r="30321" spans="10:10" x14ac:dyDescent="0.3">
      <c r="J30321" s="33"/>
    </row>
    <row r="30322" spans="10:10" x14ac:dyDescent="0.3">
      <c r="J30322" s="33"/>
    </row>
    <row r="30323" spans="10:10" x14ac:dyDescent="0.3">
      <c r="J30323" s="33"/>
    </row>
    <row r="30324" spans="10:10" x14ac:dyDescent="0.3">
      <c r="J30324" s="33"/>
    </row>
    <row r="30325" spans="10:10" ht="15" customHeight="1" x14ac:dyDescent="0.3">
      <c r="J30325" s="33"/>
    </row>
    <row r="30326" spans="10:10" ht="15" customHeight="1" x14ac:dyDescent="0.3">
      <c r="J30326" s="33"/>
    </row>
    <row r="30327" spans="10:10" x14ac:dyDescent="0.3">
      <c r="J30327" s="33"/>
    </row>
    <row r="30328" spans="10:10" ht="15" customHeight="1" x14ac:dyDescent="0.3">
      <c r="J30328" s="33"/>
    </row>
    <row r="30329" spans="10:10" ht="15" customHeight="1" x14ac:dyDescent="0.3">
      <c r="J30329" s="33"/>
    </row>
    <row r="30330" spans="10:10" x14ac:dyDescent="0.3">
      <c r="J30330" s="33"/>
    </row>
    <row r="30331" spans="10:10" ht="15" customHeight="1" x14ac:dyDescent="0.3">
      <c r="J30331" s="33"/>
    </row>
    <row r="30332" spans="10:10" x14ac:dyDescent="0.3">
      <c r="J30332" s="33"/>
    </row>
    <row r="30333" spans="10:10" ht="15" customHeight="1" x14ac:dyDescent="0.3">
      <c r="J30333" s="33"/>
    </row>
    <row r="30334" spans="10:10" ht="15" customHeight="1" x14ac:dyDescent="0.3">
      <c r="J30334" s="33"/>
    </row>
    <row r="30335" spans="10:10" ht="15" customHeight="1" x14ac:dyDescent="0.3">
      <c r="J30335" s="33"/>
    </row>
    <row r="30336" spans="10:10" x14ac:dyDescent="0.3">
      <c r="J30336" s="33"/>
    </row>
    <row r="30337" spans="10:10" ht="15" customHeight="1" x14ac:dyDescent="0.3">
      <c r="J30337" s="33"/>
    </row>
    <row r="30338" spans="10:10" ht="15" customHeight="1" x14ac:dyDescent="0.3">
      <c r="J30338" s="33"/>
    </row>
    <row r="30339" spans="10:10" ht="15" customHeight="1" x14ac:dyDescent="0.3">
      <c r="J30339" s="33"/>
    </row>
    <row r="30340" spans="10:10" ht="15" customHeight="1" x14ac:dyDescent="0.3">
      <c r="J30340" s="33"/>
    </row>
    <row r="30341" spans="10:10" ht="15" customHeight="1" x14ac:dyDescent="0.3">
      <c r="J30341" s="33"/>
    </row>
    <row r="30342" spans="10:10" ht="15" customHeight="1" x14ac:dyDescent="0.3">
      <c r="J30342" s="33"/>
    </row>
    <row r="30343" spans="10:10" ht="15" customHeight="1" x14ac:dyDescent="0.3">
      <c r="J30343" s="33"/>
    </row>
    <row r="30344" spans="10:10" x14ac:dyDescent="0.3">
      <c r="J30344" s="33"/>
    </row>
    <row r="30345" spans="10:10" x14ac:dyDescent="0.3">
      <c r="J30345" s="33"/>
    </row>
    <row r="30346" spans="10:10" x14ac:dyDescent="0.3">
      <c r="J30346" s="33"/>
    </row>
    <row r="30347" spans="10:10" ht="15" customHeight="1" x14ac:dyDescent="0.3">
      <c r="J30347" s="33"/>
    </row>
    <row r="30348" spans="10:10" x14ac:dyDescent="0.3">
      <c r="J30348" s="33"/>
    </row>
    <row r="30349" spans="10:10" x14ac:dyDescent="0.3">
      <c r="J30349" s="33"/>
    </row>
    <row r="30350" spans="10:10" ht="15" customHeight="1" x14ac:dyDescent="0.3">
      <c r="J30350" s="33"/>
    </row>
    <row r="30351" spans="10:10" ht="15" customHeight="1" x14ac:dyDescent="0.3">
      <c r="J30351" s="33"/>
    </row>
    <row r="30352" spans="10:10" ht="15" customHeight="1" x14ac:dyDescent="0.3">
      <c r="J30352" s="33"/>
    </row>
    <row r="30353" spans="10:10" ht="15" customHeight="1" x14ac:dyDescent="0.3">
      <c r="J30353" s="33"/>
    </row>
    <row r="30354" spans="10:10" ht="15" customHeight="1" x14ac:dyDescent="0.3">
      <c r="J30354" s="33"/>
    </row>
    <row r="30355" spans="10:10" ht="15" customHeight="1" x14ac:dyDescent="0.3">
      <c r="J30355" s="33"/>
    </row>
    <row r="30356" spans="10:10" ht="15" customHeight="1" x14ac:dyDescent="0.3">
      <c r="J30356" s="33"/>
    </row>
    <row r="30357" spans="10:10" x14ac:dyDescent="0.3">
      <c r="J30357" s="33"/>
    </row>
    <row r="30358" spans="10:10" ht="15" customHeight="1" x14ac:dyDescent="0.3">
      <c r="J30358" s="33"/>
    </row>
    <row r="30359" spans="10:10" ht="15" customHeight="1" x14ac:dyDescent="0.3">
      <c r="J30359" s="33"/>
    </row>
    <row r="30360" spans="10:10" ht="15" customHeight="1" x14ac:dyDescent="0.3">
      <c r="J30360" s="33"/>
    </row>
    <row r="30361" spans="10:10" x14ac:dyDescent="0.3">
      <c r="J30361" s="33"/>
    </row>
    <row r="30362" spans="10:10" ht="15" customHeight="1" x14ac:dyDescent="0.3">
      <c r="J30362" s="33"/>
    </row>
    <row r="30363" spans="10:10" x14ac:dyDescent="0.3">
      <c r="J30363" s="33"/>
    </row>
    <row r="30364" spans="10:10" x14ac:dyDescent="0.3">
      <c r="J30364" s="33"/>
    </row>
    <row r="30365" spans="10:10" ht="15" customHeight="1" x14ac:dyDescent="0.3">
      <c r="J30365" s="33"/>
    </row>
    <row r="30366" spans="10:10" ht="15" customHeight="1" x14ac:dyDescent="0.3">
      <c r="J30366" s="33"/>
    </row>
    <row r="30367" spans="10:10" ht="15" customHeight="1" x14ac:dyDescent="0.3">
      <c r="J30367" s="33"/>
    </row>
    <row r="30368" spans="10:10" x14ac:dyDescent="0.3">
      <c r="J30368" s="33"/>
    </row>
    <row r="30369" spans="10:10" ht="15" customHeight="1" x14ac:dyDescent="0.3">
      <c r="J30369" s="33"/>
    </row>
    <row r="30370" spans="10:10" ht="15" customHeight="1" x14ac:dyDescent="0.3">
      <c r="J30370" s="33"/>
    </row>
    <row r="30371" spans="10:10" x14ac:dyDescent="0.3">
      <c r="J30371" s="33"/>
    </row>
    <row r="30372" spans="10:10" ht="15" customHeight="1" x14ac:dyDescent="0.3">
      <c r="J30372" s="33"/>
    </row>
    <row r="30373" spans="10:10" ht="15" customHeight="1" x14ac:dyDescent="0.3">
      <c r="J30373" s="33"/>
    </row>
    <row r="30374" spans="10:10" ht="15" customHeight="1" x14ac:dyDescent="0.3">
      <c r="J30374" s="33"/>
    </row>
    <row r="30375" spans="10:10" x14ac:dyDescent="0.3">
      <c r="J30375" s="33"/>
    </row>
    <row r="30376" spans="10:10" x14ac:dyDescent="0.3">
      <c r="J30376" s="33"/>
    </row>
    <row r="30377" spans="10:10" x14ac:dyDescent="0.3">
      <c r="J30377" s="33"/>
    </row>
    <row r="30378" spans="10:10" x14ac:dyDescent="0.3">
      <c r="J30378" s="33"/>
    </row>
    <row r="30379" spans="10:10" ht="15" customHeight="1" x14ac:dyDescent="0.3">
      <c r="J30379" s="33"/>
    </row>
    <row r="30380" spans="10:10" ht="15" customHeight="1" x14ac:dyDescent="0.3">
      <c r="J30380" s="33"/>
    </row>
    <row r="30381" spans="10:10" x14ac:dyDescent="0.3">
      <c r="J30381" s="33"/>
    </row>
    <row r="30382" spans="10:10" x14ac:dyDescent="0.3">
      <c r="J30382" s="33"/>
    </row>
    <row r="30383" spans="10:10" x14ac:dyDescent="0.3">
      <c r="J30383" s="33"/>
    </row>
    <row r="30384" spans="10:10" x14ac:dyDescent="0.3">
      <c r="J30384" s="33"/>
    </row>
    <row r="30385" spans="10:10" x14ac:dyDescent="0.3">
      <c r="J30385" s="33"/>
    </row>
    <row r="30386" spans="10:10" ht="15" customHeight="1" x14ac:dyDescent="0.3">
      <c r="J30386" s="33"/>
    </row>
    <row r="30387" spans="10:10" ht="15" customHeight="1" x14ac:dyDescent="0.3">
      <c r="J30387" s="33"/>
    </row>
    <row r="30388" spans="10:10" x14ac:dyDescent="0.3">
      <c r="J30388" s="33"/>
    </row>
    <row r="30389" spans="10:10" ht="15" customHeight="1" x14ac:dyDescent="0.3">
      <c r="J30389" s="33"/>
    </row>
    <row r="30390" spans="10:10" ht="15" customHeight="1" x14ac:dyDescent="0.3">
      <c r="J30390" s="33"/>
    </row>
    <row r="30391" spans="10:10" ht="15" customHeight="1" x14ac:dyDescent="0.3">
      <c r="J30391" s="33"/>
    </row>
    <row r="30392" spans="10:10" x14ac:dyDescent="0.3">
      <c r="J30392" s="33"/>
    </row>
    <row r="30393" spans="10:10" x14ac:dyDescent="0.3">
      <c r="J30393" s="33"/>
    </row>
    <row r="30394" spans="10:10" x14ac:dyDescent="0.3">
      <c r="J30394" s="33"/>
    </row>
    <row r="30395" spans="10:10" x14ac:dyDescent="0.3">
      <c r="J30395" s="33"/>
    </row>
    <row r="30396" spans="10:10" x14ac:dyDescent="0.3">
      <c r="J30396" s="33"/>
    </row>
    <row r="30397" spans="10:10" ht="15" customHeight="1" x14ac:dyDescent="0.3">
      <c r="J30397" s="33"/>
    </row>
    <row r="30398" spans="10:10" ht="15" customHeight="1" x14ac:dyDescent="0.3">
      <c r="J30398" s="33"/>
    </row>
    <row r="30399" spans="10:10" ht="15" customHeight="1" x14ac:dyDescent="0.3">
      <c r="J30399" s="33"/>
    </row>
    <row r="30400" spans="10:10" x14ac:dyDescent="0.3">
      <c r="J30400" s="33"/>
    </row>
    <row r="30401" spans="10:10" ht="15" customHeight="1" x14ac:dyDescent="0.3">
      <c r="J30401" s="33"/>
    </row>
    <row r="30402" spans="10:10" ht="15" customHeight="1" x14ac:dyDescent="0.3">
      <c r="J30402" s="33"/>
    </row>
    <row r="30403" spans="10:10" ht="15" customHeight="1" x14ac:dyDescent="0.3">
      <c r="J30403" s="33"/>
    </row>
    <row r="30404" spans="10:10" ht="15" customHeight="1" x14ac:dyDescent="0.3">
      <c r="J30404" s="33"/>
    </row>
    <row r="30405" spans="10:10" ht="15" customHeight="1" x14ac:dyDescent="0.3">
      <c r="J30405" s="33"/>
    </row>
    <row r="30406" spans="10:10" ht="15" customHeight="1" x14ac:dyDescent="0.3">
      <c r="J30406" s="33"/>
    </row>
    <row r="30407" spans="10:10" x14ac:dyDescent="0.3">
      <c r="J30407" s="33"/>
    </row>
    <row r="30408" spans="10:10" x14ac:dyDescent="0.3">
      <c r="J30408" s="33"/>
    </row>
    <row r="30409" spans="10:10" ht="15" customHeight="1" x14ac:dyDescent="0.3">
      <c r="J30409" s="33"/>
    </row>
    <row r="30410" spans="10:10" ht="15" customHeight="1" x14ac:dyDescent="0.3">
      <c r="J30410" s="33"/>
    </row>
    <row r="30411" spans="10:10" ht="15" customHeight="1" x14ac:dyDescent="0.3">
      <c r="J30411" s="33"/>
    </row>
    <row r="30412" spans="10:10" x14ac:dyDescent="0.3">
      <c r="J30412" s="33"/>
    </row>
    <row r="30413" spans="10:10" x14ac:dyDescent="0.3">
      <c r="J30413" s="33"/>
    </row>
    <row r="30414" spans="10:10" x14ac:dyDescent="0.3">
      <c r="J30414" s="33"/>
    </row>
    <row r="30415" spans="10:10" ht="15" customHeight="1" x14ac:dyDescent="0.3">
      <c r="J30415" s="33"/>
    </row>
    <row r="30416" spans="10:10" x14ac:dyDescent="0.3">
      <c r="J30416" s="33"/>
    </row>
    <row r="30417" spans="10:10" ht="15" customHeight="1" x14ac:dyDescent="0.3">
      <c r="J30417" s="33"/>
    </row>
    <row r="30418" spans="10:10" x14ac:dyDescent="0.3">
      <c r="J30418" s="33"/>
    </row>
    <row r="30419" spans="10:10" x14ac:dyDescent="0.3">
      <c r="J30419" s="33"/>
    </row>
    <row r="30420" spans="10:10" ht="15" customHeight="1" x14ac:dyDescent="0.3">
      <c r="J30420" s="33"/>
    </row>
    <row r="30421" spans="10:10" ht="15" customHeight="1" x14ac:dyDescent="0.3">
      <c r="J30421" s="33"/>
    </row>
    <row r="30422" spans="10:10" ht="15" customHeight="1" x14ac:dyDescent="0.3">
      <c r="J30422" s="33"/>
    </row>
    <row r="30423" spans="10:10" x14ac:dyDescent="0.3">
      <c r="J30423" s="33"/>
    </row>
    <row r="30424" spans="10:10" x14ac:dyDescent="0.3">
      <c r="J30424" s="33"/>
    </row>
    <row r="30425" spans="10:10" x14ac:dyDescent="0.3">
      <c r="J30425" s="33"/>
    </row>
    <row r="30426" spans="10:10" x14ac:dyDescent="0.3">
      <c r="J30426" s="33"/>
    </row>
    <row r="30427" spans="10:10" x14ac:dyDescent="0.3">
      <c r="J30427" s="33"/>
    </row>
    <row r="30428" spans="10:10" ht="15" customHeight="1" x14ac:dyDescent="0.3">
      <c r="J30428" s="33"/>
    </row>
    <row r="30429" spans="10:10" x14ac:dyDescent="0.3">
      <c r="J30429" s="33"/>
    </row>
    <row r="30430" spans="10:10" x14ac:dyDescent="0.3">
      <c r="J30430" s="33"/>
    </row>
    <row r="30431" spans="10:10" ht="15" customHeight="1" x14ac:dyDescent="0.3">
      <c r="J30431" s="33"/>
    </row>
    <row r="30432" spans="10:10" ht="15" customHeight="1" x14ac:dyDescent="0.3">
      <c r="J30432" s="33"/>
    </row>
    <row r="30433" spans="10:10" x14ac:dyDescent="0.3">
      <c r="J30433" s="33"/>
    </row>
    <row r="30434" spans="10:10" ht="15" customHeight="1" x14ac:dyDescent="0.3">
      <c r="J30434" s="33"/>
    </row>
    <row r="30435" spans="10:10" ht="15" customHeight="1" x14ac:dyDescent="0.3">
      <c r="J30435" s="33"/>
    </row>
    <row r="30436" spans="10:10" ht="15" customHeight="1" x14ac:dyDescent="0.3">
      <c r="J30436" s="33"/>
    </row>
    <row r="30437" spans="10:10" x14ac:dyDescent="0.3">
      <c r="J30437" s="33"/>
    </row>
    <row r="30438" spans="10:10" ht="15" customHeight="1" x14ac:dyDescent="0.3">
      <c r="J30438" s="33"/>
    </row>
    <row r="30439" spans="10:10" ht="15" customHeight="1" x14ac:dyDescent="0.3">
      <c r="J30439" s="33"/>
    </row>
    <row r="30440" spans="10:10" ht="15" customHeight="1" x14ac:dyDescent="0.3">
      <c r="J30440" s="33"/>
    </row>
    <row r="30441" spans="10:10" ht="15" customHeight="1" x14ac:dyDescent="0.3">
      <c r="J30441" s="33"/>
    </row>
    <row r="30442" spans="10:10" x14ac:dyDescent="0.3">
      <c r="J30442" s="33"/>
    </row>
    <row r="30443" spans="10:10" x14ac:dyDescent="0.3">
      <c r="J30443" s="33"/>
    </row>
    <row r="30444" spans="10:10" ht="15" customHeight="1" x14ac:dyDescent="0.3">
      <c r="J30444" s="33"/>
    </row>
    <row r="30445" spans="10:10" x14ac:dyDescent="0.3">
      <c r="J30445" s="33"/>
    </row>
    <row r="30446" spans="10:10" x14ac:dyDescent="0.3">
      <c r="J30446" s="33"/>
    </row>
    <row r="30447" spans="10:10" ht="15" customHeight="1" x14ac:dyDescent="0.3">
      <c r="J30447" s="33"/>
    </row>
    <row r="30448" spans="10:10" x14ac:dyDescent="0.3">
      <c r="J30448" s="33"/>
    </row>
    <row r="30449" spans="10:10" ht="15" customHeight="1" x14ac:dyDescent="0.3">
      <c r="J30449" s="33"/>
    </row>
    <row r="30450" spans="10:10" ht="15" customHeight="1" x14ac:dyDescent="0.3">
      <c r="J30450" s="33"/>
    </row>
    <row r="30451" spans="10:10" x14ac:dyDescent="0.3">
      <c r="J30451" s="33"/>
    </row>
    <row r="30452" spans="10:10" ht="15" customHeight="1" x14ac:dyDescent="0.3">
      <c r="J30452" s="33"/>
    </row>
    <row r="30453" spans="10:10" x14ac:dyDescent="0.3">
      <c r="J30453" s="33"/>
    </row>
    <row r="30454" spans="10:10" x14ac:dyDescent="0.3">
      <c r="J30454" s="33"/>
    </row>
    <row r="30455" spans="10:10" ht="15" customHeight="1" x14ac:dyDescent="0.3">
      <c r="J30455" s="33"/>
    </row>
    <row r="30456" spans="10:10" x14ac:dyDescent="0.3">
      <c r="J30456" s="33"/>
    </row>
    <row r="30457" spans="10:10" x14ac:dyDescent="0.3">
      <c r="J30457" s="33"/>
    </row>
    <row r="30458" spans="10:10" x14ac:dyDescent="0.3">
      <c r="J30458" s="33"/>
    </row>
    <row r="30459" spans="10:10" ht="15" customHeight="1" x14ac:dyDescent="0.3">
      <c r="J30459" s="33"/>
    </row>
    <row r="30460" spans="10:10" x14ac:dyDescent="0.3">
      <c r="J30460" s="33"/>
    </row>
    <row r="30461" spans="10:10" ht="15" customHeight="1" x14ac:dyDescent="0.3">
      <c r="J30461" s="33"/>
    </row>
    <row r="30462" spans="10:10" ht="15" customHeight="1" x14ac:dyDescent="0.3">
      <c r="J30462" s="33"/>
    </row>
    <row r="30463" spans="10:10" x14ac:dyDescent="0.3">
      <c r="J30463" s="33"/>
    </row>
    <row r="30464" spans="10:10" x14ac:dyDescent="0.3">
      <c r="J30464" s="33"/>
    </row>
    <row r="30465" spans="10:10" ht="15" customHeight="1" x14ac:dyDescent="0.3">
      <c r="J30465" s="33"/>
    </row>
    <row r="30466" spans="10:10" ht="15" customHeight="1" x14ac:dyDescent="0.3">
      <c r="J30466" s="33"/>
    </row>
    <row r="30467" spans="10:10" ht="15" customHeight="1" x14ac:dyDescent="0.3">
      <c r="J30467" s="33"/>
    </row>
    <row r="30468" spans="10:10" ht="15" customHeight="1" x14ac:dyDescent="0.3">
      <c r="J30468" s="33"/>
    </row>
    <row r="30469" spans="10:10" ht="15" customHeight="1" x14ac:dyDescent="0.3">
      <c r="J30469" s="33"/>
    </row>
    <row r="30470" spans="10:10" ht="15" customHeight="1" x14ac:dyDescent="0.3">
      <c r="J30470" s="33"/>
    </row>
    <row r="30471" spans="10:10" x14ac:dyDescent="0.3">
      <c r="J30471" s="33"/>
    </row>
    <row r="30472" spans="10:10" x14ac:dyDescent="0.3">
      <c r="J30472" s="33"/>
    </row>
    <row r="30473" spans="10:10" ht="15" customHeight="1" x14ac:dyDescent="0.3">
      <c r="J30473" s="33"/>
    </row>
    <row r="30474" spans="10:10" x14ac:dyDescent="0.3">
      <c r="J30474" s="33"/>
    </row>
    <row r="30475" spans="10:10" x14ac:dyDescent="0.3">
      <c r="J30475" s="33"/>
    </row>
    <row r="30476" spans="10:10" x14ac:dyDescent="0.3">
      <c r="J30476" s="33"/>
    </row>
    <row r="30477" spans="10:10" x14ac:dyDescent="0.3">
      <c r="J30477" s="33"/>
    </row>
    <row r="30478" spans="10:10" ht="15" customHeight="1" x14ac:dyDescent="0.3">
      <c r="J30478" s="33"/>
    </row>
    <row r="30479" spans="10:10" x14ac:dyDescent="0.3">
      <c r="J30479" s="33"/>
    </row>
    <row r="30480" spans="10:10" ht="15" customHeight="1" x14ac:dyDescent="0.3">
      <c r="J30480" s="33"/>
    </row>
    <row r="30481" spans="10:10" x14ac:dyDescent="0.3">
      <c r="J30481" s="33"/>
    </row>
    <row r="30482" spans="10:10" x14ac:dyDescent="0.3">
      <c r="J30482" s="33"/>
    </row>
    <row r="30483" spans="10:10" ht="15" customHeight="1" x14ac:dyDescent="0.3">
      <c r="J30483" s="33"/>
    </row>
    <row r="30484" spans="10:10" ht="15" customHeight="1" x14ac:dyDescent="0.3">
      <c r="J30484" s="33"/>
    </row>
    <row r="30485" spans="10:10" x14ac:dyDescent="0.3">
      <c r="J30485" s="33"/>
    </row>
    <row r="30486" spans="10:10" x14ac:dyDescent="0.3">
      <c r="J30486" s="33"/>
    </row>
    <row r="30487" spans="10:10" x14ac:dyDescent="0.3">
      <c r="J30487" s="33"/>
    </row>
    <row r="30488" spans="10:10" x14ac:dyDescent="0.3">
      <c r="J30488" s="33"/>
    </row>
    <row r="30489" spans="10:10" ht="15" customHeight="1" x14ac:dyDescent="0.3">
      <c r="J30489" s="33"/>
    </row>
    <row r="30490" spans="10:10" x14ac:dyDescent="0.3">
      <c r="J30490" s="33"/>
    </row>
    <row r="30491" spans="10:10" ht="15" customHeight="1" x14ac:dyDescent="0.3">
      <c r="J30491" s="33"/>
    </row>
    <row r="30492" spans="10:10" ht="15" customHeight="1" x14ac:dyDescent="0.3">
      <c r="J30492" s="33"/>
    </row>
    <row r="30493" spans="10:10" ht="15" customHeight="1" x14ac:dyDescent="0.3">
      <c r="J30493" s="33"/>
    </row>
    <row r="30494" spans="10:10" ht="15" customHeight="1" x14ac:dyDescent="0.3">
      <c r="J30494" s="33"/>
    </row>
    <row r="30495" spans="10:10" x14ac:dyDescent="0.3">
      <c r="J30495" s="33"/>
    </row>
    <row r="30496" spans="10:10" ht="15" customHeight="1" x14ac:dyDescent="0.3">
      <c r="J30496" s="33"/>
    </row>
    <row r="30497" spans="10:10" x14ac:dyDescent="0.3">
      <c r="J30497" s="33"/>
    </row>
    <row r="30498" spans="10:10" ht="15" customHeight="1" x14ac:dyDescent="0.3">
      <c r="J30498" s="33"/>
    </row>
    <row r="30499" spans="10:10" ht="15" customHeight="1" x14ac:dyDescent="0.3">
      <c r="J30499" s="33"/>
    </row>
    <row r="30500" spans="10:10" x14ac:dyDescent="0.3">
      <c r="J30500" s="33"/>
    </row>
    <row r="30501" spans="10:10" ht="15" customHeight="1" x14ac:dyDescent="0.3">
      <c r="J30501" s="33"/>
    </row>
    <row r="30502" spans="10:10" ht="15" customHeight="1" x14ac:dyDescent="0.3">
      <c r="J30502" s="33"/>
    </row>
    <row r="30503" spans="10:10" ht="15" customHeight="1" x14ac:dyDescent="0.3">
      <c r="J30503" s="33"/>
    </row>
    <row r="30504" spans="10:10" x14ac:dyDescent="0.3">
      <c r="J30504" s="33"/>
    </row>
    <row r="30505" spans="10:10" ht="15" customHeight="1" x14ac:dyDescent="0.3">
      <c r="J30505" s="33"/>
    </row>
    <row r="30506" spans="10:10" ht="15" customHeight="1" x14ac:dyDescent="0.3">
      <c r="J30506" s="33"/>
    </row>
    <row r="30507" spans="10:10" ht="15" customHeight="1" x14ac:dyDescent="0.3">
      <c r="J30507" s="33"/>
    </row>
    <row r="30508" spans="10:10" x14ac:dyDescent="0.3">
      <c r="J30508" s="33"/>
    </row>
    <row r="30509" spans="10:10" ht="15" customHeight="1" x14ac:dyDescent="0.3">
      <c r="J30509" s="33"/>
    </row>
    <row r="30510" spans="10:10" ht="15" customHeight="1" x14ac:dyDescent="0.3">
      <c r="J30510" s="33"/>
    </row>
    <row r="30511" spans="10:10" ht="15" customHeight="1" x14ac:dyDescent="0.3">
      <c r="J30511" s="33"/>
    </row>
    <row r="30512" spans="10:10" ht="15" customHeight="1" x14ac:dyDescent="0.3">
      <c r="J30512" s="33"/>
    </row>
    <row r="30513" spans="10:10" ht="15" customHeight="1" x14ac:dyDescent="0.3">
      <c r="J30513" s="33"/>
    </row>
    <row r="30514" spans="10:10" ht="15" customHeight="1" x14ac:dyDescent="0.3">
      <c r="J30514" s="33"/>
    </row>
    <row r="30515" spans="10:10" x14ac:dyDescent="0.3">
      <c r="J30515" s="33"/>
    </row>
    <row r="30516" spans="10:10" ht="15" customHeight="1" x14ac:dyDescent="0.3">
      <c r="J30516" s="33"/>
    </row>
    <row r="30517" spans="10:10" ht="15" customHeight="1" x14ac:dyDescent="0.3">
      <c r="J30517" s="33"/>
    </row>
    <row r="30518" spans="10:10" ht="15" customHeight="1" x14ac:dyDescent="0.3">
      <c r="J30518" s="33"/>
    </row>
    <row r="30519" spans="10:10" x14ac:dyDescent="0.3">
      <c r="J30519" s="33"/>
    </row>
    <row r="30520" spans="10:10" ht="15" customHeight="1" x14ac:dyDescent="0.3">
      <c r="J30520" s="33"/>
    </row>
    <row r="30521" spans="10:10" ht="15" customHeight="1" x14ac:dyDescent="0.3">
      <c r="J30521" s="33"/>
    </row>
    <row r="30522" spans="10:10" ht="15" customHeight="1" x14ac:dyDescent="0.3">
      <c r="J30522" s="33"/>
    </row>
    <row r="30523" spans="10:10" ht="15" customHeight="1" x14ac:dyDescent="0.3">
      <c r="J30523" s="33"/>
    </row>
    <row r="30524" spans="10:10" x14ac:dyDescent="0.3">
      <c r="J30524" s="33"/>
    </row>
    <row r="30525" spans="10:10" x14ac:dyDescent="0.3">
      <c r="J30525" s="33"/>
    </row>
    <row r="30526" spans="10:10" ht="15" customHeight="1" x14ac:dyDescent="0.3">
      <c r="J30526" s="33"/>
    </row>
    <row r="30527" spans="10:10" ht="15" customHeight="1" x14ac:dyDescent="0.3">
      <c r="J30527" s="33"/>
    </row>
    <row r="30528" spans="10:10" ht="15" customHeight="1" x14ac:dyDescent="0.3">
      <c r="J30528" s="33"/>
    </row>
    <row r="30529" spans="10:10" x14ac:dyDescent="0.3">
      <c r="J30529" s="33"/>
    </row>
    <row r="30530" spans="10:10" ht="15" customHeight="1" x14ac:dyDescent="0.3">
      <c r="J30530" s="33"/>
    </row>
    <row r="30531" spans="10:10" x14ac:dyDescent="0.3">
      <c r="J30531" s="33"/>
    </row>
    <row r="30532" spans="10:10" ht="15" customHeight="1" x14ac:dyDescent="0.3">
      <c r="J30532" s="33"/>
    </row>
    <row r="30533" spans="10:10" ht="15" customHeight="1" x14ac:dyDescent="0.3">
      <c r="J30533" s="33"/>
    </row>
    <row r="30534" spans="10:10" ht="15" customHeight="1" x14ac:dyDescent="0.3">
      <c r="J30534" s="33"/>
    </row>
    <row r="30535" spans="10:10" x14ac:dyDescent="0.3">
      <c r="J30535" s="33"/>
    </row>
    <row r="30536" spans="10:10" ht="15" customHeight="1" x14ac:dyDescent="0.3">
      <c r="J30536" s="33"/>
    </row>
    <row r="30537" spans="10:10" x14ac:dyDescent="0.3">
      <c r="J30537" s="33"/>
    </row>
    <row r="30538" spans="10:10" x14ac:dyDescent="0.3">
      <c r="J30538" s="33"/>
    </row>
    <row r="30539" spans="10:10" ht="15" customHeight="1" x14ac:dyDescent="0.3">
      <c r="J30539" s="33"/>
    </row>
    <row r="30540" spans="10:10" x14ac:dyDescent="0.3">
      <c r="J30540" s="33"/>
    </row>
    <row r="30541" spans="10:10" x14ac:dyDescent="0.3">
      <c r="J30541" s="33"/>
    </row>
    <row r="30542" spans="10:10" x14ac:dyDescent="0.3">
      <c r="J30542" s="33"/>
    </row>
    <row r="30543" spans="10:10" x14ac:dyDescent="0.3">
      <c r="J30543" s="33"/>
    </row>
    <row r="30544" spans="10:10" x14ac:dyDescent="0.3">
      <c r="J30544" s="33"/>
    </row>
    <row r="30545" spans="10:10" x14ac:dyDescent="0.3">
      <c r="J30545" s="33"/>
    </row>
    <row r="30546" spans="10:10" x14ac:dyDescent="0.3">
      <c r="J30546" s="33"/>
    </row>
    <row r="30547" spans="10:10" x14ac:dyDescent="0.3">
      <c r="J30547" s="33"/>
    </row>
    <row r="30548" spans="10:10" ht="15" customHeight="1" x14ac:dyDescent="0.3">
      <c r="J30548" s="33"/>
    </row>
    <row r="30549" spans="10:10" x14ac:dyDescent="0.3">
      <c r="J30549" s="33"/>
    </row>
    <row r="30550" spans="10:10" x14ac:dyDescent="0.3">
      <c r="J30550" s="33"/>
    </row>
    <row r="30551" spans="10:10" x14ac:dyDescent="0.3">
      <c r="J30551" s="33"/>
    </row>
    <row r="30552" spans="10:10" ht="15" customHeight="1" x14ac:dyDescent="0.3">
      <c r="J30552" s="33"/>
    </row>
    <row r="30553" spans="10:10" ht="15" customHeight="1" x14ac:dyDescent="0.3">
      <c r="J30553" s="33"/>
    </row>
    <row r="30554" spans="10:10" ht="15" customHeight="1" x14ac:dyDescent="0.3">
      <c r="J30554" s="33"/>
    </row>
    <row r="30555" spans="10:10" x14ac:dyDescent="0.3">
      <c r="J30555" s="33"/>
    </row>
    <row r="30556" spans="10:10" x14ac:dyDescent="0.3">
      <c r="J30556" s="33"/>
    </row>
    <row r="30557" spans="10:10" x14ac:dyDescent="0.3">
      <c r="J30557" s="33"/>
    </row>
    <row r="30558" spans="10:10" ht="15" customHeight="1" x14ac:dyDescent="0.3">
      <c r="J30558" s="33"/>
    </row>
    <row r="30559" spans="10:10" x14ac:dyDescent="0.3">
      <c r="J30559" s="33"/>
    </row>
    <row r="30560" spans="10:10" x14ac:dyDescent="0.3">
      <c r="J30560" s="33"/>
    </row>
    <row r="30561" spans="10:10" x14ac:dyDescent="0.3">
      <c r="J30561" s="33"/>
    </row>
    <row r="30562" spans="10:10" x14ac:dyDescent="0.3">
      <c r="J30562" s="33"/>
    </row>
    <row r="30563" spans="10:10" x14ac:dyDescent="0.3">
      <c r="J30563" s="33"/>
    </row>
    <row r="30564" spans="10:10" ht="15" customHeight="1" x14ac:dyDescent="0.3">
      <c r="J30564" s="33"/>
    </row>
    <row r="30565" spans="10:10" x14ac:dyDescent="0.3">
      <c r="J30565" s="33"/>
    </row>
    <row r="30566" spans="10:10" x14ac:dyDescent="0.3">
      <c r="J30566" s="33"/>
    </row>
    <row r="30567" spans="10:10" ht="15" customHeight="1" x14ac:dyDescent="0.3">
      <c r="J30567" s="33"/>
    </row>
    <row r="30568" spans="10:10" ht="15" customHeight="1" x14ac:dyDescent="0.3">
      <c r="J30568" s="33"/>
    </row>
    <row r="30569" spans="10:10" x14ac:dyDescent="0.3">
      <c r="J30569" s="33"/>
    </row>
    <row r="30570" spans="10:10" ht="15" customHeight="1" x14ac:dyDescent="0.3">
      <c r="J30570" s="33"/>
    </row>
    <row r="30571" spans="10:10" x14ac:dyDescent="0.3">
      <c r="J30571" s="33"/>
    </row>
    <row r="30572" spans="10:10" ht="15" customHeight="1" x14ac:dyDescent="0.3">
      <c r="J30572" s="33"/>
    </row>
    <row r="30573" spans="10:10" ht="15" customHeight="1" x14ac:dyDescent="0.3">
      <c r="J30573" s="33"/>
    </row>
    <row r="30574" spans="10:10" x14ac:dyDescent="0.3">
      <c r="J30574" s="33"/>
    </row>
    <row r="30575" spans="10:10" ht="15" customHeight="1" x14ac:dyDescent="0.3">
      <c r="J30575" s="33"/>
    </row>
    <row r="30576" spans="10:10" ht="15" customHeight="1" x14ac:dyDescent="0.3">
      <c r="J30576" s="33"/>
    </row>
    <row r="30577" spans="10:10" x14ac:dyDescent="0.3">
      <c r="J30577" s="33"/>
    </row>
    <row r="30578" spans="10:10" x14ac:dyDescent="0.3">
      <c r="J30578" s="33"/>
    </row>
    <row r="30579" spans="10:10" ht="15" customHeight="1" x14ac:dyDescent="0.3">
      <c r="J30579" s="33"/>
    </row>
    <row r="30580" spans="10:10" x14ac:dyDescent="0.3">
      <c r="J30580" s="33"/>
    </row>
    <row r="30581" spans="10:10" ht="15" customHeight="1" x14ac:dyDescent="0.3">
      <c r="J30581" s="33"/>
    </row>
    <row r="30582" spans="10:10" x14ac:dyDescent="0.3">
      <c r="J30582" s="33"/>
    </row>
    <row r="30583" spans="10:10" ht="15" customHeight="1" x14ac:dyDescent="0.3">
      <c r="J30583" s="33"/>
    </row>
    <row r="30584" spans="10:10" x14ac:dyDescent="0.3">
      <c r="J30584" s="33"/>
    </row>
    <row r="30585" spans="10:10" ht="15" customHeight="1" x14ac:dyDescent="0.3">
      <c r="J30585" s="33"/>
    </row>
    <row r="30586" spans="10:10" x14ac:dyDescent="0.3">
      <c r="J30586" s="33"/>
    </row>
    <row r="30587" spans="10:10" x14ac:dyDescent="0.3">
      <c r="J30587" s="33"/>
    </row>
    <row r="30588" spans="10:10" ht="15" customHeight="1" x14ac:dyDescent="0.3">
      <c r="J30588" s="33"/>
    </row>
    <row r="30589" spans="10:10" ht="15" customHeight="1" x14ac:dyDescent="0.3">
      <c r="J30589" s="33"/>
    </row>
    <row r="30590" spans="10:10" ht="15" customHeight="1" x14ac:dyDescent="0.3">
      <c r="J30590" s="33"/>
    </row>
    <row r="30591" spans="10:10" ht="15" customHeight="1" x14ac:dyDescent="0.3">
      <c r="J30591" s="33"/>
    </row>
    <row r="30592" spans="10:10" x14ac:dyDescent="0.3">
      <c r="J30592" s="33"/>
    </row>
    <row r="30593" spans="10:10" ht="15" customHeight="1" x14ac:dyDescent="0.3">
      <c r="J30593" s="33"/>
    </row>
    <row r="30594" spans="10:10" x14ac:dyDescent="0.3">
      <c r="J30594" s="33"/>
    </row>
    <row r="30595" spans="10:10" x14ac:dyDescent="0.3">
      <c r="J30595" s="33"/>
    </row>
    <row r="30596" spans="10:10" x14ac:dyDescent="0.3">
      <c r="J30596" s="33"/>
    </row>
    <row r="30597" spans="10:10" ht="15" customHeight="1" x14ac:dyDescent="0.3">
      <c r="J30597" s="33"/>
    </row>
    <row r="30598" spans="10:10" ht="15" customHeight="1" x14ac:dyDescent="0.3">
      <c r="J30598" s="33"/>
    </row>
    <row r="30599" spans="10:10" ht="15" customHeight="1" x14ac:dyDescent="0.3">
      <c r="J30599" s="33"/>
    </row>
    <row r="30600" spans="10:10" ht="15" customHeight="1" x14ac:dyDescent="0.3">
      <c r="J30600" s="33"/>
    </row>
    <row r="30601" spans="10:10" x14ac:dyDescent="0.3">
      <c r="J30601" s="33"/>
    </row>
    <row r="30602" spans="10:10" ht="15" customHeight="1" x14ac:dyDescent="0.3">
      <c r="J30602" s="33"/>
    </row>
    <row r="30603" spans="10:10" ht="15" customHeight="1" x14ac:dyDescent="0.3">
      <c r="J30603" s="33"/>
    </row>
    <row r="30604" spans="10:10" x14ac:dyDescent="0.3">
      <c r="J30604" s="33"/>
    </row>
    <row r="30605" spans="10:10" x14ac:dyDescent="0.3">
      <c r="J30605" s="33"/>
    </row>
    <row r="30606" spans="10:10" x14ac:dyDescent="0.3">
      <c r="J30606" s="33"/>
    </row>
    <row r="30607" spans="10:10" ht="15" customHeight="1" x14ac:dyDescent="0.3">
      <c r="J30607" s="33"/>
    </row>
    <row r="30608" spans="10:10" x14ac:dyDescent="0.3">
      <c r="J30608" s="33"/>
    </row>
    <row r="30609" spans="10:10" ht="15" customHeight="1" x14ac:dyDescent="0.3">
      <c r="J30609" s="33"/>
    </row>
    <row r="30610" spans="10:10" ht="15" customHeight="1" x14ac:dyDescent="0.3">
      <c r="J30610" s="33"/>
    </row>
    <row r="30611" spans="10:10" ht="15" customHeight="1" x14ac:dyDescent="0.3">
      <c r="J30611" s="33"/>
    </row>
    <row r="30612" spans="10:10" ht="15" customHeight="1" x14ac:dyDescent="0.3">
      <c r="J30612" s="33"/>
    </row>
    <row r="30613" spans="10:10" ht="15" customHeight="1" x14ac:dyDescent="0.3">
      <c r="J30613" s="33"/>
    </row>
    <row r="30614" spans="10:10" x14ac:dyDescent="0.3">
      <c r="J30614" s="33"/>
    </row>
    <row r="30615" spans="10:10" ht="15" customHeight="1" x14ac:dyDescent="0.3">
      <c r="J30615" s="33"/>
    </row>
    <row r="30616" spans="10:10" x14ac:dyDescent="0.3">
      <c r="J30616" s="33"/>
    </row>
    <row r="30617" spans="10:10" ht="15" customHeight="1" x14ac:dyDescent="0.3">
      <c r="J30617" s="33"/>
    </row>
    <row r="30618" spans="10:10" ht="15" customHeight="1" x14ac:dyDescent="0.3">
      <c r="J30618" s="33"/>
    </row>
    <row r="30619" spans="10:10" x14ac:dyDescent="0.3">
      <c r="J30619" s="33"/>
    </row>
    <row r="30620" spans="10:10" x14ac:dyDescent="0.3">
      <c r="J30620" s="33"/>
    </row>
    <row r="30621" spans="10:10" ht="15" customHeight="1" x14ac:dyDescent="0.3">
      <c r="J30621" s="33"/>
    </row>
    <row r="30622" spans="10:10" x14ac:dyDescent="0.3">
      <c r="J30622" s="33"/>
    </row>
    <row r="30623" spans="10:10" ht="15" customHeight="1" x14ac:dyDescent="0.3">
      <c r="J30623" s="33"/>
    </row>
    <row r="30624" spans="10:10" ht="15" customHeight="1" x14ac:dyDescent="0.3">
      <c r="J30624" s="33"/>
    </row>
    <row r="30625" spans="10:10" ht="15" customHeight="1" x14ac:dyDescent="0.3">
      <c r="J30625" s="33"/>
    </row>
    <row r="30626" spans="10:10" x14ac:dyDescent="0.3">
      <c r="J30626" s="33"/>
    </row>
    <row r="30627" spans="10:10" x14ac:dyDescent="0.3">
      <c r="J30627" s="33"/>
    </row>
    <row r="30628" spans="10:10" x14ac:dyDescent="0.3">
      <c r="J30628" s="33"/>
    </row>
    <row r="30629" spans="10:10" ht="15" customHeight="1" x14ac:dyDescent="0.3">
      <c r="J30629" s="33"/>
    </row>
    <row r="30630" spans="10:10" x14ac:dyDescent="0.3">
      <c r="J30630" s="33"/>
    </row>
    <row r="30631" spans="10:10" ht="15" customHeight="1" x14ac:dyDescent="0.3">
      <c r="J30631" s="33"/>
    </row>
    <row r="30632" spans="10:10" x14ac:dyDescent="0.3">
      <c r="J30632" s="33"/>
    </row>
    <row r="30633" spans="10:10" x14ac:dyDescent="0.3">
      <c r="J30633" s="33"/>
    </row>
    <row r="30634" spans="10:10" x14ac:dyDescent="0.3">
      <c r="J30634" s="33"/>
    </row>
    <row r="30635" spans="10:10" x14ac:dyDescent="0.3">
      <c r="J30635" s="33"/>
    </row>
    <row r="30636" spans="10:10" x14ac:dyDescent="0.3">
      <c r="J30636" s="33"/>
    </row>
    <row r="30637" spans="10:10" x14ac:dyDescent="0.3">
      <c r="J30637" s="33"/>
    </row>
    <row r="30638" spans="10:10" ht="15" customHeight="1" x14ac:dyDescent="0.3">
      <c r="J30638" s="33"/>
    </row>
    <row r="30639" spans="10:10" x14ac:dyDescent="0.3">
      <c r="J30639" s="33"/>
    </row>
    <row r="30640" spans="10:10" x14ac:dyDescent="0.3">
      <c r="J30640" s="33"/>
    </row>
    <row r="30641" spans="10:10" ht="15" customHeight="1" x14ac:dyDescent="0.3">
      <c r="J30641" s="33"/>
    </row>
    <row r="30642" spans="10:10" ht="15" customHeight="1" x14ac:dyDescent="0.3">
      <c r="J30642" s="33"/>
    </row>
    <row r="30643" spans="10:10" x14ac:dyDescent="0.3">
      <c r="J30643" s="33"/>
    </row>
    <row r="30644" spans="10:10" ht="15" customHeight="1" x14ac:dyDescent="0.3">
      <c r="J30644" s="33"/>
    </row>
    <row r="30645" spans="10:10" ht="15" customHeight="1" x14ac:dyDescent="0.3">
      <c r="J30645" s="33"/>
    </row>
    <row r="30646" spans="10:10" ht="15" customHeight="1" x14ac:dyDescent="0.3">
      <c r="J30646" s="33"/>
    </row>
    <row r="30647" spans="10:10" ht="15" customHeight="1" x14ac:dyDescent="0.3">
      <c r="J30647" s="33"/>
    </row>
    <row r="30648" spans="10:10" x14ac:dyDescent="0.3">
      <c r="J30648" s="33"/>
    </row>
    <row r="30649" spans="10:10" ht="15" customHeight="1" x14ac:dyDescent="0.3">
      <c r="J30649" s="33"/>
    </row>
    <row r="30650" spans="10:10" ht="15" customHeight="1" x14ac:dyDescent="0.3">
      <c r="J30650" s="33"/>
    </row>
    <row r="30651" spans="10:10" ht="15" customHeight="1" x14ac:dyDescent="0.3">
      <c r="J30651" s="33"/>
    </row>
    <row r="30652" spans="10:10" x14ac:dyDescent="0.3">
      <c r="J30652" s="33"/>
    </row>
    <row r="30653" spans="10:10" x14ac:dyDescent="0.3">
      <c r="J30653" s="33"/>
    </row>
    <row r="30654" spans="10:10" ht="15" customHeight="1" x14ac:dyDescent="0.3">
      <c r="J30654" s="33"/>
    </row>
    <row r="30655" spans="10:10" x14ac:dyDescent="0.3">
      <c r="J30655" s="33"/>
    </row>
    <row r="30656" spans="10:10" ht="15" customHeight="1" x14ac:dyDescent="0.3">
      <c r="J30656" s="33"/>
    </row>
    <row r="30657" spans="10:10" ht="15" customHeight="1" x14ac:dyDescent="0.3">
      <c r="J30657" s="33"/>
    </row>
    <row r="30658" spans="10:10" x14ac:dyDescent="0.3">
      <c r="J30658" s="33"/>
    </row>
    <row r="30659" spans="10:10" x14ac:dyDescent="0.3">
      <c r="J30659" s="33"/>
    </row>
    <row r="30660" spans="10:10" ht="15" customHeight="1" x14ac:dyDescent="0.3">
      <c r="J30660" s="33"/>
    </row>
    <row r="30661" spans="10:10" x14ac:dyDescent="0.3">
      <c r="J30661" s="33"/>
    </row>
    <row r="30662" spans="10:10" ht="15" customHeight="1" x14ac:dyDescent="0.3">
      <c r="J30662" s="33"/>
    </row>
    <row r="30663" spans="10:10" ht="15" customHeight="1" x14ac:dyDescent="0.3">
      <c r="J30663" s="33"/>
    </row>
    <row r="30664" spans="10:10" ht="15" customHeight="1" x14ac:dyDescent="0.3">
      <c r="J30664" s="33"/>
    </row>
    <row r="30665" spans="10:10" x14ac:dyDescent="0.3">
      <c r="J30665" s="33"/>
    </row>
    <row r="30666" spans="10:10" x14ac:dyDescent="0.3">
      <c r="J30666" s="33"/>
    </row>
    <row r="30667" spans="10:10" x14ac:dyDescent="0.3">
      <c r="J30667" s="33"/>
    </row>
    <row r="30668" spans="10:10" ht="15" customHeight="1" x14ac:dyDescent="0.3">
      <c r="J30668" s="33"/>
    </row>
    <row r="30669" spans="10:10" ht="15" customHeight="1" x14ac:dyDescent="0.3">
      <c r="J30669" s="33"/>
    </row>
    <row r="30670" spans="10:10" ht="15" customHeight="1" x14ac:dyDescent="0.3">
      <c r="J30670" s="33"/>
    </row>
    <row r="30671" spans="10:10" ht="15" customHeight="1" x14ac:dyDescent="0.3">
      <c r="J30671" s="33"/>
    </row>
    <row r="30672" spans="10:10" ht="15" customHeight="1" x14ac:dyDescent="0.3">
      <c r="J30672" s="33"/>
    </row>
    <row r="30673" spans="10:10" x14ac:dyDescent="0.3">
      <c r="J30673" s="33"/>
    </row>
    <row r="30674" spans="10:10" ht="15" customHeight="1" x14ac:dyDescent="0.3">
      <c r="J30674" s="33"/>
    </row>
    <row r="30675" spans="10:10" x14ac:dyDescent="0.3">
      <c r="J30675" s="33"/>
    </row>
    <row r="30676" spans="10:10" x14ac:dyDescent="0.3">
      <c r="J30676" s="33"/>
    </row>
    <row r="30677" spans="10:10" x14ac:dyDescent="0.3">
      <c r="J30677" s="33"/>
    </row>
    <row r="30678" spans="10:10" x14ac:dyDescent="0.3">
      <c r="J30678" s="33"/>
    </row>
    <row r="30679" spans="10:10" ht="15" customHeight="1" x14ac:dyDescent="0.3">
      <c r="J30679" s="33"/>
    </row>
    <row r="30680" spans="10:10" x14ac:dyDescent="0.3">
      <c r="J30680" s="33"/>
    </row>
    <row r="30681" spans="10:10" ht="15" customHeight="1" x14ac:dyDescent="0.3">
      <c r="J30681" s="33"/>
    </row>
    <row r="30682" spans="10:10" x14ac:dyDescent="0.3">
      <c r="J30682" s="33"/>
    </row>
    <row r="30683" spans="10:10" x14ac:dyDescent="0.3">
      <c r="J30683" s="33"/>
    </row>
    <row r="30684" spans="10:10" ht="15" customHeight="1" x14ac:dyDescent="0.3">
      <c r="J30684" s="33"/>
    </row>
    <row r="30685" spans="10:10" x14ac:dyDescent="0.3">
      <c r="J30685" s="33"/>
    </row>
    <row r="30686" spans="10:10" ht="15" customHeight="1" x14ac:dyDescent="0.3">
      <c r="J30686" s="33"/>
    </row>
    <row r="30687" spans="10:10" ht="15" customHeight="1" x14ac:dyDescent="0.3">
      <c r="J30687" s="33"/>
    </row>
    <row r="30688" spans="10:10" x14ac:dyDescent="0.3">
      <c r="J30688" s="33"/>
    </row>
    <row r="30689" spans="10:10" ht="15" customHeight="1" x14ac:dyDescent="0.3">
      <c r="J30689" s="33"/>
    </row>
    <row r="30690" spans="10:10" x14ac:dyDescent="0.3">
      <c r="J30690" s="33"/>
    </row>
    <row r="30691" spans="10:10" ht="15" customHeight="1" x14ac:dyDescent="0.3">
      <c r="J30691" s="33"/>
    </row>
    <row r="30692" spans="10:10" x14ac:dyDescent="0.3">
      <c r="J30692" s="33"/>
    </row>
    <row r="30693" spans="10:10" ht="15" customHeight="1" x14ac:dyDescent="0.3">
      <c r="J30693" s="33"/>
    </row>
    <row r="30694" spans="10:10" ht="15" customHeight="1" x14ac:dyDescent="0.3">
      <c r="J30694" s="33"/>
    </row>
    <row r="30695" spans="10:10" x14ac:dyDescent="0.3">
      <c r="J30695" s="33"/>
    </row>
    <row r="30696" spans="10:10" x14ac:dyDescent="0.3">
      <c r="J30696" s="33"/>
    </row>
    <row r="30697" spans="10:10" ht="15" customHeight="1" x14ac:dyDescent="0.3">
      <c r="J30697" s="33"/>
    </row>
    <row r="30698" spans="10:10" ht="15" customHeight="1" x14ac:dyDescent="0.3">
      <c r="J30698" s="33"/>
    </row>
    <row r="30699" spans="10:10" x14ac:dyDescent="0.3">
      <c r="J30699" s="33"/>
    </row>
    <row r="30700" spans="10:10" ht="15" customHeight="1" x14ac:dyDescent="0.3">
      <c r="J30700" s="33"/>
    </row>
    <row r="30701" spans="10:10" ht="15" customHeight="1" x14ac:dyDescent="0.3">
      <c r="J30701" s="33"/>
    </row>
    <row r="30702" spans="10:10" x14ac:dyDescent="0.3">
      <c r="J30702" s="33"/>
    </row>
    <row r="30703" spans="10:10" x14ac:dyDescent="0.3">
      <c r="J30703" s="33"/>
    </row>
    <row r="30704" spans="10:10" ht="15" customHeight="1" x14ac:dyDescent="0.3">
      <c r="J30704" s="33"/>
    </row>
    <row r="30705" spans="10:10" ht="15" customHeight="1" x14ac:dyDescent="0.3">
      <c r="J30705" s="33"/>
    </row>
    <row r="30706" spans="10:10" ht="15" customHeight="1" x14ac:dyDescent="0.3">
      <c r="J30706" s="33"/>
    </row>
    <row r="30707" spans="10:10" x14ac:dyDescent="0.3">
      <c r="J30707" s="33"/>
    </row>
    <row r="30708" spans="10:10" x14ac:dyDescent="0.3">
      <c r="J30708" s="33"/>
    </row>
    <row r="30709" spans="10:10" x14ac:dyDescent="0.3">
      <c r="J30709" s="33"/>
    </row>
    <row r="30710" spans="10:10" x14ac:dyDescent="0.3">
      <c r="J30710" s="33"/>
    </row>
    <row r="30711" spans="10:10" ht="15" customHeight="1" x14ac:dyDescent="0.3">
      <c r="J30711" s="33"/>
    </row>
    <row r="30712" spans="10:10" ht="15" customHeight="1" x14ac:dyDescent="0.3">
      <c r="J30712" s="33"/>
    </row>
    <row r="30713" spans="10:10" x14ac:dyDescent="0.3">
      <c r="J30713" s="33"/>
    </row>
    <row r="30714" spans="10:10" ht="15" customHeight="1" x14ac:dyDescent="0.3">
      <c r="J30714" s="33"/>
    </row>
    <row r="30715" spans="10:10" ht="15" customHeight="1" x14ac:dyDescent="0.3">
      <c r="J30715" s="33"/>
    </row>
    <row r="30716" spans="10:10" ht="15" customHeight="1" x14ac:dyDescent="0.3">
      <c r="J30716" s="33"/>
    </row>
    <row r="30717" spans="10:10" ht="15" customHeight="1" x14ac:dyDescent="0.3">
      <c r="J30717" s="33"/>
    </row>
    <row r="30718" spans="10:10" ht="15" customHeight="1" x14ac:dyDescent="0.3">
      <c r="J30718" s="33"/>
    </row>
    <row r="30719" spans="10:10" ht="15" customHeight="1" x14ac:dyDescent="0.3">
      <c r="J30719" s="33"/>
    </row>
    <row r="30720" spans="10:10" x14ac:dyDescent="0.3">
      <c r="J30720" s="33"/>
    </row>
    <row r="30721" spans="10:10" x14ac:dyDescent="0.3">
      <c r="J30721" s="33"/>
    </row>
    <row r="30722" spans="10:10" ht="15" customHeight="1" x14ac:dyDescent="0.3">
      <c r="J30722" s="33"/>
    </row>
    <row r="30723" spans="10:10" ht="15" customHeight="1" x14ac:dyDescent="0.3">
      <c r="J30723" s="33"/>
    </row>
    <row r="30724" spans="10:10" ht="15" customHeight="1" x14ac:dyDescent="0.3">
      <c r="J30724" s="33"/>
    </row>
    <row r="30725" spans="10:10" x14ac:dyDescent="0.3">
      <c r="J30725" s="33"/>
    </row>
    <row r="30726" spans="10:10" ht="15" customHeight="1" x14ac:dyDescent="0.3">
      <c r="J30726" s="33"/>
    </row>
    <row r="30727" spans="10:10" x14ac:dyDescent="0.3">
      <c r="J30727" s="33"/>
    </row>
    <row r="30728" spans="10:10" ht="15" customHeight="1" x14ac:dyDescent="0.3">
      <c r="J30728" s="33"/>
    </row>
    <row r="30729" spans="10:10" x14ac:dyDescent="0.3">
      <c r="J30729" s="33"/>
    </row>
    <row r="30730" spans="10:10" ht="15" customHeight="1" x14ac:dyDescent="0.3">
      <c r="J30730" s="33"/>
    </row>
    <row r="30731" spans="10:10" ht="15" customHeight="1" x14ac:dyDescent="0.3">
      <c r="J30731" s="33"/>
    </row>
    <row r="30732" spans="10:10" ht="15" customHeight="1" x14ac:dyDescent="0.3">
      <c r="J30732" s="33"/>
    </row>
    <row r="30733" spans="10:10" x14ac:dyDescent="0.3">
      <c r="J30733" s="33"/>
    </row>
    <row r="30734" spans="10:10" x14ac:dyDescent="0.3">
      <c r="J30734" s="33"/>
    </row>
    <row r="30735" spans="10:10" ht="15" customHeight="1" x14ac:dyDescent="0.3">
      <c r="J30735" s="33"/>
    </row>
    <row r="30736" spans="10:10" ht="15" customHeight="1" x14ac:dyDescent="0.3">
      <c r="J30736" s="33"/>
    </row>
    <row r="30737" spans="10:10" ht="15" customHeight="1" x14ac:dyDescent="0.3">
      <c r="J30737" s="33"/>
    </row>
    <row r="30738" spans="10:10" ht="15" customHeight="1" x14ac:dyDescent="0.3">
      <c r="J30738" s="33"/>
    </row>
    <row r="30739" spans="10:10" ht="15" customHeight="1" x14ac:dyDescent="0.3">
      <c r="J30739" s="33"/>
    </row>
    <row r="30740" spans="10:10" x14ac:dyDescent="0.3">
      <c r="J30740" s="33"/>
    </row>
    <row r="30741" spans="10:10" x14ac:dyDescent="0.3">
      <c r="J30741" s="33"/>
    </row>
    <row r="30742" spans="10:10" ht="15" customHeight="1" x14ac:dyDescent="0.3">
      <c r="J30742" s="33"/>
    </row>
    <row r="30743" spans="10:10" ht="15" customHeight="1" x14ac:dyDescent="0.3">
      <c r="J30743" s="33"/>
    </row>
    <row r="30744" spans="10:10" ht="15" customHeight="1" x14ac:dyDescent="0.3">
      <c r="J30744" s="33"/>
    </row>
    <row r="30745" spans="10:10" ht="15" customHeight="1" x14ac:dyDescent="0.3">
      <c r="J30745" s="33"/>
    </row>
    <row r="30746" spans="10:10" ht="15" customHeight="1" x14ac:dyDescent="0.3">
      <c r="J30746" s="33"/>
    </row>
    <row r="30747" spans="10:10" ht="15" customHeight="1" x14ac:dyDescent="0.3">
      <c r="J30747" s="33"/>
    </row>
    <row r="30748" spans="10:10" ht="15" customHeight="1" x14ac:dyDescent="0.3">
      <c r="J30748" s="33"/>
    </row>
    <row r="30749" spans="10:10" x14ac:dyDescent="0.3">
      <c r="J30749" s="33"/>
    </row>
    <row r="30750" spans="10:10" ht="15" customHeight="1" x14ac:dyDescent="0.3">
      <c r="J30750" s="33"/>
    </row>
    <row r="30751" spans="10:10" ht="15" customHeight="1" x14ac:dyDescent="0.3">
      <c r="J30751" s="33"/>
    </row>
    <row r="30752" spans="10:10" x14ac:dyDescent="0.3">
      <c r="J30752" s="33"/>
    </row>
    <row r="30753" spans="10:10" x14ac:dyDescent="0.3">
      <c r="J30753" s="33"/>
    </row>
    <row r="30754" spans="10:10" x14ac:dyDescent="0.3">
      <c r="J30754" s="33"/>
    </row>
    <row r="30755" spans="10:10" x14ac:dyDescent="0.3">
      <c r="J30755" s="33"/>
    </row>
    <row r="30756" spans="10:10" ht="15" customHeight="1" x14ac:dyDescent="0.3">
      <c r="J30756" s="33"/>
    </row>
    <row r="30757" spans="10:10" x14ac:dyDescent="0.3">
      <c r="J30757" s="33"/>
    </row>
    <row r="30758" spans="10:10" x14ac:dyDescent="0.3">
      <c r="J30758" s="33"/>
    </row>
    <row r="30759" spans="10:10" ht="15" customHeight="1" x14ac:dyDescent="0.3">
      <c r="J30759" s="33"/>
    </row>
    <row r="30760" spans="10:10" x14ac:dyDescent="0.3">
      <c r="J30760" s="33"/>
    </row>
    <row r="30761" spans="10:10" ht="15" customHeight="1" x14ac:dyDescent="0.3">
      <c r="J30761" s="33"/>
    </row>
    <row r="30762" spans="10:10" ht="15" customHeight="1" x14ac:dyDescent="0.3">
      <c r="J30762" s="33"/>
    </row>
    <row r="30763" spans="10:10" ht="15" customHeight="1" x14ac:dyDescent="0.3">
      <c r="J30763" s="33"/>
    </row>
    <row r="30764" spans="10:10" ht="15" customHeight="1" x14ac:dyDescent="0.3">
      <c r="J30764" s="33"/>
    </row>
    <row r="30765" spans="10:10" x14ac:dyDescent="0.3">
      <c r="J30765" s="33"/>
    </row>
    <row r="30766" spans="10:10" x14ac:dyDescent="0.3">
      <c r="J30766" s="33"/>
    </row>
    <row r="30767" spans="10:10" ht="15" customHeight="1" x14ac:dyDescent="0.3">
      <c r="J30767" s="33"/>
    </row>
    <row r="30768" spans="10:10" x14ac:dyDescent="0.3">
      <c r="J30768" s="33"/>
    </row>
    <row r="30769" spans="10:10" x14ac:dyDescent="0.3">
      <c r="J30769" s="33"/>
    </row>
    <row r="30770" spans="10:10" ht="15" customHeight="1" x14ac:dyDescent="0.3">
      <c r="J30770" s="33"/>
    </row>
    <row r="30771" spans="10:10" ht="15" customHeight="1" x14ac:dyDescent="0.3">
      <c r="J30771" s="33"/>
    </row>
    <row r="30772" spans="10:10" ht="15" customHeight="1" x14ac:dyDescent="0.3">
      <c r="J30772" s="33"/>
    </row>
    <row r="30773" spans="10:10" ht="15" customHeight="1" x14ac:dyDescent="0.3">
      <c r="J30773" s="33"/>
    </row>
    <row r="30774" spans="10:10" ht="15" customHeight="1" x14ac:dyDescent="0.3">
      <c r="J30774" s="33"/>
    </row>
    <row r="30775" spans="10:10" ht="15" customHeight="1" x14ac:dyDescent="0.3">
      <c r="J30775" s="33"/>
    </row>
    <row r="30776" spans="10:10" ht="15" customHeight="1" x14ac:dyDescent="0.3">
      <c r="J30776" s="33"/>
    </row>
    <row r="30777" spans="10:10" ht="15" customHeight="1" x14ac:dyDescent="0.3">
      <c r="J30777" s="33"/>
    </row>
    <row r="30778" spans="10:10" x14ac:dyDescent="0.3">
      <c r="J30778" s="33"/>
    </row>
    <row r="30779" spans="10:10" ht="15" customHeight="1" x14ac:dyDescent="0.3">
      <c r="J30779" s="33"/>
    </row>
    <row r="30780" spans="10:10" ht="15" customHeight="1" x14ac:dyDescent="0.3">
      <c r="J30780" s="33"/>
    </row>
    <row r="30781" spans="10:10" x14ac:dyDescent="0.3">
      <c r="J30781" s="33"/>
    </row>
    <row r="30782" spans="10:10" ht="15" customHeight="1" x14ac:dyDescent="0.3">
      <c r="J30782" s="33"/>
    </row>
    <row r="30783" spans="10:10" x14ac:dyDescent="0.3">
      <c r="J30783" s="33"/>
    </row>
    <row r="30784" spans="10:10" ht="15" customHeight="1" x14ac:dyDescent="0.3">
      <c r="J30784" s="33"/>
    </row>
    <row r="30785" spans="10:10" ht="15" customHeight="1" x14ac:dyDescent="0.3">
      <c r="J30785" s="33"/>
    </row>
    <row r="30786" spans="10:10" ht="15" customHeight="1" x14ac:dyDescent="0.3">
      <c r="J30786" s="33"/>
    </row>
    <row r="30787" spans="10:10" x14ac:dyDescent="0.3">
      <c r="J30787" s="33"/>
    </row>
    <row r="30788" spans="10:10" ht="15" customHeight="1" x14ac:dyDescent="0.3">
      <c r="J30788" s="33"/>
    </row>
    <row r="30789" spans="10:10" ht="15" customHeight="1" x14ac:dyDescent="0.3">
      <c r="J30789" s="33"/>
    </row>
    <row r="30790" spans="10:10" ht="15" customHeight="1" x14ac:dyDescent="0.3">
      <c r="J30790" s="33"/>
    </row>
    <row r="30791" spans="10:10" ht="15" customHeight="1" x14ac:dyDescent="0.3">
      <c r="J30791" s="33"/>
    </row>
    <row r="30792" spans="10:10" ht="15" customHeight="1" x14ac:dyDescent="0.3">
      <c r="J30792" s="33"/>
    </row>
    <row r="30793" spans="10:10" x14ac:dyDescent="0.3">
      <c r="J30793" s="33"/>
    </row>
    <row r="30794" spans="10:10" x14ac:dyDescent="0.3">
      <c r="J30794" s="33"/>
    </row>
    <row r="30795" spans="10:10" x14ac:dyDescent="0.3">
      <c r="J30795" s="33"/>
    </row>
    <row r="30796" spans="10:10" x14ac:dyDescent="0.3">
      <c r="J30796" s="33"/>
    </row>
    <row r="30797" spans="10:10" ht="15" customHeight="1" x14ac:dyDescent="0.3">
      <c r="J30797" s="33"/>
    </row>
    <row r="30798" spans="10:10" x14ac:dyDescent="0.3">
      <c r="J30798" s="33"/>
    </row>
    <row r="30799" spans="10:10" x14ac:dyDescent="0.3">
      <c r="J30799" s="33"/>
    </row>
    <row r="30800" spans="10:10" ht="15" customHeight="1" x14ac:dyDescent="0.3">
      <c r="J30800" s="33"/>
    </row>
    <row r="30801" spans="10:10" ht="15" customHeight="1" x14ac:dyDescent="0.3">
      <c r="J30801" s="33"/>
    </row>
    <row r="30802" spans="10:10" ht="15" customHeight="1" x14ac:dyDescent="0.3">
      <c r="J30802" s="33"/>
    </row>
    <row r="30803" spans="10:10" x14ac:dyDescent="0.3">
      <c r="J30803" s="33"/>
    </row>
    <row r="30804" spans="10:10" ht="15" customHeight="1" x14ac:dyDescent="0.3">
      <c r="J30804" s="33"/>
    </row>
    <row r="30805" spans="10:10" ht="15" customHeight="1" x14ac:dyDescent="0.3">
      <c r="J30805" s="33"/>
    </row>
    <row r="30806" spans="10:10" ht="15" customHeight="1" x14ac:dyDescent="0.3">
      <c r="J30806" s="33"/>
    </row>
    <row r="30807" spans="10:10" ht="15" customHeight="1" x14ac:dyDescent="0.3">
      <c r="J30807" s="33"/>
    </row>
    <row r="30808" spans="10:10" x14ac:dyDescent="0.3">
      <c r="J30808" s="33"/>
    </row>
    <row r="30809" spans="10:10" x14ac:dyDescent="0.3">
      <c r="J30809" s="33"/>
    </row>
    <row r="30810" spans="10:10" x14ac:dyDescent="0.3">
      <c r="J30810" s="33"/>
    </row>
    <row r="30811" spans="10:10" x14ac:dyDescent="0.3">
      <c r="J30811" s="33"/>
    </row>
    <row r="30812" spans="10:10" ht="15" customHeight="1" x14ac:dyDescent="0.3">
      <c r="J30812" s="33"/>
    </row>
    <row r="30813" spans="10:10" ht="15" customHeight="1" x14ac:dyDescent="0.3">
      <c r="J30813" s="33"/>
    </row>
    <row r="30814" spans="10:10" x14ac:dyDescent="0.3">
      <c r="J30814" s="33"/>
    </row>
    <row r="30815" spans="10:10" ht="15" customHeight="1" x14ac:dyDescent="0.3">
      <c r="J30815" s="33"/>
    </row>
    <row r="30816" spans="10:10" x14ac:dyDescent="0.3">
      <c r="J30816" s="33"/>
    </row>
    <row r="30817" spans="10:10" x14ac:dyDescent="0.3">
      <c r="J30817" s="33"/>
    </row>
    <row r="30818" spans="10:10" x14ac:dyDescent="0.3">
      <c r="J30818" s="33"/>
    </row>
    <row r="30819" spans="10:10" x14ac:dyDescent="0.3">
      <c r="J30819" s="33"/>
    </row>
    <row r="30820" spans="10:10" ht="15" customHeight="1" x14ac:dyDescent="0.3">
      <c r="J30820" s="33"/>
    </row>
    <row r="30821" spans="10:10" ht="15" customHeight="1" x14ac:dyDescent="0.3">
      <c r="J30821" s="33"/>
    </row>
    <row r="30822" spans="10:10" x14ac:dyDescent="0.3">
      <c r="J30822" s="33"/>
    </row>
    <row r="30823" spans="10:10" x14ac:dyDescent="0.3">
      <c r="J30823" s="33"/>
    </row>
    <row r="30824" spans="10:10" x14ac:dyDescent="0.3">
      <c r="J30824" s="33"/>
    </row>
    <row r="30825" spans="10:10" x14ac:dyDescent="0.3">
      <c r="J30825" s="33"/>
    </row>
    <row r="30826" spans="10:10" ht="15" customHeight="1" x14ac:dyDescent="0.3">
      <c r="J30826" s="33"/>
    </row>
    <row r="30827" spans="10:10" x14ac:dyDescent="0.3">
      <c r="J30827" s="33"/>
    </row>
    <row r="30828" spans="10:10" ht="15" customHeight="1" x14ac:dyDescent="0.3">
      <c r="J30828" s="33"/>
    </row>
    <row r="30829" spans="10:10" ht="15" customHeight="1" x14ac:dyDescent="0.3">
      <c r="J30829" s="33"/>
    </row>
    <row r="30830" spans="10:10" ht="15" customHeight="1" x14ac:dyDescent="0.3">
      <c r="J30830" s="33"/>
    </row>
    <row r="30831" spans="10:10" ht="15" customHeight="1" x14ac:dyDescent="0.3">
      <c r="J30831" s="33"/>
    </row>
    <row r="30832" spans="10:10" x14ac:dyDescent="0.3">
      <c r="J30832" s="33"/>
    </row>
    <row r="30833" spans="10:10" ht="15" customHeight="1" x14ac:dyDescent="0.3">
      <c r="J30833" s="33"/>
    </row>
    <row r="30834" spans="10:10" ht="15" customHeight="1" x14ac:dyDescent="0.3">
      <c r="J30834" s="33"/>
    </row>
    <row r="30835" spans="10:10" ht="15" customHeight="1" x14ac:dyDescent="0.3">
      <c r="J30835" s="33"/>
    </row>
    <row r="30836" spans="10:10" x14ac:dyDescent="0.3">
      <c r="J30836" s="33"/>
    </row>
    <row r="30837" spans="10:10" ht="15" customHeight="1" x14ac:dyDescent="0.3">
      <c r="J30837" s="33"/>
    </row>
    <row r="30838" spans="10:10" ht="15" customHeight="1" x14ac:dyDescent="0.3">
      <c r="J30838" s="33"/>
    </row>
    <row r="30839" spans="10:10" ht="15" customHeight="1" x14ac:dyDescent="0.3">
      <c r="J30839" s="33"/>
    </row>
    <row r="30840" spans="10:10" x14ac:dyDescent="0.3">
      <c r="J30840" s="33"/>
    </row>
    <row r="30841" spans="10:10" ht="15" customHeight="1" x14ac:dyDescent="0.3">
      <c r="J30841" s="33"/>
    </row>
    <row r="30842" spans="10:10" x14ac:dyDescent="0.3">
      <c r="J30842" s="33"/>
    </row>
    <row r="30843" spans="10:10" x14ac:dyDescent="0.3">
      <c r="J30843" s="33"/>
    </row>
    <row r="30844" spans="10:10" x14ac:dyDescent="0.3">
      <c r="J30844" s="33"/>
    </row>
    <row r="30845" spans="10:10" ht="15" customHeight="1" x14ac:dyDescent="0.3">
      <c r="J30845" s="33"/>
    </row>
    <row r="30846" spans="10:10" ht="15" customHeight="1" x14ac:dyDescent="0.3">
      <c r="J30846" s="33"/>
    </row>
    <row r="30847" spans="10:10" x14ac:dyDescent="0.3">
      <c r="J30847" s="33"/>
    </row>
    <row r="30848" spans="10:10" x14ac:dyDescent="0.3">
      <c r="J30848" s="33"/>
    </row>
    <row r="30849" spans="10:10" x14ac:dyDescent="0.3">
      <c r="J30849" s="33"/>
    </row>
    <row r="30850" spans="10:10" ht="15" customHeight="1" x14ac:dyDescent="0.3">
      <c r="J30850" s="33"/>
    </row>
    <row r="30851" spans="10:10" x14ac:dyDescent="0.3">
      <c r="J30851" s="33"/>
    </row>
    <row r="30852" spans="10:10" x14ac:dyDescent="0.3">
      <c r="J30852" s="33"/>
    </row>
    <row r="30853" spans="10:10" x14ac:dyDescent="0.3">
      <c r="J30853" s="33"/>
    </row>
    <row r="30854" spans="10:10" x14ac:dyDescent="0.3">
      <c r="J30854" s="33"/>
    </row>
    <row r="30855" spans="10:10" x14ac:dyDescent="0.3">
      <c r="J30855" s="33"/>
    </row>
    <row r="30856" spans="10:10" x14ac:dyDescent="0.3">
      <c r="J30856" s="33"/>
    </row>
    <row r="30857" spans="10:10" x14ac:dyDescent="0.3">
      <c r="J30857" s="33"/>
    </row>
    <row r="30858" spans="10:10" ht="15" customHeight="1" x14ac:dyDescent="0.3">
      <c r="J30858" s="33"/>
    </row>
    <row r="30859" spans="10:10" x14ac:dyDescent="0.3">
      <c r="J30859" s="33"/>
    </row>
    <row r="30860" spans="10:10" ht="15" customHeight="1" x14ac:dyDescent="0.3">
      <c r="J30860" s="33"/>
    </row>
    <row r="30861" spans="10:10" ht="15" customHeight="1" x14ac:dyDescent="0.3">
      <c r="J30861" s="33"/>
    </row>
    <row r="30862" spans="10:10" ht="15" customHeight="1" x14ac:dyDescent="0.3">
      <c r="J30862" s="33"/>
    </row>
    <row r="30863" spans="10:10" ht="15" customHeight="1" x14ac:dyDescent="0.3">
      <c r="J30863" s="33"/>
    </row>
    <row r="30864" spans="10:10" x14ac:dyDescent="0.3">
      <c r="J30864" s="33"/>
    </row>
    <row r="30865" spans="10:10" ht="15" customHeight="1" x14ac:dyDescent="0.3">
      <c r="J30865" s="33"/>
    </row>
    <row r="30866" spans="10:10" ht="15" customHeight="1" x14ac:dyDescent="0.3">
      <c r="J30866" s="33"/>
    </row>
    <row r="30867" spans="10:10" ht="15" customHeight="1" x14ac:dyDescent="0.3">
      <c r="J30867" s="33"/>
    </row>
    <row r="30868" spans="10:10" ht="15" customHeight="1" x14ac:dyDescent="0.3">
      <c r="J30868" s="33"/>
    </row>
    <row r="30869" spans="10:10" ht="15" customHeight="1" x14ac:dyDescent="0.3">
      <c r="J30869" s="33"/>
    </row>
    <row r="30870" spans="10:10" ht="15" customHeight="1" x14ac:dyDescent="0.3">
      <c r="J30870" s="33"/>
    </row>
    <row r="30871" spans="10:10" ht="15" customHeight="1" x14ac:dyDescent="0.3">
      <c r="J30871" s="33"/>
    </row>
    <row r="30872" spans="10:10" x14ac:dyDescent="0.3">
      <c r="J30872" s="33"/>
    </row>
    <row r="30873" spans="10:10" ht="15" customHeight="1" x14ac:dyDescent="0.3">
      <c r="J30873" s="33"/>
    </row>
    <row r="30874" spans="10:10" ht="15" customHeight="1" x14ac:dyDescent="0.3">
      <c r="J30874" s="33"/>
    </row>
    <row r="30875" spans="10:10" x14ac:dyDescent="0.3">
      <c r="J30875" s="33"/>
    </row>
    <row r="30876" spans="10:10" x14ac:dyDescent="0.3">
      <c r="J30876" s="33"/>
    </row>
    <row r="30877" spans="10:10" ht="15" customHeight="1" x14ac:dyDescent="0.3">
      <c r="J30877" s="33"/>
    </row>
    <row r="30878" spans="10:10" x14ac:dyDescent="0.3">
      <c r="J30878" s="33"/>
    </row>
    <row r="30879" spans="10:10" ht="15" customHeight="1" x14ac:dyDescent="0.3">
      <c r="J30879" s="33"/>
    </row>
    <row r="30880" spans="10:10" x14ac:dyDescent="0.3">
      <c r="J30880" s="33"/>
    </row>
    <row r="30881" spans="10:10" x14ac:dyDescent="0.3">
      <c r="J30881" s="33"/>
    </row>
    <row r="30882" spans="10:10" x14ac:dyDescent="0.3">
      <c r="J30882" s="33"/>
    </row>
    <row r="30883" spans="10:10" x14ac:dyDescent="0.3">
      <c r="J30883" s="33"/>
    </row>
    <row r="30884" spans="10:10" x14ac:dyDescent="0.3">
      <c r="J30884" s="33"/>
    </row>
    <row r="30885" spans="10:10" x14ac:dyDescent="0.3">
      <c r="J30885" s="33"/>
    </row>
    <row r="30886" spans="10:10" x14ac:dyDescent="0.3">
      <c r="J30886" s="33"/>
    </row>
    <row r="30887" spans="10:10" ht="15" customHeight="1" x14ac:dyDescent="0.3">
      <c r="J30887" s="33"/>
    </row>
    <row r="30888" spans="10:10" x14ac:dyDescent="0.3">
      <c r="J30888" s="33"/>
    </row>
    <row r="30889" spans="10:10" ht="15" customHeight="1" x14ac:dyDescent="0.3">
      <c r="J30889" s="33"/>
    </row>
    <row r="30890" spans="10:10" ht="15" customHeight="1" x14ac:dyDescent="0.3">
      <c r="J30890" s="33"/>
    </row>
    <row r="30891" spans="10:10" x14ac:dyDescent="0.3">
      <c r="J30891" s="33"/>
    </row>
    <row r="30892" spans="10:10" ht="15" customHeight="1" x14ac:dyDescent="0.3">
      <c r="J30892" s="33"/>
    </row>
    <row r="30893" spans="10:10" x14ac:dyDescent="0.3">
      <c r="J30893" s="33"/>
    </row>
    <row r="30894" spans="10:10" x14ac:dyDescent="0.3">
      <c r="J30894" s="33"/>
    </row>
    <row r="30895" spans="10:10" x14ac:dyDescent="0.3">
      <c r="J30895" s="33"/>
    </row>
    <row r="30896" spans="10:10" ht="15" customHeight="1" x14ac:dyDescent="0.3">
      <c r="J30896" s="33"/>
    </row>
    <row r="30897" spans="10:10" x14ac:dyDescent="0.3">
      <c r="J30897" s="33"/>
    </row>
    <row r="30898" spans="10:10" x14ac:dyDescent="0.3">
      <c r="J30898" s="33"/>
    </row>
    <row r="30899" spans="10:10" x14ac:dyDescent="0.3">
      <c r="J30899" s="33"/>
    </row>
    <row r="30900" spans="10:10" x14ac:dyDescent="0.3">
      <c r="J30900" s="33"/>
    </row>
    <row r="30901" spans="10:10" ht="15" customHeight="1" x14ac:dyDescent="0.3">
      <c r="J30901" s="33"/>
    </row>
    <row r="30902" spans="10:10" ht="15" customHeight="1" x14ac:dyDescent="0.3">
      <c r="J30902" s="33"/>
    </row>
    <row r="30903" spans="10:10" ht="15" customHeight="1" x14ac:dyDescent="0.3">
      <c r="J30903" s="33"/>
    </row>
    <row r="30904" spans="10:10" ht="15" customHeight="1" x14ac:dyDescent="0.3">
      <c r="J30904" s="33"/>
    </row>
    <row r="30905" spans="10:10" x14ac:dyDescent="0.3">
      <c r="J30905" s="33"/>
    </row>
    <row r="30906" spans="10:10" x14ac:dyDescent="0.3">
      <c r="J30906" s="33"/>
    </row>
    <row r="30907" spans="10:10" ht="15" customHeight="1" x14ac:dyDescent="0.3">
      <c r="J30907" s="33"/>
    </row>
    <row r="30908" spans="10:10" x14ac:dyDescent="0.3">
      <c r="J30908" s="33"/>
    </row>
    <row r="30909" spans="10:10" ht="15" customHeight="1" x14ac:dyDescent="0.3">
      <c r="J30909" s="33"/>
    </row>
    <row r="30910" spans="10:10" ht="15" customHeight="1" x14ac:dyDescent="0.3">
      <c r="J30910" s="33"/>
    </row>
    <row r="30911" spans="10:10" x14ac:dyDescent="0.3">
      <c r="J30911" s="33"/>
    </row>
    <row r="30912" spans="10:10" ht="15" customHeight="1" x14ac:dyDescent="0.3">
      <c r="J30912" s="33"/>
    </row>
    <row r="30913" spans="10:10" ht="15" customHeight="1" x14ac:dyDescent="0.3">
      <c r="J30913" s="33"/>
    </row>
    <row r="30914" spans="10:10" ht="15" customHeight="1" x14ac:dyDescent="0.3">
      <c r="J30914" s="33"/>
    </row>
    <row r="30915" spans="10:10" ht="15" customHeight="1" x14ac:dyDescent="0.3">
      <c r="J30915" s="33"/>
    </row>
    <row r="30916" spans="10:10" ht="15" customHeight="1" x14ac:dyDescent="0.3">
      <c r="J30916" s="33"/>
    </row>
    <row r="30917" spans="10:10" x14ac:dyDescent="0.3">
      <c r="J30917" s="33"/>
    </row>
    <row r="30918" spans="10:10" ht="15" customHeight="1" x14ac:dyDescent="0.3">
      <c r="J30918" s="33"/>
    </row>
    <row r="30919" spans="10:10" ht="15" customHeight="1" x14ac:dyDescent="0.3">
      <c r="J30919" s="33"/>
    </row>
    <row r="30920" spans="10:10" ht="15" customHeight="1" x14ac:dyDescent="0.3">
      <c r="J30920" s="33"/>
    </row>
    <row r="30921" spans="10:10" x14ac:dyDescent="0.3">
      <c r="J30921" s="33"/>
    </row>
    <row r="30922" spans="10:10" ht="15" customHeight="1" x14ac:dyDescent="0.3">
      <c r="J30922" s="33"/>
    </row>
    <row r="30923" spans="10:10" x14ac:dyDescent="0.3">
      <c r="J30923" s="33"/>
    </row>
    <row r="30924" spans="10:10" x14ac:dyDescent="0.3">
      <c r="J30924" s="33"/>
    </row>
    <row r="30925" spans="10:10" x14ac:dyDescent="0.3">
      <c r="J30925" s="33"/>
    </row>
    <row r="30926" spans="10:10" ht="15" customHeight="1" x14ac:dyDescent="0.3">
      <c r="J30926" s="33"/>
    </row>
    <row r="30927" spans="10:10" x14ac:dyDescent="0.3">
      <c r="J30927" s="33"/>
    </row>
    <row r="30928" spans="10:10" x14ac:dyDescent="0.3">
      <c r="J30928" s="33"/>
    </row>
    <row r="30929" spans="10:10" x14ac:dyDescent="0.3">
      <c r="J30929" s="33"/>
    </row>
    <row r="30930" spans="10:10" x14ac:dyDescent="0.3">
      <c r="J30930" s="33"/>
    </row>
    <row r="30931" spans="10:10" ht="15" customHeight="1" x14ac:dyDescent="0.3">
      <c r="J30931" s="33"/>
    </row>
    <row r="30932" spans="10:10" x14ac:dyDescent="0.3">
      <c r="J30932" s="33"/>
    </row>
    <row r="30933" spans="10:10" x14ac:dyDescent="0.3">
      <c r="J30933" s="33"/>
    </row>
    <row r="30934" spans="10:10" x14ac:dyDescent="0.3">
      <c r="J30934" s="33"/>
    </row>
    <row r="30935" spans="10:10" x14ac:dyDescent="0.3">
      <c r="J30935" s="33"/>
    </row>
    <row r="30936" spans="10:10" ht="15" customHeight="1" x14ac:dyDescent="0.3">
      <c r="J30936" s="33"/>
    </row>
    <row r="30937" spans="10:10" x14ac:dyDescent="0.3">
      <c r="J30937" s="33"/>
    </row>
    <row r="30938" spans="10:10" x14ac:dyDescent="0.3">
      <c r="J30938" s="33"/>
    </row>
    <row r="30939" spans="10:10" ht="15" customHeight="1" x14ac:dyDescent="0.3">
      <c r="J30939" s="33"/>
    </row>
    <row r="30940" spans="10:10" ht="15" customHeight="1" x14ac:dyDescent="0.3">
      <c r="J30940" s="33"/>
    </row>
    <row r="30941" spans="10:10" ht="15" customHeight="1" x14ac:dyDescent="0.3">
      <c r="J30941" s="33"/>
    </row>
    <row r="30942" spans="10:10" x14ac:dyDescent="0.3">
      <c r="J30942" s="33"/>
    </row>
    <row r="30943" spans="10:10" x14ac:dyDescent="0.3">
      <c r="J30943" s="33"/>
    </row>
    <row r="30944" spans="10:10" ht="15" customHeight="1" x14ac:dyDescent="0.3">
      <c r="J30944" s="33"/>
    </row>
    <row r="30945" spans="10:10" ht="15" customHeight="1" x14ac:dyDescent="0.3">
      <c r="J30945" s="33"/>
    </row>
    <row r="30946" spans="10:10" ht="15" customHeight="1" x14ac:dyDescent="0.3">
      <c r="J30946" s="33"/>
    </row>
    <row r="30947" spans="10:10" x14ac:dyDescent="0.3">
      <c r="J30947" s="33"/>
    </row>
    <row r="30948" spans="10:10" x14ac:dyDescent="0.3">
      <c r="J30948" s="33"/>
    </row>
    <row r="30949" spans="10:10" ht="15" customHeight="1" x14ac:dyDescent="0.3">
      <c r="J30949" s="33"/>
    </row>
    <row r="30950" spans="10:10" x14ac:dyDescent="0.3">
      <c r="J30950" s="33"/>
    </row>
    <row r="30951" spans="10:10" ht="15" customHeight="1" x14ac:dyDescent="0.3">
      <c r="J30951" s="33"/>
    </row>
    <row r="30952" spans="10:10" x14ac:dyDescent="0.3">
      <c r="J30952" s="33"/>
    </row>
    <row r="30953" spans="10:10" x14ac:dyDescent="0.3">
      <c r="J30953" s="33"/>
    </row>
    <row r="30954" spans="10:10" x14ac:dyDescent="0.3">
      <c r="J30954" s="33"/>
    </row>
    <row r="30955" spans="10:10" x14ac:dyDescent="0.3">
      <c r="J30955" s="33"/>
    </row>
    <row r="30956" spans="10:10" ht="15" customHeight="1" x14ac:dyDescent="0.3">
      <c r="J30956" s="33"/>
    </row>
    <row r="30957" spans="10:10" ht="15" customHeight="1" x14ac:dyDescent="0.3">
      <c r="J30957" s="33"/>
    </row>
    <row r="30958" spans="10:10" x14ac:dyDescent="0.3">
      <c r="J30958" s="33"/>
    </row>
    <row r="30959" spans="10:10" x14ac:dyDescent="0.3">
      <c r="J30959" s="33"/>
    </row>
    <row r="30960" spans="10:10" x14ac:dyDescent="0.3">
      <c r="J30960" s="33"/>
    </row>
    <row r="30961" spans="10:10" x14ac:dyDescent="0.3">
      <c r="J30961" s="33"/>
    </row>
    <row r="30962" spans="10:10" x14ac:dyDescent="0.3">
      <c r="J30962" s="33"/>
    </row>
    <row r="30963" spans="10:10" ht="15" customHeight="1" x14ac:dyDescent="0.3">
      <c r="J30963" s="33"/>
    </row>
    <row r="30964" spans="10:10" ht="15" customHeight="1" x14ac:dyDescent="0.3">
      <c r="J30964" s="33"/>
    </row>
    <row r="30965" spans="10:10" ht="15" customHeight="1" x14ac:dyDescent="0.3">
      <c r="J30965" s="33"/>
    </row>
    <row r="30966" spans="10:10" x14ac:dyDescent="0.3">
      <c r="J30966" s="33"/>
    </row>
    <row r="30967" spans="10:10" x14ac:dyDescent="0.3">
      <c r="J30967" s="33"/>
    </row>
    <row r="30968" spans="10:10" x14ac:dyDescent="0.3">
      <c r="J30968" s="33"/>
    </row>
    <row r="30969" spans="10:10" x14ac:dyDescent="0.3">
      <c r="J30969" s="33"/>
    </row>
    <row r="30970" spans="10:10" x14ac:dyDescent="0.3">
      <c r="J30970" s="33"/>
    </row>
    <row r="30971" spans="10:10" ht="15" customHeight="1" x14ac:dyDescent="0.3">
      <c r="J30971" s="33"/>
    </row>
    <row r="30972" spans="10:10" x14ac:dyDescent="0.3">
      <c r="J30972" s="33"/>
    </row>
    <row r="30973" spans="10:10" ht="15" customHeight="1" x14ac:dyDescent="0.3">
      <c r="J30973" s="33"/>
    </row>
    <row r="30974" spans="10:10" ht="15" customHeight="1" x14ac:dyDescent="0.3">
      <c r="J30974" s="33"/>
    </row>
    <row r="30975" spans="10:10" x14ac:dyDescent="0.3">
      <c r="J30975" s="33"/>
    </row>
    <row r="30976" spans="10:10" x14ac:dyDescent="0.3">
      <c r="J30976" s="33"/>
    </row>
    <row r="30977" spans="10:10" x14ac:dyDescent="0.3">
      <c r="J30977" s="33"/>
    </row>
    <row r="30978" spans="10:10" x14ac:dyDescent="0.3">
      <c r="J30978" s="33"/>
    </row>
    <row r="30979" spans="10:10" ht="15" customHeight="1" x14ac:dyDescent="0.3">
      <c r="J30979" s="33"/>
    </row>
    <row r="30980" spans="10:10" x14ac:dyDescent="0.3">
      <c r="J30980" s="33"/>
    </row>
    <row r="30981" spans="10:10" x14ac:dyDescent="0.3">
      <c r="J30981" s="33"/>
    </row>
    <row r="30982" spans="10:10" x14ac:dyDescent="0.3">
      <c r="J30982" s="33"/>
    </row>
    <row r="30983" spans="10:10" ht="15" customHeight="1" x14ac:dyDescent="0.3">
      <c r="J30983" s="33"/>
    </row>
    <row r="30984" spans="10:10" ht="15" customHeight="1" x14ac:dyDescent="0.3">
      <c r="J30984" s="33"/>
    </row>
    <row r="30985" spans="10:10" x14ac:dyDescent="0.3">
      <c r="J30985" s="33"/>
    </row>
    <row r="30986" spans="10:10" x14ac:dyDescent="0.3">
      <c r="J30986" s="33"/>
    </row>
    <row r="30987" spans="10:10" x14ac:dyDescent="0.3">
      <c r="J30987" s="33"/>
    </row>
    <row r="30988" spans="10:10" x14ac:dyDescent="0.3">
      <c r="J30988" s="33"/>
    </row>
    <row r="30989" spans="10:10" x14ac:dyDescent="0.3">
      <c r="J30989" s="33"/>
    </row>
    <row r="30990" spans="10:10" x14ac:dyDescent="0.3">
      <c r="J30990" s="33"/>
    </row>
    <row r="30991" spans="10:10" ht="15" customHeight="1" x14ac:dyDescent="0.3">
      <c r="J30991" s="33"/>
    </row>
    <row r="30992" spans="10:10" ht="15" customHeight="1" x14ac:dyDescent="0.3">
      <c r="J30992" s="33"/>
    </row>
    <row r="30993" spans="10:10" x14ac:dyDescent="0.3">
      <c r="J30993" s="33"/>
    </row>
    <row r="30994" spans="10:10" ht="15" customHeight="1" x14ac:dyDescent="0.3">
      <c r="J30994" s="33"/>
    </row>
    <row r="30995" spans="10:10" x14ac:dyDescent="0.3">
      <c r="J30995" s="33"/>
    </row>
    <row r="30996" spans="10:10" ht="15" customHeight="1" x14ac:dyDescent="0.3">
      <c r="J30996" s="33"/>
    </row>
    <row r="30997" spans="10:10" x14ac:dyDescent="0.3">
      <c r="J30997" s="33"/>
    </row>
    <row r="30998" spans="10:10" ht="15" customHeight="1" x14ac:dyDescent="0.3">
      <c r="J30998" s="33"/>
    </row>
    <row r="30999" spans="10:10" x14ac:dyDescent="0.3">
      <c r="J30999" s="33"/>
    </row>
    <row r="31000" spans="10:10" x14ac:dyDescent="0.3">
      <c r="J31000" s="33"/>
    </row>
    <row r="31001" spans="10:10" x14ac:dyDescent="0.3">
      <c r="J31001" s="33"/>
    </row>
    <row r="31002" spans="10:10" ht="15" customHeight="1" x14ac:dyDescent="0.3">
      <c r="J31002" s="33"/>
    </row>
    <row r="31003" spans="10:10" x14ac:dyDescent="0.3">
      <c r="J31003" s="33"/>
    </row>
    <row r="31004" spans="10:10" x14ac:dyDescent="0.3">
      <c r="J31004" s="33"/>
    </row>
    <row r="31005" spans="10:10" ht="15" customHeight="1" x14ac:dyDescent="0.3">
      <c r="J31005" s="33"/>
    </row>
    <row r="31006" spans="10:10" ht="15" customHeight="1" x14ac:dyDescent="0.3">
      <c r="J31006" s="33"/>
    </row>
    <row r="31007" spans="10:10" x14ac:dyDescent="0.3">
      <c r="J31007" s="33"/>
    </row>
    <row r="31008" spans="10:10" ht="15" customHeight="1" x14ac:dyDescent="0.3">
      <c r="J31008" s="33"/>
    </row>
    <row r="31009" spans="10:10" x14ac:dyDescent="0.3">
      <c r="J31009" s="33"/>
    </row>
    <row r="31010" spans="10:10" x14ac:dyDescent="0.3">
      <c r="J31010" s="33"/>
    </row>
    <row r="31011" spans="10:10" ht="15" customHeight="1" x14ac:dyDescent="0.3">
      <c r="J31011" s="33"/>
    </row>
    <row r="31012" spans="10:10" ht="15" customHeight="1" x14ac:dyDescent="0.3">
      <c r="J31012" s="33"/>
    </row>
    <row r="31013" spans="10:10" ht="15" customHeight="1" x14ac:dyDescent="0.3">
      <c r="J31013" s="33"/>
    </row>
    <row r="31014" spans="10:10" x14ac:dyDescent="0.3">
      <c r="J31014" s="33"/>
    </row>
    <row r="31015" spans="10:10" x14ac:dyDescent="0.3">
      <c r="J31015" s="33"/>
    </row>
    <row r="31016" spans="10:10" x14ac:dyDescent="0.3">
      <c r="J31016" s="33"/>
    </row>
    <row r="31017" spans="10:10" x14ac:dyDescent="0.3">
      <c r="J31017" s="33"/>
    </row>
    <row r="31018" spans="10:10" ht="15" customHeight="1" x14ac:dyDescent="0.3">
      <c r="J31018" s="33"/>
    </row>
    <row r="31019" spans="10:10" x14ac:dyDescent="0.3">
      <c r="J31019" s="33"/>
    </row>
    <row r="31020" spans="10:10" ht="15" customHeight="1" x14ac:dyDescent="0.3">
      <c r="J31020" s="33"/>
    </row>
    <row r="31021" spans="10:10" x14ac:dyDescent="0.3">
      <c r="J31021" s="33"/>
    </row>
    <row r="31022" spans="10:10" ht="15" customHeight="1" x14ac:dyDescent="0.3">
      <c r="J31022" s="33"/>
    </row>
    <row r="31023" spans="10:10" x14ac:dyDescent="0.3">
      <c r="J31023" s="33"/>
    </row>
    <row r="31024" spans="10:10" ht="15" customHeight="1" x14ac:dyDescent="0.3">
      <c r="J31024" s="33"/>
    </row>
    <row r="31025" spans="10:10" ht="15" customHeight="1" x14ac:dyDescent="0.3">
      <c r="J31025" s="33"/>
    </row>
    <row r="31026" spans="10:10" ht="15" customHeight="1" x14ac:dyDescent="0.3">
      <c r="J31026" s="33"/>
    </row>
    <row r="31027" spans="10:10" x14ac:dyDescent="0.3">
      <c r="J31027" s="33"/>
    </row>
    <row r="31028" spans="10:10" x14ac:dyDescent="0.3">
      <c r="J31028" s="33"/>
    </row>
    <row r="31029" spans="10:10" ht="15" customHeight="1" x14ac:dyDescent="0.3">
      <c r="J31029" s="33"/>
    </row>
    <row r="31030" spans="10:10" x14ac:dyDescent="0.3">
      <c r="J31030" s="33"/>
    </row>
    <row r="31031" spans="10:10" ht="15" customHeight="1" x14ac:dyDescent="0.3">
      <c r="J31031" s="33"/>
    </row>
    <row r="31032" spans="10:10" x14ac:dyDescent="0.3">
      <c r="J31032" s="33"/>
    </row>
    <row r="31033" spans="10:10" ht="15" customHeight="1" x14ac:dyDescent="0.3">
      <c r="J31033" s="33"/>
    </row>
    <row r="31034" spans="10:10" x14ac:dyDescent="0.3">
      <c r="J31034" s="33"/>
    </row>
    <row r="31035" spans="10:10" x14ac:dyDescent="0.3">
      <c r="J31035" s="33"/>
    </row>
    <row r="31036" spans="10:10" ht="15" customHeight="1" x14ac:dyDescent="0.3">
      <c r="J31036" s="33"/>
    </row>
    <row r="31037" spans="10:10" x14ac:dyDescent="0.3">
      <c r="J31037" s="33"/>
    </row>
    <row r="31038" spans="10:10" ht="15" customHeight="1" x14ac:dyDescent="0.3">
      <c r="J31038" s="33"/>
    </row>
    <row r="31039" spans="10:10" x14ac:dyDescent="0.3">
      <c r="J31039" s="33"/>
    </row>
    <row r="31040" spans="10:10" ht="15" customHeight="1" x14ac:dyDescent="0.3">
      <c r="J31040" s="33"/>
    </row>
    <row r="31041" spans="10:10" ht="15" customHeight="1" x14ac:dyDescent="0.3">
      <c r="J31041" s="33"/>
    </row>
    <row r="31042" spans="10:10" ht="15" customHeight="1" x14ac:dyDescent="0.3">
      <c r="J31042" s="33"/>
    </row>
    <row r="31043" spans="10:10" ht="15" customHeight="1" x14ac:dyDescent="0.3">
      <c r="J31043" s="33"/>
    </row>
    <row r="31044" spans="10:10" x14ac:dyDescent="0.3">
      <c r="J31044" s="33"/>
    </row>
    <row r="31045" spans="10:10" ht="15" customHeight="1" x14ac:dyDescent="0.3">
      <c r="J31045" s="33"/>
    </row>
    <row r="31046" spans="10:10" x14ac:dyDescent="0.3">
      <c r="J31046" s="33"/>
    </row>
    <row r="31047" spans="10:10" x14ac:dyDescent="0.3">
      <c r="J31047" s="33"/>
    </row>
    <row r="31048" spans="10:10" ht="15" customHeight="1" x14ac:dyDescent="0.3">
      <c r="J31048" s="33"/>
    </row>
    <row r="31049" spans="10:10" x14ac:dyDescent="0.3">
      <c r="J31049" s="33"/>
    </row>
    <row r="31050" spans="10:10" x14ac:dyDescent="0.3">
      <c r="J31050" s="33"/>
    </row>
    <row r="31051" spans="10:10" x14ac:dyDescent="0.3">
      <c r="J31051" s="33"/>
    </row>
    <row r="31052" spans="10:10" x14ac:dyDescent="0.3">
      <c r="J31052" s="33"/>
    </row>
    <row r="31053" spans="10:10" x14ac:dyDescent="0.3">
      <c r="J31053" s="33"/>
    </row>
    <row r="31054" spans="10:10" x14ac:dyDescent="0.3">
      <c r="J31054" s="33"/>
    </row>
    <row r="31055" spans="10:10" ht="15" customHeight="1" x14ac:dyDescent="0.3">
      <c r="J31055" s="33"/>
    </row>
    <row r="31056" spans="10:10" ht="15" customHeight="1" x14ac:dyDescent="0.3">
      <c r="J31056" s="33"/>
    </row>
    <row r="31057" spans="10:10" ht="15" customHeight="1" x14ac:dyDescent="0.3">
      <c r="J31057" s="33"/>
    </row>
    <row r="31058" spans="10:10" ht="15" customHeight="1" x14ac:dyDescent="0.3">
      <c r="J31058" s="33"/>
    </row>
    <row r="31059" spans="10:10" ht="15" customHeight="1" x14ac:dyDescent="0.3">
      <c r="J31059" s="33"/>
    </row>
    <row r="31060" spans="10:10" x14ac:dyDescent="0.3">
      <c r="J31060" s="33"/>
    </row>
    <row r="31061" spans="10:10" x14ac:dyDescent="0.3">
      <c r="J31061" s="33"/>
    </row>
    <row r="31062" spans="10:10" ht="15" customHeight="1" x14ac:dyDescent="0.3">
      <c r="J31062" s="33"/>
    </row>
    <row r="31063" spans="10:10" ht="15" customHeight="1" x14ac:dyDescent="0.3">
      <c r="J31063" s="33"/>
    </row>
    <row r="31064" spans="10:10" x14ac:dyDescent="0.3">
      <c r="J31064" s="33"/>
    </row>
    <row r="31065" spans="10:10" ht="15" customHeight="1" x14ac:dyDescent="0.3">
      <c r="J31065" s="33"/>
    </row>
    <row r="31066" spans="10:10" ht="15" customHeight="1" x14ac:dyDescent="0.3">
      <c r="J31066" s="33"/>
    </row>
    <row r="31067" spans="10:10" x14ac:dyDescent="0.3">
      <c r="J31067" s="33"/>
    </row>
    <row r="31068" spans="10:10" ht="15" customHeight="1" x14ac:dyDescent="0.3">
      <c r="J31068" s="33"/>
    </row>
    <row r="31069" spans="10:10" ht="15" customHeight="1" x14ac:dyDescent="0.3">
      <c r="J31069" s="33"/>
    </row>
    <row r="31070" spans="10:10" ht="15" customHeight="1" x14ac:dyDescent="0.3">
      <c r="J31070" s="33"/>
    </row>
    <row r="31071" spans="10:10" x14ac:dyDescent="0.3">
      <c r="J31071" s="33"/>
    </row>
    <row r="31072" spans="10:10" x14ac:dyDescent="0.3">
      <c r="J31072" s="33"/>
    </row>
    <row r="31073" spans="10:10" ht="15" customHeight="1" x14ac:dyDescent="0.3">
      <c r="J31073" s="33"/>
    </row>
    <row r="31074" spans="10:10" x14ac:dyDescent="0.3">
      <c r="J31074" s="33"/>
    </row>
    <row r="31075" spans="10:10" ht="15" customHeight="1" x14ac:dyDescent="0.3">
      <c r="J31075" s="33"/>
    </row>
    <row r="31076" spans="10:10" ht="15" customHeight="1" x14ac:dyDescent="0.3">
      <c r="J31076" s="33"/>
    </row>
    <row r="31077" spans="10:10" x14ac:dyDescent="0.3">
      <c r="J31077" s="33"/>
    </row>
    <row r="31078" spans="10:10" x14ac:dyDescent="0.3">
      <c r="J31078" s="33"/>
    </row>
    <row r="31079" spans="10:10" x14ac:dyDescent="0.3">
      <c r="J31079" s="33"/>
    </row>
    <row r="31080" spans="10:10" x14ac:dyDescent="0.3">
      <c r="J31080" s="33"/>
    </row>
    <row r="31081" spans="10:10" x14ac:dyDescent="0.3">
      <c r="J31081" s="33"/>
    </row>
    <row r="31082" spans="10:10" x14ac:dyDescent="0.3">
      <c r="J31082" s="33"/>
    </row>
    <row r="31083" spans="10:10" ht="15" customHeight="1" x14ac:dyDescent="0.3">
      <c r="J31083" s="33"/>
    </row>
    <row r="31084" spans="10:10" x14ac:dyDescent="0.3">
      <c r="J31084" s="33"/>
    </row>
    <row r="31085" spans="10:10" x14ac:dyDescent="0.3">
      <c r="J31085" s="33"/>
    </row>
    <row r="31086" spans="10:10" x14ac:dyDescent="0.3">
      <c r="J31086" s="33"/>
    </row>
    <row r="31087" spans="10:10" x14ac:dyDescent="0.3">
      <c r="J31087" s="33"/>
    </row>
    <row r="31088" spans="10:10" x14ac:dyDescent="0.3">
      <c r="J31088" s="33"/>
    </row>
    <row r="31089" spans="10:10" ht="15" customHeight="1" x14ac:dyDescent="0.3">
      <c r="J31089" s="33"/>
    </row>
    <row r="31090" spans="10:10" ht="15" customHeight="1" x14ac:dyDescent="0.3">
      <c r="J31090" s="33"/>
    </row>
    <row r="31091" spans="10:10" ht="15" customHeight="1" x14ac:dyDescent="0.3">
      <c r="J31091" s="33"/>
    </row>
    <row r="31092" spans="10:10" x14ac:dyDescent="0.3">
      <c r="J31092" s="33"/>
    </row>
    <row r="31093" spans="10:10" x14ac:dyDescent="0.3">
      <c r="J31093" s="33"/>
    </row>
    <row r="31094" spans="10:10" x14ac:dyDescent="0.3">
      <c r="J31094" s="33"/>
    </row>
    <row r="31095" spans="10:10" x14ac:dyDescent="0.3">
      <c r="J31095" s="33"/>
    </row>
    <row r="31096" spans="10:10" ht="15" customHeight="1" x14ac:dyDescent="0.3">
      <c r="J31096" s="33"/>
    </row>
    <row r="31097" spans="10:10" ht="15" customHeight="1" x14ac:dyDescent="0.3">
      <c r="J31097" s="33"/>
    </row>
    <row r="31098" spans="10:10" x14ac:dyDescent="0.3">
      <c r="J31098" s="33"/>
    </row>
    <row r="31099" spans="10:10" ht="15" customHeight="1" x14ac:dyDescent="0.3">
      <c r="J31099" s="33"/>
    </row>
    <row r="31100" spans="10:10" ht="15" customHeight="1" x14ac:dyDescent="0.3">
      <c r="J31100" s="33"/>
    </row>
    <row r="31101" spans="10:10" x14ac:dyDescent="0.3">
      <c r="J31101" s="33"/>
    </row>
    <row r="31102" spans="10:10" ht="15" customHeight="1" x14ac:dyDescent="0.3">
      <c r="J31102" s="33"/>
    </row>
    <row r="31103" spans="10:10" ht="15" customHeight="1" x14ac:dyDescent="0.3">
      <c r="J31103" s="33"/>
    </row>
    <row r="31104" spans="10:10" ht="15" customHeight="1" x14ac:dyDescent="0.3">
      <c r="J31104" s="33"/>
    </row>
    <row r="31105" spans="10:10" ht="15" customHeight="1" x14ac:dyDescent="0.3">
      <c r="J31105" s="33"/>
    </row>
    <row r="31106" spans="10:10" x14ac:dyDescent="0.3">
      <c r="J31106" s="33"/>
    </row>
    <row r="31107" spans="10:10" x14ac:dyDescent="0.3">
      <c r="J31107" s="33"/>
    </row>
    <row r="31108" spans="10:10" x14ac:dyDescent="0.3">
      <c r="J31108" s="33"/>
    </row>
    <row r="31109" spans="10:10" ht="15" customHeight="1" x14ac:dyDescent="0.3">
      <c r="J31109" s="33"/>
    </row>
    <row r="31110" spans="10:10" ht="15" customHeight="1" x14ac:dyDescent="0.3">
      <c r="J31110" s="33"/>
    </row>
    <row r="31111" spans="10:10" x14ac:dyDescent="0.3">
      <c r="J31111" s="33"/>
    </row>
    <row r="31112" spans="10:10" x14ac:dyDescent="0.3">
      <c r="J31112" s="33"/>
    </row>
    <row r="31113" spans="10:10" ht="15" customHeight="1" x14ac:dyDescent="0.3">
      <c r="J31113" s="33"/>
    </row>
    <row r="31114" spans="10:10" x14ac:dyDescent="0.3">
      <c r="J31114" s="33"/>
    </row>
    <row r="31115" spans="10:10" x14ac:dyDescent="0.3">
      <c r="J31115" s="33"/>
    </row>
    <row r="31116" spans="10:10" ht="15" customHeight="1" x14ac:dyDescent="0.3">
      <c r="J31116" s="33"/>
    </row>
    <row r="31117" spans="10:10" x14ac:dyDescent="0.3">
      <c r="J31117" s="33"/>
    </row>
    <row r="31118" spans="10:10" x14ac:dyDescent="0.3">
      <c r="J31118" s="33"/>
    </row>
    <row r="31119" spans="10:10" x14ac:dyDescent="0.3">
      <c r="J31119" s="33"/>
    </row>
    <row r="31120" spans="10:10" x14ac:dyDescent="0.3">
      <c r="J31120" s="33"/>
    </row>
    <row r="31121" spans="10:10" ht="15" customHeight="1" x14ac:dyDescent="0.3">
      <c r="J31121" s="33"/>
    </row>
    <row r="31122" spans="10:10" ht="15" customHeight="1" x14ac:dyDescent="0.3">
      <c r="J31122" s="33"/>
    </row>
    <row r="31123" spans="10:10" ht="15" customHeight="1" x14ac:dyDescent="0.3">
      <c r="J31123" s="33"/>
    </row>
    <row r="31124" spans="10:10" ht="15" customHeight="1" x14ac:dyDescent="0.3">
      <c r="J31124" s="33"/>
    </row>
    <row r="31125" spans="10:10" ht="15" customHeight="1" x14ac:dyDescent="0.3">
      <c r="J31125" s="33"/>
    </row>
    <row r="31126" spans="10:10" ht="15" customHeight="1" x14ac:dyDescent="0.3">
      <c r="J31126" s="33"/>
    </row>
    <row r="31127" spans="10:10" x14ac:dyDescent="0.3">
      <c r="J31127" s="33"/>
    </row>
    <row r="31128" spans="10:10" x14ac:dyDescent="0.3">
      <c r="J31128" s="33"/>
    </row>
    <row r="31129" spans="10:10" ht="15" customHeight="1" x14ac:dyDescent="0.3">
      <c r="J31129" s="33"/>
    </row>
    <row r="31130" spans="10:10" ht="15" customHeight="1" x14ac:dyDescent="0.3">
      <c r="J31130" s="33"/>
    </row>
    <row r="31131" spans="10:10" x14ac:dyDescent="0.3">
      <c r="J31131" s="33"/>
    </row>
    <row r="31132" spans="10:10" ht="15" customHeight="1" x14ac:dyDescent="0.3">
      <c r="J31132" s="33"/>
    </row>
    <row r="31133" spans="10:10" x14ac:dyDescent="0.3">
      <c r="J31133" s="33"/>
    </row>
    <row r="31134" spans="10:10" ht="15" customHeight="1" x14ac:dyDescent="0.3">
      <c r="J31134" s="33"/>
    </row>
    <row r="31135" spans="10:10" ht="15" customHeight="1" x14ac:dyDescent="0.3">
      <c r="J31135" s="33"/>
    </row>
    <row r="31136" spans="10:10" x14ac:dyDescent="0.3">
      <c r="J31136" s="33"/>
    </row>
    <row r="31137" spans="10:10" ht="15" customHeight="1" x14ac:dyDescent="0.3">
      <c r="J31137" s="33"/>
    </row>
    <row r="31138" spans="10:10" x14ac:dyDescent="0.3">
      <c r="J31138" s="33"/>
    </row>
    <row r="31139" spans="10:10" ht="15" customHeight="1" x14ac:dyDescent="0.3">
      <c r="J31139" s="33"/>
    </row>
    <row r="31140" spans="10:10" ht="15" customHeight="1" x14ac:dyDescent="0.3">
      <c r="J31140" s="33"/>
    </row>
    <row r="31141" spans="10:10" ht="15" customHeight="1" x14ac:dyDescent="0.3">
      <c r="J31141" s="33"/>
    </row>
    <row r="31142" spans="10:10" x14ac:dyDescent="0.3">
      <c r="J31142" s="33"/>
    </row>
    <row r="31143" spans="10:10" x14ac:dyDescent="0.3">
      <c r="J31143" s="33"/>
    </row>
    <row r="31144" spans="10:10" ht="15" customHeight="1" x14ac:dyDescent="0.3">
      <c r="J31144" s="33"/>
    </row>
    <row r="31145" spans="10:10" x14ac:dyDescent="0.3">
      <c r="J31145" s="33"/>
    </row>
    <row r="31146" spans="10:10" x14ac:dyDescent="0.3">
      <c r="J31146" s="33"/>
    </row>
    <row r="31147" spans="10:10" x14ac:dyDescent="0.3">
      <c r="J31147" s="33"/>
    </row>
    <row r="31148" spans="10:10" x14ac:dyDescent="0.3">
      <c r="J31148" s="33"/>
    </row>
    <row r="31149" spans="10:10" ht="15" customHeight="1" x14ac:dyDescent="0.3">
      <c r="J31149" s="33"/>
    </row>
    <row r="31150" spans="10:10" x14ac:dyDescent="0.3">
      <c r="J31150" s="33"/>
    </row>
    <row r="31151" spans="10:10" x14ac:dyDescent="0.3">
      <c r="J31151" s="33"/>
    </row>
    <row r="31152" spans="10:10" x14ac:dyDescent="0.3">
      <c r="J31152" s="33"/>
    </row>
    <row r="31153" spans="10:10" x14ac:dyDescent="0.3">
      <c r="J31153" s="33"/>
    </row>
    <row r="31154" spans="10:10" ht="15" customHeight="1" x14ac:dyDescent="0.3">
      <c r="J31154" s="33"/>
    </row>
    <row r="31155" spans="10:10" x14ac:dyDescent="0.3">
      <c r="J31155" s="33"/>
    </row>
    <row r="31156" spans="10:10" x14ac:dyDescent="0.3">
      <c r="J31156" s="33"/>
    </row>
    <row r="31157" spans="10:10" ht="15" customHeight="1" x14ac:dyDescent="0.3">
      <c r="J31157" s="33"/>
    </row>
    <row r="31158" spans="10:10" x14ac:dyDescent="0.3">
      <c r="J31158" s="33"/>
    </row>
    <row r="31159" spans="10:10" ht="15" customHeight="1" x14ac:dyDescent="0.3">
      <c r="J31159" s="33"/>
    </row>
    <row r="31160" spans="10:10" ht="15" customHeight="1" x14ac:dyDescent="0.3">
      <c r="J31160" s="33"/>
    </row>
    <row r="31161" spans="10:10" ht="15" customHeight="1" x14ac:dyDescent="0.3">
      <c r="J31161" s="33"/>
    </row>
    <row r="31162" spans="10:10" x14ac:dyDescent="0.3">
      <c r="J31162" s="33"/>
    </row>
    <row r="31163" spans="10:10" ht="15" customHeight="1" x14ac:dyDescent="0.3">
      <c r="J31163" s="33"/>
    </row>
    <row r="31164" spans="10:10" x14ac:dyDescent="0.3">
      <c r="J31164" s="33"/>
    </row>
    <row r="31165" spans="10:10" x14ac:dyDescent="0.3">
      <c r="J31165" s="33"/>
    </row>
    <row r="31166" spans="10:10" ht="15" customHeight="1" x14ac:dyDescent="0.3">
      <c r="J31166" s="33"/>
    </row>
    <row r="31167" spans="10:10" ht="15" customHeight="1" x14ac:dyDescent="0.3">
      <c r="J31167" s="33"/>
    </row>
    <row r="31168" spans="10:10" ht="15" customHeight="1" x14ac:dyDescent="0.3">
      <c r="J31168" s="33"/>
    </row>
    <row r="31169" spans="10:10" ht="15" customHeight="1" x14ac:dyDescent="0.3">
      <c r="J31169" s="33"/>
    </row>
    <row r="31170" spans="10:10" x14ac:dyDescent="0.3">
      <c r="J31170" s="33"/>
    </row>
    <row r="31171" spans="10:10" ht="15" customHeight="1" x14ac:dyDescent="0.3">
      <c r="J31171" s="33"/>
    </row>
    <row r="31172" spans="10:10" ht="15" customHeight="1" x14ac:dyDescent="0.3">
      <c r="J31172" s="33"/>
    </row>
    <row r="31173" spans="10:10" ht="15" customHeight="1" x14ac:dyDescent="0.3">
      <c r="J31173" s="33"/>
    </row>
    <row r="31174" spans="10:10" ht="15" customHeight="1" x14ac:dyDescent="0.3">
      <c r="J31174" s="33"/>
    </row>
    <row r="31175" spans="10:10" ht="15" customHeight="1" x14ac:dyDescent="0.3">
      <c r="J31175" s="33"/>
    </row>
    <row r="31176" spans="10:10" x14ac:dyDescent="0.3">
      <c r="J31176" s="33"/>
    </row>
    <row r="31177" spans="10:10" x14ac:dyDescent="0.3">
      <c r="J31177" s="33"/>
    </row>
    <row r="31178" spans="10:10" x14ac:dyDescent="0.3">
      <c r="J31178" s="33"/>
    </row>
    <row r="31179" spans="10:10" x14ac:dyDescent="0.3">
      <c r="J31179" s="33"/>
    </row>
    <row r="31180" spans="10:10" ht="15" customHeight="1" x14ac:dyDescent="0.3">
      <c r="J31180" s="33"/>
    </row>
    <row r="31181" spans="10:10" x14ac:dyDescent="0.3">
      <c r="J31181" s="33"/>
    </row>
    <row r="31182" spans="10:10" x14ac:dyDescent="0.3">
      <c r="J31182" s="33"/>
    </row>
    <row r="31183" spans="10:10" x14ac:dyDescent="0.3">
      <c r="J31183" s="33"/>
    </row>
    <row r="31184" spans="10:10" ht="15" customHeight="1" x14ac:dyDescent="0.3">
      <c r="J31184" s="33"/>
    </row>
    <row r="31185" spans="10:10" x14ac:dyDescent="0.3">
      <c r="J31185" s="33"/>
    </row>
    <row r="31186" spans="10:10" x14ac:dyDescent="0.3">
      <c r="J31186" s="33"/>
    </row>
    <row r="31187" spans="10:10" x14ac:dyDescent="0.3">
      <c r="J31187" s="33"/>
    </row>
    <row r="31188" spans="10:10" ht="15" customHeight="1" x14ac:dyDescent="0.3">
      <c r="J31188" s="33"/>
    </row>
    <row r="31189" spans="10:10" x14ac:dyDescent="0.3">
      <c r="J31189" s="33"/>
    </row>
    <row r="31190" spans="10:10" x14ac:dyDescent="0.3">
      <c r="J31190" s="33"/>
    </row>
    <row r="31191" spans="10:10" ht="15" customHeight="1" x14ac:dyDescent="0.3">
      <c r="J31191" s="33"/>
    </row>
    <row r="31192" spans="10:10" x14ac:dyDescent="0.3">
      <c r="J31192" s="33"/>
    </row>
    <row r="31193" spans="10:10" x14ac:dyDescent="0.3">
      <c r="J31193" s="33"/>
    </row>
    <row r="31194" spans="10:10" x14ac:dyDescent="0.3">
      <c r="J31194" s="33"/>
    </row>
    <row r="31195" spans="10:10" x14ac:dyDescent="0.3">
      <c r="J31195" s="33"/>
    </row>
    <row r="31196" spans="10:10" x14ac:dyDescent="0.3">
      <c r="J31196" s="33"/>
    </row>
    <row r="31197" spans="10:10" x14ac:dyDescent="0.3">
      <c r="J31197" s="33"/>
    </row>
    <row r="31198" spans="10:10" ht="15" customHeight="1" x14ac:dyDescent="0.3">
      <c r="J31198" s="33"/>
    </row>
    <row r="31199" spans="10:10" ht="15" customHeight="1" x14ac:dyDescent="0.3">
      <c r="J31199" s="33"/>
    </row>
    <row r="31200" spans="10:10" ht="15" customHeight="1" x14ac:dyDescent="0.3">
      <c r="J31200" s="33"/>
    </row>
    <row r="31201" spans="10:10" ht="15" customHeight="1" x14ac:dyDescent="0.3">
      <c r="J31201" s="33"/>
    </row>
    <row r="31202" spans="10:10" ht="15" customHeight="1" x14ac:dyDescent="0.3">
      <c r="J31202" s="33"/>
    </row>
    <row r="31203" spans="10:10" x14ac:dyDescent="0.3">
      <c r="J31203" s="33"/>
    </row>
    <row r="31204" spans="10:10" x14ac:dyDescent="0.3">
      <c r="J31204" s="33"/>
    </row>
    <row r="31205" spans="10:10" x14ac:dyDescent="0.3">
      <c r="J31205" s="33"/>
    </row>
    <row r="31206" spans="10:10" x14ac:dyDescent="0.3">
      <c r="J31206" s="33"/>
    </row>
    <row r="31207" spans="10:10" ht="15" customHeight="1" x14ac:dyDescent="0.3">
      <c r="J31207" s="33"/>
    </row>
    <row r="31208" spans="10:10" ht="15" customHeight="1" x14ac:dyDescent="0.3">
      <c r="J31208" s="33"/>
    </row>
    <row r="31209" spans="10:10" x14ac:dyDescent="0.3">
      <c r="J31209" s="33"/>
    </row>
    <row r="31210" spans="10:10" ht="15" customHeight="1" x14ac:dyDescent="0.3">
      <c r="J31210" s="33"/>
    </row>
    <row r="31211" spans="10:10" ht="15" customHeight="1" x14ac:dyDescent="0.3">
      <c r="J31211" s="33"/>
    </row>
    <row r="31212" spans="10:10" ht="15" customHeight="1" x14ac:dyDescent="0.3">
      <c r="J31212" s="33"/>
    </row>
    <row r="31213" spans="10:10" x14ac:dyDescent="0.3">
      <c r="J31213" s="33"/>
    </row>
    <row r="31214" spans="10:10" x14ac:dyDescent="0.3">
      <c r="J31214" s="33"/>
    </row>
    <row r="31215" spans="10:10" x14ac:dyDescent="0.3">
      <c r="J31215" s="33"/>
    </row>
    <row r="31216" spans="10:10" ht="15" customHeight="1" x14ac:dyDescent="0.3">
      <c r="J31216" s="33"/>
    </row>
    <row r="31217" spans="10:10" ht="15" customHeight="1" x14ac:dyDescent="0.3">
      <c r="J31217" s="33"/>
    </row>
    <row r="31218" spans="10:10" x14ac:dyDescent="0.3">
      <c r="J31218" s="33"/>
    </row>
    <row r="31219" spans="10:10" x14ac:dyDescent="0.3">
      <c r="J31219" s="33"/>
    </row>
    <row r="31220" spans="10:10" ht="15" customHeight="1" x14ac:dyDescent="0.3">
      <c r="J31220" s="33"/>
    </row>
    <row r="31221" spans="10:10" ht="15" customHeight="1" x14ac:dyDescent="0.3">
      <c r="J31221" s="33"/>
    </row>
    <row r="31222" spans="10:10" ht="15" customHeight="1" x14ac:dyDescent="0.3">
      <c r="J31222" s="33"/>
    </row>
    <row r="31223" spans="10:10" ht="15" customHeight="1" x14ac:dyDescent="0.3">
      <c r="J31223" s="33"/>
    </row>
    <row r="31224" spans="10:10" x14ac:dyDescent="0.3">
      <c r="J31224" s="33"/>
    </row>
    <row r="31225" spans="10:10" x14ac:dyDescent="0.3">
      <c r="J31225" s="33"/>
    </row>
    <row r="31226" spans="10:10" ht="15" customHeight="1" x14ac:dyDescent="0.3">
      <c r="J31226" s="33"/>
    </row>
    <row r="31227" spans="10:10" x14ac:dyDescent="0.3">
      <c r="J31227" s="33"/>
    </row>
    <row r="31228" spans="10:10" x14ac:dyDescent="0.3">
      <c r="J31228" s="33"/>
    </row>
    <row r="31229" spans="10:10" ht="15" customHeight="1" x14ac:dyDescent="0.3">
      <c r="J31229" s="33"/>
    </row>
    <row r="31230" spans="10:10" ht="15" customHeight="1" x14ac:dyDescent="0.3">
      <c r="J31230" s="33"/>
    </row>
    <row r="31231" spans="10:10" x14ac:dyDescent="0.3">
      <c r="J31231" s="33"/>
    </row>
    <row r="31232" spans="10:10" ht="15" customHeight="1" x14ac:dyDescent="0.3">
      <c r="J31232" s="33"/>
    </row>
    <row r="31233" spans="10:10" x14ac:dyDescent="0.3">
      <c r="J31233" s="33"/>
    </row>
    <row r="31234" spans="10:10" x14ac:dyDescent="0.3">
      <c r="J31234" s="33"/>
    </row>
    <row r="31235" spans="10:10" ht="15" customHeight="1" x14ac:dyDescent="0.3">
      <c r="J31235" s="33"/>
    </row>
    <row r="31236" spans="10:10" ht="15" customHeight="1" x14ac:dyDescent="0.3">
      <c r="J31236" s="33"/>
    </row>
    <row r="31237" spans="10:10" ht="15" customHeight="1" x14ac:dyDescent="0.3">
      <c r="J31237" s="33"/>
    </row>
    <row r="31238" spans="10:10" x14ac:dyDescent="0.3">
      <c r="J31238" s="33"/>
    </row>
    <row r="31239" spans="10:10" x14ac:dyDescent="0.3">
      <c r="J31239" s="33"/>
    </row>
    <row r="31240" spans="10:10" x14ac:dyDescent="0.3">
      <c r="J31240" s="33"/>
    </row>
    <row r="31241" spans="10:10" ht="15" customHeight="1" x14ac:dyDescent="0.3">
      <c r="J31241" s="33"/>
    </row>
    <row r="31242" spans="10:10" ht="15" customHeight="1" x14ac:dyDescent="0.3">
      <c r="J31242" s="33"/>
    </row>
    <row r="31243" spans="10:10" x14ac:dyDescent="0.3">
      <c r="J31243" s="33"/>
    </row>
    <row r="31244" spans="10:10" ht="15" customHeight="1" x14ac:dyDescent="0.3">
      <c r="J31244" s="33"/>
    </row>
    <row r="31245" spans="10:10" ht="15" customHeight="1" x14ac:dyDescent="0.3">
      <c r="J31245" s="33"/>
    </row>
    <row r="31246" spans="10:10" ht="15" customHeight="1" x14ac:dyDescent="0.3">
      <c r="J31246" s="33"/>
    </row>
    <row r="31247" spans="10:10" ht="15" customHeight="1" x14ac:dyDescent="0.3">
      <c r="J31247" s="33"/>
    </row>
    <row r="31248" spans="10:10" x14ac:dyDescent="0.3">
      <c r="J31248" s="33"/>
    </row>
    <row r="31249" spans="10:10" ht="15" customHeight="1" x14ac:dyDescent="0.3">
      <c r="J31249" s="33"/>
    </row>
    <row r="31250" spans="10:10" ht="15" customHeight="1" x14ac:dyDescent="0.3">
      <c r="J31250" s="33"/>
    </row>
    <row r="31251" spans="10:10" x14ac:dyDescent="0.3">
      <c r="J31251" s="33"/>
    </row>
    <row r="31252" spans="10:10" ht="15" customHeight="1" x14ac:dyDescent="0.3">
      <c r="J31252" s="33"/>
    </row>
    <row r="31253" spans="10:10" ht="15" customHeight="1" x14ac:dyDescent="0.3">
      <c r="J31253" s="33"/>
    </row>
    <row r="31254" spans="10:10" x14ac:dyDescent="0.3">
      <c r="J31254" s="33"/>
    </row>
    <row r="31255" spans="10:10" x14ac:dyDescent="0.3">
      <c r="J31255" s="33"/>
    </row>
    <row r="31256" spans="10:10" ht="15" customHeight="1" x14ac:dyDescent="0.3">
      <c r="J31256" s="33"/>
    </row>
    <row r="31257" spans="10:10" ht="15" customHeight="1" x14ac:dyDescent="0.3">
      <c r="J31257" s="33"/>
    </row>
    <row r="31258" spans="10:10" x14ac:dyDescent="0.3">
      <c r="J31258" s="33"/>
    </row>
    <row r="31259" spans="10:10" ht="15" customHeight="1" x14ac:dyDescent="0.3">
      <c r="J31259" s="33"/>
    </row>
    <row r="31260" spans="10:10" ht="15" customHeight="1" x14ac:dyDescent="0.3">
      <c r="J31260" s="33"/>
    </row>
    <row r="31261" spans="10:10" x14ac:dyDescent="0.3">
      <c r="J31261" s="33"/>
    </row>
    <row r="31262" spans="10:10" ht="15" customHeight="1" x14ac:dyDescent="0.3">
      <c r="J31262" s="33"/>
    </row>
    <row r="31263" spans="10:10" x14ac:dyDescent="0.3">
      <c r="J31263" s="33"/>
    </row>
    <row r="31264" spans="10:10" x14ac:dyDescent="0.3">
      <c r="J31264" s="33"/>
    </row>
    <row r="31265" spans="10:10" x14ac:dyDescent="0.3">
      <c r="J31265" s="33"/>
    </row>
    <row r="31266" spans="10:10" x14ac:dyDescent="0.3">
      <c r="J31266" s="33"/>
    </row>
    <row r="31267" spans="10:10" x14ac:dyDescent="0.3">
      <c r="J31267" s="33"/>
    </row>
    <row r="31268" spans="10:10" ht="15" customHeight="1" x14ac:dyDescent="0.3">
      <c r="J31268" s="33"/>
    </row>
    <row r="31269" spans="10:10" x14ac:dyDescent="0.3">
      <c r="J31269" s="33"/>
    </row>
    <row r="31270" spans="10:10" ht="15" customHeight="1" x14ac:dyDescent="0.3">
      <c r="J31270" s="33"/>
    </row>
    <row r="31271" spans="10:10" ht="15" customHeight="1" x14ac:dyDescent="0.3">
      <c r="J31271" s="33"/>
    </row>
    <row r="31272" spans="10:10" ht="15" customHeight="1" x14ac:dyDescent="0.3">
      <c r="J31272" s="33"/>
    </row>
    <row r="31273" spans="10:10" ht="15" customHeight="1" x14ac:dyDescent="0.3">
      <c r="J31273" s="33"/>
    </row>
    <row r="31274" spans="10:10" x14ac:dyDescent="0.3">
      <c r="J31274" s="33"/>
    </row>
    <row r="31275" spans="10:10" ht="15" customHeight="1" x14ac:dyDescent="0.3">
      <c r="J31275" s="33"/>
    </row>
    <row r="31276" spans="10:10" ht="15" customHeight="1" x14ac:dyDescent="0.3">
      <c r="J31276" s="33"/>
    </row>
    <row r="31277" spans="10:10" ht="15" customHeight="1" x14ac:dyDescent="0.3">
      <c r="J31277" s="33"/>
    </row>
    <row r="31278" spans="10:10" ht="15" customHeight="1" x14ac:dyDescent="0.3">
      <c r="J31278" s="33"/>
    </row>
    <row r="31279" spans="10:10" x14ac:dyDescent="0.3">
      <c r="J31279" s="33"/>
    </row>
    <row r="31280" spans="10:10" x14ac:dyDescent="0.3">
      <c r="J31280" s="33"/>
    </row>
    <row r="31281" spans="10:10" x14ac:dyDescent="0.3">
      <c r="J31281" s="33"/>
    </row>
    <row r="31282" spans="10:10" x14ac:dyDescent="0.3">
      <c r="J31282" s="33"/>
    </row>
    <row r="31283" spans="10:10" x14ac:dyDescent="0.3">
      <c r="J31283" s="33"/>
    </row>
    <row r="31284" spans="10:10" ht="15" customHeight="1" x14ac:dyDescent="0.3">
      <c r="J31284" s="33"/>
    </row>
    <row r="31285" spans="10:10" x14ac:dyDescent="0.3">
      <c r="J31285" s="33"/>
    </row>
    <row r="31286" spans="10:10" ht="15" customHeight="1" x14ac:dyDescent="0.3">
      <c r="J31286" s="33"/>
    </row>
    <row r="31287" spans="10:10" x14ac:dyDescent="0.3">
      <c r="J31287" s="33"/>
    </row>
    <row r="31288" spans="10:10" x14ac:dyDescent="0.3">
      <c r="J31288" s="33"/>
    </row>
    <row r="31289" spans="10:10" x14ac:dyDescent="0.3">
      <c r="J31289" s="33"/>
    </row>
    <row r="31290" spans="10:10" ht="15" customHeight="1" x14ac:dyDescent="0.3">
      <c r="J31290" s="33"/>
    </row>
    <row r="31291" spans="10:10" x14ac:dyDescent="0.3">
      <c r="J31291" s="33"/>
    </row>
    <row r="31292" spans="10:10" x14ac:dyDescent="0.3">
      <c r="J31292" s="33"/>
    </row>
    <row r="31293" spans="10:10" x14ac:dyDescent="0.3">
      <c r="J31293" s="33"/>
    </row>
    <row r="31294" spans="10:10" x14ac:dyDescent="0.3">
      <c r="J31294" s="33"/>
    </row>
    <row r="31295" spans="10:10" x14ac:dyDescent="0.3">
      <c r="J31295" s="33"/>
    </row>
    <row r="31296" spans="10:10" x14ac:dyDescent="0.3">
      <c r="J31296" s="33"/>
    </row>
    <row r="31297" spans="10:10" ht="15" customHeight="1" x14ac:dyDescent="0.3">
      <c r="J31297" s="33"/>
    </row>
    <row r="31298" spans="10:10" x14ac:dyDescent="0.3">
      <c r="J31298" s="33"/>
    </row>
    <row r="31299" spans="10:10" ht="15" customHeight="1" x14ac:dyDescent="0.3">
      <c r="J31299" s="33"/>
    </row>
    <row r="31300" spans="10:10" x14ac:dyDescent="0.3">
      <c r="J31300" s="33"/>
    </row>
    <row r="31301" spans="10:10" ht="15" customHeight="1" x14ac:dyDescent="0.3">
      <c r="J31301" s="33"/>
    </row>
    <row r="31302" spans="10:10" x14ac:dyDescent="0.3">
      <c r="J31302" s="33"/>
    </row>
    <row r="31303" spans="10:10" x14ac:dyDescent="0.3">
      <c r="J31303" s="33"/>
    </row>
    <row r="31304" spans="10:10" x14ac:dyDescent="0.3">
      <c r="J31304" s="33"/>
    </row>
    <row r="31305" spans="10:10" x14ac:dyDescent="0.3">
      <c r="J31305" s="33"/>
    </row>
    <row r="31306" spans="10:10" x14ac:dyDescent="0.3">
      <c r="J31306" s="33"/>
    </row>
    <row r="31307" spans="10:10" ht="15" customHeight="1" x14ac:dyDescent="0.3">
      <c r="J31307" s="33"/>
    </row>
    <row r="31308" spans="10:10" x14ac:dyDescent="0.3">
      <c r="J31308" s="33"/>
    </row>
    <row r="31309" spans="10:10" ht="15" customHeight="1" x14ac:dyDescent="0.3">
      <c r="J31309" s="33"/>
    </row>
    <row r="31310" spans="10:10" ht="15" customHeight="1" x14ac:dyDescent="0.3">
      <c r="J31310" s="33"/>
    </row>
    <row r="31311" spans="10:10" ht="15" customHeight="1" x14ac:dyDescent="0.3">
      <c r="J31311" s="33"/>
    </row>
    <row r="31312" spans="10:10" x14ac:dyDescent="0.3">
      <c r="J31312" s="33"/>
    </row>
    <row r="31313" spans="10:10" ht="15" customHeight="1" x14ac:dyDescent="0.3">
      <c r="J31313" s="33"/>
    </row>
    <row r="31314" spans="10:10" ht="15" customHeight="1" x14ac:dyDescent="0.3">
      <c r="J31314" s="33"/>
    </row>
    <row r="31315" spans="10:10" ht="15" customHeight="1" x14ac:dyDescent="0.3">
      <c r="J31315" s="33"/>
    </row>
    <row r="31316" spans="10:10" x14ac:dyDescent="0.3">
      <c r="J31316" s="33"/>
    </row>
    <row r="31317" spans="10:10" ht="15" customHeight="1" x14ac:dyDescent="0.3">
      <c r="J31317" s="33"/>
    </row>
    <row r="31318" spans="10:10" ht="15" customHeight="1" x14ac:dyDescent="0.3">
      <c r="J31318" s="33"/>
    </row>
    <row r="31319" spans="10:10" x14ac:dyDescent="0.3">
      <c r="J31319" s="33"/>
    </row>
    <row r="31320" spans="10:10" ht="15" customHeight="1" x14ac:dyDescent="0.3">
      <c r="J31320" s="33"/>
    </row>
    <row r="31321" spans="10:10" ht="15" customHeight="1" x14ac:dyDescent="0.3">
      <c r="J31321" s="33"/>
    </row>
    <row r="31322" spans="10:10" x14ac:dyDescent="0.3">
      <c r="J31322" s="33"/>
    </row>
    <row r="31323" spans="10:10" x14ac:dyDescent="0.3">
      <c r="J31323" s="33"/>
    </row>
    <row r="31324" spans="10:10" x14ac:dyDescent="0.3">
      <c r="J31324" s="33"/>
    </row>
    <row r="31325" spans="10:10" ht="15" customHeight="1" x14ac:dyDescent="0.3">
      <c r="J31325" s="33"/>
    </row>
    <row r="31326" spans="10:10" x14ac:dyDescent="0.3">
      <c r="J31326" s="33"/>
    </row>
    <row r="31327" spans="10:10" x14ac:dyDescent="0.3">
      <c r="J31327" s="33"/>
    </row>
    <row r="31328" spans="10:10" ht="15" customHeight="1" x14ac:dyDescent="0.3">
      <c r="J31328" s="33"/>
    </row>
    <row r="31329" spans="10:10" x14ac:dyDescent="0.3">
      <c r="J31329" s="33"/>
    </row>
    <row r="31330" spans="10:10" x14ac:dyDescent="0.3">
      <c r="J31330" s="33"/>
    </row>
    <row r="31331" spans="10:10" ht="15" customHeight="1" x14ac:dyDescent="0.3">
      <c r="J31331" s="33"/>
    </row>
    <row r="31332" spans="10:10" x14ac:dyDescent="0.3">
      <c r="J31332" s="33"/>
    </row>
    <row r="31333" spans="10:10" x14ac:dyDescent="0.3">
      <c r="J31333" s="33"/>
    </row>
    <row r="31334" spans="10:10" ht="15" customHeight="1" x14ac:dyDescent="0.3">
      <c r="J31334" s="33"/>
    </row>
    <row r="31335" spans="10:10" x14ac:dyDescent="0.3">
      <c r="J31335" s="33"/>
    </row>
    <row r="31336" spans="10:10" x14ac:dyDescent="0.3">
      <c r="J31336" s="33"/>
    </row>
    <row r="31337" spans="10:10" x14ac:dyDescent="0.3">
      <c r="J31337" s="33"/>
    </row>
    <row r="31338" spans="10:10" x14ac:dyDescent="0.3">
      <c r="J31338" s="33"/>
    </row>
    <row r="31339" spans="10:10" ht="15" customHeight="1" x14ac:dyDescent="0.3">
      <c r="J31339" s="33"/>
    </row>
    <row r="31340" spans="10:10" x14ac:dyDescent="0.3">
      <c r="J31340" s="33"/>
    </row>
    <row r="31341" spans="10:10" x14ac:dyDescent="0.3">
      <c r="J31341" s="33"/>
    </row>
    <row r="31342" spans="10:10" ht="15" customHeight="1" x14ac:dyDescent="0.3">
      <c r="J31342" s="33"/>
    </row>
    <row r="31343" spans="10:10" x14ac:dyDescent="0.3">
      <c r="J31343" s="33"/>
    </row>
    <row r="31344" spans="10:10" ht="15" customHeight="1" x14ac:dyDescent="0.3">
      <c r="J31344" s="33"/>
    </row>
    <row r="31345" spans="10:10" x14ac:dyDescent="0.3">
      <c r="J31345" s="33"/>
    </row>
    <row r="31346" spans="10:10" x14ac:dyDescent="0.3">
      <c r="J31346" s="33"/>
    </row>
    <row r="31347" spans="10:10" ht="15" customHeight="1" x14ac:dyDescent="0.3">
      <c r="J31347" s="33"/>
    </row>
    <row r="31348" spans="10:10" ht="15" customHeight="1" x14ac:dyDescent="0.3">
      <c r="J31348" s="33"/>
    </row>
    <row r="31349" spans="10:10" x14ac:dyDescent="0.3">
      <c r="J31349" s="33"/>
    </row>
    <row r="31350" spans="10:10" x14ac:dyDescent="0.3">
      <c r="J31350" s="33"/>
    </row>
    <row r="31351" spans="10:10" x14ac:dyDescent="0.3">
      <c r="J31351" s="33"/>
    </row>
    <row r="31352" spans="10:10" x14ac:dyDescent="0.3">
      <c r="J31352" s="33"/>
    </row>
    <row r="31353" spans="10:10" x14ac:dyDescent="0.3">
      <c r="J31353" s="33"/>
    </row>
    <row r="31354" spans="10:10" ht="15" customHeight="1" x14ac:dyDescent="0.3">
      <c r="J31354" s="33"/>
    </row>
    <row r="31355" spans="10:10" x14ac:dyDescent="0.3">
      <c r="J31355" s="33"/>
    </row>
    <row r="31356" spans="10:10" x14ac:dyDescent="0.3">
      <c r="J31356" s="33"/>
    </row>
    <row r="31357" spans="10:10" ht="15" customHeight="1" x14ac:dyDescent="0.3">
      <c r="J31357" s="33"/>
    </row>
    <row r="31358" spans="10:10" x14ac:dyDescent="0.3">
      <c r="J31358" s="33"/>
    </row>
    <row r="31359" spans="10:10" ht="15" customHeight="1" x14ac:dyDescent="0.3">
      <c r="J31359" s="33"/>
    </row>
    <row r="31360" spans="10:10" ht="15" customHeight="1" x14ac:dyDescent="0.3">
      <c r="J31360" s="33"/>
    </row>
    <row r="31361" spans="10:10" ht="15" customHeight="1" x14ac:dyDescent="0.3">
      <c r="J31361" s="33"/>
    </row>
    <row r="31362" spans="10:10" x14ac:dyDescent="0.3">
      <c r="J31362" s="33"/>
    </row>
    <row r="31363" spans="10:10" ht="15" customHeight="1" x14ac:dyDescent="0.3">
      <c r="J31363" s="33"/>
    </row>
    <row r="31364" spans="10:10" x14ac:dyDescent="0.3">
      <c r="J31364" s="33"/>
    </row>
    <row r="31365" spans="10:10" ht="15" customHeight="1" x14ac:dyDescent="0.3">
      <c r="J31365" s="33"/>
    </row>
    <row r="31366" spans="10:10" ht="15" customHeight="1" x14ac:dyDescent="0.3">
      <c r="J31366" s="33"/>
    </row>
    <row r="31367" spans="10:10" x14ac:dyDescent="0.3">
      <c r="J31367" s="33"/>
    </row>
    <row r="31368" spans="10:10" ht="15" customHeight="1" x14ac:dyDescent="0.3">
      <c r="J31368" s="33"/>
    </row>
    <row r="31369" spans="10:10" ht="15" customHeight="1" x14ac:dyDescent="0.3">
      <c r="J31369" s="33"/>
    </row>
    <row r="31370" spans="10:10" x14ac:dyDescent="0.3">
      <c r="J31370" s="33"/>
    </row>
    <row r="31371" spans="10:10" x14ac:dyDescent="0.3">
      <c r="J31371" s="33"/>
    </row>
    <row r="31372" spans="10:10" ht="15" customHeight="1" x14ac:dyDescent="0.3">
      <c r="J31372" s="33"/>
    </row>
    <row r="31373" spans="10:10" x14ac:dyDescent="0.3">
      <c r="J31373" s="33"/>
    </row>
    <row r="31374" spans="10:10" ht="15" customHeight="1" x14ac:dyDescent="0.3">
      <c r="J31374" s="33"/>
    </row>
    <row r="31375" spans="10:10" ht="15" customHeight="1" x14ac:dyDescent="0.3">
      <c r="J31375" s="33"/>
    </row>
    <row r="31376" spans="10:10" x14ac:dyDescent="0.3">
      <c r="J31376" s="33"/>
    </row>
    <row r="31377" spans="10:10" x14ac:dyDescent="0.3">
      <c r="J31377" s="33"/>
    </row>
    <row r="31378" spans="10:10" ht="15" customHeight="1" x14ac:dyDescent="0.3">
      <c r="J31378" s="33"/>
    </row>
    <row r="31379" spans="10:10" ht="15" customHeight="1" x14ac:dyDescent="0.3">
      <c r="J31379" s="33"/>
    </row>
    <row r="31380" spans="10:10" x14ac:dyDescent="0.3">
      <c r="J31380" s="33"/>
    </row>
    <row r="31381" spans="10:10" x14ac:dyDescent="0.3">
      <c r="J31381" s="33"/>
    </row>
    <row r="31382" spans="10:10" x14ac:dyDescent="0.3">
      <c r="J31382" s="33"/>
    </row>
    <row r="31383" spans="10:10" ht="15" customHeight="1" x14ac:dyDescent="0.3">
      <c r="J31383" s="33"/>
    </row>
    <row r="31384" spans="10:10" ht="15" customHeight="1" x14ac:dyDescent="0.3">
      <c r="J31384" s="33"/>
    </row>
    <row r="31385" spans="10:10" ht="15" customHeight="1" x14ac:dyDescent="0.3">
      <c r="J31385" s="33"/>
    </row>
    <row r="31386" spans="10:10" ht="15" customHeight="1" x14ac:dyDescent="0.3">
      <c r="J31386" s="33"/>
    </row>
    <row r="31387" spans="10:10" ht="15" customHeight="1" x14ac:dyDescent="0.3">
      <c r="J31387" s="33"/>
    </row>
    <row r="31388" spans="10:10" x14ac:dyDescent="0.3">
      <c r="J31388" s="33"/>
    </row>
    <row r="31389" spans="10:10" ht="15" customHeight="1" x14ac:dyDescent="0.3">
      <c r="J31389" s="33"/>
    </row>
    <row r="31390" spans="10:10" x14ac:dyDescent="0.3">
      <c r="J31390" s="33"/>
    </row>
    <row r="31391" spans="10:10" x14ac:dyDescent="0.3">
      <c r="J31391" s="33"/>
    </row>
    <row r="31392" spans="10:10" x14ac:dyDescent="0.3">
      <c r="J31392" s="33"/>
    </row>
    <row r="31393" spans="10:10" ht="15" customHeight="1" x14ac:dyDescent="0.3">
      <c r="J31393" s="33"/>
    </row>
    <row r="31394" spans="10:10" ht="15" customHeight="1" x14ac:dyDescent="0.3">
      <c r="J31394" s="33"/>
    </row>
    <row r="31395" spans="10:10" x14ac:dyDescent="0.3">
      <c r="J31395" s="33"/>
    </row>
    <row r="31396" spans="10:10" ht="15" customHeight="1" x14ac:dyDescent="0.3">
      <c r="J31396" s="33"/>
    </row>
    <row r="31397" spans="10:10" ht="15" customHeight="1" x14ac:dyDescent="0.3">
      <c r="J31397" s="33"/>
    </row>
    <row r="31398" spans="10:10" x14ac:dyDescent="0.3">
      <c r="J31398" s="33"/>
    </row>
    <row r="31399" spans="10:10" x14ac:dyDescent="0.3">
      <c r="J31399" s="33"/>
    </row>
    <row r="31400" spans="10:10" ht="15" customHeight="1" x14ac:dyDescent="0.3">
      <c r="J31400" s="33"/>
    </row>
    <row r="31401" spans="10:10" x14ac:dyDescent="0.3">
      <c r="J31401" s="33"/>
    </row>
    <row r="31402" spans="10:10" ht="15" customHeight="1" x14ac:dyDescent="0.3">
      <c r="J31402" s="33"/>
    </row>
    <row r="31403" spans="10:10" ht="15" customHeight="1" x14ac:dyDescent="0.3">
      <c r="J31403" s="33"/>
    </row>
    <row r="31404" spans="10:10" ht="15" customHeight="1" x14ac:dyDescent="0.3">
      <c r="J31404" s="33"/>
    </row>
    <row r="31405" spans="10:10" x14ac:dyDescent="0.3">
      <c r="J31405" s="33"/>
    </row>
    <row r="31406" spans="10:10" ht="15" customHeight="1" x14ac:dyDescent="0.3">
      <c r="J31406" s="33"/>
    </row>
    <row r="31407" spans="10:10" ht="15" customHeight="1" x14ac:dyDescent="0.3">
      <c r="J31407" s="33"/>
    </row>
    <row r="31408" spans="10:10" x14ac:dyDescent="0.3">
      <c r="J31408" s="33"/>
    </row>
    <row r="31409" spans="10:10" ht="15" customHeight="1" x14ac:dyDescent="0.3">
      <c r="J31409" s="33"/>
    </row>
    <row r="31410" spans="10:10" x14ac:dyDescent="0.3">
      <c r="J31410" s="33"/>
    </row>
    <row r="31411" spans="10:10" x14ac:dyDescent="0.3">
      <c r="J31411" s="33"/>
    </row>
    <row r="31412" spans="10:10" x14ac:dyDescent="0.3">
      <c r="J31412" s="33"/>
    </row>
    <row r="31413" spans="10:10" ht="15" customHeight="1" x14ac:dyDescent="0.3">
      <c r="J31413" s="33"/>
    </row>
    <row r="31414" spans="10:10" x14ac:dyDescent="0.3">
      <c r="J31414" s="33"/>
    </row>
    <row r="31415" spans="10:10" ht="15" customHeight="1" x14ac:dyDescent="0.3">
      <c r="J31415" s="33"/>
    </row>
    <row r="31416" spans="10:10" x14ac:dyDescent="0.3">
      <c r="J31416" s="33"/>
    </row>
    <row r="31417" spans="10:10" x14ac:dyDescent="0.3">
      <c r="J31417" s="33"/>
    </row>
    <row r="31418" spans="10:10" ht="15" customHeight="1" x14ac:dyDescent="0.3">
      <c r="J31418" s="33"/>
    </row>
    <row r="31419" spans="10:10" ht="15" customHeight="1" x14ac:dyDescent="0.3">
      <c r="J31419" s="33"/>
    </row>
    <row r="31420" spans="10:10" x14ac:dyDescent="0.3">
      <c r="J31420" s="33"/>
    </row>
    <row r="31421" spans="10:10" ht="15" customHeight="1" x14ac:dyDescent="0.3">
      <c r="J31421" s="33"/>
    </row>
    <row r="31422" spans="10:10" ht="15" customHeight="1" x14ac:dyDescent="0.3">
      <c r="J31422" s="33"/>
    </row>
    <row r="31423" spans="10:10" x14ac:dyDescent="0.3">
      <c r="J31423" s="33"/>
    </row>
    <row r="31424" spans="10:10" x14ac:dyDescent="0.3">
      <c r="J31424" s="33"/>
    </row>
    <row r="31425" spans="10:10" ht="15" customHeight="1" x14ac:dyDescent="0.3">
      <c r="J31425" s="33"/>
    </row>
    <row r="31426" spans="10:10" x14ac:dyDescent="0.3">
      <c r="J31426" s="33"/>
    </row>
    <row r="31427" spans="10:10" ht="15" customHeight="1" x14ac:dyDescent="0.3">
      <c r="J31427" s="33"/>
    </row>
    <row r="31428" spans="10:10" x14ac:dyDescent="0.3">
      <c r="J31428" s="33"/>
    </row>
    <row r="31429" spans="10:10" x14ac:dyDescent="0.3">
      <c r="J31429" s="33"/>
    </row>
    <row r="31430" spans="10:10" ht="15" customHeight="1" x14ac:dyDescent="0.3">
      <c r="J31430" s="33"/>
    </row>
    <row r="31431" spans="10:10" x14ac:dyDescent="0.3">
      <c r="J31431" s="33"/>
    </row>
    <row r="31432" spans="10:10" x14ac:dyDescent="0.3">
      <c r="J31432" s="33"/>
    </row>
    <row r="31433" spans="10:10" x14ac:dyDescent="0.3">
      <c r="J31433" s="33"/>
    </row>
    <row r="31434" spans="10:10" ht="15" customHeight="1" x14ac:dyDescent="0.3">
      <c r="J31434" s="33"/>
    </row>
    <row r="31435" spans="10:10" ht="15" customHeight="1" x14ac:dyDescent="0.3">
      <c r="J31435" s="33"/>
    </row>
    <row r="31436" spans="10:10" x14ac:dyDescent="0.3">
      <c r="J31436" s="33"/>
    </row>
    <row r="31437" spans="10:10" ht="15" customHeight="1" x14ac:dyDescent="0.3">
      <c r="J31437" s="33"/>
    </row>
    <row r="31438" spans="10:10" ht="15" customHeight="1" x14ac:dyDescent="0.3">
      <c r="J31438" s="33"/>
    </row>
    <row r="31439" spans="10:10" ht="15" customHeight="1" x14ac:dyDescent="0.3">
      <c r="J31439" s="33"/>
    </row>
    <row r="31440" spans="10:10" x14ac:dyDescent="0.3">
      <c r="J31440" s="33"/>
    </row>
    <row r="31441" spans="10:10" x14ac:dyDescent="0.3">
      <c r="J31441" s="33"/>
    </row>
    <row r="31442" spans="10:10" x14ac:dyDescent="0.3">
      <c r="J31442" s="33"/>
    </row>
    <row r="31443" spans="10:10" ht="15" customHeight="1" x14ac:dyDescent="0.3">
      <c r="J31443" s="33"/>
    </row>
    <row r="31444" spans="10:10" x14ac:dyDescent="0.3">
      <c r="J31444" s="33"/>
    </row>
    <row r="31445" spans="10:10" ht="15" customHeight="1" x14ac:dyDescent="0.3">
      <c r="J31445" s="33"/>
    </row>
    <row r="31446" spans="10:10" x14ac:dyDescent="0.3">
      <c r="J31446" s="33"/>
    </row>
    <row r="31447" spans="10:10" ht="15" customHeight="1" x14ac:dyDescent="0.3">
      <c r="J31447" s="33"/>
    </row>
    <row r="31448" spans="10:10" ht="15" customHeight="1" x14ac:dyDescent="0.3">
      <c r="J31448" s="33"/>
    </row>
    <row r="31449" spans="10:10" ht="15" customHeight="1" x14ac:dyDescent="0.3">
      <c r="J31449" s="33"/>
    </row>
    <row r="31450" spans="10:10" ht="15" customHeight="1" x14ac:dyDescent="0.3">
      <c r="J31450" s="33"/>
    </row>
    <row r="31451" spans="10:10" x14ac:dyDescent="0.3">
      <c r="J31451" s="33"/>
    </row>
    <row r="31452" spans="10:10" ht="15" customHeight="1" x14ac:dyDescent="0.3">
      <c r="J31452" s="33"/>
    </row>
    <row r="31453" spans="10:10" x14ac:dyDescent="0.3">
      <c r="J31453" s="33"/>
    </row>
    <row r="31454" spans="10:10" ht="15" customHeight="1" x14ac:dyDescent="0.3">
      <c r="J31454" s="33"/>
    </row>
    <row r="31455" spans="10:10" x14ac:dyDescent="0.3">
      <c r="J31455" s="33"/>
    </row>
    <row r="31456" spans="10:10" x14ac:dyDescent="0.3">
      <c r="J31456" s="33"/>
    </row>
    <row r="31457" spans="10:10" ht="15" customHeight="1" x14ac:dyDescent="0.3">
      <c r="J31457" s="33"/>
    </row>
    <row r="31458" spans="10:10" x14ac:dyDescent="0.3">
      <c r="J31458" s="33"/>
    </row>
    <row r="31459" spans="10:10" x14ac:dyDescent="0.3">
      <c r="J31459" s="33"/>
    </row>
    <row r="31460" spans="10:10" ht="15" customHeight="1" x14ac:dyDescent="0.3">
      <c r="J31460" s="33"/>
    </row>
    <row r="31461" spans="10:10" x14ac:dyDescent="0.3">
      <c r="J31461" s="33"/>
    </row>
    <row r="31462" spans="10:10" x14ac:dyDescent="0.3">
      <c r="J31462" s="33"/>
    </row>
    <row r="31463" spans="10:10" x14ac:dyDescent="0.3">
      <c r="J31463" s="33"/>
    </row>
    <row r="31464" spans="10:10" x14ac:dyDescent="0.3">
      <c r="J31464" s="33"/>
    </row>
    <row r="31465" spans="10:10" ht="15" customHeight="1" x14ac:dyDescent="0.3">
      <c r="J31465" s="33"/>
    </row>
    <row r="31466" spans="10:10" ht="15" customHeight="1" x14ac:dyDescent="0.3">
      <c r="J31466" s="33"/>
    </row>
    <row r="31467" spans="10:10" x14ac:dyDescent="0.3">
      <c r="J31467" s="33"/>
    </row>
    <row r="31468" spans="10:10" x14ac:dyDescent="0.3">
      <c r="J31468" s="33"/>
    </row>
    <row r="31469" spans="10:10" ht="15" customHeight="1" x14ac:dyDescent="0.3">
      <c r="J31469" s="33"/>
    </row>
    <row r="31470" spans="10:10" x14ac:dyDescent="0.3">
      <c r="J31470" s="33"/>
    </row>
    <row r="31471" spans="10:10" x14ac:dyDescent="0.3">
      <c r="J31471" s="33"/>
    </row>
    <row r="31472" spans="10:10" ht="15" customHeight="1" x14ac:dyDescent="0.3">
      <c r="J31472" s="33"/>
    </row>
    <row r="31473" spans="10:10" x14ac:dyDescent="0.3">
      <c r="J31473" s="33"/>
    </row>
    <row r="31474" spans="10:10" ht="15" customHeight="1" x14ac:dyDescent="0.3">
      <c r="J31474" s="33"/>
    </row>
    <row r="31475" spans="10:10" ht="15" customHeight="1" x14ac:dyDescent="0.3">
      <c r="J31475" s="33"/>
    </row>
    <row r="31476" spans="10:10" x14ac:dyDescent="0.3">
      <c r="J31476" s="33"/>
    </row>
    <row r="31477" spans="10:10" ht="15" customHeight="1" x14ac:dyDescent="0.3">
      <c r="J31477" s="33"/>
    </row>
    <row r="31478" spans="10:10" ht="15" customHeight="1" x14ac:dyDescent="0.3">
      <c r="J31478" s="33"/>
    </row>
    <row r="31479" spans="10:10" ht="15" customHeight="1" x14ac:dyDescent="0.3">
      <c r="J31479" s="33"/>
    </row>
    <row r="31480" spans="10:10" ht="15" customHeight="1" x14ac:dyDescent="0.3">
      <c r="J31480" s="33"/>
    </row>
    <row r="31481" spans="10:10" x14ac:dyDescent="0.3">
      <c r="J31481" s="33"/>
    </row>
    <row r="31482" spans="10:10" x14ac:dyDescent="0.3">
      <c r="J31482" s="33"/>
    </row>
    <row r="31483" spans="10:10" ht="15" customHeight="1" x14ac:dyDescent="0.3">
      <c r="J31483" s="33"/>
    </row>
    <row r="31484" spans="10:10" ht="15" customHeight="1" x14ac:dyDescent="0.3">
      <c r="J31484" s="33"/>
    </row>
    <row r="31485" spans="10:10" x14ac:dyDescent="0.3">
      <c r="J31485" s="33"/>
    </row>
    <row r="31486" spans="10:10" ht="15" customHeight="1" x14ac:dyDescent="0.3">
      <c r="J31486" s="33"/>
    </row>
    <row r="31487" spans="10:10" x14ac:dyDescent="0.3">
      <c r="J31487" s="33"/>
    </row>
    <row r="31488" spans="10:10" x14ac:dyDescent="0.3">
      <c r="J31488" s="33"/>
    </row>
    <row r="31489" spans="10:10" x14ac:dyDescent="0.3">
      <c r="J31489" s="33"/>
    </row>
    <row r="31490" spans="10:10" x14ac:dyDescent="0.3">
      <c r="J31490" s="33"/>
    </row>
    <row r="31491" spans="10:10" x14ac:dyDescent="0.3">
      <c r="J31491" s="33"/>
    </row>
    <row r="31492" spans="10:10" ht="15" customHeight="1" x14ac:dyDescent="0.3">
      <c r="J31492" s="33"/>
    </row>
    <row r="31493" spans="10:10" x14ac:dyDescent="0.3">
      <c r="J31493" s="33"/>
    </row>
    <row r="31494" spans="10:10" ht="15" customHeight="1" x14ac:dyDescent="0.3">
      <c r="J31494" s="33"/>
    </row>
    <row r="31495" spans="10:10" ht="15" customHeight="1" x14ac:dyDescent="0.3">
      <c r="J31495" s="33"/>
    </row>
    <row r="31496" spans="10:10" ht="15" customHeight="1" x14ac:dyDescent="0.3">
      <c r="J31496" s="33"/>
    </row>
    <row r="31497" spans="10:10" x14ac:dyDescent="0.3">
      <c r="J31497" s="33"/>
    </row>
    <row r="31498" spans="10:10" x14ac:dyDescent="0.3">
      <c r="J31498" s="33"/>
    </row>
    <row r="31499" spans="10:10" ht="15" customHeight="1" x14ac:dyDescent="0.3">
      <c r="J31499" s="33"/>
    </row>
    <row r="31500" spans="10:10" x14ac:dyDescent="0.3">
      <c r="J31500" s="33"/>
    </row>
    <row r="31501" spans="10:10" ht="15" customHeight="1" x14ac:dyDescent="0.3">
      <c r="J31501" s="33"/>
    </row>
    <row r="31502" spans="10:10" ht="15" customHeight="1" x14ac:dyDescent="0.3">
      <c r="J31502" s="33"/>
    </row>
    <row r="31503" spans="10:10" ht="15" customHeight="1" x14ac:dyDescent="0.3">
      <c r="J31503" s="33"/>
    </row>
    <row r="31504" spans="10:10" x14ac:dyDescent="0.3">
      <c r="J31504" s="33"/>
    </row>
    <row r="31505" spans="10:10" ht="15" customHeight="1" x14ac:dyDescent="0.3">
      <c r="J31505" s="33"/>
    </row>
    <row r="31506" spans="10:10" ht="15" customHeight="1" x14ac:dyDescent="0.3">
      <c r="J31506" s="33"/>
    </row>
    <row r="31507" spans="10:10" x14ac:dyDescent="0.3">
      <c r="J31507" s="33"/>
    </row>
    <row r="31508" spans="10:10" ht="15" customHeight="1" x14ac:dyDescent="0.3">
      <c r="J31508" s="33"/>
    </row>
    <row r="31509" spans="10:10" x14ac:dyDescent="0.3">
      <c r="J31509" s="33"/>
    </row>
    <row r="31510" spans="10:10" x14ac:dyDescent="0.3">
      <c r="J31510" s="33"/>
    </row>
    <row r="31511" spans="10:10" x14ac:dyDescent="0.3">
      <c r="J31511" s="33"/>
    </row>
    <row r="31512" spans="10:10" ht="15" customHeight="1" x14ac:dyDescent="0.3">
      <c r="J31512" s="33"/>
    </row>
    <row r="31513" spans="10:10" ht="15" customHeight="1" x14ac:dyDescent="0.3">
      <c r="J31513" s="33"/>
    </row>
    <row r="31514" spans="10:10" ht="15" customHeight="1" x14ac:dyDescent="0.3">
      <c r="J31514" s="33"/>
    </row>
    <row r="31515" spans="10:10" ht="15" customHeight="1" x14ac:dyDescent="0.3">
      <c r="J31515" s="33"/>
    </row>
    <row r="31516" spans="10:10" ht="15" customHeight="1" x14ac:dyDescent="0.3">
      <c r="J31516" s="33"/>
    </row>
    <row r="31517" spans="10:10" ht="15" customHeight="1" x14ac:dyDescent="0.3">
      <c r="J31517" s="33"/>
    </row>
    <row r="31518" spans="10:10" x14ac:dyDescent="0.3">
      <c r="J31518" s="33"/>
    </row>
    <row r="31519" spans="10:10" x14ac:dyDescent="0.3">
      <c r="J31519" s="33"/>
    </row>
    <row r="31520" spans="10:10" ht="15" customHeight="1" x14ac:dyDescent="0.3">
      <c r="J31520" s="33"/>
    </row>
    <row r="31521" spans="10:10" ht="15" customHeight="1" x14ac:dyDescent="0.3">
      <c r="J31521" s="33"/>
    </row>
    <row r="31522" spans="10:10" x14ac:dyDescent="0.3">
      <c r="J31522" s="33"/>
    </row>
    <row r="31523" spans="10:10" ht="15" customHeight="1" x14ac:dyDescent="0.3">
      <c r="J31523" s="33"/>
    </row>
    <row r="31524" spans="10:10" x14ac:dyDescent="0.3">
      <c r="J31524" s="33"/>
    </row>
    <row r="31525" spans="10:10" x14ac:dyDescent="0.3">
      <c r="J31525" s="33"/>
    </row>
    <row r="31526" spans="10:10" x14ac:dyDescent="0.3">
      <c r="J31526" s="33"/>
    </row>
    <row r="31527" spans="10:10" ht="15" customHeight="1" x14ac:dyDescent="0.3">
      <c r="J31527" s="33"/>
    </row>
    <row r="31528" spans="10:10" x14ac:dyDescent="0.3">
      <c r="J31528" s="33"/>
    </row>
    <row r="31529" spans="10:10" x14ac:dyDescent="0.3">
      <c r="J31529" s="33"/>
    </row>
    <row r="31530" spans="10:10" ht="15" customHeight="1" x14ac:dyDescent="0.3">
      <c r="J31530" s="33"/>
    </row>
    <row r="31531" spans="10:10" ht="15" customHeight="1" x14ac:dyDescent="0.3">
      <c r="J31531" s="33"/>
    </row>
    <row r="31532" spans="10:10" ht="15" customHeight="1" x14ac:dyDescent="0.3">
      <c r="J31532" s="33"/>
    </row>
    <row r="31533" spans="10:10" x14ac:dyDescent="0.3">
      <c r="J31533" s="33"/>
    </row>
    <row r="31534" spans="10:10" x14ac:dyDescent="0.3">
      <c r="J31534" s="33"/>
    </row>
    <row r="31535" spans="10:10" x14ac:dyDescent="0.3">
      <c r="J31535" s="33"/>
    </row>
    <row r="31536" spans="10:10" ht="15" customHeight="1" x14ac:dyDescent="0.3">
      <c r="J31536" s="33"/>
    </row>
    <row r="31537" spans="10:10" x14ac:dyDescent="0.3">
      <c r="J31537" s="33"/>
    </row>
    <row r="31538" spans="10:10" x14ac:dyDescent="0.3">
      <c r="J31538" s="33"/>
    </row>
    <row r="31539" spans="10:10" x14ac:dyDescent="0.3">
      <c r="J31539" s="33"/>
    </row>
    <row r="31540" spans="10:10" x14ac:dyDescent="0.3">
      <c r="J31540" s="33"/>
    </row>
    <row r="31541" spans="10:10" ht="15" customHeight="1" x14ac:dyDescent="0.3">
      <c r="J31541" s="33"/>
    </row>
    <row r="31542" spans="10:10" ht="15" customHeight="1" x14ac:dyDescent="0.3">
      <c r="J31542" s="33"/>
    </row>
    <row r="31543" spans="10:10" x14ac:dyDescent="0.3">
      <c r="J31543" s="33"/>
    </row>
    <row r="31544" spans="10:10" x14ac:dyDescent="0.3">
      <c r="J31544" s="33"/>
    </row>
    <row r="31545" spans="10:10" ht="15" customHeight="1" x14ac:dyDescent="0.3">
      <c r="J31545" s="33"/>
    </row>
    <row r="31546" spans="10:10" x14ac:dyDescent="0.3">
      <c r="J31546" s="33"/>
    </row>
    <row r="31547" spans="10:10" x14ac:dyDescent="0.3">
      <c r="J31547" s="33"/>
    </row>
    <row r="31548" spans="10:10" ht="15" customHeight="1" x14ac:dyDescent="0.3">
      <c r="J31548" s="33"/>
    </row>
    <row r="31549" spans="10:10" ht="15" customHeight="1" x14ac:dyDescent="0.3">
      <c r="J31549" s="33"/>
    </row>
    <row r="31550" spans="10:10" x14ac:dyDescent="0.3">
      <c r="J31550" s="33"/>
    </row>
    <row r="31551" spans="10:10" ht="15" customHeight="1" x14ac:dyDescent="0.3">
      <c r="J31551" s="33"/>
    </row>
    <row r="31552" spans="10:10" ht="15" customHeight="1" x14ac:dyDescent="0.3">
      <c r="J31552" s="33"/>
    </row>
    <row r="31553" spans="10:10" ht="15" customHeight="1" x14ac:dyDescent="0.3">
      <c r="J31553" s="33"/>
    </row>
    <row r="31554" spans="10:10" ht="15" customHeight="1" x14ac:dyDescent="0.3">
      <c r="J31554" s="33"/>
    </row>
    <row r="31555" spans="10:10" x14ac:dyDescent="0.3">
      <c r="J31555" s="33"/>
    </row>
    <row r="31556" spans="10:10" x14ac:dyDescent="0.3">
      <c r="J31556" s="33"/>
    </row>
    <row r="31557" spans="10:10" ht="15" customHeight="1" x14ac:dyDescent="0.3">
      <c r="J31557" s="33"/>
    </row>
    <row r="31558" spans="10:10" ht="15" customHeight="1" x14ac:dyDescent="0.3">
      <c r="J31558" s="33"/>
    </row>
    <row r="31559" spans="10:10" ht="15" customHeight="1" x14ac:dyDescent="0.3">
      <c r="J31559" s="33"/>
    </row>
    <row r="31560" spans="10:10" x14ac:dyDescent="0.3">
      <c r="J31560" s="33"/>
    </row>
    <row r="31561" spans="10:10" x14ac:dyDescent="0.3">
      <c r="J31561" s="33"/>
    </row>
    <row r="31562" spans="10:10" x14ac:dyDescent="0.3">
      <c r="J31562" s="33"/>
    </row>
    <row r="31563" spans="10:10" ht="15" customHeight="1" x14ac:dyDescent="0.3">
      <c r="J31563" s="33"/>
    </row>
    <row r="31564" spans="10:10" ht="15" customHeight="1" x14ac:dyDescent="0.3">
      <c r="J31564" s="33"/>
    </row>
    <row r="31565" spans="10:10" x14ac:dyDescent="0.3">
      <c r="J31565" s="33"/>
    </row>
    <row r="31566" spans="10:10" x14ac:dyDescent="0.3">
      <c r="J31566" s="33"/>
    </row>
    <row r="31567" spans="10:10" ht="15" customHeight="1" x14ac:dyDescent="0.3">
      <c r="J31567" s="33"/>
    </row>
    <row r="31568" spans="10:10" ht="15" customHeight="1" x14ac:dyDescent="0.3">
      <c r="J31568" s="33"/>
    </row>
    <row r="31569" spans="10:10" x14ac:dyDescent="0.3">
      <c r="J31569" s="33"/>
    </row>
    <row r="31570" spans="10:10" x14ac:dyDescent="0.3">
      <c r="J31570" s="33"/>
    </row>
    <row r="31571" spans="10:10" ht="15" customHeight="1" x14ac:dyDescent="0.3">
      <c r="J31571" s="33"/>
    </row>
    <row r="31572" spans="10:10" ht="15" customHeight="1" x14ac:dyDescent="0.3">
      <c r="J31572" s="33"/>
    </row>
    <row r="31573" spans="10:10" ht="15" customHeight="1" x14ac:dyDescent="0.3">
      <c r="J31573" s="33"/>
    </row>
    <row r="31574" spans="10:10" x14ac:dyDescent="0.3">
      <c r="J31574" s="33"/>
    </row>
    <row r="31575" spans="10:10" ht="15" customHeight="1" x14ac:dyDescent="0.3">
      <c r="J31575" s="33"/>
    </row>
    <row r="31576" spans="10:10" ht="15" customHeight="1" x14ac:dyDescent="0.3">
      <c r="J31576" s="33"/>
    </row>
    <row r="31577" spans="10:10" x14ac:dyDescent="0.3">
      <c r="J31577" s="33"/>
    </row>
    <row r="31578" spans="10:10" x14ac:dyDescent="0.3">
      <c r="J31578" s="33"/>
    </row>
    <row r="31579" spans="10:10" x14ac:dyDescent="0.3">
      <c r="J31579" s="33"/>
    </row>
    <row r="31580" spans="10:10" ht="15" customHeight="1" x14ac:dyDescent="0.3">
      <c r="J31580" s="33"/>
    </row>
    <row r="31581" spans="10:10" x14ac:dyDescent="0.3">
      <c r="J31581" s="33"/>
    </row>
    <row r="31582" spans="10:10" x14ac:dyDescent="0.3">
      <c r="J31582" s="33"/>
    </row>
    <row r="31583" spans="10:10" ht="15" customHeight="1" x14ac:dyDescent="0.3">
      <c r="J31583" s="33"/>
    </row>
    <row r="31584" spans="10:10" x14ac:dyDescent="0.3">
      <c r="J31584" s="33"/>
    </row>
    <row r="31585" spans="10:10" x14ac:dyDescent="0.3">
      <c r="J31585" s="33"/>
    </row>
    <row r="31586" spans="10:10" x14ac:dyDescent="0.3">
      <c r="J31586" s="33"/>
    </row>
    <row r="31587" spans="10:10" x14ac:dyDescent="0.3">
      <c r="J31587" s="33"/>
    </row>
    <row r="31588" spans="10:10" ht="15" customHeight="1" x14ac:dyDescent="0.3">
      <c r="J31588" s="33"/>
    </row>
    <row r="31589" spans="10:10" ht="15" customHeight="1" x14ac:dyDescent="0.3">
      <c r="J31589" s="33"/>
    </row>
    <row r="31590" spans="10:10" ht="15" customHeight="1" x14ac:dyDescent="0.3">
      <c r="J31590" s="33"/>
    </row>
    <row r="31591" spans="10:10" x14ac:dyDescent="0.3">
      <c r="J31591" s="33"/>
    </row>
    <row r="31592" spans="10:10" ht="15" customHeight="1" x14ac:dyDescent="0.3">
      <c r="J31592" s="33"/>
    </row>
    <row r="31593" spans="10:10" ht="15" customHeight="1" x14ac:dyDescent="0.3">
      <c r="J31593" s="33"/>
    </row>
    <row r="31594" spans="10:10" ht="15" customHeight="1" x14ac:dyDescent="0.3">
      <c r="J31594" s="33"/>
    </row>
    <row r="31595" spans="10:10" ht="15" customHeight="1" x14ac:dyDescent="0.3">
      <c r="J31595" s="33"/>
    </row>
    <row r="31596" spans="10:10" x14ac:dyDescent="0.3">
      <c r="J31596" s="33"/>
    </row>
    <row r="31597" spans="10:10" ht="15" customHeight="1" x14ac:dyDescent="0.3">
      <c r="J31597" s="33"/>
    </row>
    <row r="31598" spans="10:10" x14ac:dyDescent="0.3">
      <c r="J31598" s="33"/>
    </row>
    <row r="31599" spans="10:10" x14ac:dyDescent="0.3">
      <c r="J31599" s="33"/>
    </row>
    <row r="31600" spans="10:10" ht="15" customHeight="1" x14ac:dyDescent="0.3">
      <c r="J31600" s="33"/>
    </row>
    <row r="31601" spans="10:10" ht="15" customHeight="1" x14ac:dyDescent="0.3">
      <c r="J31601" s="33"/>
    </row>
    <row r="31602" spans="10:10" x14ac:dyDescent="0.3">
      <c r="J31602" s="33"/>
    </row>
    <row r="31603" spans="10:10" x14ac:dyDescent="0.3">
      <c r="J31603" s="33"/>
    </row>
    <row r="31604" spans="10:10" x14ac:dyDescent="0.3">
      <c r="J31604" s="33"/>
    </row>
    <row r="31605" spans="10:10" x14ac:dyDescent="0.3">
      <c r="J31605" s="33"/>
    </row>
    <row r="31606" spans="10:10" ht="15" customHeight="1" x14ac:dyDescent="0.3">
      <c r="J31606" s="33"/>
    </row>
    <row r="31607" spans="10:10" x14ac:dyDescent="0.3">
      <c r="J31607" s="33"/>
    </row>
    <row r="31608" spans="10:10" ht="15" customHeight="1" x14ac:dyDescent="0.3">
      <c r="J31608" s="33"/>
    </row>
    <row r="31609" spans="10:10" x14ac:dyDescent="0.3">
      <c r="J31609" s="33"/>
    </row>
    <row r="31610" spans="10:10" ht="15" customHeight="1" x14ac:dyDescent="0.3">
      <c r="J31610" s="33"/>
    </row>
    <row r="31611" spans="10:10" x14ac:dyDescent="0.3">
      <c r="J31611" s="33"/>
    </row>
    <row r="31612" spans="10:10" x14ac:dyDescent="0.3">
      <c r="J31612" s="33"/>
    </row>
    <row r="31613" spans="10:10" x14ac:dyDescent="0.3">
      <c r="J31613" s="33"/>
    </row>
    <row r="31614" spans="10:10" ht="15" customHeight="1" x14ac:dyDescent="0.3">
      <c r="J31614" s="33"/>
    </row>
    <row r="31615" spans="10:10" ht="15" customHeight="1" x14ac:dyDescent="0.3">
      <c r="J31615" s="33"/>
    </row>
    <row r="31616" spans="10:10" x14ac:dyDescent="0.3">
      <c r="J31616" s="33"/>
    </row>
    <row r="31617" spans="10:10" x14ac:dyDescent="0.3">
      <c r="J31617" s="33"/>
    </row>
    <row r="31618" spans="10:10" x14ac:dyDescent="0.3">
      <c r="J31618" s="33"/>
    </row>
    <row r="31619" spans="10:10" x14ac:dyDescent="0.3">
      <c r="J31619" s="33"/>
    </row>
    <row r="31620" spans="10:10" x14ac:dyDescent="0.3">
      <c r="J31620" s="33"/>
    </row>
    <row r="31621" spans="10:10" ht="15" customHeight="1" x14ac:dyDescent="0.3">
      <c r="J31621" s="33"/>
    </row>
    <row r="31622" spans="10:10" ht="15" customHeight="1" x14ac:dyDescent="0.3">
      <c r="J31622" s="33"/>
    </row>
    <row r="31623" spans="10:10" ht="15" customHeight="1" x14ac:dyDescent="0.3">
      <c r="J31623" s="33"/>
    </row>
    <row r="31624" spans="10:10" x14ac:dyDescent="0.3">
      <c r="J31624" s="33"/>
    </row>
    <row r="31625" spans="10:10" ht="15" customHeight="1" x14ac:dyDescent="0.3">
      <c r="J31625" s="33"/>
    </row>
    <row r="31626" spans="10:10" x14ac:dyDescent="0.3">
      <c r="J31626" s="33"/>
    </row>
    <row r="31627" spans="10:10" ht="15" customHeight="1" x14ac:dyDescent="0.3">
      <c r="J31627" s="33"/>
    </row>
    <row r="31628" spans="10:10" x14ac:dyDescent="0.3">
      <c r="J31628" s="33"/>
    </row>
    <row r="31629" spans="10:10" x14ac:dyDescent="0.3">
      <c r="J31629" s="33"/>
    </row>
    <row r="31630" spans="10:10" ht="15" customHeight="1" x14ac:dyDescent="0.3">
      <c r="J31630" s="33"/>
    </row>
    <row r="31631" spans="10:10" x14ac:dyDescent="0.3">
      <c r="J31631" s="33"/>
    </row>
    <row r="31632" spans="10:10" x14ac:dyDescent="0.3">
      <c r="J31632" s="33"/>
    </row>
    <row r="31633" spans="10:10" x14ac:dyDescent="0.3">
      <c r="J31633" s="33"/>
    </row>
    <row r="31634" spans="10:10" ht="15" customHeight="1" x14ac:dyDescent="0.3">
      <c r="J31634" s="33"/>
    </row>
    <row r="31635" spans="10:10" x14ac:dyDescent="0.3">
      <c r="J31635" s="33"/>
    </row>
    <row r="31636" spans="10:10" x14ac:dyDescent="0.3">
      <c r="J31636" s="33"/>
    </row>
    <row r="31637" spans="10:10" x14ac:dyDescent="0.3">
      <c r="J31637" s="33"/>
    </row>
    <row r="31638" spans="10:10" x14ac:dyDescent="0.3">
      <c r="J31638" s="33"/>
    </row>
    <row r="31639" spans="10:10" x14ac:dyDescent="0.3">
      <c r="J31639" s="33"/>
    </row>
    <row r="31640" spans="10:10" ht="15" customHeight="1" x14ac:dyDescent="0.3">
      <c r="J31640" s="33"/>
    </row>
    <row r="31641" spans="10:10" x14ac:dyDescent="0.3">
      <c r="J31641" s="33"/>
    </row>
    <row r="31642" spans="10:10" x14ac:dyDescent="0.3">
      <c r="J31642" s="33"/>
    </row>
    <row r="31643" spans="10:10" x14ac:dyDescent="0.3">
      <c r="J31643" s="33"/>
    </row>
    <row r="31644" spans="10:10" ht="15" customHeight="1" x14ac:dyDescent="0.3">
      <c r="J31644" s="33"/>
    </row>
    <row r="31645" spans="10:10" x14ac:dyDescent="0.3">
      <c r="J31645" s="33"/>
    </row>
    <row r="31646" spans="10:10" ht="15" customHeight="1" x14ac:dyDescent="0.3">
      <c r="J31646" s="33"/>
    </row>
    <row r="31647" spans="10:10" ht="15" customHeight="1" x14ac:dyDescent="0.3">
      <c r="J31647" s="33"/>
    </row>
    <row r="31648" spans="10:10" x14ac:dyDescent="0.3">
      <c r="J31648" s="33"/>
    </row>
    <row r="31649" spans="10:10" x14ac:dyDescent="0.3">
      <c r="J31649" s="33"/>
    </row>
    <row r="31650" spans="10:10" ht="15" customHeight="1" x14ac:dyDescent="0.3">
      <c r="J31650" s="33"/>
    </row>
    <row r="31651" spans="10:10" x14ac:dyDescent="0.3">
      <c r="J31651" s="33"/>
    </row>
    <row r="31652" spans="10:10" ht="15" customHeight="1" x14ac:dyDescent="0.3">
      <c r="J31652" s="33"/>
    </row>
    <row r="31653" spans="10:10" x14ac:dyDescent="0.3">
      <c r="J31653" s="33"/>
    </row>
    <row r="31654" spans="10:10" x14ac:dyDescent="0.3">
      <c r="J31654" s="33"/>
    </row>
    <row r="31655" spans="10:10" x14ac:dyDescent="0.3">
      <c r="J31655" s="33"/>
    </row>
    <row r="31656" spans="10:10" ht="15" customHeight="1" x14ac:dyDescent="0.3">
      <c r="J31656" s="33"/>
    </row>
    <row r="31657" spans="10:10" x14ac:dyDescent="0.3">
      <c r="J31657" s="33"/>
    </row>
    <row r="31658" spans="10:10" ht="15" customHeight="1" x14ac:dyDescent="0.3">
      <c r="J31658" s="33"/>
    </row>
    <row r="31659" spans="10:10" ht="15" customHeight="1" x14ac:dyDescent="0.3">
      <c r="J31659" s="33"/>
    </row>
    <row r="31660" spans="10:10" ht="15" customHeight="1" x14ac:dyDescent="0.3">
      <c r="J31660" s="33"/>
    </row>
    <row r="31661" spans="10:10" x14ac:dyDescent="0.3">
      <c r="J31661" s="33"/>
    </row>
    <row r="31662" spans="10:10" ht="15" customHeight="1" x14ac:dyDescent="0.3">
      <c r="J31662" s="33"/>
    </row>
    <row r="31663" spans="10:10" ht="15" customHeight="1" x14ac:dyDescent="0.3">
      <c r="J31663" s="33"/>
    </row>
    <row r="31664" spans="10:10" x14ac:dyDescent="0.3">
      <c r="J31664" s="33"/>
    </row>
    <row r="31665" spans="10:10" ht="15" customHeight="1" x14ac:dyDescent="0.3">
      <c r="J31665" s="33"/>
    </row>
    <row r="31666" spans="10:10" x14ac:dyDescent="0.3">
      <c r="J31666" s="33"/>
    </row>
    <row r="31667" spans="10:10" x14ac:dyDescent="0.3">
      <c r="J31667" s="33"/>
    </row>
    <row r="31668" spans="10:10" x14ac:dyDescent="0.3">
      <c r="J31668" s="33"/>
    </row>
    <row r="31669" spans="10:10" ht="15" customHeight="1" x14ac:dyDescent="0.3">
      <c r="J31669" s="33"/>
    </row>
    <row r="31670" spans="10:10" x14ac:dyDescent="0.3">
      <c r="J31670" s="33"/>
    </row>
    <row r="31671" spans="10:10" ht="15" customHeight="1" x14ac:dyDescent="0.3">
      <c r="J31671" s="33"/>
    </row>
    <row r="31672" spans="10:10" x14ac:dyDescent="0.3">
      <c r="J31672" s="33"/>
    </row>
    <row r="31673" spans="10:10" x14ac:dyDescent="0.3">
      <c r="J31673" s="33"/>
    </row>
    <row r="31674" spans="10:10" ht="15" customHeight="1" x14ac:dyDescent="0.3">
      <c r="J31674" s="33"/>
    </row>
    <row r="31675" spans="10:10" ht="15" customHeight="1" x14ac:dyDescent="0.3">
      <c r="J31675" s="33"/>
    </row>
    <row r="31676" spans="10:10" x14ac:dyDescent="0.3">
      <c r="J31676" s="33"/>
    </row>
    <row r="31677" spans="10:10" ht="15" customHeight="1" x14ac:dyDescent="0.3">
      <c r="J31677" s="33"/>
    </row>
    <row r="31678" spans="10:10" x14ac:dyDescent="0.3">
      <c r="J31678" s="33"/>
    </row>
    <row r="31679" spans="10:10" ht="15" customHeight="1" x14ac:dyDescent="0.3">
      <c r="J31679" s="33"/>
    </row>
    <row r="31680" spans="10:10" ht="15" customHeight="1" x14ac:dyDescent="0.3">
      <c r="J31680" s="33"/>
    </row>
    <row r="31681" spans="10:10" x14ac:dyDescent="0.3">
      <c r="J31681" s="33"/>
    </row>
    <row r="31682" spans="10:10" ht="15" customHeight="1" x14ac:dyDescent="0.3">
      <c r="J31682" s="33"/>
    </row>
    <row r="31683" spans="10:10" x14ac:dyDescent="0.3">
      <c r="J31683" s="33"/>
    </row>
    <row r="31684" spans="10:10" ht="15" customHeight="1" x14ac:dyDescent="0.3">
      <c r="J31684" s="33"/>
    </row>
    <row r="31685" spans="10:10" ht="15" customHeight="1" x14ac:dyDescent="0.3">
      <c r="J31685" s="33"/>
    </row>
    <row r="31686" spans="10:10" x14ac:dyDescent="0.3">
      <c r="J31686" s="33"/>
    </row>
    <row r="31687" spans="10:10" ht="15" customHeight="1" x14ac:dyDescent="0.3">
      <c r="J31687" s="33"/>
    </row>
    <row r="31688" spans="10:10" x14ac:dyDescent="0.3">
      <c r="J31688" s="33"/>
    </row>
    <row r="31689" spans="10:10" ht="15" customHeight="1" x14ac:dyDescent="0.3">
      <c r="J31689" s="33"/>
    </row>
    <row r="31690" spans="10:10" x14ac:dyDescent="0.3">
      <c r="J31690" s="33"/>
    </row>
    <row r="31691" spans="10:10" ht="15" customHeight="1" x14ac:dyDescent="0.3">
      <c r="J31691" s="33"/>
    </row>
    <row r="31692" spans="10:10" x14ac:dyDescent="0.3">
      <c r="J31692" s="33"/>
    </row>
    <row r="31693" spans="10:10" ht="15" customHeight="1" x14ac:dyDescent="0.3">
      <c r="J31693" s="33"/>
    </row>
    <row r="31694" spans="10:10" ht="15" customHeight="1" x14ac:dyDescent="0.3">
      <c r="J31694" s="33"/>
    </row>
    <row r="31695" spans="10:10" x14ac:dyDescent="0.3">
      <c r="J31695" s="33"/>
    </row>
    <row r="31696" spans="10:10" x14ac:dyDescent="0.3">
      <c r="J31696" s="33"/>
    </row>
    <row r="31697" spans="10:10" x14ac:dyDescent="0.3">
      <c r="J31697" s="33"/>
    </row>
    <row r="31698" spans="10:10" x14ac:dyDescent="0.3">
      <c r="J31698" s="33"/>
    </row>
    <row r="31699" spans="10:10" x14ac:dyDescent="0.3">
      <c r="J31699" s="33"/>
    </row>
    <row r="31700" spans="10:10" x14ac:dyDescent="0.3">
      <c r="J31700" s="33"/>
    </row>
    <row r="31701" spans="10:10" x14ac:dyDescent="0.3">
      <c r="J31701" s="33"/>
    </row>
    <row r="31702" spans="10:10" x14ac:dyDescent="0.3">
      <c r="J31702" s="33"/>
    </row>
    <row r="31703" spans="10:10" ht="15" customHeight="1" x14ac:dyDescent="0.3">
      <c r="J31703" s="33"/>
    </row>
    <row r="31704" spans="10:10" ht="15" customHeight="1" x14ac:dyDescent="0.3">
      <c r="J31704" s="33"/>
    </row>
    <row r="31705" spans="10:10" x14ac:dyDescent="0.3">
      <c r="J31705" s="33"/>
    </row>
    <row r="31706" spans="10:10" ht="15" customHeight="1" x14ac:dyDescent="0.3">
      <c r="J31706" s="33"/>
    </row>
    <row r="31707" spans="10:10" ht="15" customHeight="1" x14ac:dyDescent="0.3">
      <c r="J31707" s="33"/>
    </row>
    <row r="31708" spans="10:10" ht="15" customHeight="1" x14ac:dyDescent="0.3">
      <c r="J31708" s="33"/>
    </row>
    <row r="31709" spans="10:10" ht="15" customHeight="1" x14ac:dyDescent="0.3">
      <c r="J31709" s="33"/>
    </row>
    <row r="31710" spans="10:10" x14ac:dyDescent="0.3">
      <c r="J31710" s="33"/>
    </row>
    <row r="31711" spans="10:10" ht="15" customHeight="1" x14ac:dyDescent="0.3">
      <c r="J31711" s="33"/>
    </row>
    <row r="31712" spans="10:10" x14ac:dyDescent="0.3">
      <c r="J31712" s="33"/>
    </row>
    <row r="31713" spans="10:10" x14ac:dyDescent="0.3">
      <c r="J31713" s="33"/>
    </row>
    <row r="31714" spans="10:10" x14ac:dyDescent="0.3">
      <c r="J31714" s="33"/>
    </row>
    <row r="31715" spans="10:10" x14ac:dyDescent="0.3">
      <c r="J31715" s="33"/>
    </row>
    <row r="31716" spans="10:10" ht="15" customHeight="1" x14ac:dyDescent="0.3">
      <c r="J31716" s="33"/>
    </row>
    <row r="31717" spans="10:10" ht="15" customHeight="1" x14ac:dyDescent="0.3">
      <c r="J31717" s="33"/>
    </row>
    <row r="31718" spans="10:10" x14ac:dyDescent="0.3">
      <c r="J31718" s="33"/>
    </row>
    <row r="31719" spans="10:10" ht="15" customHeight="1" x14ac:dyDescent="0.3">
      <c r="J31719" s="33"/>
    </row>
    <row r="31720" spans="10:10" x14ac:dyDescent="0.3">
      <c r="J31720" s="33"/>
    </row>
    <row r="31721" spans="10:10" ht="15" customHeight="1" x14ac:dyDescent="0.3">
      <c r="J31721" s="33"/>
    </row>
    <row r="31722" spans="10:10" x14ac:dyDescent="0.3">
      <c r="J31722" s="33"/>
    </row>
    <row r="31723" spans="10:10" x14ac:dyDescent="0.3">
      <c r="J31723" s="33"/>
    </row>
    <row r="31724" spans="10:10" ht="15" customHeight="1" x14ac:dyDescent="0.3">
      <c r="J31724" s="33"/>
    </row>
    <row r="31725" spans="10:10" x14ac:dyDescent="0.3">
      <c r="J31725" s="33"/>
    </row>
    <row r="31726" spans="10:10" x14ac:dyDescent="0.3">
      <c r="J31726" s="33"/>
    </row>
    <row r="31727" spans="10:10" x14ac:dyDescent="0.3">
      <c r="J31727" s="33"/>
    </row>
    <row r="31728" spans="10:10" ht="15" customHeight="1" x14ac:dyDescent="0.3">
      <c r="J31728" s="33"/>
    </row>
    <row r="31729" spans="10:10" x14ac:dyDescent="0.3">
      <c r="J31729" s="33"/>
    </row>
    <row r="31730" spans="10:10" x14ac:dyDescent="0.3">
      <c r="J31730" s="33"/>
    </row>
    <row r="31731" spans="10:10" ht="15" customHeight="1" x14ac:dyDescent="0.3">
      <c r="J31731" s="33"/>
    </row>
    <row r="31732" spans="10:10" ht="15" customHeight="1" x14ac:dyDescent="0.3">
      <c r="J31732" s="33"/>
    </row>
    <row r="31733" spans="10:10" ht="15" customHeight="1" x14ac:dyDescent="0.3">
      <c r="J31733" s="33"/>
    </row>
    <row r="31734" spans="10:10" ht="15" customHeight="1" x14ac:dyDescent="0.3">
      <c r="J31734" s="33"/>
    </row>
    <row r="31735" spans="10:10" x14ac:dyDescent="0.3">
      <c r="J31735" s="33"/>
    </row>
    <row r="31736" spans="10:10" x14ac:dyDescent="0.3">
      <c r="J31736" s="33"/>
    </row>
    <row r="31737" spans="10:10" ht="15" customHeight="1" x14ac:dyDescent="0.3">
      <c r="J31737" s="33"/>
    </row>
    <row r="31738" spans="10:10" ht="15" customHeight="1" x14ac:dyDescent="0.3">
      <c r="J31738" s="33"/>
    </row>
    <row r="31739" spans="10:10" x14ac:dyDescent="0.3">
      <c r="J31739" s="33"/>
    </row>
    <row r="31740" spans="10:10" ht="15" customHeight="1" x14ac:dyDescent="0.3">
      <c r="J31740" s="33"/>
    </row>
    <row r="31741" spans="10:10" x14ac:dyDescent="0.3">
      <c r="J31741" s="33"/>
    </row>
    <row r="31742" spans="10:10" ht="15" customHeight="1" x14ac:dyDescent="0.3">
      <c r="J31742" s="33"/>
    </row>
    <row r="31743" spans="10:10" ht="15" customHeight="1" x14ac:dyDescent="0.3">
      <c r="J31743" s="33"/>
    </row>
    <row r="31744" spans="10:10" x14ac:dyDescent="0.3">
      <c r="J31744" s="33"/>
    </row>
    <row r="31745" spans="10:10" x14ac:dyDescent="0.3">
      <c r="J31745" s="33"/>
    </row>
    <row r="31746" spans="10:10" ht="15" customHeight="1" x14ac:dyDescent="0.3">
      <c r="J31746" s="33"/>
    </row>
    <row r="31747" spans="10:10" x14ac:dyDescent="0.3">
      <c r="J31747" s="33"/>
    </row>
    <row r="31748" spans="10:10" x14ac:dyDescent="0.3">
      <c r="J31748" s="33"/>
    </row>
    <row r="31749" spans="10:10" ht="15" customHeight="1" x14ac:dyDescent="0.3">
      <c r="J31749" s="33"/>
    </row>
    <row r="31750" spans="10:10" ht="15" customHeight="1" x14ac:dyDescent="0.3">
      <c r="J31750" s="33"/>
    </row>
    <row r="31751" spans="10:10" x14ac:dyDescent="0.3">
      <c r="J31751" s="33"/>
    </row>
    <row r="31752" spans="10:10" ht="15" customHeight="1" x14ac:dyDescent="0.3">
      <c r="J31752" s="33"/>
    </row>
    <row r="31753" spans="10:10" x14ac:dyDescent="0.3">
      <c r="J31753" s="33"/>
    </row>
    <row r="31754" spans="10:10" x14ac:dyDescent="0.3">
      <c r="J31754" s="33"/>
    </row>
    <row r="31755" spans="10:10" ht="15" customHeight="1" x14ac:dyDescent="0.3">
      <c r="J31755" s="33"/>
    </row>
    <row r="31756" spans="10:10" x14ac:dyDescent="0.3">
      <c r="J31756" s="33"/>
    </row>
    <row r="31757" spans="10:10" ht="15" customHeight="1" x14ac:dyDescent="0.3">
      <c r="J31757" s="33"/>
    </row>
    <row r="31758" spans="10:10" ht="15" customHeight="1" x14ac:dyDescent="0.3">
      <c r="J31758" s="33"/>
    </row>
    <row r="31759" spans="10:10" x14ac:dyDescent="0.3">
      <c r="J31759" s="33"/>
    </row>
    <row r="31760" spans="10:10" x14ac:dyDescent="0.3">
      <c r="J31760" s="33"/>
    </row>
    <row r="31761" spans="10:10" x14ac:dyDescent="0.3">
      <c r="J31761" s="33"/>
    </row>
    <row r="31762" spans="10:10" x14ac:dyDescent="0.3">
      <c r="J31762" s="33"/>
    </row>
    <row r="31763" spans="10:10" x14ac:dyDescent="0.3">
      <c r="J31763" s="33"/>
    </row>
    <row r="31764" spans="10:10" ht="15" customHeight="1" x14ac:dyDescent="0.3">
      <c r="J31764" s="33"/>
    </row>
    <row r="31765" spans="10:10" x14ac:dyDescent="0.3">
      <c r="J31765" s="33"/>
    </row>
    <row r="31766" spans="10:10" ht="15" customHeight="1" x14ac:dyDescent="0.3">
      <c r="J31766" s="33"/>
    </row>
    <row r="31767" spans="10:10" ht="15" customHeight="1" x14ac:dyDescent="0.3">
      <c r="J31767" s="33"/>
    </row>
    <row r="31768" spans="10:10" ht="15" customHeight="1" x14ac:dyDescent="0.3">
      <c r="J31768" s="33"/>
    </row>
    <row r="31769" spans="10:10" x14ac:dyDescent="0.3">
      <c r="J31769" s="33"/>
    </row>
    <row r="31770" spans="10:10" ht="15" customHeight="1" x14ac:dyDescent="0.3">
      <c r="J31770" s="33"/>
    </row>
    <row r="31771" spans="10:10" ht="15" customHeight="1" x14ac:dyDescent="0.3">
      <c r="J31771" s="33"/>
    </row>
    <row r="31772" spans="10:10" ht="15" customHeight="1" x14ac:dyDescent="0.3">
      <c r="J31772" s="33"/>
    </row>
    <row r="31773" spans="10:10" x14ac:dyDescent="0.3">
      <c r="J31773" s="33"/>
    </row>
    <row r="31774" spans="10:10" ht="15" customHeight="1" x14ac:dyDescent="0.3">
      <c r="J31774" s="33"/>
    </row>
    <row r="31775" spans="10:10" x14ac:dyDescent="0.3">
      <c r="J31775" s="33"/>
    </row>
    <row r="31776" spans="10:10" x14ac:dyDescent="0.3">
      <c r="J31776" s="33"/>
    </row>
    <row r="31777" spans="10:10" ht="15" customHeight="1" x14ac:dyDescent="0.3">
      <c r="J31777" s="33"/>
    </row>
    <row r="31778" spans="10:10" ht="15" customHeight="1" x14ac:dyDescent="0.3">
      <c r="J31778" s="33"/>
    </row>
    <row r="31779" spans="10:10" x14ac:dyDescent="0.3">
      <c r="J31779" s="33"/>
    </row>
    <row r="31780" spans="10:10" x14ac:dyDescent="0.3">
      <c r="J31780" s="33"/>
    </row>
    <row r="31781" spans="10:10" ht="15" customHeight="1" x14ac:dyDescent="0.3">
      <c r="J31781" s="33"/>
    </row>
    <row r="31782" spans="10:10" x14ac:dyDescent="0.3">
      <c r="J31782" s="33"/>
    </row>
    <row r="31783" spans="10:10" x14ac:dyDescent="0.3">
      <c r="J31783" s="33"/>
    </row>
    <row r="31784" spans="10:10" x14ac:dyDescent="0.3">
      <c r="J31784" s="33"/>
    </row>
    <row r="31785" spans="10:10" x14ac:dyDescent="0.3">
      <c r="J31785" s="33"/>
    </row>
    <row r="31786" spans="10:10" ht="15" customHeight="1" x14ac:dyDescent="0.3">
      <c r="J31786" s="33"/>
    </row>
    <row r="31787" spans="10:10" x14ac:dyDescent="0.3">
      <c r="J31787" s="33"/>
    </row>
    <row r="31788" spans="10:10" x14ac:dyDescent="0.3">
      <c r="J31788" s="33"/>
    </row>
    <row r="31789" spans="10:10" ht="15" customHeight="1" x14ac:dyDescent="0.3">
      <c r="J31789" s="33"/>
    </row>
    <row r="31790" spans="10:10" x14ac:dyDescent="0.3">
      <c r="J31790" s="33"/>
    </row>
    <row r="31791" spans="10:10" ht="15" customHeight="1" x14ac:dyDescent="0.3">
      <c r="J31791" s="33"/>
    </row>
    <row r="31792" spans="10:10" ht="15" customHeight="1" x14ac:dyDescent="0.3">
      <c r="J31792" s="33"/>
    </row>
    <row r="31793" spans="10:10" x14ac:dyDescent="0.3">
      <c r="J31793" s="33"/>
    </row>
    <row r="31794" spans="10:10" ht="15" customHeight="1" x14ac:dyDescent="0.3">
      <c r="J31794" s="33"/>
    </row>
    <row r="31795" spans="10:10" x14ac:dyDescent="0.3">
      <c r="J31795" s="33"/>
    </row>
    <row r="31796" spans="10:10" ht="15" customHeight="1" x14ac:dyDescent="0.3">
      <c r="J31796" s="33"/>
    </row>
    <row r="31797" spans="10:10" x14ac:dyDescent="0.3">
      <c r="J31797" s="33"/>
    </row>
    <row r="31798" spans="10:10" x14ac:dyDescent="0.3">
      <c r="J31798" s="33"/>
    </row>
    <row r="31799" spans="10:10" x14ac:dyDescent="0.3">
      <c r="J31799" s="33"/>
    </row>
    <row r="31800" spans="10:10" x14ac:dyDescent="0.3">
      <c r="J31800" s="33"/>
    </row>
    <row r="31801" spans="10:10" x14ac:dyDescent="0.3">
      <c r="J31801" s="33"/>
    </row>
    <row r="31802" spans="10:10" x14ac:dyDescent="0.3">
      <c r="J31802" s="33"/>
    </row>
    <row r="31803" spans="10:10" ht="15" customHeight="1" x14ac:dyDescent="0.3">
      <c r="J31803" s="33"/>
    </row>
    <row r="31804" spans="10:10" ht="15" customHeight="1" x14ac:dyDescent="0.3">
      <c r="J31804" s="33"/>
    </row>
    <row r="31805" spans="10:10" ht="15" customHeight="1" x14ac:dyDescent="0.3">
      <c r="J31805" s="33"/>
    </row>
    <row r="31806" spans="10:10" x14ac:dyDescent="0.3">
      <c r="J31806" s="33"/>
    </row>
    <row r="31807" spans="10:10" x14ac:dyDescent="0.3">
      <c r="J31807" s="33"/>
    </row>
    <row r="31808" spans="10:10" x14ac:dyDescent="0.3">
      <c r="J31808" s="33"/>
    </row>
    <row r="31809" spans="10:10" ht="15" customHeight="1" x14ac:dyDescent="0.3">
      <c r="J31809" s="33"/>
    </row>
    <row r="31810" spans="10:10" x14ac:dyDescent="0.3">
      <c r="J31810" s="33"/>
    </row>
    <row r="31811" spans="10:10" ht="15" customHeight="1" x14ac:dyDescent="0.3">
      <c r="J31811" s="33"/>
    </row>
    <row r="31812" spans="10:10" ht="15" customHeight="1" x14ac:dyDescent="0.3">
      <c r="J31812" s="33"/>
    </row>
    <row r="31813" spans="10:10" ht="15" customHeight="1" x14ac:dyDescent="0.3">
      <c r="J31813" s="33"/>
    </row>
    <row r="31814" spans="10:10" ht="15" customHeight="1" x14ac:dyDescent="0.3">
      <c r="J31814" s="33"/>
    </row>
    <row r="31815" spans="10:10" x14ac:dyDescent="0.3">
      <c r="J31815" s="33"/>
    </row>
    <row r="31816" spans="10:10" x14ac:dyDescent="0.3">
      <c r="J31816" s="33"/>
    </row>
    <row r="31817" spans="10:10" x14ac:dyDescent="0.3">
      <c r="J31817" s="33"/>
    </row>
    <row r="31818" spans="10:10" ht="15" customHeight="1" x14ac:dyDescent="0.3">
      <c r="J31818" s="33"/>
    </row>
    <row r="31819" spans="10:10" ht="15" customHeight="1" x14ac:dyDescent="0.3">
      <c r="J31819" s="33"/>
    </row>
    <row r="31820" spans="10:10" x14ac:dyDescent="0.3">
      <c r="J31820" s="33"/>
    </row>
    <row r="31821" spans="10:10" x14ac:dyDescent="0.3">
      <c r="J31821" s="33"/>
    </row>
    <row r="31822" spans="10:10" x14ac:dyDescent="0.3">
      <c r="J31822" s="33"/>
    </row>
    <row r="31823" spans="10:10" x14ac:dyDescent="0.3">
      <c r="J31823" s="33"/>
    </row>
    <row r="31824" spans="10:10" x14ac:dyDescent="0.3">
      <c r="J31824" s="33"/>
    </row>
    <row r="31825" spans="10:10" x14ac:dyDescent="0.3">
      <c r="J31825" s="33"/>
    </row>
    <row r="31826" spans="10:10" ht="15" customHeight="1" x14ac:dyDescent="0.3">
      <c r="J31826" s="33"/>
    </row>
    <row r="31827" spans="10:10" ht="15" customHeight="1" x14ac:dyDescent="0.3">
      <c r="J31827" s="33"/>
    </row>
    <row r="31828" spans="10:10" ht="15" customHeight="1" x14ac:dyDescent="0.3">
      <c r="J31828" s="33"/>
    </row>
    <row r="31829" spans="10:10" ht="15" customHeight="1" x14ac:dyDescent="0.3">
      <c r="J31829" s="33"/>
    </row>
    <row r="31830" spans="10:10" ht="15" customHeight="1" x14ac:dyDescent="0.3">
      <c r="J31830" s="33"/>
    </row>
    <row r="31831" spans="10:10" ht="15" customHeight="1" x14ac:dyDescent="0.3">
      <c r="J31831" s="33"/>
    </row>
    <row r="31832" spans="10:10" ht="15" customHeight="1" x14ac:dyDescent="0.3">
      <c r="J31832" s="33"/>
    </row>
    <row r="31833" spans="10:10" x14ac:dyDescent="0.3">
      <c r="J31833" s="33"/>
    </row>
    <row r="31834" spans="10:10" ht="15" customHeight="1" x14ac:dyDescent="0.3">
      <c r="J31834" s="33"/>
    </row>
    <row r="31835" spans="10:10" ht="15" customHeight="1" x14ac:dyDescent="0.3">
      <c r="J31835" s="33"/>
    </row>
    <row r="31836" spans="10:10" x14ac:dyDescent="0.3">
      <c r="J31836" s="33"/>
    </row>
    <row r="31837" spans="10:10" x14ac:dyDescent="0.3">
      <c r="J31837" s="33"/>
    </row>
    <row r="31838" spans="10:10" ht="15" customHeight="1" x14ac:dyDescent="0.3">
      <c r="J31838" s="33"/>
    </row>
    <row r="31839" spans="10:10" x14ac:dyDescent="0.3">
      <c r="J31839" s="33"/>
    </row>
    <row r="31840" spans="10:10" ht="15" customHeight="1" x14ac:dyDescent="0.3">
      <c r="J31840" s="33"/>
    </row>
    <row r="31841" spans="10:10" ht="15" customHeight="1" x14ac:dyDescent="0.3">
      <c r="J31841" s="33"/>
    </row>
    <row r="31842" spans="10:10" ht="15" customHeight="1" x14ac:dyDescent="0.3">
      <c r="J31842" s="33"/>
    </row>
    <row r="31843" spans="10:10" ht="15" customHeight="1" x14ac:dyDescent="0.3">
      <c r="J31843" s="33"/>
    </row>
    <row r="31844" spans="10:10" ht="15" customHeight="1" x14ac:dyDescent="0.3">
      <c r="J31844" s="33"/>
    </row>
    <row r="31845" spans="10:10" ht="15" customHeight="1" x14ac:dyDescent="0.3">
      <c r="J31845" s="33"/>
    </row>
    <row r="31846" spans="10:10" x14ac:dyDescent="0.3">
      <c r="J31846" s="33"/>
    </row>
    <row r="31847" spans="10:10" x14ac:dyDescent="0.3">
      <c r="J31847" s="33"/>
    </row>
    <row r="31848" spans="10:10" x14ac:dyDescent="0.3">
      <c r="J31848" s="33"/>
    </row>
    <row r="31849" spans="10:10" ht="15" customHeight="1" x14ac:dyDescent="0.3">
      <c r="J31849" s="33"/>
    </row>
    <row r="31850" spans="10:10" ht="15" customHeight="1" x14ac:dyDescent="0.3">
      <c r="J31850" s="33"/>
    </row>
    <row r="31851" spans="10:10" ht="15" customHeight="1" x14ac:dyDescent="0.3">
      <c r="J31851" s="33"/>
    </row>
    <row r="31852" spans="10:10" x14ac:dyDescent="0.3">
      <c r="J31852" s="33"/>
    </row>
    <row r="31853" spans="10:10" ht="15" customHeight="1" x14ac:dyDescent="0.3">
      <c r="J31853" s="33"/>
    </row>
    <row r="31854" spans="10:10" ht="15" customHeight="1" x14ac:dyDescent="0.3">
      <c r="J31854" s="33"/>
    </row>
    <row r="31855" spans="10:10" x14ac:dyDescent="0.3">
      <c r="J31855" s="33"/>
    </row>
    <row r="31856" spans="10:10" x14ac:dyDescent="0.3">
      <c r="J31856" s="33"/>
    </row>
    <row r="31857" spans="10:10" x14ac:dyDescent="0.3">
      <c r="J31857" s="33"/>
    </row>
    <row r="31858" spans="10:10" ht="15" customHeight="1" x14ac:dyDescent="0.3">
      <c r="J31858" s="33"/>
    </row>
    <row r="31859" spans="10:10" ht="15" customHeight="1" x14ac:dyDescent="0.3">
      <c r="J31859" s="33"/>
    </row>
    <row r="31860" spans="10:10" x14ac:dyDescent="0.3">
      <c r="J31860" s="33"/>
    </row>
    <row r="31861" spans="10:10" ht="15" customHeight="1" x14ac:dyDescent="0.3">
      <c r="J31861" s="33"/>
    </row>
    <row r="31862" spans="10:10" ht="15" customHeight="1" x14ac:dyDescent="0.3">
      <c r="J31862" s="33"/>
    </row>
    <row r="31863" spans="10:10" x14ac:dyDescent="0.3">
      <c r="J31863" s="33"/>
    </row>
    <row r="31864" spans="10:10" x14ac:dyDescent="0.3">
      <c r="J31864" s="33"/>
    </row>
    <row r="31865" spans="10:10" ht="15" customHeight="1" x14ac:dyDescent="0.3">
      <c r="J31865" s="33"/>
    </row>
    <row r="31866" spans="10:10" ht="15" customHeight="1" x14ac:dyDescent="0.3">
      <c r="J31866" s="33"/>
    </row>
    <row r="31867" spans="10:10" ht="15" customHeight="1" x14ac:dyDescent="0.3">
      <c r="J31867" s="33"/>
    </row>
    <row r="31868" spans="10:10" ht="15" customHeight="1" x14ac:dyDescent="0.3">
      <c r="J31868" s="33"/>
    </row>
    <row r="31869" spans="10:10" ht="15" customHeight="1" x14ac:dyDescent="0.3">
      <c r="J31869" s="33"/>
    </row>
    <row r="31870" spans="10:10" ht="15" customHeight="1" x14ac:dyDescent="0.3">
      <c r="J31870" s="33"/>
    </row>
    <row r="31871" spans="10:10" x14ac:dyDescent="0.3">
      <c r="J31871" s="33"/>
    </row>
    <row r="31872" spans="10:10" x14ac:dyDescent="0.3">
      <c r="J31872" s="33"/>
    </row>
    <row r="31873" spans="10:10" x14ac:dyDescent="0.3">
      <c r="J31873" s="33"/>
    </row>
    <row r="31874" spans="10:10" x14ac:dyDescent="0.3">
      <c r="J31874" s="33"/>
    </row>
    <row r="31875" spans="10:10" x14ac:dyDescent="0.3">
      <c r="J31875" s="33"/>
    </row>
    <row r="31876" spans="10:10" x14ac:dyDescent="0.3">
      <c r="J31876" s="33"/>
    </row>
    <row r="31877" spans="10:10" x14ac:dyDescent="0.3">
      <c r="J31877" s="33"/>
    </row>
    <row r="31878" spans="10:10" x14ac:dyDescent="0.3">
      <c r="J31878" s="33"/>
    </row>
    <row r="31879" spans="10:10" x14ac:dyDescent="0.3">
      <c r="J31879" s="33"/>
    </row>
    <row r="31880" spans="10:10" ht="15" customHeight="1" x14ac:dyDescent="0.3">
      <c r="J31880" s="33"/>
    </row>
    <row r="31881" spans="10:10" x14ac:dyDescent="0.3">
      <c r="J31881" s="33"/>
    </row>
    <row r="31882" spans="10:10" x14ac:dyDescent="0.3">
      <c r="J31882" s="33"/>
    </row>
    <row r="31883" spans="10:10" x14ac:dyDescent="0.3">
      <c r="J31883" s="33"/>
    </row>
    <row r="31884" spans="10:10" ht="15" customHeight="1" x14ac:dyDescent="0.3">
      <c r="J31884" s="33"/>
    </row>
    <row r="31885" spans="10:10" x14ac:dyDescent="0.3">
      <c r="J31885" s="33"/>
    </row>
    <row r="31886" spans="10:10" ht="15" customHeight="1" x14ac:dyDescent="0.3">
      <c r="J31886" s="33"/>
    </row>
    <row r="31887" spans="10:10" ht="15" customHeight="1" x14ac:dyDescent="0.3">
      <c r="J31887" s="33"/>
    </row>
    <row r="31888" spans="10:10" ht="15" customHeight="1" x14ac:dyDescent="0.3">
      <c r="J31888" s="33"/>
    </row>
    <row r="31889" spans="10:10" ht="15" customHeight="1" x14ac:dyDescent="0.3">
      <c r="J31889" s="33"/>
    </row>
    <row r="31890" spans="10:10" ht="15" customHeight="1" x14ac:dyDescent="0.3">
      <c r="J31890" s="33"/>
    </row>
    <row r="31891" spans="10:10" x14ac:dyDescent="0.3">
      <c r="J31891" s="33"/>
    </row>
    <row r="31892" spans="10:10" ht="15" customHeight="1" x14ac:dyDescent="0.3">
      <c r="J31892" s="33"/>
    </row>
    <row r="31893" spans="10:10" x14ac:dyDescent="0.3">
      <c r="J31893" s="33"/>
    </row>
    <row r="31894" spans="10:10" x14ac:dyDescent="0.3">
      <c r="J31894" s="33"/>
    </row>
    <row r="31895" spans="10:10" ht="15" customHeight="1" x14ac:dyDescent="0.3">
      <c r="J31895" s="33"/>
    </row>
    <row r="31896" spans="10:10" x14ac:dyDescent="0.3">
      <c r="J31896" s="33"/>
    </row>
    <row r="31897" spans="10:10" ht="15" customHeight="1" x14ac:dyDescent="0.3">
      <c r="J31897" s="33"/>
    </row>
    <row r="31898" spans="10:10" ht="15" customHeight="1" x14ac:dyDescent="0.3">
      <c r="J31898" s="33"/>
    </row>
    <row r="31899" spans="10:10" x14ac:dyDescent="0.3">
      <c r="J31899" s="33"/>
    </row>
    <row r="31900" spans="10:10" x14ac:dyDescent="0.3">
      <c r="J31900" s="33"/>
    </row>
    <row r="31901" spans="10:10" x14ac:dyDescent="0.3">
      <c r="J31901" s="33"/>
    </row>
    <row r="31902" spans="10:10" ht="15" customHeight="1" x14ac:dyDescent="0.3">
      <c r="J31902" s="33"/>
    </row>
    <row r="31903" spans="10:10" ht="15" customHeight="1" x14ac:dyDescent="0.3">
      <c r="J31903" s="33"/>
    </row>
    <row r="31904" spans="10:10" x14ac:dyDescent="0.3">
      <c r="J31904" s="33"/>
    </row>
    <row r="31905" spans="10:10" x14ac:dyDescent="0.3">
      <c r="J31905" s="33"/>
    </row>
    <row r="31906" spans="10:10" x14ac:dyDescent="0.3">
      <c r="J31906" s="33"/>
    </row>
    <row r="31907" spans="10:10" ht="15" customHeight="1" x14ac:dyDescent="0.3">
      <c r="J31907" s="33"/>
    </row>
    <row r="31908" spans="10:10" ht="15" customHeight="1" x14ac:dyDescent="0.3">
      <c r="J31908" s="33"/>
    </row>
    <row r="31909" spans="10:10" ht="15" customHeight="1" x14ac:dyDescent="0.3">
      <c r="J31909" s="33"/>
    </row>
    <row r="31910" spans="10:10" ht="15" customHeight="1" x14ac:dyDescent="0.3">
      <c r="J31910" s="33"/>
    </row>
    <row r="31911" spans="10:10" ht="15" customHeight="1" x14ac:dyDescent="0.3">
      <c r="J31911" s="33"/>
    </row>
    <row r="31912" spans="10:10" ht="15" customHeight="1" x14ac:dyDescent="0.3">
      <c r="J31912" s="33"/>
    </row>
    <row r="31913" spans="10:10" ht="15" customHeight="1" x14ac:dyDescent="0.3">
      <c r="J31913" s="33"/>
    </row>
    <row r="31914" spans="10:10" ht="15" customHeight="1" x14ac:dyDescent="0.3">
      <c r="J31914" s="33"/>
    </row>
    <row r="31915" spans="10:10" ht="15" customHeight="1" x14ac:dyDescent="0.3">
      <c r="J31915" s="33"/>
    </row>
    <row r="31916" spans="10:10" ht="15" customHeight="1" x14ac:dyDescent="0.3">
      <c r="J31916" s="33"/>
    </row>
    <row r="31917" spans="10:10" ht="15" customHeight="1" x14ac:dyDescent="0.3">
      <c r="J31917" s="33"/>
    </row>
    <row r="31918" spans="10:10" x14ac:dyDescent="0.3">
      <c r="J31918" s="33"/>
    </row>
    <row r="31919" spans="10:10" x14ac:dyDescent="0.3">
      <c r="J31919" s="33"/>
    </row>
    <row r="31920" spans="10:10" x14ac:dyDescent="0.3">
      <c r="J31920" s="33"/>
    </row>
    <row r="31921" spans="10:10" ht="15" customHeight="1" x14ac:dyDescent="0.3">
      <c r="J31921" s="33"/>
    </row>
    <row r="31922" spans="10:10" ht="15" customHeight="1" x14ac:dyDescent="0.3">
      <c r="J31922" s="33"/>
    </row>
    <row r="31923" spans="10:10" ht="15" customHeight="1" x14ac:dyDescent="0.3">
      <c r="J31923" s="33"/>
    </row>
    <row r="31924" spans="10:10" ht="15" customHeight="1" x14ac:dyDescent="0.3">
      <c r="J31924" s="33"/>
    </row>
    <row r="31925" spans="10:10" ht="15" customHeight="1" x14ac:dyDescent="0.3">
      <c r="J31925" s="33"/>
    </row>
    <row r="31926" spans="10:10" ht="15" customHeight="1" x14ac:dyDescent="0.3">
      <c r="J31926" s="33"/>
    </row>
    <row r="31927" spans="10:10" ht="15" customHeight="1" x14ac:dyDescent="0.3">
      <c r="J31927" s="33"/>
    </row>
    <row r="31928" spans="10:10" x14ac:dyDescent="0.3">
      <c r="J31928" s="33"/>
    </row>
    <row r="31929" spans="10:10" ht="15" customHeight="1" x14ac:dyDescent="0.3">
      <c r="J31929" s="33"/>
    </row>
    <row r="31930" spans="10:10" ht="15" customHeight="1" x14ac:dyDescent="0.3">
      <c r="J31930" s="33"/>
    </row>
    <row r="31931" spans="10:10" x14ac:dyDescent="0.3">
      <c r="J31931" s="33"/>
    </row>
    <row r="31932" spans="10:10" ht="15" customHeight="1" x14ac:dyDescent="0.3">
      <c r="J31932" s="33"/>
    </row>
    <row r="31933" spans="10:10" ht="15" customHeight="1" x14ac:dyDescent="0.3">
      <c r="J31933" s="33"/>
    </row>
    <row r="31934" spans="10:10" x14ac:dyDescent="0.3">
      <c r="J31934" s="33"/>
    </row>
    <row r="31935" spans="10:10" ht="15" customHeight="1" x14ac:dyDescent="0.3">
      <c r="J31935" s="33"/>
    </row>
    <row r="31936" spans="10:10" ht="15" customHeight="1" x14ac:dyDescent="0.3">
      <c r="J31936" s="33"/>
    </row>
    <row r="31937" spans="10:10" ht="15" customHeight="1" x14ac:dyDescent="0.3">
      <c r="J31937" s="33"/>
    </row>
    <row r="31938" spans="10:10" x14ac:dyDescent="0.3">
      <c r="J31938" s="33"/>
    </row>
    <row r="31939" spans="10:10" x14ac:dyDescent="0.3">
      <c r="J31939" s="33"/>
    </row>
    <row r="31940" spans="10:10" ht="15" customHeight="1" x14ac:dyDescent="0.3">
      <c r="J31940" s="33"/>
    </row>
    <row r="31941" spans="10:10" ht="15" customHeight="1" x14ac:dyDescent="0.3">
      <c r="J31941" s="33"/>
    </row>
    <row r="31942" spans="10:10" x14ac:dyDescent="0.3">
      <c r="J31942" s="33"/>
    </row>
    <row r="31943" spans="10:10" x14ac:dyDescent="0.3">
      <c r="J31943" s="33"/>
    </row>
    <row r="31944" spans="10:10" x14ac:dyDescent="0.3">
      <c r="J31944" s="33"/>
    </row>
    <row r="31945" spans="10:10" ht="15" customHeight="1" x14ac:dyDescent="0.3">
      <c r="J31945" s="33"/>
    </row>
    <row r="31946" spans="10:10" x14ac:dyDescent="0.3">
      <c r="J31946" s="33"/>
    </row>
    <row r="31947" spans="10:10" x14ac:dyDescent="0.3">
      <c r="J31947" s="33"/>
    </row>
    <row r="31948" spans="10:10" ht="15" customHeight="1" x14ac:dyDescent="0.3">
      <c r="J31948" s="33"/>
    </row>
    <row r="31949" spans="10:10" x14ac:dyDescent="0.3">
      <c r="J31949" s="33"/>
    </row>
    <row r="31950" spans="10:10" ht="15" customHeight="1" x14ac:dyDescent="0.3">
      <c r="J31950" s="33"/>
    </row>
    <row r="31951" spans="10:10" ht="15" customHeight="1" x14ac:dyDescent="0.3">
      <c r="J31951" s="33"/>
    </row>
    <row r="31952" spans="10:10" x14ac:dyDescent="0.3">
      <c r="J31952" s="33"/>
    </row>
    <row r="31953" spans="10:10" x14ac:dyDescent="0.3">
      <c r="J31953" s="33"/>
    </row>
    <row r="31954" spans="10:10" x14ac:dyDescent="0.3">
      <c r="J31954" s="33"/>
    </row>
    <row r="31955" spans="10:10" ht="15" customHeight="1" x14ac:dyDescent="0.3">
      <c r="J31955" s="33"/>
    </row>
    <row r="31956" spans="10:10" x14ac:dyDescent="0.3">
      <c r="J31956" s="33"/>
    </row>
    <row r="31957" spans="10:10" ht="15" customHeight="1" x14ac:dyDescent="0.3">
      <c r="J31957" s="33"/>
    </row>
    <row r="31958" spans="10:10" ht="15" customHeight="1" x14ac:dyDescent="0.3">
      <c r="J31958" s="33"/>
    </row>
    <row r="31959" spans="10:10" ht="15" customHeight="1" x14ac:dyDescent="0.3">
      <c r="J31959" s="33"/>
    </row>
    <row r="31960" spans="10:10" ht="15" customHeight="1" x14ac:dyDescent="0.3">
      <c r="J31960" s="33"/>
    </row>
    <row r="31961" spans="10:10" x14ac:dyDescent="0.3">
      <c r="J31961" s="33"/>
    </row>
    <row r="31962" spans="10:10" ht="15" customHeight="1" x14ac:dyDescent="0.3">
      <c r="J31962" s="33"/>
    </row>
    <row r="31963" spans="10:10" ht="15" customHeight="1" x14ac:dyDescent="0.3">
      <c r="J31963" s="33"/>
    </row>
    <row r="31964" spans="10:10" ht="15" customHeight="1" x14ac:dyDescent="0.3">
      <c r="J31964" s="33"/>
    </row>
    <row r="31965" spans="10:10" x14ac:dyDescent="0.3">
      <c r="J31965" s="33"/>
    </row>
    <row r="31966" spans="10:10" x14ac:dyDescent="0.3">
      <c r="J31966" s="33"/>
    </row>
    <row r="31967" spans="10:10" x14ac:dyDescent="0.3">
      <c r="J31967" s="33"/>
    </row>
    <row r="31968" spans="10:10" x14ac:dyDescent="0.3">
      <c r="J31968" s="33"/>
    </row>
    <row r="31969" spans="10:10" x14ac:dyDescent="0.3">
      <c r="J31969" s="33"/>
    </row>
    <row r="31970" spans="10:10" ht="15" customHeight="1" x14ac:dyDescent="0.3">
      <c r="J31970" s="33"/>
    </row>
    <row r="31971" spans="10:10" x14ac:dyDescent="0.3">
      <c r="J31971" s="33"/>
    </row>
    <row r="31972" spans="10:10" ht="15" customHeight="1" x14ac:dyDescent="0.3">
      <c r="J31972" s="33"/>
    </row>
    <row r="31973" spans="10:10" x14ac:dyDescent="0.3">
      <c r="J31973" s="33"/>
    </row>
    <row r="31974" spans="10:10" x14ac:dyDescent="0.3">
      <c r="J31974" s="33"/>
    </row>
    <row r="31975" spans="10:10" ht="15" customHeight="1" x14ac:dyDescent="0.3">
      <c r="J31975" s="33"/>
    </row>
    <row r="31976" spans="10:10" ht="15" customHeight="1" x14ac:dyDescent="0.3">
      <c r="J31976" s="33"/>
    </row>
    <row r="31977" spans="10:10" x14ac:dyDescent="0.3">
      <c r="J31977" s="33"/>
    </row>
    <row r="31978" spans="10:10" ht="15" customHeight="1" x14ac:dyDescent="0.3">
      <c r="J31978" s="33"/>
    </row>
    <row r="31979" spans="10:10" x14ac:dyDescent="0.3">
      <c r="J31979" s="33"/>
    </row>
    <row r="31980" spans="10:10" x14ac:dyDescent="0.3">
      <c r="J31980" s="33"/>
    </row>
    <row r="31981" spans="10:10" ht="15" customHeight="1" x14ac:dyDescent="0.3">
      <c r="J31981" s="33"/>
    </row>
    <row r="31982" spans="10:10" ht="15" customHeight="1" x14ac:dyDescent="0.3">
      <c r="J31982" s="33"/>
    </row>
    <row r="31983" spans="10:10" ht="15" customHeight="1" x14ac:dyDescent="0.3">
      <c r="J31983" s="33"/>
    </row>
    <row r="31984" spans="10:10" ht="15" customHeight="1" x14ac:dyDescent="0.3">
      <c r="J31984" s="33"/>
    </row>
    <row r="31985" spans="10:10" ht="15" customHeight="1" x14ac:dyDescent="0.3">
      <c r="J31985" s="33"/>
    </row>
    <row r="31986" spans="10:10" x14ac:dyDescent="0.3">
      <c r="J31986" s="33"/>
    </row>
    <row r="31987" spans="10:10" ht="15" customHeight="1" x14ac:dyDescent="0.3">
      <c r="J31987" s="33"/>
    </row>
    <row r="31988" spans="10:10" x14ac:dyDescent="0.3">
      <c r="J31988" s="33"/>
    </row>
    <row r="31989" spans="10:10" ht="15" customHeight="1" x14ac:dyDescent="0.3">
      <c r="J31989" s="33"/>
    </row>
    <row r="31990" spans="10:10" ht="15" customHeight="1" x14ac:dyDescent="0.3">
      <c r="J31990" s="33"/>
    </row>
    <row r="31991" spans="10:10" ht="15" customHeight="1" x14ac:dyDescent="0.3">
      <c r="J31991" s="33"/>
    </row>
    <row r="31992" spans="10:10" ht="15" customHeight="1" x14ac:dyDescent="0.3">
      <c r="J31992" s="33"/>
    </row>
    <row r="31993" spans="10:10" x14ac:dyDescent="0.3">
      <c r="J31993" s="33"/>
    </row>
    <row r="31994" spans="10:10" ht="15" customHeight="1" x14ac:dyDescent="0.3">
      <c r="J31994" s="33"/>
    </row>
    <row r="31995" spans="10:10" ht="15" customHeight="1" x14ac:dyDescent="0.3">
      <c r="J31995" s="33"/>
    </row>
    <row r="31996" spans="10:10" x14ac:dyDescent="0.3">
      <c r="J31996" s="33"/>
    </row>
    <row r="31997" spans="10:10" x14ac:dyDescent="0.3">
      <c r="J31997" s="33"/>
    </row>
    <row r="31998" spans="10:10" ht="15" customHeight="1" x14ac:dyDescent="0.3">
      <c r="J31998" s="33"/>
    </row>
    <row r="31999" spans="10:10" ht="15" customHeight="1" x14ac:dyDescent="0.3">
      <c r="J31999" s="33"/>
    </row>
    <row r="32000" spans="10:10" ht="15" customHeight="1" x14ac:dyDescent="0.3">
      <c r="J32000" s="33"/>
    </row>
    <row r="32001" spans="10:10" ht="15" customHeight="1" x14ac:dyDescent="0.3">
      <c r="J32001" s="33"/>
    </row>
    <row r="32002" spans="10:10" x14ac:dyDescent="0.3">
      <c r="J32002" s="33"/>
    </row>
    <row r="32003" spans="10:10" ht="15" customHeight="1" x14ac:dyDescent="0.3">
      <c r="J32003" s="33"/>
    </row>
    <row r="32004" spans="10:10" x14ac:dyDescent="0.3">
      <c r="J32004" s="33"/>
    </row>
    <row r="32005" spans="10:10" ht="15" customHeight="1" x14ac:dyDescent="0.3">
      <c r="J32005" s="33"/>
    </row>
    <row r="32006" spans="10:10" x14ac:dyDescent="0.3">
      <c r="J32006" s="33"/>
    </row>
    <row r="32007" spans="10:10" ht="15" customHeight="1" x14ac:dyDescent="0.3">
      <c r="J32007" s="33"/>
    </row>
    <row r="32008" spans="10:10" ht="15" customHeight="1" x14ac:dyDescent="0.3">
      <c r="J32008" s="33"/>
    </row>
    <row r="32009" spans="10:10" ht="15" customHeight="1" x14ac:dyDescent="0.3">
      <c r="J32009" s="33"/>
    </row>
    <row r="32010" spans="10:10" x14ac:dyDescent="0.3">
      <c r="J32010" s="33"/>
    </row>
    <row r="32011" spans="10:10" ht="15" customHeight="1" x14ac:dyDescent="0.3">
      <c r="J32011" s="33"/>
    </row>
    <row r="32012" spans="10:10" ht="15" customHeight="1" x14ac:dyDescent="0.3">
      <c r="J32012" s="33"/>
    </row>
    <row r="32013" spans="10:10" ht="15" customHeight="1" x14ac:dyDescent="0.3">
      <c r="J32013" s="33"/>
    </row>
    <row r="32014" spans="10:10" ht="15" customHeight="1" x14ac:dyDescent="0.3">
      <c r="J32014" s="33"/>
    </row>
    <row r="32015" spans="10:10" ht="15" customHeight="1" x14ac:dyDescent="0.3">
      <c r="J32015" s="33"/>
    </row>
    <row r="32016" spans="10:10" x14ac:dyDescent="0.3">
      <c r="J32016" s="33"/>
    </row>
    <row r="32017" spans="10:10" ht="15" customHeight="1" x14ac:dyDescent="0.3">
      <c r="J32017" s="33"/>
    </row>
    <row r="32018" spans="10:10" x14ac:dyDescent="0.3">
      <c r="J32018" s="33"/>
    </row>
    <row r="32019" spans="10:10" x14ac:dyDescent="0.3">
      <c r="J32019" s="33"/>
    </row>
    <row r="32020" spans="10:10" x14ac:dyDescent="0.3">
      <c r="J32020" s="33"/>
    </row>
    <row r="32021" spans="10:10" ht="15" customHeight="1" x14ac:dyDescent="0.3">
      <c r="J32021" s="33"/>
    </row>
    <row r="32022" spans="10:10" ht="15" customHeight="1" x14ac:dyDescent="0.3">
      <c r="J32022" s="33"/>
    </row>
    <row r="32023" spans="10:10" x14ac:dyDescent="0.3">
      <c r="J32023" s="33"/>
    </row>
    <row r="32024" spans="10:10" x14ac:dyDescent="0.3">
      <c r="J32024" s="33"/>
    </row>
    <row r="32025" spans="10:10" x14ac:dyDescent="0.3">
      <c r="J32025" s="33"/>
    </row>
    <row r="32026" spans="10:10" x14ac:dyDescent="0.3">
      <c r="J32026" s="33"/>
    </row>
    <row r="32027" spans="10:10" x14ac:dyDescent="0.3">
      <c r="J32027" s="33"/>
    </row>
    <row r="32028" spans="10:10" ht="15" customHeight="1" x14ac:dyDescent="0.3">
      <c r="J32028" s="33"/>
    </row>
    <row r="32029" spans="10:10" x14ac:dyDescent="0.3">
      <c r="J32029" s="33"/>
    </row>
    <row r="32030" spans="10:10" x14ac:dyDescent="0.3">
      <c r="J32030" s="33"/>
    </row>
    <row r="32031" spans="10:10" ht="15" customHeight="1" x14ac:dyDescent="0.3">
      <c r="J32031" s="33"/>
    </row>
    <row r="32032" spans="10:10" x14ac:dyDescent="0.3">
      <c r="J32032" s="33"/>
    </row>
    <row r="32033" spans="10:10" x14ac:dyDescent="0.3">
      <c r="J32033" s="33"/>
    </row>
    <row r="32034" spans="10:10" ht="15" customHeight="1" x14ac:dyDescent="0.3">
      <c r="J32034" s="33"/>
    </row>
    <row r="32035" spans="10:10" ht="15" customHeight="1" x14ac:dyDescent="0.3">
      <c r="J32035" s="33"/>
    </row>
    <row r="32036" spans="10:10" x14ac:dyDescent="0.3">
      <c r="J32036" s="33"/>
    </row>
    <row r="32037" spans="10:10" ht="15" customHeight="1" x14ac:dyDescent="0.3">
      <c r="J32037" s="33"/>
    </row>
    <row r="32038" spans="10:10" ht="15" customHeight="1" x14ac:dyDescent="0.3">
      <c r="J32038" s="33"/>
    </row>
    <row r="32039" spans="10:10" x14ac:dyDescent="0.3">
      <c r="J32039" s="33"/>
    </row>
    <row r="32040" spans="10:10" ht="15" customHeight="1" x14ac:dyDescent="0.3">
      <c r="J32040" s="33"/>
    </row>
    <row r="32041" spans="10:10" x14ac:dyDescent="0.3">
      <c r="J32041" s="33"/>
    </row>
    <row r="32042" spans="10:10" x14ac:dyDescent="0.3">
      <c r="J32042" s="33"/>
    </row>
    <row r="32043" spans="10:10" ht="15" customHeight="1" x14ac:dyDescent="0.3">
      <c r="J32043" s="33"/>
    </row>
    <row r="32044" spans="10:10" x14ac:dyDescent="0.3">
      <c r="J32044" s="33"/>
    </row>
    <row r="32045" spans="10:10" ht="15" customHeight="1" x14ac:dyDescent="0.3">
      <c r="J32045" s="33"/>
    </row>
    <row r="32046" spans="10:10" ht="15" customHeight="1" x14ac:dyDescent="0.3">
      <c r="J32046" s="33"/>
    </row>
    <row r="32047" spans="10:10" x14ac:dyDescent="0.3">
      <c r="J32047" s="33"/>
    </row>
    <row r="32048" spans="10:10" ht="15" customHeight="1" x14ac:dyDescent="0.3">
      <c r="J32048" s="33"/>
    </row>
    <row r="32049" spans="10:10" x14ac:dyDescent="0.3">
      <c r="J32049" s="33"/>
    </row>
    <row r="32050" spans="10:10" x14ac:dyDescent="0.3">
      <c r="J32050" s="33"/>
    </row>
    <row r="32051" spans="10:10" x14ac:dyDescent="0.3">
      <c r="J32051" s="33"/>
    </row>
    <row r="32052" spans="10:10" ht="15" customHeight="1" x14ac:dyDescent="0.3">
      <c r="J32052" s="33"/>
    </row>
    <row r="32053" spans="10:10" x14ac:dyDescent="0.3">
      <c r="J32053" s="33"/>
    </row>
    <row r="32054" spans="10:10" ht="15" customHeight="1" x14ac:dyDescent="0.3">
      <c r="J32054" s="33"/>
    </row>
    <row r="32055" spans="10:10" ht="15" customHeight="1" x14ac:dyDescent="0.3">
      <c r="J32055" s="33"/>
    </row>
    <row r="32056" spans="10:10" ht="15" customHeight="1" x14ac:dyDescent="0.3">
      <c r="J32056" s="33"/>
    </row>
    <row r="32057" spans="10:10" ht="15" customHeight="1" x14ac:dyDescent="0.3">
      <c r="J32057" s="33"/>
    </row>
    <row r="32058" spans="10:10" x14ac:dyDescent="0.3">
      <c r="J32058" s="33"/>
    </row>
    <row r="32059" spans="10:10" x14ac:dyDescent="0.3">
      <c r="J32059" s="33"/>
    </row>
    <row r="32060" spans="10:10" x14ac:dyDescent="0.3">
      <c r="J32060" s="33"/>
    </row>
    <row r="32061" spans="10:10" x14ac:dyDescent="0.3">
      <c r="J32061" s="33"/>
    </row>
    <row r="32062" spans="10:10" ht="15" customHeight="1" x14ac:dyDescent="0.3">
      <c r="J32062" s="33"/>
    </row>
    <row r="32063" spans="10:10" ht="15" customHeight="1" x14ac:dyDescent="0.3">
      <c r="J32063" s="33"/>
    </row>
    <row r="32064" spans="10:10" x14ac:dyDescent="0.3">
      <c r="J32064" s="33"/>
    </row>
    <row r="32065" spans="10:10" x14ac:dyDescent="0.3">
      <c r="J32065" s="33"/>
    </row>
    <row r="32066" spans="10:10" ht="15" customHeight="1" x14ac:dyDescent="0.3">
      <c r="J32066" s="33"/>
    </row>
    <row r="32067" spans="10:10" x14ac:dyDescent="0.3">
      <c r="J32067" s="33"/>
    </row>
    <row r="32068" spans="10:10" ht="15" customHeight="1" x14ac:dyDescent="0.3">
      <c r="J32068" s="33"/>
    </row>
    <row r="32069" spans="10:10" ht="15" customHeight="1" x14ac:dyDescent="0.3">
      <c r="J32069" s="33"/>
    </row>
    <row r="32070" spans="10:10" ht="15" customHeight="1" x14ac:dyDescent="0.3">
      <c r="J32070" s="33"/>
    </row>
    <row r="32071" spans="10:10" ht="15" customHeight="1" x14ac:dyDescent="0.3">
      <c r="J32071" s="33"/>
    </row>
    <row r="32072" spans="10:10" x14ac:dyDescent="0.3">
      <c r="J32072" s="33"/>
    </row>
    <row r="32073" spans="10:10" ht="15" customHeight="1" x14ac:dyDescent="0.3">
      <c r="J32073" s="33"/>
    </row>
    <row r="32074" spans="10:10" x14ac:dyDescent="0.3">
      <c r="J32074" s="33"/>
    </row>
    <row r="32075" spans="10:10" ht="15" customHeight="1" x14ac:dyDescent="0.3">
      <c r="J32075" s="33"/>
    </row>
    <row r="32076" spans="10:10" x14ac:dyDescent="0.3">
      <c r="J32076" s="33"/>
    </row>
    <row r="32077" spans="10:10" ht="15" customHeight="1" x14ac:dyDescent="0.3">
      <c r="J32077" s="33"/>
    </row>
    <row r="32078" spans="10:10" ht="15" customHeight="1" x14ac:dyDescent="0.3">
      <c r="J32078" s="33"/>
    </row>
    <row r="32079" spans="10:10" x14ac:dyDescent="0.3">
      <c r="J32079" s="33"/>
    </row>
    <row r="32080" spans="10:10" ht="15" customHeight="1" x14ac:dyDescent="0.3">
      <c r="J32080" s="33"/>
    </row>
    <row r="32081" spans="10:10" x14ac:dyDescent="0.3">
      <c r="J32081" s="33"/>
    </row>
    <row r="32082" spans="10:10" ht="15" customHeight="1" x14ac:dyDescent="0.3">
      <c r="J32082" s="33"/>
    </row>
    <row r="32083" spans="10:10" ht="15" customHeight="1" x14ac:dyDescent="0.3">
      <c r="J32083" s="33"/>
    </row>
    <row r="32084" spans="10:10" ht="15" customHeight="1" x14ac:dyDescent="0.3">
      <c r="J32084" s="33"/>
    </row>
    <row r="32085" spans="10:10" ht="15" customHeight="1" x14ac:dyDescent="0.3">
      <c r="J32085" s="33"/>
    </row>
    <row r="32086" spans="10:10" ht="15" customHeight="1" x14ac:dyDescent="0.3">
      <c r="J32086" s="33"/>
    </row>
    <row r="32087" spans="10:10" x14ac:dyDescent="0.3">
      <c r="J32087" s="33"/>
    </row>
    <row r="32088" spans="10:10" x14ac:dyDescent="0.3">
      <c r="J32088" s="33"/>
    </row>
    <row r="32089" spans="10:10" x14ac:dyDescent="0.3">
      <c r="J32089" s="33"/>
    </row>
    <row r="32090" spans="10:10" ht="15" customHeight="1" x14ac:dyDescent="0.3">
      <c r="J32090" s="33"/>
    </row>
    <row r="32091" spans="10:10" ht="15" customHeight="1" x14ac:dyDescent="0.3">
      <c r="J32091" s="33"/>
    </row>
    <row r="32092" spans="10:10" ht="15" customHeight="1" x14ac:dyDescent="0.3">
      <c r="J32092" s="33"/>
    </row>
    <row r="32093" spans="10:10" x14ac:dyDescent="0.3">
      <c r="J32093" s="33"/>
    </row>
    <row r="32094" spans="10:10" x14ac:dyDescent="0.3">
      <c r="J32094" s="33"/>
    </row>
    <row r="32095" spans="10:10" ht="15" customHeight="1" x14ac:dyDescent="0.3">
      <c r="J32095" s="33"/>
    </row>
    <row r="32096" spans="10:10" ht="15" customHeight="1" x14ac:dyDescent="0.3">
      <c r="J32096" s="33"/>
    </row>
    <row r="32097" spans="10:10" ht="15" customHeight="1" x14ac:dyDescent="0.3">
      <c r="J32097" s="33"/>
    </row>
    <row r="32098" spans="10:10" x14ac:dyDescent="0.3">
      <c r="J32098" s="33"/>
    </row>
    <row r="32099" spans="10:10" ht="15" customHeight="1" x14ac:dyDescent="0.3">
      <c r="J32099" s="33"/>
    </row>
    <row r="32100" spans="10:10" x14ac:dyDescent="0.3">
      <c r="J32100" s="33"/>
    </row>
    <row r="32101" spans="10:10" ht="15" customHeight="1" x14ac:dyDescent="0.3">
      <c r="J32101" s="33"/>
    </row>
    <row r="32102" spans="10:10" ht="15" customHeight="1" x14ac:dyDescent="0.3">
      <c r="J32102" s="33"/>
    </row>
    <row r="32103" spans="10:10" x14ac:dyDescent="0.3">
      <c r="J32103" s="33"/>
    </row>
    <row r="32104" spans="10:10" x14ac:dyDescent="0.3">
      <c r="J32104" s="33"/>
    </row>
    <row r="32105" spans="10:10" ht="15" customHeight="1" x14ac:dyDescent="0.3">
      <c r="J32105" s="33"/>
    </row>
    <row r="32106" spans="10:10" ht="15" customHeight="1" x14ac:dyDescent="0.3">
      <c r="J32106" s="33"/>
    </row>
    <row r="32107" spans="10:10" x14ac:dyDescent="0.3">
      <c r="J32107" s="33"/>
    </row>
    <row r="32108" spans="10:10" ht="15" customHeight="1" x14ac:dyDescent="0.3">
      <c r="J32108" s="33"/>
    </row>
    <row r="32109" spans="10:10" x14ac:dyDescent="0.3">
      <c r="J32109" s="33"/>
    </row>
    <row r="32110" spans="10:10" ht="15" customHeight="1" x14ac:dyDescent="0.3">
      <c r="J32110" s="33"/>
    </row>
    <row r="32111" spans="10:10" ht="15" customHeight="1" x14ac:dyDescent="0.3">
      <c r="J32111" s="33"/>
    </row>
    <row r="32112" spans="10:10" x14ac:dyDescent="0.3">
      <c r="J32112" s="33"/>
    </row>
    <row r="32113" spans="10:10" ht="15" customHeight="1" x14ac:dyDescent="0.3">
      <c r="J32113" s="33"/>
    </row>
    <row r="32114" spans="10:10" ht="15" customHeight="1" x14ac:dyDescent="0.3">
      <c r="J32114" s="33"/>
    </row>
    <row r="32115" spans="10:10" ht="15" customHeight="1" x14ac:dyDescent="0.3">
      <c r="J32115" s="33"/>
    </row>
    <row r="32116" spans="10:10" ht="15" customHeight="1" x14ac:dyDescent="0.3">
      <c r="J32116" s="33"/>
    </row>
    <row r="32117" spans="10:10" x14ac:dyDescent="0.3">
      <c r="J32117" s="33"/>
    </row>
    <row r="32118" spans="10:10" ht="15" customHeight="1" x14ac:dyDescent="0.3">
      <c r="J32118" s="33"/>
    </row>
    <row r="32119" spans="10:10" ht="15" customHeight="1" x14ac:dyDescent="0.3">
      <c r="J32119" s="33"/>
    </row>
    <row r="32120" spans="10:10" ht="15" customHeight="1" x14ac:dyDescent="0.3">
      <c r="J32120" s="33"/>
    </row>
    <row r="32121" spans="10:10" x14ac:dyDescent="0.3">
      <c r="J32121" s="33"/>
    </row>
    <row r="32122" spans="10:10" ht="15" customHeight="1" x14ac:dyDescent="0.3">
      <c r="J32122" s="33"/>
    </row>
    <row r="32123" spans="10:10" x14ac:dyDescent="0.3">
      <c r="J32123" s="33"/>
    </row>
    <row r="32124" spans="10:10" x14ac:dyDescent="0.3">
      <c r="J32124" s="33"/>
    </row>
    <row r="32125" spans="10:10" ht="15" customHeight="1" x14ac:dyDescent="0.3">
      <c r="J32125" s="33"/>
    </row>
    <row r="32126" spans="10:10" ht="15" customHeight="1" x14ac:dyDescent="0.3">
      <c r="J32126" s="33"/>
    </row>
    <row r="32127" spans="10:10" ht="15" customHeight="1" x14ac:dyDescent="0.3">
      <c r="J32127" s="33"/>
    </row>
    <row r="32128" spans="10:10" x14ac:dyDescent="0.3">
      <c r="J32128" s="33"/>
    </row>
    <row r="32129" spans="10:10" x14ac:dyDescent="0.3">
      <c r="J32129" s="33"/>
    </row>
    <row r="32130" spans="10:10" ht="15" customHeight="1" x14ac:dyDescent="0.3">
      <c r="J32130" s="33"/>
    </row>
    <row r="32131" spans="10:10" ht="15" customHeight="1" x14ac:dyDescent="0.3">
      <c r="J32131" s="33"/>
    </row>
    <row r="32132" spans="10:10" ht="15" customHeight="1" x14ac:dyDescent="0.3">
      <c r="J32132" s="33"/>
    </row>
    <row r="32133" spans="10:10" x14ac:dyDescent="0.3">
      <c r="J32133" s="33"/>
    </row>
    <row r="32134" spans="10:10" x14ac:dyDescent="0.3">
      <c r="J32134" s="33"/>
    </row>
    <row r="32135" spans="10:10" ht="15" customHeight="1" x14ac:dyDescent="0.3">
      <c r="J32135" s="33"/>
    </row>
    <row r="32136" spans="10:10" ht="15" customHeight="1" x14ac:dyDescent="0.3">
      <c r="J32136" s="33"/>
    </row>
    <row r="32137" spans="10:10" ht="15" customHeight="1" x14ac:dyDescent="0.3">
      <c r="J32137" s="33"/>
    </row>
    <row r="32138" spans="10:10" x14ac:dyDescent="0.3">
      <c r="J32138" s="33"/>
    </row>
    <row r="32139" spans="10:10" ht="15" customHeight="1" x14ac:dyDescent="0.3">
      <c r="J32139" s="33"/>
    </row>
    <row r="32140" spans="10:10" ht="15" customHeight="1" x14ac:dyDescent="0.3">
      <c r="J32140" s="33"/>
    </row>
    <row r="32141" spans="10:10" ht="15" customHeight="1" x14ac:dyDescent="0.3">
      <c r="J32141" s="33"/>
    </row>
    <row r="32142" spans="10:10" x14ac:dyDescent="0.3">
      <c r="J32142" s="33"/>
    </row>
    <row r="32143" spans="10:10" x14ac:dyDescent="0.3">
      <c r="J32143" s="33"/>
    </row>
    <row r="32144" spans="10:10" ht="15" customHeight="1" x14ac:dyDescent="0.3">
      <c r="J32144" s="33"/>
    </row>
    <row r="32145" spans="10:10" ht="15" customHeight="1" x14ac:dyDescent="0.3">
      <c r="J32145" s="33"/>
    </row>
    <row r="32146" spans="10:10" ht="15" customHeight="1" x14ac:dyDescent="0.3">
      <c r="J32146" s="33"/>
    </row>
    <row r="32147" spans="10:10" x14ac:dyDescent="0.3">
      <c r="J32147" s="33"/>
    </row>
    <row r="32148" spans="10:10" x14ac:dyDescent="0.3">
      <c r="J32148" s="33"/>
    </row>
    <row r="32149" spans="10:10" ht="15" customHeight="1" x14ac:dyDescent="0.3">
      <c r="J32149" s="33"/>
    </row>
    <row r="32150" spans="10:10" ht="15" customHeight="1" x14ac:dyDescent="0.3">
      <c r="J32150" s="33"/>
    </row>
    <row r="32151" spans="10:10" ht="15" customHeight="1" x14ac:dyDescent="0.3">
      <c r="J32151" s="33"/>
    </row>
    <row r="32152" spans="10:10" x14ac:dyDescent="0.3">
      <c r="J32152" s="33"/>
    </row>
    <row r="32153" spans="10:10" ht="15" customHeight="1" x14ac:dyDescent="0.3">
      <c r="J32153" s="33"/>
    </row>
    <row r="32154" spans="10:10" x14ac:dyDescent="0.3">
      <c r="J32154" s="33"/>
    </row>
    <row r="32155" spans="10:10" x14ac:dyDescent="0.3">
      <c r="J32155" s="33"/>
    </row>
    <row r="32156" spans="10:10" ht="15" customHeight="1" x14ac:dyDescent="0.3">
      <c r="J32156" s="33"/>
    </row>
    <row r="32157" spans="10:10" ht="15" customHeight="1" x14ac:dyDescent="0.3">
      <c r="J32157" s="33"/>
    </row>
    <row r="32158" spans="10:10" x14ac:dyDescent="0.3">
      <c r="J32158" s="33"/>
    </row>
    <row r="32159" spans="10:10" ht="15" customHeight="1" x14ac:dyDescent="0.3">
      <c r="J32159" s="33"/>
    </row>
    <row r="32160" spans="10:10" x14ac:dyDescent="0.3">
      <c r="J32160" s="33"/>
    </row>
    <row r="32161" spans="10:10" ht="15" customHeight="1" x14ac:dyDescent="0.3">
      <c r="J32161" s="33"/>
    </row>
    <row r="32162" spans="10:10" ht="15" customHeight="1" x14ac:dyDescent="0.3">
      <c r="J32162" s="33"/>
    </row>
    <row r="32163" spans="10:10" x14ac:dyDescent="0.3">
      <c r="J32163" s="33"/>
    </row>
    <row r="32164" spans="10:10" x14ac:dyDescent="0.3">
      <c r="J32164" s="33"/>
    </row>
    <row r="32165" spans="10:10" ht="15" customHeight="1" x14ac:dyDescent="0.3">
      <c r="J32165" s="33"/>
    </row>
    <row r="32166" spans="10:10" x14ac:dyDescent="0.3">
      <c r="J32166" s="33"/>
    </row>
    <row r="32167" spans="10:10" ht="15" customHeight="1" x14ac:dyDescent="0.3">
      <c r="J32167" s="33"/>
    </row>
    <row r="32168" spans="10:10" x14ac:dyDescent="0.3">
      <c r="J32168" s="33"/>
    </row>
    <row r="32169" spans="10:10" x14ac:dyDescent="0.3">
      <c r="J32169" s="33"/>
    </row>
    <row r="32170" spans="10:10" ht="15" customHeight="1" x14ac:dyDescent="0.3">
      <c r="J32170" s="33"/>
    </row>
    <row r="32171" spans="10:10" ht="15" customHeight="1" x14ac:dyDescent="0.3">
      <c r="J32171" s="33"/>
    </row>
    <row r="32172" spans="10:10" ht="15" customHeight="1" x14ac:dyDescent="0.3">
      <c r="J32172" s="33"/>
    </row>
    <row r="32173" spans="10:10" x14ac:dyDescent="0.3">
      <c r="J32173" s="33"/>
    </row>
    <row r="32174" spans="10:10" x14ac:dyDescent="0.3">
      <c r="J32174" s="33"/>
    </row>
    <row r="32175" spans="10:10" x14ac:dyDescent="0.3">
      <c r="J32175" s="33"/>
    </row>
    <row r="32176" spans="10:10" ht="15" customHeight="1" x14ac:dyDescent="0.3">
      <c r="J32176" s="33"/>
    </row>
    <row r="32177" spans="10:10" x14ac:dyDescent="0.3">
      <c r="J32177" s="33"/>
    </row>
    <row r="32178" spans="10:10" x14ac:dyDescent="0.3">
      <c r="J32178" s="33"/>
    </row>
    <row r="32179" spans="10:10" ht="15" customHeight="1" x14ac:dyDescent="0.3">
      <c r="J32179" s="33"/>
    </row>
    <row r="32180" spans="10:10" ht="15" customHeight="1" x14ac:dyDescent="0.3">
      <c r="J32180" s="33"/>
    </row>
    <row r="32181" spans="10:10" ht="15" customHeight="1" x14ac:dyDescent="0.3">
      <c r="J32181" s="33"/>
    </row>
    <row r="32182" spans="10:10" ht="15" customHeight="1" x14ac:dyDescent="0.3">
      <c r="J32182" s="33"/>
    </row>
    <row r="32183" spans="10:10" ht="15" customHeight="1" x14ac:dyDescent="0.3">
      <c r="J32183" s="33"/>
    </row>
    <row r="32184" spans="10:10" x14ac:dyDescent="0.3">
      <c r="J32184" s="33"/>
    </row>
    <row r="32185" spans="10:10" x14ac:dyDescent="0.3">
      <c r="J32185" s="33"/>
    </row>
    <row r="32186" spans="10:10" ht="15" customHeight="1" x14ac:dyDescent="0.3">
      <c r="J32186" s="33"/>
    </row>
    <row r="32187" spans="10:10" ht="15" customHeight="1" x14ac:dyDescent="0.3">
      <c r="J32187" s="33"/>
    </row>
    <row r="32188" spans="10:10" x14ac:dyDescent="0.3">
      <c r="J32188" s="33"/>
    </row>
    <row r="32189" spans="10:10" x14ac:dyDescent="0.3">
      <c r="J32189" s="33"/>
    </row>
    <row r="32190" spans="10:10" ht="15" customHeight="1" x14ac:dyDescent="0.3">
      <c r="J32190" s="33"/>
    </row>
    <row r="32191" spans="10:10" ht="15" customHeight="1" x14ac:dyDescent="0.3">
      <c r="J32191" s="33"/>
    </row>
    <row r="32192" spans="10:10" ht="15" customHeight="1" x14ac:dyDescent="0.3">
      <c r="J32192" s="33"/>
    </row>
    <row r="32193" spans="10:10" x14ac:dyDescent="0.3">
      <c r="J32193" s="33"/>
    </row>
    <row r="32194" spans="10:10" ht="15" customHeight="1" x14ac:dyDescent="0.3">
      <c r="J32194" s="33"/>
    </row>
    <row r="32195" spans="10:10" x14ac:dyDescent="0.3">
      <c r="J32195" s="33"/>
    </row>
    <row r="32196" spans="10:10" x14ac:dyDescent="0.3">
      <c r="J32196" s="33"/>
    </row>
    <row r="32197" spans="10:10" x14ac:dyDescent="0.3">
      <c r="J32197" s="33"/>
    </row>
    <row r="32198" spans="10:10" x14ac:dyDescent="0.3">
      <c r="J32198" s="33"/>
    </row>
    <row r="32199" spans="10:10" ht="15" customHeight="1" x14ac:dyDescent="0.3">
      <c r="J32199" s="33"/>
    </row>
    <row r="32200" spans="10:10" x14ac:dyDescent="0.3">
      <c r="J32200" s="33"/>
    </row>
    <row r="32201" spans="10:10" x14ac:dyDescent="0.3">
      <c r="J32201" s="33"/>
    </row>
    <row r="32202" spans="10:10" ht="15" customHeight="1" x14ac:dyDescent="0.3">
      <c r="J32202" s="33"/>
    </row>
    <row r="32203" spans="10:10" ht="15" customHeight="1" x14ac:dyDescent="0.3">
      <c r="J32203" s="33"/>
    </row>
    <row r="32204" spans="10:10" ht="15" customHeight="1" x14ac:dyDescent="0.3">
      <c r="J32204" s="33"/>
    </row>
    <row r="32205" spans="10:10" x14ac:dyDescent="0.3">
      <c r="J32205" s="33"/>
    </row>
    <row r="32206" spans="10:10" x14ac:dyDescent="0.3">
      <c r="J32206" s="33"/>
    </row>
    <row r="32207" spans="10:10" x14ac:dyDescent="0.3">
      <c r="J32207" s="33"/>
    </row>
    <row r="32208" spans="10:10" x14ac:dyDescent="0.3">
      <c r="J32208" s="33"/>
    </row>
    <row r="32209" spans="10:10" ht="15" customHeight="1" x14ac:dyDescent="0.3">
      <c r="J32209" s="33"/>
    </row>
    <row r="32210" spans="10:10" ht="15" customHeight="1" x14ac:dyDescent="0.3">
      <c r="J32210" s="33"/>
    </row>
    <row r="32211" spans="10:10" ht="15" customHeight="1" x14ac:dyDescent="0.3">
      <c r="J32211" s="33"/>
    </row>
    <row r="32212" spans="10:10" x14ac:dyDescent="0.3">
      <c r="J32212" s="33"/>
    </row>
    <row r="32213" spans="10:10" x14ac:dyDescent="0.3">
      <c r="J32213" s="33"/>
    </row>
    <row r="32214" spans="10:10" ht="15" customHeight="1" x14ac:dyDescent="0.3">
      <c r="J32214" s="33"/>
    </row>
    <row r="32215" spans="10:10" ht="15" customHeight="1" x14ac:dyDescent="0.3">
      <c r="J32215" s="33"/>
    </row>
    <row r="32216" spans="10:10" x14ac:dyDescent="0.3">
      <c r="J32216" s="33"/>
    </row>
    <row r="32217" spans="10:10" ht="15" customHeight="1" x14ac:dyDescent="0.3">
      <c r="J32217" s="33"/>
    </row>
    <row r="32218" spans="10:10" x14ac:dyDescent="0.3">
      <c r="J32218" s="33"/>
    </row>
    <row r="32219" spans="10:10" x14ac:dyDescent="0.3">
      <c r="J32219" s="33"/>
    </row>
    <row r="32220" spans="10:10" ht="15" customHeight="1" x14ac:dyDescent="0.3">
      <c r="J32220" s="33"/>
    </row>
    <row r="32221" spans="10:10" ht="15" customHeight="1" x14ac:dyDescent="0.3">
      <c r="J32221" s="33"/>
    </row>
    <row r="32222" spans="10:10" x14ac:dyDescent="0.3">
      <c r="J32222" s="33"/>
    </row>
    <row r="32223" spans="10:10" x14ac:dyDescent="0.3">
      <c r="J32223" s="33"/>
    </row>
    <row r="32224" spans="10:10" x14ac:dyDescent="0.3">
      <c r="J32224" s="33"/>
    </row>
    <row r="32225" spans="10:10" ht="15" customHeight="1" x14ac:dyDescent="0.3">
      <c r="J32225" s="33"/>
    </row>
    <row r="32226" spans="10:10" x14ac:dyDescent="0.3">
      <c r="J32226" s="33"/>
    </row>
    <row r="32227" spans="10:10" ht="15" customHeight="1" x14ac:dyDescent="0.3">
      <c r="J32227" s="33"/>
    </row>
    <row r="32228" spans="10:10" x14ac:dyDescent="0.3">
      <c r="J32228" s="33"/>
    </row>
    <row r="32229" spans="10:10" x14ac:dyDescent="0.3">
      <c r="J32229" s="33"/>
    </row>
    <row r="32230" spans="10:10" x14ac:dyDescent="0.3">
      <c r="J32230" s="33"/>
    </row>
    <row r="32231" spans="10:10" x14ac:dyDescent="0.3">
      <c r="J32231" s="33"/>
    </row>
    <row r="32232" spans="10:10" x14ac:dyDescent="0.3">
      <c r="J32232" s="33"/>
    </row>
    <row r="32233" spans="10:10" x14ac:dyDescent="0.3">
      <c r="J32233" s="33"/>
    </row>
    <row r="32234" spans="10:10" x14ac:dyDescent="0.3">
      <c r="J32234" s="33"/>
    </row>
    <row r="32235" spans="10:10" x14ac:dyDescent="0.3">
      <c r="J32235" s="33"/>
    </row>
    <row r="32236" spans="10:10" x14ac:dyDescent="0.3">
      <c r="J32236" s="33"/>
    </row>
    <row r="32237" spans="10:10" ht="15" customHeight="1" x14ac:dyDescent="0.3">
      <c r="J32237" s="33"/>
    </row>
    <row r="32238" spans="10:10" x14ac:dyDescent="0.3">
      <c r="J32238" s="33"/>
    </row>
    <row r="32239" spans="10:10" ht="15" customHeight="1" x14ac:dyDescent="0.3">
      <c r="J32239" s="33"/>
    </row>
    <row r="32240" spans="10:10" x14ac:dyDescent="0.3">
      <c r="J32240" s="33"/>
    </row>
    <row r="32241" spans="10:10" x14ac:dyDescent="0.3">
      <c r="J32241" s="33"/>
    </row>
    <row r="32242" spans="10:10" x14ac:dyDescent="0.3">
      <c r="J32242" s="33"/>
    </row>
    <row r="32243" spans="10:10" ht="15" customHeight="1" x14ac:dyDescent="0.3">
      <c r="J32243" s="33"/>
    </row>
    <row r="32244" spans="10:10" ht="15" customHeight="1" x14ac:dyDescent="0.3">
      <c r="J32244" s="33"/>
    </row>
    <row r="32245" spans="10:10" ht="15" customHeight="1" x14ac:dyDescent="0.3">
      <c r="J32245" s="33"/>
    </row>
    <row r="32246" spans="10:10" ht="15" customHeight="1" x14ac:dyDescent="0.3">
      <c r="J32246" s="33"/>
    </row>
    <row r="32247" spans="10:10" ht="15" customHeight="1" x14ac:dyDescent="0.3">
      <c r="J32247" s="33"/>
    </row>
    <row r="32248" spans="10:10" ht="15" customHeight="1" x14ac:dyDescent="0.3">
      <c r="J32248" s="33"/>
    </row>
    <row r="32249" spans="10:10" ht="15" customHeight="1" x14ac:dyDescent="0.3">
      <c r="J32249" s="33"/>
    </row>
    <row r="32250" spans="10:10" ht="15" customHeight="1" x14ac:dyDescent="0.3">
      <c r="J32250" s="33"/>
    </row>
    <row r="32251" spans="10:10" ht="15" customHeight="1" x14ac:dyDescent="0.3">
      <c r="J32251" s="33"/>
    </row>
    <row r="32252" spans="10:10" ht="15" customHeight="1" x14ac:dyDescent="0.3">
      <c r="J32252" s="33"/>
    </row>
    <row r="32253" spans="10:10" x14ac:dyDescent="0.3">
      <c r="J32253" s="33"/>
    </row>
    <row r="32254" spans="10:10" ht="15" customHeight="1" x14ac:dyDescent="0.3">
      <c r="J32254" s="33"/>
    </row>
    <row r="32255" spans="10:10" x14ac:dyDescent="0.3">
      <c r="J32255" s="33"/>
    </row>
    <row r="32256" spans="10:10" ht="15" customHeight="1" x14ac:dyDescent="0.3">
      <c r="J32256" s="33"/>
    </row>
    <row r="32257" spans="10:10" ht="15" customHeight="1" x14ac:dyDescent="0.3">
      <c r="J32257" s="33"/>
    </row>
    <row r="32258" spans="10:10" ht="15" customHeight="1" x14ac:dyDescent="0.3">
      <c r="J32258" s="33"/>
    </row>
    <row r="32259" spans="10:10" x14ac:dyDescent="0.3">
      <c r="J32259" s="33"/>
    </row>
    <row r="32260" spans="10:10" ht="15" customHeight="1" x14ac:dyDescent="0.3">
      <c r="J32260" s="33"/>
    </row>
    <row r="32261" spans="10:10" x14ac:dyDescent="0.3">
      <c r="J32261" s="33"/>
    </row>
    <row r="32262" spans="10:10" ht="15" customHeight="1" x14ac:dyDescent="0.3">
      <c r="J32262" s="33"/>
    </row>
    <row r="32263" spans="10:10" x14ac:dyDescent="0.3">
      <c r="J32263" s="33"/>
    </row>
    <row r="32264" spans="10:10" ht="15" customHeight="1" x14ac:dyDescent="0.3">
      <c r="J32264" s="33"/>
    </row>
    <row r="32265" spans="10:10" ht="15" customHeight="1" x14ac:dyDescent="0.3">
      <c r="J32265" s="33"/>
    </row>
    <row r="32266" spans="10:10" x14ac:dyDescent="0.3">
      <c r="J32266" s="33"/>
    </row>
    <row r="32267" spans="10:10" x14ac:dyDescent="0.3">
      <c r="J32267" s="33"/>
    </row>
    <row r="32268" spans="10:10" x14ac:dyDescent="0.3">
      <c r="J32268" s="33"/>
    </row>
    <row r="32269" spans="10:10" ht="15" customHeight="1" x14ac:dyDescent="0.3">
      <c r="J32269" s="33"/>
    </row>
    <row r="32270" spans="10:10" ht="15" customHeight="1" x14ac:dyDescent="0.3">
      <c r="J32270" s="33"/>
    </row>
    <row r="32271" spans="10:10" ht="15" customHeight="1" x14ac:dyDescent="0.3">
      <c r="J32271" s="33"/>
    </row>
    <row r="32272" spans="10:10" ht="15" customHeight="1" x14ac:dyDescent="0.3">
      <c r="J32272" s="33"/>
    </row>
    <row r="32273" spans="10:10" x14ac:dyDescent="0.3">
      <c r="J32273" s="33"/>
    </row>
    <row r="32274" spans="10:10" ht="15" customHeight="1" x14ac:dyDescent="0.3">
      <c r="J32274" s="33"/>
    </row>
    <row r="32275" spans="10:10" x14ac:dyDescent="0.3">
      <c r="J32275" s="33"/>
    </row>
    <row r="32276" spans="10:10" ht="15" customHeight="1" x14ac:dyDescent="0.3">
      <c r="J32276" s="33"/>
    </row>
    <row r="32277" spans="10:10" x14ac:dyDescent="0.3">
      <c r="J32277" s="33"/>
    </row>
    <row r="32278" spans="10:10" x14ac:dyDescent="0.3">
      <c r="J32278" s="33"/>
    </row>
    <row r="32279" spans="10:10" ht="15" customHeight="1" x14ac:dyDescent="0.3">
      <c r="J32279" s="33"/>
    </row>
    <row r="32280" spans="10:10" x14ac:dyDescent="0.3">
      <c r="J32280" s="33"/>
    </row>
    <row r="32281" spans="10:10" x14ac:dyDescent="0.3">
      <c r="J32281" s="33"/>
    </row>
    <row r="32282" spans="10:10" ht="15" customHeight="1" x14ac:dyDescent="0.3">
      <c r="J32282" s="33"/>
    </row>
    <row r="32283" spans="10:10" x14ac:dyDescent="0.3">
      <c r="J32283" s="33"/>
    </row>
    <row r="32284" spans="10:10" ht="15" customHeight="1" x14ac:dyDescent="0.3">
      <c r="J32284" s="33"/>
    </row>
    <row r="32285" spans="10:10" ht="15" customHeight="1" x14ac:dyDescent="0.3">
      <c r="J32285" s="33"/>
    </row>
    <row r="32286" spans="10:10" ht="15" customHeight="1" x14ac:dyDescent="0.3">
      <c r="J32286" s="33"/>
    </row>
    <row r="32287" spans="10:10" ht="15" customHeight="1" x14ac:dyDescent="0.3">
      <c r="J32287" s="33"/>
    </row>
    <row r="32288" spans="10:10" ht="15" customHeight="1" x14ac:dyDescent="0.3">
      <c r="J32288" s="33"/>
    </row>
    <row r="32289" spans="10:10" ht="15" customHeight="1" x14ac:dyDescent="0.3">
      <c r="J32289" s="33"/>
    </row>
    <row r="32290" spans="10:10" ht="15" customHeight="1" x14ac:dyDescent="0.3">
      <c r="J32290" s="33"/>
    </row>
    <row r="32291" spans="10:10" ht="15" customHeight="1" x14ac:dyDescent="0.3">
      <c r="J32291" s="33"/>
    </row>
    <row r="32292" spans="10:10" x14ac:dyDescent="0.3">
      <c r="J32292" s="33"/>
    </row>
    <row r="32293" spans="10:10" x14ac:dyDescent="0.3">
      <c r="J32293" s="33"/>
    </row>
    <row r="32294" spans="10:10" x14ac:dyDescent="0.3">
      <c r="J32294" s="33"/>
    </row>
    <row r="32295" spans="10:10" x14ac:dyDescent="0.3">
      <c r="J32295" s="33"/>
    </row>
    <row r="32296" spans="10:10" ht="15" customHeight="1" x14ac:dyDescent="0.3">
      <c r="J32296" s="33"/>
    </row>
    <row r="32297" spans="10:10" x14ac:dyDescent="0.3">
      <c r="J32297" s="33"/>
    </row>
    <row r="32298" spans="10:10" ht="15" customHeight="1" x14ac:dyDescent="0.3">
      <c r="J32298" s="33"/>
    </row>
    <row r="32299" spans="10:10" x14ac:dyDescent="0.3">
      <c r="J32299" s="33"/>
    </row>
    <row r="32300" spans="10:10" x14ac:dyDescent="0.3">
      <c r="J32300" s="33"/>
    </row>
    <row r="32301" spans="10:10" x14ac:dyDescent="0.3">
      <c r="J32301" s="33"/>
    </row>
    <row r="32302" spans="10:10" x14ac:dyDescent="0.3">
      <c r="J32302" s="33"/>
    </row>
    <row r="32303" spans="10:10" x14ac:dyDescent="0.3">
      <c r="J32303" s="33"/>
    </row>
    <row r="32304" spans="10:10" x14ac:dyDescent="0.3">
      <c r="J32304" s="33"/>
    </row>
    <row r="32305" spans="10:10" ht="15" customHeight="1" x14ac:dyDescent="0.3">
      <c r="J32305" s="33"/>
    </row>
    <row r="32306" spans="10:10" ht="15" customHeight="1" x14ac:dyDescent="0.3">
      <c r="J32306" s="33"/>
    </row>
    <row r="32307" spans="10:10" ht="15" customHeight="1" x14ac:dyDescent="0.3">
      <c r="J32307" s="33"/>
    </row>
    <row r="32308" spans="10:10" ht="15" customHeight="1" x14ac:dyDescent="0.3">
      <c r="J32308" s="33"/>
    </row>
    <row r="32309" spans="10:10" ht="15" customHeight="1" x14ac:dyDescent="0.3">
      <c r="J32309" s="33"/>
    </row>
    <row r="32310" spans="10:10" x14ac:dyDescent="0.3">
      <c r="J32310" s="33"/>
    </row>
    <row r="32311" spans="10:10" ht="15" customHeight="1" x14ac:dyDescent="0.3">
      <c r="J32311" s="33"/>
    </row>
    <row r="32312" spans="10:10" x14ac:dyDescent="0.3">
      <c r="J32312" s="33"/>
    </row>
    <row r="32313" spans="10:10" ht="15" customHeight="1" x14ac:dyDescent="0.3">
      <c r="J32313" s="33"/>
    </row>
    <row r="32314" spans="10:10" ht="15" customHeight="1" x14ac:dyDescent="0.3">
      <c r="J32314" s="33"/>
    </row>
    <row r="32315" spans="10:10" ht="15" customHeight="1" x14ac:dyDescent="0.3">
      <c r="J32315" s="33"/>
    </row>
    <row r="32316" spans="10:10" ht="15" customHeight="1" x14ac:dyDescent="0.3">
      <c r="J32316" s="33"/>
    </row>
    <row r="32317" spans="10:10" x14ac:dyDescent="0.3">
      <c r="J32317" s="33"/>
    </row>
    <row r="32318" spans="10:10" x14ac:dyDescent="0.3">
      <c r="J32318" s="33"/>
    </row>
    <row r="32319" spans="10:10" ht="15" customHeight="1" x14ac:dyDescent="0.3">
      <c r="J32319" s="33"/>
    </row>
    <row r="32320" spans="10:10" ht="15" customHeight="1" x14ac:dyDescent="0.3">
      <c r="J32320" s="33"/>
    </row>
    <row r="32321" spans="10:10" ht="15" customHeight="1" x14ac:dyDescent="0.3">
      <c r="J32321" s="33"/>
    </row>
    <row r="32322" spans="10:10" ht="15" customHeight="1" x14ac:dyDescent="0.3">
      <c r="J32322" s="33"/>
    </row>
    <row r="32323" spans="10:10" ht="15" customHeight="1" x14ac:dyDescent="0.3">
      <c r="J32323" s="33"/>
    </row>
    <row r="32324" spans="10:10" ht="15" customHeight="1" x14ac:dyDescent="0.3">
      <c r="J32324" s="33"/>
    </row>
    <row r="32325" spans="10:10" ht="15" customHeight="1" x14ac:dyDescent="0.3">
      <c r="J32325" s="33"/>
    </row>
    <row r="32326" spans="10:10" x14ac:dyDescent="0.3">
      <c r="J32326" s="33"/>
    </row>
    <row r="32327" spans="10:10" x14ac:dyDescent="0.3">
      <c r="J32327" s="33"/>
    </row>
    <row r="32328" spans="10:10" ht="15" customHeight="1" x14ac:dyDescent="0.3">
      <c r="J32328" s="33"/>
    </row>
    <row r="32329" spans="10:10" ht="15" customHeight="1" x14ac:dyDescent="0.3">
      <c r="J32329" s="33"/>
    </row>
    <row r="32330" spans="10:10" x14ac:dyDescent="0.3">
      <c r="J32330" s="33"/>
    </row>
    <row r="32331" spans="10:10" ht="15" customHeight="1" x14ac:dyDescent="0.3">
      <c r="J32331" s="33"/>
    </row>
    <row r="32332" spans="10:10" ht="15" customHeight="1" x14ac:dyDescent="0.3">
      <c r="J32332" s="33"/>
    </row>
    <row r="32333" spans="10:10" ht="15" customHeight="1" x14ac:dyDescent="0.3">
      <c r="J32333" s="33"/>
    </row>
    <row r="32334" spans="10:10" x14ac:dyDescent="0.3">
      <c r="J32334" s="33"/>
    </row>
    <row r="32335" spans="10:10" ht="15" customHeight="1" x14ac:dyDescent="0.3">
      <c r="J32335" s="33"/>
    </row>
    <row r="32336" spans="10:10" ht="15" customHeight="1" x14ac:dyDescent="0.3">
      <c r="J32336" s="33"/>
    </row>
    <row r="32337" spans="10:10" ht="15" customHeight="1" x14ac:dyDescent="0.3">
      <c r="J32337" s="33"/>
    </row>
    <row r="32338" spans="10:10" x14ac:dyDescent="0.3">
      <c r="J32338" s="33"/>
    </row>
    <row r="32339" spans="10:10" x14ac:dyDescent="0.3">
      <c r="J32339" s="33"/>
    </row>
    <row r="32340" spans="10:10" ht="15" customHeight="1" x14ac:dyDescent="0.3">
      <c r="J32340" s="33"/>
    </row>
    <row r="32341" spans="10:10" x14ac:dyDescent="0.3">
      <c r="J32341" s="33"/>
    </row>
    <row r="32342" spans="10:10" x14ac:dyDescent="0.3">
      <c r="J32342" s="33"/>
    </row>
    <row r="32343" spans="10:10" ht="15" customHeight="1" x14ac:dyDescent="0.3">
      <c r="J32343" s="33"/>
    </row>
    <row r="32344" spans="10:10" ht="15" customHeight="1" x14ac:dyDescent="0.3">
      <c r="J32344" s="33"/>
    </row>
    <row r="32345" spans="10:10" x14ac:dyDescent="0.3">
      <c r="J32345" s="33"/>
    </row>
    <row r="32346" spans="10:10" x14ac:dyDescent="0.3">
      <c r="J32346" s="33"/>
    </row>
    <row r="32347" spans="10:10" ht="15" customHeight="1" x14ac:dyDescent="0.3">
      <c r="J32347" s="33"/>
    </row>
    <row r="32348" spans="10:10" ht="15" customHeight="1" x14ac:dyDescent="0.3">
      <c r="J32348" s="33"/>
    </row>
    <row r="32349" spans="10:10" x14ac:dyDescent="0.3">
      <c r="J32349" s="33"/>
    </row>
    <row r="32350" spans="10:10" ht="15" customHeight="1" x14ac:dyDescent="0.3">
      <c r="J32350" s="33"/>
    </row>
    <row r="32351" spans="10:10" ht="15" customHeight="1" x14ac:dyDescent="0.3">
      <c r="J32351" s="33"/>
    </row>
    <row r="32352" spans="10:10" x14ac:dyDescent="0.3">
      <c r="J32352" s="33"/>
    </row>
    <row r="32353" spans="10:10" ht="15" customHeight="1" x14ac:dyDescent="0.3">
      <c r="J32353" s="33"/>
    </row>
    <row r="32354" spans="10:10" ht="15" customHeight="1" x14ac:dyDescent="0.3">
      <c r="J32354" s="33"/>
    </row>
    <row r="32355" spans="10:10" ht="15" customHeight="1" x14ac:dyDescent="0.3">
      <c r="J32355" s="33"/>
    </row>
    <row r="32356" spans="10:10" x14ac:dyDescent="0.3">
      <c r="J32356" s="33"/>
    </row>
    <row r="32357" spans="10:10" ht="15" customHeight="1" x14ac:dyDescent="0.3">
      <c r="J32357" s="33"/>
    </row>
    <row r="32358" spans="10:10" x14ac:dyDescent="0.3">
      <c r="J32358" s="33"/>
    </row>
    <row r="32359" spans="10:10" ht="15" customHeight="1" x14ac:dyDescent="0.3">
      <c r="J32359" s="33"/>
    </row>
    <row r="32360" spans="10:10" ht="15" customHeight="1" x14ac:dyDescent="0.3">
      <c r="J32360" s="33"/>
    </row>
    <row r="32361" spans="10:10" x14ac:dyDescent="0.3">
      <c r="J32361" s="33"/>
    </row>
    <row r="32362" spans="10:10" ht="15" customHeight="1" x14ac:dyDescent="0.3">
      <c r="J32362" s="33"/>
    </row>
    <row r="32363" spans="10:10" ht="15" customHeight="1" x14ac:dyDescent="0.3">
      <c r="J32363" s="33"/>
    </row>
    <row r="32364" spans="10:10" ht="15" customHeight="1" x14ac:dyDescent="0.3">
      <c r="J32364" s="33"/>
    </row>
    <row r="32365" spans="10:10" ht="15" customHeight="1" x14ac:dyDescent="0.3">
      <c r="J32365" s="33"/>
    </row>
    <row r="32366" spans="10:10" x14ac:dyDescent="0.3">
      <c r="J32366" s="33"/>
    </row>
    <row r="32367" spans="10:10" ht="15" customHeight="1" x14ac:dyDescent="0.3">
      <c r="J32367" s="33"/>
    </row>
    <row r="32368" spans="10:10" x14ac:dyDescent="0.3">
      <c r="J32368" s="33"/>
    </row>
    <row r="32369" spans="10:10" x14ac:dyDescent="0.3">
      <c r="J32369" s="33"/>
    </row>
    <row r="32370" spans="10:10" ht="15" customHeight="1" x14ac:dyDescent="0.3">
      <c r="J32370" s="33"/>
    </row>
    <row r="32371" spans="10:10" ht="15" customHeight="1" x14ac:dyDescent="0.3">
      <c r="J32371" s="33"/>
    </row>
    <row r="32372" spans="10:10" x14ac:dyDescent="0.3">
      <c r="J32372" s="33"/>
    </row>
    <row r="32373" spans="10:10" ht="15" customHeight="1" x14ac:dyDescent="0.3">
      <c r="J32373" s="33"/>
    </row>
    <row r="32374" spans="10:10" x14ac:dyDescent="0.3">
      <c r="J32374" s="33"/>
    </row>
    <row r="32375" spans="10:10" x14ac:dyDescent="0.3">
      <c r="J32375" s="33"/>
    </row>
    <row r="32376" spans="10:10" ht="15" customHeight="1" x14ac:dyDescent="0.3">
      <c r="J32376" s="33"/>
    </row>
    <row r="32377" spans="10:10" ht="15" customHeight="1" x14ac:dyDescent="0.3">
      <c r="J32377" s="33"/>
    </row>
    <row r="32378" spans="10:10" ht="15" customHeight="1" x14ac:dyDescent="0.3">
      <c r="J32378" s="33"/>
    </row>
    <row r="32379" spans="10:10" x14ac:dyDescent="0.3">
      <c r="J32379" s="33"/>
    </row>
    <row r="32380" spans="10:10" ht="15" customHeight="1" x14ac:dyDescent="0.3">
      <c r="J32380" s="33"/>
    </row>
    <row r="32381" spans="10:10" ht="15" customHeight="1" x14ac:dyDescent="0.3">
      <c r="J32381" s="33"/>
    </row>
    <row r="32382" spans="10:10" ht="15" customHeight="1" x14ac:dyDescent="0.3">
      <c r="J32382" s="33"/>
    </row>
    <row r="32383" spans="10:10" x14ac:dyDescent="0.3">
      <c r="J32383" s="33"/>
    </row>
    <row r="32384" spans="10:10" x14ac:dyDescent="0.3">
      <c r="J32384" s="33"/>
    </row>
    <row r="32385" spans="10:10" ht="15" customHeight="1" x14ac:dyDescent="0.3">
      <c r="J32385" s="33"/>
    </row>
    <row r="32386" spans="10:10" ht="15" customHeight="1" x14ac:dyDescent="0.3">
      <c r="J32386" s="33"/>
    </row>
    <row r="32387" spans="10:10" ht="15" customHeight="1" x14ac:dyDescent="0.3">
      <c r="J32387" s="33"/>
    </row>
    <row r="32388" spans="10:10" ht="15" customHeight="1" x14ac:dyDescent="0.3">
      <c r="J32388" s="33"/>
    </row>
    <row r="32389" spans="10:10" ht="15" customHeight="1" x14ac:dyDescent="0.3">
      <c r="J32389" s="33"/>
    </row>
    <row r="32390" spans="10:10" ht="15" customHeight="1" x14ac:dyDescent="0.3">
      <c r="J32390" s="33"/>
    </row>
    <row r="32391" spans="10:10" ht="15" customHeight="1" x14ac:dyDescent="0.3">
      <c r="J32391" s="33"/>
    </row>
    <row r="32392" spans="10:10" x14ac:dyDescent="0.3">
      <c r="J32392" s="33"/>
    </row>
    <row r="32393" spans="10:10" ht="15" customHeight="1" x14ac:dyDescent="0.3">
      <c r="J32393" s="33"/>
    </row>
    <row r="32394" spans="10:10" x14ac:dyDescent="0.3">
      <c r="J32394" s="33"/>
    </row>
    <row r="32395" spans="10:10" ht="15" customHeight="1" x14ac:dyDescent="0.3">
      <c r="J32395" s="33"/>
    </row>
    <row r="32396" spans="10:10" ht="15" customHeight="1" x14ac:dyDescent="0.3">
      <c r="J32396" s="33"/>
    </row>
    <row r="32397" spans="10:10" ht="15" customHeight="1" x14ac:dyDescent="0.3">
      <c r="J32397" s="33"/>
    </row>
    <row r="32398" spans="10:10" x14ac:dyDescent="0.3">
      <c r="J32398" s="33"/>
    </row>
    <row r="32399" spans="10:10" x14ac:dyDescent="0.3">
      <c r="J32399" s="33"/>
    </row>
    <row r="32400" spans="10:10" ht="15" customHeight="1" x14ac:dyDescent="0.3">
      <c r="J32400" s="33"/>
    </row>
    <row r="32401" spans="10:10" ht="15" customHeight="1" x14ac:dyDescent="0.3">
      <c r="J32401" s="33"/>
    </row>
    <row r="32402" spans="10:10" ht="15" customHeight="1" x14ac:dyDescent="0.3">
      <c r="J32402" s="33"/>
    </row>
    <row r="32403" spans="10:10" ht="15" customHeight="1" x14ac:dyDescent="0.3">
      <c r="J32403" s="33"/>
    </row>
    <row r="32404" spans="10:10" x14ac:dyDescent="0.3">
      <c r="J32404" s="33"/>
    </row>
    <row r="32405" spans="10:10" x14ac:dyDescent="0.3">
      <c r="J32405" s="33"/>
    </row>
    <row r="32406" spans="10:10" ht="15" customHeight="1" x14ac:dyDescent="0.3">
      <c r="J32406" s="33"/>
    </row>
    <row r="32407" spans="10:10" ht="15" customHeight="1" x14ac:dyDescent="0.3">
      <c r="J32407" s="33"/>
    </row>
    <row r="32408" spans="10:10" ht="15" customHeight="1" x14ac:dyDescent="0.3">
      <c r="J32408" s="33"/>
    </row>
    <row r="32409" spans="10:10" x14ac:dyDescent="0.3">
      <c r="J32409" s="33"/>
    </row>
    <row r="32410" spans="10:10" ht="15" customHeight="1" x14ac:dyDescent="0.3">
      <c r="J32410" s="33"/>
    </row>
    <row r="32411" spans="10:10" x14ac:dyDescent="0.3">
      <c r="J32411" s="33"/>
    </row>
    <row r="32412" spans="10:10" x14ac:dyDescent="0.3">
      <c r="J32412" s="33"/>
    </row>
    <row r="32413" spans="10:10" ht="15" customHeight="1" x14ac:dyDescent="0.3">
      <c r="J32413" s="33"/>
    </row>
    <row r="32414" spans="10:10" ht="15" customHeight="1" x14ac:dyDescent="0.3">
      <c r="J32414" s="33"/>
    </row>
    <row r="32415" spans="10:10" ht="15" customHeight="1" x14ac:dyDescent="0.3">
      <c r="J32415" s="33"/>
    </row>
    <row r="32416" spans="10:10" ht="15" customHeight="1" x14ac:dyDescent="0.3">
      <c r="J32416" s="33"/>
    </row>
    <row r="32417" spans="10:10" ht="15" customHeight="1" x14ac:dyDescent="0.3">
      <c r="J32417" s="33"/>
    </row>
    <row r="32418" spans="10:10" x14ac:dyDescent="0.3">
      <c r="J32418" s="33"/>
    </row>
    <row r="32419" spans="10:10" x14ac:dyDescent="0.3">
      <c r="J32419" s="33"/>
    </row>
    <row r="32420" spans="10:10" ht="15" customHeight="1" x14ac:dyDescent="0.3">
      <c r="J32420" s="33"/>
    </row>
    <row r="32421" spans="10:10" x14ac:dyDescent="0.3">
      <c r="J32421" s="33"/>
    </row>
    <row r="32422" spans="10:10" ht="15" customHeight="1" x14ac:dyDescent="0.3">
      <c r="J32422" s="33"/>
    </row>
    <row r="32423" spans="10:10" x14ac:dyDescent="0.3">
      <c r="J32423" s="33"/>
    </row>
    <row r="32424" spans="10:10" x14ac:dyDescent="0.3">
      <c r="J32424" s="33"/>
    </row>
    <row r="32425" spans="10:10" ht="15" customHeight="1" x14ac:dyDescent="0.3">
      <c r="J32425" s="33"/>
    </row>
    <row r="32426" spans="10:10" x14ac:dyDescent="0.3">
      <c r="J32426" s="33"/>
    </row>
    <row r="32427" spans="10:10" ht="15" customHeight="1" x14ac:dyDescent="0.3">
      <c r="J32427" s="33"/>
    </row>
    <row r="32428" spans="10:10" ht="15" customHeight="1" x14ac:dyDescent="0.3">
      <c r="J32428" s="33"/>
    </row>
    <row r="32429" spans="10:10" x14ac:dyDescent="0.3">
      <c r="J32429" s="33"/>
    </row>
    <row r="32430" spans="10:10" x14ac:dyDescent="0.3">
      <c r="J32430" s="33"/>
    </row>
    <row r="32431" spans="10:10" x14ac:dyDescent="0.3">
      <c r="J32431" s="33"/>
    </row>
    <row r="32432" spans="10:10" ht="15" customHeight="1" x14ac:dyDescent="0.3">
      <c r="J32432" s="33"/>
    </row>
    <row r="32433" spans="10:10" ht="15" customHeight="1" x14ac:dyDescent="0.3">
      <c r="J32433" s="33"/>
    </row>
    <row r="32434" spans="10:10" ht="15" customHeight="1" x14ac:dyDescent="0.3">
      <c r="J32434" s="33"/>
    </row>
    <row r="32435" spans="10:10" ht="15" customHeight="1" x14ac:dyDescent="0.3">
      <c r="J32435" s="33"/>
    </row>
    <row r="32436" spans="10:10" ht="15" customHeight="1" x14ac:dyDescent="0.3">
      <c r="J32436" s="33"/>
    </row>
    <row r="32437" spans="10:10" ht="15" customHeight="1" x14ac:dyDescent="0.3">
      <c r="J32437" s="33"/>
    </row>
    <row r="32438" spans="10:10" ht="15" customHeight="1" x14ac:dyDescent="0.3">
      <c r="J32438" s="33"/>
    </row>
    <row r="32439" spans="10:10" x14ac:dyDescent="0.3">
      <c r="J32439" s="33"/>
    </row>
    <row r="32440" spans="10:10" x14ac:dyDescent="0.3">
      <c r="J32440" s="33"/>
    </row>
    <row r="32441" spans="10:10" x14ac:dyDescent="0.3">
      <c r="J32441" s="33"/>
    </row>
    <row r="32442" spans="10:10" x14ac:dyDescent="0.3">
      <c r="J32442" s="33"/>
    </row>
    <row r="32443" spans="10:10" ht="15" customHeight="1" x14ac:dyDescent="0.3">
      <c r="J32443" s="33"/>
    </row>
    <row r="32444" spans="10:10" ht="15" customHeight="1" x14ac:dyDescent="0.3">
      <c r="J32444" s="33"/>
    </row>
    <row r="32445" spans="10:10" x14ac:dyDescent="0.3">
      <c r="J32445" s="33"/>
    </row>
    <row r="32446" spans="10:10" x14ac:dyDescent="0.3">
      <c r="J32446" s="33"/>
    </row>
    <row r="32447" spans="10:10" ht="15" customHeight="1" x14ac:dyDescent="0.3">
      <c r="J32447" s="33"/>
    </row>
    <row r="32448" spans="10:10" ht="15" customHeight="1" x14ac:dyDescent="0.3">
      <c r="J32448" s="33"/>
    </row>
    <row r="32449" spans="10:10" x14ac:dyDescent="0.3">
      <c r="J32449" s="33"/>
    </row>
    <row r="32450" spans="10:10" ht="15" customHeight="1" x14ac:dyDescent="0.3">
      <c r="J32450" s="33"/>
    </row>
    <row r="32451" spans="10:10" ht="15" customHeight="1" x14ac:dyDescent="0.3">
      <c r="J32451" s="33"/>
    </row>
    <row r="32452" spans="10:10" ht="15" customHeight="1" x14ac:dyDescent="0.3">
      <c r="J32452" s="33"/>
    </row>
    <row r="32453" spans="10:10" ht="15" customHeight="1" x14ac:dyDescent="0.3">
      <c r="J32453" s="33"/>
    </row>
    <row r="32454" spans="10:10" ht="15" customHeight="1" x14ac:dyDescent="0.3">
      <c r="J32454" s="33"/>
    </row>
    <row r="32455" spans="10:10" ht="15" customHeight="1" x14ac:dyDescent="0.3">
      <c r="J32455" s="33"/>
    </row>
    <row r="32456" spans="10:10" x14ac:dyDescent="0.3">
      <c r="J32456" s="33"/>
    </row>
    <row r="32457" spans="10:10" ht="15" customHeight="1" x14ac:dyDescent="0.3">
      <c r="J32457" s="33"/>
    </row>
    <row r="32458" spans="10:10" ht="15" customHeight="1" x14ac:dyDescent="0.3">
      <c r="J32458" s="33"/>
    </row>
    <row r="32459" spans="10:10" x14ac:dyDescent="0.3">
      <c r="J32459" s="33"/>
    </row>
    <row r="32460" spans="10:10" ht="15" customHeight="1" x14ac:dyDescent="0.3">
      <c r="J32460" s="33"/>
    </row>
    <row r="32461" spans="10:10" ht="15" customHeight="1" x14ac:dyDescent="0.3">
      <c r="J32461" s="33"/>
    </row>
    <row r="32462" spans="10:10" ht="15" customHeight="1" x14ac:dyDescent="0.3">
      <c r="J32462" s="33"/>
    </row>
    <row r="32463" spans="10:10" ht="15" customHeight="1" x14ac:dyDescent="0.3">
      <c r="J32463" s="33"/>
    </row>
    <row r="32464" spans="10:10" x14ac:dyDescent="0.3">
      <c r="J32464" s="33"/>
    </row>
    <row r="32465" spans="10:10" x14ac:dyDescent="0.3">
      <c r="J32465" s="33"/>
    </row>
    <row r="32466" spans="10:10" ht="15" customHeight="1" x14ac:dyDescent="0.3">
      <c r="J32466" s="33"/>
    </row>
    <row r="32467" spans="10:10" ht="15" customHeight="1" x14ac:dyDescent="0.3">
      <c r="J32467" s="33"/>
    </row>
    <row r="32468" spans="10:10" ht="15" customHeight="1" x14ac:dyDescent="0.3">
      <c r="J32468" s="33"/>
    </row>
    <row r="32469" spans="10:10" x14ac:dyDescent="0.3">
      <c r="J32469" s="33"/>
    </row>
    <row r="32470" spans="10:10" x14ac:dyDescent="0.3">
      <c r="J32470" s="33"/>
    </row>
    <row r="32471" spans="10:10" x14ac:dyDescent="0.3">
      <c r="J32471" s="33"/>
    </row>
    <row r="32472" spans="10:10" ht="15" customHeight="1" x14ac:dyDescent="0.3">
      <c r="J32472" s="33"/>
    </row>
    <row r="32473" spans="10:10" x14ac:dyDescent="0.3">
      <c r="J32473" s="33"/>
    </row>
    <row r="32474" spans="10:10" ht="15" customHeight="1" x14ac:dyDescent="0.3">
      <c r="J32474" s="33"/>
    </row>
    <row r="32475" spans="10:10" x14ac:dyDescent="0.3">
      <c r="J32475" s="33"/>
    </row>
    <row r="32476" spans="10:10" x14ac:dyDescent="0.3">
      <c r="J32476" s="33"/>
    </row>
    <row r="32477" spans="10:10" ht="15" customHeight="1" x14ac:dyDescent="0.3">
      <c r="J32477" s="33"/>
    </row>
    <row r="32478" spans="10:10" ht="15" customHeight="1" x14ac:dyDescent="0.3">
      <c r="J32478" s="33"/>
    </row>
    <row r="32479" spans="10:10" ht="15" customHeight="1" x14ac:dyDescent="0.3">
      <c r="J32479" s="33"/>
    </row>
    <row r="32480" spans="10:10" ht="15" customHeight="1" x14ac:dyDescent="0.3">
      <c r="J32480" s="33"/>
    </row>
    <row r="32481" spans="10:10" ht="15" customHeight="1" x14ac:dyDescent="0.3">
      <c r="J32481" s="33"/>
    </row>
    <row r="32482" spans="10:10" x14ac:dyDescent="0.3">
      <c r="J32482" s="33"/>
    </row>
    <row r="32483" spans="10:10" x14ac:dyDescent="0.3">
      <c r="J32483" s="33"/>
    </row>
    <row r="32484" spans="10:10" x14ac:dyDescent="0.3">
      <c r="J32484" s="33"/>
    </row>
    <row r="32485" spans="10:10" ht="15" customHeight="1" x14ac:dyDescent="0.3">
      <c r="J32485" s="33"/>
    </row>
    <row r="32486" spans="10:10" ht="15" customHeight="1" x14ac:dyDescent="0.3">
      <c r="J32486" s="33"/>
    </row>
    <row r="32487" spans="10:10" x14ac:dyDescent="0.3">
      <c r="J32487" s="33"/>
    </row>
    <row r="32488" spans="10:10" ht="15" customHeight="1" x14ac:dyDescent="0.3">
      <c r="J32488" s="33"/>
    </row>
    <row r="32489" spans="10:10" ht="15" customHeight="1" x14ac:dyDescent="0.3">
      <c r="J32489" s="33"/>
    </row>
    <row r="32490" spans="10:10" ht="15" customHeight="1" x14ac:dyDescent="0.3">
      <c r="J32490" s="33"/>
    </row>
    <row r="32491" spans="10:10" ht="15" customHeight="1" x14ac:dyDescent="0.3">
      <c r="J32491" s="33"/>
    </row>
    <row r="32492" spans="10:10" ht="15" customHeight="1" x14ac:dyDescent="0.3">
      <c r="J32492" s="33"/>
    </row>
    <row r="32493" spans="10:10" x14ac:dyDescent="0.3">
      <c r="J32493" s="33"/>
    </row>
    <row r="32494" spans="10:10" ht="15" customHeight="1" x14ac:dyDescent="0.3">
      <c r="J32494" s="33"/>
    </row>
    <row r="32495" spans="10:10" ht="15" customHeight="1" x14ac:dyDescent="0.3">
      <c r="J32495" s="33"/>
    </row>
    <row r="32496" spans="10:10" x14ac:dyDescent="0.3">
      <c r="J32496" s="33"/>
    </row>
    <row r="32497" spans="10:10" x14ac:dyDescent="0.3">
      <c r="J32497" s="33"/>
    </row>
    <row r="32498" spans="10:10" ht="15" customHeight="1" x14ac:dyDescent="0.3">
      <c r="J32498" s="33"/>
    </row>
    <row r="32499" spans="10:10" x14ac:dyDescent="0.3">
      <c r="J32499" s="33"/>
    </row>
    <row r="32500" spans="10:10" ht="15" customHeight="1" x14ac:dyDescent="0.3">
      <c r="J32500" s="33"/>
    </row>
    <row r="32501" spans="10:10" x14ac:dyDescent="0.3">
      <c r="J32501" s="33"/>
    </row>
    <row r="32502" spans="10:10" ht="15" customHeight="1" x14ac:dyDescent="0.3">
      <c r="J32502" s="33"/>
    </row>
    <row r="32503" spans="10:10" ht="15" customHeight="1" x14ac:dyDescent="0.3">
      <c r="J32503" s="33"/>
    </row>
    <row r="32504" spans="10:10" x14ac:dyDescent="0.3">
      <c r="J32504" s="33"/>
    </row>
    <row r="32505" spans="10:10" ht="15" customHeight="1" x14ac:dyDescent="0.3">
      <c r="J32505" s="33"/>
    </row>
    <row r="32506" spans="10:10" ht="15" customHeight="1" x14ac:dyDescent="0.3">
      <c r="J32506" s="33"/>
    </row>
    <row r="32507" spans="10:10" ht="15" customHeight="1" x14ac:dyDescent="0.3">
      <c r="J32507" s="33"/>
    </row>
    <row r="32508" spans="10:10" x14ac:dyDescent="0.3">
      <c r="J32508" s="33"/>
    </row>
    <row r="32509" spans="10:10" ht="15" customHeight="1" x14ac:dyDescent="0.3">
      <c r="J32509" s="33"/>
    </row>
    <row r="32510" spans="10:10" x14ac:dyDescent="0.3">
      <c r="J32510" s="33"/>
    </row>
    <row r="32511" spans="10:10" ht="15" customHeight="1" x14ac:dyDescent="0.3">
      <c r="J32511" s="33"/>
    </row>
    <row r="32512" spans="10:10" ht="15" customHeight="1" x14ac:dyDescent="0.3">
      <c r="J32512" s="33"/>
    </row>
    <row r="32513" spans="10:10" x14ac:dyDescent="0.3">
      <c r="J32513" s="33"/>
    </row>
    <row r="32514" spans="10:10" x14ac:dyDescent="0.3">
      <c r="J32514" s="33"/>
    </row>
    <row r="32515" spans="10:10" ht="15" customHeight="1" x14ac:dyDescent="0.3">
      <c r="J32515" s="33"/>
    </row>
    <row r="32516" spans="10:10" x14ac:dyDescent="0.3">
      <c r="J32516" s="33"/>
    </row>
    <row r="32517" spans="10:10" ht="15" customHeight="1" x14ac:dyDescent="0.3">
      <c r="J32517" s="33"/>
    </row>
    <row r="32518" spans="10:10" x14ac:dyDescent="0.3">
      <c r="J32518" s="33"/>
    </row>
    <row r="32519" spans="10:10" ht="15" customHeight="1" x14ac:dyDescent="0.3">
      <c r="J32519" s="33"/>
    </row>
    <row r="32520" spans="10:10" ht="15" customHeight="1" x14ac:dyDescent="0.3">
      <c r="J32520" s="33"/>
    </row>
    <row r="32521" spans="10:10" ht="15" customHeight="1" x14ac:dyDescent="0.3">
      <c r="J32521" s="33"/>
    </row>
    <row r="32522" spans="10:10" ht="15" customHeight="1" x14ac:dyDescent="0.3">
      <c r="J32522" s="33"/>
    </row>
    <row r="32523" spans="10:10" x14ac:dyDescent="0.3">
      <c r="J32523" s="33"/>
    </row>
    <row r="32524" spans="10:10" ht="15" customHeight="1" x14ac:dyDescent="0.3">
      <c r="J32524" s="33"/>
    </row>
    <row r="32525" spans="10:10" x14ac:dyDescent="0.3">
      <c r="J32525" s="33"/>
    </row>
    <row r="32526" spans="10:10" x14ac:dyDescent="0.3">
      <c r="J32526" s="33"/>
    </row>
    <row r="32527" spans="10:10" x14ac:dyDescent="0.3">
      <c r="J32527" s="33"/>
    </row>
    <row r="32528" spans="10:10" x14ac:dyDescent="0.3">
      <c r="J32528" s="33"/>
    </row>
    <row r="32529" spans="10:10" ht="15" customHeight="1" x14ac:dyDescent="0.3">
      <c r="J32529" s="33"/>
    </row>
    <row r="32530" spans="10:10" x14ac:dyDescent="0.3">
      <c r="J32530" s="33"/>
    </row>
    <row r="32531" spans="10:10" x14ac:dyDescent="0.3">
      <c r="J32531" s="33"/>
    </row>
    <row r="32532" spans="10:10" x14ac:dyDescent="0.3">
      <c r="J32532" s="33"/>
    </row>
    <row r="32533" spans="10:10" x14ac:dyDescent="0.3">
      <c r="J32533" s="33"/>
    </row>
    <row r="32534" spans="10:10" ht="15" customHeight="1" x14ac:dyDescent="0.3">
      <c r="J32534" s="33"/>
    </row>
    <row r="32535" spans="10:10" x14ac:dyDescent="0.3">
      <c r="J32535" s="33"/>
    </row>
    <row r="32536" spans="10:10" x14ac:dyDescent="0.3">
      <c r="J32536" s="33"/>
    </row>
    <row r="32537" spans="10:10" x14ac:dyDescent="0.3">
      <c r="J32537" s="33"/>
    </row>
    <row r="32538" spans="10:10" ht="15" customHeight="1" x14ac:dyDescent="0.3">
      <c r="J32538" s="33"/>
    </row>
    <row r="32539" spans="10:10" x14ac:dyDescent="0.3">
      <c r="J32539" s="33"/>
    </row>
    <row r="32540" spans="10:10" ht="15" customHeight="1" x14ac:dyDescent="0.3">
      <c r="J32540" s="33"/>
    </row>
    <row r="32541" spans="10:10" x14ac:dyDescent="0.3">
      <c r="J32541" s="33"/>
    </row>
    <row r="32542" spans="10:10" ht="15" customHeight="1" x14ac:dyDescent="0.3">
      <c r="J32542" s="33"/>
    </row>
    <row r="32543" spans="10:10" ht="15" customHeight="1" x14ac:dyDescent="0.3">
      <c r="J32543" s="33"/>
    </row>
    <row r="32544" spans="10:10" ht="15" customHeight="1" x14ac:dyDescent="0.3">
      <c r="J32544" s="33"/>
    </row>
    <row r="32545" spans="10:10" x14ac:dyDescent="0.3">
      <c r="J32545" s="33"/>
    </row>
    <row r="32546" spans="10:10" ht="15" customHeight="1" x14ac:dyDescent="0.3">
      <c r="J32546" s="33"/>
    </row>
    <row r="32547" spans="10:10" ht="15" customHeight="1" x14ac:dyDescent="0.3">
      <c r="J32547" s="33"/>
    </row>
    <row r="32548" spans="10:10" ht="15" customHeight="1" x14ac:dyDescent="0.3">
      <c r="J32548" s="33"/>
    </row>
    <row r="32549" spans="10:10" x14ac:dyDescent="0.3">
      <c r="J32549" s="33"/>
    </row>
    <row r="32550" spans="10:10" x14ac:dyDescent="0.3">
      <c r="J32550" s="33"/>
    </row>
    <row r="32551" spans="10:10" x14ac:dyDescent="0.3">
      <c r="J32551" s="33"/>
    </row>
    <row r="32552" spans="10:10" x14ac:dyDescent="0.3">
      <c r="J32552" s="33"/>
    </row>
    <row r="32553" spans="10:10" x14ac:dyDescent="0.3">
      <c r="J32553" s="33"/>
    </row>
    <row r="32554" spans="10:10" ht="15" customHeight="1" x14ac:dyDescent="0.3">
      <c r="J32554" s="33"/>
    </row>
    <row r="32555" spans="10:10" x14ac:dyDescent="0.3">
      <c r="J32555" s="33"/>
    </row>
    <row r="32556" spans="10:10" x14ac:dyDescent="0.3">
      <c r="J32556" s="33"/>
    </row>
    <row r="32557" spans="10:10" ht="15" customHeight="1" x14ac:dyDescent="0.3">
      <c r="J32557" s="33"/>
    </row>
    <row r="32558" spans="10:10" x14ac:dyDescent="0.3">
      <c r="J32558" s="33"/>
    </row>
    <row r="32559" spans="10:10" ht="15" customHeight="1" x14ac:dyDescent="0.3">
      <c r="J32559" s="33"/>
    </row>
    <row r="32560" spans="10:10" ht="15" customHeight="1" x14ac:dyDescent="0.3">
      <c r="J32560" s="33"/>
    </row>
    <row r="32561" spans="10:10" x14ac:dyDescent="0.3">
      <c r="J32561" s="33"/>
    </row>
    <row r="32562" spans="10:10" ht="15" customHeight="1" x14ac:dyDescent="0.3">
      <c r="J32562" s="33"/>
    </row>
    <row r="32563" spans="10:10" x14ac:dyDescent="0.3">
      <c r="J32563" s="33"/>
    </row>
    <row r="32564" spans="10:10" ht="15" customHeight="1" x14ac:dyDescent="0.3">
      <c r="J32564" s="33"/>
    </row>
    <row r="32565" spans="10:10" ht="15" customHeight="1" x14ac:dyDescent="0.3">
      <c r="J32565" s="33"/>
    </row>
    <row r="32566" spans="10:10" x14ac:dyDescent="0.3">
      <c r="J32566" s="33"/>
    </row>
    <row r="32567" spans="10:10" ht="15" customHeight="1" x14ac:dyDescent="0.3">
      <c r="J32567" s="33"/>
    </row>
    <row r="32568" spans="10:10" ht="15" customHeight="1" x14ac:dyDescent="0.3">
      <c r="J32568" s="33"/>
    </row>
    <row r="32569" spans="10:10" ht="15" customHeight="1" x14ac:dyDescent="0.3">
      <c r="J32569" s="33"/>
    </row>
    <row r="32570" spans="10:10" ht="15" customHeight="1" x14ac:dyDescent="0.3">
      <c r="J32570" s="33"/>
    </row>
    <row r="32571" spans="10:10" x14ac:dyDescent="0.3">
      <c r="J32571" s="33"/>
    </row>
    <row r="32572" spans="10:10" x14ac:dyDescent="0.3">
      <c r="J32572" s="33"/>
    </row>
    <row r="32573" spans="10:10" ht="15" customHeight="1" x14ac:dyDescent="0.3">
      <c r="J32573" s="33"/>
    </row>
    <row r="32574" spans="10:10" ht="15" customHeight="1" x14ac:dyDescent="0.3">
      <c r="J32574" s="33"/>
    </row>
    <row r="32575" spans="10:10" ht="15" customHeight="1" x14ac:dyDescent="0.3">
      <c r="J32575" s="33"/>
    </row>
    <row r="32576" spans="10:10" ht="15" customHeight="1" x14ac:dyDescent="0.3">
      <c r="J32576" s="33"/>
    </row>
    <row r="32577" spans="10:10" ht="15" customHeight="1" x14ac:dyDescent="0.3">
      <c r="J32577" s="33"/>
    </row>
    <row r="32578" spans="10:10" ht="15" customHeight="1" x14ac:dyDescent="0.3">
      <c r="J32578" s="33"/>
    </row>
    <row r="32579" spans="10:10" ht="15" customHeight="1" x14ac:dyDescent="0.3">
      <c r="J32579" s="33"/>
    </row>
    <row r="32580" spans="10:10" x14ac:dyDescent="0.3">
      <c r="J32580" s="33"/>
    </row>
    <row r="32581" spans="10:10" ht="15" customHeight="1" x14ac:dyDescent="0.3">
      <c r="J32581" s="33"/>
    </row>
    <row r="32582" spans="10:10" ht="15" customHeight="1" x14ac:dyDescent="0.3">
      <c r="J32582" s="33"/>
    </row>
    <row r="32583" spans="10:10" x14ac:dyDescent="0.3">
      <c r="J32583" s="33"/>
    </row>
    <row r="32584" spans="10:10" ht="15" customHeight="1" x14ac:dyDescent="0.3">
      <c r="J32584" s="33"/>
    </row>
    <row r="32585" spans="10:10" ht="15" customHeight="1" x14ac:dyDescent="0.3">
      <c r="J32585" s="33"/>
    </row>
    <row r="32586" spans="10:10" x14ac:dyDescent="0.3">
      <c r="J32586" s="33"/>
    </row>
    <row r="32587" spans="10:10" ht="15" customHeight="1" x14ac:dyDescent="0.3">
      <c r="J32587" s="33"/>
    </row>
    <row r="32588" spans="10:10" x14ac:dyDescent="0.3">
      <c r="J32588" s="33"/>
    </row>
    <row r="32589" spans="10:10" x14ac:dyDescent="0.3">
      <c r="J32589" s="33"/>
    </row>
    <row r="32590" spans="10:10" ht="15" customHeight="1" x14ac:dyDescent="0.3">
      <c r="J32590" s="33"/>
    </row>
    <row r="32591" spans="10:10" x14ac:dyDescent="0.3">
      <c r="J32591" s="33"/>
    </row>
    <row r="32592" spans="10:10" ht="15" customHeight="1" x14ac:dyDescent="0.3">
      <c r="J32592" s="33"/>
    </row>
    <row r="32593" spans="10:10" x14ac:dyDescent="0.3">
      <c r="J32593" s="33"/>
    </row>
    <row r="32594" spans="10:10" x14ac:dyDescent="0.3">
      <c r="J32594" s="33"/>
    </row>
    <row r="32595" spans="10:10" ht="15" customHeight="1" x14ac:dyDescent="0.3">
      <c r="J32595" s="33"/>
    </row>
    <row r="32596" spans="10:10" ht="15" customHeight="1" x14ac:dyDescent="0.3">
      <c r="J32596" s="33"/>
    </row>
    <row r="32597" spans="10:10" ht="15" customHeight="1" x14ac:dyDescent="0.3">
      <c r="J32597" s="33"/>
    </row>
    <row r="32598" spans="10:10" x14ac:dyDescent="0.3">
      <c r="J32598" s="33"/>
    </row>
    <row r="32599" spans="10:10" x14ac:dyDescent="0.3">
      <c r="J32599" s="33"/>
    </row>
    <row r="32600" spans="10:10" ht="15" customHeight="1" x14ac:dyDescent="0.3">
      <c r="J32600" s="33"/>
    </row>
    <row r="32601" spans="10:10" ht="15" customHeight="1" x14ac:dyDescent="0.3">
      <c r="J32601" s="33"/>
    </row>
    <row r="32602" spans="10:10" ht="15" customHeight="1" x14ac:dyDescent="0.3">
      <c r="J32602" s="33"/>
    </row>
    <row r="32603" spans="10:10" ht="15" customHeight="1" x14ac:dyDescent="0.3">
      <c r="J32603" s="33"/>
    </row>
    <row r="32604" spans="10:10" x14ac:dyDescent="0.3">
      <c r="J32604" s="33"/>
    </row>
    <row r="32605" spans="10:10" x14ac:dyDescent="0.3">
      <c r="J32605" s="33"/>
    </row>
    <row r="32606" spans="10:10" x14ac:dyDescent="0.3">
      <c r="J32606" s="33"/>
    </row>
    <row r="32607" spans="10:10" x14ac:dyDescent="0.3">
      <c r="J32607" s="33"/>
    </row>
    <row r="32608" spans="10:10" x14ac:dyDescent="0.3">
      <c r="J32608" s="33"/>
    </row>
    <row r="32609" spans="10:10" x14ac:dyDescent="0.3">
      <c r="J32609" s="33"/>
    </row>
    <row r="32610" spans="10:10" x14ac:dyDescent="0.3">
      <c r="J32610" s="33"/>
    </row>
    <row r="32611" spans="10:10" x14ac:dyDescent="0.3">
      <c r="J32611" s="33"/>
    </row>
    <row r="32612" spans="10:10" ht="15" customHeight="1" x14ac:dyDescent="0.3">
      <c r="J32612" s="33"/>
    </row>
    <row r="32613" spans="10:10" x14ac:dyDescent="0.3">
      <c r="J32613" s="33"/>
    </row>
    <row r="32614" spans="10:10" x14ac:dyDescent="0.3">
      <c r="J32614" s="33"/>
    </row>
    <row r="32615" spans="10:10" ht="15" customHeight="1" x14ac:dyDescent="0.3">
      <c r="J32615" s="33"/>
    </row>
    <row r="32616" spans="10:10" ht="15" customHeight="1" x14ac:dyDescent="0.3">
      <c r="J32616" s="33"/>
    </row>
    <row r="32617" spans="10:10" x14ac:dyDescent="0.3">
      <c r="J32617" s="33"/>
    </row>
    <row r="32618" spans="10:10" x14ac:dyDescent="0.3">
      <c r="J32618" s="33"/>
    </row>
    <row r="32619" spans="10:10" ht="15" customHeight="1" x14ac:dyDescent="0.3">
      <c r="J32619" s="33"/>
    </row>
    <row r="32620" spans="10:10" x14ac:dyDescent="0.3">
      <c r="J32620" s="33"/>
    </row>
    <row r="32621" spans="10:10" x14ac:dyDescent="0.3">
      <c r="J32621" s="33"/>
    </row>
    <row r="32622" spans="10:10" ht="15" customHeight="1" x14ac:dyDescent="0.3">
      <c r="J32622" s="33"/>
    </row>
    <row r="32623" spans="10:10" ht="15" customHeight="1" x14ac:dyDescent="0.3">
      <c r="J32623" s="33"/>
    </row>
    <row r="32624" spans="10:10" x14ac:dyDescent="0.3">
      <c r="J32624" s="33"/>
    </row>
    <row r="32625" spans="10:10" x14ac:dyDescent="0.3">
      <c r="J32625" s="33"/>
    </row>
    <row r="32626" spans="10:10" x14ac:dyDescent="0.3">
      <c r="J32626" s="33"/>
    </row>
    <row r="32627" spans="10:10" x14ac:dyDescent="0.3">
      <c r="J32627" s="33"/>
    </row>
    <row r="32628" spans="10:10" x14ac:dyDescent="0.3">
      <c r="J32628" s="33"/>
    </row>
    <row r="32629" spans="10:10" ht="15" customHeight="1" x14ac:dyDescent="0.3">
      <c r="J32629" s="33"/>
    </row>
    <row r="32630" spans="10:10" ht="15" customHeight="1" x14ac:dyDescent="0.3">
      <c r="J32630" s="33"/>
    </row>
    <row r="32631" spans="10:10" x14ac:dyDescent="0.3">
      <c r="J32631" s="33"/>
    </row>
    <row r="32632" spans="10:10" x14ac:dyDescent="0.3">
      <c r="J32632" s="33"/>
    </row>
    <row r="32633" spans="10:10" x14ac:dyDescent="0.3">
      <c r="J32633" s="33"/>
    </row>
    <row r="32634" spans="10:10" x14ac:dyDescent="0.3">
      <c r="J32634" s="33"/>
    </row>
    <row r="32635" spans="10:10" ht="15" customHeight="1" x14ac:dyDescent="0.3">
      <c r="J32635" s="33"/>
    </row>
    <row r="32636" spans="10:10" ht="15" customHeight="1" x14ac:dyDescent="0.3">
      <c r="J32636" s="33"/>
    </row>
    <row r="32637" spans="10:10" x14ac:dyDescent="0.3">
      <c r="J32637" s="33"/>
    </row>
    <row r="32638" spans="10:10" ht="15" customHeight="1" x14ac:dyDescent="0.3">
      <c r="J32638" s="33"/>
    </row>
    <row r="32639" spans="10:10" ht="15" customHeight="1" x14ac:dyDescent="0.3">
      <c r="J32639" s="33"/>
    </row>
    <row r="32640" spans="10:10" x14ac:dyDescent="0.3">
      <c r="J32640" s="33"/>
    </row>
    <row r="32641" spans="10:10" x14ac:dyDescent="0.3">
      <c r="J32641" s="33"/>
    </row>
    <row r="32642" spans="10:10" ht="15" customHeight="1" x14ac:dyDescent="0.3">
      <c r="J32642" s="33"/>
    </row>
    <row r="32643" spans="10:10" ht="15" customHeight="1" x14ac:dyDescent="0.3">
      <c r="J32643" s="33"/>
    </row>
    <row r="32644" spans="10:10" x14ac:dyDescent="0.3">
      <c r="J32644" s="33"/>
    </row>
    <row r="32645" spans="10:10" ht="15" customHeight="1" x14ac:dyDescent="0.3">
      <c r="J32645" s="33"/>
    </row>
    <row r="32646" spans="10:10" x14ac:dyDescent="0.3">
      <c r="J32646" s="33"/>
    </row>
    <row r="32647" spans="10:10" ht="15" customHeight="1" x14ac:dyDescent="0.3">
      <c r="J32647" s="33"/>
    </row>
    <row r="32648" spans="10:10" x14ac:dyDescent="0.3">
      <c r="J32648" s="33"/>
    </row>
    <row r="32649" spans="10:10" x14ac:dyDescent="0.3">
      <c r="J32649" s="33"/>
    </row>
    <row r="32650" spans="10:10" ht="15" customHeight="1" x14ac:dyDescent="0.3">
      <c r="J32650" s="33"/>
    </row>
    <row r="32651" spans="10:10" x14ac:dyDescent="0.3">
      <c r="J32651" s="33"/>
    </row>
    <row r="32652" spans="10:10" x14ac:dyDescent="0.3">
      <c r="J32652" s="33"/>
    </row>
    <row r="32653" spans="10:10" x14ac:dyDescent="0.3">
      <c r="J32653" s="33"/>
    </row>
    <row r="32654" spans="10:10" ht="15" customHeight="1" x14ac:dyDescent="0.3">
      <c r="J32654" s="33"/>
    </row>
    <row r="32655" spans="10:10" ht="15" customHeight="1" x14ac:dyDescent="0.3">
      <c r="J32655" s="33"/>
    </row>
    <row r="32656" spans="10:10" x14ac:dyDescent="0.3">
      <c r="J32656" s="33"/>
    </row>
    <row r="32657" spans="10:10" x14ac:dyDescent="0.3">
      <c r="J32657" s="33"/>
    </row>
    <row r="32658" spans="10:10" x14ac:dyDescent="0.3">
      <c r="J32658" s="33"/>
    </row>
    <row r="32659" spans="10:10" x14ac:dyDescent="0.3">
      <c r="J32659" s="33"/>
    </row>
    <row r="32660" spans="10:10" x14ac:dyDescent="0.3">
      <c r="J32660" s="33"/>
    </row>
    <row r="32661" spans="10:10" x14ac:dyDescent="0.3">
      <c r="J32661" s="33"/>
    </row>
    <row r="32662" spans="10:10" x14ac:dyDescent="0.3">
      <c r="J32662" s="33"/>
    </row>
    <row r="32663" spans="10:10" x14ac:dyDescent="0.3">
      <c r="J32663" s="33"/>
    </row>
    <row r="32664" spans="10:10" x14ac:dyDescent="0.3">
      <c r="J32664" s="33"/>
    </row>
    <row r="32665" spans="10:10" ht="15" customHeight="1" x14ac:dyDescent="0.3">
      <c r="J32665" s="33"/>
    </row>
    <row r="32666" spans="10:10" ht="15" customHeight="1" x14ac:dyDescent="0.3">
      <c r="J32666" s="33"/>
    </row>
    <row r="32667" spans="10:10" ht="15" customHeight="1" x14ac:dyDescent="0.3">
      <c r="J32667" s="33"/>
    </row>
    <row r="32668" spans="10:10" x14ac:dyDescent="0.3">
      <c r="J32668" s="33"/>
    </row>
    <row r="32669" spans="10:10" x14ac:dyDescent="0.3">
      <c r="J32669" s="33"/>
    </row>
    <row r="32670" spans="10:10" ht="15" customHeight="1" x14ac:dyDescent="0.3">
      <c r="J32670" s="33"/>
    </row>
    <row r="32671" spans="10:10" ht="15" customHeight="1" x14ac:dyDescent="0.3">
      <c r="J32671" s="33"/>
    </row>
    <row r="32672" spans="10:10" x14ac:dyDescent="0.3">
      <c r="J32672" s="33"/>
    </row>
    <row r="32673" spans="10:10" ht="15" customHeight="1" x14ac:dyDescent="0.3">
      <c r="J32673" s="33"/>
    </row>
    <row r="32674" spans="10:10" ht="15" customHeight="1" x14ac:dyDescent="0.3">
      <c r="J32674" s="33"/>
    </row>
    <row r="32675" spans="10:10" ht="15" customHeight="1" x14ac:dyDescent="0.3">
      <c r="J32675" s="33"/>
    </row>
    <row r="32676" spans="10:10" x14ac:dyDescent="0.3">
      <c r="J32676" s="33"/>
    </row>
    <row r="32677" spans="10:10" ht="15" customHeight="1" x14ac:dyDescent="0.3">
      <c r="J32677" s="33"/>
    </row>
    <row r="32678" spans="10:10" x14ac:dyDescent="0.3">
      <c r="J32678" s="33"/>
    </row>
    <row r="32679" spans="10:10" x14ac:dyDescent="0.3">
      <c r="J32679" s="33"/>
    </row>
    <row r="32680" spans="10:10" x14ac:dyDescent="0.3">
      <c r="J32680" s="33"/>
    </row>
    <row r="32681" spans="10:10" ht="15" customHeight="1" x14ac:dyDescent="0.3">
      <c r="J32681" s="33"/>
    </row>
    <row r="32682" spans="10:10" ht="15" customHeight="1" x14ac:dyDescent="0.3">
      <c r="J32682" s="33"/>
    </row>
    <row r="32683" spans="10:10" ht="15" customHeight="1" x14ac:dyDescent="0.3">
      <c r="J32683" s="33"/>
    </row>
    <row r="32684" spans="10:10" ht="15" customHeight="1" x14ac:dyDescent="0.3">
      <c r="J32684" s="33"/>
    </row>
    <row r="32685" spans="10:10" ht="15" customHeight="1" x14ac:dyDescent="0.3">
      <c r="J32685" s="33"/>
    </row>
    <row r="32686" spans="10:10" ht="15" customHeight="1" x14ac:dyDescent="0.3">
      <c r="J32686" s="33"/>
    </row>
    <row r="32687" spans="10:10" ht="15" customHeight="1" x14ac:dyDescent="0.3">
      <c r="J32687" s="33"/>
    </row>
    <row r="32688" spans="10:10" x14ac:dyDescent="0.3">
      <c r="J32688" s="33"/>
    </row>
    <row r="32689" spans="10:10" ht="15" customHeight="1" x14ac:dyDescent="0.3">
      <c r="J32689" s="33"/>
    </row>
    <row r="32690" spans="10:10" ht="15" customHeight="1" x14ac:dyDescent="0.3">
      <c r="J32690" s="33"/>
    </row>
    <row r="32691" spans="10:10" x14ac:dyDescent="0.3">
      <c r="J32691" s="33"/>
    </row>
    <row r="32692" spans="10:10" ht="15" customHeight="1" x14ac:dyDescent="0.3">
      <c r="J32692" s="33"/>
    </row>
    <row r="32693" spans="10:10" ht="15" customHeight="1" x14ac:dyDescent="0.3">
      <c r="J32693" s="33"/>
    </row>
    <row r="32694" spans="10:10" ht="15" customHeight="1" x14ac:dyDescent="0.3">
      <c r="J32694" s="33"/>
    </row>
    <row r="32695" spans="10:10" ht="15" customHeight="1" x14ac:dyDescent="0.3">
      <c r="J32695" s="33"/>
    </row>
    <row r="32696" spans="10:10" x14ac:dyDescent="0.3">
      <c r="J32696" s="33"/>
    </row>
    <row r="32697" spans="10:10" ht="15" customHeight="1" x14ac:dyDescent="0.3">
      <c r="J32697" s="33"/>
    </row>
    <row r="32698" spans="10:10" ht="15" customHeight="1" x14ac:dyDescent="0.3">
      <c r="J32698" s="33"/>
    </row>
    <row r="32699" spans="10:10" ht="15" customHeight="1" x14ac:dyDescent="0.3">
      <c r="J32699" s="33"/>
    </row>
    <row r="32700" spans="10:10" x14ac:dyDescent="0.3">
      <c r="J32700" s="33"/>
    </row>
    <row r="32701" spans="10:10" x14ac:dyDescent="0.3">
      <c r="J32701" s="33"/>
    </row>
    <row r="32702" spans="10:10" ht="15" customHeight="1" x14ac:dyDescent="0.3">
      <c r="J32702" s="33"/>
    </row>
    <row r="32703" spans="10:10" ht="15" customHeight="1" x14ac:dyDescent="0.3">
      <c r="J32703" s="33"/>
    </row>
    <row r="32704" spans="10:10" x14ac:dyDescent="0.3">
      <c r="J32704" s="33"/>
    </row>
    <row r="32705" spans="10:10" ht="15" customHeight="1" x14ac:dyDescent="0.3">
      <c r="J32705" s="33"/>
    </row>
    <row r="32706" spans="10:10" x14ac:dyDescent="0.3">
      <c r="J32706" s="33"/>
    </row>
    <row r="32707" spans="10:10" ht="15" customHeight="1" x14ac:dyDescent="0.3">
      <c r="J32707" s="33"/>
    </row>
    <row r="32708" spans="10:10" x14ac:dyDescent="0.3">
      <c r="J32708" s="33"/>
    </row>
    <row r="32709" spans="10:10" ht="15" customHeight="1" x14ac:dyDescent="0.3">
      <c r="J32709" s="33"/>
    </row>
    <row r="32710" spans="10:10" ht="15" customHeight="1" x14ac:dyDescent="0.3">
      <c r="J32710" s="33"/>
    </row>
    <row r="32711" spans="10:10" ht="15" customHeight="1" x14ac:dyDescent="0.3">
      <c r="J32711" s="33"/>
    </row>
    <row r="32712" spans="10:10" ht="15" customHeight="1" x14ac:dyDescent="0.3">
      <c r="J32712" s="33"/>
    </row>
    <row r="32713" spans="10:10" ht="15" customHeight="1" x14ac:dyDescent="0.3">
      <c r="J32713" s="33"/>
    </row>
    <row r="32714" spans="10:10" ht="15" customHeight="1" x14ac:dyDescent="0.3">
      <c r="J32714" s="33"/>
    </row>
    <row r="32715" spans="10:10" ht="15" customHeight="1" x14ac:dyDescent="0.3">
      <c r="J32715" s="33"/>
    </row>
    <row r="32716" spans="10:10" x14ac:dyDescent="0.3">
      <c r="J32716" s="33"/>
    </row>
    <row r="32717" spans="10:10" x14ac:dyDescent="0.3">
      <c r="J32717" s="33"/>
    </row>
    <row r="32718" spans="10:10" ht="15" customHeight="1" x14ac:dyDescent="0.3">
      <c r="J32718" s="33"/>
    </row>
    <row r="32719" spans="10:10" ht="15" customHeight="1" x14ac:dyDescent="0.3">
      <c r="J32719" s="33"/>
    </row>
    <row r="32720" spans="10:10" x14ac:dyDescent="0.3">
      <c r="J32720" s="33"/>
    </row>
    <row r="32721" spans="10:10" x14ac:dyDescent="0.3">
      <c r="J32721" s="33"/>
    </row>
    <row r="32722" spans="10:10" ht="15" customHeight="1" x14ac:dyDescent="0.3">
      <c r="J32722" s="33"/>
    </row>
    <row r="32723" spans="10:10" ht="15" customHeight="1" x14ac:dyDescent="0.3">
      <c r="J32723" s="33"/>
    </row>
    <row r="32724" spans="10:10" x14ac:dyDescent="0.3">
      <c r="J32724" s="33"/>
    </row>
    <row r="32725" spans="10:10" ht="15" customHeight="1" x14ac:dyDescent="0.3">
      <c r="J32725" s="33"/>
    </row>
    <row r="32726" spans="10:10" ht="15" customHeight="1" x14ac:dyDescent="0.3">
      <c r="J32726" s="33"/>
    </row>
    <row r="32727" spans="10:10" x14ac:dyDescent="0.3">
      <c r="J32727" s="33"/>
    </row>
    <row r="32728" spans="10:10" x14ac:dyDescent="0.3">
      <c r="J32728" s="33"/>
    </row>
    <row r="32729" spans="10:10" ht="15" customHeight="1" x14ac:dyDescent="0.3">
      <c r="J32729" s="33"/>
    </row>
    <row r="32730" spans="10:10" ht="15" customHeight="1" x14ac:dyDescent="0.3">
      <c r="J32730" s="33"/>
    </row>
    <row r="32731" spans="10:10" x14ac:dyDescent="0.3">
      <c r="J32731" s="33"/>
    </row>
    <row r="32732" spans="10:10" ht="15" customHeight="1" x14ac:dyDescent="0.3">
      <c r="J32732" s="33"/>
    </row>
    <row r="32733" spans="10:10" x14ac:dyDescent="0.3">
      <c r="J32733" s="33"/>
    </row>
    <row r="32734" spans="10:10" x14ac:dyDescent="0.3">
      <c r="J32734" s="33"/>
    </row>
    <row r="32735" spans="10:10" ht="15" customHeight="1" x14ac:dyDescent="0.3">
      <c r="J32735" s="33"/>
    </row>
    <row r="32736" spans="10:10" x14ac:dyDescent="0.3">
      <c r="J32736" s="33"/>
    </row>
    <row r="32737" spans="10:10" ht="15" customHeight="1" x14ac:dyDescent="0.3">
      <c r="J32737" s="33"/>
    </row>
    <row r="32738" spans="10:10" x14ac:dyDescent="0.3">
      <c r="J32738" s="33"/>
    </row>
    <row r="32739" spans="10:10" x14ac:dyDescent="0.3">
      <c r="J32739" s="33"/>
    </row>
    <row r="32740" spans="10:10" ht="15" customHeight="1" x14ac:dyDescent="0.3">
      <c r="J32740" s="33"/>
    </row>
    <row r="32741" spans="10:10" ht="15" customHeight="1" x14ac:dyDescent="0.3">
      <c r="J32741" s="33"/>
    </row>
    <row r="32742" spans="10:10" ht="15" customHeight="1" x14ac:dyDescent="0.3">
      <c r="J32742" s="33"/>
    </row>
    <row r="32743" spans="10:10" ht="15" customHeight="1" x14ac:dyDescent="0.3">
      <c r="J32743" s="33"/>
    </row>
    <row r="32744" spans="10:10" x14ac:dyDescent="0.3">
      <c r="J32744" s="33"/>
    </row>
    <row r="32745" spans="10:10" x14ac:dyDescent="0.3">
      <c r="J32745" s="33"/>
    </row>
    <row r="32746" spans="10:10" ht="15" customHeight="1" x14ac:dyDescent="0.3">
      <c r="J32746" s="33"/>
    </row>
    <row r="32747" spans="10:10" x14ac:dyDescent="0.3">
      <c r="J32747" s="33"/>
    </row>
    <row r="32748" spans="10:10" ht="15" customHeight="1" x14ac:dyDescent="0.3">
      <c r="J32748" s="33"/>
    </row>
    <row r="32749" spans="10:10" ht="15" customHeight="1" x14ac:dyDescent="0.3">
      <c r="J32749" s="33"/>
    </row>
    <row r="32750" spans="10:10" x14ac:dyDescent="0.3">
      <c r="J32750" s="33"/>
    </row>
    <row r="32751" spans="10:10" x14ac:dyDescent="0.3">
      <c r="J32751" s="33"/>
    </row>
    <row r="32752" spans="10:10" x14ac:dyDescent="0.3">
      <c r="J32752" s="33"/>
    </row>
    <row r="32753" spans="10:10" ht="15" customHeight="1" x14ac:dyDescent="0.3">
      <c r="J32753" s="33"/>
    </row>
    <row r="32754" spans="10:10" x14ac:dyDescent="0.3">
      <c r="J32754" s="33"/>
    </row>
    <row r="32755" spans="10:10" ht="15" customHeight="1" x14ac:dyDescent="0.3">
      <c r="J32755" s="33"/>
    </row>
    <row r="32756" spans="10:10" x14ac:dyDescent="0.3">
      <c r="J32756" s="33"/>
    </row>
    <row r="32757" spans="10:10" x14ac:dyDescent="0.3">
      <c r="J32757" s="33"/>
    </row>
    <row r="32758" spans="10:10" x14ac:dyDescent="0.3">
      <c r="J32758" s="33"/>
    </row>
    <row r="32759" spans="10:10" ht="15" customHeight="1" x14ac:dyDescent="0.3">
      <c r="J32759" s="33"/>
    </row>
    <row r="32760" spans="10:10" ht="15" customHeight="1" x14ac:dyDescent="0.3">
      <c r="J32760" s="33"/>
    </row>
    <row r="32761" spans="10:10" ht="15" customHeight="1" x14ac:dyDescent="0.3">
      <c r="J32761" s="33"/>
    </row>
    <row r="32762" spans="10:10" x14ac:dyDescent="0.3">
      <c r="J32762" s="33"/>
    </row>
    <row r="32763" spans="10:10" x14ac:dyDescent="0.3">
      <c r="J32763" s="33"/>
    </row>
    <row r="32764" spans="10:10" x14ac:dyDescent="0.3">
      <c r="J32764" s="33"/>
    </row>
    <row r="32765" spans="10:10" x14ac:dyDescent="0.3">
      <c r="J32765" s="33"/>
    </row>
    <row r="32766" spans="10:10" ht="15" customHeight="1" x14ac:dyDescent="0.3">
      <c r="J32766" s="33"/>
    </row>
    <row r="32767" spans="10:10" x14ac:dyDescent="0.3">
      <c r="J32767" s="33"/>
    </row>
    <row r="32768" spans="10:10" x14ac:dyDescent="0.3">
      <c r="J32768" s="33"/>
    </row>
    <row r="32769" spans="10:10" x14ac:dyDescent="0.3">
      <c r="J32769" s="33"/>
    </row>
    <row r="32770" spans="10:10" x14ac:dyDescent="0.3">
      <c r="J32770" s="33"/>
    </row>
    <row r="32771" spans="10:10" ht="15" customHeight="1" x14ac:dyDescent="0.3">
      <c r="J32771" s="33"/>
    </row>
    <row r="32772" spans="10:10" x14ac:dyDescent="0.3">
      <c r="J32772" s="33"/>
    </row>
    <row r="32773" spans="10:10" ht="15" customHeight="1" x14ac:dyDescent="0.3">
      <c r="J32773" s="33"/>
    </row>
    <row r="32774" spans="10:10" x14ac:dyDescent="0.3">
      <c r="J32774" s="33"/>
    </row>
    <row r="32775" spans="10:10" x14ac:dyDescent="0.3">
      <c r="J32775" s="33"/>
    </row>
    <row r="32776" spans="10:10" x14ac:dyDescent="0.3">
      <c r="J32776" s="33"/>
    </row>
    <row r="32777" spans="10:10" ht="15" customHeight="1" x14ac:dyDescent="0.3">
      <c r="J32777" s="33"/>
    </row>
    <row r="32778" spans="10:10" x14ac:dyDescent="0.3">
      <c r="J32778" s="33"/>
    </row>
    <row r="32779" spans="10:10" x14ac:dyDescent="0.3">
      <c r="J32779" s="33"/>
    </row>
    <row r="32780" spans="10:10" x14ac:dyDescent="0.3">
      <c r="J32780" s="33"/>
    </row>
    <row r="32781" spans="10:10" ht="15" customHeight="1" x14ac:dyDescent="0.3">
      <c r="J32781" s="33"/>
    </row>
    <row r="32782" spans="10:10" x14ac:dyDescent="0.3">
      <c r="J32782" s="33"/>
    </row>
    <row r="32783" spans="10:10" ht="15" customHeight="1" x14ac:dyDescent="0.3">
      <c r="J32783" s="33"/>
    </row>
    <row r="32784" spans="10:10" x14ac:dyDescent="0.3">
      <c r="J32784" s="33"/>
    </row>
    <row r="32785" spans="10:10" x14ac:dyDescent="0.3">
      <c r="J32785" s="33"/>
    </row>
    <row r="32786" spans="10:10" x14ac:dyDescent="0.3">
      <c r="J32786" s="33"/>
    </row>
    <row r="32787" spans="10:10" ht="15" customHeight="1" x14ac:dyDescent="0.3">
      <c r="J32787" s="33"/>
    </row>
    <row r="32788" spans="10:10" x14ac:dyDescent="0.3">
      <c r="J32788" s="33"/>
    </row>
    <row r="32789" spans="10:10" x14ac:dyDescent="0.3">
      <c r="J32789" s="33"/>
    </row>
    <row r="32790" spans="10:10" ht="15" customHeight="1" x14ac:dyDescent="0.3">
      <c r="J32790" s="33"/>
    </row>
    <row r="32791" spans="10:10" x14ac:dyDescent="0.3">
      <c r="J32791" s="33"/>
    </row>
    <row r="32792" spans="10:10" ht="15" customHeight="1" x14ac:dyDescent="0.3">
      <c r="J32792" s="33"/>
    </row>
    <row r="32793" spans="10:10" ht="15" customHeight="1" x14ac:dyDescent="0.3">
      <c r="J32793" s="33"/>
    </row>
    <row r="32794" spans="10:10" x14ac:dyDescent="0.3">
      <c r="J32794" s="33"/>
    </row>
    <row r="32795" spans="10:10" x14ac:dyDescent="0.3">
      <c r="J32795" s="33"/>
    </row>
    <row r="32796" spans="10:10" ht="15" customHeight="1" x14ac:dyDescent="0.3">
      <c r="J32796" s="33"/>
    </row>
    <row r="32797" spans="10:10" x14ac:dyDescent="0.3">
      <c r="J32797" s="33"/>
    </row>
    <row r="32798" spans="10:10" ht="15" customHeight="1" x14ac:dyDescent="0.3">
      <c r="J32798" s="33"/>
    </row>
    <row r="32799" spans="10:10" ht="15" customHeight="1" x14ac:dyDescent="0.3">
      <c r="J32799" s="33"/>
    </row>
    <row r="32800" spans="10:10" ht="15" customHeight="1" x14ac:dyDescent="0.3">
      <c r="J32800" s="33"/>
    </row>
    <row r="32801" spans="10:10" ht="15" customHeight="1" x14ac:dyDescent="0.3">
      <c r="J32801" s="33"/>
    </row>
    <row r="32802" spans="10:10" x14ac:dyDescent="0.3">
      <c r="J32802" s="33"/>
    </row>
    <row r="32803" spans="10:10" x14ac:dyDescent="0.3">
      <c r="J32803" s="33"/>
    </row>
    <row r="32804" spans="10:10" ht="15" customHeight="1" x14ac:dyDescent="0.3">
      <c r="J32804" s="33"/>
    </row>
    <row r="32805" spans="10:10" ht="15" customHeight="1" x14ac:dyDescent="0.3">
      <c r="J32805" s="33"/>
    </row>
    <row r="32806" spans="10:10" ht="15" customHeight="1" x14ac:dyDescent="0.3">
      <c r="J32806" s="33"/>
    </row>
    <row r="32807" spans="10:10" ht="15" customHeight="1" x14ac:dyDescent="0.3">
      <c r="J32807" s="33"/>
    </row>
    <row r="32808" spans="10:10" x14ac:dyDescent="0.3">
      <c r="J32808" s="33"/>
    </row>
    <row r="32809" spans="10:10" x14ac:dyDescent="0.3">
      <c r="J32809" s="33"/>
    </row>
    <row r="32810" spans="10:10" x14ac:dyDescent="0.3">
      <c r="J32810" s="33"/>
    </row>
    <row r="32811" spans="10:10" ht="15" customHeight="1" x14ac:dyDescent="0.3">
      <c r="J32811" s="33"/>
    </row>
    <row r="32812" spans="10:10" ht="15" customHeight="1" x14ac:dyDescent="0.3">
      <c r="J32812" s="33"/>
    </row>
    <row r="32813" spans="10:10" ht="15" customHeight="1" x14ac:dyDescent="0.3">
      <c r="J32813" s="33"/>
    </row>
    <row r="32814" spans="10:10" ht="15" customHeight="1" x14ac:dyDescent="0.3">
      <c r="J32814" s="33"/>
    </row>
    <row r="32815" spans="10:10" ht="15" customHeight="1" x14ac:dyDescent="0.3">
      <c r="J32815" s="33"/>
    </row>
    <row r="32816" spans="10:10" ht="15" customHeight="1" x14ac:dyDescent="0.3">
      <c r="J32816" s="33"/>
    </row>
    <row r="32817" spans="10:10" x14ac:dyDescent="0.3">
      <c r="J32817" s="33"/>
    </row>
    <row r="32818" spans="10:10" ht="15" customHeight="1" x14ac:dyDescent="0.3">
      <c r="J32818" s="33"/>
    </row>
    <row r="32819" spans="10:10" ht="15" customHeight="1" x14ac:dyDescent="0.3">
      <c r="J32819" s="33"/>
    </row>
    <row r="32820" spans="10:10" ht="15" customHeight="1" x14ac:dyDescent="0.3">
      <c r="J32820" s="33"/>
    </row>
    <row r="32821" spans="10:10" ht="15" customHeight="1" x14ac:dyDescent="0.3">
      <c r="J32821" s="33"/>
    </row>
    <row r="32822" spans="10:10" x14ac:dyDescent="0.3">
      <c r="J32822" s="33"/>
    </row>
    <row r="32823" spans="10:10" ht="15" customHeight="1" x14ac:dyDescent="0.3">
      <c r="J32823" s="33"/>
    </row>
    <row r="32824" spans="10:10" x14ac:dyDescent="0.3">
      <c r="J32824" s="33"/>
    </row>
    <row r="32825" spans="10:10" x14ac:dyDescent="0.3">
      <c r="J32825" s="33"/>
    </row>
    <row r="32826" spans="10:10" x14ac:dyDescent="0.3">
      <c r="J32826" s="33"/>
    </row>
    <row r="32827" spans="10:10" x14ac:dyDescent="0.3">
      <c r="J32827" s="33"/>
    </row>
    <row r="32828" spans="10:10" x14ac:dyDescent="0.3">
      <c r="J32828" s="33"/>
    </row>
    <row r="32829" spans="10:10" x14ac:dyDescent="0.3">
      <c r="J32829" s="33"/>
    </row>
    <row r="32830" spans="10:10" x14ac:dyDescent="0.3">
      <c r="J32830" s="33"/>
    </row>
    <row r="32831" spans="10:10" ht="15" customHeight="1" x14ac:dyDescent="0.3">
      <c r="J32831" s="33"/>
    </row>
    <row r="32832" spans="10:10" x14ac:dyDescent="0.3">
      <c r="J32832" s="33"/>
    </row>
    <row r="32833" spans="10:10" ht="15" customHeight="1" x14ac:dyDescent="0.3">
      <c r="J32833" s="33"/>
    </row>
    <row r="32834" spans="10:10" x14ac:dyDescent="0.3">
      <c r="J32834" s="33"/>
    </row>
    <row r="32835" spans="10:10" ht="15" customHeight="1" x14ac:dyDescent="0.3">
      <c r="J32835" s="33"/>
    </row>
    <row r="32836" spans="10:10" x14ac:dyDescent="0.3">
      <c r="J32836" s="33"/>
    </row>
    <row r="32837" spans="10:10" ht="15" customHeight="1" x14ac:dyDescent="0.3">
      <c r="J32837" s="33"/>
    </row>
    <row r="32838" spans="10:10" ht="15" customHeight="1" x14ac:dyDescent="0.3">
      <c r="J32838" s="33"/>
    </row>
    <row r="32839" spans="10:10" x14ac:dyDescent="0.3">
      <c r="J32839" s="33"/>
    </row>
    <row r="32840" spans="10:10" x14ac:dyDescent="0.3">
      <c r="J32840" s="33"/>
    </row>
    <row r="32841" spans="10:10" x14ac:dyDescent="0.3">
      <c r="J32841" s="33"/>
    </row>
    <row r="32842" spans="10:10" x14ac:dyDescent="0.3">
      <c r="J32842" s="33"/>
    </row>
    <row r="32843" spans="10:10" x14ac:dyDescent="0.3">
      <c r="J32843" s="33"/>
    </row>
    <row r="32844" spans="10:10" x14ac:dyDescent="0.3">
      <c r="J32844" s="33"/>
    </row>
    <row r="32845" spans="10:10" ht="15" customHeight="1" x14ac:dyDescent="0.3">
      <c r="J32845" s="33"/>
    </row>
    <row r="32846" spans="10:10" ht="15" customHeight="1" x14ac:dyDescent="0.3">
      <c r="J32846" s="33"/>
    </row>
    <row r="32847" spans="10:10" x14ac:dyDescent="0.3">
      <c r="J32847" s="33"/>
    </row>
    <row r="32848" spans="10:10" x14ac:dyDescent="0.3">
      <c r="J32848" s="33"/>
    </row>
    <row r="32849" spans="10:10" x14ac:dyDescent="0.3">
      <c r="J32849" s="33"/>
    </row>
    <row r="32850" spans="10:10" ht="15" customHeight="1" x14ac:dyDescent="0.3">
      <c r="J32850" s="33"/>
    </row>
    <row r="32851" spans="10:10" ht="15" customHeight="1" x14ac:dyDescent="0.3">
      <c r="J32851" s="33"/>
    </row>
    <row r="32852" spans="10:10" x14ac:dyDescent="0.3">
      <c r="J32852" s="33"/>
    </row>
    <row r="32853" spans="10:10" ht="15" customHeight="1" x14ac:dyDescent="0.3">
      <c r="J32853" s="33"/>
    </row>
    <row r="32854" spans="10:10" x14ac:dyDescent="0.3">
      <c r="J32854" s="33"/>
    </row>
    <row r="32855" spans="10:10" ht="15" customHeight="1" x14ac:dyDescent="0.3">
      <c r="J32855" s="33"/>
    </row>
    <row r="32856" spans="10:10" x14ac:dyDescent="0.3">
      <c r="J32856" s="33"/>
    </row>
    <row r="32857" spans="10:10" x14ac:dyDescent="0.3">
      <c r="J32857" s="33"/>
    </row>
    <row r="32858" spans="10:10" ht="15" customHeight="1" x14ac:dyDescent="0.3">
      <c r="J32858" s="33"/>
    </row>
    <row r="32859" spans="10:10" ht="15" customHeight="1" x14ac:dyDescent="0.3">
      <c r="J32859" s="33"/>
    </row>
    <row r="32860" spans="10:10" ht="15" customHeight="1" x14ac:dyDescent="0.3">
      <c r="J32860" s="33"/>
    </row>
    <row r="32861" spans="10:10" x14ac:dyDescent="0.3">
      <c r="J32861" s="33"/>
    </row>
    <row r="32862" spans="10:10" ht="15" customHeight="1" x14ac:dyDescent="0.3">
      <c r="J32862" s="33"/>
    </row>
    <row r="32863" spans="10:10" x14ac:dyDescent="0.3">
      <c r="J32863" s="33"/>
    </row>
    <row r="32864" spans="10:10" ht="15" customHeight="1" x14ac:dyDescent="0.3">
      <c r="J32864" s="33"/>
    </row>
    <row r="32865" spans="10:10" ht="15" customHeight="1" x14ac:dyDescent="0.3">
      <c r="J32865" s="33"/>
    </row>
    <row r="32866" spans="10:10" ht="15" customHeight="1" x14ac:dyDescent="0.3">
      <c r="J32866" s="33"/>
    </row>
    <row r="32867" spans="10:10" x14ac:dyDescent="0.3">
      <c r="J32867" s="33"/>
    </row>
    <row r="32868" spans="10:10" ht="15" customHeight="1" x14ac:dyDescent="0.3">
      <c r="J32868" s="33"/>
    </row>
    <row r="32869" spans="10:10" ht="15" customHeight="1" x14ac:dyDescent="0.3">
      <c r="J32869" s="33"/>
    </row>
    <row r="32870" spans="10:10" ht="15" customHeight="1" x14ac:dyDescent="0.3">
      <c r="J32870" s="33"/>
    </row>
    <row r="32871" spans="10:10" ht="15" customHeight="1" x14ac:dyDescent="0.3">
      <c r="J32871" s="33"/>
    </row>
    <row r="32872" spans="10:10" ht="15" customHeight="1" x14ac:dyDescent="0.3">
      <c r="J32872" s="33"/>
    </row>
    <row r="32873" spans="10:10" ht="15" customHeight="1" x14ac:dyDescent="0.3">
      <c r="J32873" s="33"/>
    </row>
    <row r="32874" spans="10:10" ht="15" customHeight="1" x14ac:dyDescent="0.3">
      <c r="J32874" s="33"/>
    </row>
    <row r="32875" spans="10:10" ht="15" customHeight="1" x14ac:dyDescent="0.3">
      <c r="J32875" s="33"/>
    </row>
    <row r="32876" spans="10:10" ht="15" customHeight="1" x14ac:dyDescent="0.3">
      <c r="J32876" s="33"/>
    </row>
    <row r="32877" spans="10:10" ht="15" customHeight="1" x14ac:dyDescent="0.3">
      <c r="J32877" s="33"/>
    </row>
    <row r="32878" spans="10:10" x14ac:dyDescent="0.3">
      <c r="J32878" s="33"/>
    </row>
    <row r="32879" spans="10:10" x14ac:dyDescent="0.3">
      <c r="J32879" s="33"/>
    </row>
    <row r="32880" spans="10:10" x14ac:dyDescent="0.3">
      <c r="J32880" s="33"/>
    </row>
    <row r="32881" spans="10:10" x14ac:dyDescent="0.3">
      <c r="J32881" s="33"/>
    </row>
    <row r="32882" spans="10:10" x14ac:dyDescent="0.3">
      <c r="J32882" s="33"/>
    </row>
    <row r="32883" spans="10:10" ht="15" customHeight="1" x14ac:dyDescent="0.3">
      <c r="J32883" s="33"/>
    </row>
    <row r="32884" spans="10:10" ht="15" customHeight="1" x14ac:dyDescent="0.3">
      <c r="J32884" s="33"/>
    </row>
    <row r="32885" spans="10:10" ht="15" customHeight="1" x14ac:dyDescent="0.3">
      <c r="J32885" s="33"/>
    </row>
    <row r="32886" spans="10:10" ht="15" customHeight="1" x14ac:dyDescent="0.3">
      <c r="J32886" s="33"/>
    </row>
    <row r="32887" spans="10:10" ht="15" customHeight="1" x14ac:dyDescent="0.3">
      <c r="J32887" s="33"/>
    </row>
    <row r="32888" spans="10:10" x14ac:dyDescent="0.3">
      <c r="J32888" s="33"/>
    </row>
    <row r="32889" spans="10:10" ht="15" customHeight="1" x14ac:dyDescent="0.3">
      <c r="J32889" s="33"/>
    </row>
    <row r="32890" spans="10:10" ht="15" customHeight="1" x14ac:dyDescent="0.3">
      <c r="J32890" s="33"/>
    </row>
    <row r="32891" spans="10:10" ht="15" customHeight="1" x14ac:dyDescent="0.3">
      <c r="J32891" s="33"/>
    </row>
    <row r="32892" spans="10:10" x14ac:dyDescent="0.3">
      <c r="J32892" s="33"/>
    </row>
    <row r="32893" spans="10:10" ht="15" customHeight="1" x14ac:dyDescent="0.3">
      <c r="J32893" s="33"/>
    </row>
    <row r="32894" spans="10:10" x14ac:dyDescent="0.3">
      <c r="J32894" s="33"/>
    </row>
    <row r="32895" spans="10:10" ht="15" customHeight="1" x14ac:dyDescent="0.3">
      <c r="J32895" s="33"/>
    </row>
    <row r="32896" spans="10:10" x14ac:dyDescent="0.3">
      <c r="J32896" s="33"/>
    </row>
    <row r="32897" spans="10:10" x14ac:dyDescent="0.3">
      <c r="J32897" s="33"/>
    </row>
    <row r="32898" spans="10:10" ht="15" customHeight="1" x14ac:dyDescent="0.3">
      <c r="J32898" s="33"/>
    </row>
    <row r="32899" spans="10:10" ht="15" customHeight="1" x14ac:dyDescent="0.3">
      <c r="J32899" s="33"/>
    </row>
    <row r="32900" spans="10:10" ht="15" customHeight="1" x14ac:dyDescent="0.3">
      <c r="J32900" s="33"/>
    </row>
    <row r="32901" spans="10:10" x14ac:dyDescent="0.3">
      <c r="J32901" s="33"/>
    </row>
    <row r="32902" spans="10:10" ht="15" customHeight="1" x14ac:dyDescent="0.3">
      <c r="J32902" s="33"/>
    </row>
    <row r="32903" spans="10:10" ht="15" customHeight="1" x14ac:dyDescent="0.3">
      <c r="J32903" s="33"/>
    </row>
    <row r="32904" spans="10:10" x14ac:dyDescent="0.3">
      <c r="J32904" s="33"/>
    </row>
    <row r="32905" spans="10:10" ht="15" customHeight="1" x14ac:dyDescent="0.3">
      <c r="J32905" s="33"/>
    </row>
    <row r="32906" spans="10:10" x14ac:dyDescent="0.3">
      <c r="J32906" s="33"/>
    </row>
    <row r="32907" spans="10:10" ht="15" customHeight="1" x14ac:dyDescent="0.3">
      <c r="J32907" s="33"/>
    </row>
    <row r="32908" spans="10:10" x14ac:dyDescent="0.3">
      <c r="J32908" s="33"/>
    </row>
    <row r="32909" spans="10:10" ht="15" customHeight="1" x14ac:dyDescent="0.3">
      <c r="J32909" s="33"/>
    </row>
    <row r="32910" spans="10:10" x14ac:dyDescent="0.3">
      <c r="J32910" s="33"/>
    </row>
    <row r="32911" spans="10:10" x14ac:dyDescent="0.3">
      <c r="J32911" s="33"/>
    </row>
    <row r="32912" spans="10:10" ht="15" customHeight="1" x14ac:dyDescent="0.3">
      <c r="J32912" s="33"/>
    </row>
    <row r="32913" spans="10:10" ht="15" customHeight="1" x14ac:dyDescent="0.3">
      <c r="J32913" s="33"/>
    </row>
    <row r="32914" spans="10:10" ht="15" customHeight="1" x14ac:dyDescent="0.3">
      <c r="J32914" s="33"/>
    </row>
    <row r="32915" spans="10:10" ht="15" customHeight="1" x14ac:dyDescent="0.3">
      <c r="J32915" s="33"/>
    </row>
    <row r="32916" spans="10:10" x14ac:dyDescent="0.3">
      <c r="J32916" s="33"/>
    </row>
    <row r="32917" spans="10:10" ht="15" customHeight="1" x14ac:dyDescent="0.3">
      <c r="J32917" s="33"/>
    </row>
    <row r="32918" spans="10:10" x14ac:dyDescent="0.3">
      <c r="J32918" s="33"/>
    </row>
    <row r="32919" spans="10:10" x14ac:dyDescent="0.3">
      <c r="J32919" s="33"/>
    </row>
    <row r="32920" spans="10:10" ht="15" customHeight="1" x14ac:dyDescent="0.3">
      <c r="J32920" s="33"/>
    </row>
    <row r="32921" spans="10:10" x14ac:dyDescent="0.3">
      <c r="J32921" s="33"/>
    </row>
    <row r="32922" spans="10:10" ht="15" customHeight="1" x14ac:dyDescent="0.3">
      <c r="J32922" s="33"/>
    </row>
    <row r="32923" spans="10:10" ht="15" customHeight="1" x14ac:dyDescent="0.3">
      <c r="J32923" s="33"/>
    </row>
    <row r="32924" spans="10:10" x14ac:dyDescent="0.3">
      <c r="J32924" s="33"/>
    </row>
    <row r="32925" spans="10:10" ht="15" customHeight="1" x14ac:dyDescent="0.3">
      <c r="J32925" s="33"/>
    </row>
    <row r="32926" spans="10:10" x14ac:dyDescent="0.3">
      <c r="J32926" s="33"/>
    </row>
    <row r="32927" spans="10:10" x14ac:dyDescent="0.3">
      <c r="J32927" s="33"/>
    </row>
    <row r="32928" spans="10:10" x14ac:dyDescent="0.3">
      <c r="J32928" s="33"/>
    </row>
    <row r="32929" spans="10:10" x14ac:dyDescent="0.3">
      <c r="J32929" s="33"/>
    </row>
    <row r="32930" spans="10:10" x14ac:dyDescent="0.3">
      <c r="J32930" s="33"/>
    </row>
    <row r="32931" spans="10:10" ht="15" customHeight="1" x14ac:dyDescent="0.3">
      <c r="J32931" s="33"/>
    </row>
    <row r="32932" spans="10:10" ht="15" customHeight="1" x14ac:dyDescent="0.3">
      <c r="J32932" s="33"/>
    </row>
    <row r="32933" spans="10:10" x14ac:dyDescent="0.3">
      <c r="J32933" s="33"/>
    </row>
    <row r="32934" spans="10:10" ht="15" customHeight="1" x14ac:dyDescent="0.3">
      <c r="J32934" s="33"/>
    </row>
    <row r="32935" spans="10:10" x14ac:dyDescent="0.3">
      <c r="J32935" s="33"/>
    </row>
    <row r="32936" spans="10:10" ht="15" customHeight="1" x14ac:dyDescent="0.3">
      <c r="J32936" s="33"/>
    </row>
    <row r="32937" spans="10:10" x14ac:dyDescent="0.3">
      <c r="J32937" s="33"/>
    </row>
    <row r="32938" spans="10:10" ht="15" customHeight="1" x14ac:dyDescent="0.3">
      <c r="J32938" s="33"/>
    </row>
    <row r="32939" spans="10:10" x14ac:dyDescent="0.3">
      <c r="J32939" s="33"/>
    </row>
    <row r="32940" spans="10:10" x14ac:dyDescent="0.3">
      <c r="J32940" s="33"/>
    </row>
    <row r="32941" spans="10:10" x14ac:dyDescent="0.3">
      <c r="J32941" s="33"/>
    </row>
    <row r="32942" spans="10:10" ht="15" customHeight="1" x14ac:dyDescent="0.3">
      <c r="J32942" s="33"/>
    </row>
    <row r="32943" spans="10:10" x14ac:dyDescent="0.3">
      <c r="J32943" s="33"/>
    </row>
    <row r="32944" spans="10:10" x14ac:dyDescent="0.3">
      <c r="J32944" s="33"/>
    </row>
    <row r="32945" spans="10:10" ht="15" customHeight="1" x14ac:dyDescent="0.3">
      <c r="J32945" s="33"/>
    </row>
    <row r="32946" spans="10:10" ht="15" customHeight="1" x14ac:dyDescent="0.3">
      <c r="J32946" s="33"/>
    </row>
    <row r="32947" spans="10:10" ht="15" customHeight="1" x14ac:dyDescent="0.3">
      <c r="J32947" s="33"/>
    </row>
    <row r="32948" spans="10:10" ht="15" customHeight="1" x14ac:dyDescent="0.3">
      <c r="J32948" s="33"/>
    </row>
    <row r="32949" spans="10:10" ht="15" customHeight="1" x14ac:dyDescent="0.3">
      <c r="J32949" s="33"/>
    </row>
    <row r="32950" spans="10:10" x14ac:dyDescent="0.3">
      <c r="J32950" s="33"/>
    </row>
    <row r="32951" spans="10:10" x14ac:dyDescent="0.3">
      <c r="J32951" s="33"/>
    </row>
    <row r="32952" spans="10:10" ht="15" customHeight="1" x14ac:dyDescent="0.3">
      <c r="J32952" s="33"/>
    </row>
    <row r="32953" spans="10:10" ht="15" customHeight="1" x14ac:dyDescent="0.3">
      <c r="J32953" s="33"/>
    </row>
    <row r="32954" spans="10:10" x14ac:dyDescent="0.3">
      <c r="J32954" s="33"/>
    </row>
    <row r="32955" spans="10:10" ht="15" customHeight="1" x14ac:dyDescent="0.3">
      <c r="J32955" s="33"/>
    </row>
    <row r="32956" spans="10:10" ht="15" customHeight="1" x14ac:dyDescent="0.3">
      <c r="J32956" s="33"/>
    </row>
    <row r="32957" spans="10:10" x14ac:dyDescent="0.3">
      <c r="J32957" s="33"/>
    </row>
    <row r="32958" spans="10:10" ht="15" customHeight="1" x14ac:dyDescent="0.3">
      <c r="J32958" s="33"/>
    </row>
    <row r="32959" spans="10:10" ht="15" customHeight="1" x14ac:dyDescent="0.3">
      <c r="J32959" s="33"/>
    </row>
    <row r="32960" spans="10:10" x14ac:dyDescent="0.3">
      <c r="J32960" s="33"/>
    </row>
    <row r="32961" spans="10:10" x14ac:dyDescent="0.3">
      <c r="J32961" s="33"/>
    </row>
    <row r="32962" spans="10:10" x14ac:dyDescent="0.3">
      <c r="J32962" s="33"/>
    </row>
    <row r="32963" spans="10:10" x14ac:dyDescent="0.3">
      <c r="J32963" s="33"/>
    </row>
    <row r="32964" spans="10:10" x14ac:dyDescent="0.3">
      <c r="J32964" s="33"/>
    </row>
    <row r="32965" spans="10:10" x14ac:dyDescent="0.3">
      <c r="J32965" s="33"/>
    </row>
    <row r="32966" spans="10:10" x14ac:dyDescent="0.3">
      <c r="J32966" s="33"/>
    </row>
    <row r="32967" spans="10:10" ht="15" customHeight="1" x14ac:dyDescent="0.3">
      <c r="J32967" s="33"/>
    </row>
    <row r="32968" spans="10:10" ht="15" customHeight="1" x14ac:dyDescent="0.3">
      <c r="J32968" s="33"/>
    </row>
    <row r="32969" spans="10:10" x14ac:dyDescent="0.3">
      <c r="J32969" s="33"/>
    </row>
    <row r="32970" spans="10:10" x14ac:dyDescent="0.3">
      <c r="J32970" s="33"/>
    </row>
    <row r="32971" spans="10:10" ht="15" customHeight="1" x14ac:dyDescent="0.3">
      <c r="J32971" s="33"/>
    </row>
    <row r="32972" spans="10:10" ht="15" customHeight="1" x14ac:dyDescent="0.3">
      <c r="J32972" s="33"/>
    </row>
    <row r="32973" spans="10:10" ht="15" customHeight="1" x14ac:dyDescent="0.3">
      <c r="J32973" s="33"/>
    </row>
    <row r="32974" spans="10:10" x14ac:dyDescent="0.3">
      <c r="J32974" s="33"/>
    </row>
    <row r="32975" spans="10:10" ht="15" customHeight="1" x14ac:dyDescent="0.3">
      <c r="J32975" s="33"/>
    </row>
    <row r="32976" spans="10:10" ht="15" customHeight="1" x14ac:dyDescent="0.3">
      <c r="J32976" s="33"/>
    </row>
    <row r="32977" spans="10:10" x14ac:dyDescent="0.3">
      <c r="J32977" s="33"/>
    </row>
    <row r="32978" spans="10:10" ht="15" customHeight="1" x14ac:dyDescent="0.3">
      <c r="J32978" s="33"/>
    </row>
    <row r="32979" spans="10:10" ht="15" customHeight="1" x14ac:dyDescent="0.3">
      <c r="J32979" s="33"/>
    </row>
    <row r="32980" spans="10:10" x14ac:dyDescent="0.3">
      <c r="J32980" s="33"/>
    </row>
    <row r="32981" spans="10:10" x14ac:dyDescent="0.3">
      <c r="J32981" s="33"/>
    </row>
    <row r="32982" spans="10:10" ht="15" customHeight="1" x14ac:dyDescent="0.3">
      <c r="J32982" s="33"/>
    </row>
    <row r="32983" spans="10:10" x14ac:dyDescent="0.3">
      <c r="J32983" s="33"/>
    </row>
    <row r="32984" spans="10:10" ht="15" customHeight="1" x14ac:dyDescent="0.3">
      <c r="J32984" s="33"/>
    </row>
    <row r="32985" spans="10:10" ht="15" customHeight="1" x14ac:dyDescent="0.3">
      <c r="J32985" s="33"/>
    </row>
    <row r="32986" spans="10:10" x14ac:dyDescent="0.3">
      <c r="J32986" s="33"/>
    </row>
    <row r="32987" spans="10:10" ht="15" customHeight="1" x14ac:dyDescent="0.3">
      <c r="J32987" s="33"/>
    </row>
    <row r="32988" spans="10:10" x14ac:dyDescent="0.3">
      <c r="J32988" s="33"/>
    </row>
    <row r="32989" spans="10:10" x14ac:dyDescent="0.3">
      <c r="J32989" s="33"/>
    </row>
    <row r="32990" spans="10:10" ht="15" customHeight="1" x14ac:dyDescent="0.3">
      <c r="J32990" s="33"/>
    </row>
    <row r="32991" spans="10:10" x14ac:dyDescent="0.3">
      <c r="J32991" s="33"/>
    </row>
    <row r="32992" spans="10:10" ht="15" customHeight="1" x14ac:dyDescent="0.3">
      <c r="J32992" s="33"/>
    </row>
    <row r="32993" spans="10:10" ht="15" customHeight="1" x14ac:dyDescent="0.3">
      <c r="J32993" s="33"/>
    </row>
    <row r="32994" spans="10:10" x14ac:dyDescent="0.3">
      <c r="J32994" s="33"/>
    </row>
    <row r="32995" spans="10:10" x14ac:dyDescent="0.3">
      <c r="J32995" s="33"/>
    </row>
    <row r="32996" spans="10:10" ht="15" customHeight="1" x14ac:dyDescent="0.3">
      <c r="J32996" s="33"/>
    </row>
    <row r="32997" spans="10:10" ht="15" customHeight="1" x14ac:dyDescent="0.3">
      <c r="J32997" s="33"/>
    </row>
    <row r="32998" spans="10:10" ht="15" customHeight="1" x14ac:dyDescent="0.3">
      <c r="J32998" s="33"/>
    </row>
    <row r="32999" spans="10:10" x14ac:dyDescent="0.3">
      <c r="J32999" s="33"/>
    </row>
    <row r="33000" spans="10:10" ht="15" customHeight="1" x14ac:dyDescent="0.3">
      <c r="J33000" s="33"/>
    </row>
    <row r="33001" spans="10:10" x14ac:dyDescent="0.3">
      <c r="J33001" s="33"/>
    </row>
    <row r="33002" spans="10:10" x14ac:dyDescent="0.3">
      <c r="J33002" s="33"/>
    </row>
    <row r="33003" spans="10:10" ht="15" customHeight="1" x14ac:dyDescent="0.3">
      <c r="J33003" s="33"/>
    </row>
    <row r="33004" spans="10:10" x14ac:dyDescent="0.3">
      <c r="J33004" s="33"/>
    </row>
    <row r="33005" spans="10:10" x14ac:dyDescent="0.3">
      <c r="J33005" s="33"/>
    </row>
    <row r="33006" spans="10:10" ht="15" customHeight="1" x14ac:dyDescent="0.3">
      <c r="J33006" s="33"/>
    </row>
    <row r="33007" spans="10:10" ht="15" customHeight="1" x14ac:dyDescent="0.3">
      <c r="J33007" s="33"/>
    </row>
    <row r="33008" spans="10:10" ht="15" customHeight="1" x14ac:dyDescent="0.3">
      <c r="J33008" s="33"/>
    </row>
    <row r="33009" spans="10:10" x14ac:dyDescent="0.3">
      <c r="J33009" s="33"/>
    </row>
    <row r="33010" spans="10:10" x14ac:dyDescent="0.3">
      <c r="J33010" s="33"/>
    </row>
    <row r="33011" spans="10:10" ht="15" customHeight="1" x14ac:dyDescent="0.3">
      <c r="J33011" s="33"/>
    </row>
    <row r="33012" spans="10:10" ht="15" customHeight="1" x14ac:dyDescent="0.3">
      <c r="J33012" s="33"/>
    </row>
    <row r="33013" spans="10:10" x14ac:dyDescent="0.3">
      <c r="J33013" s="33"/>
    </row>
    <row r="33014" spans="10:10" ht="15" customHeight="1" x14ac:dyDescent="0.3">
      <c r="J33014" s="33"/>
    </row>
    <row r="33015" spans="10:10" x14ac:dyDescent="0.3">
      <c r="J33015" s="33"/>
    </row>
    <row r="33016" spans="10:10" x14ac:dyDescent="0.3">
      <c r="J33016" s="33"/>
    </row>
    <row r="33017" spans="10:10" ht="15" customHeight="1" x14ac:dyDescent="0.3">
      <c r="J33017" s="33"/>
    </row>
    <row r="33018" spans="10:10" ht="15" customHeight="1" x14ac:dyDescent="0.3">
      <c r="J33018" s="33"/>
    </row>
    <row r="33019" spans="10:10" x14ac:dyDescent="0.3">
      <c r="J33019" s="33"/>
    </row>
    <row r="33020" spans="10:10" x14ac:dyDescent="0.3">
      <c r="J33020" s="33"/>
    </row>
    <row r="33021" spans="10:10" ht="15" customHeight="1" x14ac:dyDescent="0.3">
      <c r="J33021" s="33"/>
    </row>
    <row r="33022" spans="10:10" x14ac:dyDescent="0.3">
      <c r="J33022" s="33"/>
    </row>
    <row r="33023" spans="10:10" ht="15" customHeight="1" x14ac:dyDescent="0.3">
      <c r="J33023" s="33"/>
    </row>
    <row r="33024" spans="10:10" ht="15" customHeight="1" x14ac:dyDescent="0.3">
      <c r="J33024" s="33"/>
    </row>
    <row r="33025" spans="10:10" ht="15" customHeight="1" x14ac:dyDescent="0.3">
      <c r="J33025" s="33"/>
    </row>
    <row r="33026" spans="10:10" ht="15" customHeight="1" x14ac:dyDescent="0.3">
      <c r="J33026" s="33"/>
    </row>
    <row r="33027" spans="10:10" ht="15" customHeight="1" x14ac:dyDescent="0.3">
      <c r="J33027" s="33"/>
    </row>
    <row r="33028" spans="10:10" x14ac:dyDescent="0.3">
      <c r="J33028" s="33"/>
    </row>
    <row r="33029" spans="10:10" ht="15" customHeight="1" x14ac:dyDescent="0.3">
      <c r="J33029" s="33"/>
    </row>
    <row r="33030" spans="10:10" x14ac:dyDescent="0.3">
      <c r="J33030" s="33"/>
    </row>
    <row r="33031" spans="10:10" ht="15" customHeight="1" x14ac:dyDescent="0.3">
      <c r="J33031" s="33"/>
    </row>
    <row r="33032" spans="10:10" ht="15" customHeight="1" x14ac:dyDescent="0.3">
      <c r="J33032" s="33"/>
    </row>
    <row r="33033" spans="10:10" ht="15" customHeight="1" x14ac:dyDescent="0.3">
      <c r="J33033" s="33"/>
    </row>
    <row r="33034" spans="10:10" ht="15" customHeight="1" x14ac:dyDescent="0.3">
      <c r="J33034" s="33"/>
    </row>
    <row r="33035" spans="10:10" x14ac:dyDescent="0.3">
      <c r="J33035" s="33"/>
    </row>
    <row r="33036" spans="10:10" ht="15" customHeight="1" x14ac:dyDescent="0.3">
      <c r="J33036" s="33"/>
    </row>
    <row r="33037" spans="10:10" x14ac:dyDescent="0.3">
      <c r="J33037" s="33"/>
    </row>
    <row r="33038" spans="10:10" x14ac:dyDescent="0.3">
      <c r="J33038" s="33"/>
    </row>
    <row r="33039" spans="10:10" ht="15" customHeight="1" x14ac:dyDescent="0.3">
      <c r="J33039" s="33"/>
    </row>
    <row r="33040" spans="10:10" x14ac:dyDescent="0.3">
      <c r="J33040" s="33"/>
    </row>
    <row r="33041" spans="10:10" ht="15" customHeight="1" x14ac:dyDescent="0.3">
      <c r="J33041" s="33"/>
    </row>
    <row r="33042" spans="10:10" ht="15" customHeight="1" x14ac:dyDescent="0.3">
      <c r="J33042" s="33"/>
    </row>
    <row r="33043" spans="10:10" x14ac:dyDescent="0.3">
      <c r="J33043" s="33"/>
    </row>
    <row r="33044" spans="10:10" ht="15" customHeight="1" x14ac:dyDescent="0.3">
      <c r="J33044" s="33"/>
    </row>
    <row r="33045" spans="10:10" x14ac:dyDescent="0.3">
      <c r="J33045" s="33"/>
    </row>
    <row r="33046" spans="10:10" x14ac:dyDescent="0.3">
      <c r="J33046" s="33"/>
    </row>
    <row r="33047" spans="10:10" x14ac:dyDescent="0.3">
      <c r="J33047" s="33"/>
    </row>
    <row r="33048" spans="10:10" x14ac:dyDescent="0.3">
      <c r="J33048" s="33"/>
    </row>
    <row r="33049" spans="10:10" x14ac:dyDescent="0.3">
      <c r="J33049" s="33"/>
    </row>
    <row r="33050" spans="10:10" ht="15" customHeight="1" x14ac:dyDescent="0.3">
      <c r="J33050" s="33"/>
    </row>
    <row r="33051" spans="10:10" ht="15" customHeight="1" x14ac:dyDescent="0.3">
      <c r="J33051" s="33"/>
    </row>
    <row r="33052" spans="10:10" ht="15" customHeight="1" x14ac:dyDescent="0.3">
      <c r="J33052" s="33"/>
    </row>
    <row r="33053" spans="10:10" x14ac:dyDescent="0.3">
      <c r="J33053" s="33"/>
    </row>
    <row r="33054" spans="10:10" ht="15" customHeight="1" x14ac:dyDescent="0.3">
      <c r="J33054" s="33"/>
    </row>
    <row r="33055" spans="10:10" x14ac:dyDescent="0.3">
      <c r="J33055" s="33"/>
    </row>
    <row r="33056" spans="10:10" ht="15" customHeight="1" x14ac:dyDescent="0.3">
      <c r="J33056" s="33"/>
    </row>
    <row r="33057" spans="10:10" ht="15" customHeight="1" x14ac:dyDescent="0.3">
      <c r="J33057" s="33"/>
    </row>
    <row r="33058" spans="10:10" x14ac:dyDescent="0.3">
      <c r="J33058" s="33"/>
    </row>
    <row r="33059" spans="10:10" x14ac:dyDescent="0.3">
      <c r="J33059" s="33"/>
    </row>
    <row r="33060" spans="10:10" ht="15" customHeight="1" x14ac:dyDescent="0.3">
      <c r="J33060" s="33"/>
    </row>
    <row r="33061" spans="10:10" ht="15" customHeight="1" x14ac:dyDescent="0.3">
      <c r="J33061" s="33"/>
    </row>
    <row r="33062" spans="10:10" ht="15" customHeight="1" x14ac:dyDescent="0.3">
      <c r="J33062" s="33"/>
    </row>
    <row r="33063" spans="10:10" x14ac:dyDescent="0.3">
      <c r="J33063" s="33"/>
    </row>
    <row r="33064" spans="10:10" ht="15" customHeight="1" x14ac:dyDescent="0.3">
      <c r="J33064" s="33"/>
    </row>
    <row r="33065" spans="10:10" ht="15" customHeight="1" x14ac:dyDescent="0.3">
      <c r="J33065" s="33"/>
    </row>
    <row r="33066" spans="10:10" ht="15" customHeight="1" x14ac:dyDescent="0.3">
      <c r="J33066" s="33"/>
    </row>
    <row r="33067" spans="10:10" ht="15" customHeight="1" x14ac:dyDescent="0.3">
      <c r="J33067" s="33"/>
    </row>
    <row r="33068" spans="10:10" ht="15" customHeight="1" x14ac:dyDescent="0.3">
      <c r="J33068" s="33"/>
    </row>
    <row r="33069" spans="10:10" ht="15" customHeight="1" x14ac:dyDescent="0.3">
      <c r="J33069" s="33"/>
    </row>
    <row r="33070" spans="10:10" ht="15" customHeight="1" x14ac:dyDescent="0.3">
      <c r="J33070" s="33"/>
    </row>
    <row r="33071" spans="10:10" x14ac:dyDescent="0.3">
      <c r="J33071" s="33"/>
    </row>
    <row r="33072" spans="10:10" ht="15" customHeight="1" x14ac:dyDescent="0.3">
      <c r="J33072" s="33"/>
    </row>
    <row r="33073" spans="10:10" ht="15" customHeight="1" x14ac:dyDescent="0.3">
      <c r="J33073" s="33"/>
    </row>
    <row r="33074" spans="10:10" x14ac:dyDescent="0.3">
      <c r="J33074" s="33"/>
    </row>
    <row r="33075" spans="10:10" x14ac:dyDescent="0.3">
      <c r="J33075" s="33"/>
    </row>
    <row r="33076" spans="10:10" x14ac:dyDescent="0.3">
      <c r="J33076" s="33"/>
    </row>
    <row r="33077" spans="10:10" x14ac:dyDescent="0.3">
      <c r="J33077" s="33"/>
    </row>
    <row r="33078" spans="10:10" x14ac:dyDescent="0.3">
      <c r="J33078" s="33"/>
    </row>
    <row r="33079" spans="10:10" ht="15" customHeight="1" x14ac:dyDescent="0.3">
      <c r="J33079" s="33"/>
    </row>
    <row r="33080" spans="10:10" x14ac:dyDescent="0.3">
      <c r="J33080" s="33"/>
    </row>
    <row r="33081" spans="10:10" ht="15" customHeight="1" x14ac:dyDescent="0.3">
      <c r="J33081" s="33"/>
    </row>
    <row r="33082" spans="10:10" x14ac:dyDescent="0.3">
      <c r="J33082" s="33"/>
    </row>
    <row r="33083" spans="10:10" x14ac:dyDescent="0.3">
      <c r="J33083" s="33"/>
    </row>
    <row r="33084" spans="10:10" ht="15" customHeight="1" x14ac:dyDescent="0.3">
      <c r="J33084" s="33"/>
    </row>
    <row r="33085" spans="10:10" x14ac:dyDescent="0.3">
      <c r="J33085" s="33"/>
    </row>
    <row r="33086" spans="10:10" ht="15" customHeight="1" x14ac:dyDescent="0.3">
      <c r="J33086" s="33"/>
    </row>
    <row r="33087" spans="10:10" ht="15" customHeight="1" x14ac:dyDescent="0.3">
      <c r="J33087" s="33"/>
    </row>
    <row r="33088" spans="10:10" x14ac:dyDescent="0.3">
      <c r="J33088" s="33"/>
    </row>
    <row r="33089" spans="10:10" x14ac:dyDescent="0.3">
      <c r="J33089" s="33"/>
    </row>
    <row r="33090" spans="10:10" x14ac:dyDescent="0.3">
      <c r="J33090" s="33"/>
    </row>
    <row r="33091" spans="10:10" x14ac:dyDescent="0.3">
      <c r="J33091" s="33"/>
    </row>
    <row r="33092" spans="10:10" ht="15" customHeight="1" x14ac:dyDescent="0.3">
      <c r="J33092" s="33"/>
    </row>
    <row r="33093" spans="10:10" x14ac:dyDescent="0.3">
      <c r="J33093" s="33"/>
    </row>
    <row r="33094" spans="10:10" ht="15" customHeight="1" x14ac:dyDescent="0.3">
      <c r="J33094" s="33"/>
    </row>
    <row r="33095" spans="10:10" ht="15" customHeight="1" x14ac:dyDescent="0.3">
      <c r="J33095" s="33"/>
    </row>
    <row r="33096" spans="10:10" x14ac:dyDescent="0.3">
      <c r="J33096" s="33"/>
    </row>
    <row r="33097" spans="10:10" x14ac:dyDescent="0.3">
      <c r="J33097" s="33"/>
    </row>
    <row r="33098" spans="10:10" x14ac:dyDescent="0.3">
      <c r="J33098" s="33"/>
    </row>
    <row r="33099" spans="10:10" x14ac:dyDescent="0.3">
      <c r="J33099" s="33"/>
    </row>
    <row r="33100" spans="10:10" x14ac:dyDescent="0.3">
      <c r="J33100" s="33"/>
    </row>
    <row r="33101" spans="10:10" x14ac:dyDescent="0.3">
      <c r="J33101" s="33"/>
    </row>
    <row r="33102" spans="10:10" x14ac:dyDescent="0.3">
      <c r="J33102" s="33"/>
    </row>
    <row r="33103" spans="10:10" x14ac:dyDescent="0.3">
      <c r="J33103" s="33"/>
    </row>
    <row r="33104" spans="10:10" ht="15" customHeight="1" x14ac:dyDescent="0.3">
      <c r="J33104" s="33"/>
    </row>
    <row r="33105" spans="10:10" x14ac:dyDescent="0.3">
      <c r="J33105" s="33"/>
    </row>
    <row r="33106" spans="10:10" x14ac:dyDescent="0.3">
      <c r="J33106" s="33"/>
    </row>
    <row r="33107" spans="10:10" ht="15" customHeight="1" x14ac:dyDescent="0.3">
      <c r="J33107" s="33"/>
    </row>
    <row r="33108" spans="10:10" ht="15" customHeight="1" x14ac:dyDescent="0.3">
      <c r="J33108" s="33"/>
    </row>
    <row r="33109" spans="10:10" x14ac:dyDescent="0.3">
      <c r="J33109" s="33"/>
    </row>
    <row r="33110" spans="10:10" x14ac:dyDescent="0.3">
      <c r="J33110" s="33"/>
    </row>
    <row r="33111" spans="10:10" ht="15" customHeight="1" x14ac:dyDescent="0.3">
      <c r="J33111" s="33"/>
    </row>
    <row r="33112" spans="10:10" x14ac:dyDescent="0.3">
      <c r="J33112" s="33"/>
    </row>
    <row r="33113" spans="10:10" ht="15" customHeight="1" x14ac:dyDescent="0.3">
      <c r="J33113" s="33"/>
    </row>
    <row r="33114" spans="10:10" x14ac:dyDescent="0.3">
      <c r="J33114" s="33"/>
    </row>
    <row r="33115" spans="10:10" x14ac:dyDescent="0.3">
      <c r="J33115" s="33"/>
    </row>
    <row r="33116" spans="10:10" ht="15" customHeight="1" x14ac:dyDescent="0.3">
      <c r="J33116" s="33"/>
    </row>
    <row r="33117" spans="10:10" ht="15" customHeight="1" x14ac:dyDescent="0.3">
      <c r="J33117" s="33"/>
    </row>
    <row r="33118" spans="10:10" x14ac:dyDescent="0.3">
      <c r="J33118" s="33"/>
    </row>
    <row r="33119" spans="10:10" x14ac:dyDescent="0.3">
      <c r="J33119" s="33"/>
    </row>
    <row r="33120" spans="10:10" ht="15" customHeight="1" x14ac:dyDescent="0.3">
      <c r="J33120" s="33"/>
    </row>
    <row r="33121" spans="10:10" x14ac:dyDescent="0.3">
      <c r="J33121" s="33"/>
    </row>
    <row r="33122" spans="10:10" x14ac:dyDescent="0.3">
      <c r="J33122" s="33"/>
    </row>
    <row r="33123" spans="10:10" x14ac:dyDescent="0.3">
      <c r="J33123" s="33"/>
    </row>
    <row r="33124" spans="10:10" x14ac:dyDescent="0.3">
      <c r="J33124" s="33"/>
    </row>
    <row r="33125" spans="10:10" ht="15" customHeight="1" x14ac:dyDescent="0.3">
      <c r="J33125" s="33"/>
    </row>
    <row r="33126" spans="10:10" x14ac:dyDescent="0.3">
      <c r="J33126" s="33"/>
    </row>
    <row r="33127" spans="10:10" ht="15" customHeight="1" x14ac:dyDescent="0.3">
      <c r="J33127" s="33"/>
    </row>
    <row r="33128" spans="10:10" ht="15" customHeight="1" x14ac:dyDescent="0.3">
      <c r="J33128" s="33"/>
    </row>
    <row r="33129" spans="10:10" ht="15" customHeight="1" x14ac:dyDescent="0.3">
      <c r="J33129" s="33"/>
    </row>
    <row r="33130" spans="10:10" ht="15" customHeight="1" x14ac:dyDescent="0.3">
      <c r="J33130" s="33"/>
    </row>
    <row r="33131" spans="10:10" x14ac:dyDescent="0.3">
      <c r="J33131" s="33"/>
    </row>
    <row r="33132" spans="10:10" ht="15" customHeight="1" x14ac:dyDescent="0.3">
      <c r="J33132" s="33"/>
    </row>
    <row r="33133" spans="10:10" x14ac:dyDescent="0.3">
      <c r="J33133" s="33"/>
    </row>
    <row r="33134" spans="10:10" ht="15" customHeight="1" x14ac:dyDescent="0.3">
      <c r="J33134" s="33"/>
    </row>
    <row r="33135" spans="10:10" ht="15" customHeight="1" x14ac:dyDescent="0.3">
      <c r="J33135" s="33"/>
    </row>
    <row r="33136" spans="10:10" ht="15" customHeight="1" x14ac:dyDescent="0.3">
      <c r="J33136" s="33"/>
    </row>
    <row r="33137" spans="10:10" x14ac:dyDescent="0.3">
      <c r="J33137" s="33"/>
    </row>
    <row r="33138" spans="10:10" x14ac:dyDescent="0.3">
      <c r="J33138" s="33"/>
    </row>
    <row r="33139" spans="10:10" x14ac:dyDescent="0.3">
      <c r="J33139" s="33"/>
    </row>
    <row r="33140" spans="10:10" x14ac:dyDescent="0.3">
      <c r="J33140" s="33"/>
    </row>
    <row r="33141" spans="10:10" x14ac:dyDescent="0.3">
      <c r="J33141" s="33"/>
    </row>
    <row r="33142" spans="10:10" x14ac:dyDescent="0.3">
      <c r="J33142" s="33"/>
    </row>
    <row r="33143" spans="10:10" x14ac:dyDescent="0.3">
      <c r="J33143" s="33"/>
    </row>
    <row r="33144" spans="10:10" ht="15" customHeight="1" x14ac:dyDescent="0.3">
      <c r="J33144" s="33"/>
    </row>
    <row r="33145" spans="10:10" x14ac:dyDescent="0.3">
      <c r="J33145" s="33"/>
    </row>
    <row r="33146" spans="10:10" ht="15" customHeight="1" x14ac:dyDescent="0.3">
      <c r="J33146" s="33"/>
    </row>
    <row r="33147" spans="10:10" ht="15" customHeight="1" x14ac:dyDescent="0.3">
      <c r="J33147" s="33"/>
    </row>
    <row r="33148" spans="10:10" x14ac:dyDescent="0.3">
      <c r="J33148" s="33"/>
    </row>
    <row r="33149" spans="10:10" ht="15" customHeight="1" x14ac:dyDescent="0.3">
      <c r="J33149" s="33"/>
    </row>
    <row r="33150" spans="10:10" ht="15" customHeight="1" x14ac:dyDescent="0.3">
      <c r="J33150" s="33"/>
    </row>
    <row r="33151" spans="10:10" ht="15" customHeight="1" x14ac:dyDescent="0.3">
      <c r="J33151" s="33"/>
    </row>
    <row r="33152" spans="10:10" x14ac:dyDescent="0.3">
      <c r="J33152" s="33"/>
    </row>
    <row r="33153" spans="10:10" ht="15" customHeight="1" x14ac:dyDescent="0.3">
      <c r="J33153" s="33"/>
    </row>
    <row r="33154" spans="10:10" ht="15" customHeight="1" x14ac:dyDescent="0.3">
      <c r="J33154" s="33"/>
    </row>
    <row r="33155" spans="10:10" ht="15" customHeight="1" x14ac:dyDescent="0.3">
      <c r="J33155" s="33"/>
    </row>
    <row r="33156" spans="10:10" ht="15" customHeight="1" x14ac:dyDescent="0.3">
      <c r="J33156" s="33"/>
    </row>
    <row r="33157" spans="10:10" ht="15" customHeight="1" x14ac:dyDescent="0.3">
      <c r="J33157" s="33"/>
    </row>
    <row r="33158" spans="10:10" x14ac:dyDescent="0.3">
      <c r="J33158" s="33"/>
    </row>
    <row r="33159" spans="10:10" ht="15" customHeight="1" x14ac:dyDescent="0.3">
      <c r="J33159" s="33"/>
    </row>
    <row r="33160" spans="10:10" ht="15" customHeight="1" x14ac:dyDescent="0.3">
      <c r="J33160" s="33"/>
    </row>
    <row r="33161" spans="10:10" ht="15" customHeight="1" x14ac:dyDescent="0.3">
      <c r="J33161" s="33"/>
    </row>
    <row r="33162" spans="10:10" x14ac:dyDescent="0.3">
      <c r="J33162" s="33"/>
    </row>
    <row r="33163" spans="10:10" ht="15" customHeight="1" x14ac:dyDescent="0.3">
      <c r="J33163" s="33"/>
    </row>
    <row r="33164" spans="10:10" x14ac:dyDescent="0.3">
      <c r="J33164" s="33"/>
    </row>
    <row r="33165" spans="10:10" x14ac:dyDescent="0.3">
      <c r="J33165" s="33"/>
    </row>
    <row r="33166" spans="10:10" ht="15" customHeight="1" x14ac:dyDescent="0.3">
      <c r="J33166" s="33"/>
    </row>
    <row r="33167" spans="10:10" ht="15" customHeight="1" x14ac:dyDescent="0.3">
      <c r="J33167" s="33"/>
    </row>
    <row r="33168" spans="10:10" ht="15" customHeight="1" x14ac:dyDescent="0.3">
      <c r="J33168" s="33"/>
    </row>
    <row r="33169" spans="10:10" x14ac:dyDescent="0.3">
      <c r="J33169" s="33"/>
    </row>
    <row r="33170" spans="10:10" x14ac:dyDescent="0.3">
      <c r="J33170" s="33"/>
    </row>
    <row r="33171" spans="10:10" x14ac:dyDescent="0.3">
      <c r="J33171" s="33"/>
    </row>
    <row r="33172" spans="10:10" ht="15" customHeight="1" x14ac:dyDescent="0.3">
      <c r="J33172" s="33"/>
    </row>
    <row r="33173" spans="10:10" x14ac:dyDescent="0.3">
      <c r="J33173" s="33"/>
    </row>
    <row r="33174" spans="10:10" ht="15" customHeight="1" x14ac:dyDescent="0.3">
      <c r="J33174" s="33"/>
    </row>
    <row r="33175" spans="10:10" ht="15" customHeight="1" x14ac:dyDescent="0.3">
      <c r="J33175" s="33"/>
    </row>
    <row r="33176" spans="10:10" x14ac:dyDescent="0.3">
      <c r="J33176" s="33"/>
    </row>
    <row r="33177" spans="10:10" x14ac:dyDescent="0.3">
      <c r="J33177" s="33"/>
    </row>
    <row r="33178" spans="10:10" x14ac:dyDescent="0.3">
      <c r="J33178" s="33"/>
    </row>
    <row r="33179" spans="10:10" x14ac:dyDescent="0.3">
      <c r="J33179" s="33"/>
    </row>
    <row r="33180" spans="10:10" ht="15" customHeight="1" x14ac:dyDescent="0.3">
      <c r="J33180" s="33"/>
    </row>
    <row r="33181" spans="10:10" ht="15" customHeight="1" x14ac:dyDescent="0.3">
      <c r="J33181" s="33"/>
    </row>
    <row r="33182" spans="10:10" x14ac:dyDescent="0.3">
      <c r="J33182" s="33"/>
    </row>
    <row r="33183" spans="10:10" ht="15" customHeight="1" x14ac:dyDescent="0.3">
      <c r="J33183" s="33"/>
    </row>
    <row r="33184" spans="10:10" ht="15" customHeight="1" x14ac:dyDescent="0.3">
      <c r="J33184" s="33"/>
    </row>
    <row r="33185" spans="10:10" ht="15" customHeight="1" x14ac:dyDescent="0.3">
      <c r="J33185" s="33"/>
    </row>
    <row r="33186" spans="10:10" ht="15" customHeight="1" x14ac:dyDescent="0.3">
      <c r="J33186" s="33"/>
    </row>
    <row r="33187" spans="10:10" x14ac:dyDescent="0.3">
      <c r="J33187" s="33"/>
    </row>
    <row r="33188" spans="10:10" x14ac:dyDescent="0.3">
      <c r="J33188" s="33"/>
    </row>
    <row r="33189" spans="10:10" ht="15" customHeight="1" x14ac:dyDescent="0.3">
      <c r="J33189" s="33"/>
    </row>
    <row r="33190" spans="10:10" ht="15" customHeight="1" x14ac:dyDescent="0.3">
      <c r="J33190" s="33"/>
    </row>
    <row r="33191" spans="10:10" ht="15" customHeight="1" x14ac:dyDescent="0.3">
      <c r="J33191" s="33"/>
    </row>
    <row r="33192" spans="10:10" x14ac:dyDescent="0.3">
      <c r="J33192" s="33"/>
    </row>
    <row r="33193" spans="10:10" x14ac:dyDescent="0.3">
      <c r="J33193" s="33"/>
    </row>
    <row r="33194" spans="10:10" x14ac:dyDescent="0.3">
      <c r="J33194" s="33"/>
    </row>
    <row r="33195" spans="10:10" x14ac:dyDescent="0.3">
      <c r="J33195" s="33"/>
    </row>
    <row r="33196" spans="10:10" ht="15" customHeight="1" x14ac:dyDescent="0.3">
      <c r="J33196" s="33"/>
    </row>
    <row r="33197" spans="10:10" x14ac:dyDescent="0.3">
      <c r="J33197" s="33"/>
    </row>
    <row r="33198" spans="10:10" ht="15" customHeight="1" x14ac:dyDescent="0.3">
      <c r="J33198" s="33"/>
    </row>
    <row r="33199" spans="10:10" x14ac:dyDescent="0.3">
      <c r="J33199" s="33"/>
    </row>
    <row r="33200" spans="10:10" ht="15" customHeight="1" x14ac:dyDescent="0.3">
      <c r="J33200" s="33"/>
    </row>
    <row r="33201" spans="10:10" ht="15" customHeight="1" x14ac:dyDescent="0.3">
      <c r="J33201" s="33"/>
    </row>
    <row r="33202" spans="10:10" x14ac:dyDescent="0.3">
      <c r="J33202" s="33"/>
    </row>
    <row r="33203" spans="10:10" ht="15" customHeight="1" x14ac:dyDescent="0.3">
      <c r="J33203" s="33"/>
    </row>
    <row r="33204" spans="10:10" ht="15" customHeight="1" x14ac:dyDescent="0.3">
      <c r="J33204" s="33"/>
    </row>
    <row r="33205" spans="10:10" ht="15" customHeight="1" x14ac:dyDescent="0.3">
      <c r="J33205" s="33"/>
    </row>
    <row r="33206" spans="10:10" ht="15" customHeight="1" x14ac:dyDescent="0.3">
      <c r="J33206" s="33"/>
    </row>
    <row r="33207" spans="10:10" x14ac:dyDescent="0.3">
      <c r="J33207" s="33"/>
    </row>
    <row r="33208" spans="10:10" x14ac:dyDescent="0.3">
      <c r="J33208" s="33"/>
    </row>
    <row r="33209" spans="10:10" x14ac:dyDescent="0.3">
      <c r="J33209" s="33"/>
    </row>
    <row r="33210" spans="10:10" ht="15" customHeight="1" x14ac:dyDescent="0.3">
      <c r="J33210" s="33"/>
    </row>
    <row r="33211" spans="10:10" x14ac:dyDescent="0.3">
      <c r="J33211" s="33"/>
    </row>
    <row r="33212" spans="10:10" x14ac:dyDescent="0.3">
      <c r="J33212" s="33"/>
    </row>
    <row r="33213" spans="10:10" x14ac:dyDescent="0.3">
      <c r="J33213" s="33"/>
    </row>
    <row r="33214" spans="10:10" x14ac:dyDescent="0.3">
      <c r="J33214" s="33"/>
    </row>
    <row r="33215" spans="10:10" x14ac:dyDescent="0.3">
      <c r="J33215" s="33"/>
    </row>
    <row r="33216" spans="10:10" x14ac:dyDescent="0.3">
      <c r="J33216" s="33"/>
    </row>
    <row r="33217" spans="10:10" ht="15" customHeight="1" x14ac:dyDescent="0.3">
      <c r="J33217" s="33"/>
    </row>
    <row r="33218" spans="10:10" x14ac:dyDescent="0.3">
      <c r="J33218" s="33"/>
    </row>
    <row r="33219" spans="10:10" ht="15" customHeight="1" x14ac:dyDescent="0.3">
      <c r="J33219" s="33"/>
    </row>
    <row r="33220" spans="10:10" ht="15" customHeight="1" x14ac:dyDescent="0.3">
      <c r="J33220" s="33"/>
    </row>
    <row r="33221" spans="10:10" x14ac:dyDescent="0.3">
      <c r="J33221" s="33"/>
    </row>
    <row r="33222" spans="10:10" x14ac:dyDescent="0.3">
      <c r="J33222" s="33"/>
    </row>
    <row r="33223" spans="10:10" x14ac:dyDescent="0.3">
      <c r="J33223" s="33"/>
    </row>
    <row r="33224" spans="10:10" x14ac:dyDescent="0.3">
      <c r="J33224" s="33"/>
    </row>
    <row r="33225" spans="10:10" ht="15" customHeight="1" x14ac:dyDescent="0.3">
      <c r="J33225" s="33"/>
    </row>
    <row r="33226" spans="10:10" ht="15" customHeight="1" x14ac:dyDescent="0.3">
      <c r="J33226" s="33"/>
    </row>
    <row r="33227" spans="10:10" ht="15" customHeight="1" x14ac:dyDescent="0.3">
      <c r="J33227" s="33"/>
    </row>
    <row r="33228" spans="10:10" x14ac:dyDescent="0.3">
      <c r="J33228" s="33"/>
    </row>
    <row r="33229" spans="10:10" ht="15" customHeight="1" x14ac:dyDescent="0.3">
      <c r="J33229" s="33"/>
    </row>
    <row r="33230" spans="10:10" x14ac:dyDescent="0.3">
      <c r="J33230" s="33"/>
    </row>
    <row r="33231" spans="10:10" ht="15" customHeight="1" x14ac:dyDescent="0.3">
      <c r="J33231" s="33"/>
    </row>
    <row r="33232" spans="10:10" ht="15" customHeight="1" x14ac:dyDescent="0.3">
      <c r="J33232" s="33"/>
    </row>
    <row r="33233" spans="10:10" x14ac:dyDescent="0.3">
      <c r="J33233" s="33"/>
    </row>
    <row r="33234" spans="10:10" ht="15" customHeight="1" x14ac:dyDescent="0.3">
      <c r="J33234" s="33"/>
    </row>
    <row r="33235" spans="10:10" ht="15" customHeight="1" x14ac:dyDescent="0.3">
      <c r="J33235" s="33"/>
    </row>
    <row r="33236" spans="10:10" x14ac:dyDescent="0.3">
      <c r="J33236" s="33"/>
    </row>
    <row r="33237" spans="10:10" x14ac:dyDescent="0.3">
      <c r="J33237" s="33"/>
    </row>
    <row r="33238" spans="10:10" x14ac:dyDescent="0.3">
      <c r="J33238" s="33"/>
    </row>
    <row r="33239" spans="10:10" ht="15" customHeight="1" x14ac:dyDescent="0.3">
      <c r="J33239" s="33"/>
    </row>
    <row r="33240" spans="10:10" x14ac:dyDescent="0.3">
      <c r="J33240" s="33"/>
    </row>
    <row r="33241" spans="10:10" x14ac:dyDescent="0.3">
      <c r="J33241" s="33"/>
    </row>
    <row r="33242" spans="10:10" ht="15" customHeight="1" x14ac:dyDescent="0.3">
      <c r="J33242" s="33"/>
    </row>
    <row r="33243" spans="10:10" ht="15" customHeight="1" x14ac:dyDescent="0.3">
      <c r="J33243" s="33"/>
    </row>
    <row r="33244" spans="10:10" x14ac:dyDescent="0.3">
      <c r="J33244" s="33"/>
    </row>
    <row r="33245" spans="10:10" ht="15" customHeight="1" x14ac:dyDescent="0.3">
      <c r="J33245" s="33"/>
    </row>
    <row r="33246" spans="10:10" x14ac:dyDescent="0.3">
      <c r="J33246" s="33"/>
    </row>
    <row r="33247" spans="10:10" ht="15" customHeight="1" x14ac:dyDescent="0.3">
      <c r="J33247" s="33"/>
    </row>
    <row r="33248" spans="10:10" x14ac:dyDescent="0.3">
      <c r="J33248" s="33"/>
    </row>
    <row r="33249" spans="10:10" x14ac:dyDescent="0.3">
      <c r="J33249" s="33"/>
    </row>
    <row r="33250" spans="10:10" x14ac:dyDescent="0.3">
      <c r="J33250" s="33"/>
    </row>
    <row r="33251" spans="10:10" x14ac:dyDescent="0.3">
      <c r="J33251" s="33"/>
    </row>
    <row r="33252" spans="10:10" x14ac:dyDescent="0.3">
      <c r="J33252" s="33"/>
    </row>
    <row r="33253" spans="10:10" ht="15" customHeight="1" x14ac:dyDescent="0.3">
      <c r="J33253" s="33"/>
    </row>
    <row r="33254" spans="10:10" x14ac:dyDescent="0.3">
      <c r="J33254" s="33"/>
    </row>
    <row r="33255" spans="10:10" ht="15" customHeight="1" x14ac:dyDescent="0.3">
      <c r="J33255" s="33"/>
    </row>
    <row r="33256" spans="10:10" x14ac:dyDescent="0.3">
      <c r="J33256" s="33"/>
    </row>
    <row r="33257" spans="10:10" x14ac:dyDescent="0.3">
      <c r="J33257" s="33"/>
    </row>
    <row r="33258" spans="10:10" ht="15" customHeight="1" x14ac:dyDescent="0.3">
      <c r="J33258" s="33"/>
    </row>
    <row r="33259" spans="10:10" ht="15" customHeight="1" x14ac:dyDescent="0.3">
      <c r="J33259" s="33"/>
    </row>
    <row r="33260" spans="10:10" x14ac:dyDescent="0.3">
      <c r="J33260" s="33"/>
    </row>
    <row r="33261" spans="10:10" x14ac:dyDescent="0.3">
      <c r="J33261" s="33"/>
    </row>
    <row r="33262" spans="10:10" ht="15" customHeight="1" x14ac:dyDescent="0.3">
      <c r="J33262" s="33"/>
    </row>
    <row r="33263" spans="10:10" ht="15" customHeight="1" x14ac:dyDescent="0.3">
      <c r="J33263" s="33"/>
    </row>
    <row r="33264" spans="10:10" ht="15" customHeight="1" x14ac:dyDescent="0.3">
      <c r="J33264" s="33"/>
    </row>
    <row r="33265" spans="10:10" x14ac:dyDescent="0.3">
      <c r="J33265" s="33"/>
    </row>
    <row r="33266" spans="10:10" x14ac:dyDescent="0.3">
      <c r="J33266" s="33"/>
    </row>
    <row r="33267" spans="10:10" ht="15" customHeight="1" x14ac:dyDescent="0.3">
      <c r="J33267" s="33"/>
    </row>
    <row r="33268" spans="10:10" ht="15" customHeight="1" x14ac:dyDescent="0.3">
      <c r="J33268" s="33"/>
    </row>
    <row r="33269" spans="10:10" x14ac:dyDescent="0.3">
      <c r="J33269" s="33"/>
    </row>
    <row r="33270" spans="10:10" ht="15" customHeight="1" x14ac:dyDescent="0.3">
      <c r="J33270" s="33"/>
    </row>
    <row r="33271" spans="10:10" ht="15" customHeight="1" x14ac:dyDescent="0.3">
      <c r="J33271" s="33"/>
    </row>
    <row r="33272" spans="10:10" ht="15" customHeight="1" x14ac:dyDescent="0.3">
      <c r="J33272" s="33"/>
    </row>
    <row r="33273" spans="10:10" ht="15" customHeight="1" x14ac:dyDescent="0.3">
      <c r="J33273" s="33"/>
    </row>
    <row r="33274" spans="10:10" ht="15" customHeight="1" x14ac:dyDescent="0.3">
      <c r="J33274" s="33"/>
    </row>
    <row r="33275" spans="10:10" x14ac:dyDescent="0.3">
      <c r="J33275" s="33"/>
    </row>
    <row r="33276" spans="10:10" ht="15" customHeight="1" x14ac:dyDescent="0.3">
      <c r="J33276" s="33"/>
    </row>
    <row r="33277" spans="10:10" ht="15" customHeight="1" x14ac:dyDescent="0.3">
      <c r="J33277" s="33"/>
    </row>
    <row r="33278" spans="10:10" x14ac:dyDescent="0.3">
      <c r="J33278" s="33"/>
    </row>
    <row r="33279" spans="10:10" ht="15" customHeight="1" x14ac:dyDescent="0.3">
      <c r="J33279" s="33"/>
    </row>
    <row r="33280" spans="10:10" ht="15" customHeight="1" x14ac:dyDescent="0.3">
      <c r="J33280" s="33"/>
    </row>
    <row r="33281" spans="10:10" x14ac:dyDescent="0.3">
      <c r="J33281" s="33"/>
    </row>
    <row r="33282" spans="10:10" ht="15" customHeight="1" x14ac:dyDescent="0.3">
      <c r="J33282" s="33"/>
    </row>
    <row r="33283" spans="10:10" ht="15" customHeight="1" x14ac:dyDescent="0.3">
      <c r="J33283" s="33"/>
    </row>
    <row r="33284" spans="10:10" ht="15" customHeight="1" x14ac:dyDescent="0.3">
      <c r="J33284" s="33"/>
    </row>
    <row r="33285" spans="10:10" x14ac:dyDescent="0.3">
      <c r="J33285" s="33"/>
    </row>
    <row r="33286" spans="10:10" x14ac:dyDescent="0.3">
      <c r="J33286" s="33"/>
    </row>
    <row r="33287" spans="10:10" x14ac:dyDescent="0.3">
      <c r="J33287" s="33"/>
    </row>
    <row r="33288" spans="10:10" ht="15" customHeight="1" x14ac:dyDescent="0.3">
      <c r="J33288" s="33"/>
    </row>
    <row r="33289" spans="10:10" ht="15" customHeight="1" x14ac:dyDescent="0.3">
      <c r="J33289" s="33"/>
    </row>
    <row r="33290" spans="10:10" x14ac:dyDescent="0.3">
      <c r="J33290" s="33"/>
    </row>
    <row r="33291" spans="10:10" x14ac:dyDescent="0.3">
      <c r="J33291" s="33"/>
    </row>
    <row r="33292" spans="10:10" x14ac:dyDescent="0.3">
      <c r="J33292" s="33"/>
    </row>
    <row r="33293" spans="10:10" ht="15" customHeight="1" x14ac:dyDescent="0.3">
      <c r="J33293" s="33"/>
    </row>
    <row r="33294" spans="10:10" x14ac:dyDescent="0.3">
      <c r="J33294" s="33"/>
    </row>
    <row r="33295" spans="10:10" x14ac:dyDescent="0.3">
      <c r="J33295" s="33"/>
    </row>
    <row r="33296" spans="10:10" ht="15" customHeight="1" x14ac:dyDescent="0.3">
      <c r="J33296" s="33"/>
    </row>
    <row r="33297" spans="10:10" x14ac:dyDescent="0.3">
      <c r="J33297" s="33"/>
    </row>
    <row r="33298" spans="10:10" ht="15" customHeight="1" x14ac:dyDescent="0.3">
      <c r="J33298" s="33"/>
    </row>
    <row r="33299" spans="10:10" x14ac:dyDescent="0.3">
      <c r="J33299" s="33"/>
    </row>
    <row r="33300" spans="10:10" ht="15" customHeight="1" x14ac:dyDescent="0.3">
      <c r="J33300" s="33"/>
    </row>
    <row r="33301" spans="10:10" x14ac:dyDescent="0.3">
      <c r="J33301" s="33"/>
    </row>
    <row r="33302" spans="10:10" ht="15" customHeight="1" x14ac:dyDescent="0.3">
      <c r="J33302" s="33"/>
    </row>
    <row r="33303" spans="10:10" ht="15" customHeight="1" x14ac:dyDescent="0.3">
      <c r="J33303" s="33"/>
    </row>
    <row r="33304" spans="10:10" x14ac:dyDescent="0.3">
      <c r="J33304" s="33"/>
    </row>
    <row r="33305" spans="10:10" ht="15" customHeight="1" x14ac:dyDescent="0.3">
      <c r="J33305" s="33"/>
    </row>
    <row r="33306" spans="10:10" ht="15" customHeight="1" x14ac:dyDescent="0.3">
      <c r="J33306" s="33"/>
    </row>
    <row r="33307" spans="10:10" ht="15" customHeight="1" x14ac:dyDescent="0.3">
      <c r="J33307" s="33"/>
    </row>
    <row r="33308" spans="10:10" ht="15" customHeight="1" x14ac:dyDescent="0.3">
      <c r="J33308" s="33"/>
    </row>
    <row r="33309" spans="10:10" x14ac:dyDescent="0.3">
      <c r="J33309" s="33"/>
    </row>
    <row r="33310" spans="10:10" x14ac:dyDescent="0.3">
      <c r="J33310" s="33"/>
    </row>
    <row r="33311" spans="10:10" ht="15" customHeight="1" x14ac:dyDescent="0.3">
      <c r="J33311" s="33"/>
    </row>
    <row r="33312" spans="10:10" x14ac:dyDescent="0.3">
      <c r="J33312" s="33"/>
    </row>
    <row r="33313" spans="10:10" ht="15" customHeight="1" x14ac:dyDescent="0.3">
      <c r="J33313" s="33"/>
    </row>
    <row r="33314" spans="10:10" x14ac:dyDescent="0.3">
      <c r="J33314" s="33"/>
    </row>
    <row r="33315" spans="10:10" x14ac:dyDescent="0.3">
      <c r="J33315" s="33"/>
    </row>
    <row r="33316" spans="10:10" ht="15" customHeight="1" x14ac:dyDescent="0.3">
      <c r="J33316" s="33"/>
    </row>
    <row r="33317" spans="10:10" x14ac:dyDescent="0.3">
      <c r="J33317" s="33"/>
    </row>
    <row r="33318" spans="10:10" ht="15" customHeight="1" x14ac:dyDescent="0.3">
      <c r="J33318" s="33"/>
    </row>
    <row r="33319" spans="10:10" x14ac:dyDescent="0.3">
      <c r="J33319" s="33"/>
    </row>
    <row r="33320" spans="10:10" x14ac:dyDescent="0.3">
      <c r="J33320" s="33"/>
    </row>
    <row r="33321" spans="10:10" x14ac:dyDescent="0.3">
      <c r="J33321" s="33"/>
    </row>
    <row r="33322" spans="10:10" x14ac:dyDescent="0.3">
      <c r="J33322" s="33"/>
    </row>
    <row r="33323" spans="10:10" x14ac:dyDescent="0.3">
      <c r="J33323" s="33"/>
    </row>
    <row r="33324" spans="10:10" ht="15" customHeight="1" x14ac:dyDescent="0.3">
      <c r="J33324" s="33"/>
    </row>
    <row r="33325" spans="10:10" x14ac:dyDescent="0.3">
      <c r="J33325" s="33"/>
    </row>
    <row r="33326" spans="10:10" ht="15" customHeight="1" x14ac:dyDescent="0.3">
      <c r="J33326" s="33"/>
    </row>
    <row r="33327" spans="10:10" x14ac:dyDescent="0.3">
      <c r="J33327" s="33"/>
    </row>
    <row r="33328" spans="10:10" ht="15" customHeight="1" x14ac:dyDescent="0.3">
      <c r="J33328" s="33"/>
    </row>
    <row r="33329" spans="10:10" x14ac:dyDescent="0.3">
      <c r="J33329" s="33"/>
    </row>
    <row r="33330" spans="10:10" x14ac:dyDescent="0.3">
      <c r="J33330" s="33"/>
    </row>
    <row r="33331" spans="10:10" x14ac:dyDescent="0.3">
      <c r="J33331" s="33"/>
    </row>
    <row r="33332" spans="10:10" ht="15" customHeight="1" x14ac:dyDescent="0.3">
      <c r="J33332" s="33"/>
    </row>
    <row r="33333" spans="10:10" x14ac:dyDescent="0.3">
      <c r="J33333" s="33"/>
    </row>
    <row r="33334" spans="10:10" x14ac:dyDescent="0.3">
      <c r="J33334" s="33"/>
    </row>
    <row r="33335" spans="10:10" ht="15" customHeight="1" x14ac:dyDescent="0.3">
      <c r="J33335" s="33"/>
    </row>
    <row r="33336" spans="10:10" x14ac:dyDescent="0.3">
      <c r="J33336" s="33"/>
    </row>
    <row r="33337" spans="10:10" ht="15" customHeight="1" x14ac:dyDescent="0.3">
      <c r="J33337" s="33"/>
    </row>
    <row r="33338" spans="10:10" x14ac:dyDescent="0.3">
      <c r="J33338" s="33"/>
    </row>
    <row r="33339" spans="10:10" x14ac:dyDescent="0.3">
      <c r="J33339" s="33"/>
    </row>
    <row r="33340" spans="10:10" x14ac:dyDescent="0.3">
      <c r="J33340" s="33"/>
    </row>
    <row r="33341" spans="10:10" ht="15" customHeight="1" x14ac:dyDescent="0.3">
      <c r="J33341" s="33"/>
    </row>
    <row r="33342" spans="10:10" ht="15" customHeight="1" x14ac:dyDescent="0.3">
      <c r="J33342" s="33"/>
    </row>
    <row r="33343" spans="10:10" x14ac:dyDescent="0.3">
      <c r="J33343" s="33"/>
    </row>
    <row r="33344" spans="10:10" ht="15" customHeight="1" x14ac:dyDescent="0.3">
      <c r="J33344" s="33"/>
    </row>
    <row r="33345" spans="10:10" x14ac:dyDescent="0.3">
      <c r="J33345" s="33"/>
    </row>
    <row r="33346" spans="10:10" x14ac:dyDescent="0.3">
      <c r="J33346" s="33"/>
    </row>
    <row r="33347" spans="10:10" x14ac:dyDescent="0.3">
      <c r="J33347" s="33"/>
    </row>
    <row r="33348" spans="10:10" ht="15" customHeight="1" x14ac:dyDescent="0.3">
      <c r="J33348" s="33"/>
    </row>
    <row r="33349" spans="10:10" x14ac:dyDescent="0.3">
      <c r="J33349" s="33"/>
    </row>
    <row r="33350" spans="10:10" x14ac:dyDescent="0.3">
      <c r="J33350" s="33"/>
    </row>
    <row r="33351" spans="10:10" x14ac:dyDescent="0.3">
      <c r="J33351" s="33"/>
    </row>
    <row r="33352" spans="10:10" ht="15" customHeight="1" x14ac:dyDescent="0.3">
      <c r="J33352" s="33"/>
    </row>
    <row r="33353" spans="10:10" x14ac:dyDescent="0.3">
      <c r="J33353" s="33"/>
    </row>
    <row r="33354" spans="10:10" x14ac:dyDescent="0.3">
      <c r="J33354" s="33"/>
    </row>
    <row r="33355" spans="10:10" ht="15" customHeight="1" x14ac:dyDescent="0.3">
      <c r="J33355" s="33"/>
    </row>
    <row r="33356" spans="10:10" x14ac:dyDescent="0.3">
      <c r="J33356" s="33"/>
    </row>
    <row r="33357" spans="10:10" x14ac:dyDescent="0.3">
      <c r="J33357" s="33"/>
    </row>
    <row r="33358" spans="10:10" x14ac:dyDescent="0.3">
      <c r="J33358" s="33"/>
    </row>
    <row r="33359" spans="10:10" ht="15" customHeight="1" x14ac:dyDescent="0.3">
      <c r="J33359" s="33"/>
    </row>
    <row r="33360" spans="10:10" ht="15" customHeight="1" x14ac:dyDescent="0.3">
      <c r="J33360" s="33"/>
    </row>
    <row r="33361" spans="10:10" x14ac:dyDescent="0.3">
      <c r="J33361" s="33"/>
    </row>
    <row r="33362" spans="10:10" x14ac:dyDescent="0.3">
      <c r="J33362" s="33"/>
    </row>
    <row r="33363" spans="10:10" ht="15" customHeight="1" x14ac:dyDescent="0.3">
      <c r="J33363" s="33"/>
    </row>
    <row r="33364" spans="10:10" ht="15" customHeight="1" x14ac:dyDescent="0.3">
      <c r="J33364" s="33"/>
    </row>
    <row r="33365" spans="10:10" ht="15" customHeight="1" x14ac:dyDescent="0.3">
      <c r="J33365" s="33"/>
    </row>
    <row r="33366" spans="10:10" x14ac:dyDescent="0.3">
      <c r="J33366" s="33"/>
    </row>
    <row r="33367" spans="10:10" x14ac:dyDescent="0.3">
      <c r="J33367" s="33"/>
    </row>
    <row r="33368" spans="10:10" x14ac:dyDescent="0.3">
      <c r="J33368" s="33"/>
    </row>
    <row r="33369" spans="10:10" x14ac:dyDescent="0.3">
      <c r="J33369" s="33"/>
    </row>
    <row r="33370" spans="10:10" x14ac:dyDescent="0.3">
      <c r="J33370" s="33"/>
    </row>
    <row r="33371" spans="10:10" x14ac:dyDescent="0.3">
      <c r="J33371" s="33"/>
    </row>
    <row r="33372" spans="10:10" ht="15" customHeight="1" x14ac:dyDescent="0.3">
      <c r="J33372" s="33"/>
    </row>
    <row r="33373" spans="10:10" ht="15" customHeight="1" x14ac:dyDescent="0.3">
      <c r="J33373" s="33"/>
    </row>
    <row r="33374" spans="10:10" ht="15" customHeight="1" x14ac:dyDescent="0.3">
      <c r="J33374" s="33"/>
    </row>
    <row r="33375" spans="10:10" x14ac:dyDescent="0.3">
      <c r="J33375" s="33"/>
    </row>
    <row r="33376" spans="10:10" x14ac:dyDescent="0.3">
      <c r="J33376" s="33"/>
    </row>
    <row r="33377" spans="10:10" x14ac:dyDescent="0.3">
      <c r="J33377" s="33"/>
    </row>
    <row r="33378" spans="10:10" x14ac:dyDescent="0.3">
      <c r="J33378" s="33"/>
    </row>
    <row r="33379" spans="10:10" x14ac:dyDescent="0.3">
      <c r="J33379" s="33"/>
    </row>
    <row r="33380" spans="10:10" ht="15" customHeight="1" x14ac:dyDescent="0.3">
      <c r="J33380" s="33"/>
    </row>
    <row r="33381" spans="10:10" x14ac:dyDescent="0.3">
      <c r="J33381" s="33"/>
    </row>
    <row r="33382" spans="10:10" x14ac:dyDescent="0.3">
      <c r="J33382" s="33"/>
    </row>
    <row r="33383" spans="10:10" x14ac:dyDescent="0.3">
      <c r="J33383" s="33"/>
    </row>
    <row r="33384" spans="10:10" x14ac:dyDescent="0.3">
      <c r="J33384" s="33"/>
    </row>
    <row r="33385" spans="10:10" x14ac:dyDescent="0.3">
      <c r="J33385" s="33"/>
    </row>
    <row r="33386" spans="10:10" ht="15" customHeight="1" x14ac:dyDescent="0.3">
      <c r="J33386" s="33"/>
    </row>
    <row r="33387" spans="10:10" ht="15" customHeight="1" x14ac:dyDescent="0.3">
      <c r="J33387" s="33"/>
    </row>
    <row r="33388" spans="10:10" ht="15" customHeight="1" x14ac:dyDescent="0.3">
      <c r="J33388" s="33"/>
    </row>
    <row r="33389" spans="10:10" ht="15" customHeight="1" x14ac:dyDescent="0.3">
      <c r="J33389" s="33"/>
    </row>
    <row r="33390" spans="10:10" ht="15" customHeight="1" x14ac:dyDescent="0.3">
      <c r="J33390" s="33"/>
    </row>
    <row r="33391" spans="10:10" ht="15" customHeight="1" x14ac:dyDescent="0.3">
      <c r="J33391" s="33"/>
    </row>
    <row r="33392" spans="10:10" ht="15" customHeight="1" x14ac:dyDescent="0.3">
      <c r="J33392" s="33"/>
    </row>
    <row r="33393" spans="10:10" x14ac:dyDescent="0.3">
      <c r="J33393" s="33"/>
    </row>
    <row r="33394" spans="10:10" ht="15" customHeight="1" x14ac:dyDescent="0.3">
      <c r="J33394" s="33"/>
    </row>
    <row r="33395" spans="10:10" x14ac:dyDescent="0.3">
      <c r="J33395" s="33"/>
    </row>
    <row r="33396" spans="10:10" ht="15" customHeight="1" x14ac:dyDescent="0.3">
      <c r="J33396" s="33"/>
    </row>
    <row r="33397" spans="10:10" ht="15" customHeight="1" x14ac:dyDescent="0.3">
      <c r="J33397" s="33"/>
    </row>
    <row r="33398" spans="10:10" x14ac:dyDescent="0.3">
      <c r="J33398" s="33"/>
    </row>
    <row r="33399" spans="10:10" ht="15" customHeight="1" x14ac:dyDescent="0.3">
      <c r="J33399" s="33"/>
    </row>
    <row r="33400" spans="10:10" ht="15" customHeight="1" x14ac:dyDescent="0.3">
      <c r="J33400" s="33"/>
    </row>
    <row r="33401" spans="10:10" x14ac:dyDescent="0.3">
      <c r="J33401" s="33"/>
    </row>
    <row r="33402" spans="10:10" x14ac:dyDescent="0.3">
      <c r="J33402" s="33"/>
    </row>
    <row r="33403" spans="10:10" ht="15" customHeight="1" x14ac:dyDescent="0.3">
      <c r="J33403" s="33"/>
    </row>
    <row r="33404" spans="10:10" x14ac:dyDescent="0.3">
      <c r="J33404" s="33"/>
    </row>
    <row r="33405" spans="10:10" x14ac:dyDescent="0.3">
      <c r="J33405" s="33"/>
    </row>
    <row r="33406" spans="10:10" ht="15" customHeight="1" x14ac:dyDescent="0.3">
      <c r="J33406" s="33"/>
    </row>
    <row r="33407" spans="10:10" ht="15" customHeight="1" x14ac:dyDescent="0.3">
      <c r="J33407" s="33"/>
    </row>
    <row r="33408" spans="10:10" ht="15" customHeight="1" x14ac:dyDescent="0.3">
      <c r="J33408" s="33"/>
    </row>
    <row r="33409" spans="10:10" x14ac:dyDescent="0.3">
      <c r="J33409" s="33"/>
    </row>
    <row r="33410" spans="10:10" ht="15" customHeight="1" x14ac:dyDescent="0.3">
      <c r="J33410" s="33"/>
    </row>
    <row r="33411" spans="10:10" ht="15" customHeight="1" x14ac:dyDescent="0.3">
      <c r="J33411" s="33"/>
    </row>
    <row r="33412" spans="10:10" ht="15" customHeight="1" x14ac:dyDescent="0.3">
      <c r="J33412" s="33"/>
    </row>
    <row r="33413" spans="10:10" ht="15" customHeight="1" x14ac:dyDescent="0.3">
      <c r="J33413" s="33"/>
    </row>
    <row r="33414" spans="10:10" x14ac:dyDescent="0.3">
      <c r="J33414" s="33"/>
    </row>
    <row r="33415" spans="10:10" x14ac:dyDescent="0.3">
      <c r="J33415" s="33"/>
    </row>
    <row r="33416" spans="10:10" x14ac:dyDescent="0.3">
      <c r="J33416" s="33"/>
    </row>
    <row r="33417" spans="10:10" ht="15" customHeight="1" x14ac:dyDescent="0.3">
      <c r="J33417" s="33"/>
    </row>
    <row r="33418" spans="10:10" ht="15" customHeight="1" x14ac:dyDescent="0.3">
      <c r="J33418" s="33"/>
    </row>
    <row r="33419" spans="10:10" x14ac:dyDescent="0.3">
      <c r="J33419" s="33"/>
    </row>
    <row r="33420" spans="10:10" x14ac:dyDescent="0.3">
      <c r="J33420" s="33"/>
    </row>
    <row r="33421" spans="10:10" ht="15" customHeight="1" x14ac:dyDescent="0.3">
      <c r="J33421" s="33"/>
    </row>
    <row r="33422" spans="10:10" x14ac:dyDescent="0.3">
      <c r="J33422" s="33"/>
    </row>
    <row r="33423" spans="10:10" ht="15" customHeight="1" x14ac:dyDescent="0.3">
      <c r="J33423" s="33"/>
    </row>
    <row r="33424" spans="10:10" ht="15" customHeight="1" x14ac:dyDescent="0.3">
      <c r="J33424" s="33"/>
    </row>
    <row r="33425" spans="10:10" ht="15" customHeight="1" x14ac:dyDescent="0.3">
      <c r="J33425" s="33"/>
    </row>
    <row r="33426" spans="10:10" x14ac:dyDescent="0.3">
      <c r="J33426" s="33"/>
    </row>
    <row r="33427" spans="10:10" ht="15" customHeight="1" x14ac:dyDescent="0.3">
      <c r="J33427" s="33"/>
    </row>
    <row r="33428" spans="10:10" x14ac:dyDescent="0.3">
      <c r="J33428" s="33"/>
    </row>
    <row r="33429" spans="10:10" ht="15" customHeight="1" x14ac:dyDescent="0.3">
      <c r="J33429" s="33"/>
    </row>
    <row r="33430" spans="10:10" x14ac:dyDescent="0.3">
      <c r="J33430" s="33"/>
    </row>
    <row r="33431" spans="10:10" x14ac:dyDescent="0.3">
      <c r="J33431" s="33"/>
    </row>
    <row r="33432" spans="10:10" ht="15" customHeight="1" x14ac:dyDescent="0.3">
      <c r="J33432" s="33"/>
    </row>
    <row r="33433" spans="10:10" x14ac:dyDescent="0.3">
      <c r="J33433" s="33"/>
    </row>
    <row r="33434" spans="10:10" x14ac:dyDescent="0.3">
      <c r="J33434" s="33"/>
    </row>
    <row r="33435" spans="10:10" ht="15" customHeight="1" x14ac:dyDescent="0.3">
      <c r="J33435" s="33"/>
    </row>
    <row r="33436" spans="10:10" ht="15" customHeight="1" x14ac:dyDescent="0.3">
      <c r="J33436" s="33"/>
    </row>
    <row r="33437" spans="10:10" ht="15" customHeight="1" x14ac:dyDescent="0.3">
      <c r="J33437" s="33"/>
    </row>
    <row r="33438" spans="10:10" x14ac:dyDescent="0.3">
      <c r="J33438" s="33"/>
    </row>
    <row r="33439" spans="10:10" ht="15" customHeight="1" x14ac:dyDescent="0.3">
      <c r="J33439" s="33"/>
    </row>
    <row r="33440" spans="10:10" x14ac:dyDescent="0.3">
      <c r="J33440" s="33"/>
    </row>
    <row r="33441" spans="10:10" ht="15" customHeight="1" x14ac:dyDescent="0.3">
      <c r="J33441" s="33"/>
    </row>
    <row r="33442" spans="10:10" x14ac:dyDescent="0.3">
      <c r="J33442" s="33"/>
    </row>
    <row r="33443" spans="10:10" ht="15" customHeight="1" x14ac:dyDescent="0.3">
      <c r="J33443" s="33"/>
    </row>
    <row r="33444" spans="10:10" x14ac:dyDescent="0.3">
      <c r="J33444" s="33"/>
    </row>
    <row r="33445" spans="10:10" ht="15" customHeight="1" x14ac:dyDescent="0.3">
      <c r="J33445" s="33"/>
    </row>
    <row r="33446" spans="10:10" x14ac:dyDescent="0.3">
      <c r="J33446" s="33"/>
    </row>
    <row r="33447" spans="10:10" x14ac:dyDescent="0.3">
      <c r="J33447" s="33"/>
    </row>
    <row r="33448" spans="10:10" ht="15" customHeight="1" x14ac:dyDescent="0.3">
      <c r="J33448" s="33"/>
    </row>
    <row r="33449" spans="10:10" x14ac:dyDescent="0.3">
      <c r="J33449" s="33"/>
    </row>
    <row r="33450" spans="10:10" ht="15" customHeight="1" x14ac:dyDescent="0.3">
      <c r="J33450" s="33"/>
    </row>
    <row r="33451" spans="10:10" ht="15" customHeight="1" x14ac:dyDescent="0.3">
      <c r="J33451" s="33"/>
    </row>
    <row r="33452" spans="10:10" ht="15" customHeight="1" x14ac:dyDescent="0.3">
      <c r="J33452" s="33"/>
    </row>
    <row r="33453" spans="10:10" ht="15" customHeight="1" x14ac:dyDescent="0.3">
      <c r="J33453" s="33"/>
    </row>
    <row r="33454" spans="10:10" x14ac:dyDescent="0.3">
      <c r="J33454" s="33"/>
    </row>
    <row r="33455" spans="10:10" ht="15" customHeight="1" x14ac:dyDescent="0.3">
      <c r="J33455" s="33"/>
    </row>
    <row r="33456" spans="10:10" x14ac:dyDescent="0.3">
      <c r="J33456" s="33"/>
    </row>
    <row r="33457" spans="10:10" ht="15" customHeight="1" x14ac:dyDescent="0.3">
      <c r="J33457" s="33"/>
    </row>
    <row r="33458" spans="10:10" ht="15" customHeight="1" x14ac:dyDescent="0.3">
      <c r="J33458" s="33"/>
    </row>
    <row r="33459" spans="10:10" ht="15" customHeight="1" x14ac:dyDescent="0.3">
      <c r="J33459" s="33"/>
    </row>
    <row r="33460" spans="10:10" ht="15" customHeight="1" x14ac:dyDescent="0.3">
      <c r="J33460" s="33"/>
    </row>
    <row r="33461" spans="10:10" x14ac:dyDescent="0.3">
      <c r="J33461" s="33"/>
    </row>
    <row r="33462" spans="10:10" x14ac:dyDescent="0.3">
      <c r="J33462" s="33"/>
    </row>
    <row r="33463" spans="10:10" ht="15" customHeight="1" x14ac:dyDescent="0.3">
      <c r="J33463" s="33"/>
    </row>
    <row r="33464" spans="10:10" x14ac:dyDescent="0.3">
      <c r="J33464" s="33"/>
    </row>
    <row r="33465" spans="10:10" ht="15" customHeight="1" x14ac:dyDescent="0.3">
      <c r="J33465" s="33"/>
    </row>
    <row r="33466" spans="10:10" ht="15" customHeight="1" x14ac:dyDescent="0.3">
      <c r="J33466" s="33"/>
    </row>
    <row r="33467" spans="10:10" x14ac:dyDescent="0.3">
      <c r="J33467" s="33"/>
    </row>
    <row r="33468" spans="10:10" x14ac:dyDescent="0.3">
      <c r="J33468" s="33"/>
    </row>
    <row r="33469" spans="10:10" x14ac:dyDescent="0.3">
      <c r="J33469" s="33"/>
    </row>
    <row r="33470" spans="10:10" ht="15" customHeight="1" x14ac:dyDescent="0.3">
      <c r="J33470" s="33"/>
    </row>
    <row r="33471" spans="10:10" ht="15" customHeight="1" x14ac:dyDescent="0.3">
      <c r="J33471" s="33"/>
    </row>
    <row r="33472" spans="10:10" x14ac:dyDescent="0.3">
      <c r="J33472" s="33"/>
    </row>
    <row r="33473" spans="10:10" x14ac:dyDescent="0.3">
      <c r="J33473" s="33"/>
    </row>
    <row r="33474" spans="10:10" x14ac:dyDescent="0.3">
      <c r="J33474" s="33"/>
    </row>
    <row r="33475" spans="10:10" ht="15" customHeight="1" x14ac:dyDescent="0.3">
      <c r="J33475" s="33"/>
    </row>
    <row r="33476" spans="10:10" x14ac:dyDescent="0.3">
      <c r="J33476" s="33"/>
    </row>
    <row r="33477" spans="10:10" x14ac:dyDescent="0.3">
      <c r="J33477" s="33"/>
    </row>
    <row r="33478" spans="10:10" x14ac:dyDescent="0.3">
      <c r="J33478" s="33"/>
    </row>
    <row r="33479" spans="10:10" x14ac:dyDescent="0.3">
      <c r="J33479" s="33"/>
    </row>
    <row r="33480" spans="10:10" ht="15" customHeight="1" x14ac:dyDescent="0.3">
      <c r="J33480" s="33"/>
    </row>
    <row r="33481" spans="10:10" x14ac:dyDescent="0.3">
      <c r="J33481" s="33"/>
    </row>
    <row r="33482" spans="10:10" x14ac:dyDescent="0.3">
      <c r="J33482" s="33"/>
    </row>
    <row r="33483" spans="10:10" x14ac:dyDescent="0.3">
      <c r="J33483" s="33"/>
    </row>
    <row r="33484" spans="10:10" ht="15" customHeight="1" x14ac:dyDescent="0.3">
      <c r="J33484" s="33"/>
    </row>
    <row r="33485" spans="10:10" ht="15" customHeight="1" x14ac:dyDescent="0.3">
      <c r="J33485" s="33"/>
    </row>
    <row r="33486" spans="10:10" ht="15" customHeight="1" x14ac:dyDescent="0.3">
      <c r="J33486" s="33"/>
    </row>
    <row r="33487" spans="10:10" ht="15" customHeight="1" x14ac:dyDescent="0.3">
      <c r="J33487" s="33"/>
    </row>
    <row r="33488" spans="10:10" x14ac:dyDescent="0.3">
      <c r="J33488" s="33"/>
    </row>
    <row r="33489" spans="10:10" ht="15" customHeight="1" x14ac:dyDescent="0.3">
      <c r="J33489" s="33"/>
    </row>
    <row r="33490" spans="10:10" x14ac:dyDescent="0.3">
      <c r="J33490" s="33"/>
    </row>
    <row r="33491" spans="10:10" ht="15" customHeight="1" x14ac:dyDescent="0.3">
      <c r="J33491" s="33"/>
    </row>
    <row r="33492" spans="10:10" x14ac:dyDescent="0.3">
      <c r="J33492" s="33"/>
    </row>
    <row r="33493" spans="10:10" x14ac:dyDescent="0.3">
      <c r="J33493" s="33"/>
    </row>
    <row r="33494" spans="10:10" ht="15" customHeight="1" x14ac:dyDescent="0.3">
      <c r="J33494" s="33"/>
    </row>
    <row r="33495" spans="10:10" x14ac:dyDescent="0.3">
      <c r="J33495" s="33"/>
    </row>
    <row r="33496" spans="10:10" x14ac:dyDescent="0.3">
      <c r="J33496" s="33"/>
    </row>
    <row r="33497" spans="10:10" x14ac:dyDescent="0.3">
      <c r="J33497" s="33"/>
    </row>
    <row r="33498" spans="10:10" ht="15" customHeight="1" x14ac:dyDescent="0.3">
      <c r="J33498" s="33"/>
    </row>
    <row r="33499" spans="10:10" ht="15" customHeight="1" x14ac:dyDescent="0.3">
      <c r="J33499" s="33"/>
    </row>
    <row r="33500" spans="10:10" x14ac:dyDescent="0.3">
      <c r="J33500" s="33"/>
    </row>
    <row r="33501" spans="10:10" ht="15" customHeight="1" x14ac:dyDescent="0.3">
      <c r="J33501" s="33"/>
    </row>
    <row r="33502" spans="10:10" ht="15" customHeight="1" x14ac:dyDescent="0.3">
      <c r="J33502" s="33"/>
    </row>
    <row r="33503" spans="10:10" x14ac:dyDescent="0.3">
      <c r="J33503" s="33"/>
    </row>
    <row r="33504" spans="10:10" ht="15" customHeight="1" x14ac:dyDescent="0.3">
      <c r="J33504" s="33"/>
    </row>
    <row r="33505" spans="10:10" ht="15" customHeight="1" x14ac:dyDescent="0.3">
      <c r="J33505" s="33"/>
    </row>
    <row r="33506" spans="10:10" ht="15" customHeight="1" x14ac:dyDescent="0.3">
      <c r="J33506" s="33"/>
    </row>
    <row r="33507" spans="10:10" x14ac:dyDescent="0.3">
      <c r="J33507" s="33"/>
    </row>
    <row r="33508" spans="10:10" x14ac:dyDescent="0.3">
      <c r="J33508" s="33"/>
    </row>
    <row r="33509" spans="10:10" ht="15" customHeight="1" x14ac:dyDescent="0.3">
      <c r="J33509" s="33"/>
    </row>
    <row r="33510" spans="10:10" ht="15" customHeight="1" x14ac:dyDescent="0.3">
      <c r="J33510" s="33"/>
    </row>
    <row r="33511" spans="10:10" x14ac:dyDescent="0.3">
      <c r="J33511" s="33"/>
    </row>
    <row r="33512" spans="10:10" ht="15" customHeight="1" x14ac:dyDescent="0.3">
      <c r="J33512" s="33"/>
    </row>
    <row r="33513" spans="10:10" ht="15" customHeight="1" x14ac:dyDescent="0.3">
      <c r="J33513" s="33"/>
    </row>
    <row r="33514" spans="10:10" x14ac:dyDescent="0.3">
      <c r="J33514" s="33"/>
    </row>
    <row r="33515" spans="10:10" ht="15" customHeight="1" x14ac:dyDescent="0.3">
      <c r="J33515" s="33"/>
    </row>
    <row r="33516" spans="10:10" x14ac:dyDescent="0.3">
      <c r="J33516" s="33"/>
    </row>
    <row r="33517" spans="10:10" ht="15" customHeight="1" x14ac:dyDescent="0.3">
      <c r="J33517" s="33"/>
    </row>
    <row r="33518" spans="10:10" x14ac:dyDescent="0.3">
      <c r="J33518" s="33"/>
    </row>
    <row r="33519" spans="10:10" x14ac:dyDescent="0.3">
      <c r="J33519" s="33"/>
    </row>
    <row r="33520" spans="10:10" x14ac:dyDescent="0.3">
      <c r="J33520" s="33"/>
    </row>
    <row r="33521" spans="10:10" x14ac:dyDescent="0.3">
      <c r="J33521" s="33"/>
    </row>
    <row r="33522" spans="10:10" ht="15" customHeight="1" x14ac:dyDescent="0.3">
      <c r="J33522" s="33"/>
    </row>
    <row r="33523" spans="10:10" x14ac:dyDescent="0.3">
      <c r="J33523" s="33"/>
    </row>
    <row r="33524" spans="10:10" x14ac:dyDescent="0.3">
      <c r="J33524" s="33"/>
    </row>
    <row r="33525" spans="10:10" x14ac:dyDescent="0.3">
      <c r="J33525" s="33"/>
    </row>
    <row r="33526" spans="10:10" x14ac:dyDescent="0.3">
      <c r="J33526" s="33"/>
    </row>
    <row r="33527" spans="10:10" x14ac:dyDescent="0.3">
      <c r="J33527" s="33"/>
    </row>
    <row r="33528" spans="10:10" ht="15" customHeight="1" x14ac:dyDescent="0.3">
      <c r="J33528" s="33"/>
    </row>
    <row r="33529" spans="10:10" ht="15" customHeight="1" x14ac:dyDescent="0.3">
      <c r="J33529" s="33"/>
    </row>
    <row r="33530" spans="10:10" ht="15" customHeight="1" x14ac:dyDescent="0.3">
      <c r="J33530" s="33"/>
    </row>
    <row r="33531" spans="10:10" ht="15" customHeight="1" x14ac:dyDescent="0.3">
      <c r="J33531" s="33"/>
    </row>
    <row r="33532" spans="10:10" x14ac:dyDescent="0.3">
      <c r="J33532" s="33"/>
    </row>
    <row r="33533" spans="10:10" ht="15" customHeight="1" x14ac:dyDescent="0.3">
      <c r="J33533" s="33"/>
    </row>
    <row r="33534" spans="10:10" x14ac:dyDescent="0.3">
      <c r="J33534" s="33"/>
    </row>
    <row r="33535" spans="10:10" x14ac:dyDescent="0.3">
      <c r="J33535" s="33"/>
    </row>
    <row r="33536" spans="10:10" ht="15" customHeight="1" x14ac:dyDescent="0.3">
      <c r="J33536" s="33"/>
    </row>
    <row r="33537" spans="10:10" ht="15" customHeight="1" x14ac:dyDescent="0.3">
      <c r="J33537" s="33"/>
    </row>
    <row r="33538" spans="10:10" x14ac:dyDescent="0.3">
      <c r="J33538" s="33"/>
    </row>
    <row r="33539" spans="10:10" x14ac:dyDescent="0.3">
      <c r="J33539" s="33"/>
    </row>
    <row r="33540" spans="10:10" x14ac:dyDescent="0.3">
      <c r="J33540" s="33"/>
    </row>
    <row r="33541" spans="10:10" x14ac:dyDescent="0.3">
      <c r="J33541" s="33"/>
    </row>
    <row r="33542" spans="10:10" ht="15" customHeight="1" x14ac:dyDescent="0.3">
      <c r="J33542" s="33"/>
    </row>
    <row r="33543" spans="10:10" x14ac:dyDescent="0.3">
      <c r="J33543" s="33"/>
    </row>
    <row r="33544" spans="10:10" x14ac:dyDescent="0.3">
      <c r="J33544" s="33"/>
    </row>
    <row r="33545" spans="10:10" x14ac:dyDescent="0.3">
      <c r="J33545" s="33"/>
    </row>
    <row r="33546" spans="10:10" x14ac:dyDescent="0.3">
      <c r="J33546" s="33"/>
    </row>
    <row r="33547" spans="10:10" x14ac:dyDescent="0.3">
      <c r="J33547" s="33"/>
    </row>
    <row r="33548" spans="10:10" x14ac:dyDescent="0.3">
      <c r="J33548" s="33"/>
    </row>
    <row r="33549" spans="10:10" x14ac:dyDescent="0.3">
      <c r="J33549" s="33"/>
    </row>
    <row r="33550" spans="10:10" ht="15" customHeight="1" x14ac:dyDescent="0.3">
      <c r="J33550" s="33"/>
    </row>
    <row r="33551" spans="10:10" ht="15" customHeight="1" x14ac:dyDescent="0.3">
      <c r="J33551" s="33"/>
    </row>
    <row r="33552" spans="10:10" ht="15" customHeight="1" x14ac:dyDescent="0.3">
      <c r="J33552" s="33"/>
    </row>
    <row r="33553" spans="10:10" ht="15" customHeight="1" x14ac:dyDescent="0.3">
      <c r="J33553" s="33"/>
    </row>
    <row r="33554" spans="10:10" x14ac:dyDescent="0.3">
      <c r="J33554" s="33"/>
    </row>
    <row r="33555" spans="10:10" x14ac:dyDescent="0.3">
      <c r="J33555" s="33"/>
    </row>
    <row r="33556" spans="10:10" ht="15" customHeight="1" x14ac:dyDescent="0.3">
      <c r="J33556" s="33"/>
    </row>
    <row r="33557" spans="10:10" ht="15" customHeight="1" x14ac:dyDescent="0.3">
      <c r="J33557" s="33"/>
    </row>
    <row r="33558" spans="10:10" ht="15" customHeight="1" x14ac:dyDescent="0.3">
      <c r="J33558" s="33"/>
    </row>
    <row r="33559" spans="10:10" ht="15" customHeight="1" x14ac:dyDescent="0.3">
      <c r="J33559" s="33"/>
    </row>
    <row r="33560" spans="10:10" x14ac:dyDescent="0.3">
      <c r="J33560" s="33"/>
    </row>
    <row r="33561" spans="10:10" ht="15" customHeight="1" x14ac:dyDescent="0.3">
      <c r="J33561" s="33"/>
    </row>
    <row r="33562" spans="10:10" x14ac:dyDescent="0.3">
      <c r="J33562" s="33"/>
    </row>
    <row r="33563" spans="10:10" ht="15" customHeight="1" x14ac:dyDescent="0.3">
      <c r="J33563" s="33"/>
    </row>
    <row r="33564" spans="10:10" ht="15" customHeight="1" x14ac:dyDescent="0.3">
      <c r="J33564" s="33"/>
    </row>
    <row r="33565" spans="10:10" ht="15" customHeight="1" x14ac:dyDescent="0.3">
      <c r="J33565" s="33"/>
    </row>
    <row r="33566" spans="10:10" ht="15" customHeight="1" x14ac:dyDescent="0.3">
      <c r="J33566" s="33"/>
    </row>
    <row r="33567" spans="10:10" ht="15" customHeight="1" x14ac:dyDescent="0.3">
      <c r="J33567" s="33"/>
    </row>
    <row r="33568" spans="10:10" x14ac:dyDescent="0.3">
      <c r="J33568" s="33"/>
    </row>
    <row r="33569" spans="10:10" x14ac:dyDescent="0.3">
      <c r="J33569" s="33"/>
    </row>
    <row r="33570" spans="10:10" ht="15" customHeight="1" x14ac:dyDescent="0.3">
      <c r="J33570" s="33"/>
    </row>
    <row r="33571" spans="10:10" ht="15" customHeight="1" x14ac:dyDescent="0.3">
      <c r="J33571" s="33"/>
    </row>
    <row r="33572" spans="10:10" ht="15" customHeight="1" x14ac:dyDescent="0.3">
      <c r="J33572" s="33"/>
    </row>
    <row r="33573" spans="10:10" ht="15" customHeight="1" x14ac:dyDescent="0.3">
      <c r="J33573" s="33"/>
    </row>
    <row r="33574" spans="10:10" x14ac:dyDescent="0.3">
      <c r="J33574" s="33"/>
    </row>
    <row r="33575" spans="10:10" x14ac:dyDescent="0.3">
      <c r="J33575" s="33"/>
    </row>
    <row r="33576" spans="10:10" ht="15" customHeight="1" x14ac:dyDescent="0.3">
      <c r="J33576" s="33"/>
    </row>
    <row r="33577" spans="10:10" x14ac:dyDescent="0.3">
      <c r="J33577" s="33"/>
    </row>
    <row r="33578" spans="10:10" ht="15" customHeight="1" x14ac:dyDescent="0.3">
      <c r="J33578" s="33"/>
    </row>
    <row r="33579" spans="10:10" ht="15" customHeight="1" x14ac:dyDescent="0.3">
      <c r="J33579" s="33"/>
    </row>
    <row r="33580" spans="10:10" x14ac:dyDescent="0.3">
      <c r="J33580" s="33"/>
    </row>
    <row r="33581" spans="10:10" ht="15" customHeight="1" x14ac:dyDescent="0.3">
      <c r="J33581" s="33"/>
    </row>
    <row r="33582" spans="10:10" ht="15" customHeight="1" x14ac:dyDescent="0.3">
      <c r="J33582" s="33"/>
    </row>
    <row r="33583" spans="10:10" ht="15" customHeight="1" x14ac:dyDescent="0.3">
      <c r="J33583" s="33"/>
    </row>
    <row r="33584" spans="10:10" x14ac:dyDescent="0.3">
      <c r="J33584" s="33"/>
    </row>
    <row r="33585" spans="10:10" x14ac:dyDescent="0.3">
      <c r="J33585" s="33"/>
    </row>
    <row r="33586" spans="10:10" ht="15" customHeight="1" x14ac:dyDescent="0.3">
      <c r="J33586" s="33"/>
    </row>
    <row r="33587" spans="10:10" x14ac:dyDescent="0.3">
      <c r="J33587" s="33"/>
    </row>
    <row r="33588" spans="10:10" x14ac:dyDescent="0.3">
      <c r="J33588" s="33"/>
    </row>
    <row r="33589" spans="10:10" ht="15" customHeight="1" x14ac:dyDescent="0.3">
      <c r="J33589" s="33"/>
    </row>
    <row r="33590" spans="10:10" x14ac:dyDescent="0.3">
      <c r="J33590" s="33"/>
    </row>
    <row r="33591" spans="10:10" ht="15" customHeight="1" x14ac:dyDescent="0.3">
      <c r="J33591" s="33"/>
    </row>
    <row r="33592" spans="10:10" ht="15" customHeight="1" x14ac:dyDescent="0.3">
      <c r="J33592" s="33"/>
    </row>
    <row r="33593" spans="10:10" x14ac:dyDescent="0.3">
      <c r="J33593" s="33"/>
    </row>
    <row r="33594" spans="10:10" ht="15" customHeight="1" x14ac:dyDescent="0.3">
      <c r="J33594" s="33"/>
    </row>
    <row r="33595" spans="10:10" x14ac:dyDescent="0.3">
      <c r="J33595" s="33"/>
    </row>
    <row r="33596" spans="10:10" x14ac:dyDescent="0.3">
      <c r="J33596" s="33"/>
    </row>
    <row r="33597" spans="10:10" x14ac:dyDescent="0.3">
      <c r="J33597" s="33"/>
    </row>
    <row r="33598" spans="10:10" ht="15" customHeight="1" x14ac:dyDescent="0.3">
      <c r="J33598" s="33"/>
    </row>
    <row r="33599" spans="10:10" ht="15" customHeight="1" x14ac:dyDescent="0.3">
      <c r="J33599" s="33"/>
    </row>
    <row r="33600" spans="10:10" x14ac:dyDescent="0.3">
      <c r="J33600" s="33"/>
    </row>
    <row r="33601" spans="10:10" ht="15" customHeight="1" x14ac:dyDescent="0.3">
      <c r="J33601" s="33"/>
    </row>
    <row r="33602" spans="10:10" x14ac:dyDescent="0.3">
      <c r="J33602" s="33"/>
    </row>
    <row r="33603" spans="10:10" x14ac:dyDescent="0.3">
      <c r="J33603" s="33"/>
    </row>
    <row r="33604" spans="10:10" x14ac:dyDescent="0.3">
      <c r="J33604" s="33"/>
    </row>
    <row r="33605" spans="10:10" x14ac:dyDescent="0.3">
      <c r="J33605" s="33"/>
    </row>
    <row r="33606" spans="10:10" x14ac:dyDescent="0.3">
      <c r="J33606" s="33"/>
    </row>
    <row r="33607" spans="10:10" x14ac:dyDescent="0.3">
      <c r="J33607" s="33"/>
    </row>
    <row r="33608" spans="10:10" ht="15" customHeight="1" x14ac:dyDescent="0.3">
      <c r="J33608" s="33"/>
    </row>
    <row r="33609" spans="10:10" x14ac:dyDescent="0.3">
      <c r="J33609" s="33"/>
    </row>
    <row r="33610" spans="10:10" x14ac:dyDescent="0.3">
      <c r="J33610" s="33"/>
    </row>
    <row r="33611" spans="10:10" x14ac:dyDescent="0.3">
      <c r="J33611" s="33"/>
    </row>
    <row r="33612" spans="10:10" ht="15" customHeight="1" x14ac:dyDescent="0.3">
      <c r="J33612" s="33"/>
    </row>
    <row r="33613" spans="10:10" ht="15" customHeight="1" x14ac:dyDescent="0.3">
      <c r="J33613" s="33"/>
    </row>
    <row r="33614" spans="10:10" ht="15" customHeight="1" x14ac:dyDescent="0.3">
      <c r="J33614" s="33"/>
    </row>
    <row r="33615" spans="10:10" x14ac:dyDescent="0.3">
      <c r="J33615" s="33"/>
    </row>
    <row r="33616" spans="10:10" ht="15" customHeight="1" x14ac:dyDescent="0.3">
      <c r="J33616" s="33"/>
    </row>
    <row r="33617" spans="10:10" ht="15" customHeight="1" x14ac:dyDescent="0.3">
      <c r="J33617" s="33"/>
    </row>
    <row r="33618" spans="10:10" ht="15" customHeight="1" x14ac:dyDescent="0.3">
      <c r="J33618" s="33"/>
    </row>
    <row r="33619" spans="10:10" ht="15" customHeight="1" x14ac:dyDescent="0.3">
      <c r="J33619" s="33"/>
    </row>
    <row r="33620" spans="10:10" ht="15" customHeight="1" x14ac:dyDescent="0.3">
      <c r="J33620" s="33"/>
    </row>
    <row r="33621" spans="10:10" x14ac:dyDescent="0.3">
      <c r="J33621" s="33"/>
    </row>
    <row r="33622" spans="10:10" ht="15" customHeight="1" x14ac:dyDescent="0.3">
      <c r="J33622" s="33"/>
    </row>
    <row r="33623" spans="10:10" ht="15" customHeight="1" x14ac:dyDescent="0.3">
      <c r="J33623" s="33"/>
    </row>
    <row r="33624" spans="10:10" ht="15" customHeight="1" x14ac:dyDescent="0.3">
      <c r="J33624" s="33"/>
    </row>
    <row r="33625" spans="10:10" ht="15" customHeight="1" x14ac:dyDescent="0.3">
      <c r="J33625" s="33"/>
    </row>
    <row r="33626" spans="10:10" x14ac:dyDescent="0.3">
      <c r="J33626" s="33"/>
    </row>
    <row r="33627" spans="10:10" x14ac:dyDescent="0.3">
      <c r="J33627" s="33"/>
    </row>
    <row r="33628" spans="10:10" ht="15" customHeight="1" x14ac:dyDescent="0.3">
      <c r="J33628" s="33"/>
    </row>
    <row r="33629" spans="10:10" x14ac:dyDescent="0.3">
      <c r="J33629" s="33"/>
    </row>
    <row r="33630" spans="10:10" ht="15" customHeight="1" x14ac:dyDescent="0.3">
      <c r="J33630" s="33"/>
    </row>
    <row r="33631" spans="10:10" x14ac:dyDescent="0.3">
      <c r="J33631" s="33"/>
    </row>
    <row r="33632" spans="10:10" x14ac:dyDescent="0.3">
      <c r="J33632" s="33"/>
    </row>
    <row r="33633" spans="10:10" x14ac:dyDescent="0.3">
      <c r="J33633" s="33"/>
    </row>
    <row r="33634" spans="10:10" x14ac:dyDescent="0.3">
      <c r="J33634" s="33"/>
    </row>
    <row r="33635" spans="10:10" ht="15" customHeight="1" x14ac:dyDescent="0.3">
      <c r="J33635" s="33"/>
    </row>
    <row r="33636" spans="10:10" x14ac:dyDescent="0.3">
      <c r="J33636" s="33"/>
    </row>
    <row r="33637" spans="10:10" ht="15" customHeight="1" x14ac:dyDescent="0.3">
      <c r="J33637" s="33"/>
    </row>
    <row r="33638" spans="10:10" ht="15" customHeight="1" x14ac:dyDescent="0.3">
      <c r="J33638" s="33"/>
    </row>
    <row r="33639" spans="10:10" ht="15" customHeight="1" x14ac:dyDescent="0.3">
      <c r="J33639" s="33"/>
    </row>
    <row r="33640" spans="10:10" ht="15" customHeight="1" x14ac:dyDescent="0.3">
      <c r="J33640" s="33"/>
    </row>
    <row r="33641" spans="10:10" ht="15" customHeight="1" x14ac:dyDescent="0.3">
      <c r="J33641" s="33"/>
    </row>
    <row r="33642" spans="10:10" x14ac:dyDescent="0.3">
      <c r="J33642" s="33"/>
    </row>
    <row r="33643" spans="10:10" x14ac:dyDescent="0.3">
      <c r="J33643" s="33"/>
    </row>
    <row r="33644" spans="10:10" ht="15" customHeight="1" x14ac:dyDescent="0.3">
      <c r="J33644" s="33"/>
    </row>
    <row r="33645" spans="10:10" x14ac:dyDescent="0.3">
      <c r="J33645" s="33"/>
    </row>
    <row r="33646" spans="10:10" ht="15" customHeight="1" x14ac:dyDescent="0.3">
      <c r="J33646" s="33"/>
    </row>
    <row r="33647" spans="10:10" ht="15" customHeight="1" x14ac:dyDescent="0.3">
      <c r="J33647" s="33"/>
    </row>
    <row r="33648" spans="10:10" x14ac:dyDescent="0.3">
      <c r="J33648" s="33"/>
    </row>
    <row r="33649" spans="10:10" x14ac:dyDescent="0.3">
      <c r="J33649" s="33"/>
    </row>
    <row r="33650" spans="10:10" x14ac:dyDescent="0.3">
      <c r="J33650" s="33"/>
    </row>
    <row r="33651" spans="10:10" x14ac:dyDescent="0.3">
      <c r="J33651" s="33"/>
    </row>
    <row r="33652" spans="10:10" ht="15" customHeight="1" x14ac:dyDescent="0.3">
      <c r="J33652" s="33"/>
    </row>
    <row r="33653" spans="10:10" ht="15" customHeight="1" x14ac:dyDescent="0.3">
      <c r="J33653" s="33"/>
    </row>
    <row r="33654" spans="10:10" x14ac:dyDescent="0.3">
      <c r="J33654" s="33"/>
    </row>
    <row r="33655" spans="10:10" ht="15" customHeight="1" x14ac:dyDescent="0.3">
      <c r="J33655" s="33"/>
    </row>
    <row r="33656" spans="10:10" x14ac:dyDescent="0.3">
      <c r="J33656" s="33"/>
    </row>
    <row r="33657" spans="10:10" ht="15" customHeight="1" x14ac:dyDescent="0.3">
      <c r="J33657" s="33"/>
    </row>
    <row r="33658" spans="10:10" ht="15" customHeight="1" x14ac:dyDescent="0.3">
      <c r="J33658" s="33"/>
    </row>
    <row r="33659" spans="10:10" ht="15" customHeight="1" x14ac:dyDescent="0.3">
      <c r="J33659" s="33"/>
    </row>
    <row r="33660" spans="10:10" ht="15" customHeight="1" x14ac:dyDescent="0.3">
      <c r="J33660" s="33"/>
    </row>
    <row r="33661" spans="10:10" ht="15" customHeight="1" x14ac:dyDescent="0.3">
      <c r="J33661" s="33"/>
    </row>
    <row r="33662" spans="10:10" ht="15" customHeight="1" x14ac:dyDescent="0.3">
      <c r="J33662" s="33"/>
    </row>
    <row r="33663" spans="10:10" x14ac:dyDescent="0.3">
      <c r="J33663" s="33"/>
    </row>
    <row r="33664" spans="10:10" x14ac:dyDescent="0.3">
      <c r="J33664" s="33"/>
    </row>
    <row r="33665" spans="10:10" ht="15" customHeight="1" x14ac:dyDescent="0.3">
      <c r="J33665" s="33"/>
    </row>
    <row r="33666" spans="10:10" ht="15" customHeight="1" x14ac:dyDescent="0.3">
      <c r="J33666" s="33"/>
    </row>
    <row r="33667" spans="10:10" x14ac:dyDescent="0.3">
      <c r="J33667" s="33"/>
    </row>
    <row r="33668" spans="10:10" ht="15" customHeight="1" x14ac:dyDescent="0.3">
      <c r="J33668" s="33"/>
    </row>
    <row r="33669" spans="10:10" ht="15" customHeight="1" x14ac:dyDescent="0.3">
      <c r="J33669" s="33"/>
    </row>
    <row r="33670" spans="10:10" x14ac:dyDescent="0.3">
      <c r="J33670" s="33"/>
    </row>
    <row r="33671" spans="10:10" x14ac:dyDescent="0.3">
      <c r="J33671" s="33"/>
    </row>
    <row r="33672" spans="10:10" ht="15" customHeight="1" x14ac:dyDescent="0.3">
      <c r="J33672" s="33"/>
    </row>
    <row r="33673" spans="10:10" ht="15" customHeight="1" x14ac:dyDescent="0.3">
      <c r="J33673" s="33"/>
    </row>
    <row r="33674" spans="10:10" ht="15" customHeight="1" x14ac:dyDescent="0.3">
      <c r="J33674" s="33"/>
    </row>
    <row r="33675" spans="10:10" ht="15" customHeight="1" x14ac:dyDescent="0.3">
      <c r="J33675" s="33"/>
    </row>
    <row r="33676" spans="10:10" ht="15" customHeight="1" x14ac:dyDescent="0.3">
      <c r="J33676" s="33"/>
    </row>
    <row r="33677" spans="10:10" x14ac:dyDescent="0.3">
      <c r="J33677" s="33"/>
    </row>
    <row r="33678" spans="10:10" x14ac:dyDescent="0.3">
      <c r="J33678" s="33"/>
    </row>
    <row r="33679" spans="10:10" x14ac:dyDescent="0.3">
      <c r="J33679" s="33"/>
    </row>
    <row r="33680" spans="10:10" x14ac:dyDescent="0.3">
      <c r="J33680" s="33"/>
    </row>
    <row r="33681" spans="10:10" ht="15" customHeight="1" x14ac:dyDescent="0.3">
      <c r="J33681" s="33"/>
    </row>
    <row r="33682" spans="10:10" ht="15" customHeight="1" x14ac:dyDescent="0.3">
      <c r="J33682" s="33"/>
    </row>
    <row r="33683" spans="10:10" ht="15" customHeight="1" x14ac:dyDescent="0.3">
      <c r="J33683" s="33"/>
    </row>
    <row r="33684" spans="10:10" ht="15" customHeight="1" x14ac:dyDescent="0.3">
      <c r="J33684" s="33"/>
    </row>
    <row r="33685" spans="10:10" ht="15" customHeight="1" x14ac:dyDescent="0.3">
      <c r="J33685" s="33"/>
    </row>
    <row r="33686" spans="10:10" ht="15" customHeight="1" x14ac:dyDescent="0.3">
      <c r="J33686" s="33"/>
    </row>
    <row r="33687" spans="10:10" x14ac:dyDescent="0.3">
      <c r="J33687" s="33"/>
    </row>
    <row r="33688" spans="10:10" x14ac:dyDescent="0.3">
      <c r="J33688" s="33"/>
    </row>
    <row r="33689" spans="10:10" x14ac:dyDescent="0.3">
      <c r="J33689" s="33"/>
    </row>
    <row r="33690" spans="10:10" x14ac:dyDescent="0.3">
      <c r="J33690" s="33"/>
    </row>
    <row r="33691" spans="10:10" x14ac:dyDescent="0.3">
      <c r="J33691" s="33"/>
    </row>
    <row r="33692" spans="10:10" ht="15" customHeight="1" x14ac:dyDescent="0.3">
      <c r="J33692" s="33"/>
    </row>
    <row r="33693" spans="10:10" x14ac:dyDescent="0.3">
      <c r="J33693" s="33"/>
    </row>
    <row r="33694" spans="10:10" x14ac:dyDescent="0.3">
      <c r="J33694" s="33"/>
    </row>
    <row r="33695" spans="10:10" ht="15" customHeight="1" x14ac:dyDescent="0.3">
      <c r="J33695" s="33"/>
    </row>
    <row r="33696" spans="10:10" ht="15" customHeight="1" x14ac:dyDescent="0.3">
      <c r="J33696" s="33"/>
    </row>
    <row r="33697" spans="10:10" ht="15" customHeight="1" x14ac:dyDescent="0.3">
      <c r="J33697" s="33"/>
    </row>
    <row r="33698" spans="10:10" ht="15" customHeight="1" x14ac:dyDescent="0.3">
      <c r="J33698" s="33"/>
    </row>
    <row r="33699" spans="10:10" x14ac:dyDescent="0.3">
      <c r="J33699" s="33"/>
    </row>
    <row r="33700" spans="10:10" ht="15" customHeight="1" x14ac:dyDescent="0.3">
      <c r="J33700" s="33"/>
    </row>
    <row r="33701" spans="10:10" x14ac:dyDescent="0.3">
      <c r="J33701" s="33"/>
    </row>
    <row r="33702" spans="10:10" x14ac:dyDescent="0.3">
      <c r="J33702" s="33"/>
    </row>
    <row r="33703" spans="10:10" x14ac:dyDescent="0.3">
      <c r="J33703" s="33"/>
    </row>
    <row r="33704" spans="10:10" ht="15" customHeight="1" x14ac:dyDescent="0.3">
      <c r="J33704" s="33"/>
    </row>
    <row r="33705" spans="10:10" ht="15" customHeight="1" x14ac:dyDescent="0.3">
      <c r="J33705" s="33"/>
    </row>
    <row r="33706" spans="10:10" ht="15" customHeight="1" x14ac:dyDescent="0.3">
      <c r="J33706" s="33"/>
    </row>
    <row r="33707" spans="10:10" ht="15" customHeight="1" x14ac:dyDescent="0.3">
      <c r="J33707" s="33"/>
    </row>
    <row r="33708" spans="10:10" ht="15" customHeight="1" x14ac:dyDescent="0.3">
      <c r="J33708" s="33"/>
    </row>
    <row r="33709" spans="10:10" x14ac:dyDescent="0.3">
      <c r="J33709" s="33"/>
    </row>
    <row r="33710" spans="10:10" x14ac:dyDescent="0.3">
      <c r="J33710" s="33"/>
    </row>
    <row r="33711" spans="10:10" x14ac:dyDescent="0.3">
      <c r="J33711" s="33"/>
    </row>
    <row r="33712" spans="10:10" ht="15" customHeight="1" x14ac:dyDescent="0.3">
      <c r="J33712" s="33"/>
    </row>
    <row r="33713" spans="10:10" x14ac:dyDescent="0.3">
      <c r="J33713" s="33"/>
    </row>
    <row r="33714" spans="10:10" x14ac:dyDescent="0.3">
      <c r="J33714" s="33"/>
    </row>
    <row r="33715" spans="10:10" ht="15" customHeight="1" x14ac:dyDescent="0.3">
      <c r="J33715" s="33"/>
    </row>
    <row r="33716" spans="10:10" x14ac:dyDescent="0.3">
      <c r="J33716" s="33"/>
    </row>
    <row r="33717" spans="10:10" x14ac:dyDescent="0.3">
      <c r="J33717" s="33"/>
    </row>
    <row r="33718" spans="10:10" x14ac:dyDescent="0.3">
      <c r="J33718" s="33"/>
    </row>
    <row r="33719" spans="10:10" x14ac:dyDescent="0.3">
      <c r="J33719" s="33"/>
    </row>
    <row r="33720" spans="10:10" x14ac:dyDescent="0.3">
      <c r="J33720" s="33"/>
    </row>
    <row r="33721" spans="10:10" ht="15" customHeight="1" x14ac:dyDescent="0.3">
      <c r="J33721" s="33"/>
    </row>
    <row r="33722" spans="10:10" x14ac:dyDescent="0.3">
      <c r="J33722" s="33"/>
    </row>
    <row r="33723" spans="10:10" x14ac:dyDescent="0.3">
      <c r="J33723" s="33"/>
    </row>
    <row r="33724" spans="10:10" ht="15" customHeight="1" x14ac:dyDescent="0.3">
      <c r="J33724" s="33"/>
    </row>
    <row r="33725" spans="10:10" x14ac:dyDescent="0.3">
      <c r="J33725" s="33"/>
    </row>
    <row r="33726" spans="10:10" x14ac:dyDescent="0.3">
      <c r="J33726" s="33"/>
    </row>
    <row r="33727" spans="10:10" x14ac:dyDescent="0.3">
      <c r="J33727" s="33"/>
    </row>
    <row r="33728" spans="10:10" ht="15" customHeight="1" x14ac:dyDescent="0.3">
      <c r="J33728" s="33"/>
    </row>
    <row r="33729" spans="10:10" x14ac:dyDescent="0.3">
      <c r="J33729" s="33"/>
    </row>
    <row r="33730" spans="10:10" x14ac:dyDescent="0.3">
      <c r="J33730" s="33"/>
    </row>
    <row r="33731" spans="10:10" ht="15" customHeight="1" x14ac:dyDescent="0.3">
      <c r="J33731" s="33"/>
    </row>
    <row r="33732" spans="10:10" x14ac:dyDescent="0.3">
      <c r="J33732" s="33"/>
    </row>
    <row r="33733" spans="10:10" ht="15" customHeight="1" x14ac:dyDescent="0.3">
      <c r="J33733" s="33"/>
    </row>
    <row r="33734" spans="10:10" x14ac:dyDescent="0.3">
      <c r="J33734" s="33"/>
    </row>
    <row r="33735" spans="10:10" ht="15" customHeight="1" x14ac:dyDescent="0.3">
      <c r="J33735" s="33"/>
    </row>
    <row r="33736" spans="10:10" x14ac:dyDescent="0.3">
      <c r="J33736" s="33"/>
    </row>
    <row r="33737" spans="10:10" x14ac:dyDescent="0.3">
      <c r="J33737" s="33"/>
    </row>
    <row r="33738" spans="10:10" x14ac:dyDescent="0.3">
      <c r="J33738" s="33"/>
    </row>
    <row r="33739" spans="10:10" x14ac:dyDescent="0.3">
      <c r="J33739" s="33"/>
    </row>
    <row r="33740" spans="10:10" ht="15" customHeight="1" x14ac:dyDescent="0.3">
      <c r="J33740" s="33"/>
    </row>
    <row r="33741" spans="10:10" ht="15" customHeight="1" x14ac:dyDescent="0.3">
      <c r="J33741" s="33"/>
    </row>
    <row r="33742" spans="10:10" x14ac:dyDescent="0.3">
      <c r="J33742" s="33"/>
    </row>
    <row r="33743" spans="10:10" ht="15" customHeight="1" x14ac:dyDescent="0.3">
      <c r="J33743" s="33"/>
    </row>
    <row r="33744" spans="10:10" x14ac:dyDescent="0.3">
      <c r="J33744" s="33"/>
    </row>
    <row r="33745" spans="10:10" x14ac:dyDescent="0.3">
      <c r="J33745" s="33"/>
    </row>
    <row r="33746" spans="10:10" ht="15" customHeight="1" x14ac:dyDescent="0.3">
      <c r="J33746" s="33"/>
    </row>
    <row r="33747" spans="10:10" ht="15" customHeight="1" x14ac:dyDescent="0.3">
      <c r="J33747" s="33"/>
    </row>
    <row r="33748" spans="10:10" x14ac:dyDescent="0.3">
      <c r="J33748" s="33"/>
    </row>
    <row r="33749" spans="10:10" x14ac:dyDescent="0.3">
      <c r="J33749" s="33"/>
    </row>
    <row r="33750" spans="10:10" ht="15" customHeight="1" x14ac:dyDescent="0.3">
      <c r="J33750" s="33"/>
    </row>
    <row r="33751" spans="10:10" ht="15" customHeight="1" x14ac:dyDescent="0.3">
      <c r="J33751" s="33"/>
    </row>
    <row r="33752" spans="10:10" x14ac:dyDescent="0.3">
      <c r="J33752" s="33"/>
    </row>
    <row r="33753" spans="10:10" x14ac:dyDescent="0.3">
      <c r="J33753" s="33"/>
    </row>
    <row r="33754" spans="10:10" x14ac:dyDescent="0.3">
      <c r="J33754" s="33"/>
    </row>
    <row r="33755" spans="10:10" ht="15" customHeight="1" x14ac:dyDescent="0.3">
      <c r="J33755" s="33"/>
    </row>
    <row r="33756" spans="10:10" x14ac:dyDescent="0.3">
      <c r="J33756" s="33"/>
    </row>
    <row r="33757" spans="10:10" ht="15" customHeight="1" x14ac:dyDescent="0.3">
      <c r="J33757" s="33"/>
    </row>
    <row r="33758" spans="10:10" x14ac:dyDescent="0.3">
      <c r="J33758" s="33"/>
    </row>
    <row r="33759" spans="10:10" ht="15" customHeight="1" x14ac:dyDescent="0.3">
      <c r="J33759" s="33"/>
    </row>
    <row r="33760" spans="10:10" ht="15" customHeight="1" x14ac:dyDescent="0.3">
      <c r="J33760" s="33"/>
    </row>
    <row r="33761" spans="10:10" ht="15" customHeight="1" x14ac:dyDescent="0.3">
      <c r="J33761" s="33"/>
    </row>
    <row r="33762" spans="10:10" x14ac:dyDescent="0.3">
      <c r="J33762" s="33"/>
    </row>
    <row r="33763" spans="10:10" ht="15" customHeight="1" x14ac:dyDescent="0.3">
      <c r="J33763" s="33"/>
    </row>
    <row r="33764" spans="10:10" x14ac:dyDescent="0.3">
      <c r="J33764" s="33"/>
    </row>
    <row r="33765" spans="10:10" x14ac:dyDescent="0.3">
      <c r="J33765" s="33"/>
    </row>
    <row r="33766" spans="10:10" ht="15" customHeight="1" x14ac:dyDescent="0.3">
      <c r="J33766" s="33"/>
    </row>
    <row r="33767" spans="10:10" x14ac:dyDescent="0.3">
      <c r="J33767" s="33"/>
    </row>
    <row r="33768" spans="10:10" ht="15" customHeight="1" x14ac:dyDescent="0.3">
      <c r="J33768" s="33"/>
    </row>
    <row r="33769" spans="10:10" x14ac:dyDescent="0.3">
      <c r="J33769" s="33"/>
    </row>
    <row r="33770" spans="10:10" x14ac:dyDescent="0.3">
      <c r="J33770" s="33"/>
    </row>
    <row r="33771" spans="10:10" ht="15" customHeight="1" x14ac:dyDescent="0.3">
      <c r="J33771" s="33"/>
    </row>
    <row r="33772" spans="10:10" ht="15" customHeight="1" x14ac:dyDescent="0.3">
      <c r="J33772" s="33"/>
    </row>
    <row r="33773" spans="10:10" ht="15" customHeight="1" x14ac:dyDescent="0.3">
      <c r="J33773" s="33"/>
    </row>
    <row r="33774" spans="10:10" ht="15" customHeight="1" x14ac:dyDescent="0.3">
      <c r="J33774" s="33"/>
    </row>
    <row r="33775" spans="10:10" x14ac:dyDescent="0.3">
      <c r="J33775" s="33"/>
    </row>
    <row r="33776" spans="10:10" x14ac:dyDescent="0.3">
      <c r="J33776" s="33"/>
    </row>
    <row r="33777" spans="10:10" ht="15" customHeight="1" x14ac:dyDescent="0.3">
      <c r="J33777" s="33"/>
    </row>
    <row r="33778" spans="10:10" ht="15" customHeight="1" x14ac:dyDescent="0.3">
      <c r="J33778" s="33"/>
    </row>
    <row r="33779" spans="10:10" x14ac:dyDescent="0.3">
      <c r="J33779" s="33"/>
    </row>
    <row r="33780" spans="10:10" x14ac:dyDescent="0.3">
      <c r="J33780" s="33"/>
    </row>
    <row r="33781" spans="10:10" ht="15" customHeight="1" x14ac:dyDescent="0.3">
      <c r="J33781" s="33"/>
    </row>
    <row r="33782" spans="10:10" x14ac:dyDescent="0.3">
      <c r="J33782" s="33"/>
    </row>
    <row r="33783" spans="10:10" x14ac:dyDescent="0.3">
      <c r="J33783" s="33"/>
    </row>
    <row r="33784" spans="10:10" ht="15" customHeight="1" x14ac:dyDescent="0.3">
      <c r="J33784" s="33"/>
    </row>
    <row r="33785" spans="10:10" x14ac:dyDescent="0.3">
      <c r="J33785" s="33"/>
    </row>
    <row r="33786" spans="10:10" ht="15" customHeight="1" x14ac:dyDescent="0.3">
      <c r="J33786" s="33"/>
    </row>
    <row r="33787" spans="10:10" ht="15" customHeight="1" x14ac:dyDescent="0.3">
      <c r="J33787" s="33"/>
    </row>
    <row r="33788" spans="10:10" x14ac:dyDescent="0.3">
      <c r="J33788" s="33"/>
    </row>
    <row r="33789" spans="10:10" ht="15" customHeight="1" x14ac:dyDescent="0.3">
      <c r="J33789" s="33"/>
    </row>
    <row r="33790" spans="10:10" ht="15" customHeight="1" x14ac:dyDescent="0.3">
      <c r="J33790" s="33"/>
    </row>
    <row r="33791" spans="10:10" x14ac:dyDescent="0.3">
      <c r="J33791" s="33"/>
    </row>
    <row r="33792" spans="10:10" ht="15" customHeight="1" x14ac:dyDescent="0.3">
      <c r="J33792" s="33"/>
    </row>
    <row r="33793" spans="10:10" ht="15" customHeight="1" x14ac:dyDescent="0.3">
      <c r="J33793" s="33"/>
    </row>
    <row r="33794" spans="10:10" x14ac:dyDescent="0.3">
      <c r="J33794" s="33"/>
    </row>
    <row r="33795" spans="10:10" ht="15" customHeight="1" x14ac:dyDescent="0.3">
      <c r="J33795" s="33"/>
    </row>
    <row r="33796" spans="10:10" ht="15" customHeight="1" x14ac:dyDescent="0.3">
      <c r="J33796" s="33"/>
    </row>
    <row r="33797" spans="10:10" x14ac:dyDescent="0.3">
      <c r="J33797" s="33"/>
    </row>
    <row r="33798" spans="10:10" x14ac:dyDescent="0.3">
      <c r="J33798" s="33"/>
    </row>
    <row r="33799" spans="10:10" ht="15" customHeight="1" x14ac:dyDescent="0.3">
      <c r="J33799" s="33"/>
    </row>
    <row r="33800" spans="10:10" x14ac:dyDescent="0.3">
      <c r="J33800" s="33"/>
    </row>
    <row r="33801" spans="10:10" ht="15" customHeight="1" x14ac:dyDescent="0.3">
      <c r="J33801" s="33"/>
    </row>
    <row r="33802" spans="10:10" x14ac:dyDescent="0.3">
      <c r="J33802" s="33"/>
    </row>
    <row r="33803" spans="10:10" x14ac:dyDescent="0.3">
      <c r="J33803" s="33"/>
    </row>
    <row r="33804" spans="10:10" ht="15" customHeight="1" x14ac:dyDescent="0.3">
      <c r="J33804" s="33"/>
    </row>
    <row r="33805" spans="10:10" x14ac:dyDescent="0.3">
      <c r="J33805" s="33"/>
    </row>
    <row r="33806" spans="10:10" x14ac:dyDescent="0.3">
      <c r="J33806" s="33"/>
    </row>
    <row r="33807" spans="10:10" ht="15" customHeight="1" x14ac:dyDescent="0.3">
      <c r="J33807" s="33"/>
    </row>
    <row r="33808" spans="10:10" ht="15" customHeight="1" x14ac:dyDescent="0.3">
      <c r="J33808" s="33"/>
    </row>
    <row r="33809" spans="10:10" ht="15" customHeight="1" x14ac:dyDescent="0.3">
      <c r="J33809" s="33"/>
    </row>
    <row r="33810" spans="10:10" ht="15" customHeight="1" x14ac:dyDescent="0.3">
      <c r="J33810" s="33"/>
    </row>
    <row r="33811" spans="10:10" x14ac:dyDescent="0.3">
      <c r="J33811" s="33"/>
    </row>
    <row r="33812" spans="10:10" ht="15" customHeight="1" x14ac:dyDescent="0.3">
      <c r="J33812" s="33"/>
    </row>
    <row r="33813" spans="10:10" x14ac:dyDescent="0.3">
      <c r="J33813" s="33"/>
    </row>
    <row r="33814" spans="10:10" ht="15" customHeight="1" x14ac:dyDescent="0.3">
      <c r="J33814" s="33"/>
    </row>
    <row r="33815" spans="10:10" x14ac:dyDescent="0.3">
      <c r="J33815" s="33"/>
    </row>
    <row r="33816" spans="10:10" ht="15" customHeight="1" x14ac:dyDescent="0.3">
      <c r="J33816" s="33"/>
    </row>
    <row r="33817" spans="10:10" x14ac:dyDescent="0.3">
      <c r="J33817" s="33"/>
    </row>
    <row r="33818" spans="10:10" ht="15" customHeight="1" x14ac:dyDescent="0.3">
      <c r="J33818" s="33"/>
    </row>
    <row r="33819" spans="10:10" ht="15" customHeight="1" x14ac:dyDescent="0.3">
      <c r="J33819" s="33"/>
    </row>
    <row r="33820" spans="10:10" x14ac:dyDescent="0.3">
      <c r="J33820" s="33"/>
    </row>
    <row r="33821" spans="10:10" x14ac:dyDescent="0.3">
      <c r="J33821" s="33"/>
    </row>
    <row r="33822" spans="10:10" x14ac:dyDescent="0.3">
      <c r="J33822" s="33"/>
    </row>
    <row r="33823" spans="10:10" x14ac:dyDescent="0.3">
      <c r="J33823" s="33"/>
    </row>
    <row r="33824" spans="10:10" ht="15" customHeight="1" x14ac:dyDescent="0.3">
      <c r="J33824" s="33"/>
    </row>
    <row r="33825" spans="10:10" ht="15" customHeight="1" x14ac:dyDescent="0.3">
      <c r="J33825" s="33"/>
    </row>
    <row r="33826" spans="10:10" x14ac:dyDescent="0.3">
      <c r="J33826" s="33"/>
    </row>
    <row r="33827" spans="10:10" x14ac:dyDescent="0.3">
      <c r="J33827" s="33"/>
    </row>
    <row r="33828" spans="10:10" ht="15" customHeight="1" x14ac:dyDescent="0.3">
      <c r="J33828" s="33"/>
    </row>
    <row r="33829" spans="10:10" x14ac:dyDescent="0.3">
      <c r="J33829" s="33"/>
    </row>
    <row r="33830" spans="10:10" x14ac:dyDescent="0.3">
      <c r="J33830" s="33"/>
    </row>
    <row r="33831" spans="10:10" ht="15" customHeight="1" x14ac:dyDescent="0.3">
      <c r="J33831" s="33"/>
    </row>
    <row r="33832" spans="10:10" x14ac:dyDescent="0.3">
      <c r="J33832" s="33"/>
    </row>
    <row r="33833" spans="10:10" ht="15" customHeight="1" x14ac:dyDescent="0.3">
      <c r="J33833" s="33"/>
    </row>
    <row r="33834" spans="10:10" ht="15" customHeight="1" x14ac:dyDescent="0.3">
      <c r="J33834" s="33"/>
    </row>
    <row r="33835" spans="10:10" ht="15" customHeight="1" x14ac:dyDescent="0.3">
      <c r="J33835" s="33"/>
    </row>
    <row r="33836" spans="10:10" ht="15" customHeight="1" x14ac:dyDescent="0.3">
      <c r="J33836" s="33"/>
    </row>
    <row r="33837" spans="10:10" ht="15" customHeight="1" x14ac:dyDescent="0.3">
      <c r="J33837" s="33"/>
    </row>
    <row r="33838" spans="10:10" ht="15" customHeight="1" x14ac:dyDescent="0.3">
      <c r="J33838" s="33"/>
    </row>
    <row r="33839" spans="10:10" x14ac:dyDescent="0.3">
      <c r="J33839" s="33"/>
    </row>
    <row r="33840" spans="10:10" ht="15" customHeight="1" x14ac:dyDescent="0.3">
      <c r="J33840" s="33"/>
    </row>
    <row r="33841" spans="10:10" x14ac:dyDescent="0.3">
      <c r="J33841" s="33"/>
    </row>
    <row r="33842" spans="10:10" ht="15" customHeight="1" x14ac:dyDescent="0.3">
      <c r="J33842" s="33"/>
    </row>
    <row r="33843" spans="10:10" x14ac:dyDescent="0.3">
      <c r="J33843" s="33"/>
    </row>
    <row r="33844" spans="10:10" x14ac:dyDescent="0.3">
      <c r="J33844" s="33"/>
    </row>
    <row r="33845" spans="10:10" ht="15" customHeight="1" x14ac:dyDescent="0.3">
      <c r="J33845" s="33"/>
    </row>
    <row r="33846" spans="10:10" x14ac:dyDescent="0.3">
      <c r="J33846" s="33"/>
    </row>
    <row r="33847" spans="10:10" x14ac:dyDescent="0.3">
      <c r="J33847" s="33"/>
    </row>
    <row r="33848" spans="10:10" ht="15" customHeight="1" x14ac:dyDescent="0.3">
      <c r="J33848" s="33"/>
    </row>
    <row r="33849" spans="10:10" x14ac:dyDescent="0.3">
      <c r="J33849" s="33"/>
    </row>
    <row r="33850" spans="10:10" x14ac:dyDescent="0.3">
      <c r="J33850" s="33"/>
    </row>
    <row r="33851" spans="10:10" ht="15" customHeight="1" x14ac:dyDescent="0.3">
      <c r="J33851" s="33"/>
    </row>
    <row r="33852" spans="10:10" ht="15" customHeight="1" x14ac:dyDescent="0.3">
      <c r="J33852" s="33"/>
    </row>
    <row r="33853" spans="10:10" x14ac:dyDescent="0.3">
      <c r="J33853" s="33"/>
    </row>
    <row r="33854" spans="10:10" ht="15" customHeight="1" x14ac:dyDescent="0.3">
      <c r="J33854" s="33"/>
    </row>
    <row r="33855" spans="10:10" x14ac:dyDescent="0.3">
      <c r="J33855" s="33"/>
    </row>
    <row r="33856" spans="10:10" ht="15" customHeight="1" x14ac:dyDescent="0.3">
      <c r="J33856" s="33"/>
    </row>
    <row r="33857" spans="10:10" ht="15" customHeight="1" x14ac:dyDescent="0.3">
      <c r="J33857" s="33"/>
    </row>
    <row r="33858" spans="10:10" x14ac:dyDescent="0.3">
      <c r="J33858" s="33"/>
    </row>
    <row r="33859" spans="10:10" x14ac:dyDescent="0.3">
      <c r="J33859" s="33"/>
    </row>
    <row r="33860" spans="10:10" x14ac:dyDescent="0.3">
      <c r="J33860" s="33"/>
    </row>
    <row r="33861" spans="10:10" x14ac:dyDescent="0.3">
      <c r="J33861" s="33"/>
    </row>
    <row r="33862" spans="10:10" x14ac:dyDescent="0.3">
      <c r="J33862" s="33"/>
    </row>
    <row r="33863" spans="10:10" x14ac:dyDescent="0.3">
      <c r="J33863" s="33"/>
    </row>
    <row r="33864" spans="10:10" x14ac:dyDescent="0.3">
      <c r="J33864" s="33"/>
    </row>
    <row r="33865" spans="10:10" ht="15" customHeight="1" x14ac:dyDescent="0.3">
      <c r="J33865" s="33"/>
    </row>
    <row r="33866" spans="10:10" x14ac:dyDescent="0.3">
      <c r="J33866" s="33"/>
    </row>
    <row r="33867" spans="10:10" x14ac:dyDescent="0.3">
      <c r="J33867" s="33"/>
    </row>
    <row r="33868" spans="10:10" x14ac:dyDescent="0.3">
      <c r="J33868" s="33"/>
    </row>
    <row r="33869" spans="10:10" ht="15" customHeight="1" x14ac:dyDescent="0.3">
      <c r="J33869" s="33"/>
    </row>
    <row r="33870" spans="10:10" ht="15" customHeight="1" x14ac:dyDescent="0.3">
      <c r="J33870" s="33"/>
    </row>
    <row r="33871" spans="10:10" x14ac:dyDescent="0.3">
      <c r="J33871" s="33"/>
    </row>
    <row r="33872" spans="10:10" ht="15" customHeight="1" x14ac:dyDescent="0.3">
      <c r="J33872" s="33"/>
    </row>
    <row r="33873" spans="10:10" x14ac:dyDescent="0.3">
      <c r="J33873" s="33"/>
    </row>
    <row r="33874" spans="10:10" x14ac:dyDescent="0.3">
      <c r="J33874" s="33"/>
    </row>
    <row r="33875" spans="10:10" x14ac:dyDescent="0.3">
      <c r="J33875" s="33"/>
    </row>
    <row r="33876" spans="10:10" ht="15" customHeight="1" x14ac:dyDescent="0.3">
      <c r="J33876" s="33"/>
    </row>
    <row r="33877" spans="10:10" x14ac:dyDescent="0.3">
      <c r="J33877" s="33"/>
    </row>
    <row r="33878" spans="10:10" ht="15" customHeight="1" x14ac:dyDescent="0.3">
      <c r="J33878" s="33"/>
    </row>
    <row r="33879" spans="10:10" ht="15" customHeight="1" x14ac:dyDescent="0.3">
      <c r="J33879" s="33"/>
    </row>
    <row r="33880" spans="10:10" ht="15" customHeight="1" x14ac:dyDescent="0.3">
      <c r="J33880" s="33"/>
    </row>
    <row r="33881" spans="10:10" x14ac:dyDescent="0.3">
      <c r="J33881" s="33"/>
    </row>
    <row r="33882" spans="10:10" x14ac:dyDescent="0.3">
      <c r="J33882" s="33"/>
    </row>
    <row r="33883" spans="10:10" ht="15" customHeight="1" x14ac:dyDescent="0.3">
      <c r="J33883" s="33"/>
    </row>
    <row r="33884" spans="10:10" ht="15" customHeight="1" x14ac:dyDescent="0.3">
      <c r="J33884" s="33"/>
    </row>
    <row r="33885" spans="10:10" x14ac:dyDescent="0.3">
      <c r="J33885" s="33"/>
    </row>
    <row r="33886" spans="10:10" x14ac:dyDescent="0.3">
      <c r="J33886" s="33"/>
    </row>
    <row r="33887" spans="10:10" ht="15" customHeight="1" x14ac:dyDescent="0.3">
      <c r="J33887" s="33"/>
    </row>
    <row r="33888" spans="10:10" ht="15" customHeight="1" x14ac:dyDescent="0.3">
      <c r="J33888" s="33"/>
    </row>
    <row r="33889" spans="10:10" x14ac:dyDescent="0.3">
      <c r="J33889" s="33"/>
    </row>
    <row r="33890" spans="10:10" x14ac:dyDescent="0.3">
      <c r="J33890" s="33"/>
    </row>
    <row r="33891" spans="10:10" x14ac:dyDescent="0.3">
      <c r="J33891" s="33"/>
    </row>
    <row r="33892" spans="10:10" ht="15" customHeight="1" x14ac:dyDescent="0.3">
      <c r="J33892" s="33"/>
    </row>
    <row r="33893" spans="10:10" ht="15" customHeight="1" x14ac:dyDescent="0.3">
      <c r="J33893" s="33"/>
    </row>
    <row r="33894" spans="10:10" x14ac:dyDescent="0.3">
      <c r="J33894" s="33"/>
    </row>
    <row r="33895" spans="10:10" ht="15" customHeight="1" x14ac:dyDescent="0.3">
      <c r="J33895" s="33"/>
    </row>
    <row r="33896" spans="10:10" ht="15" customHeight="1" x14ac:dyDescent="0.3">
      <c r="J33896" s="33"/>
    </row>
    <row r="33897" spans="10:10" ht="15" customHeight="1" x14ac:dyDescent="0.3">
      <c r="J33897" s="33"/>
    </row>
    <row r="33898" spans="10:10" x14ac:dyDescent="0.3">
      <c r="J33898" s="33"/>
    </row>
    <row r="33899" spans="10:10" ht="15" customHeight="1" x14ac:dyDescent="0.3">
      <c r="J33899" s="33"/>
    </row>
    <row r="33900" spans="10:10" x14ac:dyDescent="0.3">
      <c r="J33900" s="33"/>
    </row>
    <row r="33901" spans="10:10" x14ac:dyDescent="0.3">
      <c r="J33901" s="33"/>
    </row>
    <row r="33902" spans="10:10" x14ac:dyDescent="0.3">
      <c r="J33902" s="33"/>
    </row>
    <row r="33903" spans="10:10" x14ac:dyDescent="0.3">
      <c r="J33903" s="33"/>
    </row>
    <row r="33904" spans="10:10" ht="15" customHeight="1" x14ac:dyDescent="0.3">
      <c r="J33904" s="33"/>
    </row>
    <row r="33905" spans="10:10" x14ac:dyDescent="0.3">
      <c r="J33905" s="33"/>
    </row>
    <row r="33906" spans="10:10" x14ac:dyDescent="0.3">
      <c r="J33906" s="33"/>
    </row>
    <row r="33907" spans="10:10" ht="15" customHeight="1" x14ac:dyDescent="0.3">
      <c r="J33907" s="33"/>
    </row>
    <row r="33908" spans="10:10" ht="15" customHeight="1" x14ac:dyDescent="0.3">
      <c r="J33908" s="33"/>
    </row>
    <row r="33909" spans="10:10" x14ac:dyDescent="0.3">
      <c r="J33909" s="33"/>
    </row>
    <row r="33910" spans="10:10" ht="15" customHeight="1" x14ac:dyDescent="0.3">
      <c r="J33910" s="33"/>
    </row>
    <row r="33911" spans="10:10" ht="15" customHeight="1" x14ac:dyDescent="0.3">
      <c r="J33911" s="33"/>
    </row>
    <row r="33912" spans="10:10" ht="15" customHeight="1" x14ac:dyDescent="0.3">
      <c r="J33912" s="33"/>
    </row>
    <row r="33913" spans="10:10" x14ac:dyDescent="0.3">
      <c r="J33913" s="33"/>
    </row>
    <row r="33914" spans="10:10" ht="15" customHeight="1" x14ac:dyDescent="0.3">
      <c r="J33914" s="33"/>
    </row>
    <row r="33915" spans="10:10" ht="15" customHeight="1" x14ac:dyDescent="0.3">
      <c r="J33915" s="33"/>
    </row>
    <row r="33916" spans="10:10" x14ac:dyDescent="0.3">
      <c r="J33916" s="33"/>
    </row>
    <row r="33917" spans="10:10" ht="15" customHeight="1" x14ac:dyDescent="0.3">
      <c r="J33917" s="33"/>
    </row>
    <row r="33918" spans="10:10" ht="15" customHeight="1" x14ac:dyDescent="0.3">
      <c r="J33918" s="33"/>
    </row>
    <row r="33919" spans="10:10" ht="15" customHeight="1" x14ac:dyDescent="0.3">
      <c r="J33919" s="33"/>
    </row>
    <row r="33920" spans="10:10" ht="15" customHeight="1" x14ac:dyDescent="0.3">
      <c r="J33920" s="33"/>
    </row>
    <row r="33921" spans="10:10" x14ac:dyDescent="0.3">
      <c r="J33921" s="33"/>
    </row>
    <row r="33922" spans="10:10" ht="15" customHeight="1" x14ac:dyDescent="0.3">
      <c r="J33922" s="33"/>
    </row>
    <row r="33923" spans="10:10" ht="15" customHeight="1" x14ac:dyDescent="0.3">
      <c r="J33923" s="33"/>
    </row>
    <row r="33924" spans="10:10" ht="15" customHeight="1" x14ac:dyDescent="0.3">
      <c r="J33924" s="33"/>
    </row>
    <row r="33925" spans="10:10" x14ac:dyDescent="0.3">
      <c r="J33925" s="33"/>
    </row>
    <row r="33926" spans="10:10" x14ac:dyDescent="0.3">
      <c r="J33926" s="33"/>
    </row>
    <row r="33927" spans="10:10" x14ac:dyDescent="0.3">
      <c r="J33927" s="33"/>
    </row>
    <row r="33928" spans="10:10" x14ac:dyDescent="0.3">
      <c r="J33928" s="33"/>
    </row>
    <row r="33929" spans="10:10" x14ac:dyDescent="0.3">
      <c r="J33929" s="33"/>
    </row>
    <row r="33930" spans="10:10" ht="15" customHeight="1" x14ac:dyDescent="0.3">
      <c r="J33930" s="33"/>
    </row>
    <row r="33931" spans="10:10" ht="15" customHeight="1" x14ac:dyDescent="0.3">
      <c r="J33931" s="33"/>
    </row>
    <row r="33932" spans="10:10" ht="15" customHeight="1" x14ac:dyDescent="0.3">
      <c r="J33932" s="33"/>
    </row>
    <row r="33933" spans="10:10" ht="15" customHeight="1" x14ac:dyDescent="0.3">
      <c r="J33933" s="33"/>
    </row>
    <row r="33934" spans="10:10" x14ac:dyDescent="0.3">
      <c r="J33934" s="33"/>
    </row>
    <row r="33935" spans="10:10" x14ac:dyDescent="0.3">
      <c r="J33935" s="33"/>
    </row>
    <row r="33936" spans="10:10" ht="15" customHeight="1" x14ac:dyDescent="0.3">
      <c r="J33936" s="33"/>
    </row>
    <row r="33937" spans="10:10" x14ac:dyDescent="0.3">
      <c r="J33937" s="33"/>
    </row>
    <row r="33938" spans="10:10" x14ac:dyDescent="0.3">
      <c r="J33938" s="33"/>
    </row>
    <row r="33939" spans="10:10" x14ac:dyDescent="0.3">
      <c r="J33939" s="33"/>
    </row>
    <row r="33940" spans="10:10" x14ac:dyDescent="0.3">
      <c r="J33940" s="33"/>
    </row>
    <row r="33941" spans="10:10" ht="15" customHeight="1" x14ac:dyDescent="0.3">
      <c r="J33941" s="33"/>
    </row>
    <row r="33942" spans="10:10" ht="15" customHeight="1" x14ac:dyDescent="0.3">
      <c r="J33942" s="33"/>
    </row>
    <row r="33943" spans="10:10" ht="15" customHeight="1" x14ac:dyDescent="0.3">
      <c r="J33943" s="33"/>
    </row>
    <row r="33944" spans="10:10" ht="15" customHeight="1" x14ac:dyDescent="0.3">
      <c r="J33944" s="33"/>
    </row>
    <row r="33945" spans="10:10" ht="15" customHeight="1" x14ac:dyDescent="0.3">
      <c r="J33945" s="33"/>
    </row>
    <row r="33946" spans="10:10" x14ac:dyDescent="0.3">
      <c r="J33946" s="33"/>
    </row>
    <row r="33947" spans="10:10" ht="15" customHeight="1" x14ac:dyDescent="0.3">
      <c r="J33947" s="33"/>
    </row>
    <row r="33948" spans="10:10" ht="15" customHeight="1" x14ac:dyDescent="0.3">
      <c r="J33948" s="33"/>
    </row>
    <row r="33949" spans="10:10" x14ac:dyDescent="0.3">
      <c r="J33949" s="33"/>
    </row>
    <row r="33950" spans="10:10" x14ac:dyDescent="0.3">
      <c r="J33950" s="33"/>
    </row>
    <row r="33951" spans="10:10" x14ac:dyDescent="0.3">
      <c r="J33951" s="33"/>
    </row>
    <row r="33952" spans="10:10" ht="15" customHeight="1" x14ac:dyDescent="0.3">
      <c r="J33952" s="33"/>
    </row>
    <row r="33953" spans="10:10" x14ac:dyDescent="0.3">
      <c r="J33953" s="33"/>
    </row>
    <row r="33954" spans="10:10" ht="15" customHeight="1" x14ac:dyDescent="0.3">
      <c r="J33954" s="33"/>
    </row>
    <row r="33955" spans="10:10" x14ac:dyDescent="0.3">
      <c r="J33955" s="33"/>
    </row>
    <row r="33956" spans="10:10" x14ac:dyDescent="0.3">
      <c r="J33956" s="33"/>
    </row>
    <row r="33957" spans="10:10" ht="15" customHeight="1" x14ac:dyDescent="0.3">
      <c r="J33957" s="33"/>
    </row>
    <row r="33958" spans="10:10" x14ac:dyDescent="0.3">
      <c r="J33958" s="33"/>
    </row>
    <row r="33959" spans="10:10" ht="15" customHeight="1" x14ac:dyDescent="0.3">
      <c r="J33959" s="33"/>
    </row>
    <row r="33960" spans="10:10" x14ac:dyDescent="0.3">
      <c r="J33960" s="33"/>
    </row>
    <row r="33961" spans="10:10" ht="15" customHeight="1" x14ac:dyDescent="0.3">
      <c r="J33961" s="33"/>
    </row>
    <row r="33962" spans="10:10" x14ac:dyDescent="0.3">
      <c r="J33962" s="33"/>
    </row>
    <row r="33963" spans="10:10" ht="15" customHeight="1" x14ac:dyDescent="0.3">
      <c r="J33963" s="33"/>
    </row>
    <row r="33964" spans="10:10" x14ac:dyDescent="0.3">
      <c r="J33964" s="33"/>
    </row>
    <row r="33965" spans="10:10" ht="15" customHeight="1" x14ac:dyDescent="0.3">
      <c r="J33965" s="33"/>
    </row>
    <row r="33966" spans="10:10" ht="15" customHeight="1" x14ac:dyDescent="0.3">
      <c r="J33966" s="33"/>
    </row>
    <row r="33967" spans="10:10" x14ac:dyDescent="0.3">
      <c r="J33967" s="33"/>
    </row>
    <row r="33968" spans="10:10" x14ac:dyDescent="0.3">
      <c r="J33968" s="33"/>
    </row>
    <row r="33969" spans="10:10" ht="15" customHeight="1" x14ac:dyDescent="0.3">
      <c r="J33969" s="33"/>
    </row>
    <row r="33970" spans="10:10" ht="15" customHeight="1" x14ac:dyDescent="0.3">
      <c r="J33970" s="33"/>
    </row>
    <row r="33971" spans="10:10" x14ac:dyDescent="0.3">
      <c r="J33971" s="33"/>
    </row>
    <row r="33972" spans="10:10" x14ac:dyDescent="0.3">
      <c r="J33972" s="33"/>
    </row>
    <row r="33973" spans="10:10" x14ac:dyDescent="0.3">
      <c r="J33973" s="33"/>
    </row>
    <row r="33974" spans="10:10" ht="15" customHeight="1" x14ac:dyDescent="0.3">
      <c r="J33974" s="33"/>
    </row>
    <row r="33975" spans="10:10" x14ac:dyDescent="0.3">
      <c r="J33975" s="33"/>
    </row>
    <row r="33976" spans="10:10" x14ac:dyDescent="0.3">
      <c r="J33976" s="33"/>
    </row>
    <row r="33977" spans="10:10" x14ac:dyDescent="0.3">
      <c r="J33977" s="33"/>
    </row>
    <row r="33978" spans="10:10" x14ac:dyDescent="0.3">
      <c r="J33978" s="33"/>
    </row>
    <row r="33979" spans="10:10" x14ac:dyDescent="0.3">
      <c r="J33979" s="33"/>
    </row>
    <row r="33980" spans="10:10" x14ac:dyDescent="0.3">
      <c r="J33980" s="33"/>
    </row>
    <row r="33981" spans="10:10" ht="15" customHeight="1" x14ac:dyDescent="0.3">
      <c r="J33981" s="33"/>
    </row>
    <row r="33982" spans="10:10" ht="15" customHeight="1" x14ac:dyDescent="0.3">
      <c r="J33982" s="33"/>
    </row>
    <row r="33983" spans="10:10" ht="15" customHeight="1" x14ac:dyDescent="0.3">
      <c r="J33983" s="33"/>
    </row>
    <row r="33984" spans="10:10" ht="15" customHeight="1" x14ac:dyDescent="0.3">
      <c r="J33984" s="33"/>
    </row>
    <row r="33985" spans="10:10" x14ac:dyDescent="0.3">
      <c r="J33985" s="33"/>
    </row>
    <row r="33986" spans="10:10" ht="15" customHeight="1" x14ac:dyDescent="0.3">
      <c r="J33986" s="33"/>
    </row>
    <row r="33987" spans="10:10" x14ac:dyDescent="0.3">
      <c r="J33987" s="33"/>
    </row>
    <row r="33988" spans="10:10" x14ac:dyDescent="0.3">
      <c r="J33988" s="33"/>
    </row>
    <row r="33989" spans="10:10" x14ac:dyDescent="0.3">
      <c r="J33989" s="33"/>
    </row>
    <row r="33990" spans="10:10" x14ac:dyDescent="0.3">
      <c r="J33990" s="33"/>
    </row>
    <row r="33991" spans="10:10" ht="15" customHeight="1" x14ac:dyDescent="0.3">
      <c r="J33991" s="33"/>
    </row>
    <row r="33992" spans="10:10" x14ac:dyDescent="0.3">
      <c r="J33992" s="33"/>
    </row>
    <row r="33993" spans="10:10" x14ac:dyDescent="0.3">
      <c r="J33993" s="33"/>
    </row>
    <row r="33994" spans="10:10" ht="15" customHeight="1" x14ac:dyDescent="0.3">
      <c r="J33994" s="33"/>
    </row>
    <row r="33995" spans="10:10" x14ac:dyDescent="0.3">
      <c r="J33995" s="33"/>
    </row>
    <row r="33996" spans="10:10" x14ac:dyDescent="0.3">
      <c r="J33996" s="33"/>
    </row>
    <row r="33997" spans="10:10" ht="15" customHeight="1" x14ac:dyDescent="0.3">
      <c r="J33997" s="33"/>
    </row>
    <row r="33998" spans="10:10" x14ac:dyDescent="0.3">
      <c r="J33998" s="33"/>
    </row>
    <row r="33999" spans="10:10" ht="15" customHeight="1" x14ac:dyDescent="0.3">
      <c r="J33999" s="33"/>
    </row>
    <row r="34000" spans="10:10" ht="15" customHeight="1" x14ac:dyDescent="0.3">
      <c r="J34000" s="33"/>
    </row>
    <row r="34001" spans="10:10" x14ac:dyDescent="0.3">
      <c r="J34001" s="33"/>
    </row>
    <row r="34002" spans="10:10" x14ac:dyDescent="0.3">
      <c r="J34002" s="33"/>
    </row>
    <row r="34003" spans="10:10" ht="15" customHeight="1" x14ac:dyDescent="0.3">
      <c r="J34003" s="33"/>
    </row>
    <row r="34004" spans="10:10" x14ac:dyDescent="0.3">
      <c r="J34004" s="33"/>
    </row>
    <row r="34005" spans="10:10" x14ac:dyDescent="0.3">
      <c r="J34005" s="33"/>
    </row>
    <row r="34006" spans="10:10" ht="15" customHeight="1" x14ac:dyDescent="0.3">
      <c r="J34006" s="33"/>
    </row>
    <row r="34007" spans="10:10" ht="15" customHeight="1" x14ac:dyDescent="0.3">
      <c r="J34007" s="33"/>
    </row>
    <row r="34008" spans="10:10" ht="15" customHeight="1" x14ac:dyDescent="0.3">
      <c r="J34008" s="33"/>
    </row>
    <row r="34009" spans="10:10" ht="15" customHeight="1" x14ac:dyDescent="0.3">
      <c r="J34009" s="33"/>
    </row>
    <row r="34010" spans="10:10" x14ac:dyDescent="0.3">
      <c r="J34010" s="33"/>
    </row>
    <row r="34011" spans="10:10" x14ac:dyDescent="0.3">
      <c r="J34011" s="33"/>
    </row>
    <row r="34012" spans="10:10" x14ac:dyDescent="0.3">
      <c r="J34012" s="33"/>
    </row>
    <row r="34013" spans="10:10" x14ac:dyDescent="0.3">
      <c r="J34013" s="33"/>
    </row>
    <row r="34014" spans="10:10" ht="15" customHeight="1" x14ac:dyDescent="0.3">
      <c r="J34014" s="33"/>
    </row>
    <row r="34015" spans="10:10" ht="15" customHeight="1" x14ac:dyDescent="0.3">
      <c r="J34015" s="33"/>
    </row>
    <row r="34016" spans="10:10" x14ac:dyDescent="0.3">
      <c r="J34016" s="33"/>
    </row>
    <row r="34017" spans="10:10" ht="15" customHeight="1" x14ac:dyDescent="0.3">
      <c r="J34017" s="33"/>
    </row>
    <row r="34018" spans="10:10" ht="15" customHeight="1" x14ac:dyDescent="0.3">
      <c r="J34018" s="33"/>
    </row>
    <row r="34019" spans="10:10" x14ac:dyDescent="0.3">
      <c r="J34019" s="33"/>
    </row>
    <row r="34020" spans="10:10" x14ac:dyDescent="0.3">
      <c r="J34020" s="33"/>
    </row>
    <row r="34021" spans="10:10" x14ac:dyDescent="0.3">
      <c r="J34021" s="33"/>
    </row>
    <row r="34022" spans="10:10" ht="15" customHeight="1" x14ac:dyDescent="0.3">
      <c r="J34022" s="33"/>
    </row>
    <row r="34023" spans="10:10" x14ac:dyDescent="0.3">
      <c r="J34023" s="33"/>
    </row>
    <row r="34024" spans="10:10" x14ac:dyDescent="0.3">
      <c r="J34024" s="33"/>
    </row>
    <row r="34025" spans="10:10" x14ac:dyDescent="0.3">
      <c r="J34025" s="33"/>
    </row>
    <row r="34026" spans="10:10" ht="15" customHeight="1" x14ac:dyDescent="0.3">
      <c r="J34026" s="33"/>
    </row>
    <row r="34027" spans="10:10" ht="15" customHeight="1" x14ac:dyDescent="0.3">
      <c r="J34027" s="33"/>
    </row>
    <row r="34028" spans="10:10" ht="15" customHeight="1" x14ac:dyDescent="0.3">
      <c r="J34028" s="33"/>
    </row>
    <row r="34029" spans="10:10" ht="15" customHeight="1" x14ac:dyDescent="0.3">
      <c r="J34029" s="33"/>
    </row>
    <row r="34030" spans="10:10" x14ac:dyDescent="0.3">
      <c r="J34030" s="33"/>
    </row>
    <row r="34031" spans="10:10" x14ac:dyDescent="0.3">
      <c r="J34031" s="33"/>
    </row>
    <row r="34032" spans="10:10" x14ac:dyDescent="0.3">
      <c r="J34032" s="33"/>
    </row>
    <row r="34033" spans="10:10" ht="15" customHeight="1" x14ac:dyDescent="0.3">
      <c r="J34033" s="33"/>
    </row>
    <row r="34034" spans="10:10" ht="15" customHeight="1" x14ac:dyDescent="0.3">
      <c r="J34034" s="33"/>
    </row>
    <row r="34035" spans="10:10" x14ac:dyDescent="0.3">
      <c r="J34035" s="33"/>
    </row>
    <row r="34036" spans="10:10" x14ac:dyDescent="0.3">
      <c r="J34036" s="33"/>
    </row>
    <row r="34037" spans="10:10" x14ac:dyDescent="0.3">
      <c r="J34037" s="33"/>
    </row>
    <row r="34038" spans="10:10" x14ac:dyDescent="0.3">
      <c r="J34038" s="33"/>
    </row>
    <row r="34039" spans="10:10" x14ac:dyDescent="0.3">
      <c r="J34039" s="33"/>
    </row>
    <row r="34040" spans="10:10" ht="15" customHeight="1" x14ac:dyDescent="0.3">
      <c r="J34040" s="33"/>
    </row>
    <row r="34041" spans="10:10" ht="15" customHeight="1" x14ac:dyDescent="0.3">
      <c r="J34041" s="33"/>
    </row>
    <row r="34042" spans="10:10" ht="15" customHeight="1" x14ac:dyDescent="0.3">
      <c r="J34042" s="33"/>
    </row>
    <row r="34043" spans="10:10" x14ac:dyDescent="0.3">
      <c r="J34043" s="33"/>
    </row>
    <row r="34044" spans="10:10" x14ac:dyDescent="0.3">
      <c r="J34044" s="33"/>
    </row>
    <row r="34045" spans="10:10" ht="15" customHeight="1" x14ac:dyDescent="0.3">
      <c r="J34045" s="33"/>
    </row>
    <row r="34046" spans="10:10" ht="15" customHeight="1" x14ac:dyDescent="0.3">
      <c r="J34046" s="33"/>
    </row>
    <row r="34047" spans="10:10" x14ac:dyDescent="0.3">
      <c r="J34047" s="33"/>
    </row>
    <row r="34048" spans="10:10" x14ac:dyDescent="0.3">
      <c r="J34048" s="33"/>
    </row>
    <row r="34049" spans="10:10" ht="15" customHeight="1" x14ac:dyDescent="0.3">
      <c r="J34049" s="33"/>
    </row>
    <row r="34050" spans="10:10" x14ac:dyDescent="0.3">
      <c r="J34050" s="33"/>
    </row>
    <row r="34051" spans="10:10" x14ac:dyDescent="0.3">
      <c r="J34051" s="33"/>
    </row>
    <row r="34052" spans="10:10" ht="15" customHeight="1" x14ac:dyDescent="0.3">
      <c r="J34052" s="33"/>
    </row>
    <row r="34053" spans="10:10" ht="15" customHeight="1" x14ac:dyDescent="0.3">
      <c r="J34053" s="33"/>
    </row>
    <row r="34054" spans="10:10" ht="15" customHeight="1" x14ac:dyDescent="0.3">
      <c r="J34054" s="33"/>
    </row>
    <row r="34055" spans="10:10" ht="15" customHeight="1" x14ac:dyDescent="0.3">
      <c r="J34055" s="33"/>
    </row>
    <row r="34056" spans="10:10" x14ac:dyDescent="0.3">
      <c r="J34056" s="33"/>
    </row>
    <row r="34057" spans="10:10" ht="15" customHeight="1" x14ac:dyDescent="0.3">
      <c r="J34057" s="33"/>
    </row>
    <row r="34058" spans="10:10" ht="15" customHeight="1" x14ac:dyDescent="0.3">
      <c r="J34058" s="33"/>
    </row>
    <row r="34059" spans="10:10" ht="15" customHeight="1" x14ac:dyDescent="0.3">
      <c r="J34059" s="33"/>
    </row>
    <row r="34060" spans="10:10" ht="15" customHeight="1" x14ac:dyDescent="0.3">
      <c r="J34060" s="33"/>
    </row>
    <row r="34061" spans="10:10" x14ac:dyDescent="0.3">
      <c r="J34061" s="33"/>
    </row>
    <row r="34062" spans="10:10" x14ac:dyDescent="0.3">
      <c r="J34062" s="33"/>
    </row>
    <row r="34063" spans="10:10" ht="15" customHeight="1" x14ac:dyDescent="0.3">
      <c r="J34063" s="33"/>
    </row>
    <row r="34064" spans="10:10" x14ac:dyDescent="0.3">
      <c r="J34064" s="33"/>
    </row>
    <row r="34065" spans="10:10" x14ac:dyDescent="0.3">
      <c r="J34065" s="33"/>
    </row>
    <row r="34066" spans="10:10" x14ac:dyDescent="0.3">
      <c r="J34066" s="33"/>
    </row>
    <row r="34067" spans="10:10" ht="15" customHeight="1" x14ac:dyDescent="0.3">
      <c r="J34067" s="33"/>
    </row>
    <row r="34068" spans="10:10" x14ac:dyDescent="0.3">
      <c r="J34068" s="33"/>
    </row>
    <row r="34069" spans="10:10" x14ac:dyDescent="0.3">
      <c r="J34069" s="33"/>
    </row>
    <row r="34070" spans="10:10" x14ac:dyDescent="0.3">
      <c r="J34070" s="33"/>
    </row>
    <row r="34071" spans="10:10" x14ac:dyDescent="0.3">
      <c r="J34071" s="33"/>
    </row>
    <row r="34072" spans="10:10" ht="15" customHeight="1" x14ac:dyDescent="0.3">
      <c r="J34072" s="33"/>
    </row>
    <row r="34073" spans="10:10" x14ac:dyDescent="0.3">
      <c r="J34073" s="33"/>
    </row>
    <row r="34074" spans="10:10" x14ac:dyDescent="0.3">
      <c r="J34074" s="33"/>
    </row>
    <row r="34075" spans="10:10" ht="15" customHeight="1" x14ac:dyDescent="0.3">
      <c r="J34075" s="33"/>
    </row>
    <row r="34076" spans="10:10" x14ac:dyDescent="0.3">
      <c r="J34076" s="33"/>
    </row>
    <row r="34077" spans="10:10" x14ac:dyDescent="0.3">
      <c r="J34077" s="33"/>
    </row>
    <row r="34078" spans="10:10" ht="15" customHeight="1" x14ac:dyDescent="0.3">
      <c r="J34078" s="33"/>
    </row>
    <row r="34079" spans="10:10" x14ac:dyDescent="0.3">
      <c r="J34079" s="33"/>
    </row>
    <row r="34080" spans="10:10" ht="15" customHeight="1" x14ac:dyDescent="0.3">
      <c r="J34080" s="33"/>
    </row>
    <row r="34081" spans="10:10" x14ac:dyDescent="0.3">
      <c r="J34081" s="33"/>
    </row>
    <row r="34082" spans="10:10" x14ac:dyDescent="0.3">
      <c r="J34082" s="33"/>
    </row>
    <row r="34083" spans="10:10" x14ac:dyDescent="0.3">
      <c r="J34083" s="33"/>
    </row>
    <row r="34084" spans="10:10" ht="15" customHeight="1" x14ac:dyDescent="0.3">
      <c r="J34084" s="33"/>
    </row>
    <row r="34085" spans="10:10" x14ac:dyDescent="0.3">
      <c r="J34085" s="33"/>
    </row>
    <row r="34086" spans="10:10" x14ac:dyDescent="0.3">
      <c r="J34086" s="33"/>
    </row>
    <row r="34087" spans="10:10" x14ac:dyDescent="0.3">
      <c r="J34087" s="33"/>
    </row>
    <row r="34088" spans="10:10" x14ac:dyDescent="0.3">
      <c r="J34088" s="33"/>
    </row>
    <row r="34089" spans="10:10" x14ac:dyDescent="0.3">
      <c r="J34089" s="33"/>
    </row>
    <row r="34090" spans="10:10" ht="15" customHeight="1" x14ac:dyDescent="0.3">
      <c r="J34090" s="33"/>
    </row>
    <row r="34091" spans="10:10" x14ac:dyDescent="0.3">
      <c r="J34091" s="33"/>
    </row>
    <row r="34092" spans="10:10" x14ac:dyDescent="0.3">
      <c r="J34092" s="33"/>
    </row>
    <row r="34093" spans="10:10" ht="15" customHeight="1" x14ac:dyDescent="0.3">
      <c r="J34093" s="33"/>
    </row>
    <row r="34094" spans="10:10" x14ac:dyDescent="0.3">
      <c r="J34094" s="33"/>
    </row>
    <row r="34095" spans="10:10" x14ac:dyDescent="0.3">
      <c r="J34095" s="33"/>
    </row>
    <row r="34096" spans="10:10" ht="15" customHeight="1" x14ac:dyDescent="0.3">
      <c r="J34096" s="33"/>
    </row>
    <row r="34097" spans="10:10" ht="15" customHeight="1" x14ac:dyDescent="0.3">
      <c r="J34097" s="33"/>
    </row>
    <row r="34098" spans="10:10" x14ac:dyDescent="0.3">
      <c r="J34098" s="33"/>
    </row>
    <row r="34099" spans="10:10" ht="15" customHeight="1" x14ac:dyDescent="0.3">
      <c r="J34099" s="33"/>
    </row>
    <row r="34100" spans="10:10" x14ac:dyDescent="0.3">
      <c r="J34100" s="33"/>
    </row>
    <row r="34101" spans="10:10" ht="15" customHeight="1" x14ac:dyDescent="0.3">
      <c r="J34101" s="33"/>
    </row>
    <row r="34102" spans="10:10" ht="15" customHeight="1" x14ac:dyDescent="0.3">
      <c r="J34102" s="33"/>
    </row>
    <row r="34103" spans="10:10" x14ac:dyDescent="0.3">
      <c r="J34103" s="33"/>
    </row>
    <row r="34104" spans="10:10" ht="15" customHeight="1" x14ac:dyDescent="0.3">
      <c r="J34104" s="33"/>
    </row>
    <row r="34105" spans="10:10" ht="15" customHeight="1" x14ac:dyDescent="0.3">
      <c r="J34105" s="33"/>
    </row>
    <row r="34106" spans="10:10" x14ac:dyDescent="0.3">
      <c r="J34106" s="33"/>
    </row>
    <row r="34107" spans="10:10" ht="15" customHeight="1" x14ac:dyDescent="0.3">
      <c r="J34107" s="33"/>
    </row>
    <row r="34108" spans="10:10" x14ac:dyDescent="0.3">
      <c r="J34108" s="33"/>
    </row>
    <row r="34109" spans="10:10" x14ac:dyDescent="0.3">
      <c r="J34109" s="33"/>
    </row>
    <row r="34110" spans="10:10" ht="15" customHeight="1" x14ac:dyDescent="0.3">
      <c r="J34110" s="33"/>
    </row>
    <row r="34111" spans="10:10" x14ac:dyDescent="0.3">
      <c r="J34111" s="33"/>
    </row>
    <row r="34112" spans="10:10" ht="15" customHeight="1" x14ac:dyDescent="0.3">
      <c r="J34112" s="33"/>
    </row>
    <row r="34113" spans="10:10" ht="15" customHeight="1" x14ac:dyDescent="0.3">
      <c r="J34113" s="33"/>
    </row>
    <row r="34114" spans="10:10" ht="15" customHeight="1" x14ac:dyDescent="0.3">
      <c r="J34114" s="33"/>
    </row>
    <row r="34115" spans="10:10" x14ac:dyDescent="0.3">
      <c r="J34115" s="33"/>
    </row>
    <row r="34116" spans="10:10" ht="15" customHeight="1" x14ac:dyDescent="0.3">
      <c r="J34116" s="33"/>
    </row>
    <row r="34117" spans="10:10" x14ac:dyDescent="0.3">
      <c r="J34117" s="33"/>
    </row>
    <row r="34118" spans="10:10" ht="15" customHeight="1" x14ac:dyDescent="0.3">
      <c r="J34118" s="33"/>
    </row>
    <row r="34119" spans="10:10" x14ac:dyDescent="0.3">
      <c r="J34119" s="33"/>
    </row>
    <row r="34120" spans="10:10" x14ac:dyDescent="0.3">
      <c r="J34120" s="33"/>
    </row>
    <row r="34121" spans="10:10" ht="15" customHeight="1" x14ac:dyDescent="0.3">
      <c r="J34121" s="33"/>
    </row>
    <row r="34122" spans="10:10" x14ac:dyDescent="0.3">
      <c r="J34122" s="33"/>
    </row>
    <row r="34123" spans="10:10" ht="15" customHeight="1" x14ac:dyDescent="0.3">
      <c r="J34123" s="33"/>
    </row>
    <row r="34124" spans="10:10" x14ac:dyDescent="0.3">
      <c r="J34124" s="33"/>
    </row>
    <row r="34125" spans="10:10" ht="15" customHeight="1" x14ac:dyDescent="0.3">
      <c r="J34125" s="33"/>
    </row>
    <row r="34126" spans="10:10" x14ac:dyDescent="0.3">
      <c r="J34126" s="33"/>
    </row>
    <row r="34127" spans="10:10" x14ac:dyDescent="0.3">
      <c r="J34127" s="33"/>
    </row>
    <row r="34128" spans="10:10" x14ac:dyDescent="0.3">
      <c r="J34128" s="33"/>
    </row>
    <row r="34129" spans="10:10" ht="15" customHeight="1" x14ac:dyDescent="0.3">
      <c r="J34129" s="33"/>
    </row>
    <row r="34130" spans="10:10" ht="15" customHeight="1" x14ac:dyDescent="0.3">
      <c r="J34130" s="33"/>
    </row>
    <row r="34131" spans="10:10" x14ac:dyDescent="0.3">
      <c r="J34131" s="33"/>
    </row>
    <row r="34132" spans="10:10" x14ac:dyDescent="0.3">
      <c r="J34132" s="33"/>
    </row>
    <row r="34133" spans="10:10" x14ac:dyDescent="0.3">
      <c r="J34133" s="33"/>
    </row>
    <row r="34134" spans="10:10" ht="15" customHeight="1" x14ac:dyDescent="0.3">
      <c r="J34134" s="33"/>
    </row>
    <row r="34135" spans="10:10" ht="15" customHeight="1" x14ac:dyDescent="0.3">
      <c r="J34135" s="33"/>
    </row>
    <row r="34136" spans="10:10" x14ac:dyDescent="0.3">
      <c r="J34136" s="33"/>
    </row>
    <row r="34137" spans="10:10" x14ac:dyDescent="0.3">
      <c r="J34137" s="33"/>
    </row>
    <row r="34138" spans="10:10" ht="15" customHeight="1" x14ac:dyDescent="0.3">
      <c r="J34138" s="33"/>
    </row>
    <row r="34139" spans="10:10" x14ac:dyDescent="0.3">
      <c r="J34139" s="33"/>
    </row>
    <row r="34140" spans="10:10" ht="15" customHeight="1" x14ac:dyDescent="0.3">
      <c r="J34140" s="33"/>
    </row>
    <row r="34141" spans="10:10" x14ac:dyDescent="0.3">
      <c r="J34141" s="33"/>
    </row>
    <row r="34142" spans="10:10" x14ac:dyDescent="0.3">
      <c r="J34142" s="33"/>
    </row>
    <row r="34143" spans="10:10" ht="15" customHeight="1" x14ac:dyDescent="0.3">
      <c r="J34143" s="33"/>
    </row>
    <row r="34144" spans="10:10" x14ac:dyDescent="0.3">
      <c r="J34144" s="33"/>
    </row>
    <row r="34145" spans="10:10" x14ac:dyDescent="0.3">
      <c r="J34145" s="33"/>
    </row>
    <row r="34146" spans="10:10" x14ac:dyDescent="0.3">
      <c r="J34146" s="33"/>
    </row>
    <row r="34147" spans="10:10" ht="15" customHeight="1" x14ac:dyDescent="0.3">
      <c r="J34147" s="33"/>
    </row>
    <row r="34148" spans="10:10" x14ac:dyDescent="0.3">
      <c r="J34148" s="33"/>
    </row>
    <row r="34149" spans="10:10" x14ac:dyDescent="0.3">
      <c r="J34149" s="33"/>
    </row>
    <row r="34150" spans="10:10" x14ac:dyDescent="0.3">
      <c r="J34150" s="33"/>
    </row>
    <row r="34151" spans="10:10" ht="15" customHeight="1" x14ac:dyDescent="0.3">
      <c r="J34151" s="33"/>
    </row>
    <row r="34152" spans="10:10" x14ac:dyDescent="0.3">
      <c r="J34152" s="33"/>
    </row>
    <row r="34153" spans="10:10" ht="15" customHeight="1" x14ac:dyDescent="0.3">
      <c r="J34153" s="33"/>
    </row>
    <row r="34154" spans="10:10" x14ac:dyDescent="0.3">
      <c r="J34154" s="33"/>
    </row>
    <row r="34155" spans="10:10" x14ac:dyDescent="0.3">
      <c r="J34155" s="33"/>
    </row>
    <row r="34156" spans="10:10" x14ac:dyDescent="0.3">
      <c r="J34156" s="33"/>
    </row>
    <row r="34157" spans="10:10" ht="15" customHeight="1" x14ac:dyDescent="0.3">
      <c r="J34157" s="33"/>
    </row>
    <row r="34158" spans="10:10" ht="15" customHeight="1" x14ac:dyDescent="0.3">
      <c r="J34158" s="33"/>
    </row>
    <row r="34159" spans="10:10" x14ac:dyDescent="0.3">
      <c r="J34159" s="33"/>
    </row>
    <row r="34160" spans="10:10" ht="15" customHeight="1" x14ac:dyDescent="0.3">
      <c r="J34160" s="33"/>
    </row>
    <row r="34161" spans="10:10" x14ac:dyDescent="0.3">
      <c r="J34161" s="33"/>
    </row>
    <row r="34162" spans="10:10" x14ac:dyDescent="0.3">
      <c r="J34162" s="33"/>
    </row>
    <row r="34163" spans="10:10" x14ac:dyDescent="0.3">
      <c r="J34163" s="33"/>
    </row>
    <row r="34164" spans="10:10" ht="15" customHeight="1" x14ac:dyDescent="0.3">
      <c r="J34164" s="33"/>
    </row>
    <row r="34165" spans="10:10" ht="15" customHeight="1" x14ac:dyDescent="0.3">
      <c r="J34165" s="33"/>
    </row>
    <row r="34166" spans="10:10" ht="15" customHeight="1" x14ac:dyDescent="0.3">
      <c r="J34166" s="33"/>
    </row>
    <row r="34167" spans="10:10" ht="15" customHeight="1" x14ac:dyDescent="0.3">
      <c r="J34167" s="33"/>
    </row>
    <row r="34168" spans="10:10" x14ac:dyDescent="0.3">
      <c r="J34168" s="33"/>
    </row>
    <row r="34169" spans="10:10" ht="15" customHeight="1" x14ac:dyDescent="0.3">
      <c r="J34169" s="33"/>
    </row>
    <row r="34170" spans="10:10" x14ac:dyDescent="0.3">
      <c r="J34170" s="33"/>
    </row>
    <row r="34171" spans="10:10" ht="15" customHeight="1" x14ac:dyDescent="0.3">
      <c r="J34171" s="33"/>
    </row>
    <row r="34172" spans="10:10" x14ac:dyDescent="0.3">
      <c r="J34172" s="33"/>
    </row>
    <row r="34173" spans="10:10" ht="15" customHeight="1" x14ac:dyDescent="0.3">
      <c r="J34173" s="33"/>
    </row>
    <row r="34174" spans="10:10" x14ac:dyDescent="0.3">
      <c r="J34174" s="33"/>
    </row>
    <row r="34175" spans="10:10" ht="15" customHeight="1" x14ac:dyDescent="0.3">
      <c r="J34175" s="33"/>
    </row>
    <row r="34176" spans="10:10" x14ac:dyDescent="0.3">
      <c r="J34176" s="33"/>
    </row>
    <row r="34177" spans="10:10" x14ac:dyDescent="0.3">
      <c r="J34177" s="33"/>
    </row>
    <row r="34178" spans="10:10" ht="15" customHeight="1" x14ac:dyDescent="0.3">
      <c r="J34178" s="33"/>
    </row>
    <row r="34179" spans="10:10" ht="15" customHeight="1" x14ac:dyDescent="0.3">
      <c r="J34179" s="33"/>
    </row>
    <row r="34180" spans="10:10" x14ac:dyDescent="0.3">
      <c r="J34180" s="33"/>
    </row>
    <row r="34181" spans="10:10" ht="15" customHeight="1" x14ac:dyDescent="0.3">
      <c r="J34181" s="33"/>
    </row>
    <row r="34182" spans="10:10" ht="15" customHeight="1" x14ac:dyDescent="0.3">
      <c r="J34182" s="33"/>
    </row>
    <row r="34183" spans="10:10" x14ac:dyDescent="0.3">
      <c r="J34183" s="33"/>
    </row>
    <row r="34184" spans="10:10" ht="15" customHeight="1" x14ac:dyDescent="0.3">
      <c r="J34184" s="33"/>
    </row>
    <row r="34185" spans="10:10" ht="15" customHeight="1" x14ac:dyDescent="0.3">
      <c r="J34185" s="33"/>
    </row>
    <row r="34186" spans="10:10" ht="15" customHeight="1" x14ac:dyDescent="0.3">
      <c r="J34186" s="33"/>
    </row>
    <row r="34187" spans="10:10" x14ac:dyDescent="0.3">
      <c r="J34187" s="33"/>
    </row>
    <row r="34188" spans="10:10" x14ac:dyDescent="0.3">
      <c r="J34188" s="33"/>
    </row>
    <row r="34189" spans="10:10" x14ac:dyDescent="0.3">
      <c r="J34189" s="33"/>
    </row>
    <row r="34190" spans="10:10" x14ac:dyDescent="0.3">
      <c r="J34190" s="33"/>
    </row>
    <row r="34191" spans="10:10" x14ac:dyDescent="0.3">
      <c r="J34191" s="33"/>
    </row>
    <row r="34192" spans="10:10" ht="15" customHeight="1" x14ac:dyDescent="0.3">
      <c r="J34192" s="33"/>
    </row>
    <row r="34193" spans="10:10" ht="15" customHeight="1" x14ac:dyDescent="0.3">
      <c r="J34193" s="33"/>
    </row>
    <row r="34194" spans="10:10" ht="15" customHeight="1" x14ac:dyDescent="0.3">
      <c r="J34194" s="33"/>
    </row>
    <row r="34195" spans="10:10" ht="15" customHeight="1" x14ac:dyDescent="0.3">
      <c r="J34195" s="33"/>
    </row>
    <row r="34196" spans="10:10" x14ac:dyDescent="0.3">
      <c r="J34196" s="33"/>
    </row>
    <row r="34197" spans="10:10" x14ac:dyDescent="0.3">
      <c r="J34197" s="33"/>
    </row>
    <row r="34198" spans="10:10" x14ac:dyDescent="0.3">
      <c r="J34198" s="33"/>
    </row>
    <row r="34199" spans="10:10" x14ac:dyDescent="0.3">
      <c r="J34199" s="33"/>
    </row>
    <row r="34200" spans="10:10" ht="15" customHeight="1" x14ac:dyDescent="0.3">
      <c r="J34200" s="33"/>
    </row>
    <row r="34201" spans="10:10" x14ac:dyDescent="0.3">
      <c r="J34201" s="33"/>
    </row>
    <row r="34202" spans="10:10" x14ac:dyDescent="0.3">
      <c r="J34202" s="33"/>
    </row>
    <row r="34203" spans="10:10" ht="15" customHeight="1" x14ac:dyDescent="0.3">
      <c r="J34203" s="33"/>
    </row>
    <row r="34204" spans="10:10" x14ac:dyDescent="0.3">
      <c r="J34204" s="33"/>
    </row>
    <row r="34205" spans="10:10" ht="15" customHeight="1" x14ac:dyDescent="0.3">
      <c r="J34205" s="33"/>
    </row>
    <row r="34206" spans="10:10" x14ac:dyDescent="0.3">
      <c r="J34206" s="33"/>
    </row>
    <row r="34207" spans="10:10" ht="15" customHeight="1" x14ac:dyDescent="0.3">
      <c r="J34207" s="33"/>
    </row>
    <row r="34208" spans="10:10" ht="15" customHeight="1" x14ac:dyDescent="0.3">
      <c r="J34208" s="33"/>
    </row>
    <row r="34209" spans="10:10" ht="15" customHeight="1" x14ac:dyDescent="0.3">
      <c r="J34209" s="33"/>
    </row>
    <row r="34210" spans="10:10" x14ac:dyDescent="0.3">
      <c r="J34210" s="33"/>
    </row>
    <row r="34211" spans="10:10" ht="15" customHeight="1" x14ac:dyDescent="0.3">
      <c r="J34211" s="33"/>
    </row>
    <row r="34212" spans="10:10" x14ac:dyDescent="0.3">
      <c r="J34212" s="33"/>
    </row>
    <row r="34213" spans="10:10" x14ac:dyDescent="0.3">
      <c r="J34213" s="33"/>
    </row>
    <row r="34214" spans="10:10" ht="15" customHeight="1" x14ac:dyDescent="0.3">
      <c r="J34214" s="33"/>
    </row>
    <row r="34215" spans="10:10" ht="15" customHeight="1" x14ac:dyDescent="0.3">
      <c r="J34215" s="33"/>
    </row>
    <row r="34216" spans="10:10" x14ac:dyDescent="0.3">
      <c r="J34216" s="33"/>
    </row>
    <row r="34217" spans="10:10" x14ac:dyDescent="0.3">
      <c r="J34217" s="33"/>
    </row>
    <row r="34218" spans="10:10" x14ac:dyDescent="0.3">
      <c r="J34218" s="33"/>
    </row>
    <row r="34219" spans="10:10" ht="15" customHeight="1" x14ac:dyDescent="0.3">
      <c r="J34219" s="33"/>
    </row>
    <row r="34220" spans="10:10" ht="15" customHeight="1" x14ac:dyDescent="0.3">
      <c r="J34220" s="33"/>
    </row>
    <row r="34221" spans="10:10" ht="15" customHeight="1" x14ac:dyDescent="0.3">
      <c r="J34221" s="33"/>
    </row>
    <row r="34222" spans="10:10" ht="15" customHeight="1" x14ac:dyDescent="0.3">
      <c r="J34222" s="33"/>
    </row>
    <row r="34223" spans="10:10" x14ac:dyDescent="0.3">
      <c r="J34223" s="33"/>
    </row>
    <row r="34224" spans="10:10" ht="15" customHeight="1" x14ac:dyDescent="0.3">
      <c r="J34224" s="33"/>
    </row>
    <row r="34225" spans="10:10" ht="15" customHeight="1" x14ac:dyDescent="0.3">
      <c r="J34225" s="33"/>
    </row>
    <row r="34226" spans="10:10" x14ac:dyDescent="0.3">
      <c r="J34226" s="33"/>
    </row>
    <row r="34227" spans="10:10" x14ac:dyDescent="0.3">
      <c r="J34227" s="33"/>
    </row>
    <row r="34228" spans="10:10" ht="15" customHeight="1" x14ac:dyDescent="0.3">
      <c r="J34228" s="33"/>
    </row>
    <row r="34229" spans="10:10" ht="15" customHeight="1" x14ac:dyDescent="0.3">
      <c r="J34229" s="33"/>
    </row>
    <row r="34230" spans="10:10" ht="15" customHeight="1" x14ac:dyDescent="0.3">
      <c r="J34230" s="33"/>
    </row>
    <row r="34231" spans="10:10" ht="15" customHeight="1" x14ac:dyDescent="0.3">
      <c r="J34231" s="33"/>
    </row>
    <row r="34232" spans="10:10" x14ac:dyDescent="0.3">
      <c r="J34232" s="33"/>
    </row>
    <row r="34233" spans="10:10" x14ac:dyDescent="0.3">
      <c r="J34233" s="33"/>
    </row>
    <row r="34234" spans="10:10" ht="15" customHeight="1" x14ac:dyDescent="0.3">
      <c r="J34234" s="33"/>
    </row>
    <row r="34235" spans="10:10" ht="15" customHeight="1" x14ac:dyDescent="0.3">
      <c r="J34235" s="33"/>
    </row>
    <row r="34236" spans="10:10" ht="15" customHeight="1" x14ac:dyDescent="0.3">
      <c r="J34236" s="33"/>
    </row>
    <row r="34237" spans="10:10" ht="15" customHeight="1" x14ac:dyDescent="0.3">
      <c r="J34237" s="33"/>
    </row>
    <row r="34238" spans="10:10" x14ac:dyDescent="0.3">
      <c r="J34238" s="33"/>
    </row>
    <row r="34239" spans="10:10" ht="15" customHeight="1" x14ac:dyDescent="0.3">
      <c r="J34239" s="33"/>
    </row>
    <row r="34240" spans="10:10" x14ac:dyDescent="0.3">
      <c r="J34240" s="33"/>
    </row>
    <row r="34241" spans="10:10" x14ac:dyDescent="0.3">
      <c r="J34241" s="33"/>
    </row>
    <row r="34242" spans="10:10" x14ac:dyDescent="0.3">
      <c r="J34242" s="33"/>
    </row>
    <row r="34243" spans="10:10" x14ac:dyDescent="0.3">
      <c r="J34243" s="33"/>
    </row>
    <row r="34244" spans="10:10" ht="15" customHeight="1" x14ac:dyDescent="0.3">
      <c r="J34244" s="33"/>
    </row>
    <row r="34245" spans="10:10" ht="15" customHeight="1" x14ac:dyDescent="0.3">
      <c r="J34245" s="33"/>
    </row>
    <row r="34246" spans="10:10" x14ac:dyDescent="0.3">
      <c r="J34246" s="33"/>
    </row>
    <row r="34247" spans="10:10" x14ac:dyDescent="0.3">
      <c r="J34247" s="33"/>
    </row>
    <row r="34248" spans="10:10" ht="15" customHeight="1" x14ac:dyDescent="0.3">
      <c r="J34248" s="33"/>
    </row>
    <row r="34249" spans="10:10" ht="15" customHeight="1" x14ac:dyDescent="0.3">
      <c r="J34249" s="33"/>
    </row>
    <row r="34250" spans="10:10" x14ac:dyDescent="0.3">
      <c r="J34250" s="33"/>
    </row>
    <row r="34251" spans="10:10" ht="15" customHeight="1" x14ac:dyDescent="0.3">
      <c r="J34251" s="33"/>
    </row>
    <row r="34252" spans="10:10" ht="15" customHeight="1" x14ac:dyDescent="0.3">
      <c r="J34252" s="33"/>
    </row>
    <row r="34253" spans="10:10" x14ac:dyDescent="0.3">
      <c r="J34253" s="33"/>
    </row>
    <row r="34254" spans="10:10" x14ac:dyDescent="0.3">
      <c r="J34254" s="33"/>
    </row>
    <row r="34255" spans="10:10" ht="15" customHeight="1" x14ac:dyDescent="0.3">
      <c r="J34255" s="33"/>
    </row>
    <row r="34256" spans="10:10" ht="15" customHeight="1" x14ac:dyDescent="0.3">
      <c r="J34256" s="33"/>
    </row>
    <row r="34257" spans="10:10" ht="15" customHeight="1" x14ac:dyDescent="0.3">
      <c r="J34257" s="33"/>
    </row>
    <row r="34258" spans="10:10" ht="15" customHeight="1" x14ac:dyDescent="0.3">
      <c r="J34258" s="33"/>
    </row>
    <row r="34259" spans="10:10" ht="15" customHeight="1" x14ac:dyDescent="0.3">
      <c r="J34259" s="33"/>
    </row>
    <row r="34260" spans="10:10" ht="15" customHeight="1" x14ac:dyDescent="0.3">
      <c r="J34260" s="33"/>
    </row>
    <row r="34261" spans="10:10" x14ac:dyDescent="0.3">
      <c r="J34261" s="33"/>
    </row>
    <row r="34262" spans="10:10" x14ac:dyDescent="0.3">
      <c r="J34262" s="33"/>
    </row>
    <row r="34263" spans="10:10" x14ac:dyDescent="0.3">
      <c r="J34263" s="33"/>
    </row>
    <row r="34264" spans="10:10" ht="15" customHeight="1" x14ac:dyDescent="0.3">
      <c r="J34264" s="33"/>
    </row>
    <row r="34265" spans="10:10" x14ac:dyDescent="0.3">
      <c r="J34265" s="33"/>
    </row>
    <row r="34266" spans="10:10" ht="15" customHeight="1" x14ac:dyDescent="0.3">
      <c r="J34266" s="33"/>
    </row>
    <row r="34267" spans="10:10" ht="15" customHeight="1" x14ac:dyDescent="0.3">
      <c r="J34267" s="33"/>
    </row>
    <row r="34268" spans="10:10" x14ac:dyDescent="0.3">
      <c r="J34268" s="33"/>
    </row>
    <row r="34269" spans="10:10" x14ac:dyDescent="0.3">
      <c r="J34269" s="33"/>
    </row>
    <row r="34270" spans="10:10" x14ac:dyDescent="0.3">
      <c r="J34270" s="33"/>
    </row>
    <row r="34271" spans="10:10" x14ac:dyDescent="0.3">
      <c r="J34271" s="33"/>
    </row>
    <row r="34272" spans="10:10" x14ac:dyDescent="0.3">
      <c r="J34272" s="33"/>
    </row>
    <row r="34273" spans="10:10" ht="15" customHeight="1" x14ac:dyDescent="0.3">
      <c r="J34273" s="33"/>
    </row>
    <row r="34274" spans="10:10" ht="15" customHeight="1" x14ac:dyDescent="0.3">
      <c r="J34274" s="33"/>
    </row>
    <row r="34275" spans="10:10" x14ac:dyDescent="0.3">
      <c r="J34275" s="33"/>
    </row>
    <row r="34276" spans="10:10" x14ac:dyDescent="0.3">
      <c r="J34276" s="33"/>
    </row>
    <row r="34277" spans="10:10" x14ac:dyDescent="0.3">
      <c r="J34277" s="33"/>
    </row>
    <row r="34278" spans="10:10" x14ac:dyDescent="0.3">
      <c r="J34278" s="33"/>
    </row>
    <row r="34279" spans="10:10" ht="15" customHeight="1" x14ac:dyDescent="0.3">
      <c r="J34279" s="33"/>
    </row>
    <row r="34280" spans="10:10" ht="15" customHeight="1" x14ac:dyDescent="0.3">
      <c r="J34280" s="33"/>
    </row>
    <row r="34281" spans="10:10" x14ac:dyDescent="0.3">
      <c r="J34281" s="33"/>
    </row>
    <row r="34282" spans="10:10" ht="15" customHeight="1" x14ac:dyDescent="0.3">
      <c r="J34282" s="33"/>
    </row>
    <row r="34283" spans="10:10" ht="15" customHeight="1" x14ac:dyDescent="0.3">
      <c r="J34283" s="33"/>
    </row>
    <row r="34284" spans="10:10" x14ac:dyDescent="0.3">
      <c r="J34284" s="33"/>
    </row>
    <row r="34285" spans="10:10" x14ac:dyDescent="0.3">
      <c r="J34285" s="33"/>
    </row>
    <row r="34286" spans="10:10" x14ac:dyDescent="0.3">
      <c r="J34286" s="33"/>
    </row>
    <row r="34287" spans="10:10" ht="15" customHeight="1" x14ac:dyDescent="0.3">
      <c r="J34287" s="33"/>
    </row>
    <row r="34288" spans="10:10" x14ac:dyDescent="0.3">
      <c r="J34288" s="33"/>
    </row>
    <row r="34289" spans="10:10" ht="15" customHeight="1" x14ac:dyDescent="0.3">
      <c r="J34289" s="33"/>
    </row>
    <row r="34290" spans="10:10" x14ac:dyDescent="0.3">
      <c r="J34290" s="33"/>
    </row>
    <row r="34291" spans="10:10" x14ac:dyDescent="0.3">
      <c r="J34291" s="33"/>
    </row>
    <row r="34292" spans="10:10" ht="15" customHeight="1" x14ac:dyDescent="0.3">
      <c r="J34292" s="33"/>
    </row>
    <row r="34293" spans="10:10" ht="15" customHeight="1" x14ac:dyDescent="0.3">
      <c r="J34293" s="33"/>
    </row>
    <row r="34294" spans="10:10" ht="15" customHeight="1" x14ac:dyDescent="0.3">
      <c r="J34294" s="33"/>
    </row>
    <row r="34295" spans="10:10" ht="15" customHeight="1" x14ac:dyDescent="0.3">
      <c r="J34295" s="33"/>
    </row>
    <row r="34296" spans="10:10" ht="15" customHeight="1" x14ac:dyDescent="0.3">
      <c r="J34296" s="33"/>
    </row>
    <row r="34297" spans="10:10" ht="15" customHeight="1" x14ac:dyDescent="0.3">
      <c r="J34297" s="33"/>
    </row>
    <row r="34298" spans="10:10" x14ac:dyDescent="0.3">
      <c r="J34298" s="33"/>
    </row>
    <row r="34299" spans="10:10" ht="15" customHeight="1" x14ac:dyDescent="0.3">
      <c r="J34299" s="33"/>
    </row>
    <row r="34300" spans="10:10" ht="15" customHeight="1" x14ac:dyDescent="0.3">
      <c r="J34300" s="33"/>
    </row>
    <row r="34301" spans="10:10" ht="15" customHeight="1" x14ac:dyDescent="0.3">
      <c r="J34301" s="33"/>
    </row>
    <row r="34302" spans="10:10" ht="15" customHeight="1" x14ac:dyDescent="0.3">
      <c r="J34302" s="33"/>
    </row>
    <row r="34303" spans="10:10" ht="15" customHeight="1" x14ac:dyDescent="0.3">
      <c r="J34303" s="33"/>
    </row>
    <row r="34304" spans="10:10" ht="15" customHeight="1" x14ac:dyDescent="0.3">
      <c r="J34304" s="33"/>
    </row>
    <row r="34305" spans="10:10" ht="15" customHeight="1" x14ac:dyDescent="0.3">
      <c r="J34305" s="33"/>
    </row>
    <row r="34306" spans="10:10" x14ac:dyDescent="0.3">
      <c r="J34306" s="33"/>
    </row>
    <row r="34307" spans="10:10" ht="15" customHeight="1" x14ac:dyDescent="0.3">
      <c r="J34307" s="33"/>
    </row>
    <row r="34308" spans="10:10" x14ac:dyDescent="0.3">
      <c r="J34308" s="33"/>
    </row>
    <row r="34309" spans="10:10" x14ac:dyDescent="0.3">
      <c r="J34309" s="33"/>
    </row>
    <row r="34310" spans="10:10" ht="15" customHeight="1" x14ac:dyDescent="0.3">
      <c r="J34310" s="33"/>
    </row>
    <row r="34311" spans="10:10" ht="15" customHeight="1" x14ac:dyDescent="0.3">
      <c r="J34311" s="33"/>
    </row>
    <row r="34312" spans="10:10" ht="15" customHeight="1" x14ac:dyDescent="0.3">
      <c r="J34312" s="33"/>
    </row>
    <row r="34313" spans="10:10" x14ac:dyDescent="0.3">
      <c r="J34313" s="33"/>
    </row>
    <row r="34314" spans="10:10" ht="15" customHeight="1" x14ac:dyDescent="0.3">
      <c r="J34314" s="33"/>
    </row>
    <row r="34315" spans="10:10" ht="15" customHeight="1" x14ac:dyDescent="0.3">
      <c r="J34315" s="33"/>
    </row>
    <row r="34316" spans="10:10" ht="15" customHeight="1" x14ac:dyDescent="0.3">
      <c r="J34316" s="33"/>
    </row>
    <row r="34317" spans="10:10" ht="15" customHeight="1" x14ac:dyDescent="0.3">
      <c r="J34317" s="33"/>
    </row>
    <row r="34318" spans="10:10" ht="15" customHeight="1" x14ac:dyDescent="0.3">
      <c r="J34318" s="33"/>
    </row>
    <row r="34319" spans="10:10" ht="15" customHeight="1" x14ac:dyDescent="0.3">
      <c r="J34319" s="33"/>
    </row>
    <row r="34320" spans="10:10" ht="15" customHeight="1" x14ac:dyDescent="0.3">
      <c r="J34320" s="33"/>
    </row>
    <row r="34321" spans="10:10" ht="15" customHeight="1" x14ac:dyDescent="0.3">
      <c r="J34321" s="33"/>
    </row>
    <row r="34322" spans="10:10" x14ac:dyDescent="0.3">
      <c r="J34322" s="33"/>
    </row>
    <row r="34323" spans="10:10" ht="15" customHeight="1" x14ac:dyDescent="0.3">
      <c r="J34323" s="33"/>
    </row>
    <row r="34324" spans="10:10" x14ac:dyDescent="0.3">
      <c r="J34324" s="33"/>
    </row>
    <row r="34325" spans="10:10" x14ac:dyDescent="0.3">
      <c r="J34325" s="33"/>
    </row>
    <row r="34326" spans="10:10" ht="15" customHeight="1" x14ac:dyDescent="0.3">
      <c r="J34326" s="33"/>
    </row>
    <row r="34327" spans="10:10" x14ac:dyDescent="0.3">
      <c r="J34327" s="33"/>
    </row>
    <row r="34328" spans="10:10" ht="15" customHeight="1" x14ac:dyDescent="0.3">
      <c r="J34328" s="33"/>
    </row>
    <row r="34329" spans="10:10" ht="15" customHeight="1" x14ac:dyDescent="0.3">
      <c r="J34329" s="33"/>
    </row>
    <row r="34330" spans="10:10" ht="15" customHeight="1" x14ac:dyDescent="0.3">
      <c r="J34330" s="33"/>
    </row>
    <row r="34331" spans="10:10" ht="15" customHeight="1" x14ac:dyDescent="0.3">
      <c r="J34331" s="33"/>
    </row>
    <row r="34332" spans="10:10" ht="15" customHeight="1" x14ac:dyDescent="0.3">
      <c r="J34332" s="33"/>
    </row>
    <row r="34333" spans="10:10" ht="15" customHeight="1" x14ac:dyDescent="0.3">
      <c r="J34333" s="33"/>
    </row>
    <row r="34334" spans="10:10" ht="15" customHeight="1" x14ac:dyDescent="0.3">
      <c r="J34334" s="33"/>
    </row>
    <row r="34335" spans="10:10" ht="15" customHeight="1" x14ac:dyDescent="0.3">
      <c r="J34335" s="33"/>
    </row>
    <row r="34336" spans="10:10" ht="15" customHeight="1" x14ac:dyDescent="0.3">
      <c r="J34336" s="33"/>
    </row>
    <row r="34337" spans="10:10" ht="15" customHeight="1" x14ac:dyDescent="0.3">
      <c r="J34337" s="33"/>
    </row>
    <row r="34338" spans="10:10" x14ac:dyDescent="0.3">
      <c r="J34338" s="33"/>
    </row>
    <row r="34339" spans="10:10" x14ac:dyDescent="0.3">
      <c r="J34339" s="33"/>
    </row>
    <row r="34340" spans="10:10" ht="15" customHeight="1" x14ac:dyDescent="0.3">
      <c r="J34340" s="33"/>
    </row>
    <row r="34341" spans="10:10" x14ac:dyDescent="0.3">
      <c r="J34341" s="33"/>
    </row>
    <row r="34342" spans="10:10" ht="15" customHeight="1" x14ac:dyDescent="0.3">
      <c r="J34342" s="33"/>
    </row>
    <row r="34343" spans="10:10" ht="15" customHeight="1" x14ac:dyDescent="0.3">
      <c r="J34343" s="33"/>
    </row>
    <row r="34344" spans="10:10" x14ac:dyDescent="0.3">
      <c r="J34344" s="33"/>
    </row>
    <row r="34345" spans="10:10" ht="15" customHeight="1" x14ac:dyDescent="0.3">
      <c r="J34345" s="33"/>
    </row>
    <row r="34346" spans="10:10" x14ac:dyDescent="0.3">
      <c r="J34346" s="33"/>
    </row>
    <row r="34347" spans="10:10" x14ac:dyDescent="0.3">
      <c r="J34347" s="33"/>
    </row>
    <row r="34348" spans="10:10" ht="15" customHeight="1" x14ac:dyDescent="0.3">
      <c r="J34348" s="33"/>
    </row>
    <row r="34349" spans="10:10" x14ac:dyDescent="0.3">
      <c r="J34349" s="33"/>
    </row>
    <row r="34350" spans="10:10" ht="15" customHeight="1" x14ac:dyDescent="0.3">
      <c r="J34350" s="33"/>
    </row>
    <row r="34351" spans="10:10" x14ac:dyDescent="0.3">
      <c r="J34351" s="33"/>
    </row>
    <row r="34352" spans="10:10" ht="15" customHeight="1" x14ac:dyDescent="0.3">
      <c r="J34352" s="33"/>
    </row>
    <row r="34353" spans="10:10" ht="15" customHeight="1" x14ac:dyDescent="0.3">
      <c r="J34353" s="33"/>
    </row>
    <row r="34354" spans="10:10" ht="15" customHeight="1" x14ac:dyDescent="0.3">
      <c r="J34354" s="33"/>
    </row>
    <row r="34355" spans="10:10" ht="15" customHeight="1" x14ac:dyDescent="0.3">
      <c r="J34355" s="33"/>
    </row>
    <row r="34356" spans="10:10" x14ac:dyDescent="0.3">
      <c r="J34356" s="33"/>
    </row>
    <row r="34357" spans="10:10" ht="15" customHeight="1" x14ac:dyDescent="0.3">
      <c r="J34357" s="33"/>
    </row>
    <row r="34358" spans="10:10" x14ac:dyDescent="0.3">
      <c r="J34358" s="33"/>
    </row>
    <row r="34359" spans="10:10" x14ac:dyDescent="0.3">
      <c r="J34359" s="33"/>
    </row>
    <row r="34360" spans="10:10" ht="15" customHeight="1" x14ac:dyDescent="0.3">
      <c r="J34360" s="33"/>
    </row>
    <row r="34361" spans="10:10" ht="15" customHeight="1" x14ac:dyDescent="0.3">
      <c r="J34361" s="33"/>
    </row>
    <row r="34362" spans="10:10" ht="15" customHeight="1" x14ac:dyDescent="0.3">
      <c r="J34362" s="33"/>
    </row>
    <row r="34363" spans="10:10" ht="15" customHeight="1" x14ac:dyDescent="0.3">
      <c r="J34363" s="33"/>
    </row>
    <row r="34364" spans="10:10" x14ac:dyDescent="0.3">
      <c r="J34364" s="33"/>
    </row>
    <row r="34365" spans="10:10" ht="15" customHeight="1" x14ac:dyDescent="0.3">
      <c r="J34365" s="33"/>
    </row>
    <row r="34366" spans="10:10" x14ac:dyDescent="0.3">
      <c r="J34366" s="33"/>
    </row>
    <row r="34367" spans="10:10" ht="15" customHeight="1" x14ac:dyDescent="0.3">
      <c r="J34367" s="33"/>
    </row>
    <row r="34368" spans="10:10" x14ac:dyDescent="0.3">
      <c r="J34368" s="33"/>
    </row>
    <row r="34369" spans="10:10" x14ac:dyDescent="0.3">
      <c r="J34369" s="33"/>
    </row>
    <row r="34370" spans="10:10" ht="15" customHeight="1" x14ac:dyDescent="0.3">
      <c r="J34370" s="33"/>
    </row>
    <row r="34371" spans="10:10" x14ac:dyDescent="0.3">
      <c r="J34371" s="33"/>
    </row>
    <row r="34372" spans="10:10" x14ac:dyDescent="0.3">
      <c r="J34372" s="33"/>
    </row>
    <row r="34373" spans="10:10" ht="15" customHeight="1" x14ac:dyDescent="0.3">
      <c r="J34373" s="33"/>
    </row>
    <row r="34374" spans="10:10" ht="15" customHeight="1" x14ac:dyDescent="0.3">
      <c r="J34374" s="33"/>
    </row>
    <row r="34375" spans="10:10" x14ac:dyDescent="0.3">
      <c r="J34375" s="33"/>
    </row>
    <row r="34376" spans="10:10" ht="15" customHeight="1" x14ac:dyDescent="0.3">
      <c r="J34376" s="33"/>
    </row>
    <row r="34377" spans="10:10" x14ac:dyDescent="0.3">
      <c r="J34377" s="33"/>
    </row>
    <row r="34378" spans="10:10" x14ac:dyDescent="0.3">
      <c r="J34378" s="33"/>
    </row>
    <row r="34379" spans="10:10" ht="15" customHeight="1" x14ac:dyDescent="0.3">
      <c r="J34379" s="33"/>
    </row>
    <row r="34380" spans="10:10" ht="15" customHeight="1" x14ac:dyDescent="0.3">
      <c r="J34380" s="33"/>
    </row>
    <row r="34381" spans="10:10" x14ac:dyDescent="0.3">
      <c r="J34381" s="33"/>
    </row>
    <row r="34382" spans="10:10" x14ac:dyDescent="0.3">
      <c r="J34382" s="33"/>
    </row>
    <row r="34383" spans="10:10" x14ac:dyDescent="0.3">
      <c r="J34383" s="33"/>
    </row>
    <row r="34384" spans="10:10" ht="15" customHeight="1" x14ac:dyDescent="0.3">
      <c r="J34384" s="33"/>
    </row>
    <row r="34385" spans="10:10" ht="15" customHeight="1" x14ac:dyDescent="0.3">
      <c r="J34385" s="33"/>
    </row>
    <row r="34386" spans="10:10" ht="15" customHeight="1" x14ac:dyDescent="0.3">
      <c r="J34386" s="33"/>
    </row>
    <row r="34387" spans="10:10" x14ac:dyDescent="0.3">
      <c r="J34387" s="33"/>
    </row>
    <row r="34388" spans="10:10" x14ac:dyDescent="0.3">
      <c r="J34388" s="33"/>
    </row>
    <row r="34389" spans="10:10" ht="15" customHeight="1" x14ac:dyDescent="0.3">
      <c r="J34389" s="33"/>
    </row>
    <row r="34390" spans="10:10" ht="15" customHeight="1" x14ac:dyDescent="0.3">
      <c r="J34390" s="33"/>
    </row>
    <row r="34391" spans="10:10" x14ac:dyDescent="0.3">
      <c r="J34391" s="33"/>
    </row>
    <row r="34392" spans="10:10" x14ac:dyDescent="0.3">
      <c r="J34392" s="33"/>
    </row>
    <row r="34393" spans="10:10" ht="15" customHeight="1" x14ac:dyDescent="0.3">
      <c r="J34393" s="33"/>
    </row>
    <row r="34394" spans="10:10" x14ac:dyDescent="0.3">
      <c r="J34394" s="33"/>
    </row>
    <row r="34395" spans="10:10" ht="15" customHeight="1" x14ac:dyDescent="0.3">
      <c r="J34395" s="33"/>
    </row>
    <row r="34396" spans="10:10" ht="15" customHeight="1" x14ac:dyDescent="0.3">
      <c r="J34396" s="33"/>
    </row>
    <row r="34397" spans="10:10" x14ac:dyDescent="0.3">
      <c r="J34397" s="33"/>
    </row>
    <row r="34398" spans="10:10" ht="15" customHeight="1" x14ac:dyDescent="0.3">
      <c r="J34398" s="33"/>
    </row>
    <row r="34399" spans="10:10" ht="15" customHeight="1" x14ac:dyDescent="0.3">
      <c r="J34399" s="33"/>
    </row>
    <row r="34400" spans="10:10" x14ac:dyDescent="0.3">
      <c r="J34400" s="33"/>
    </row>
    <row r="34401" spans="10:10" ht="15" customHeight="1" x14ac:dyDescent="0.3">
      <c r="J34401" s="33"/>
    </row>
    <row r="34402" spans="10:10" ht="15" customHeight="1" x14ac:dyDescent="0.3">
      <c r="J34402" s="33"/>
    </row>
    <row r="34403" spans="10:10" x14ac:dyDescent="0.3">
      <c r="J34403" s="33"/>
    </row>
    <row r="34404" spans="10:10" ht="15" customHeight="1" x14ac:dyDescent="0.3">
      <c r="J34404" s="33"/>
    </row>
    <row r="34405" spans="10:10" ht="15" customHeight="1" x14ac:dyDescent="0.3">
      <c r="J34405" s="33"/>
    </row>
    <row r="34406" spans="10:10" x14ac:dyDescent="0.3">
      <c r="J34406" s="33"/>
    </row>
    <row r="34407" spans="10:10" ht="15" customHeight="1" x14ac:dyDescent="0.3">
      <c r="J34407" s="33"/>
    </row>
    <row r="34408" spans="10:10" x14ac:dyDescent="0.3">
      <c r="J34408" s="33"/>
    </row>
    <row r="34409" spans="10:10" ht="15" customHeight="1" x14ac:dyDescent="0.3">
      <c r="J34409" s="33"/>
    </row>
    <row r="34410" spans="10:10" x14ac:dyDescent="0.3">
      <c r="J34410" s="33"/>
    </row>
    <row r="34411" spans="10:10" ht="15" customHeight="1" x14ac:dyDescent="0.3">
      <c r="J34411" s="33"/>
    </row>
    <row r="34412" spans="10:10" ht="15" customHeight="1" x14ac:dyDescent="0.3">
      <c r="J34412" s="33"/>
    </row>
    <row r="34413" spans="10:10" ht="15" customHeight="1" x14ac:dyDescent="0.3">
      <c r="J34413" s="33"/>
    </row>
    <row r="34414" spans="10:10" ht="15" customHeight="1" x14ac:dyDescent="0.3">
      <c r="J34414" s="33"/>
    </row>
    <row r="34415" spans="10:10" ht="15" customHeight="1" x14ac:dyDescent="0.3">
      <c r="J34415" s="33"/>
    </row>
    <row r="34416" spans="10:10" ht="15" customHeight="1" x14ac:dyDescent="0.3">
      <c r="J34416" s="33"/>
    </row>
    <row r="34417" spans="10:10" ht="15" customHeight="1" x14ac:dyDescent="0.3">
      <c r="J34417" s="33"/>
    </row>
    <row r="34418" spans="10:10" ht="15" customHeight="1" x14ac:dyDescent="0.3">
      <c r="J34418" s="33"/>
    </row>
    <row r="34419" spans="10:10" x14ac:dyDescent="0.3">
      <c r="J34419" s="33"/>
    </row>
    <row r="34420" spans="10:10" x14ac:dyDescent="0.3">
      <c r="J34420" s="33"/>
    </row>
    <row r="34421" spans="10:10" x14ac:dyDescent="0.3">
      <c r="J34421" s="33"/>
    </row>
    <row r="34422" spans="10:10" ht="15" customHeight="1" x14ac:dyDescent="0.3">
      <c r="J34422" s="33"/>
    </row>
    <row r="34423" spans="10:10" x14ac:dyDescent="0.3">
      <c r="J34423" s="33"/>
    </row>
    <row r="34424" spans="10:10" x14ac:dyDescent="0.3">
      <c r="J34424" s="33"/>
    </row>
    <row r="34425" spans="10:10" ht="15" customHeight="1" x14ac:dyDescent="0.3">
      <c r="J34425" s="33"/>
    </row>
    <row r="34426" spans="10:10" ht="15" customHeight="1" x14ac:dyDescent="0.3">
      <c r="J34426" s="33"/>
    </row>
    <row r="34427" spans="10:10" ht="15" customHeight="1" x14ac:dyDescent="0.3">
      <c r="J34427" s="33"/>
    </row>
    <row r="34428" spans="10:10" x14ac:dyDescent="0.3">
      <c r="J34428" s="33"/>
    </row>
    <row r="34429" spans="10:10" x14ac:dyDescent="0.3">
      <c r="J34429" s="33"/>
    </row>
    <row r="34430" spans="10:10" ht="15" customHeight="1" x14ac:dyDescent="0.3">
      <c r="J34430" s="33"/>
    </row>
    <row r="34431" spans="10:10" x14ac:dyDescent="0.3">
      <c r="J34431" s="33"/>
    </row>
    <row r="34432" spans="10:10" ht="15" customHeight="1" x14ac:dyDescent="0.3">
      <c r="J34432" s="33"/>
    </row>
    <row r="34433" spans="10:10" ht="15" customHeight="1" x14ac:dyDescent="0.3">
      <c r="J34433" s="33"/>
    </row>
    <row r="34434" spans="10:10" ht="15" customHeight="1" x14ac:dyDescent="0.3">
      <c r="J34434" s="33"/>
    </row>
    <row r="34435" spans="10:10" x14ac:dyDescent="0.3">
      <c r="J34435" s="33"/>
    </row>
    <row r="34436" spans="10:10" ht="15" customHeight="1" x14ac:dyDescent="0.3">
      <c r="J34436" s="33"/>
    </row>
    <row r="34437" spans="10:10" ht="15" customHeight="1" x14ac:dyDescent="0.3">
      <c r="J34437" s="33"/>
    </row>
    <row r="34438" spans="10:10" x14ac:dyDescent="0.3">
      <c r="J34438" s="33"/>
    </row>
    <row r="34439" spans="10:10" x14ac:dyDescent="0.3">
      <c r="J34439" s="33"/>
    </row>
    <row r="34440" spans="10:10" x14ac:dyDescent="0.3">
      <c r="J34440" s="33"/>
    </row>
    <row r="34441" spans="10:10" ht="15" customHeight="1" x14ac:dyDescent="0.3">
      <c r="J34441" s="33"/>
    </row>
    <row r="34442" spans="10:10" x14ac:dyDescent="0.3">
      <c r="J34442" s="33"/>
    </row>
    <row r="34443" spans="10:10" ht="15" customHeight="1" x14ac:dyDescent="0.3">
      <c r="J34443" s="33"/>
    </row>
    <row r="34444" spans="10:10" ht="15" customHeight="1" x14ac:dyDescent="0.3">
      <c r="J34444" s="33"/>
    </row>
    <row r="34445" spans="10:10" ht="15" customHeight="1" x14ac:dyDescent="0.3">
      <c r="J34445" s="33"/>
    </row>
    <row r="34446" spans="10:10" x14ac:dyDescent="0.3">
      <c r="J34446" s="33"/>
    </row>
    <row r="34447" spans="10:10" ht="15" customHeight="1" x14ac:dyDescent="0.3">
      <c r="J34447" s="33"/>
    </row>
    <row r="34448" spans="10:10" x14ac:dyDescent="0.3">
      <c r="J34448" s="33"/>
    </row>
    <row r="34449" spans="10:10" x14ac:dyDescent="0.3">
      <c r="J34449" s="33"/>
    </row>
    <row r="34450" spans="10:10" ht="15" customHeight="1" x14ac:dyDescent="0.3">
      <c r="J34450" s="33"/>
    </row>
    <row r="34451" spans="10:10" ht="15" customHeight="1" x14ac:dyDescent="0.3">
      <c r="J34451" s="33"/>
    </row>
    <row r="34452" spans="10:10" x14ac:dyDescent="0.3">
      <c r="J34452" s="33"/>
    </row>
    <row r="34453" spans="10:10" x14ac:dyDescent="0.3">
      <c r="J34453" s="33"/>
    </row>
    <row r="34454" spans="10:10" ht="15" customHeight="1" x14ac:dyDescent="0.3">
      <c r="J34454" s="33"/>
    </row>
    <row r="34455" spans="10:10" x14ac:dyDescent="0.3">
      <c r="J34455" s="33"/>
    </row>
    <row r="34456" spans="10:10" x14ac:dyDescent="0.3">
      <c r="J34456" s="33"/>
    </row>
    <row r="34457" spans="10:10" ht="15" customHeight="1" x14ac:dyDescent="0.3">
      <c r="J34457" s="33"/>
    </row>
    <row r="34458" spans="10:10" ht="15" customHeight="1" x14ac:dyDescent="0.3">
      <c r="J34458" s="33"/>
    </row>
    <row r="34459" spans="10:10" ht="15" customHeight="1" x14ac:dyDescent="0.3">
      <c r="J34459" s="33"/>
    </row>
    <row r="34460" spans="10:10" ht="15" customHeight="1" x14ac:dyDescent="0.3">
      <c r="J34460" s="33"/>
    </row>
    <row r="34461" spans="10:10" x14ac:dyDescent="0.3">
      <c r="J34461" s="33"/>
    </row>
    <row r="34462" spans="10:10" ht="15" customHeight="1" x14ac:dyDescent="0.3">
      <c r="J34462" s="33"/>
    </row>
    <row r="34463" spans="10:10" ht="15" customHeight="1" x14ac:dyDescent="0.3">
      <c r="J34463" s="33"/>
    </row>
    <row r="34464" spans="10:10" x14ac:dyDescent="0.3">
      <c r="J34464" s="33"/>
    </row>
    <row r="34465" spans="10:10" ht="15" customHeight="1" x14ac:dyDescent="0.3">
      <c r="J34465" s="33"/>
    </row>
    <row r="34466" spans="10:10" ht="15" customHeight="1" x14ac:dyDescent="0.3">
      <c r="J34466" s="33"/>
    </row>
    <row r="34467" spans="10:10" x14ac:dyDescent="0.3">
      <c r="J34467" s="33"/>
    </row>
    <row r="34468" spans="10:10" x14ac:dyDescent="0.3">
      <c r="J34468" s="33"/>
    </row>
    <row r="34469" spans="10:10" ht="15" customHeight="1" x14ac:dyDescent="0.3">
      <c r="J34469" s="33"/>
    </row>
    <row r="34470" spans="10:10" x14ac:dyDescent="0.3">
      <c r="J34470" s="33"/>
    </row>
    <row r="34471" spans="10:10" ht="15" customHeight="1" x14ac:dyDescent="0.3">
      <c r="J34471" s="33"/>
    </row>
    <row r="34472" spans="10:10" x14ac:dyDescent="0.3">
      <c r="J34472" s="33"/>
    </row>
    <row r="34473" spans="10:10" ht="15" customHeight="1" x14ac:dyDescent="0.3">
      <c r="J34473" s="33"/>
    </row>
    <row r="34474" spans="10:10" x14ac:dyDescent="0.3">
      <c r="J34474" s="33"/>
    </row>
    <row r="34475" spans="10:10" ht="15" customHeight="1" x14ac:dyDescent="0.3">
      <c r="J34475" s="33"/>
    </row>
    <row r="34476" spans="10:10" x14ac:dyDescent="0.3">
      <c r="J34476" s="33"/>
    </row>
    <row r="34477" spans="10:10" ht="15" customHeight="1" x14ac:dyDescent="0.3">
      <c r="J34477" s="33"/>
    </row>
    <row r="34478" spans="10:10" x14ac:dyDescent="0.3">
      <c r="J34478" s="33"/>
    </row>
    <row r="34479" spans="10:10" x14ac:dyDescent="0.3">
      <c r="J34479" s="33"/>
    </row>
    <row r="34480" spans="10:10" ht="15" customHeight="1" x14ac:dyDescent="0.3">
      <c r="J34480" s="33"/>
    </row>
    <row r="34481" spans="10:10" ht="15" customHeight="1" x14ac:dyDescent="0.3">
      <c r="J34481" s="33"/>
    </row>
    <row r="34482" spans="10:10" x14ac:dyDescent="0.3">
      <c r="J34482" s="33"/>
    </row>
    <row r="34483" spans="10:10" ht="15" customHeight="1" x14ac:dyDescent="0.3">
      <c r="J34483" s="33"/>
    </row>
    <row r="34484" spans="10:10" ht="15" customHeight="1" x14ac:dyDescent="0.3">
      <c r="J34484" s="33"/>
    </row>
    <row r="34485" spans="10:10" x14ac:dyDescent="0.3">
      <c r="J34485" s="33"/>
    </row>
    <row r="34486" spans="10:10" x14ac:dyDescent="0.3">
      <c r="J34486" s="33"/>
    </row>
    <row r="34487" spans="10:10" x14ac:dyDescent="0.3">
      <c r="J34487" s="33"/>
    </row>
    <row r="34488" spans="10:10" ht="15" customHeight="1" x14ac:dyDescent="0.3">
      <c r="J34488" s="33"/>
    </row>
    <row r="34489" spans="10:10" ht="15" customHeight="1" x14ac:dyDescent="0.3">
      <c r="J34489" s="33"/>
    </row>
    <row r="34490" spans="10:10" ht="15" customHeight="1" x14ac:dyDescent="0.3">
      <c r="J34490" s="33"/>
    </row>
    <row r="34491" spans="10:10" x14ac:dyDescent="0.3">
      <c r="J34491" s="33"/>
    </row>
    <row r="34492" spans="10:10" x14ac:dyDescent="0.3">
      <c r="J34492" s="33"/>
    </row>
    <row r="34493" spans="10:10" ht="15" customHeight="1" x14ac:dyDescent="0.3">
      <c r="J34493" s="33"/>
    </row>
    <row r="34494" spans="10:10" x14ac:dyDescent="0.3">
      <c r="J34494" s="33"/>
    </row>
    <row r="34495" spans="10:10" x14ac:dyDescent="0.3">
      <c r="J34495" s="33"/>
    </row>
    <row r="34496" spans="10:10" ht="15" customHeight="1" x14ac:dyDescent="0.3">
      <c r="J34496" s="33"/>
    </row>
    <row r="34497" spans="10:10" x14ac:dyDescent="0.3">
      <c r="J34497" s="33"/>
    </row>
    <row r="34498" spans="10:10" x14ac:dyDescent="0.3">
      <c r="J34498" s="33"/>
    </row>
    <row r="34499" spans="10:10" x14ac:dyDescent="0.3">
      <c r="J34499" s="33"/>
    </row>
    <row r="34500" spans="10:10" x14ac:dyDescent="0.3">
      <c r="J34500" s="33"/>
    </row>
    <row r="34501" spans="10:10" x14ac:dyDescent="0.3">
      <c r="J34501" s="33"/>
    </row>
    <row r="34502" spans="10:10" ht="15" customHeight="1" x14ac:dyDescent="0.3">
      <c r="J34502" s="33"/>
    </row>
    <row r="34503" spans="10:10" ht="15" customHeight="1" x14ac:dyDescent="0.3">
      <c r="J34503" s="33"/>
    </row>
    <row r="34504" spans="10:10" x14ac:dyDescent="0.3">
      <c r="J34504" s="33"/>
    </row>
    <row r="34505" spans="10:10" x14ac:dyDescent="0.3">
      <c r="J34505" s="33"/>
    </row>
    <row r="34506" spans="10:10" ht="15" customHeight="1" x14ac:dyDescent="0.3">
      <c r="J34506" s="33"/>
    </row>
    <row r="34507" spans="10:10" ht="15" customHeight="1" x14ac:dyDescent="0.3">
      <c r="J34507" s="33"/>
    </row>
    <row r="34508" spans="10:10" x14ac:dyDescent="0.3">
      <c r="J34508" s="33"/>
    </row>
    <row r="34509" spans="10:10" ht="15" customHeight="1" x14ac:dyDescent="0.3">
      <c r="J34509" s="33"/>
    </row>
    <row r="34510" spans="10:10" x14ac:dyDescent="0.3">
      <c r="J34510" s="33"/>
    </row>
    <row r="34511" spans="10:10" ht="15" customHeight="1" x14ac:dyDescent="0.3">
      <c r="J34511" s="33"/>
    </row>
    <row r="34512" spans="10:10" ht="15" customHeight="1" x14ac:dyDescent="0.3">
      <c r="J34512" s="33"/>
    </row>
    <row r="34513" spans="10:10" x14ac:dyDescent="0.3">
      <c r="J34513" s="33"/>
    </row>
    <row r="34514" spans="10:10" ht="15" customHeight="1" x14ac:dyDescent="0.3">
      <c r="J34514" s="33"/>
    </row>
    <row r="34515" spans="10:10" ht="15" customHeight="1" x14ac:dyDescent="0.3">
      <c r="J34515" s="33"/>
    </row>
    <row r="34516" spans="10:10" ht="15" customHeight="1" x14ac:dyDescent="0.3">
      <c r="J34516" s="33"/>
    </row>
    <row r="34517" spans="10:10" ht="15" customHeight="1" x14ac:dyDescent="0.3">
      <c r="J34517" s="33"/>
    </row>
    <row r="34518" spans="10:10" x14ac:dyDescent="0.3">
      <c r="J34518" s="33"/>
    </row>
    <row r="34519" spans="10:10" ht="15" customHeight="1" x14ac:dyDescent="0.3">
      <c r="J34519" s="33"/>
    </row>
    <row r="34520" spans="10:10" ht="15" customHeight="1" x14ac:dyDescent="0.3">
      <c r="J34520" s="33"/>
    </row>
    <row r="34521" spans="10:10" ht="15" customHeight="1" x14ac:dyDescent="0.3">
      <c r="J34521" s="33"/>
    </row>
    <row r="34522" spans="10:10" ht="15" customHeight="1" x14ac:dyDescent="0.3">
      <c r="J34522" s="33"/>
    </row>
    <row r="34523" spans="10:10" ht="15" customHeight="1" x14ac:dyDescent="0.3">
      <c r="J34523" s="33"/>
    </row>
    <row r="34524" spans="10:10" x14ac:dyDescent="0.3">
      <c r="J34524" s="33"/>
    </row>
    <row r="34525" spans="10:10" x14ac:dyDescent="0.3">
      <c r="J34525" s="33"/>
    </row>
    <row r="34526" spans="10:10" x14ac:dyDescent="0.3">
      <c r="J34526" s="33"/>
    </row>
    <row r="34527" spans="10:10" ht="15" customHeight="1" x14ac:dyDescent="0.3">
      <c r="J34527" s="33"/>
    </row>
    <row r="34528" spans="10:10" x14ac:dyDescent="0.3">
      <c r="J34528" s="33"/>
    </row>
    <row r="34529" spans="10:10" x14ac:dyDescent="0.3">
      <c r="J34529" s="33"/>
    </row>
    <row r="34530" spans="10:10" ht="15" customHeight="1" x14ac:dyDescent="0.3">
      <c r="J34530" s="33"/>
    </row>
    <row r="34531" spans="10:10" ht="15" customHeight="1" x14ac:dyDescent="0.3">
      <c r="J34531" s="33"/>
    </row>
    <row r="34532" spans="10:10" ht="15" customHeight="1" x14ac:dyDescent="0.3">
      <c r="J34532" s="33"/>
    </row>
    <row r="34533" spans="10:10" ht="15" customHeight="1" x14ac:dyDescent="0.3">
      <c r="J34533" s="33"/>
    </row>
    <row r="34534" spans="10:10" ht="15" customHeight="1" x14ac:dyDescent="0.3">
      <c r="J34534" s="33"/>
    </row>
    <row r="34535" spans="10:10" ht="15" customHeight="1" x14ac:dyDescent="0.3">
      <c r="J34535" s="33"/>
    </row>
    <row r="34536" spans="10:10" x14ac:dyDescent="0.3">
      <c r="J34536" s="33"/>
    </row>
    <row r="34537" spans="10:10" ht="15" customHeight="1" x14ac:dyDescent="0.3">
      <c r="J34537" s="33"/>
    </row>
    <row r="34538" spans="10:10" x14ac:dyDescent="0.3">
      <c r="J34538" s="33"/>
    </row>
    <row r="34539" spans="10:10" x14ac:dyDescent="0.3">
      <c r="J34539" s="33"/>
    </row>
    <row r="34540" spans="10:10" x14ac:dyDescent="0.3">
      <c r="J34540" s="33"/>
    </row>
    <row r="34541" spans="10:10" x14ac:dyDescent="0.3">
      <c r="J34541" s="33"/>
    </row>
    <row r="34542" spans="10:10" x14ac:dyDescent="0.3">
      <c r="J34542" s="33"/>
    </row>
    <row r="34543" spans="10:10" ht="15" customHeight="1" x14ac:dyDescent="0.3">
      <c r="J34543" s="33"/>
    </row>
    <row r="34544" spans="10:10" ht="15" customHeight="1" x14ac:dyDescent="0.3">
      <c r="J34544" s="33"/>
    </row>
    <row r="34545" spans="10:10" x14ac:dyDescent="0.3">
      <c r="J34545" s="33"/>
    </row>
    <row r="34546" spans="10:10" x14ac:dyDescent="0.3">
      <c r="J34546" s="33"/>
    </row>
    <row r="34547" spans="10:10" x14ac:dyDescent="0.3">
      <c r="J34547" s="33"/>
    </row>
    <row r="34548" spans="10:10" x14ac:dyDescent="0.3">
      <c r="J34548" s="33"/>
    </row>
    <row r="34549" spans="10:10" ht="15" customHeight="1" x14ac:dyDescent="0.3">
      <c r="J34549" s="33"/>
    </row>
    <row r="34550" spans="10:10" ht="15" customHeight="1" x14ac:dyDescent="0.3">
      <c r="J34550" s="33"/>
    </row>
    <row r="34551" spans="10:10" ht="15" customHeight="1" x14ac:dyDescent="0.3">
      <c r="J34551" s="33"/>
    </row>
    <row r="34552" spans="10:10" ht="15" customHeight="1" x14ac:dyDescent="0.3">
      <c r="J34552" s="33"/>
    </row>
    <row r="34553" spans="10:10" ht="15" customHeight="1" x14ac:dyDescent="0.3">
      <c r="J34553" s="33"/>
    </row>
    <row r="34554" spans="10:10" x14ac:dyDescent="0.3">
      <c r="J34554" s="33"/>
    </row>
    <row r="34555" spans="10:10" ht="15" customHeight="1" x14ac:dyDescent="0.3">
      <c r="J34555" s="33"/>
    </row>
    <row r="34556" spans="10:10" ht="15" customHeight="1" x14ac:dyDescent="0.3">
      <c r="J34556" s="33"/>
    </row>
    <row r="34557" spans="10:10" ht="15" customHeight="1" x14ac:dyDescent="0.3">
      <c r="J34557" s="33"/>
    </row>
    <row r="34558" spans="10:10" ht="15" customHeight="1" x14ac:dyDescent="0.3">
      <c r="J34558" s="33"/>
    </row>
    <row r="34559" spans="10:10" ht="15" customHeight="1" x14ac:dyDescent="0.3">
      <c r="J34559" s="33"/>
    </row>
    <row r="34560" spans="10:10" ht="15" customHeight="1" x14ac:dyDescent="0.3">
      <c r="J34560" s="33"/>
    </row>
    <row r="34561" spans="10:10" ht="15" customHeight="1" x14ac:dyDescent="0.3">
      <c r="J34561" s="33"/>
    </row>
    <row r="34562" spans="10:10" ht="15" customHeight="1" x14ac:dyDescent="0.3">
      <c r="J34562" s="33"/>
    </row>
    <row r="34563" spans="10:10" x14ac:dyDescent="0.3">
      <c r="J34563" s="33"/>
    </row>
    <row r="34564" spans="10:10" ht="15" customHeight="1" x14ac:dyDescent="0.3">
      <c r="J34564" s="33"/>
    </row>
    <row r="34565" spans="10:10" ht="15" customHeight="1" x14ac:dyDescent="0.3">
      <c r="J34565" s="33"/>
    </row>
    <row r="34566" spans="10:10" ht="15" customHeight="1" x14ac:dyDescent="0.3">
      <c r="J34566" s="33"/>
    </row>
    <row r="34567" spans="10:10" ht="15" customHeight="1" x14ac:dyDescent="0.3">
      <c r="J34567" s="33"/>
    </row>
    <row r="34568" spans="10:10" ht="15" customHeight="1" x14ac:dyDescent="0.3">
      <c r="J34568" s="33"/>
    </row>
    <row r="34569" spans="10:10" x14ac:dyDescent="0.3">
      <c r="J34569" s="33"/>
    </row>
    <row r="34570" spans="10:10" x14ac:dyDescent="0.3">
      <c r="J34570" s="33"/>
    </row>
    <row r="34571" spans="10:10" ht="15" customHeight="1" x14ac:dyDescent="0.3">
      <c r="J34571" s="33"/>
    </row>
    <row r="34572" spans="10:10" x14ac:dyDescent="0.3">
      <c r="J34572" s="33"/>
    </row>
    <row r="34573" spans="10:10" x14ac:dyDescent="0.3">
      <c r="J34573" s="33"/>
    </row>
    <row r="34574" spans="10:10" x14ac:dyDescent="0.3">
      <c r="J34574" s="33"/>
    </row>
    <row r="34575" spans="10:10" x14ac:dyDescent="0.3">
      <c r="J34575" s="33"/>
    </row>
    <row r="34576" spans="10:10" ht="15" customHeight="1" x14ac:dyDescent="0.3">
      <c r="J34576" s="33"/>
    </row>
    <row r="34577" spans="10:10" ht="15" customHeight="1" x14ac:dyDescent="0.3">
      <c r="J34577" s="33"/>
    </row>
    <row r="34578" spans="10:10" x14ac:dyDescent="0.3">
      <c r="J34578" s="33"/>
    </row>
    <row r="34579" spans="10:10" ht="15" customHeight="1" x14ac:dyDescent="0.3">
      <c r="J34579" s="33"/>
    </row>
    <row r="34580" spans="10:10" x14ac:dyDescent="0.3">
      <c r="J34580" s="33"/>
    </row>
    <row r="34581" spans="10:10" x14ac:dyDescent="0.3">
      <c r="J34581" s="33"/>
    </row>
    <row r="34582" spans="10:10" ht="15" customHeight="1" x14ac:dyDescent="0.3">
      <c r="J34582" s="33"/>
    </row>
    <row r="34583" spans="10:10" ht="15" customHeight="1" x14ac:dyDescent="0.3">
      <c r="J34583" s="33"/>
    </row>
    <row r="34584" spans="10:10" ht="15" customHeight="1" x14ac:dyDescent="0.3">
      <c r="J34584" s="33"/>
    </row>
    <row r="34585" spans="10:10" ht="15" customHeight="1" x14ac:dyDescent="0.3">
      <c r="J34585" s="33"/>
    </row>
    <row r="34586" spans="10:10" x14ac:dyDescent="0.3">
      <c r="J34586" s="33"/>
    </row>
    <row r="34587" spans="10:10" x14ac:dyDescent="0.3">
      <c r="J34587" s="33"/>
    </row>
    <row r="34588" spans="10:10" x14ac:dyDescent="0.3">
      <c r="J34588" s="33"/>
    </row>
    <row r="34589" spans="10:10" ht="15" customHeight="1" x14ac:dyDescent="0.3">
      <c r="J34589" s="33"/>
    </row>
    <row r="34590" spans="10:10" x14ac:dyDescent="0.3">
      <c r="J34590" s="33"/>
    </row>
    <row r="34591" spans="10:10" ht="15" customHeight="1" x14ac:dyDescent="0.3">
      <c r="J34591" s="33"/>
    </row>
    <row r="34592" spans="10:10" ht="15" customHeight="1" x14ac:dyDescent="0.3">
      <c r="J34592" s="33"/>
    </row>
    <row r="34593" spans="10:10" ht="15" customHeight="1" x14ac:dyDescent="0.3">
      <c r="J34593" s="33"/>
    </row>
    <row r="34594" spans="10:10" ht="15" customHeight="1" x14ac:dyDescent="0.3">
      <c r="J34594" s="33"/>
    </row>
    <row r="34595" spans="10:10" ht="15" customHeight="1" x14ac:dyDescent="0.3">
      <c r="J34595" s="33"/>
    </row>
    <row r="34596" spans="10:10" ht="15" customHeight="1" x14ac:dyDescent="0.3">
      <c r="J34596" s="33"/>
    </row>
    <row r="34597" spans="10:10" ht="15" customHeight="1" x14ac:dyDescent="0.3">
      <c r="J34597" s="33"/>
    </row>
    <row r="34598" spans="10:10" ht="15" customHeight="1" x14ac:dyDescent="0.3">
      <c r="J34598" s="33"/>
    </row>
    <row r="34599" spans="10:10" ht="15" customHeight="1" x14ac:dyDescent="0.3">
      <c r="J34599" s="33"/>
    </row>
    <row r="34600" spans="10:10" x14ac:dyDescent="0.3">
      <c r="J34600" s="33"/>
    </row>
    <row r="34601" spans="10:10" ht="15" customHeight="1" x14ac:dyDescent="0.3">
      <c r="J34601" s="33"/>
    </row>
    <row r="34602" spans="10:10" ht="15" customHeight="1" x14ac:dyDescent="0.3">
      <c r="J34602" s="33"/>
    </row>
    <row r="34603" spans="10:10" ht="15" customHeight="1" x14ac:dyDescent="0.3">
      <c r="J34603" s="33"/>
    </row>
    <row r="34604" spans="10:10" ht="15" customHeight="1" x14ac:dyDescent="0.3">
      <c r="J34604" s="33"/>
    </row>
    <row r="34605" spans="10:10" x14ac:dyDescent="0.3">
      <c r="J34605" s="33"/>
    </row>
    <row r="34606" spans="10:10" ht="15" customHeight="1" x14ac:dyDescent="0.3">
      <c r="J34606" s="33"/>
    </row>
    <row r="34607" spans="10:10" x14ac:dyDescent="0.3">
      <c r="J34607" s="33"/>
    </row>
    <row r="34608" spans="10:10" ht="15" customHeight="1" x14ac:dyDescent="0.3">
      <c r="J34608" s="33"/>
    </row>
    <row r="34609" spans="10:10" ht="15" customHeight="1" x14ac:dyDescent="0.3">
      <c r="J34609" s="33"/>
    </row>
    <row r="34610" spans="10:10" x14ac:dyDescent="0.3">
      <c r="J34610" s="33"/>
    </row>
    <row r="34611" spans="10:10" x14ac:dyDescent="0.3">
      <c r="J34611" s="33"/>
    </row>
    <row r="34612" spans="10:10" x14ac:dyDescent="0.3">
      <c r="J34612" s="33"/>
    </row>
    <row r="34613" spans="10:10" x14ac:dyDescent="0.3">
      <c r="J34613" s="33"/>
    </row>
    <row r="34614" spans="10:10" x14ac:dyDescent="0.3">
      <c r="J34614" s="33"/>
    </row>
    <row r="34615" spans="10:10" x14ac:dyDescent="0.3">
      <c r="J34615" s="33"/>
    </row>
    <row r="34616" spans="10:10" ht="15" customHeight="1" x14ac:dyDescent="0.3">
      <c r="J34616" s="33"/>
    </row>
    <row r="34617" spans="10:10" ht="15" customHeight="1" x14ac:dyDescent="0.3">
      <c r="J34617" s="33"/>
    </row>
    <row r="34618" spans="10:10" ht="15" customHeight="1" x14ac:dyDescent="0.3">
      <c r="J34618" s="33"/>
    </row>
    <row r="34619" spans="10:10" x14ac:dyDescent="0.3">
      <c r="J34619" s="33"/>
    </row>
    <row r="34620" spans="10:10" ht="15" customHeight="1" x14ac:dyDescent="0.3">
      <c r="J34620" s="33"/>
    </row>
    <row r="34621" spans="10:10" ht="15" customHeight="1" x14ac:dyDescent="0.3">
      <c r="J34621" s="33"/>
    </row>
    <row r="34622" spans="10:10" ht="15" customHeight="1" x14ac:dyDescent="0.3">
      <c r="J34622" s="33"/>
    </row>
    <row r="34623" spans="10:10" x14ac:dyDescent="0.3">
      <c r="J34623" s="33"/>
    </row>
    <row r="34624" spans="10:10" ht="15" customHeight="1" x14ac:dyDescent="0.3">
      <c r="J34624" s="33"/>
    </row>
    <row r="34625" spans="10:10" x14ac:dyDescent="0.3">
      <c r="J34625" s="33"/>
    </row>
    <row r="34626" spans="10:10" x14ac:dyDescent="0.3">
      <c r="J34626" s="33"/>
    </row>
    <row r="34627" spans="10:10" x14ac:dyDescent="0.3">
      <c r="J34627" s="33"/>
    </row>
    <row r="34628" spans="10:10" x14ac:dyDescent="0.3">
      <c r="J34628" s="33"/>
    </row>
    <row r="34629" spans="10:10" x14ac:dyDescent="0.3">
      <c r="J34629" s="33"/>
    </row>
    <row r="34630" spans="10:10" x14ac:dyDescent="0.3">
      <c r="J34630" s="33"/>
    </row>
    <row r="34631" spans="10:10" x14ac:dyDescent="0.3">
      <c r="J34631" s="33"/>
    </row>
    <row r="34632" spans="10:10" x14ac:dyDescent="0.3">
      <c r="J34632" s="33"/>
    </row>
    <row r="34633" spans="10:10" x14ac:dyDescent="0.3">
      <c r="J34633" s="33"/>
    </row>
    <row r="34634" spans="10:10" x14ac:dyDescent="0.3">
      <c r="J34634" s="33"/>
    </row>
    <row r="34635" spans="10:10" ht="15" customHeight="1" x14ac:dyDescent="0.3">
      <c r="J34635" s="33"/>
    </row>
    <row r="34636" spans="10:10" ht="15" customHeight="1" x14ac:dyDescent="0.3">
      <c r="J34636" s="33"/>
    </row>
    <row r="34637" spans="10:10" ht="15" customHeight="1" x14ac:dyDescent="0.3">
      <c r="J34637" s="33"/>
    </row>
    <row r="34638" spans="10:10" x14ac:dyDescent="0.3">
      <c r="J34638" s="33"/>
    </row>
    <row r="34639" spans="10:10" ht="15" customHeight="1" x14ac:dyDescent="0.3">
      <c r="J34639" s="33"/>
    </row>
    <row r="34640" spans="10:10" x14ac:dyDescent="0.3">
      <c r="J34640" s="33"/>
    </row>
    <row r="34641" spans="10:10" ht="15" customHeight="1" x14ac:dyDescent="0.3">
      <c r="J34641" s="33"/>
    </row>
    <row r="34642" spans="10:10" ht="15" customHeight="1" x14ac:dyDescent="0.3">
      <c r="J34642" s="33"/>
    </row>
    <row r="34643" spans="10:10" ht="15" customHeight="1" x14ac:dyDescent="0.3">
      <c r="J34643" s="33"/>
    </row>
    <row r="34644" spans="10:10" x14ac:dyDescent="0.3">
      <c r="J34644" s="33"/>
    </row>
    <row r="34645" spans="10:10" ht="15" customHeight="1" x14ac:dyDescent="0.3">
      <c r="J34645" s="33"/>
    </row>
    <row r="34646" spans="10:10" ht="15" customHeight="1" x14ac:dyDescent="0.3">
      <c r="J34646" s="33"/>
    </row>
    <row r="34647" spans="10:10" ht="15" customHeight="1" x14ac:dyDescent="0.3">
      <c r="J34647" s="33"/>
    </row>
    <row r="34648" spans="10:10" ht="15" customHeight="1" x14ac:dyDescent="0.3">
      <c r="J34648" s="33"/>
    </row>
    <row r="34649" spans="10:10" x14ac:dyDescent="0.3">
      <c r="J34649" s="33"/>
    </row>
    <row r="34650" spans="10:10" x14ac:dyDescent="0.3">
      <c r="J34650" s="33"/>
    </row>
    <row r="34651" spans="10:10" x14ac:dyDescent="0.3">
      <c r="J34651" s="33"/>
    </row>
    <row r="34652" spans="10:10" ht="15" customHeight="1" x14ac:dyDescent="0.3">
      <c r="J34652" s="33"/>
    </row>
    <row r="34653" spans="10:10" x14ac:dyDescent="0.3">
      <c r="J34653" s="33"/>
    </row>
    <row r="34654" spans="10:10" x14ac:dyDescent="0.3">
      <c r="J34654" s="33"/>
    </row>
    <row r="34655" spans="10:10" x14ac:dyDescent="0.3">
      <c r="J34655" s="33"/>
    </row>
    <row r="34656" spans="10:10" x14ac:dyDescent="0.3">
      <c r="J34656" s="33"/>
    </row>
    <row r="34657" spans="10:10" ht="15" customHeight="1" x14ac:dyDescent="0.3">
      <c r="J34657" s="33"/>
    </row>
    <row r="34658" spans="10:10" ht="15" customHeight="1" x14ac:dyDescent="0.3">
      <c r="J34658" s="33"/>
    </row>
    <row r="34659" spans="10:10" x14ac:dyDescent="0.3">
      <c r="J34659" s="33"/>
    </row>
    <row r="34660" spans="10:10" x14ac:dyDescent="0.3">
      <c r="J34660" s="33"/>
    </row>
    <row r="34661" spans="10:10" ht="15" customHeight="1" x14ac:dyDescent="0.3">
      <c r="J34661" s="33"/>
    </row>
    <row r="34662" spans="10:10" x14ac:dyDescent="0.3">
      <c r="J34662" s="33"/>
    </row>
    <row r="34663" spans="10:10" ht="15" customHeight="1" x14ac:dyDescent="0.3">
      <c r="J34663" s="33"/>
    </row>
    <row r="34664" spans="10:10" x14ac:dyDescent="0.3">
      <c r="J34664" s="33"/>
    </row>
    <row r="34665" spans="10:10" ht="15" customHeight="1" x14ac:dyDescent="0.3">
      <c r="J34665" s="33"/>
    </row>
    <row r="34666" spans="10:10" x14ac:dyDescent="0.3">
      <c r="J34666" s="33"/>
    </row>
    <row r="34667" spans="10:10" ht="15" customHeight="1" x14ac:dyDescent="0.3">
      <c r="J34667" s="33"/>
    </row>
    <row r="34668" spans="10:10" ht="15" customHeight="1" x14ac:dyDescent="0.3">
      <c r="J34668" s="33"/>
    </row>
    <row r="34669" spans="10:10" ht="15" customHeight="1" x14ac:dyDescent="0.3">
      <c r="J34669" s="33"/>
    </row>
    <row r="34670" spans="10:10" ht="15" customHeight="1" x14ac:dyDescent="0.3">
      <c r="J34670" s="33"/>
    </row>
    <row r="34671" spans="10:10" ht="15" customHeight="1" x14ac:dyDescent="0.3">
      <c r="J34671" s="33"/>
    </row>
    <row r="34672" spans="10:10" ht="15" customHeight="1" x14ac:dyDescent="0.3">
      <c r="J34672" s="33"/>
    </row>
    <row r="34673" spans="10:10" x14ac:dyDescent="0.3">
      <c r="J34673" s="33"/>
    </row>
    <row r="34674" spans="10:10" x14ac:dyDescent="0.3">
      <c r="J34674" s="33"/>
    </row>
    <row r="34675" spans="10:10" x14ac:dyDescent="0.3">
      <c r="J34675" s="33"/>
    </row>
    <row r="34676" spans="10:10" ht="15" customHeight="1" x14ac:dyDescent="0.3">
      <c r="J34676" s="33"/>
    </row>
    <row r="34677" spans="10:10" ht="15" customHeight="1" x14ac:dyDescent="0.3">
      <c r="J34677" s="33"/>
    </row>
    <row r="34678" spans="10:10" x14ac:dyDescent="0.3">
      <c r="J34678" s="33"/>
    </row>
    <row r="34679" spans="10:10" x14ac:dyDescent="0.3">
      <c r="J34679" s="33"/>
    </row>
    <row r="34680" spans="10:10" x14ac:dyDescent="0.3">
      <c r="J34680" s="33"/>
    </row>
    <row r="34681" spans="10:10" x14ac:dyDescent="0.3">
      <c r="J34681" s="33"/>
    </row>
    <row r="34682" spans="10:10" x14ac:dyDescent="0.3">
      <c r="J34682" s="33"/>
    </row>
    <row r="34683" spans="10:10" x14ac:dyDescent="0.3">
      <c r="J34683" s="33"/>
    </row>
    <row r="34684" spans="10:10" x14ac:dyDescent="0.3">
      <c r="J34684" s="33"/>
    </row>
    <row r="34685" spans="10:10" x14ac:dyDescent="0.3">
      <c r="J34685" s="33"/>
    </row>
    <row r="34686" spans="10:10" x14ac:dyDescent="0.3">
      <c r="J34686" s="33"/>
    </row>
    <row r="34687" spans="10:10" x14ac:dyDescent="0.3">
      <c r="J34687" s="33"/>
    </row>
    <row r="34688" spans="10:10" ht="15" customHeight="1" x14ac:dyDescent="0.3">
      <c r="J34688" s="33"/>
    </row>
    <row r="34689" spans="10:10" x14ac:dyDescent="0.3">
      <c r="J34689" s="33"/>
    </row>
    <row r="34690" spans="10:10" x14ac:dyDescent="0.3">
      <c r="J34690" s="33"/>
    </row>
    <row r="34691" spans="10:10" ht="15" customHeight="1" x14ac:dyDescent="0.3">
      <c r="J34691" s="33"/>
    </row>
    <row r="34692" spans="10:10" ht="15" customHeight="1" x14ac:dyDescent="0.3">
      <c r="J34692" s="33"/>
    </row>
    <row r="34693" spans="10:10" x14ac:dyDescent="0.3">
      <c r="J34693" s="33"/>
    </row>
    <row r="34694" spans="10:10" x14ac:dyDescent="0.3">
      <c r="J34694" s="33"/>
    </row>
    <row r="34695" spans="10:10" ht="15" customHeight="1" x14ac:dyDescent="0.3">
      <c r="J34695" s="33"/>
    </row>
    <row r="34696" spans="10:10" x14ac:dyDescent="0.3">
      <c r="J34696" s="33"/>
    </row>
    <row r="34697" spans="10:10" x14ac:dyDescent="0.3">
      <c r="J34697" s="33"/>
    </row>
    <row r="34698" spans="10:10" ht="15" customHeight="1" x14ac:dyDescent="0.3">
      <c r="J34698" s="33"/>
    </row>
    <row r="34699" spans="10:10" ht="15" customHeight="1" x14ac:dyDescent="0.3">
      <c r="J34699" s="33"/>
    </row>
    <row r="34700" spans="10:10" x14ac:dyDescent="0.3">
      <c r="J34700" s="33"/>
    </row>
    <row r="34701" spans="10:10" ht="15" customHeight="1" x14ac:dyDescent="0.3">
      <c r="J34701" s="33"/>
    </row>
    <row r="34702" spans="10:10" x14ac:dyDescent="0.3">
      <c r="J34702" s="33"/>
    </row>
    <row r="34703" spans="10:10" x14ac:dyDescent="0.3">
      <c r="J34703" s="33"/>
    </row>
    <row r="34704" spans="10:10" ht="15" customHeight="1" x14ac:dyDescent="0.3">
      <c r="J34704" s="33"/>
    </row>
    <row r="34705" spans="10:10" ht="15" customHeight="1" x14ac:dyDescent="0.3">
      <c r="J34705" s="33"/>
    </row>
    <row r="34706" spans="10:10" ht="15" customHeight="1" x14ac:dyDescent="0.3">
      <c r="J34706" s="33"/>
    </row>
    <row r="34707" spans="10:10" ht="15" customHeight="1" x14ac:dyDescent="0.3">
      <c r="J34707" s="33"/>
    </row>
    <row r="34708" spans="10:10" ht="15" customHeight="1" x14ac:dyDescent="0.3">
      <c r="J34708" s="33"/>
    </row>
    <row r="34709" spans="10:10" ht="15" customHeight="1" x14ac:dyDescent="0.3">
      <c r="J34709" s="33"/>
    </row>
    <row r="34710" spans="10:10" x14ac:dyDescent="0.3">
      <c r="J34710" s="33"/>
    </row>
    <row r="34711" spans="10:10" ht="15" customHeight="1" x14ac:dyDescent="0.3">
      <c r="J34711" s="33"/>
    </row>
    <row r="34712" spans="10:10" x14ac:dyDescent="0.3">
      <c r="J34712" s="33"/>
    </row>
    <row r="34713" spans="10:10" x14ac:dyDescent="0.3">
      <c r="J34713" s="33"/>
    </row>
    <row r="34714" spans="10:10" x14ac:dyDescent="0.3">
      <c r="J34714" s="33"/>
    </row>
    <row r="34715" spans="10:10" x14ac:dyDescent="0.3">
      <c r="J34715" s="33"/>
    </row>
    <row r="34716" spans="10:10" x14ac:dyDescent="0.3">
      <c r="J34716" s="33"/>
    </row>
    <row r="34717" spans="10:10" x14ac:dyDescent="0.3">
      <c r="J34717" s="33"/>
    </row>
    <row r="34718" spans="10:10" ht="15" customHeight="1" x14ac:dyDescent="0.3">
      <c r="J34718" s="33"/>
    </row>
    <row r="34719" spans="10:10" x14ac:dyDescent="0.3">
      <c r="J34719" s="33"/>
    </row>
    <row r="34720" spans="10:10" x14ac:dyDescent="0.3">
      <c r="J34720" s="33"/>
    </row>
    <row r="34721" spans="10:10" x14ac:dyDescent="0.3">
      <c r="J34721" s="33"/>
    </row>
    <row r="34722" spans="10:10" ht="15" customHeight="1" x14ac:dyDescent="0.3">
      <c r="J34722" s="33"/>
    </row>
    <row r="34723" spans="10:10" x14ac:dyDescent="0.3">
      <c r="J34723" s="33"/>
    </row>
    <row r="34724" spans="10:10" x14ac:dyDescent="0.3">
      <c r="J34724" s="33"/>
    </row>
    <row r="34725" spans="10:10" x14ac:dyDescent="0.3">
      <c r="J34725" s="33"/>
    </row>
    <row r="34726" spans="10:10" x14ac:dyDescent="0.3">
      <c r="J34726" s="33"/>
    </row>
    <row r="34727" spans="10:10" ht="15" customHeight="1" x14ac:dyDescent="0.3">
      <c r="J34727" s="33"/>
    </row>
    <row r="34728" spans="10:10" ht="15" customHeight="1" x14ac:dyDescent="0.3">
      <c r="J34728" s="33"/>
    </row>
    <row r="34729" spans="10:10" ht="15" customHeight="1" x14ac:dyDescent="0.3">
      <c r="J34729" s="33"/>
    </row>
    <row r="34730" spans="10:10" ht="15" customHeight="1" x14ac:dyDescent="0.3">
      <c r="J34730" s="33"/>
    </row>
    <row r="34731" spans="10:10" x14ac:dyDescent="0.3">
      <c r="J34731" s="33"/>
    </row>
    <row r="34732" spans="10:10" ht="15" customHeight="1" x14ac:dyDescent="0.3">
      <c r="J34732" s="33"/>
    </row>
    <row r="34733" spans="10:10" x14ac:dyDescent="0.3">
      <c r="J34733" s="33"/>
    </row>
    <row r="34734" spans="10:10" x14ac:dyDescent="0.3">
      <c r="J34734" s="33"/>
    </row>
    <row r="34735" spans="10:10" x14ac:dyDescent="0.3">
      <c r="J34735" s="33"/>
    </row>
    <row r="34736" spans="10:10" ht="15" customHeight="1" x14ac:dyDescent="0.3">
      <c r="J34736" s="33"/>
    </row>
    <row r="34737" spans="10:10" ht="15" customHeight="1" x14ac:dyDescent="0.3">
      <c r="J34737" s="33"/>
    </row>
    <row r="34738" spans="10:10" x14ac:dyDescent="0.3">
      <c r="J34738" s="33"/>
    </row>
    <row r="34739" spans="10:10" ht="15" customHeight="1" x14ac:dyDescent="0.3">
      <c r="J34739" s="33"/>
    </row>
    <row r="34740" spans="10:10" ht="15" customHeight="1" x14ac:dyDescent="0.3">
      <c r="J34740" s="33"/>
    </row>
    <row r="34741" spans="10:10" x14ac:dyDescent="0.3">
      <c r="J34741" s="33"/>
    </row>
    <row r="34742" spans="10:10" ht="15" customHeight="1" x14ac:dyDescent="0.3">
      <c r="J34742" s="33"/>
    </row>
    <row r="34743" spans="10:10" ht="15" customHeight="1" x14ac:dyDescent="0.3">
      <c r="J34743" s="33"/>
    </row>
    <row r="34744" spans="10:10" x14ac:dyDescent="0.3">
      <c r="J34744" s="33"/>
    </row>
    <row r="34745" spans="10:10" ht="15" customHeight="1" x14ac:dyDescent="0.3">
      <c r="J34745" s="33"/>
    </row>
    <row r="34746" spans="10:10" x14ac:dyDescent="0.3">
      <c r="J34746" s="33"/>
    </row>
    <row r="34747" spans="10:10" ht="15" customHeight="1" x14ac:dyDescent="0.3">
      <c r="J34747" s="33"/>
    </row>
    <row r="34748" spans="10:10" ht="15" customHeight="1" x14ac:dyDescent="0.3">
      <c r="J34748" s="33"/>
    </row>
    <row r="34749" spans="10:10" ht="15" customHeight="1" x14ac:dyDescent="0.3">
      <c r="J34749" s="33"/>
    </row>
    <row r="34750" spans="10:10" x14ac:dyDescent="0.3">
      <c r="J34750" s="33"/>
    </row>
    <row r="34751" spans="10:10" ht="15" customHeight="1" x14ac:dyDescent="0.3">
      <c r="J34751" s="33"/>
    </row>
    <row r="34752" spans="10:10" x14ac:dyDescent="0.3">
      <c r="J34752" s="33"/>
    </row>
    <row r="34753" spans="10:10" ht="15" customHeight="1" x14ac:dyDescent="0.3">
      <c r="J34753" s="33"/>
    </row>
    <row r="34754" spans="10:10" x14ac:dyDescent="0.3">
      <c r="J34754" s="33"/>
    </row>
    <row r="34755" spans="10:10" x14ac:dyDescent="0.3">
      <c r="J34755" s="33"/>
    </row>
    <row r="34756" spans="10:10" x14ac:dyDescent="0.3">
      <c r="J34756" s="33"/>
    </row>
    <row r="34757" spans="10:10" x14ac:dyDescent="0.3">
      <c r="J34757" s="33"/>
    </row>
    <row r="34758" spans="10:10" x14ac:dyDescent="0.3">
      <c r="J34758" s="33"/>
    </row>
    <row r="34759" spans="10:10" x14ac:dyDescent="0.3">
      <c r="J34759" s="33"/>
    </row>
    <row r="34760" spans="10:10" ht="15" customHeight="1" x14ac:dyDescent="0.3">
      <c r="J34760" s="33"/>
    </row>
    <row r="34761" spans="10:10" x14ac:dyDescent="0.3">
      <c r="J34761" s="33"/>
    </row>
    <row r="34762" spans="10:10" ht="15" customHeight="1" x14ac:dyDescent="0.3">
      <c r="J34762" s="33"/>
    </row>
    <row r="34763" spans="10:10" x14ac:dyDescent="0.3">
      <c r="J34763" s="33"/>
    </row>
    <row r="34764" spans="10:10" x14ac:dyDescent="0.3">
      <c r="J34764" s="33"/>
    </row>
    <row r="34765" spans="10:10" x14ac:dyDescent="0.3">
      <c r="J34765" s="33"/>
    </row>
    <row r="34766" spans="10:10" ht="15" customHeight="1" x14ac:dyDescent="0.3">
      <c r="J34766" s="33"/>
    </row>
    <row r="34767" spans="10:10" ht="15" customHeight="1" x14ac:dyDescent="0.3">
      <c r="J34767" s="33"/>
    </row>
    <row r="34768" spans="10:10" ht="15" customHeight="1" x14ac:dyDescent="0.3">
      <c r="J34768" s="33"/>
    </row>
    <row r="34769" spans="10:10" x14ac:dyDescent="0.3">
      <c r="J34769" s="33"/>
    </row>
    <row r="34770" spans="10:10" ht="15" customHeight="1" x14ac:dyDescent="0.3">
      <c r="J34770" s="33"/>
    </row>
    <row r="34771" spans="10:10" ht="15" customHeight="1" x14ac:dyDescent="0.3">
      <c r="J34771" s="33"/>
    </row>
    <row r="34772" spans="10:10" ht="15" customHeight="1" x14ac:dyDescent="0.3">
      <c r="J34772" s="33"/>
    </row>
    <row r="34773" spans="10:10" ht="15" customHeight="1" x14ac:dyDescent="0.3">
      <c r="J34773" s="33"/>
    </row>
    <row r="34774" spans="10:10" ht="15" customHeight="1" x14ac:dyDescent="0.3">
      <c r="J34774" s="33"/>
    </row>
    <row r="34775" spans="10:10" ht="15" customHeight="1" x14ac:dyDescent="0.3">
      <c r="J34775" s="33"/>
    </row>
    <row r="34776" spans="10:10" x14ac:dyDescent="0.3">
      <c r="J34776" s="33"/>
    </row>
    <row r="34777" spans="10:10" x14ac:dyDescent="0.3">
      <c r="J34777" s="33"/>
    </row>
    <row r="34778" spans="10:10" x14ac:dyDescent="0.3">
      <c r="J34778" s="33"/>
    </row>
    <row r="34779" spans="10:10" x14ac:dyDescent="0.3">
      <c r="J34779" s="33"/>
    </row>
    <row r="34780" spans="10:10" ht="15" customHeight="1" x14ac:dyDescent="0.3">
      <c r="J34780" s="33"/>
    </row>
    <row r="34781" spans="10:10" ht="15" customHeight="1" x14ac:dyDescent="0.3">
      <c r="J34781" s="33"/>
    </row>
    <row r="34782" spans="10:10" x14ac:dyDescent="0.3">
      <c r="J34782" s="33"/>
    </row>
    <row r="34783" spans="10:10" x14ac:dyDescent="0.3">
      <c r="J34783" s="33"/>
    </row>
    <row r="34784" spans="10:10" x14ac:dyDescent="0.3">
      <c r="J34784" s="33"/>
    </row>
    <row r="34785" spans="10:10" ht="15" customHeight="1" x14ac:dyDescent="0.3">
      <c r="J34785" s="33"/>
    </row>
    <row r="34786" spans="10:10" ht="15" customHeight="1" x14ac:dyDescent="0.3">
      <c r="J34786" s="33"/>
    </row>
    <row r="34787" spans="10:10" ht="15" customHeight="1" x14ac:dyDescent="0.3">
      <c r="J34787" s="33"/>
    </row>
    <row r="34788" spans="10:10" x14ac:dyDescent="0.3">
      <c r="J34788" s="33"/>
    </row>
    <row r="34789" spans="10:10" x14ac:dyDescent="0.3">
      <c r="J34789" s="33"/>
    </row>
    <row r="34790" spans="10:10" ht="15" customHeight="1" x14ac:dyDescent="0.3">
      <c r="J34790" s="33"/>
    </row>
    <row r="34791" spans="10:10" ht="15" customHeight="1" x14ac:dyDescent="0.3">
      <c r="J34791" s="33"/>
    </row>
    <row r="34792" spans="10:10" ht="15" customHeight="1" x14ac:dyDescent="0.3">
      <c r="J34792" s="33"/>
    </row>
    <row r="34793" spans="10:10" ht="15" customHeight="1" x14ac:dyDescent="0.3">
      <c r="J34793" s="33"/>
    </row>
    <row r="34794" spans="10:10" x14ac:dyDescent="0.3">
      <c r="J34794" s="33"/>
    </row>
    <row r="34795" spans="10:10" ht="15" customHeight="1" x14ac:dyDescent="0.3">
      <c r="J34795" s="33"/>
    </row>
    <row r="34796" spans="10:10" ht="15" customHeight="1" x14ac:dyDescent="0.3">
      <c r="J34796" s="33"/>
    </row>
    <row r="34797" spans="10:10" ht="15" customHeight="1" x14ac:dyDescent="0.3">
      <c r="J34797" s="33"/>
    </row>
    <row r="34798" spans="10:10" x14ac:dyDescent="0.3">
      <c r="J34798" s="33"/>
    </row>
    <row r="34799" spans="10:10" x14ac:dyDescent="0.3">
      <c r="J34799" s="33"/>
    </row>
    <row r="34800" spans="10:10" x14ac:dyDescent="0.3">
      <c r="J34800" s="33"/>
    </row>
    <row r="34801" spans="10:10" ht="15" customHeight="1" x14ac:dyDescent="0.3">
      <c r="J34801" s="33"/>
    </row>
    <row r="34802" spans="10:10" x14ac:dyDescent="0.3">
      <c r="J34802" s="33"/>
    </row>
    <row r="34803" spans="10:10" x14ac:dyDescent="0.3">
      <c r="J34803" s="33"/>
    </row>
    <row r="34804" spans="10:10" x14ac:dyDescent="0.3">
      <c r="J34804" s="33"/>
    </row>
    <row r="34805" spans="10:10" ht="15" customHeight="1" x14ac:dyDescent="0.3">
      <c r="J34805" s="33"/>
    </row>
    <row r="34806" spans="10:10" x14ac:dyDescent="0.3">
      <c r="J34806" s="33"/>
    </row>
    <row r="34807" spans="10:10" ht="15" customHeight="1" x14ac:dyDescent="0.3">
      <c r="J34807" s="33"/>
    </row>
    <row r="34808" spans="10:10" ht="15" customHeight="1" x14ac:dyDescent="0.3">
      <c r="J34808" s="33"/>
    </row>
    <row r="34809" spans="10:10" x14ac:dyDescent="0.3">
      <c r="J34809" s="33"/>
    </row>
    <row r="34810" spans="10:10" ht="15" customHeight="1" x14ac:dyDescent="0.3">
      <c r="J34810" s="33"/>
    </row>
    <row r="34811" spans="10:10" x14ac:dyDescent="0.3">
      <c r="J34811" s="33"/>
    </row>
    <row r="34812" spans="10:10" ht="15" customHeight="1" x14ac:dyDescent="0.3">
      <c r="J34812" s="33"/>
    </row>
    <row r="34813" spans="10:10" x14ac:dyDescent="0.3">
      <c r="J34813" s="33"/>
    </row>
    <row r="34814" spans="10:10" x14ac:dyDescent="0.3">
      <c r="J34814" s="33"/>
    </row>
    <row r="34815" spans="10:10" x14ac:dyDescent="0.3">
      <c r="J34815" s="33"/>
    </row>
    <row r="34816" spans="10:10" x14ac:dyDescent="0.3">
      <c r="J34816" s="33"/>
    </row>
    <row r="34817" spans="10:10" x14ac:dyDescent="0.3">
      <c r="J34817" s="33"/>
    </row>
    <row r="34818" spans="10:10" x14ac:dyDescent="0.3">
      <c r="J34818" s="33"/>
    </row>
    <row r="34819" spans="10:10" ht="15" customHeight="1" x14ac:dyDescent="0.3">
      <c r="J34819" s="33"/>
    </row>
    <row r="34820" spans="10:10" ht="15" customHeight="1" x14ac:dyDescent="0.3">
      <c r="J34820" s="33"/>
    </row>
    <row r="34821" spans="10:10" x14ac:dyDescent="0.3">
      <c r="J34821" s="33"/>
    </row>
    <row r="34822" spans="10:10" x14ac:dyDescent="0.3">
      <c r="J34822" s="33"/>
    </row>
    <row r="34823" spans="10:10" ht="15" customHeight="1" x14ac:dyDescent="0.3">
      <c r="J34823" s="33"/>
    </row>
    <row r="34824" spans="10:10" x14ac:dyDescent="0.3">
      <c r="J34824" s="33"/>
    </row>
    <row r="34825" spans="10:10" x14ac:dyDescent="0.3">
      <c r="J34825" s="33"/>
    </row>
    <row r="34826" spans="10:10" x14ac:dyDescent="0.3">
      <c r="J34826" s="33"/>
    </row>
    <row r="34827" spans="10:10" x14ac:dyDescent="0.3">
      <c r="J34827" s="33"/>
    </row>
    <row r="34828" spans="10:10" ht="15" customHeight="1" x14ac:dyDescent="0.3">
      <c r="J34828" s="33"/>
    </row>
    <row r="34829" spans="10:10" x14ac:dyDescent="0.3">
      <c r="J34829" s="33"/>
    </row>
    <row r="34830" spans="10:10" x14ac:dyDescent="0.3">
      <c r="J34830" s="33"/>
    </row>
    <row r="34831" spans="10:10" x14ac:dyDescent="0.3">
      <c r="J34831" s="33"/>
    </row>
    <row r="34832" spans="10:10" ht="15" customHeight="1" x14ac:dyDescent="0.3">
      <c r="J34832" s="33"/>
    </row>
    <row r="34833" spans="10:10" x14ac:dyDescent="0.3">
      <c r="J34833" s="33"/>
    </row>
    <row r="34834" spans="10:10" x14ac:dyDescent="0.3">
      <c r="J34834" s="33"/>
    </row>
    <row r="34835" spans="10:10" x14ac:dyDescent="0.3">
      <c r="J34835" s="33"/>
    </row>
    <row r="34836" spans="10:10" ht="15" customHeight="1" x14ac:dyDescent="0.3">
      <c r="J34836" s="33"/>
    </row>
    <row r="34837" spans="10:10" x14ac:dyDescent="0.3">
      <c r="J34837" s="33"/>
    </row>
    <row r="34838" spans="10:10" x14ac:dyDescent="0.3">
      <c r="J34838" s="33"/>
    </row>
    <row r="34839" spans="10:10" ht="15" customHeight="1" x14ac:dyDescent="0.3">
      <c r="J34839" s="33"/>
    </row>
    <row r="34840" spans="10:10" x14ac:dyDescent="0.3">
      <c r="J34840" s="33"/>
    </row>
    <row r="34841" spans="10:10" ht="15" customHeight="1" x14ac:dyDescent="0.3">
      <c r="J34841" s="33"/>
    </row>
    <row r="34842" spans="10:10" ht="15" customHeight="1" x14ac:dyDescent="0.3">
      <c r="J34842" s="33"/>
    </row>
    <row r="34843" spans="10:10" x14ac:dyDescent="0.3">
      <c r="J34843" s="33"/>
    </row>
    <row r="34844" spans="10:10" ht="15" customHeight="1" x14ac:dyDescent="0.3">
      <c r="J34844" s="33"/>
    </row>
    <row r="34845" spans="10:10" ht="15" customHeight="1" x14ac:dyDescent="0.3">
      <c r="J34845" s="33"/>
    </row>
    <row r="34846" spans="10:10" x14ac:dyDescent="0.3">
      <c r="J34846" s="33"/>
    </row>
    <row r="34847" spans="10:10" ht="15" customHeight="1" x14ac:dyDescent="0.3">
      <c r="J34847" s="33"/>
    </row>
    <row r="34848" spans="10:10" x14ac:dyDescent="0.3">
      <c r="J34848" s="33"/>
    </row>
    <row r="34849" spans="10:10" x14ac:dyDescent="0.3">
      <c r="J34849" s="33"/>
    </row>
    <row r="34850" spans="10:10" x14ac:dyDescent="0.3">
      <c r="J34850" s="33"/>
    </row>
    <row r="34851" spans="10:10" ht="15" customHeight="1" x14ac:dyDescent="0.3">
      <c r="J34851" s="33"/>
    </row>
    <row r="34852" spans="10:10" x14ac:dyDescent="0.3">
      <c r="J34852" s="33"/>
    </row>
    <row r="34853" spans="10:10" ht="15" customHeight="1" x14ac:dyDescent="0.3">
      <c r="J34853" s="33"/>
    </row>
    <row r="34854" spans="10:10" x14ac:dyDescent="0.3">
      <c r="J34854" s="33"/>
    </row>
    <row r="34855" spans="10:10" ht="15" customHeight="1" x14ac:dyDescent="0.3">
      <c r="J34855" s="33"/>
    </row>
    <row r="34856" spans="10:10" x14ac:dyDescent="0.3">
      <c r="J34856" s="33"/>
    </row>
    <row r="34857" spans="10:10" ht="15" customHeight="1" x14ac:dyDescent="0.3">
      <c r="J34857" s="33"/>
    </row>
    <row r="34858" spans="10:10" x14ac:dyDescent="0.3">
      <c r="J34858" s="33"/>
    </row>
    <row r="34859" spans="10:10" x14ac:dyDescent="0.3">
      <c r="J34859" s="33"/>
    </row>
    <row r="34860" spans="10:10" ht="15" customHeight="1" x14ac:dyDescent="0.3">
      <c r="J34860" s="33"/>
    </row>
    <row r="34861" spans="10:10" x14ac:dyDescent="0.3">
      <c r="J34861" s="33"/>
    </row>
    <row r="34862" spans="10:10" ht="15" customHeight="1" x14ac:dyDescent="0.3">
      <c r="J34862" s="33"/>
    </row>
    <row r="34863" spans="10:10" ht="15" customHeight="1" x14ac:dyDescent="0.3">
      <c r="J34863" s="33"/>
    </row>
    <row r="34864" spans="10:10" x14ac:dyDescent="0.3">
      <c r="J34864" s="33"/>
    </row>
    <row r="34865" spans="10:10" ht="15" customHeight="1" x14ac:dyDescent="0.3">
      <c r="J34865" s="33"/>
    </row>
    <row r="34866" spans="10:10" ht="15" customHeight="1" x14ac:dyDescent="0.3">
      <c r="J34866" s="33"/>
    </row>
    <row r="34867" spans="10:10" x14ac:dyDescent="0.3">
      <c r="J34867" s="33"/>
    </row>
    <row r="34868" spans="10:10" ht="15" customHeight="1" x14ac:dyDescent="0.3">
      <c r="J34868" s="33"/>
    </row>
    <row r="34869" spans="10:10" x14ac:dyDescent="0.3">
      <c r="J34869" s="33"/>
    </row>
    <row r="34870" spans="10:10" ht="15" customHeight="1" x14ac:dyDescent="0.3">
      <c r="J34870" s="33"/>
    </row>
    <row r="34871" spans="10:10" x14ac:dyDescent="0.3">
      <c r="J34871" s="33"/>
    </row>
    <row r="34872" spans="10:10" ht="15" customHeight="1" x14ac:dyDescent="0.3">
      <c r="J34872" s="33"/>
    </row>
    <row r="34873" spans="10:10" ht="15" customHeight="1" x14ac:dyDescent="0.3">
      <c r="J34873" s="33"/>
    </row>
    <row r="34874" spans="10:10" ht="15" customHeight="1" x14ac:dyDescent="0.3">
      <c r="J34874" s="33"/>
    </row>
    <row r="34875" spans="10:10" x14ac:dyDescent="0.3">
      <c r="J34875" s="33"/>
    </row>
    <row r="34876" spans="10:10" x14ac:dyDescent="0.3">
      <c r="J34876" s="33"/>
    </row>
    <row r="34877" spans="10:10" ht="15" customHeight="1" x14ac:dyDescent="0.3">
      <c r="J34877" s="33"/>
    </row>
    <row r="34878" spans="10:10" ht="15" customHeight="1" x14ac:dyDescent="0.3">
      <c r="J34878" s="33"/>
    </row>
    <row r="34879" spans="10:10" x14ac:dyDescent="0.3">
      <c r="J34879" s="33"/>
    </row>
    <row r="34880" spans="10:10" x14ac:dyDescent="0.3">
      <c r="J34880" s="33"/>
    </row>
    <row r="34881" spans="10:10" ht="15" customHeight="1" x14ac:dyDescent="0.3">
      <c r="J34881" s="33"/>
    </row>
    <row r="34882" spans="10:10" x14ac:dyDescent="0.3">
      <c r="J34882" s="33"/>
    </row>
    <row r="34883" spans="10:10" ht="15" customHeight="1" x14ac:dyDescent="0.3">
      <c r="J34883" s="33"/>
    </row>
    <row r="34884" spans="10:10" x14ac:dyDescent="0.3">
      <c r="J34884" s="33"/>
    </row>
    <row r="34885" spans="10:10" ht="15" customHeight="1" x14ac:dyDescent="0.3">
      <c r="J34885" s="33"/>
    </row>
    <row r="34886" spans="10:10" ht="15" customHeight="1" x14ac:dyDescent="0.3">
      <c r="J34886" s="33"/>
    </row>
    <row r="34887" spans="10:10" x14ac:dyDescent="0.3">
      <c r="J34887" s="33"/>
    </row>
    <row r="34888" spans="10:10" ht="15" customHeight="1" x14ac:dyDescent="0.3">
      <c r="J34888" s="33"/>
    </row>
    <row r="34889" spans="10:10" x14ac:dyDescent="0.3">
      <c r="J34889" s="33"/>
    </row>
    <row r="34890" spans="10:10" x14ac:dyDescent="0.3">
      <c r="J34890" s="33"/>
    </row>
    <row r="34891" spans="10:10" x14ac:dyDescent="0.3">
      <c r="J34891" s="33"/>
    </row>
    <row r="34892" spans="10:10" ht="15" customHeight="1" x14ac:dyDescent="0.3">
      <c r="J34892" s="33"/>
    </row>
    <row r="34893" spans="10:10" ht="15" customHeight="1" x14ac:dyDescent="0.3">
      <c r="J34893" s="33"/>
    </row>
    <row r="34894" spans="10:10" ht="15" customHeight="1" x14ac:dyDescent="0.3">
      <c r="J34894" s="33"/>
    </row>
    <row r="34895" spans="10:10" ht="15" customHeight="1" x14ac:dyDescent="0.3">
      <c r="J34895" s="33"/>
    </row>
    <row r="34896" spans="10:10" x14ac:dyDescent="0.3">
      <c r="J34896" s="33"/>
    </row>
    <row r="34897" spans="10:10" ht="15" customHeight="1" x14ac:dyDescent="0.3">
      <c r="J34897" s="33"/>
    </row>
    <row r="34898" spans="10:10" ht="15" customHeight="1" x14ac:dyDescent="0.3">
      <c r="J34898" s="33"/>
    </row>
    <row r="34899" spans="10:10" x14ac:dyDescent="0.3">
      <c r="J34899" s="33"/>
    </row>
    <row r="34900" spans="10:10" x14ac:dyDescent="0.3">
      <c r="J34900" s="33"/>
    </row>
    <row r="34901" spans="10:10" x14ac:dyDescent="0.3">
      <c r="J34901" s="33"/>
    </row>
    <row r="34902" spans="10:10" ht="15" customHeight="1" x14ac:dyDescent="0.3">
      <c r="J34902" s="33"/>
    </row>
    <row r="34903" spans="10:10" ht="15" customHeight="1" x14ac:dyDescent="0.3">
      <c r="J34903" s="33"/>
    </row>
    <row r="34904" spans="10:10" ht="15" customHeight="1" x14ac:dyDescent="0.3">
      <c r="J34904" s="33"/>
    </row>
    <row r="34905" spans="10:10" x14ac:dyDescent="0.3">
      <c r="J34905" s="33"/>
    </row>
    <row r="34906" spans="10:10" x14ac:dyDescent="0.3">
      <c r="J34906" s="33"/>
    </row>
    <row r="34907" spans="10:10" ht="15" customHeight="1" x14ac:dyDescent="0.3">
      <c r="J34907" s="33"/>
    </row>
    <row r="34908" spans="10:10" x14ac:dyDescent="0.3">
      <c r="J34908" s="33"/>
    </row>
    <row r="34909" spans="10:10" ht="15" customHeight="1" x14ac:dyDescent="0.3">
      <c r="J34909" s="33"/>
    </row>
    <row r="34910" spans="10:10" x14ac:dyDescent="0.3">
      <c r="J34910" s="33"/>
    </row>
    <row r="34911" spans="10:10" ht="15" customHeight="1" x14ac:dyDescent="0.3">
      <c r="J34911" s="33"/>
    </row>
    <row r="34912" spans="10:10" x14ac:dyDescent="0.3">
      <c r="J34912" s="33"/>
    </row>
    <row r="34913" spans="10:10" ht="15" customHeight="1" x14ac:dyDescent="0.3">
      <c r="J34913" s="33"/>
    </row>
    <row r="34914" spans="10:10" ht="15" customHeight="1" x14ac:dyDescent="0.3">
      <c r="J34914" s="33"/>
    </row>
    <row r="34915" spans="10:10" x14ac:dyDescent="0.3">
      <c r="J34915" s="33"/>
    </row>
    <row r="34916" spans="10:10" ht="15" customHeight="1" x14ac:dyDescent="0.3">
      <c r="J34916" s="33"/>
    </row>
    <row r="34917" spans="10:10" x14ac:dyDescent="0.3">
      <c r="J34917" s="33"/>
    </row>
    <row r="34918" spans="10:10" ht="15" customHeight="1" x14ac:dyDescent="0.3">
      <c r="J34918" s="33"/>
    </row>
    <row r="34919" spans="10:10" x14ac:dyDescent="0.3">
      <c r="J34919" s="33"/>
    </row>
    <row r="34920" spans="10:10" x14ac:dyDescent="0.3">
      <c r="J34920" s="33"/>
    </row>
    <row r="34921" spans="10:10" x14ac:dyDescent="0.3">
      <c r="J34921" s="33"/>
    </row>
    <row r="34922" spans="10:10" x14ac:dyDescent="0.3">
      <c r="J34922" s="33"/>
    </row>
    <row r="34923" spans="10:10" x14ac:dyDescent="0.3">
      <c r="J34923" s="33"/>
    </row>
    <row r="34924" spans="10:10" ht="15" customHeight="1" x14ac:dyDescent="0.3">
      <c r="J34924" s="33"/>
    </row>
    <row r="34925" spans="10:10" ht="15" customHeight="1" x14ac:dyDescent="0.3">
      <c r="J34925" s="33"/>
    </row>
    <row r="34926" spans="10:10" x14ac:dyDescent="0.3">
      <c r="J34926" s="33"/>
    </row>
    <row r="34927" spans="10:10" ht="15" customHeight="1" x14ac:dyDescent="0.3">
      <c r="J34927" s="33"/>
    </row>
    <row r="34928" spans="10:10" ht="15" customHeight="1" x14ac:dyDescent="0.3">
      <c r="J34928" s="33"/>
    </row>
    <row r="34929" spans="10:10" ht="15" customHeight="1" x14ac:dyDescent="0.3">
      <c r="J34929" s="33"/>
    </row>
    <row r="34930" spans="10:10" ht="15" customHeight="1" x14ac:dyDescent="0.3">
      <c r="J34930" s="33"/>
    </row>
    <row r="34931" spans="10:10" x14ac:dyDescent="0.3">
      <c r="J34931" s="33"/>
    </row>
    <row r="34932" spans="10:10" ht="15" customHeight="1" x14ac:dyDescent="0.3">
      <c r="J34932" s="33"/>
    </row>
    <row r="34933" spans="10:10" ht="15" customHeight="1" x14ac:dyDescent="0.3">
      <c r="J34933" s="33"/>
    </row>
    <row r="34934" spans="10:10" x14ac:dyDescent="0.3">
      <c r="J34934" s="33"/>
    </row>
    <row r="34935" spans="10:10" x14ac:dyDescent="0.3">
      <c r="J34935" s="33"/>
    </row>
    <row r="34936" spans="10:10" ht="15" customHeight="1" x14ac:dyDescent="0.3">
      <c r="J34936" s="33"/>
    </row>
    <row r="34937" spans="10:10" ht="15" customHeight="1" x14ac:dyDescent="0.3">
      <c r="J34937" s="33"/>
    </row>
    <row r="34938" spans="10:10" ht="15" customHeight="1" x14ac:dyDescent="0.3">
      <c r="J34938" s="33"/>
    </row>
    <row r="34939" spans="10:10" x14ac:dyDescent="0.3">
      <c r="J34939" s="33"/>
    </row>
    <row r="34940" spans="10:10" x14ac:dyDescent="0.3">
      <c r="J34940" s="33"/>
    </row>
    <row r="34941" spans="10:10" ht="15" customHeight="1" x14ac:dyDescent="0.3">
      <c r="J34941" s="33"/>
    </row>
    <row r="34942" spans="10:10" x14ac:dyDescent="0.3">
      <c r="J34942" s="33"/>
    </row>
    <row r="34943" spans="10:10" ht="15" customHeight="1" x14ac:dyDescent="0.3">
      <c r="J34943" s="33"/>
    </row>
    <row r="34944" spans="10:10" ht="15" customHeight="1" x14ac:dyDescent="0.3">
      <c r="J34944" s="33"/>
    </row>
    <row r="34945" spans="10:10" x14ac:dyDescent="0.3">
      <c r="J34945" s="33"/>
    </row>
    <row r="34946" spans="10:10" ht="15" customHeight="1" x14ac:dyDescent="0.3">
      <c r="J34946" s="33"/>
    </row>
    <row r="34947" spans="10:10" ht="15" customHeight="1" x14ac:dyDescent="0.3">
      <c r="J34947" s="33"/>
    </row>
    <row r="34948" spans="10:10" x14ac:dyDescent="0.3">
      <c r="J34948" s="33"/>
    </row>
    <row r="34949" spans="10:10" x14ac:dyDescent="0.3">
      <c r="J34949" s="33"/>
    </row>
    <row r="34950" spans="10:10" x14ac:dyDescent="0.3">
      <c r="J34950" s="33"/>
    </row>
    <row r="34951" spans="10:10" x14ac:dyDescent="0.3">
      <c r="J34951" s="33"/>
    </row>
    <row r="34952" spans="10:10" ht="15" customHeight="1" x14ac:dyDescent="0.3">
      <c r="J34952" s="33"/>
    </row>
    <row r="34953" spans="10:10" ht="15" customHeight="1" x14ac:dyDescent="0.3">
      <c r="J34953" s="33"/>
    </row>
    <row r="34954" spans="10:10" ht="15" customHeight="1" x14ac:dyDescent="0.3">
      <c r="J34954" s="33"/>
    </row>
    <row r="34955" spans="10:10" ht="15" customHeight="1" x14ac:dyDescent="0.3">
      <c r="J34955" s="33"/>
    </row>
    <row r="34956" spans="10:10" x14ac:dyDescent="0.3">
      <c r="J34956" s="33"/>
    </row>
    <row r="34957" spans="10:10" x14ac:dyDescent="0.3">
      <c r="J34957" s="33"/>
    </row>
    <row r="34958" spans="10:10" ht="15" customHeight="1" x14ac:dyDescent="0.3">
      <c r="J34958" s="33"/>
    </row>
    <row r="34959" spans="10:10" x14ac:dyDescent="0.3">
      <c r="J34959" s="33"/>
    </row>
    <row r="34960" spans="10:10" x14ac:dyDescent="0.3">
      <c r="J34960" s="33"/>
    </row>
    <row r="34961" spans="10:10" ht="15" customHeight="1" x14ac:dyDescent="0.3">
      <c r="J34961" s="33"/>
    </row>
    <row r="34962" spans="10:10" ht="15" customHeight="1" x14ac:dyDescent="0.3">
      <c r="J34962" s="33"/>
    </row>
    <row r="34963" spans="10:10" x14ac:dyDescent="0.3">
      <c r="J34963" s="33"/>
    </row>
    <row r="34964" spans="10:10" x14ac:dyDescent="0.3">
      <c r="J34964" s="33"/>
    </row>
    <row r="34965" spans="10:10" ht="15" customHeight="1" x14ac:dyDescent="0.3">
      <c r="J34965" s="33"/>
    </row>
    <row r="34966" spans="10:10" ht="15" customHeight="1" x14ac:dyDescent="0.3">
      <c r="J34966" s="33"/>
    </row>
    <row r="34967" spans="10:10" ht="15" customHeight="1" x14ac:dyDescent="0.3">
      <c r="J34967" s="33"/>
    </row>
    <row r="34968" spans="10:10" x14ac:dyDescent="0.3">
      <c r="J34968" s="33"/>
    </row>
    <row r="34969" spans="10:10" x14ac:dyDescent="0.3">
      <c r="J34969" s="33"/>
    </row>
    <row r="34970" spans="10:10" x14ac:dyDescent="0.3">
      <c r="J34970" s="33"/>
    </row>
    <row r="34971" spans="10:10" ht="15" customHeight="1" x14ac:dyDescent="0.3">
      <c r="J34971" s="33"/>
    </row>
    <row r="34972" spans="10:10" ht="15" customHeight="1" x14ac:dyDescent="0.3">
      <c r="J34972" s="33"/>
    </row>
    <row r="34973" spans="10:10" ht="15" customHeight="1" x14ac:dyDescent="0.3">
      <c r="J34973" s="33"/>
    </row>
    <row r="34974" spans="10:10" ht="15" customHeight="1" x14ac:dyDescent="0.3">
      <c r="J34974" s="33"/>
    </row>
    <row r="34975" spans="10:10" x14ac:dyDescent="0.3">
      <c r="J34975" s="33"/>
    </row>
    <row r="34976" spans="10:10" x14ac:dyDescent="0.3">
      <c r="J34976" s="33"/>
    </row>
    <row r="34977" spans="10:10" x14ac:dyDescent="0.3">
      <c r="J34977" s="33"/>
    </row>
    <row r="34978" spans="10:10" x14ac:dyDescent="0.3">
      <c r="J34978" s="33"/>
    </row>
    <row r="34979" spans="10:10" x14ac:dyDescent="0.3">
      <c r="J34979" s="33"/>
    </row>
    <row r="34980" spans="10:10" ht="15" customHeight="1" x14ac:dyDescent="0.3">
      <c r="J34980" s="33"/>
    </row>
    <row r="34981" spans="10:10" x14ac:dyDescent="0.3">
      <c r="J34981" s="33"/>
    </row>
    <row r="34982" spans="10:10" x14ac:dyDescent="0.3">
      <c r="J34982" s="33"/>
    </row>
    <row r="34983" spans="10:10" ht="15" customHeight="1" x14ac:dyDescent="0.3">
      <c r="J34983" s="33"/>
    </row>
    <row r="34984" spans="10:10" x14ac:dyDescent="0.3">
      <c r="J34984" s="33"/>
    </row>
    <row r="34985" spans="10:10" ht="15" customHeight="1" x14ac:dyDescent="0.3">
      <c r="J34985" s="33"/>
    </row>
    <row r="34986" spans="10:10" x14ac:dyDescent="0.3">
      <c r="J34986" s="33"/>
    </row>
    <row r="34987" spans="10:10" x14ac:dyDescent="0.3">
      <c r="J34987" s="33"/>
    </row>
    <row r="34988" spans="10:10" ht="15" customHeight="1" x14ac:dyDescent="0.3">
      <c r="J34988" s="33"/>
    </row>
    <row r="34989" spans="10:10" x14ac:dyDescent="0.3">
      <c r="J34989" s="33"/>
    </row>
    <row r="34990" spans="10:10" ht="15" customHeight="1" x14ac:dyDescent="0.3">
      <c r="J34990" s="33"/>
    </row>
    <row r="34991" spans="10:10" ht="15" customHeight="1" x14ac:dyDescent="0.3">
      <c r="J34991" s="33"/>
    </row>
    <row r="34992" spans="10:10" ht="15" customHeight="1" x14ac:dyDescent="0.3">
      <c r="J34992" s="33"/>
    </row>
    <row r="34993" spans="10:10" ht="15" customHeight="1" x14ac:dyDescent="0.3">
      <c r="J34993" s="33"/>
    </row>
    <row r="34994" spans="10:10" x14ac:dyDescent="0.3">
      <c r="J34994" s="33"/>
    </row>
    <row r="34995" spans="10:10" ht="15" customHeight="1" x14ac:dyDescent="0.3">
      <c r="J34995" s="33"/>
    </row>
    <row r="34996" spans="10:10" ht="15" customHeight="1" x14ac:dyDescent="0.3">
      <c r="J34996" s="33"/>
    </row>
    <row r="34997" spans="10:10" x14ac:dyDescent="0.3">
      <c r="J34997" s="33"/>
    </row>
    <row r="34998" spans="10:10" x14ac:dyDescent="0.3">
      <c r="J34998" s="33"/>
    </row>
    <row r="34999" spans="10:10" ht="15" customHeight="1" x14ac:dyDescent="0.3">
      <c r="J34999" s="33"/>
    </row>
    <row r="35000" spans="10:10" ht="15" customHeight="1" x14ac:dyDescent="0.3">
      <c r="J35000" s="33"/>
    </row>
    <row r="35001" spans="10:10" x14ac:dyDescent="0.3">
      <c r="J35001" s="33"/>
    </row>
    <row r="35002" spans="10:10" x14ac:dyDescent="0.3">
      <c r="J35002" s="33"/>
    </row>
    <row r="35003" spans="10:10" ht="15" customHeight="1" x14ac:dyDescent="0.3">
      <c r="J35003" s="33"/>
    </row>
    <row r="35004" spans="10:10" ht="15" customHeight="1" x14ac:dyDescent="0.3">
      <c r="J35004" s="33"/>
    </row>
    <row r="35005" spans="10:10" ht="15" customHeight="1" x14ac:dyDescent="0.3">
      <c r="J35005" s="33"/>
    </row>
    <row r="35006" spans="10:10" ht="15" customHeight="1" x14ac:dyDescent="0.3">
      <c r="J35006" s="33"/>
    </row>
    <row r="35007" spans="10:10" ht="15" customHeight="1" x14ac:dyDescent="0.3">
      <c r="J35007" s="33"/>
    </row>
    <row r="35008" spans="10:10" ht="15" customHeight="1" x14ac:dyDescent="0.3">
      <c r="J35008" s="33"/>
    </row>
    <row r="35009" spans="10:10" x14ac:dyDescent="0.3">
      <c r="J35009" s="33"/>
    </row>
    <row r="35010" spans="10:10" x14ac:dyDescent="0.3">
      <c r="J35010" s="33"/>
    </row>
    <row r="35011" spans="10:10" ht="15" customHeight="1" x14ac:dyDescent="0.3">
      <c r="J35011" s="33"/>
    </row>
    <row r="35012" spans="10:10" x14ac:dyDescent="0.3">
      <c r="J35012" s="33"/>
    </row>
    <row r="35013" spans="10:10" ht="15" customHeight="1" x14ac:dyDescent="0.3">
      <c r="J35013" s="33"/>
    </row>
    <row r="35014" spans="10:10" x14ac:dyDescent="0.3">
      <c r="J35014" s="33"/>
    </row>
    <row r="35015" spans="10:10" x14ac:dyDescent="0.3">
      <c r="J35015" s="33"/>
    </row>
    <row r="35016" spans="10:10" x14ac:dyDescent="0.3">
      <c r="J35016" s="33"/>
    </row>
    <row r="35017" spans="10:10" x14ac:dyDescent="0.3">
      <c r="J35017" s="33"/>
    </row>
    <row r="35018" spans="10:10" x14ac:dyDescent="0.3">
      <c r="J35018" s="33"/>
    </row>
    <row r="35019" spans="10:10" x14ac:dyDescent="0.3">
      <c r="J35019" s="33"/>
    </row>
    <row r="35020" spans="10:10" ht="15" customHeight="1" x14ac:dyDescent="0.3">
      <c r="J35020" s="33"/>
    </row>
    <row r="35021" spans="10:10" ht="15" customHeight="1" x14ac:dyDescent="0.3">
      <c r="J35021" s="33"/>
    </row>
    <row r="35022" spans="10:10" ht="15" customHeight="1" x14ac:dyDescent="0.3">
      <c r="J35022" s="33"/>
    </row>
    <row r="35023" spans="10:10" x14ac:dyDescent="0.3">
      <c r="J35023" s="33"/>
    </row>
    <row r="35024" spans="10:10" ht="15" customHeight="1" x14ac:dyDescent="0.3">
      <c r="J35024" s="33"/>
    </row>
    <row r="35025" spans="10:10" x14ac:dyDescent="0.3">
      <c r="J35025" s="33"/>
    </row>
    <row r="35026" spans="10:10" ht="15" customHeight="1" x14ac:dyDescent="0.3">
      <c r="J35026" s="33"/>
    </row>
    <row r="35027" spans="10:10" ht="15" customHeight="1" x14ac:dyDescent="0.3">
      <c r="J35027" s="33"/>
    </row>
    <row r="35028" spans="10:10" ht="15" customHeight="1" x14ac:dyDescent="0.3">
      <c r="J35028" s="33"/>
    </row>
    <row r="35029" spans="10:10" ht="15" customHeight="1" x14ac:dyDescent="0.3">
      <c r="J35029" s="33"/>
    </row>
    <row r="35030" spans="10:10" x14ac:dyDescent="0.3">
      <c r="J35030" s="33"/>
    </row>
    <row r="35031" spans="10:10" x14ac:dyDescent="0.3">
      <c r="J35031" s="33"/>
    </row>
    <row r="35032" spans="10:10" ht="15" customHeight="1" x14ac:dyDescent="0.3">
      <c r="J35032" s="33"/>
    </row>
    <row r="35033" spans="10:10" ht="15" customHeight="1" x14ac:dyDescent="0.3">
      <c r="J35033" s="33"/>
    </row>
    <row r="35034" spans="10:10" x14ac:dyDescent="0.3">
      <c r="J35034" s="33"/>
    </row>
    <row r="35035" spans="10:10" x14ac:dyDescent="0.3">
      <c r="J35035" s="33"/>
    </row>
    <row r="35036" spans="10:10" x14ac:dyDescent="0.3">
      <c r="J35036" s="33"/>
    </row>
    <row r="35037" spans="10:10" x14ac:dyDescent="0.3">
      <c r="J35037" s="33"/>
    </row>
    <row r="35038" spans="10:10" ht="15" customHeight="1" x14ac:dyDescent="0.3">
      <c r="J35038" s="33"/>
    </row>
    <row r="35039" spans="10:10" ht="15" customHeight="1" x14ac:dyDescent="0.3">
      <c r="J35039" s="33"/>
    </row>
    <row r="35040" spans="10:10" x14ac:dyDescent="0.3">
      <c r="J35040" s="33"/>
    </row>
    <row r="35041" spans="10:10" ht="15" customHeight="1" x14ac:dyDescent="0.3">
      <c r="J35041" s="33"/>
    </row>
    <row r="35042" spans="10:10" ht="15" customHeight="1" x14ac:dyDescent="0.3">
      <c r="J35042" s="33"/>
    </row>
    <row r="35043" spans="10:10" ht="15" customHeight="1" x14ac:dyDescent="0.3">
      <c r="J35043" s="33"/>
    </row>
    <row r="35044" spans="10:10" ht="15" customHeight="1" x14ac:dyDescent="0.3">
      <c r="J35044" s="33"/>
    </row>
    <row r="35045" spans="10:10" x14ac:dyDescent="0.3">
      <c r="J35045" s="33"/>
    </row>
    <row r="35046" spans="10:10" ht="15" customHeight="1" x14ac:dyDescent="0.3">
      <c r="J35046" s="33"/>
    </row>
    <row r="35047" spans="10:10" x14ac:dyDescent="0.3">
      <c r="J35047" s="33"/>
    </row>
    <row r="35048" spans="10:10" ht="15" customHeight="1" x14ac:dyDescent="0.3">
      <c r="J35048" s="33"/>
    </row>
    <row r="35049" spans="10:10" ht="15" customHeight="1" x14ac:dyDescent="0.3">
      <c r="J35049" s="33"/>
    </row>
    <row r="35050" spans="10:10" ht="15" customHeight="1" x14ac:dyDescent="0.3">
      <c r="J35050" s="33"/>
    </row>
    <row r="35051" spans="10:10" x14ac:dyDescent="0.3">
      <c r="J35051" s="33"/>
    </row>
    <row r="35052" spans="10:10" ht="15" customHeight="1" x14ac:dyDescent="0.3">
      <c r="J35052" s="33"/>
    </row>
    <row r="35053" spans="10:10" ht="15" customHeight="1" x14ac:dyDescent="0.3">
      <c r="J35053" s="33"/>
    </row>
    <row r="35054" spans="10:10" x14ac:dyDescent="0.3">
      <c r="J35054" s="33"/>
    </row>
    <row r="35055" spans="10:10" x14ac:dyDescent="0.3">
      <c r="J35055" s="33"/>
    </row>
    <row r="35056" spans="10:10" ht="15" customHeight="1" x14ac:dyDescent="0.3">
      <c r="J35056" s="33"/>
    </row>
    <row r="35057" spans="10:10" x14ac:dyDescent="0.3">
      <c r="J35057" s="33"/>
    </row>
    <row r="35058" spans="10:10" x14ac:dyDescent="0.3">
      <c r="J35058" s="33"/>
    </row>
    <row r="35059" spans="10:10" x14ac:dyDescent="0.3">
      <c r="J35059" s="33"/>
    </row>
    <row r="35060" spans="10:10" ht="15" customHeight="1" x14ac:dyDescent="0.3">
      <c r="J35060" s="33"/>
    </row>
    <row r="35061" spans="10:10" ht="15" customHeight="1" x14ac:dyDescent="0.3">
      <c r="J35061" s="33"/>
    </row>
    <row r="35062" spans="10:10" ht="15" customHeight="1" x14ac:dyDescent="0.3">
      <c r="J35062" s="33"/>
    </row>
    <row r="35063" spans="10:10" x14ac:dyDescent="0.3">
      <c r="J35063" s="33"/>
    </row>
    <row r="35064" spans="10:10" ht="15" customHeight="1" x14ac:dyDescent="0.3">
      <c r="J35064" s="33"/>
    </row>
    <row r="35065" spans="10:10" ht="15" customHeight="1" x14ac:dyDescent="0.3">
      <c r="J35065" s="33"/>
    </row>
    <row r="35066" spans="10:10" ht="15" customHeight="1" x14ac:dyDescent="0.3">
      <c r="J35066" s="33"/>
    </row>
    <row r="35067" spans="10:10" x14ac:dyDescent="0.3">
      <c r="J35067" s="33"/>
    </row>
    <row r="35068" spans="10:10" x14ac:dyDescent="0.3">
      <c r="J35068" s="33"/>
    </row>
    <row r="35069" spans="10:10" x14ac:dyDescent="0.3">
      <c r="J35069" s="33"/>
    </row>
    <row r="35070" spans="10:10" ht="15" customHeight="1" x14ac:dyDescent="0.3">
      <c r="J35070" s="33"/>
    </row>
    <row r="35071" spans="10:10" ht="15" customHeight="1" x14ac:dyDescent="0.3">
      <c r="J35071" s="33"/>
    </row>
    <row r="35072" spans="10:10" x14ac:dyDescent="0.3">
      <c r="J35072" s="33"/>
    </row>
    <row r="35073" spans="10:10" x14ac:dyDescent="0.3">
      <c r="J35073" s="33"/>
    </row>
    <row r="35074" spans="10:10" ht="15" customHeight="1" x14ac:dyDescent="0.3">
      <c r="J35074" s="33"/>
    </row>
    <row r="35075" spans="10:10" x14ac:dyDescent="0.3">
      <c r="J35075" s="33"/>
    </row>
    <row r="35076" spans="10:10" x14ac:dyDescent="0.3">
      <c r="J35076" s="33"/>
    </row>
    <row r="35077" spans="10:10" ht="15" customHeight="1" x14ac:dyDescent="0.3">
      <c r="J35077" s="33"/>
    </row>
    <row r="35078" spans="10:10" x14ac:dyDescent="0.3">
      <c r="J35078" s="33"/>
    </row>
    <row r="35079" spans="10:10" ht="15" customHeight="1" x14ac:dyDescent="0.3">
      <c r="J35079" s="33"/>
    </row>
    <row r="35080" spans="10:10" x14ac:dyDescent="0.3">
      <c r="J35080" s="33"/>
    </row>
    <row r="35081" spans="10:10" ht="15" customHeight="1" x14ac:dyDescent="0.3">
      <c r="J35081" s="33"/>
    </row>
    <row r="35082" spans="10:10" ht="15" customHeight="1" x14ac:dyDescent="0.3">
      <c r="J35082" s="33"/>
    </row>
    <row r="35083" spans="10:10" x14ac:dyDescent="0.3">
      <c r="J35083" s="33"/>
    </row>
    <row r="35084" spans="10:10" ht="15" customHeight="1" x14ac:dyDescent="0.3">
      <c r="J35084" s="33"/>
    </row>
    <row r="35085" spans="10:10" x14ac:dyDescent="0.3">
      <c r="J35085" s="33"/>
    </row>
    <row r="35086" spans="10:10" ht="15" customHeight="1" x14ac:dyDescent="0.3">
      <c r="J35086" s="33"/>
    </row>
    <row r="35087" spans="10:10" ht="15" customHeight="1" x14ac:dyDescent="0.3">
      <c r="J35087" s="33"/>
    </row>
    <row r="35088" spans="10:10" x14ac:dyDescent="0.3">
      <c r="J35088" s="33"/>
    </row>
    <row r="35089" spans="10:10" x14ac:dyDescent="0.3">
      <c r="J35089" s="33"/>
    </row>
    <row r="35090" spans="10:10" x14ac:dyDescent="0.3">
      <c r="J35090" s="33"/>
    </row>
    <row r="35091" spans="10:10" x14ac:dyDescent="0.3">
      <c r="J35091" s="33"/>
    </row>
    <row r="35092" spans="10:10" x14ac:dyDescent="0.3">
      <c r="J35092" s="33"/>
    </row>
    <row r="35093" spans="10:10" ht="15" customHeight="1" x14ac:dyDescent="0.3">
      <c r="J35093" s="33"/>
    </row>
    <row r="35094" spans="10:10" ht="15" customHeight="1" x14ac:dyDescent="0.3">
      <c r="J35094" s="33"/>
    </row>
    <row r="35095" spans="10:10" ht="15" customHeight="1" x14ac:dyDescent="0.3">
      <c r="J35095" s="33"/>
    </row>
    <row r="35096" spans="10:10" ht="15" customHeight="1" x14ac:dyDescent="0.3">
      <c r="J35096" s="33"/>
    </row>
    <row r="35097" spans="10:10" ht="15" customHeight="1" x14ac:dyDescent="0.3">
      <c r="J35097" s="33"/>
    </row>
    <row r="35098" spans="10:10" ht="15" customHeight="1" x14ac:dyDescent="0.3">
      <c r="J35098" s="33"/>
    </row>
    <row r="35099" spans="10:10" x14ac:dyDescent="0.3">
      <c r="J35099" s="33"/>
    </row>
    <row r="35100" spans="10:10" x14ac:dyDescent="0.3">
      <c r="J35100" s="33"/>
    </row>
    <row r="35101" spans="10:10" ht="15" customHeight="1" x14ac:dyDescent="0.3">
      <c r="J35101" s="33"/>
    </row>
    <row r="35102" spans="10:10" ht="15" customHeight="1" x14ac:dyDescent="0.3">
      <c r="J35102" s="33"/>
    </row>
    <row r="35103" spans="10:10" ht="15" customHeight="1" x14ac:dyDescent="0.3">
      <c r="J35103" s="33"/>
    </row>
    <row r="35104" spans="10:10" x14ac:dyDescent="0.3">
      <c r="J35104" s="33"/>
    </row>
    <row r="35105" spans="10:10" x14ac:dyDescent="0.3">
      <c r="J35105" s="33"/>
    </row>
    <row r="35106" spans="10:10" x14ac:dyDescent="0.3">
      <c r="J35106" s="33"/>
    </row>
    <row r="35107" spans="10:10" ht="15" customHeight="1" x14ac:dyDescent="0.3">
      <c r="J35107" s="33"/>
    </row>
    <row r="35108" spans="10:10" ht="15" customHeight="1" x14ac:dyDescent="0.3">
      <c r="J35108" s="33"/>
    </row>
    <row r="35109" spans="10:10" ht="15" customHeight="1" x14ac:dyDescent="0.3">
      <c r="J35109" s="33"/>
    </row>
    <row r="35110" spans="10:10" ht="15" customHeight="1" x14ac:dyDescent="0.3">
      <c r="J35110" s="33"/>
    </row>
    <row r="35111" spans="10:10" x14ac:dyDescent="0.3">
      <c r="J35111" s="33"/>
    </row>
    <row r="35112" spans="10:10" ht="15" customHeight="1" x14ac:dyDescent="0.3">
      <c r="J35112" s="33"/>
    </row>
    <row r="35113" spans="10:10" x14ac:dyDescent="0.3">
      <c r="J35113" s="33"/>
    </row>
    <row r="35114" spans="10:10" ht="15" customHeight="1" x14ac:dyDescent="0.3">
      <c r="J35114" s="33"/>
    </row>
    <row r="35115" spans="10:10" ht="15" customHeight="1" x14ac:dyDescent="0.3">
      <c r="J35115" s="33"/>
    </row>
    <row r="35116" spans="10:10" x14ac:dyDescent="0.3">
      <c r="J35116" s="33"/>
    </row>
    <row r="35117" spans="10:10" x14ac:dyDescent="0.3">
      <c r="J35117" s="33"/>
    </row>
    <row r="35118" spans="10:10" x14ac:dyDescent="0.3">
      <c r="J35118" s="33"/>
    </row>
    <row r="35119" spans="10:10" ht="15" customHeight="1" x14ac:dyDescent="0.3">
      <c r="J35119" s="33"/>
    </row>
    <row r="35120" spans="10:10" ht="15" customHeight="1" x14ac:dyDescent="0.3">
      <c r="J35120" s="33"/>
    </row>
    <row r="35121" spans="10:10" ht="15" customHeight="1" x14ac:dyDescent="0.3">
      <c r="J35121" s="33"/>
    </row>
    <row r="35122" spans="10:10" ht="15" customHeight="1" x14ac:dyDescent="0.3">
      <c r="J35122" s="33"/>
    </row>
    <row r="35123" spans="10:10" ht="15" customHeight="1" x14ac:dyDescent="0.3">
      <c r="J35123" s="33"/>
    </row>
    <row r="35124" spans="10:10" ht="15" customHeight="1" x14ac:dyDescent="0.3">
      <c r="J35124" s="33"/>
    </row>
    <row r="35125" spans="10:10" ht="15" customHeight="1" x14ac:dyDescent="0.3">
      <c r="J35125" s="33"/>
    </row>
    <row r="35126" spans="10:10" ht="15" customHeight="1" x14ac:dyDescent="0.3">
      <c r="J35126" s="33"/>
    </row>
    <row r="35127" spans="10:10" x14ac:dyDescent="0.3">
      <c r="J35127" s="33"/>
    </row>
    <row r="35128" spans="10:10" x14ac:dyDescent="0.3">
      <c r="J35128" s="33"/>
    </row>
    <row r="35129" spans="10:10" x14ac:dyDescent="0.3">
      <c r="J35129" s="33"/>
    </row>
    <row r="35130" spans="10:10" x14ac:dyDescent="0.3">
      <c r="J35130" s="33"/>
    </row>
    <row r="35131" spans="10:10" ht="15" customHeight="1" x14ac:dyDescent="0.3">
      <c r="J35131" s="33"/>
    </row>
    <row r="35132" spans="10:10" ht="15" customHeight="1" x14ac:dyDescent="0.3">
      <c r="J35132" s="33"/>
    </row>
    <row r="35133" spans="10:10" x14ac:dyDescent="0.3">
      <c r="J35133" s="33"/>
    </row>
    <row r="35134" spans="10:10" ht="15" customHeight="1" x14ac:dyDescent="0.3">
      <c r="J35134" s="33"/>
    </row>
    <row r="35135" spans="10:10" ht="15" customHeight="1" x14ac:dyDescent="0.3">
      <c r="J35135" s="33"/>
    </row>
    <row r="35136" spans="10:10" x14ac:dyDescent="0.3">
      <c r="J35136" s="33"/>
    </row>
    <row r="35137" spans="10:10" ht="15" customHeight="1" x14ac:dyDescent="0.3">
      <c r="J35137" s="33"/>
    </row>
    <row r="35138" spans="10:10" x14ac:dyDescent="0.3">
      <c r="J35138" s="33"/>
    </row>
    <row r="35139" spans="10:10" ht="15" customHeight="1" x14ac:dyDescent="0.3">
      <c r="J35139" s="33"/>
    </row>
    <row r="35140" spans="10:10" x14ac:dyDescent="0.3">
      <c r="J35140" s="33"/>
    </row>
    <row r="35141" spans="10:10" x14ac:dyDescent="0.3">
      <c r="J35141" s="33"/>
    </row>
    <row r="35142" spans="10:10" ht="15" customHeight="1" x14ac:dyDescent="0.3">
      <c r="J35142" s="33"/>
    </row>
    <row r="35143" spans="10:10" x14ac:dyDescent="0.3">
      <c r="J35143" s="33"/>
    </row>
    <row r="35144" spans="10:10" ht="15" customHeight="1" x14ac:dyDescent="0.3">
      <c r="J35144" s="33"/>
    </row>
    <row r="35145" spans="10:10" x14ac:dyDescent="0.3">
      <c r="J35145" s="33"/>
    </row>
    <row r="35146" spans="10:10" ht="15" customHeight="1" x14ac:dyDescent="0.3">
      <c r="J35146" s="33"/>
    </row>
    <row r="35147" spans="10:10" ht="15" customHeight="1" x14ac:dyDescent="0.3">
      <c r="J35147" s="33"/>
    </row>
    <row r="35148" spans="10:10" x14ac:dyDescent="0.3">
      <c r="J35148" s="33"/>
    </row>
    <row r="35149" spans="10:10" ht="15" customHeight="1" x14ac:dyDescent="0.3">
      <c r="J35149" s="33"/>
    </row>
    <row r="35150" spans="10:10" ht="15" customHeight="1" x14ac:dyDescent="0.3">
      <c r="J35150" s="33"/>
    </row>
    <row r="35151" spans="10:10" x14ac:dyDescent="0.3">
      <c r="J35151" s="33"/>
    </row>
    <row r="35152" spans="10:10" x14ac:dyDescent="0.3">
      <c r="J35152" s="33"/>
    </row>
    <row r="35153" spans="10:10" x14ac:dyDescent="0.3">
      <c r="J35153" s="33"/>
    </row>
    <row r="35154" spans="10:10" ht="15" customHeight="1" x14ac:dyDescent="0.3">
      <c r="J35154" s="33"/>
    </row>
    <row r="35155" spans="10:10" ht="15" customHeight="1" x14ac:dyDescent="0.3">
      <c r="J35155" s="33"/>
    </row>
    <row r="35156" spans="10:10" ht="15" customHeight="1" x14ac:dyDescent="0.3">
      <c r="J35156" s="33"/>
    </row>
    <row r="35157" spans="10:10" x14ac:dyDescent="0.3">
      <c r="J35157" s="33"/>
    </row>
    <row r="35158" spans="10:10" x14ac:dyDescent="0.3">
      <c r="J35158" s="33"/>
    </row>
    <row r="35159" spans="10:10" x14ac:dyDescent="0.3">
      <c r="J35159" s="33"/>
    </row>
    <row r="35160" spans="10:10" x14ac:dyDescent="0.3">
      <c r="J35160" s="33"/>
    </row>
    <row r="35161" spans="10:10" ht="15" customHeight="1" x14ac:dyDescent="0.3">
      <c r="J35161" s="33"/>
    </row>
    <row r="35162" spans="10:10" ht="15" customHeight="1" x14ac:dyDescent="0.3">
      <c r="J35162" s="33"/>
    </row>
    <row r="35163" spans="10:10" x14ac:dyDescent="0.3">
      <c r="J35163" s="33"/>
    </row>
    <row r="35164" spans="10:10" x14ac:dyDescent="0.3">
      <c r="J35164" s="33"/>
    </row>
    <row r="35165" spans="10:10" x14ac:dyDescent="0.3">
      <c r="J35165" s="33"/>
    </row>
    <row r="35166" spans="10:10" x14ac:dyDescent="0.3">
      <c r="J35166" s="33"/>
    </row>
    <row r="35167" spans="10:10" x14ac:dyDescent="0.3">
      <c r="J35167" s="33"/>
    </row>
    <row r="35168" spans="10:10" x14ac:dyDescent="0.3">
      <c r="J35168" s="33"/>
    </row>
    <row r="35169" spans="10:10" ht="15" customHeight="1" x14ac:dyDescent="0.3">
      <c r="J35169" s="33"/>
    </row>
    <row r="35170" spans="10:10" x14ac:dyDescent="0.3">
      <c r="J35170" s="33"/>
    </row>
    <row r="35171" spans="10:10" ht="15" customHeight="1" x14ac:dyDescent="0.3">
      <c r="J35171" s="33"/>
    </row>
    <row r="35172" spans="10:10" ht="15" customHeight="1" x14ac:dyDescent="0.3">
      <c r="J35172" s="33"/>
    </row>
    <row r="35173" spans="10:10" ht="15" customHeight="1" x14ac:dyDescent="0.3">
      <c r="J35173" s="33"/>
    </row>
    <row r="35174" spans="10:10" x14ac:dyDescent="0.3">
      <c r="J35174" s="33"/>
    </row>
    <row r="35175" spans="10:10" x14ac:dyDescent="0.3">
      <c r="J35175" s="33"/>
    </row>
    <row r="35176" spans="10:10" x14ac:dyDescent="0.3">
      <c r="J35176" s="33"/>
    </row>
    <row r="35177" spans="10:10" x14ac:dyDescent="0.3">
      <c r="J35177" s="33"/>
    </row>
    <row r="35178" spans="10:10" ht="15" customHeight="1" x14ac:dyDescent="0.3">
      <c r="J35178" s="33"/>
    </row>
    <row r="35179" spans="10:10" ht="15" customHeight="1" x14ac:dyDescent="0.3">
      <c r="J35179" s="33"/>
    </row>
    <row r="35180" spans="10:10" x14ac:dyDescent="0.3">
      <c r="J35180" s="33"/>
    </row>
    <row r="35181" spans="10:10" ht="15" customHeight="1" x14ac:dyDescent="0.3">
      <c r="J35181" s="33"/>
    </row>
    <row r="35182" spans="10:10" ht="15" customHeight="1" x14ac:dyDescent="0.3">
      <c r="J35182" s="33"/>
    </row>
    <row r="35183" spans="10:10" x14ac:dyDescent="0.3">
      <c r="J35183" s="33"/>
    </row>
    <row r="35184" spans="10:10" ht="15" customHeight="1" x14ac:dyDescent="0.3">
      <c r="J35184" s="33"/>
    </row>
    <row r="35185" spans="10:10" ht="15" customHeight="1" x14ac:dyDescent="0.3">
      <c r="J35185" s="33"/>
    </row>
    <row r="35186" spans="10:10" ht="15" customHeight="1" x14ac:dyDescent="0.3">
      <c r="J35186" s="33"/>
    </row>
    <row r="35187" spans="10:10" ht="15" customHeight="1" x14ac:dyDescent="0.3">
      <c r="J35187" s="33"/>
    </row>
    <row r="35188" spans="10:10" ht="15" customHeight="1" x14ac:dyDescent="0.3">
      <c r="J35188" s="33"/>
    </row>
    <row r="35189" spans="10:10" ht="15" customHeight="1" x14ac:dyDescent="0.3">
      <c r="J35189" s="33"/>
    </row>
    <row r="35190" spans="10:10" ht="15" customHeight="1" x14ac:dyDescent="0.3">
      <c r="J35190" s="33"/>
    </row>
    <row r="35191" spans="10:10" x14ac:dyDescent="0.3">
      <c r="J35191" s="33"/>
    </row>
    <row r="35192" spans="10:10" ht="15" customHeight="1" x14ac:dyDescent="0.3">
      <c r="J35192" s="33"/>
    </row>
    <row r="35193" spans="10:10" x14ac:dyDescent="0.3">
      <c r="J35193" s="33"/>
    </row>
    <row r="35194" spans="10:10" x14ac:dyDescent="0.3">
      <c r="J35194" s="33"/>
    </row>
    <row r="35195" spans="10:10" x14ac:dyDescent="0.3">
      <c r="J35195" s="33"/>
    </row>
    <row r="35196" spans="10:10" x14ac:dyDescent="0.3">
      <c r="J35196" s="33"/>
    </row>
    <row r="35197" spans="10:10" x14ac:dyDescent="0.3">
      <c r="J35197" s="33"/>
    </row>
    <row r="35198" spans="10:10" x14ac:dyDescent="0.3">
      <c r="J35198" s="33"/>
    </row>
    <row r="35199" spans="10:10" x14ac:dyDescent="0.3">
      <c r="J35199" s="33"/>
    </row>
    <row r="35200" spans="10:10" ht="15" customHeight="1" x14ac:dyDescent="0.3">
      <c r="J35200" s="33"/>
    </row>
    <row r="35201" spans="10:10" ht="15" customHeight="1" x14ac:dyDescent="0.3">
      <c r="J35201" s="33"/>
    </row>
    <row r="35202" spans="10:10" x14ac:dyDescent="0.3">
      <c r="J35202" s="33"/>
    </row>
    <row r="35203" spans="10:10" x14ac:dyDescent="0.3">
      <c r="J35203" s="33"/>
    </row>
    <row r="35204" spans="10:10" x14ac:dyDescent="0.3">
      <c r="J35204" s="33"/>
    </row>
    <row r="35205" spans="10:10" x14ac:dyDescent="0.3">
      <c r="J35205" s="33"/>
    </row>
    <row r="35206" spans="10:10" x14ac:dyDescent="0.3">
      <c r="J35206" s="33"/>
    </row>
    <row r="35207" spans="10:10" x14ac:dyDescent="0.3">
      <c r="J35207" s="33"/>
    </row>
    <row r="35208" spans="10:10" ht="15" customHeight="1" x14ac:dyDescent="0.3">
      <c r="J35208" s="33"/>
    </row>
    <row r="35209" spans="10:10" x14ac:dyDescent="0.3">
      <c r="J35209" s="33"/>
    </row>
    <row r="35210" spans="10:10" ht="15" customHeight="1" x14ac:dyDescent="0.3">
      <c r="J35210" s="33"/>
    </row>
    <row r="35211" spans="10:10" ht="15" customHeight="1" x14ac:dyDescent="0.3">
      <c r="J35211" s="33"/>
    </row>
    <row r="35212" spans="10:10" x14ac:dyDescent="0.3">
      <c r="J35212" s="33"/>
    </row>
    <row r="35213" spans="10:10" ht="15" customHeight="1" x14ac:dyDescent="0.3">
      <c r="J35213" s="33"/>
    </row>
    <row r="35214" spans="10:10" x14ac:dyDescent="0.3">
      <c r="J35214" s="33"/>
    </row>
    <row r="35215" spans="10:10" ht="15" customHeight="1" x14ac:dyDescent="0.3">
      <c r="J35215" s="33"/>
    </row>
    <row r="35216" spans="10:10" x14ac:dyDescent="0.3">
      <c r="J35216" s="33"/>
    </row>
    <row r="35217" spans="10:10" x14ac:dyDescent="0.3">
      <c r="J35217" s="33"/>
    </row>
    <row r="35218" spans="10:10" x14ac:dyDescent="0.3">
      <c r="J35218" s="33"/>
    </row>
    <row r="35219" spans="10:10" x14ac:dyDescent="0.3">
      <c r="J35219" s="33"/>
    </row>
    <row r="35220" spans="10:10" ht="15" customHeight="1" x14ac:dyDescent="0.3">
      <c r="J35220" s="33"/>
    </row>
    <row r="35221" spans="10:10" ht="15" customHeight="1" x14ac:dyDescent="0.3">
      <c r="J35221" s="33"/>
    </row>
    <row r="35222" spans="10:10" ht="15" customHeight="1" x14ac:dyDescent="0.3">
      <c r="J35222" s="33"/>
    </row>
    <row r="35223" spans="10:10" ht="15" customHeight="1" x14ac:dyDescent="0.3">
      <c r="J35223" s="33"/>
    </row>
    <row r="35224" spans="10:10" x14ac:dyDescent="0.3">
      <c r="J35224" s="33"/>
    </row>
    <row r="35225" spans="10:10" ht="15" customHeight="1" x14ac:dyDescent="0.3">
      <c r="J35225" s="33"/>
    </row>
    <row r="35226" spans="10:10" ht="15" customHeight="1" x14ac:dyDescent="0.3">
      <c r="J35226" s="33"/>
    </row>
    <row r="35227" spans="10:10" x14ac:dyDescent="0.3">
      <c r="J35227" s="33"/>
    </row>
    <row r="35228" spans="10:10" ht="15" customHeight="1" x14ac:dyDescent="0.3">
      <c r="J35228" s="33"/>
    </row>
    <row r="35229" spans="10:10" x14ac:dyDescent="0.3">
      <c r="J35229" s="33"/>
    </row>
    <row r="35230" spans="10:10" x14ac:dyDescent="0.3">
      <c r="J35230" s="33"/>
    </row>
    <row r="35231" spans="10:10" x14ac:dyDescent="0.3">
      <c r="J35231" s="33"/>
    </row>
    <row r="35232" spans="10:10" x14ac:dyDescent="0.3">
      <c r="J35232" s="33"/>
    </row>
    <row r="35233" spans="10:10" x14ac:dyDescent="0.3">
      <c r="J35233" s="33"/>
    </row>
    <row r="35234" spans="10:10" ht="15" customHeight="1" x14ac:dyDescent="0.3">
      <c r="J35234" s="33"/>
    </row>
    <row r="35235" spans="10:10" x14ac:dyDescent="0.3">
      <c r="J35235" s="33"/>
    </row>
    <row r="35236" spans="10:10" x14ac:dyDescent="0.3">
      <c r="J35236" s="33"/>
    </row>
    <row r="35237" spans="10:10" x14ac:dyDescent="0.3">
      <c r="J35237" s="33"/>
    </row>
    <row r="35238" spans="10:10" x14ac:dyDescent="0.3">
      <c r="J35238" s="33"/>
    </row>
    <row r="35239" spans="10:10" x14ac:dyDescent="0.3">
      <c r="J35239" s="33"/>
    </row>
    <row r="35240" spans="10:10" x14ac:dyDescent="0.3">
      <c r="J35240" s="33"/>
    </row>
    <row r="35241" spans="10:10" ht="15" customHeight="1" x14ac:dyDescent="0.3">
      <c r="J35241" s="33"/>
    </row>
    <row r="35242" spans="10:10" x14ac:dyDescent="0.3">
      <c r="J35242" s="33"/>
    </row>
    <row r="35243" spans="10:10" x14ac:dyDescent="0.3">
      <c r="J35243" s="33"/>
    </row>
    <row r="35244" spans="10:10" ht="15" customHeight="1" x14ac:dyDescent="0.3">
      <c r="J35244" s="33"/>
    </row>
    <row r="35245" spans="10:10" x14ac:dyDescent="0.3">
      <c r="J35245" s="33"/>
    </row>
    <row r="35246" spans="10:10" x14ac:dyDescent="0.3">
      <c r="J35246" s="33"/>
    </row>
    <row r="35247" spans="10:10" x14ac:dyDescent="0.3">
      <c r="J35247" s="33"/>
    </row>
    <row r="35248" spans="10:10" x14ac:dyDescent="0.3">
      <c r="J35248" s="33"/>
    </row>
    <row r="35249" spans="10:10" x14ac:dyDescent="0.3">
      <c r="J35249" s="33"/>
    </row>
    <row r="35250" spans="10:10" x14ac:dyDescent="0.3">
      <c r="J35250" s="33"/>
    </row>
    <row r="35251" spans="10:10" ht="15" customHeight="1" x14ac:dyDescent="0.3">
      <c r="J35251" s="33"/>
    </row>
    <row r="35252" spans="10:10" x14ac:dyDescent="0.3">
      <c r="J35252" s="33"/>
    </row>
    <row r="35253" spans="10:10" ht="15" customHeight="1" x14ac:dyDescent="0.3">
      <c r="J35253" s="33"/>
    </row>
    <row r="35254" spans="10:10" ht="15" customHeight="1" x14ac:dyDescent="0.3">
      <c r="J35254" s="33"/>
    </row>
    <row r="35255" spans="10:10" x14ac:dyDescent="0.3">
      <c r="J35255" s="33"/>
    </row>
    <row r="35256" spans="10:10" x14ac:dyDescent="0.3">
      <c r="J35256" s="33"/>
    </row>
    <row r="35257" spans="10:10" x14ac:dyDescent="0.3">
      <c r="J35257" s="33"/>
    </row>
    <row r="35258" spans="10:10" x14ac:dyDescent="0.3">
      <c r="J35258" s="33"/>
    </row>
    <row r="35259" spans="10:10" ht="15" customHeight="1" x14ac:dyDescent="0.3">
      <c r="J35259" s="33"/>
    </row>
    <row r="35260" spans="10:10" ht="15" customHeight="1" x14ac:dyDescent="0.3">
      <c r="J35260" s="33"/>
    </row>
    <row r="35261" spans="10:10" x14ac:dyDescent="0.3">
      <c r="J35261" s="33"/>
    </row>
    <row r="35262" spans="10:10" ht="15" customHeight="1" x14ac:dyDescent="0.3">
      <c r="J35262" s="33"/>
    </row>
    <row r="35263" spans="10:10" x14ac:dyDescent="0.3">
      <c r="J35263" s="33"/>
    </row>
    <row r="35264" spans="10:10" x14ac:dyDescent="0.3">
      <c r="J35264" s="33"/>
    </row>
    <row r="35265" spans="10:10" x14ac:dyDescent="0.3">
      <c r="J35265" s="33"/>
    </row>
    <row r="35266" spans="10:10" x14ac:dyDescent="0.3">
      <c r="J35266" s="33"/>
    </row>
    <row r="35267" spans="10:10" x14ac:dyDescent="0.3">
      <c r="J35267" s="33"/>
    </row>
    <row r="35268" spans="10:10" ht="15" customHeight="1" x14ac:dyDescent="0.3">
      <c r="J35268" s="33"/>
    </row>
    <row r="35269" spans="10:10" ht="15" customHeight="1" x14ac:dyDescent="0.3">
      <c r="J35269" s="33"/>
    </row>
    <row r="35270" spans="10:10" ht="15" customHeight="1" x14ac:dyDescent="0.3">
      <c r="J35270" s="33"/>
    </row>
    <row r="35271" spans="10:10" x14ac:dyDescent="0.3">
      <c r="J35271" s="33"/>
    </row>
    <row r="35272" spans="10:10" x14ac:dyDescent="0.3">
      <c r="J35272" s="33"/>
    </row>
    <row r="35273" spans="10:10" ht="15" customHeight="1" x14ac:dyDescent="0.3">
      <c r="J35273" s="33"/>
    </row>
    <row r="35274" spans="10:10" x14ac:dyDescent="0.3">
      <c r="J35274" s="33"/>
    </row>
    <row r="35275" spans="10:10" x14ac:dyDescent="0.3">
      <c r="J35275" s="33"/>
    </row>
    <row r="35276" spans="10:10" ht="15" customHeight="1" x14ac:dyDescent="0.3">
      <c r="J35276" s="33"/>
    </row>
    <row r="35277" spans="10:10" ht="15" customHeight="1" x14ac:dyDescent="0.3">
      <c r="J35277" s="33"/>
    </row>
    <row r="35278" spans="10:10" x14ac:dyDescent="0.3">
      <c r="J35278" s="33"/>
    </row>
    <row r="35279" spans="10:10" ht="15" customHeight="1" x14ac:dyDescent="0.3">
      <c r="J35279" s="33"/>
    </row>
    <row r="35280" spans="10:10" x14ac:dyDescent="0.3">
      <c r="J35280" s="33"/>
    </row>
    <row r="35281" spans="10:10" ht="15" customHeight="1" x14ac:dyDescent="0.3">
      <c r="J35281" s="33"/>
    </row>
    <row r="35282" spans="10:10" ht="15" customHeight="1" x14ac:dyDescent="0.3">
      <c r="J35282" s="33"/>
    </row>
    <row r="35283" spans="10:10" x14ac:dyDescent="0.3">
      <c r="J35283" s="33"/>
    </row>
    <row r="35284" spans="10:10" ht="15" customHeight="1" x14ac:dyDescent="0.3">
      <c r="J35284" s="33"/>
    </row>
    <row r="35285" spans="10:10" ht="15" customHeight="1" x14ac:dyDescent="0.3">
      <c r="J35285" s="33"/>
    </row>
    <row r="35286" spans="10:10" x14ac:dyDescent="0.3">
      <c r="J35286" s="33"/>
    </row>
    <row r="35287" spans="10:10" x14ac:dyDescent="0.3">
      <c r="J35287" s="33"/>
    </row>
    <row r="35288" spans="10:10" ht="15" customHeight="1" x14ac:dyDescent="0.3">
      <c r="J35288" s="33"/>
    </row>
    <row r="35289" spans="10:10" x14ac:dyDescent="0.3">
      <c r="J35289" s="33"/>
    </row>
    <row r="35290" spans="10:10" x14ac:dyDescent="0.3">
      <c r="J35290" s="33"/>
    </row>
    <row r="35291" spans="10:10" x14ac:dyDescent="0.3">
      <c r="J35291" s="33"/>
    </row>
    <row r="35292" spans="10:10" ht="15" customHeight="1" x14ac:dyDescent="0.3">
      <c r="J35292" s="33"/>
    </row>
    <row r="35293" spans="10:10" x14ac:dyDescent="0.3">
      <c r="J35293" s="33"/>
    </row>
    <row r="35294" spans="10:10" x14ac:dyDescent="0.3">
      <c r="J35294" s="33"/>
    </row>
    <row r="35295" spans="10:10" x14ac:dyDescent="0.3">
      <c r="J35295" s="33"/>
    </row>
    <row r="35296" spans="10:10" ht="15" customHeight="1" x14ac:dyDescent="0.3">
      <c r="J35296" s="33"/>
    </row>
    <row r="35297" spans="10:10" x14ac:dyDescent="0.3">
      <c r="J35297" s="33"/>
    </row>
    <row r="35298" spans="10:10" ht="15" customHeight="1" x14ac:dyDescent="0.3">
      <c r="J35298" s="33"/>
    </row>
    <row r="35299" spans="10:10" x14ac:dyDescent="0.3">
      <c r="J35299" s="33"/>
    </row>
    <row r="35300" spans="10:10" x14ac:dyDescent="0.3">
      <c r="J35300" s="33"/>
    </row>
    <row r="35301" spans="10:10" x14ac:dyDescent="0.3">
      <c r="J35301" s="33"/>
    </row>
    <row r="35302" spans="10:10" x14ac:dyDescent="0.3">
      <c r="J35302" s="33"/>
    </row>
    <row r="35303" spans="10:10" ht="15" customHeight="1" x14ac:dyDescent="0.3">
      <c r="J35303" s="33"/>
    </row>
    <row r="35304" spans="10:10" ht="15" customHeight="1" x14ac:dyDescent="0.3">
      <c r="J35304" s="33"/>
    </row>
    <row r="35305" spans="10:10" ht="15" customHeight="1" x14ac:dyDescent="0.3">
      <c r="J35305" s="33"/>
    </row>
    <row r="35306" spans="10:10" x14ac:dyDescent="0.3">
      <c r="J35306" s="33"/>
    </row>
    <row r="35307" spans="10:10" x14ac:dyDescent="0.3">
      <c r="J35307" s="33"/>
    </row>
    <row r="35308" spans="10:10" ht="15" customHeight="1" x14ac:dyDescent="0.3">
      <c r="J35308" s="33"/>
    </row>
    <row r="35309" spans="10:10" ht="15" customHeight="1" x14ac:dyDescent="0.3">
      <c r="J35309" s="33"/>
    </row>
    <row r="35310" spans="10:10" x14ac:dyDescent="0.3">
      <c r="J35310" s="33"/>
    </row>
    <row r="35311" spans="10:10" x14ac:dyDescent="0.3">
      <c r="J35311" s="33"/>
    </row>
    <row r="35312" spans="10:10" ht="15" customHeight="1" x14ac:dyDescent="0.3">
      <c r="J35312" s="33"/>
    </row>
    <row r="35313" spans="10:10" ht="15" customHeight="1" x14ac:dyDescent="0.3">
      <c r="J35313" s="33"/>
    </row>
    <row r="35314" spans="10:10" x14ac:dyDescent="0.3">
      <c r="J35314" s="33"/>
    </row>
    <row r="35315" spans="10:10" ht="15" customHeight="1" x14ac:dyDescent="0.3">
      <c r="J35315" s="33"/>
    </row>
    <row r="35316" spans="10:10" ht="15" customHeight="1" x14ac:dyDescent="0.3">
      <c r="J35316" s="33"/>
    </row>
    <row r="35317" spans="10:10" x14ac:dyDescent="0.3">
      <c r="J35317" s="33"/>
    </row>
    <row r="35318" spans="10:10" ht="15" customHeight="1" x14ac:dyDescent="0.3">
      <c r="J35318" s="33"/>
    </row>
    <row r="35319" spans="10:10" ht="15" customHeight="1" x14ac:dyDescent="0.3">
      <c r="J35319" s="33"/>
    </row>
    <row r="35320" spans="10:10" ht="15" customHeight="1" x14ac:dyDescent="0.3">
      <c r="J35320" s="33"/>
    </row>
    <row r="35321" spans="10:10" ht="15" customHeight="1" x14ac:dyDescent="0.3">
      <c r="J35321" s="33"/>
    </row>
    <row r="35322" spans="10:10" x14ac:dyDescent="0.3">
      <c r="J35322" s="33"/>
    </row>
    <row r="35323" spans="10:10" ht="15" customHeight="1" x14ac:dyDescent="0.3">
      <c r="J35323" s="33"/>
    </row>
    <row r="35324" spans="10:10" ht="15" customHeight="1" x14ac:dyDescent="0.3">
      <c r="J35324" s="33"/>
    </row>
    <row r="35325" spans="10:10" ht="15" customHeight="1" x14ac:dyDescent="0.3">
      <c r="J35325" s="33"/>
    </row>
    <row r="35326" spans="10:10" ht="15" customHeight="1" x14ac:dyDescent="0.3">
      <c r="J35326" s="33"/>
    </row>
    <row r="35327" spans="10:10" ht="15" customHeight="1" x14ac:dyDescent="0.3">
      <c r="J35327" s="33"/>
    </row>
    <row r="35328" spans="10:10" x14ac:dyDescent="0.3">
      <c r="J35328" s="33"/>
    </row>
    <row r="35329" spans="10:10" ht="15" customHeight="1" x14ac:dyDescent="0.3">
      <c r="J35329" s="33"/>
    </row>
    <row r="35330" spans="10:10" x14ac:dyDescent="0.3">
      <c r="J35330" s="33"/>
    </row>
    <row r="35331" spans="10:10" x14ac:dyDescent="0.3">
      <c r="J35331" s="33"/>
    </row>
    <row r="35332" spans="10:10" x14ac:dyDescent="0.3">
      <c r="J35332" s="33"/>
    </row>
    <row r="35333" spans="10:10" ht="15" customHeight="1" x14ac:dyDescent="0.3">
      <c r="J35333" s="33"/>
    </row>
    <row r="35334" spans="10:10" x14ac:dyDescent="0.3">
      <c r="J35334" s="33"/>
    </row>
    <row r="35335" spans="10:10" x14ac:dyDescent="0.3">
      <c r="J35335" s="33"/>
    </row>
    <row r="35336" spans="10:10" ht="15" customHeight="1" x14ac:dyDescent="0.3">
      <c r="J35336" s="33"/>
    </row>
    <row r="35337" spans="10:10" x14ac:dyDescent="0.3">
      <c r="J35337" s="33"/>
    </row>
    <row r="35338" spans="10:10" ht="15" customHeight="1" x14ac:dyDescent="0.3">
      <c r="J35338" s="33"/>
    </row>
    <row r="35339" spans="10:10" ht="15" customHeight="1" x14ac:dyDescent="0.3">
      <c r="J35339" s="33"/>
    </row>
    <row r="35340" spans="10:10" x14ac:dyDescent="0.3">
      <c r="J35340" s="33"/>
    </row>
    <row r="35341" spans="10:10" x14ac:dyDescent="0.3">
      <c r="J35341" s="33"/>
    </row>
    <row r="35342" spans="10:10" ht="15" customHeight="1" x14ac:dyDescent="0.3">
      <c r="J35342" s="33"/>
    </row>
    <row r="35343" spans="10:10" x14ac:dyDescent="0.3">
      <c r="J35343" s="33"/>
    </row>
    <row r="35344" spans="10:10" ht="15" customHeight="1" x14ac:dyDescent="0.3">
      <c r="J35344" s="33"/>
    </row>
    <row r="35345" spans="10:10" x14ac:dyDescent="0.3">
      <c r="J35345" s="33"/>
    </row>
    <row r="35346" spans="10:10" ht="15" customHeight="1" x14ac:dyDescent="0.3">
      <c r="J35346" s="33"/>
    </row>
    <row r="35347" spans="10:10" ht="15" customHeight="1" x14ac:dyDescent="0.3">
      <c r="J35347" s="33"/>
    </row>
    <row r="35348" spans="10:10" x14ac:dyDescent="0.3">
      <c r="J35348" s="33"/>
    </row>
    <row r="35349" spans="10:10" ht="15" customHeight="1" x14ac:dyDescent="0.3">
      <c r="J35349" s="33"/>
    </row>
    <row r="35350" spans="10:10" x14ac:dyDescent="0.3">
      <c r="J35350" s="33"/>
    </row>
    <row r="35351" spans="10:10" x14ac:dyDescent="0.3">
      <c r="J35351" s="33"/>
    </row>
    <row r="35352" spans="10:10" ht="15" customHeight="1" x14ac:dyDescent="0.3">
      <c r="J35352" s="33"/>
    </row>
    <row r="35353" spans="10:10" x14ac:dyDescent="0.3">
      <c r="J35353" s="33"/>
    </row>
    <row r="35354" spans="10:10" ht="15" customHeight="1" x14ac:dyDescent="0.3">
      <c r="J35354" s="33"/>
    </row>
    <row r="35355" spans="10:10" x14ac:dyDescent="0.3">
      <c r="J35355" s="33"/>
    </row>
    <row r="35356" spans="10:10" x14ac:dyDescent="0.3">
      <c r="J35356" s="33"/>
    </row>
    <row r="35357" spans="10:10" ht="15" customHeight="1" x14ac:dyDescent="0.3">
      <c r="J35357" s="33"/>
    </row>
    <row r="35358" spans="10:10" x14ac:dyDescent="0.3">
      <c r="J35358" s="33"/>
    </row>
    <row r="35359" spans="10:10" x14ac:dyDescent="0.3">
      <c r="J35359" s="33"/>
    </row>
    <row r="35360" spans="10:10" ht="15" customHeight="1" x14ac:dyDescent="0.3">
      <c r="J35360" s="33"/>
    </row>
    <row r="35361" spans="10:10" x14ac:dyDescent="0.3">
      <c r="J35361" s="33"/>
    </row>
    <row r="35362" spans="10:10" ht="15" customHeight="1" x14ac:dyDescent="0.3">
      <c r="J35362" s="33"/>
    </row>
    <row r="35363" spans="10:10" x14ac:dyDescent="0.3">
      <c r="J35363" s="33"/>
    </row>
    <row r="35364" spans="10:10" x14ac:dyDescent="0.3">
      <c r="J35364" s="33"/>
    </row>
    <row r="35365" spans="10:10" ht="15" customHeight="1" x14ac:dyDescent="0.3">
      <c r="J35365" s="33"/>
    </row>
    <row r="35366" spans="10:10" x14ac:dyDescent="0.3">
      <c r="J35366" s="33"/>
    </row>
    <row r="35367" spans="10:10" ht="15" customHeight="1" x14ac:dyDescent="0.3">
      <c r="J35367" s="33"/>
    </row>
    <row r="35368" spans="10:10" x14ac:dyDescent="0.3">
      <c r="J35368" s="33"/>
    </row>
    <row r="35369" spans="10:10" ht="15" customHeight="1" x14ac:dyDescent="0.3">
      <c r="J35369" s="33"/>
    </row>
    <row r="35370" spans="10:10" x14ac:dyDescent="0.3">
      <c r="J35370" s="33"/>
    </row>
    <row r="35371" spans="10:10" ht="15" customHeight="1" x14ac:dyDescent="0.3">
      <c r="J35371" s="33"/>
    </row>
    <row r="35372" spans="10:10" ht="15" customHeight="1" x14ac:dyDescent="0.3">
      <c r="J35372" s="33"/>
    </row>
    <row r="35373" spans="10:10" ht="15" customHeight="1" x14ac:dyDescent="0.3">
      <c r="J35373" s="33"/>
    </row>
    <row r="35374" spans="10:10" x14ac:dyDescent="0.3">
      <c r="J35374" s="33"/>
    </row>
    <row r="35375" spans="10:10" ht="15" customHeight="1" x14ac:dyDescent="0.3">
      <c r="J35375" s="33"/>
    </row>
    <row r="35376" spans="10:10" x14ac:dyDescent="0.3">
      <c r="J35376" s="33"/>
    </row>
    <row r="35377" spans="10:10" x14ac:dyDescent="0.3">
      <c r="J35377" s="33"/>
    </row>
    <row r="35378" spans="10:10" x14ac:dyDescent="0.3">
      <c r="J35378" s="33"/>
    </row>
    <row r="35379" spans="10:10" x14ac:dyDescent="0.3">
      <c r="J35379" s="33"/>
    </row>
    <row r="35380" spans="10:10" ht="15" customHeight="1" x14ac:dyDescent="0.3">
      <c r="J35380" s="33"/>
    </row>
    <row r="35381" spans="10:10" x14ac:dyDescent="0.3">
      <c r="J35381" s="33"/>
    </row>
    <row r="35382" spans="10:10" x14ac:dyDescent="0.3">
      <c r="J35382" s="33"/>
    </row>
    <row r="35383" spans="10:10" x14ac:dyDescent="0.3">
      <c r="J35383" s="33"/>
    </row>
    <row r="35384" spans="10:10" x14ac:dyDescent="0.3">
      <c r="J35384" s="33"/>
    </row>
    <row r="35385" spans="10:10" x14ac:dyDescent="0.3">
      <c r="J35385" s="33"/>
    </row>
    <row r="35386" spans="10:10" x14ac:dyDescent="0.3">
      <c r="J35386" s="33"/>
    </row>
    <row r="35387" spans="10:10" x14ac:dyDescent="0.3">
      <c r="J35387" s="33"/>
    </row>
    <row r="35388" spans="10:10" x14ac:dyDescent="0.3">
      <c r="J35388" s="33"/>
    </row>
    <row r="35389" spans="10:10" ht="15" customHeight="1" x14ac:dyDescent="0.3">
      <c r="J35389" s="33"/>
    </row>
    <row r="35390" spans="10:10" x14ac:dyDescent="0.3">
      <c r="J35390" s="33"/>
    </row>
    <row r="35391" spans="10:10" x14ac:dyDescent="0.3">
      <c r="J35391" s="33"/>
    </row>
    <row r="35392" spans="10:10" ht="15" customHeight="1" x14ac:dyDescent="0.3">
      <c r="J35392" s="33"/>
    </row>
    <row r="35393" spans="10:10" ht="15" customHeight="1" x14ac:dyDescent="0.3">
      <c r="J35393" s="33"/>
    </row>
    <row r="35394" spans="10:10" x14ac:dyDescent="0.3">
      <c r="J35394" s="33"/>
    </row>
    <row r="35395" spans="10:10" ht="15" customHeight="1" x14ac:dyDescent="0.3">
      <c r="J35395" s="33"/>
    </row>
    <row r="35396" spans="10:10" x14ac:dyDescent="0.3">
      <c r="J35396" s="33"/>
    </row>
    <row r="35397" spans="10:10" x14ac:dyDescent="0.3">
      <c r="J35397" s="33"/>
    </row>
    <row r="35398" spans="10:10" x14ac:dyDescent="0.3">
      <c r="J35398" s="33"/>
    </row>
    <row r="35399" spans="10:10" ht="15" customHeight="1" x14ac:dyDescent="0.3">
      <c r="J35399" s="33"/>
    </row>
    <row r="35400" spans="10:10" x14ac:dyDescent="0.3">
      <c r="J35400" s="33"/>
    </row>
    <row r="35401" spans="10:10" ht="15" customHeight="1" x14ac:dyDescent="0.3">
      <c r="J35401" s="33"/>
    </row>
    <row r="35402" spans="10:10" ht="15" customHeight="1" x14ac:dyDescent="0.3">
      <c r="J35402" s="33"/>
    </row>
    <row r="35403" spans="10:10" x14ac:dyDescent="0.3">
      <c r="J35403" s="33"/>
    </row>
    <row r="35404" spans="10:10" x14ac:dyDescent="0.3">
      <c r="J35404" s="33"/>
    </row>
    <row r="35405" spans="10:10" x14ac:dyDescent="0.3">
      <c r="J35405" s="33"/>
    </row>
    <row r="35406" spans="10:10" x14ac:dyDescent="0.3">
      <c r="J35406" s="33"/>
    </row>
    <row r="35407" spans="10:10" ht="15" customHeight="1" x14ac:dyDescent="0.3">
      <c r="J35407" s="33"/>
    </row>
    <row r="35408" spans="10:10" x14ac:dyDescent="0.3">
      <c r="J35408" s="33"/>
    </row>
    <row r="35409" spans="10:10" ht="15" customHeight="1" x14ac:dyDescent="0.3">
      <c r="J35409" s="33"/>
    </row>
    <row r="35410" spans="10:10" x14ac:dyDescent="0.3">
      <c r="J35410" s="33"/>
    </row>
    <row r="35411" spans="10:10" ht="15" customHeight="1" x14ac:dyDescent="0.3">
      <c r="J35411" s="33"/>
    </row>
    <row r="35412" spans="10:10" ht="15" customHeight="1" x14ac:dyDescent="0.3">
      <c r="J35412" s="33"/>
    </row>
    <row r="35413" spans="10:10" ht="15" customHeight="1" x14ac:dyDescent="0.3">
      <c r="J35413" s="33"/>
    </row>
    <row r="35414" spans="10:10" x14ac:dyDescent="0.3">
      <c r="J35414" s="33"/>
    </row>
    <row r="35415" spans="10:10" x14ac:dyDescent="0.3">
      <c r="J35415" s="33"/>
    </row>
    <row r="35416" spans="10:10" x14ac:dyDescent="0.3">
      <c r="J35416" s="33"/>
    </row>
    <row r="35417" spans="10:10" x14ac:dyDescent="0.3">
      <c r="J35417" s="33"/>
    </row>
    <row r="35418" spans="10:10" x14ac:dyDescent="0.3">
      <c r="J35418" s="33"/>
    </row>
    <row r="35419" spans="10:10" ht="15" customHeight="1" x14ac:dyDescent="0.3">
      <c r="J35419" s="33"/>
    </row>
    <row r="35420" spans="10:10" ht="15" customHeight="1" x14ac:dyDescent="0.3">
      <c r="J35420" s="33"/>
    </row>
    <row r="35421" spans="10:10" x14ac:dyDescent="0.3">
      <c r="J35421" s="33"/>
    </row>
    <row r="35422" spans="10:10" ht="15" customHeight="1" x14ac:dyDescent="0.3">
      <c r="J35422" s="33"/>
    </row>
    <row r="35423" spans="10:10" ht="15" customHeight="1" x14ac:dyDescent="0.3">
      <c r="J35423" s="33"/>
    </row>
    <row r="35424" spans="10:10" x14ac:dyDescent="0.3">
      <c r="J35424" s="33"/>
    </row>
    <row r="35425" spans="10:10" ht="15" customHeight="1" x14ac:dyDescent="0.3">
      <c r="J35425" s="33"/>
    </row>
    <row r="35426" spans="10:10" ht="15" customHeight="1" x14ac:dyDescent="0.3">
      <c r="J35426" s="33"/>
    </row>
    <row r="35427" spans="10:10" x14ac:dyDescent="0.3">
      <c r="J35427" s="33"/>
    </row>
    <row r="35428" spans="10:10" ht="15" customHeight="1" x14ac:dyDescent="0.3">
      <c r="J35428" s="33"/>
    </row>
    <row r="35429" spans="10:10" x14ac:dyDescent="0.3">
      <c r="J35429" s="33"/>
    </row>
    <row r="35430" spans="10:10" ht="15" customHeight="1" x14ac:dyDescent="0.3">
      <c r="J35430" s="33"/>
    </row>
    <row r="35431" spans="10:10" x14ac:dyDescent="0.3">
      <c r="J35431" s="33"/>
    </row>
    <row r="35432" spans="10:10" ht="15" customHeight="1" x14ac:dyDescent="0.3">
      <c r="J35432" s="33"/>
    </row>
    <row r="35433" spans="10:10" ht="15" customHeight="1" x14ac:dyDescent="0.3">
      <c r="J35433" s="33"/>
    </row>
    <row r="35434" spans="10:10" ht="15" customHeight="1" x14ac:dyDescent="0.3">
      <c r="J35434" s="33"/>
    </row>
    <row r="35435" spans="10:10" x14ac:dyDescent="0.3">
      <c r="J35435" s="33"/>
    </row>
    <row r="35436" spans="10:10" x14ac:dyDescent="0.3">
      <c r="J35436" s="33"/>
    </row>
    <row r="35437" spans="10:10" x14ac:dyDescent="0.3">
      <c r="J35437" s="33"/>
    </row>
    <row r="35438" spans="10:10" x14ac:dyDescent="0.3">
      <c r="J35438" s="33"/>
    </row>
    <row r="35439" spans="10:10" x14ac:dyDescent="0.3">
      <c r="J35439" s="33"/>
    </row>
    <row r="35440" spans="10:10" ht="15" customHeight="1" x14ac:dyDescent="0.3">
      <c r="J35440" s="33"/>
    </row>
    <row r="35441" spans="10:10" x14ac:dyDescent="0.3">
      <c r="J35441" s="33"/>
    </row>
    <row r="35442" spans="10:10" x14ac:dyDescent="0.3">
      <c r="J35442" s="33"/>
    </row>
    <row r="35443" spans="10:10" x14ac:dyDescent="0.3">
      <c r="J35443" s="33"/>
    </row>
    <row r="35444" spans="10:10" ht="15" customHeight="1" x14ac:dyDescent="0.3">
      <c r="J35444" s="33"/>
    </row>
    <row r="35445" spans="10:10" x14ac:dyDescent="0.3">
      <c r="J35445" s="33"/>
    </row>
    <row r="35446" spans="10:10" ht="15" customHeight="1" x14ac:dyDescent="0.3">
      <c r="J35446" s="33"/>
    </row>
    <row r="35447" spans="10:10" ht="15" customHeight="1" x14ac:dyDescent="0.3">
      <c r="J35447" s="33"/>
    </row>
    <row r="35448" spans="10:10" ht="15" customHeight="1" x14ac:dyDescent="0.3">
      <c r="J35448" s="33"/>
    </row>
    <row r="35449" spans="10:10" ht="15" customHeight="1" x14ac:dyDescent="0.3">
      <c r="J35449" s="33"/>
    </row>
    <row r="35450" spans="10:10" x14ac:dyDescent="0.3">
      <c r="J35450" s="33"/>
    </row>
    <row r="35451" spans="10:10" ht="15" customHeight="1" x14ac:dyDescent="0.3">
      <c r="J35451" s="33"/>
    </row>
    <row r="35452" spans="10:10" ht="15" customHeight="1" x14ac:dyDescent="0.3">
      <c r="J35452" s="33"/>
    </row>
    <row r="35453" spans="10:10" x14ac:dyDescent="0.3">
      <c r="J35453" s="33"/>
    </row>
    <row r="35454" spans="10:10" x14ac:dyDescent="0.3">
      <c r="J35454" s="33"/>
    </row>
    <row r="35455" spans="10:10" x14ac:dyDescent="0.3">
      <c r="J35455" s="33"/>
    </row>
    <row r="35456" spans="10:10" x14ac:dyDescent="0.3">
      <c r="J35456" s="33"/>
    </row>
    <row r="35457" spans="10:10" ht="15" customHeight="1" x14ac:dyDescent="0.3">
      <c r="J35457" s="33"/>
    </row>
    <row r="35458" spans="10:10" x14ac:dyDescent="0.3">
      <c r="J35458" s="33"/>
    </row>
    <row r="35459" spans="10:10" x14ac:dyDescent="0.3">
      <c r="J35459" s="33"/>
    </row>
    <row r="35460" spans="10:10" x14ac:dyDescent="0.3">
      <c r="J35460" s="33"/>
    </row>
    <row r="35461" spans="10:10" x14ac:dyDescent="0.3">
      <c r="J35461" s="33"/>
    </row>
    <row r="35462" spans="10:10" ht="15" customHeight="1" x14ac:dyDescent="0.3">
      <c r="J35462" s="33"/>
    </row>
    <row r="35463" spans="10:10" x14ac:dyDescent="0.3">
      <c r="J35463" s="33"/>
    </row>
    <row r="35464" spans="10:10" ht="15" customHeight="1" x14ac:dyDescent="0.3">
      <c r="J35464" s="33"/>
    </row>
    <row r="35465" spans="10:10" x14ac:dyDescent="0.3">
      <c r="J35465" s="33"/>
    </row>
    <row r="35466" spans="10:10" ht="15" customHeight="1" x14ac:dyDescent="0.3">
      <c r="J35466" s="33"/>
    </row>
    <row r="35467" spans="10:10" x14ac:dyDescent="0.3">
      <c r="J35467" s="33"/>
    </row>
    <row r="35468" spans="10:10" x14ac:dyDescent="0.3">
      <c r="J35468" s="33"/>
    </row>
    <row r="35469" spans="10:10" ht="15" customHeight="1" x14ac:dyDescent="0.3">
      <c r="J35469" s="33"/>
    </row>
    <row r="35470" spans="10:10" x14ac:dyDescent="0.3">
      <c r="J35470" s="33"/>
    </row>
    <row r="35471" spans="10:10" ht="15" customHeight="1" x14ac:dyDescent="0.3">
      <c r="J35471" s="33"/>
    </row>
    <row r="35472" spans="10:10" x14ac:dyDescent="0.3">
      <c r="J35472" s="33"/>
    </row>
    <row r="35473" spans="10:10" x14ac:dyDescent="0.3">
      <c r="J35473" s="33"/>
    </row>
    <row r="35474" spans="10:10" x14ac:dyDescent="0.3">
      <c r="J35474" s="33"/>
    </row>
    <row r="35475" spans="10:10" ht="15" customHeight="1" x14ac:dyDescent="0.3">
      <c r="J35475" s="33"/>
    </row>
    <row r="35476" spans="10:10" x14ac:dyDescent="0.3">
      <c r="J35476" s="33"/>
    </row>
    <row r="35477" spans="10:10" x14ac:dyDescent="0.3">
      <c r="J35477" s="33"/>
    </row>
    <row r="35478" spans="10:10" ht="15" customHeight="1" x14ac:dyDescent="0.3">
      <c r="J35478" s="33"/>
    </row>
    <row r="35479" spans="10:10" x14ac:dyDescent="0.3">
      <c r="J35479" s="33"/>
    </row>
    <row r="35480" spans="10:10" x14ac:dyDescent="0.3">
      <c r="J35480" s="33"/>
    </row>
    <row r="35481" spans="10:10" x14ac:dyDescent="0.3">
      <c r="J35481" s="33"/>
    </row>
    <row r="35482" spans="10:10" x14ac:dyDescent="0.3">
      <c r="J35482" s="33"/>
    </row>
    <row r="35483" spans="10:10" x14ac:dyDescent="0.3">
      <c r="J35483" s="33"/>
    </row>
    <row r="35484" spans="10:10" ht="15" customHeight="1" x14ac:dyDescent="0.3">
      <c r="J35484" s="33"/>
    </row>
    <row r="35485" spans="10:10" ht="15" customHeight="1" x14ac:dyDescent="0.3">
      <c r="J35485" s="33"/>
    </row>
    <row r="35486" spans="10:10" x14ac:dyDescent="0.3">
      <c r="J35486" s="33"/>
    </row>
    <row r="35487" spans="10:10" ht="15" customHeight="1" x14ac:dyDescent="0.3">
      <c r="J35487" s="33"/>
    </row>
    <row r="35488" spans="10:10" x14ac:dyDescent="0.3">
      <c r="J35488" s="33"/>
    </row>
    <row r="35489" spans="10:10" ht="15" customHeight="1" x14ac:dyDescent="0.3">
      <c r="J35489" s="33"/>
    </row>
    <row r="35490" spans="10:10" ht="15" customHeight="1" x14ac:dyDescent="0.3">
      <c r="J35490" s="33"/>
    </row>
    <row r="35491" spans="10:10" ht="15" customHeight="1" x14ac:dyDescent="0.3">
      <c r="J35491" s="33"/>
    </row>
    <row r="35492" spans="10:10" ht="15" customHeight="1" x14ac:dyDescent="0.3">
      <c r="J35492" s="33"/>
    </row>
    <row r="35493" spans="10:10" ht="15" customHeight="1" x14ac:dyDescent="0.3">
      <c r="J35493" s="33"/>
    </row>
    <row r="35494" spans="10:10" ht="15" customHeight="1" x14ac:dyDescent="0.3">
      <c r="J35494" s="33"/>
    </row>
    <row r="35495" spans="10:10" ht="15" customHeight="1" x14ac:dyDescent="0.3">
      <c r="J35495" s="33"/>
    </row>
    <row r="35496" spans="10:10" ht="15" customHeight="1" x14ac:dyDescent="0.3">
      <c r="J35496" s="33"/>
    </row>
    <row r="35497" spans="10:10" x14ac:dyDescent="0.3">
      <c r="J35497" s="33"/>
    </row>
    <row r="35498" spans="10:10" ht="15" customHeight="1" x14ac:dyDescent="0.3">
      <c r="J35498" s="33"/>
    </row>
    <row r="35499" spans="10:10" x14ac:dyDescent="0.3">
      <c r="J35499" s="33"/>
    </row>
    <row r="35500" spans="10:10" ht="15" customHeight="1" x14ac:dyDescent="0.3">
      <c r="J35500" s="33"/>
    </row>
    <row r="35501" spans="10:10" x14ac:dyDescent="0.3">
      <c r="J35501" s="33"/>
    </row>
    <row r="35502" spans="10:10" x14ac:dyDescent="0.3">
      <c r="J35502" s="33"/>
    </row>
    <row r="35503" spans="10:10" x14ac:dyDescent="0.3">
      <c r="J35503" s="33"/>
    </row>
    <row r="35504" spans="10:10" x14ac:dyDescent="0.3">
      <c r="J35504" s="33"/>
    </row>
    <row r="35505" spans="10:10" x14ac:dyDescent="0.3">
      <c r="J35505" s="33"/>
    </row>
    <row r="35506" spans="10:10" ht="15" customHeight="1" x14ac:dyDescent="0.3">
      <c r="J35506" s="33"/>
    </row>
    <row r="35507" spans="10:10" x14ac:dyDescent="0.3">
      <c r="J35507" s="33"/>
    </row>
    <row r="35508" spans="10:10" ht="15" customHeight="1" x14ac:dyDescent="0.3">
      <c r="J35508" s="33"/>
    </row>
    <row r="35509" spans="10:10" x14ac:dyDescent="0.3">
      <c r="J35509" s="33"/>
    </row>
    <row r="35510" spans="10:10" ht="15" customHeight="1" x14ac:dyDescent="0.3">
      <c r="J35510" s="33"/>
    </row>
    <row r="35511" spans="10:10" x14ac:dyDescent="0.3">
      <c r="J35511" s="33"/>
    </row>
    <row r="35512" spans="10:10" x14ac:dyDescent="0.3">
      <c r="J35512" s="33"/>
    </row>
    <row r="35513" spans="10:10" x14ac:dyDescent="0.3">
      <c r="J35513" s="33"/>
    </row>
    <row r="35514" spans="10:10" x14ac:dyDescent="0.3">
      <c r="J35514" s="33"/>
    </row>
    <row r="35515" spans="10:10" ht="15" customHeight="1" x14ac:dyDescent="0.3">
      <c r="J35515" s="33"/>
    </row>
    <row r="35516" spans="10:10" ht="15" customHeight="1" x14ac:dyDescent="0.3">
      <c r="J35516" s="33"/>
    </row>
    <row r="35517" spans="10:10" x14ac:dyDescent="0.3">
      <c r="J35517" s="33"/>
    </row>
    <row r="35518" spans="10:10" x14ac:dyDescent="0.3">
      <c r="J35518" s="33"/>
    </row>
    <row r="35519" spans="10:10" ht="15" customHeight="1" x14ac:dyDescent="0.3">
      <c r="J35519" s="33"/>
    </row>
    <row r="35520" spans="10:10" ht="15" customHeight="1" x14ac:dyDescent="0.3">
      <c r="J35520" s="33"/>
    </row>
    <row r="35521" spans="10:10" x14ac:dyDescent="0.3">
      <c r="J35521" s="33"/>
    </row>
    <row r="35522" spans="10:10" x14ac:dyDescent="0.3">
      <c r="J35522" s="33"/>
    </row>
    <row r="35523" spans="10:10" x14ac:dyDescent="0.3">
      <c r="J35523" s="33"/>
    </row>
    <row r="35524" spans="10:10" x14ac:dyDescent="0.3">
      <c r="J35524" s="33"/>
    </row>
    <row r="35525" spans="10:10" x14ac:dyDescent="0.3">
      <c r="J35525" s="33"/>
    </row>
    <row r="35526" spans="10:10" ht="15" customHeight="1" x14ac:dyDescent="0.3">
      <c r="J35526" s="33"/>
    </row>
    <row r="35527" spans="10:10" x14ac:dyDescent="0.3">
      <c r="J35527" s="33"/>
    </row>
    <row r="35528" spans="10:10" x14ac:dyDescent="0.3">
      <c r="J35528" s="33"/>
    </row>
    <row r="35529" spans="10:10" x14ac:dyDescent="0.3">
      <c r="J35529" s="33"/>
    </row>
    <row r="35530" spans="10:10" x14ac:dyDescent="0.3">
      <c r="J35530" s="33"/>
    </row>
    <row r="35531" spans="10:10" ht="15" customHeight="1" x14ac:dyDescent="0.3">
      <c r="J35531" s="33"/>
    </row>
    <row r="35532" spans="10:10" x14ac:dyDescent="0.3">
      <c r="J35532" s="33"/>
    </row>
    <row r="35533" spans="10:10" x14ac:dyDescent="0.3">
      <c r="J35533" s="33"/>
    </row>
    <row r="35534" spans="10:10" x14ac:dyDescent="0.3">
      <c r="J35534" s="33"/>
    </row>
    <row r="35535" spans="10:10" x14ac:dyDescent="0.3">
      <c r="J35535" s="33"/>
    </row>
    <row r="35536" spans="10:10" x14ac:dyDescent="0.3">
      <c r="J35536" s="33"/>
    </row>
    <row r="35537" spans="10:10" ht="15" customHeight="1" x14ac:dyDescent="0.3">
      <c r="J35537" s="33"/>
    </row>
    <row r="35538" spans="10:10" x14ac:dyDescent="0.3">
      <c r="J35538" s="33"/>
    </row>
    <row r="35539" spans="10:10" ht="15" customHeight="1" x14ac:dyDescent="0.3">
      <c r="J35539" s="33"/>
    </row>
    <row r="35540" spans="10:10" ht="15" customHeight="1" x14ac:dyDescent="0.3">
      <c r="J35540" s="33"/>
    </row>
    <row r="35541" spans="10:10" x14ac:dyDescent="0.3">
      <c r="J35541" s="33"/>
    </row>
    <row r="35542" spans="10:10" ht="15" customHeight="1" x14ac:dyDescent="0.3">
      <c r="J35542" s="33"/>
    </row>
    <row r="35543" spans="10:10" x14ac:dyDescent="0.3">
      <c r="J35543" s="33"/>
    </row>
    <row r="35544" spans="10:10" x14ac:dyDescent="0.3">
      <c r="J35544" s="33"/>
    </row>
    <row r="35545" spans="10:10" x14ac:dyDescent="0.3">
      <c r="J35545" s="33"/>
    </row>
    <row r="35546" spans="10:10" ht="15" customHeight="1" x14ac:dyDescent="0.3">
      <c r="J35546" s="33"/>
    </row>
    <row r="35547" spans="10:10" ht="15" customHeight="1" x14ac:dyDescent="0.3">
      <c r="J35547" s="33"/>
    </row>
    <row r="35548" spans="10:10" x14ac:dyDescent="0.3">
      <c r="J35548" s="33"/>
    </row>
    <row r="35549" spans="10:10" ht="15" customHeight="1" x14ac:dyDescent="0.3">
      <c r="J35549" s="33"/>
    </row>
    <row r="35550" spans="10:10" x14ac:dyDescent="0.3">
      <c r="J35550" s="33"/>
    </row>
    <row r="35551" spans="10:10" ht="15" customHeight="1" x14ac:dyDescent="0.3">
      <c r="J35551" s="33"/>
    </row>
    <row r="35552" spans="10:10" x14ac:dyDescent="0.3">
      <c r="J35552" s="33"/>
    </row>
    <row r="35553" spans="10:10" ht="15" customHeight="1" x14ac:dyDescent="0.3">
      <c r="J35553" s="33"/>
    </row>
    <row r="35554" spans="10:10" ht="15" customHeight="1" x14ac:dyDescent="0.3">
      <c r="J35554" s="33"/>
    </row>
    <row r="35555" spans="10:10" ht="15" customHeight="1" x14ac:dyDescent="0.3">
      <c r="J35555" s="33"/>
    </row>
    <row r="35556" spans="10:10" x14ac:dyDescent="0.3">
      <c r="J35556" s="33"/>
    </row>
    <row r="35557" spans="10:10" ht="15" customHeight="1" x14ac:dyDescent="0.3">
      <c r="J35557" s="33"/>
    </row>
    <row r="35558" spans="10:10" ht="15" customHeight="1" x14ac:dyDescent="0.3">
      <c r="J35558" s="33"/>
    </row>
    <row r="35559" spans="10:10" x14ac:dyDescent="0.3">
      <c r="J35559" s="33"/>
    </row>
    <row r="35560" spans="10:10" ht="15" customHeight="1" x14ac:dyDescent="0.3">
      <c r="J35560" s="33"/>
    </row>
    <row r="35561" spans="10:10" x14ac:dyDescent="0.3">
      <c r="J35561" s="33"/>
    </row>
    <row r="35562" spans="10:10" x14ac:dyDescent="0.3">
      <c r="J35562" s="33"/>
    </row>
    <row r="35563" spans="10:10" ht="15" customHeight="1" x14ac:dyDescent="0.3">
      <c r="J35563" s="33"/>
    </row>
    <row r="35564" spans="10:10" ht="15" customHeight="1" x14ac:dyDescent="0.3">
      <c r="J35564" s="33"/>
    </row>
    <row r="35565" spans="10:10" ht="15" customHeight="1" x14ac:dyDescent="0.3">
      <c r="J35565" s="33"/>
    </row>
    <row r="35566" spans="10:10" ht="15" customHeight="1" x14ac:dyDescent="0.3">
      <c r="J35566" s="33"/>
    </row>
    <row r="35567" spans="10:10" x14ac:dyDescent="0.3">
      <c r="J35567" s="33"/>
    </row>
    <row r="35568" spans="10:10" ht="15" customHeight="1" x14ac:dyDescent="0.3">
      <c r="J35568" s="33"/>
    </row>
    <row r="35569" spans="10:10" ht="15" customHeight="1" x14ac:dyDescent="0.3">
      <c r="J35569" s="33"/>
    </row>
    <row r="35570" spans="10:10" ht="15" customHeight="1" x14ac:dyDescent="0.3">
      <c r="J35570" s="33"/>
    </row>
    <row r="35571" spans="10:10" x14ac:dyDescent="0.3">
      <c r="J35571" s="33"/>
    </row>
    <row r="35572" spans="10:10" x14ac:dyDescent="0.3">
      <c r="J35572" s="33"/>
    </row>
    <row r="35573" spans="10:10" x14ac:dyDescent="0.3">
      <c r="J35573" s="33"/>
    </row>
    <row r="35574" spans="10:10" x14ac:dyDescent="0.3">
      <c r="J35574" s="33"/>
    </row>
    <row r="35575" spans="10:10" x14ac:dyDescent="0.3">
      <c r="J35575" s="33"/>
    </row>
    <row r="35576" spans="10:10" ht="15" customHeight="1" x14ac:dyDescent="0.3">
      <c r="J35576" s="33"/>
    </row>
    <row r="35577" spans="10:10" x14ac:dyDescent="0.3">
      <c r="J35577" s="33"/>
    </row>
    <row r="35578" spans="10:10" x14ac:dyDescent="0.3">
      <c r="J35578" s="33"/>
    </row>
    <row r="35579" spans="10:10" ht="15" customHeight="1" x14ac:dyDescent="0.3">
      <c r="J35579" s="33"/>
    </row>
    <row r="35580" spans="10:10" x14ac:dyDescent="0.3">
      <c r="J35580" s="33"/>
    </row>
    <row r="35581" spans="10:10" ht="15" customHeight="1" x14ac:dyDescent="0.3">
      <c r="J35581" s="33"/>
    </row>
    <row r="35582" spans="10:10" x14ac:dyDescent="0.3">
      <c r="J35582" s="33"/>
    </row>
    <row r="35583" spans="10:10" x14ac:dyDescent="0.3">
      <c r="J35583" s="33"/>
    </row>
    <row r="35584" spans="10:10" x14ac:dyDescent="0.3">
      <c r="J35584" s="33"/>
    </row>
    <row r="35585" spans="10:10" x14ac:dyDescent="0.3">
      <c r="J35585" s="33"/>
    </row>
    <row r="35586" spans="10:10" x14ac:dyDescent="0.3">
      <c r="J35586" s="33"/>
    </row>
    <row r="35587" spans="10:10" x14ac:dyDescent="0.3">
      <c r="J35587" s="33"/>
    </row>
    <row r="35588" spans="10:10" ht="15" customHeight="1" x14ac:dyDescent="0.3">
      <c r="J35588" s="33"/>
    </row>
    <row r="35589" spans="10:10" x14ac:dyDescent="0.3">
      <c r="J35589" s="33"/>
    </row>
    <row r="35590" spans="10:10" ht="15" customHeight="1" x14ac:dyDescent="0.3">
      <c r="J35590" s="33"/>
    </row>
    <row r="35591" spans="10:10" ht="15" customHeight="1" x14ac:dyDescent="0.3">
      <c r="J35591" s="33"/>
    </row>
    <row r="35592" spans="10:10" x14ac:dyDescent="0.3">
      <c r="J35592" s="33"/>
    </row>
    <row r="35593" spans="10:10" x14ac:dyDescent="0.3">
      <c r="J35593" s="33"/>
    </row>
    <row r="35594" spans="10:10" ht="15" customHeight="1" x14ac:dyDescent="0.3">
      <c r="J35594" s="33"/>
    </row>
    <row r="35595" spans="10:10" ht="15" customHeight="1" x14ac:dyDescent="0.3">
      <c r="J35595" s="33"/>
    </row>
    <row r="35596" spans="10:10" ht="15" customHeight="1" x14ac:dyDescent="0.3">
      <c r="J35596" s="33"/>
    </row>
    <row r="35597" spans="10:10" ht="15" customHeight="1" x14ac:dyDescent="0.3">
      <c r="J35597" s="33"/>
    </row>
    <row r="35598" spans="10:10" ht="15" customHeight="1" x14ac:dyDescent="0.3">
      <c r="J35598" s="33"/>
    </row>
    <row r="35599" spans="10:10" x14ac:dyDescent="0.3">
      <c r="J35599" s="33"/>
    </row>
    <row r="35600" spans="10:10" ht="15" customHeight="1" x14ac:dyDescent="0.3">
      <c r="J35600" s="33"/>
    </row>
    <row r="35601" spans="10:10" x14ac:dyDescent="0.3">
      <c r="J35601" s="33"/>
    </row>
    <row r="35602" spans="10:10" x14ac:dyDescent="0.3">
      <c r="J35602" s="33"/>
    </row>
    <row r="35603" spans="10:10" x14ac:dyDescent="0.3">
      <c r="J35603" s="33"/>
    </row>
    <row r="35604" spans="10:10" ht="15" customHeight="1" x14ac:dyDescent="0.3">
      <c r="J35604" s="33"/>
    </row>
    <row r="35605" spans="10:10" ht="15" customHeight="1" x14ac:dyDescent="0.3">
      <c r="J35605" s="33"/>
    </row>
    <row r="35606" spans="10:10" ht="15" customHeight="1" x14ac:dyDescent="0.3">
      <c r="J35606" s="33"/>
    </row>
    <row r="35607" spans="10:10" x14ac:dyDescent="0.3">
      <c r="J35607" s="33"/>
    </row>
    <row r="35608" spans="10:10" x14ac:dyDescent="0.3">
      <c r="J35608" s="33"/>
    </row>
    <row r="35609" spans="10:10" ht="15" customHeight="1" x14ac:dyDescent="0.3">
      <c r="J35609" s="33"/>
    </row>
    <row r="35610" spans="10:10" ht="15" customHeight="1" x14ac:dyDescent="0.3">
      <c r="J35610" s="33"/>
    </row>
    <row r="35611" spans="10:10" x14ac:dyDescent="0.3">
      <c r="J35611" s="33"/>
    </row>
    <row r="35612" spans="10:10" ht="15" customHeight="1" x14ac:dyDescent="0.3">
      <c r="J35612" s="33"/>
    </row>
    <row r="35613" spans="10:10" x14ac:dyDescent="0.3">
      <c r="J35613" s="33"/>
    </row>
    <row r="35614" spans="10:10" ht="15" customHeight="1" x14ac:dyDescent="0.3">
      <c r="J35614" s="33"/>
    </row>
    <row r="35615" spans="10:10" ht="15" customHeight="1" x14ac:dyDescent="0.3">
      <c r="J35615" s="33"/>
    </row>
    <row r="35616" spans="10:10" ht="15" customHeight="1" x14ac:dyDescent="0.3">
      <c r="J35616" s="33"/>
    </row>
    <row r="35617" spans="10:10" x14ac:dyDescent="0.3">
      <c r="J35617" s="33"/>
    </row>
    <row r="35618" spans="10:10" x14ac:dyDescent="0.3">
      <c r="J35618" s="33"/>
    </row>
    <row r="35619" spans="10:10" ht="15" customHeight="1" x14ac:dyDescent="0.3">
      <c r="J35619" s="33"/>
    </row>
    <row r="35620" spans="10:10" x14ac:dyDescent="0.3">
      <c r="J35620" s="33"/>
    </row>
    <row r="35621" spans="10:10" ht="15" customHeight="1" x14ac:dyDescent="0.3">
      <c r="J35621" s="33"/>
    </row>
    <row r="35622" spans="10:10" x14ac:dyDescent="0.3">
      <c r="J35622" s="33"/>
    </row>
    <row r="35623" spans="10:10" x14ac:dyDescent="0.3">
      <c r="J35623" s="33"/>
    </row>
    <row r="35624" spans="10:10" ht="15" customHeight="1" x14ac:dyDescent="0.3">
      <c r="J35624" s="33"/>
    </row>
    <row r="35625" spans="10:10" x14ac:dyDescent="0.3">
      <c r="J35625" s="33"/>
    </row>
    <row r="35626" spans="10:10" ht="15" customHeight="1" x14ac:dyDescent="0.3">
      <c r="J35626" s="33"/>
    </row>
    <row r="35627" spans="10:10" x14ac:dyDescent="0.3">
      <c r="J35627" s="33"/>
    </row>
    <row r="35628" spans="10:10" ht="15" customHeight="1" x14ac:dyDescent="0.3">
      <c r="J35628" s="33"/>
    </row>
    <row r="35629" spans="10:10" x14ac:dyDescent="0.3">
      <c r="J35629" s="33"/>
    </row>
    <row r="35630" spans="10:10" ht="15" customHeight="1" x14ac:dyDescent="0.3">
      <c r="J35630" s="33"/>
    </row>
    <row r="35631" spans="10:10" x14ac:dyDescent="0.3">
      <c r="J35631" s="33"/>
    </row>
    <row r="35632" spans="10:10" x14ac:dyDescent="0.3">
      <c r="J35632" s="33"/>
    </row>
    <row r="35633" spans="10:10" x14ac:dyDescent="0.3">
      <c r="J35633" s="33"/>
    </row>
    <row r="35634" spans="10:10" x14ac:dyDescent="0.3">
      <c r="J35634" s="33"/>
    </row>
    <row r="35635" spans="10:10" ht="15" customHeight="1" x14ac:dyDescent="0.3">
      <c r="J35635" s="33"/>
    </row>
    <row r="35636" spans="10:10" ht="15" customHeight="1" x14ac:dyDescent="0.3">
      <c r="J35636" s="33"/>
    </row>
    <row r="35637" spans="10:10" ht="15" customHeight="1" x14ac:dyDescent="0.3">
      <c r="J35637" s="33"/>
    </row>
    <row r="35638" spans="10:10" x14ac:dyDescent="0.3">
      <c r="J35638" s="33"/>
    </row>
    <row r="35639" spans="10:10" ht="15" customHeight="1" x14ac:dyDescent="0.3">
      <c r="J35639" s="33"/>
    </row>
    <row r="35640" spans="10:10" ht="15" customHeight="1" x14ac:dyDescent="0.3">
      <c r="J35640" s="33"/>
    </row>
    <row r="35641" spans="10:10" ht="15" customHeight="1" x14ac:dyDescent="0.3">
      <c r="J35641" s="33"/>
    </row>
    <row r="35642" spans="10:10" x14ac:dyDescent="0.3">
      <c r="J35642" s="33"/>
    </row>
    <row r="35643" spans="10:10" x14ac:dyDescent="0.3">
      <c r="J35643" s="33"/>
    </row>
    <row r="35644" spans="10:10" x14ac:dyDescent="0.3">
      <c r="J35644" s="33"/>
    </row>
    <row r="35645" spans="10:10" ht="15" customHeight="1" x14ac:dyDescent="0.3">
      <c r="J35645" s="33"/>
    </row>
    <row r="35646" spans="10:10" ht="15" customHeight="1" x14ac:dyDescent="0.3">
      <c r="J35646" s="33"/>
    </row>
    <row r="35647" spans="10:10" x14ac:dyDescent="0.3">
      <c r="J35647" s="33"/>
    </row>
    <row r="35648" spans="10:10" ht="15" customHeight="1" x14ac:dyDescent="0.3">
      <c r="J35648" s="33"/>
    </row>
    <row r="35649" spans="10:10" x14ac:dyDescent="0.3">
      <c r="J35649" s="33"/>
    </row>
    <row r="35650" spans="10:10" x14ac:dyDescent="0.3">
      <c r="J35650" s="33"/>
    </row>
    <row r="35651" spans="10:10" ht="15" customHeight="1" x14ac:dyDescent="0.3">
      <c r="J35651" s="33"/>
    </row>
    <row r="35652" spans="10:10" ht="15" customHeight="1" x14ac:dyDescent="0.3">
      <c r="J35652" s="33"/>
    </row>
    <row r="35653" spans="10:10" x14ac:dyDescent="0.3">
      <c r="J35653" s="33"/>
    </row>
    <row r="35654" spans="10:10" ht="15" customHeight="1" x14ac:dyDescent="0.3">
      <c r="J35654" s="33"/>
    </row>
    <row r="35655" spans="10:10" x14ac:dyDescent="0.3">
      <c r="J35655" s="33"/>
    </row>
    <row r="35656" spans="10:10" ht="15" customHeight="1" x14ac:dyDescent="0.3">
      <c r="J35656" s="33"/>
    </row>
    <row r="35657" spans="10:10" x14ac:dyDescent="0.3">
      <c r="J35657" s="33"/>
    </row>
    <row r="35658" spans="10:10" ht="15" customHeight="1" x14ac:dyDescent="0.3">
      <c r="J35658" s="33"/>
    </row>
    <row r="35659" spans="10:10" ht="15" customHeight="1" x14ac:dyDescent="0.3">
      <c r="J35659" s="33"/>
    </row>
    <row r="35660" spans="10:10" ht="15" customHeight="1" x14ac:dyDescent="0.3">
      <c r="J35660" s="33"/>
    </row>
    <row r="35661" spans="10:10" ht="15" customHeight="1" x14ac:dyDescent="0.3">
      <c r="J35661" s="33"/>
    </row>
    <row r="35662" spans="10:10" x14ac:dyDescent="0.3">
      <c r="J35662" s="33"/>
    </row>
    <row r="35663" spans="10:10" ht="15" customHeight="1" x14ac:dyDescent="0.3">
      <c r="J35663" s="33"/>
    </row>
    <row r="35664" spans="10:10" x14ac:dyDescent="0.3">
      <c r="J35664" s="33"/>
    </row>
    <row r="35665" spans="10:10" ht="15" customHeight="1" x14ac:dyDescent="0.3">
      <c r="J35665" s="33"/>
    </row>
    <row r="35666" spans="10:10" ht="15" customHeight="1" x14ac:dyDescent="0.3">
      <c r="J35666" s="33"/>
    </row>
    <row r="35667" spans="10:10" ht="15" customHeight="1" x14ac:dyDescent="0.3">
      <c r="J35667" s="33"/>
    </row>
    <row r="35668" spans="10:10" ht="15" customHeight="1" x14ac:dyDescent="0.3">
      <c r="J35668" s="33"/>
    </row>
    <row r="35669" spans="10:10" ht="15" customHeight="1" x14ac:dyDescent="0.3">
      <c r="J35669" s="33"/>
    </row>
    <row r="35670" spans="10:10" x14ac:dyDescent="0.3">
      <c r="J35670" s="33"/>
    </row>
    <row r="35671" spans="10:10" ht="15" customHeight="1" x14ac:dyDescent="0.3">
      <c r="J35671" s="33"/>
    </row>
    <row r="35672" spans="10:10" ht="15" customHeight="1" x14ac:dyDescent="0.3">
      <c r="J35672" s="33"/>
    </row>
    <row r="35673" spans="10:10" x14ac:dyDescent="0.3">
      <c r="J35673" s="33"/>
    </row>
    <row r="35674" spans="10:10" x14ac:dyDescent="0.3">
      <c r="J35674" s="33"/>
    </row>
    <row r="35675" spans="10:10" ht="15" customHeight="1" x14ac:dyDescent="0.3">
      <c r="J35675" s="33"/>
    </row>
    <row r="35676" spans="10:10" ht="15" customHeight="1" x14ac:dyDescent="0.3">
      <c r="J35676" s="33"/>
    </row>
    <row r="35677" spans="10:10" ht="15" customHeight="1" x14ac:dyDescent="0.3">
      <c r="J35677" s="33"/>
    </row>
    <row r="35678" spans="10:10" ht="15" customHeight="1" x14ac:dyDescent="0.3">
      <c r="J35678" s="33"/>
    </row>
    <row r="35679" spans="10:10" x14ac:dyDescent="0.3">
      <c r="J35679" s="33"/>
    </row>
    <row r="35680" spans="10:10" ht="15" customHeight="1" x14ac:dyDescent="0.3">
      <c r="J35680" s="33"/>
    </row>
    <row r="35681" spans="10:10" ht="15" customHeight="1" x14ac:dyDescent="0.3">
      <c r="J35681" s="33"/>
    </row>
    <row r="35682" spans="10:10" x14ac:dyDescent="0.3">
      <c r="J35682" s="33"/>
    </row>
    <row r="35683" spans="10:10" x14ac:dyDescent="0.3">
      <c r="J35683" s="33"/>
    </row>
    <row r="35684" spans="10:10" x14ac:dyDescent="0.3">
      <c r="J35684" s="33"/>
    </row>
    <row r="35685" spans="10:10" ht="15" customHeight="1" x14ac:dyDescent="0.3">
      <c r="J35685" s="33"/>
    </row>
    <row r="35686" spans="10:10" ht="15" customHeight="1" x14ac:dyDescent="0.3">
      <c r="J35686" s="33"/>
    </row>
    <row r="35687" spans="10:10" ht="15" customHeight="1" x14ac:dyDescent="0.3">
      <c r="J35687" s="33"/>
    </row>
    <row r="35688" spans="10:10" ht="15" customHeight="1" x14ac:dyDescent="0.3">
      <c r="J35688" s="33"/>
    </row>
    <row r="35689" spans="10:10" ht="15" customHeight="1" x14ac:dyDescent="0.3">
      <c r="J35689" s="33"/>
    </row>
    <row r="35690" spans="10:10" x14ac:dyDescent="0.3">
      <c r="J35690" s="33"/>
    </row>
    <row r="35691" spans="10:10" ht="15" customHeight="1" x14ac:dyDescent="0.3">
      <c r="J35691" s="33"/>
    </row>
    <row r="35692" spans="10:10" ht="15" customHeight="1" x14ac:dyDescent="0.3">
      <c r="J35692" s="33"/>
    </row>
    <row r="35693" spans="10:10" x14ac:dyDescent="0.3">
      <c r="J35693" s="33"/>
    </row>
    <row r="35694" spans="10:10" x14ac:dyDescent="0.3">
      <c r="J35694" s="33"/>
    </row>
    <row r="35695" spans="10:10" ht="15" customHeight="1" x14ac:dyDescent="0.3">
      <c r="J35695" s="33"/>
    </row>
    <row r="35696" spans="10:10" ht="15" customHeight="1" x14ac:dyDescent="0.3">
      <c r="J35696" s="33"/>
    </row>
    <row r="35697" spans="10:10" ht="15" customHeight="1" x14ac:dyDescent="0.3">
      <c r="J35697" s="33"/>
    </row>
    <row r="35698" spans="10:10" x14ac:dyDescent="0.3">
      <c r="J35698" s="33"/>
    </row>
    <row r="35699" spans="10:10" x14ac:dyDescent="0.3">
      <c r="J35699" s="33"/>
    </row>
    <row r="35700" spans="10:10" ht="15" customHeight="1" x14ac:dyDescent="0.3">
      <c r="J35700" s="33"/>
    </row>
    <row r="35701" spans="10:10" x14ac:dyDescent="0.3">
      <c r="J35701" s="33"/>
    </row>
    <row r="35702" spans="10:10" ht="15" customHeight="1" x14ac:dyDescent="0.3">
      <c r="J35702" s="33"/>
    </row>
    <row r="35703" spans="10:10" ht="15" customHeight="1" x14ac:dyDescent="0.3">
      <c r="J35703" s="33"/>
    </row>
    <row r="35704" spans="10:10" x14ac:dyDescent="0.3">
      <c r="J35704" s="33"/>
    </row>
    <row r="35705" spans="10:10" x14ac:dyDescent="0.3">
      <c r="J35705" s="33"/>
    </row>
    <row r="35706" spans="10:10" x14ac:dyDescent="0.3">
      <c r="J35706" s="33"/>
    </row>
    <row r="35707" spans="10:10" ht="15" customHeight="1" x14ac:dyDescent="0.3">
      <c r="J35707" s="33"/>
    </row>
    <row r="35708" spans="10:10" ht="15" customHeight="1" x14ac:dyDescent="0.3">
      <c r="J35708" s="33"/>
    </row>
    <row r="35709" spans="10:10" x14ac:dyDescent="0.3">
      <c r="J35709" s="33"/>
    </row>
    <row r="35710" spans="10:10" ht="15" customHeight="1" x14ac:dyDescent="0.3">
      <c r="J35710" s="33"/>
    </row>
    <row r="35711" spans="10:10" ht="15" customHeight="1" x14ac:dyDescent="0.3">
      <c r="J35711" s="33"/>
    </row>
    <row r="35712" spans="10:10" x14ac:dyDescent="0.3">
      <c r="J35712" s="33"/>
    </row>
    <row r="35713" spans="10:10" ht="15" customHeight="1" x14ac:dyDescent="0.3">
      <c r="J35713" s="33"/>
    </row>
    <row r="35714" spans="10:10" x14ac:dyDescent="0.3">
      <c r="J35714" s="33"/>
    </row>
    <row r="35715" spans="10:10" ht="15" customHeight="1" x14ac:dyDescent="0.3">
      <c r="J35715" s="33"/>
    </row>
    <row r="35716" spans="10:10" x14ac:dyDescent="0.3">
      <c r="J35716" s="33"/>
    </row>
    <row r="35717" spans="10:10" x14ac:dyDescent="0.3">
      <c r="J35717" s="33"/>
    </row>
    <row r="35718" spans="10:10" x14ac:dyDescent="0.3">
      <c r="J35718" s="33"/>
    </row>
    <row r="35719" spans="10:10" x14ac:dyDescent="0.3">
      <c r="J35719" s="33"/>
    </row>
    <row r="35720" spans="10:10" ht="15" customHeight="1" x14ac:dyDescent="0.3">
      <c r="J35720" s="33"/>
    </row>
    <row r="35721" spans="10:10" ht="15" customHeight="1" x14ac:dyDescent="0.3">
      <c r="J35721" s="33"/>
    </row>
    <row r="35722" spans="10:10" x14ac:dyDescent="0.3">
      <c r="J35722" s="33"/>
    </row>
    <row r="35723" spans="10:10" x14ac:dyDescent="0.3">
      <c r="J35723" s="33"/>
    </row>
    <row r="35724" spans="10:10" x14ac:dyDescent="0.3">
      <c r="J35724" s="33"/>
    </row>
    <row r="35725" spans="10:10" x14ac:dyDescent="0.3">
      <c r="J35725" s="33"/>
    </row>
    <row r="35726" spans="10:10" x14ac:dyDescent="0.3">
      <c r="J35726" s="33"/>
    </row>
    <row r="35727" spans="10:10" x14ac:dyDescent="0.3">
      <c r="J35727" s="33"/>
    </row>
    <row r="35728" spans="10:10" x14ac:dyDescent="0.3">
      <c r="J35728" s="33"/>
    </row>
    <row r="35729" spans="10:10" ht="15" customHeight="1" x14ac:dyDescent="0.3">
      <c r="J35729" s="33"/>
    </row>
    <row r="35730" spans="10:10" ht="15" customHeight="1" x14ac:dyDescent="0.3">
      <c r="J35730" s="33"/>
    </row>
    <row r="35731" spans="10:10" ht="15" customHeight="1" x14ac:dyDescent="0.3">
      <c r="J35731" s="33"/>
    </row>
    <row r="35732" spans="10:10" ht="15" customHeight="1" x14ac:dyDescent="0.3">
      <c r="J35732" s="33"/>
    </row>
    <row r="35733" spans="10:10" x14ac:dyDescent="0.3">
      <c r="J35733" s="33"/>
    </row>
    <row r="35734" spans="10:10" x14ac:dyDescent="0.3">
      <c r="J35734" s="33"/>
    </row>
    <row r="35735" spans="10:10" ht="15" customHeight="1" x14ac:dyDescent="0.3">
      <c r="J35735" s="33"/>
    </row>
    <row r="35736" spans="10:10" ht="15" customHeight="1" x14ac:dyDescent="0.3">
      <c r="J35736" s="33"/>
    </row>
    <row r="35737" spans="10:10" x14ac:dyDescent="0.3">
      <c r="J35737" s="33"/>
    </row>
    <row r="35738" spans="10:10" x14ac:dyDescent="0.3">
      <c r="J35738" s="33"/>
    </row>
    <row r="35739" spans="10:10" ht="15" customHeight="1" x14ac:dyDescent="0.3">
      <c r="J35739" s="33"/>
    </row>
    <row r="35740" spans="10:10" x14ac:dyDescent="0.3">
      <c r="J35740" s="33"/>
    </row>
    <row r="35741" spans="10:10" ht="15" customHeight="1" x14ac:dyDescent="0.3">
      <c r="J35741" s="33"/>
    </row>
    <row r="35742" spans="10:10" ht="15" customHeight="1" x14ac:dyDescent="0.3">
      <c r="J35742" s="33"/>
    </row>
    <row r="35743" spans="10:10" x14ac:dyDescent="0.3">
      <c r="J35743" s="33"/>
    </row>
    <row r="35744" spans="10:10" ht="15" customHeight="1" x14ac:dyDescent="0.3">
      <c r="J35744" s="33"/>
    </row>
    <row r="35745" spans="10:10" x14ac:dyDescent="0.3">
      <c r="J35745" s="33"/>
    </row>
    <row r="35746" spans="10:10" x14ac:dyDescent="0.3">
      <c r="J35746" s="33"/>
    </row>
    <row r="35747" spans="10:10" x14ac:dyDescent="0.3">
      <c r="J35747" s="33"/>
    </row>
    <row r="35748" spans="10:10" x14ac:dyDescent="0.3">
      <c r="J35748" s="33"/>
    </row>
    <row r="35749" spans="10:10" x14ac:dyDescent="0.3">
      <c r="J35749" s="33"/>
    </row>
    <row r="35750" spans="10:10" ht="15" customHeight="1" x14ac:dyDescent="0.3">
      <c r="J35750" s="33"/>
    </row>
    <row r="35751" spans="10:10" ht="15" customHeight="1" x14ac:dyDescent="0.3">
      <c r="J35751" s="33"/>
    </row>
    <row r="35752" spans="10:10" ht="15" customHeight="1" x14ac:dyDescent="0.3">
      <c r="J35752" s="33"/>
    </row>
    <row r="35753" spans="10:10" ht="15" customHeight="1" x14ac:dyDescent="0.3">
      <c r="J35753" s="33"/>
    </row>
    <row r="35754" spans="10:10" ht="15" customHeight="1" x14ac:dyDescent="0.3">
      <c r="J35754" s="33"/>
    </row>
    <row r="35755" spans="10:10" ht="15" customHeight="1" x14ac:dyDescent="0.3">
      <c r="J35755" s="33"/>
    </row>
    <row r="35756" spans="10:10" x14ac:dyDescent="0.3">
      <c r="J35756" s="33"/>
    </row>
    <row r="35757" spans="10:10" ht="15" customHeight="1" x14ac:dyDescent="0.3">
      <c r="J35757" s="33"/>
    </row>
    <row r="35758" spans="10:10" x14ac:dyDescent="0.3">
      <c r="J35758" s="33"/>
    </row>
    <row r="35759" spans="10:10" x14ac:dyDescent="0.3">
      <c r="J35759" s="33"/>
    </row>
    <row r="35760" spans="10:10" ht="15" customHeight="1" x14ac:dyDescent="0.3">
      <c r="J35760" s="33"/>
    </row>
    <row r="35761" spans="10:10" ht="15" customHeight="1" x14ac:dyDescent="0.3">
      <c r="J35761" s="33"/>
    </row>
    <row r="35762" spans="10:10" x14ac:dyDescent="0.3">
      <c r="J35762" s="33"/>
    </row>
    <row r="35763" spans="10:10" ht="15" customHeight="1" x14ac:dyDescent="0.3">
      <c r="J35763" s="33"/>
    </row>
    <row r="35764" spans="10:10" ht="15" customHeight="1" x14ac:dyDescent="0.3">
      <c r="J35764" s="33"/>
    </row>
    <row r="35765" spans="10:10" ht="15" customHeight="1" x14ac:dyDescent="0.3">
      <c r="J35765" s="33"/>
    </row>
    <row r="35766" spans="10:10" ht="15" customHeight="1" x14ac:dyDescent="0.3">
      <c r="J35766" s="33"/>
    </row>
    <row r="35767" spans="10:10" x14ac:dyDescent="0.3">
      <c r="J35767" s="33"/>
    </row>
    <row r="35768" spans="10:10" ht="15" customHeight="1" x14ac:dyDescent="0.3">
      <c r="J35768" s="33"/>
    </row>
    <row r="35769" spans="10:10" x14ac:dyDescent="0.3">
      <c r="J35769" s="33"/>
    </row>
    <row r="35770" spans="10:10" x14ac:dyDescent="0.3">
      <c r="J35770" s="33"/>
    </row>
    <row r="35771" spans="10:10" ht="15" customHeight="1" x14ac:dyDescent="0.3">
      <c r="J35771" s="33"/>
    </row>
    <row r="35772" spans="10:10" x14ac:dyDescent="0.3">
      <c r="J35772" s="33"/>
    </row>
    <row r="35773" spans="10:10" ht="15" customHeight="1" x14ac:dyDescent="0.3">
      <c r="J35773" s="33"/>
    </row>
    <row r="35774" spans="10:10" ht="15" customHeight="1" x14ac:dyDescent="0.3">
      <c r="J35774" s="33"/>
    </row>
    <row r="35775" spans="10:10" x14ac:dyDescent="0.3">
      <c r="J35775" s="33"/>
    </row>
    <row r="35776" spans="10:10" ht="15" customHeight="1" x14ac:dyDescent="0.3">
      <c r="J35776" s="33"/>
    </row>
    <row r="35777" spans="10:10" ht="15" customHeight="1" x14ac:dyDescent="0.3">
      <c r="J35777" s="33"/>
    </row>
    <row r="35778" spans="10:10" x14ac:dyDescent="0.3">
      <c r="J35778" s="33"/>
    </row>
    <row r="35779" spans="10:10" x14ac:dyDescent="0.3">
      <c r="J35779" s="33"/>
    </row>
    <row r="35780" spans="10:10" x14ac:dyDescent="0.3">
      <c r="J35780" s="33"/>
    </row>
    <row r="35781" spans="10:10" x14ac:dyDescent="0.3">
      <c r="J35781" s="33"/>
    </row>
    <row r="35782" spans="10:10" x14ac:dyDescent="0.3">
      <c r="J35782" s="33"/>
    </row>
    <row r="35783" spans="10:10" x14ac:dyDescent="0.3">
      <c r="J35783" s="33"/>
    </row>
    <row r="35784" spans="10:10" ht="15" customHeight="1" x14ac:dyDescent="0.3">
      <c r="J35784" s="33"/>
    </row>
    <row r="35785" spans="10:10" ht="15" customHeight="1" x14ac:dyDescent="0.3">
      <c r="J35785" s="33"/>
    </row>
    <row r="35786" spans="10:10" ht="15" customHeight="1" x14ac:dyDescent="0.3">
      <c r="J35786" s="33"/>
    </row>
    <row r="35787" spans="10:10" x14ac:dyDescent="0.3">
      <c r="J35787" s="33"/>
    </row>
    <row r="35788" spans="10:10" x14ac:dyDescent="0.3">
      <c r="J35788" s="33"/>
    </row>
    <row r="35789" spans="10:10" ht="15" customHeight="1" x14ac:dyDescent="0.3">
      <c r="J35789" s="33"/>
    </row>
    <row r="35790" spans="10:10" ht="15" customHeight="1" x14ac:dyDescent="0.3">
      <c r="J35790" s="33"/>
    </row>
    <row r="35791" spans="10:10" x14ac:dyDescent="0.3">
      <c r="J35791" s="33"/>
    </row>
    <row r="35792" spans="10:10" x14ac:dyDescent="0.3">
      <c r="J35792" s="33"/>
    </row>
    <row r="35793" spans="10:10" ht="15" customHeight="1" x14ac:dyDescent="0.3">
      <c r="J35793" s="33"/>
    </row>
    <row r="35794" spans="10:10" ht="15" customHeight="1" x14ac:dyDescent="0.3">
      <c r="J35794" s="33"/>
    </row>
    <row r="35795" spans="10:10" ht="15" customHeight="1" x14ac:dyDescent="0.3">
      <c r="J35795" s="33"/>
    </row>
    <row r="35796" spans="10:10" ht="15" customHeight="1" x14ac:dyDescent="0.3">
      <c r="J35796" s="33"/>
    </row>
    <row r="35797" spans="10:10" ht="15" customHeight="1" x14ac:dyDescent="0.3">
      <c r="J35797" s="33"/>
    </row>
    <row r="35798" spans="10:10" ht="15" customHeight="1" x14ac:dyDescent="0.3">
      <c r="J35798" s="33"/>
    </row>
    <row r="35799" spans="10:10" x14ac:dyDescent="0.3">
      <c r="J35799" s="33"/>
    </row>
    <row r="35800" spans="10:10" ht="15" customHeight="1" x14ac:dyDescent="0.3">
      <c r="J35800" s="33"/>
    </row>
    <row r="35801" spans="10:10" ht="15" customHeight="1" x14ac:dyDescent="0.3">
      <c r="J35801" s="33"/>
    </row>
    <row r="35802" spans="10:10" ht="15" customHeight="1" x14ac:dyDescent="0.3">
      <c r="J35802" s="33"/>
    </row>
    <row r="35803" spans="10:10" ht="15" customHeight="1" x14ac:dyDescent="0.3">
      <c r="J35803" s="33"/>
    </row>
    <row r="35804" spans="10:10" ht="15" customHeight="1" x14ac:dyDescent="0.3">
      <c r="J35804" s="33"/>
    </row>
    <row r="35805" spans="10:10" x14ac:dyDescent="0.3">
      <c r="J35805" s="33"/>
    </row>
    <row r="35806" spans="10:10" x14ac:dyDescent="0.3">
      <c r="J35806" s="33"/>
    </row>
    <row r="35807" spans="10:10" x14ac:dyDescent="0.3">
      <c r="J35807" s="33"/>
    </row>
    <row r="35808" spans="10:10" ht="15" customHeight="1" x14ac:dyDescent="0.3">
      <c r="J35808" s="33"/>
    </row>
    <row r="35809" spans="10:10" x14ac:dyDescent="0.3">
      <c r="J35809" s="33"/>
    </row>
    <row r="35810" spans="10:10" x14ac:dyDescent="0.3">
      <c r="J35810" s="33"/>
    </row>
    <row r="35811" spans="10:10" ht="15" customHeight="1" x14ac:dyDescent="0.3">
      <c r="J35811" s="33"/>
    </row>
    <row r="35812" spans="10:10" x14ac:dyDescent="0.3">
      <c r="J35812" s="33"/>
    </row>
    <row r="35813" spans="10:10" ht="15" customHeight="1" x14ac:dyDescent="0.3">
      <c r="J35813" s="33"/>
    </row>
    <row r="35814" spans="10:10" x14ac:dyDescent="0.3">
      <c r="J35814" s="33"/>
    </row>
    <row r="35815" spans="10:10" x14ac:dyDescent="0.3">
      <c r="J35815" s="33"/>
    </row>
    <row r="35816" spans="10:10" x14ac:dyDescent="0.3">
      <c r="J35816" s="33"/>
    </row>
    <row r="35817" spans="10:10" x14ac:dyDescent="0.3">
      <c r="J35817" s="33"/>
    </row>
    <row r="35818" spans="10:10" ht="15" customHeight="1" x14ac:dyDescent="0.3">
      <c r="J35818" s="33"/>
    </row>
    <row r="35819" spans="10:10" ht="15" customHeight="1" x14ac:dyDescent="0.3">
      <c r="J35819" s="33"/>
    </row>
    <row r="35820" spans="10:10" x14ac:dyDescent="0.3">
      <c r="J35820" s="33"/>
    </row>
    <row r="35821" spans="10:10" x14ac:dyDescent="0.3">
      <c r="J35821" s="33"/>
    </row>
    <row r="35822" spans="10:10" ht="15" customHeight="1" x14ac:dyDescent="0.3">
      <c r="J35822" s="33"/>
    </row>
    <row r="35823" spans="10:10" x14ac:dyDescent="0.3">
      <c r="J35823" s="33"/>
    </row>
    <row r="35824" spans="10:10" x14ac:dyDescent="0.3">
      <c r="J35824" s="33"/>
    </row>
    <row r="35825" spans="10:10" x14ac:dyDescent="0.3">
      <c r="J35825" s="33"/>
    </row>
    <row r="35826" spans="10:10" x14ac:dyDescent="0.3">
      <c r="J35826" s="33"/>
    </row>
    <row r="35827" spans="10:10" x14ac:dyDescent="0.3">
      <c r="J35827" s="33"/>
    </row>
    <row r="35828" spans="10:10" x14ac:dyDescent="0.3">
      <c r="J35828" s="33"/>
    </row>
    <row r="35829" spans="10:10" ht="15" customHeight="1" x14ac:dyDescent="0.3">
      <c r="J35829" s="33"/>
    </row>
    <row r="35830" spans="10:10" x14ac:dyDescent="0.3">
      <c r="J35830" s="33"/>
    </row>
    <row r="35831" spans="10:10" x14ac:dyDescent="0.3">
      <c r="J35831" s="33"/>
    </row>
    <row r="35832" spans="10:10" ht="15" customHeight="1" x14ac:dyDescent="0.3">
      <c r="J35832" s="33"/>
    </row>
    <row r="35833" spans="10:10" x14ac:dyDescent="0.3">
      <c r="J35833" s="33"/>
    </row>
    <row r="35834" spans="10:10" x14ac:dyDescent="0.3">
      <c r="J35834" s="33"/>
    </row>
    <row r="35835" spans="10:10" x14ac:dyDescent="0.3">
      <c r="J35835" s="33"/>
    </row>
    <row r="35836" spans="10:10" x14ac:dyDescent="0.3">
      <c r="J35836" s="33"/>
    </row>
    <row r="35837" spans="10:10" x14ac:dyDescent="0.3">
      <c r="J35837" s="33"/>
    </row>
    <row r="35838" spans="10:10" ht="15" customHeight="1" x14ac:dyDescent="0.3">
      <c r="J35838" s="33"/>
    </row>
    <row r="35839" spans="10:10" ht="15" customHeight="1" x14ac:dyDescent="0.3">
      <c r="J35839" s="33"/>
    </row>
    <row r="35840" spans="10:10" x14ac:dyDescent="0.3">
      <c r="J35840" s="33"/>
    </row>
    <row r="35841" spans="10:10" x14ac:dyDescent="0.3">
      <c r="J35841" s="33"/>
    </row>
    <row r="35842" spans="10:10" ht="15" customHeight="1" x14ac:dyDescent="0.3">
      <c r="J35842" s="33"/>
    </row>
    <row r="35843" spans="10:10" x14ac:dyDescent="0.3">
      <c r="J35843" s="33"/>
    </row>
    <row r="35844" spans="10:10" x14ac:dyDescent="0.3">
      <c r="J35844" s="33"/>
    </row>
    <row r="35845" spans="10:10" x14ac:dyDescent="0.3">
      <c r="J35845" s="33"/>
    </row>
    <row r="35846" spans="10:10" ht="15" customHeight="1" x14ac:dyDescent="0.3">
      <c r="J35846" s="33"/>
    </row>
    <row r="35847" spans="10:10" ht="15" customHeight="1" x14ac:dyDescent="0.3">
      <c r="J35847" s="33"/>
    </row>
    <row r="35848" spans="10:10" ht="15" customHeight="1" x14ac:dyDescent="0.3">
      <c r="J35848" s="33"/>
    </row>
    <row r="35849" spans="10:10" x14ac:dyDescent="0.3">
      <c r="J35849" s="33"/>
    </row>
    <row r="35850" spans="10:10" ht="15" customHeight="1" x14ac:dyDescent="0.3">
      <c r="J35850" s="33"/>
    </row>
    <row r="35851" spans="10:10" ht="15" customHeight="1" x14ac:dyDescent="0.3">
      <c r="J35851" s="33"/>
    </row>
    <row r="35852" spans="10:10" ht="15" customHeight="1" x14ac:dyDescent="0.3">
      <c r="J35852" s="33"/>
    </row>
    <row r="35853" spans="10:10" ht="15" customHeight="1" x14ac:dyDescent="0.3">
      <c r="J35853" s="33"/>
    </row>
    <row r="35854" spans="10:10" ht="15" customHeight="1" x14ac:dyDescent="0.3">
      <c r="J35854" s="33"/>
    </row>
    <row r="35855" spans="10:10" x14ac:dyDescent="0.3">
      <c r="J35855" s="33"/>
    </row>
    <row r="35856" spans="10:10" ht="15" customHeight="1" x14ac:dyDescent="0.3">
      <c r="J35856" s="33"/>
    </row>
    <row r="35857" spans="10:10" ht="15" customHeight="1" x14ac:dyDescent="0.3">
      <c r="J35857" s="33"/>
    </row>
    <row r="35858" spans="10:10" x14ac:dyDescent="0.3">
      <c r="J35858" s="33"/>
    </row>
    <row r="35859" spans="10:10" ht="15" customHeight="1" x14ac:dyDescent="0.3">
      <c r="J35859" s="33"/>
    </row>
    <row r="35860" spans="10:10" x14ac:dyDescent="0.3">
      <c r="J35860" s="33"/>
    </row>
    <row r="35861" spans="10:10" ht="15" customHeight="1" x14ac:dyDescent="0.3">
      <c r="J35861" s="33"/>
    </row>
    <row r="35862" spans="10:10" x14ac:dyDescent="0.3">
      <c r="J35862" s="33"/>
    </row>
    <row r="35863" spans="10:10" x14ac:dyDescent="0.3">
      <c r="J35863" s="33"/>
    </row>
    <row r="35864" spans="10:10" ht="15" customHeight="1" x14ac:dyDescent="0.3">
      <c r="J35864" s="33"/>
    </row>
    <row r="35865" spans="10:10" x14ac:dyDescent="0.3">
      <c r="J35865" s="33"/>
    </row>
    <row r="35866" spans="10:10" ht="15" customHeight="1" x14ac:dyDescent="0.3">
      <c r="J35866" s="33"/>
    </row>
    <row r="35867" spans="10:10" ht="15" customHeight="1" x14ac:dyDescent="0.3">
      <c r="J35867" s="33"/>
    </row>
    <row r="35868" spans="10:10" ht="15" customHeight="1" x14ac:dyDescent="0.3">
      <c r="J35868" s="33"/>
    </row>
    <row r="35869" spans="10:10" ht="15" customHeight="1" x14ac:dyDescent="0.3">
      <c r="J35869" s="33"/>
    </row>
    <row r="35870" spans="10:10" x14ac:dyDescent="0.3">
      <c r="J35870" s="33"/>
    </row>
    <row r="35871" spans="10:10" x14ac:dyDescent="0.3">
      <c r="J35871" s="33"/>
    </row>
    <row r="35872" spans="10:10" x14ac:dyDescent="0.3">
      <c r="J35872" s="33"/>
    </row>
    <row r="35873" spans="10:10" ht="15" customHeight="1" x14ac:dyDescent="0.3">
      <c r="J35873" s="33"/>
    </row>
    <row r="35874" spans="10:10" ht="15" customHeight="1" x14ac:dyDescent="0.3">
      <c r="J35874" s="33"/>
    </row>
    <row r="35875" spans="10:10" x14ac:dyDescent="0.3">
      <c r="J35875" s="33"/>
    </row>
    <row r="35876" spans="10:10" ht="15" customHeight="1" x14ac:dyDescent="0.3">
      <c r="J35876" s="33"/>
    </row>
    <row r="35877" spans="10:10" x14ac:dyDescent="0.3">
      <c r="J35877" s="33"/>
    </row>
    <row r="35878" spans="10:10" ht="15" customHeight="1" x14ac:dyDescent="0.3">
      <c r="J35878" s="33"/>
    </row>
    <row r="35879" spans="10:10" ht="15" customHeight="1" x14ac:dyDescent="0.3">
      <c r="J35879" s="33"/>
    </row>
    <row r="35880" spans="10:10" x14ac:dyDescent="0.3">
      <c r="J35880" s="33"/>
    </row>
    <row r="35881" spans="10:10" x14ac:dyDescent="0.3">
      <c r="J35881" s="33"/>
    </row>
    <row r="35882" spans="10:10" x14ac:dyDescent="0.3">
      <c r="J35882" s="33"/>
    </row>
    <row r="35883" spans="10:10" x14ac:dyDescent="0.3">
      <c r="J35883" s="33"/>
    </row>
    <row r="35884" spans="10:10" ht="15" customHeight="1" x14ac:dyDescent="0.3">
      <c r="J35884" s="33"/>
    </row>
    <row r="35885" spans="10:10" ht="15" customHeight="1" x14ac:dyDescent="0.3">
      <c r="J35885" s="33"/>
    </row>
    <row r="35886" spans="10:10" ht="15" customHeight="1" x14ac:dyDescent="0.3">
      <c r="J35886" s="33"/>
    </row>
    <row r="35887" spans="10:10" x14ac:dyDescent="0.3">
      <c r="J35887" s="33"/>
    </row>
    <row r="35888" spans="10:10" x14ac:dyDescent="0.3">
      <c r="J35888" s="33"/>
    </row>
    <row r="35889" spans="10:10" x14ac:dyDescent="0.3">
      <c r="J35889" s="33"/>
    </row>
    <row r="35890" spans="10:10" ht="15" customHeight="1" x14ac:dyDescent="0.3">
      <c r="J35890" s="33"/>
    </row>
    <row r="35891" spans="10:10" ht="15" customHeight="1" x14ac:dyDescent="0.3">
      <c r="J35891" s="33"/>
    </row>
    <row r="35892" spans="10:10" ht="15" customHeight="1" x14ac:dyDescent="0.3">
      <c r="J35892" s="33"/>
    </row>
    <row r="35893" spans="10:10" ht="15" customHeight="1" x14ac:dyDescent="0.3">
      <c r="J35893" s="33"/>
    </row>
    <row r="35894" spans="10:10" ht="15" customHeight="1" x14ac:dyDescent="0.3">
      <c r="J35894" s="33"/>
    </row>
    <row r="35895" spans="10:10" x14ac:dyDescent="0.3">
      <c r="J35895" s="33"/>
    </row>
    <row r="35896" spans="10:10" ht="15" customHeight="1" x14ac:dyDescent="0.3">
      <c r="J35896" s="33"/>
    </row>
    <row r="35897" spans="10:10" ht="15" customHeight="1" x14ac:dyDescent="0.3">
      <c r="J35897" s="33"/>
    </row>
    <row r="35898" spans="10:10" ht="15" customHeight="1" x14ac:dyDescent="0.3">
      <c r="J35898" s="33"/>
    </row>
    <row r="35899" spans="10:10" ht="15" customHeight="1" x14ac:dyDescent="0.3">
      <c r="J35899" s="33"/>
    </row>
    <row r="35900" spans="10:10" x14ac:dyDescent="0.3">
      <c r="J35900" s="33"/>
    </row>
    <row r="35901" spans="10:10" x14ac:dyDescent="0.3">
      <c r="J35901" s="33"/>
    </row>
    <row r="35902" spans="10:10" x14ac:dyDescent="0.3">
      <c r="J35902" s="33"/>
    </row>
    <row r="35903" spans="10:10" ht="15" customHeight="1" x14ac:dyDescent="0.3">
      <c r="J35903" s="33"/>
    </row>
    <row r="35904" spans="10:10" ht="15" customHeight="1" x14ac:dyDescent="0.3">
      <c r="J35904" s="33"/>
    </row>
    <row r="35905" spans="10:10" ht="15" customHeight="1" x14ac:dyDescent="0.3">
      <c r="J35905" s="33"/>
    </row>
    <row r="35906" spans="10:10" ht="15" customHeight="1" x14ac:dyDescent="0.3">
      <c r="J35906" s="33"/>
    </row>
    <row r="35907" spans="10:10" x14ac:dyDescent="0.3">
      <c r="J35907" s="33"/>
    </row>
    <row r="35908" spans="10:10" x14ac:dyDescent="0.3">
      <c r="J35908" s="33"/>
    </row>
    <row r="35909" spans="10:10" x14ac:dyDescent="0.3">
      <c r="J35909" s="33"/>
    </row>
    <row r="35910" spans="10:10" x14ac:dyDescent="0.3">
      <c r="J35910" s="33"/>
    </row>
    <row r="35911" spans="10:10" x14ac:dyDescent="0.3">
      <c r="J35911" s="33"/>
    </row>
    <row r="35912" spans="10:10" x14ac:dyDescent="0.3">
      <c r="J35912" s="33"/>
    </row>
    <row r="35913" spans="10:10" ht="15" customHeight="1" x14ac:dyDescent="0.3">
      <c r="J35913" s="33"/>
    </row>
    <row r="35914" spans="10:10" ht="15" customHeight="1" x14ac:dyDescent="0.3">
      <c r="J35914" s="33"/>
    </row>
    <row r="35915" spans="10:10" x14ac:dyDescent="0.3">
      <c r="J35915" s="33"/>
    </row>
    <row r="35916" spans="10:10" x14ac:dyDescent="0.3">
      <c r="J35916" s="33"/>
    </row>
    <row r="35917" spans="10:10" x14ac:dyDescent="0.3">
      <c r="J35917" s="33"/>
    </row>
    <row r="35918" spans="10:10" x14ac:dyDescent="0.3">
      <c r="J35918" s="33"/>
    </row>
    <row r="35919" spans="10:10" x14ac:dyDescent="0.3">
      <c r="J35919" s="33"/>
    </row>
    <row r="35920" spans="10:10" ht="15" customHeight="1" x14ac:dyDescent="0.3">
      <c r="J35920" s="33"/>
    </row>
    <row r="35921" spans="10:10" ht="15" customHeight="1" x14ac:dyDescent="0.3">
      <c r="J35921" s="33"/>
    </row>
    <row r="35922" spans="10:10" ht="15" customHeight="1" x14ac:dyDescent="0.3">
      <c r="J35922" s="33"/>
    </row>
    <row r="35923" spans="10:10" ht="15" customHeight="1" x14ac:dyDescent="0.3">
      <c r="J35923" s="33"/>
    </row>
    <row r="35924" spans="10:10" x14ac:dyDescent="0.3">
      <c r="J35924" s="33"/>
    </row>
    <row r="35925" spans="10:10" ht="15" customHeight="1" x14ac:dyDescent="0.3">
      <c r="J35925" s="33"/>
    </row>
    <row r="35926" spans="10:10" ht="15" customHeight="1" x14ac:dyDescent="0.3">
      <c r="J35926" s="33"/>
    </row>
    <row r="35927" spans="10:10" x14ac:dyDescent="0.3">
      <c r="J35927" s="33"/>
    </row>
    <row r="35928" spans="10:10" ht="15" customHeight="1" x14ac:dyDescent="0.3">
      <c r="J35928" s="33"/>
    </row>
    <row r="35929" spans="10:10" ht="15" customHeight="1" x14ac:dyDescent="0.3">
      <c r="J35929" s="33"/>
    </row>
    <row r="35930" spans="10:10" ht="15" customHeight="1" x14ac:dyDescent="0.3">
      <c r="J35930" s="33"/>
    </row>
    <row r="35931" spans="10:10" ht="15" customHeight="1" x14ac:dyDescent="0.3">
      <c r="J35931" s="33"/>
    </row>
    <row r="35932" spans="10:10" x14ac:dyDescent="0.3">
      <c r="J35932" s="33"/>
    </row>
    <row r="35933" spans="10:10" x14ac:dyDescent="0.3">
      <c r="J35933" s="33"/>
    </row>
    <row r="35934" spans="10:10" ht="15" customHeight="1" x14ac:dyDescent="0.3">
      <c r="J35934" s="33"/>
    </row>
    <row r="35935" spans="10:10" x14ac:dyDescent="0.3">
      <c r="J35935" s="33"/>
    </row>
    <row r="35936" spans="10:10" x14ac:dyDescent="0.3">
      <c r="J35936" s="33"/>
    </row>
    <row r="35937" spans="10:10" ht="15" customHeight="1" x14ac:dyDescent="0.3">
      <c r="J35937" s="33"/>
    </row>
    <row r="35938" spans="10:10" x14ac:dyDescent="0.3">
      <c r="J35938" s="33"/>
    </row>
    <row r="35939" spans="10:10" x14ac:dyDescent="0.3">
      <c r="J35939" s="33"/>
    </row>
    <row r="35940" spans="10:10" ht="15" customHeight="1" x14ac:dyDescent="0.3">
      <c r="J35940" s="33"/>
    </row>
    <row r="35941" spans="10:10" ht="15" customHeight="1" x14ac:dyDescent="0.3">
      <c r="J35941" s="33"/>
    </row>
    <row r="35942" spans="10:10" x14ac:dyDescent="0.3">
      <c r="J35942" s="33"/>
    </row>
    <row r="35943" spans="10:10" ht="15" customHeight="1" x14ac:dyDescent="0.3">
      <c r="J35943" s="33"/>
    </row>
    <row r="35944" spans="10:10" x14ac:dyDescent="0.3">
      <c r="J35944" s="33"/>
    </row>
    <row r="35945" spans="10:10" ht="15" customHeight="1" x14ac:dyDescent="0.3">
      <c r="J35945" s="33"/>
    </row>
    <row r="35946" spans="10:10" x14ac:dyDescent="0.3">
      <c r="J35946" s="33"/>
    </row>
    <row r="35947" spans="10:10" ht="15" customHeight="1" x14ac:dyDescent="0.3">
      <c r="J35947" s="33"/>
    </row>
    <row r="35948" spans="10:10" ht="15" customHeight="1" x14ac:dyDescent="0.3">
      <c r="J35948" s="33"/>
    </row>
    <row r="35949" spans="10:10" ht="15" customHeight="1" x14ac:dyDescent="0.3">
      <c r="J35949" s="33"/>
    </row>
    <row r="35950" spans="10:10" x14ac:dyDescent="0.3">
      <c r="J35950" s="33"/>
    </row>
    <row r="35951" spans="10:10" ht="15" customHeight="1" x14ac:dyDescent="0.3">
      <c r="J35951" s="33"/>
    </row>
    <row r="35952" spans="10:10" x14ac:dyDescent="0.3">
      <c r="J35952" s="33"/>
    </row>
    <row r="35953" spans="10:10" x14ac:dyDescent="0.3">
      <c r="J35953" s="33"/>
    </row>
    <row r="35954" spans="10:10" x14ac:dyDescent="0.3">
      <c r="J35954" s="33"/>
    </row>
    <row r="35955" spans="10:10" x14ac:dyDescent="0.3">
      <c r="J35955" s="33"/>
    </row>
    <row r="35956" spans="10:10" x14ac:dyDescent="0.3">
      <c r="J35956" s="33"/>
    </row>
    <row r="35957" spans="10:10" ht="15" customHeight="1" x14ac:dyDescent="0.3">
      <c r="J35957" s="33"/>
    </row>
    <row r="35958" spans="10:10" x14ac:dyDescent="0.3">
      <c r="J35958" s="33"/>
    </row>
    <row r="35959" spans="10:10" ht="15" customHeight="1" x14ac:dyDescent="0.3">
      <c r="J35959" s="33"/>
    </row>
    <row r="35960" spans="10:10" x14ac:dyDescent="0.3">
      <c r="J35960" s="33"/>
    </row>
    <row r="35961" spans="10:10" ht="15" customHeight="1" x14ac:dyDescent="0.3">
      <c r="J35961" s="33"/>
    </row>
    <row r="35962" spans="10:10" ht="15" customHeight="1" x14ac:dyDescent="0.3">
      <c r="J35962" s="33"/>
    </row>
    <row r="35963" spans="10:10" x14ac:dyDescent="0.3">
      <c r="J35963" s="33"/>
    </row>
    <row r="35964" spans="10:10" x14ac:dyDescent="0.3">
      <c r="J35964" s="33"/>
    </row>
    <row r="35965" spans="10:10" ht="15" customHeight="1" x14ac:dyDescent="0.3">
      <c r="J35965" s="33"/>
    </row>
    <row r="35966" spans="10:10" ht="15" customHeight="1" x14ac:dyDescent="0.3">
      <c r="J35966" s="33"/>
    </row>
    <row r="35967" spans="10:10" ht="15" customHeight="1" x14ac:dyDescent="0.3">
      <c r="J35967" s="33"/>
    </row>
    <row r="35968" spans="10:10" ht="15" customHeight="1" x14ac:dyDescent="0.3">
      <c r="J35968" s="33"/>
    </row>
    <row r="35969" spans="10:10" ht="15" customHeight="1" x14ac:dyDescent="0.3">
      <c r="J35969" s="33"/>
    </row>
    <row r="35970" spans="10:10" ht="15" customHeight="1" x14ac:dyDescent="0.3">
      <c r="J35970" s="33"/>
    </row>
    <row r="35971" spans="10:10" ht="15" customHeight="1" x14ac:dyDescent="0.3">
      <c r="J35971" s="33"/>
    </row>
    <row r="35972" spans="10:10" x14ac:dyDescent="0.3">
      <c r="J35972" s="33"/>
    </row>
    <row r="35973" spans="10:10" ht="15" customHeight="1" x14ac:dyDescent="0.3">
      <c r="J35973" s="33"/>
    </row>
    <row r="35974" spans="10:10" x14ac:dyDescent="0.3">
      <c r="J35974" s="33"/>
    </row>
    <row r="35975" spans="10:10" x14ac:dyDescent="0.3">
      <c r="J35975" s="33"/>
    </row>
    <row r="35976" spans="10:10" x14ac:dyDescent="0.3">
      <c r="J35976" s="33"/>
    </row>
    <row r="35977" spans="10:10" x14ac:dyDescent="0.3">
      <c r="J35977" s="33"/>
    </row>
    <row r="35978" spans="10:10" ht="15" customHeight="1" x14ac:dyDescent="0.3">
      <c r="J35978" s="33"/>
    </row>
    <row r="35979" spans="10:10" x14ac:dyDescent="0.3">
      <c r="J35979" s="33"/>
    </row>
    <row r="35980" spans="10:10" x14ac:dyDescent="0.3">
      <c r="J35980" s="33"/>
    </row>
    <row r="35981" spans="10:10" ht="15" customHeight="1" x14ac:dyDescent="0.3">
      <c r="J35981" s="33"/>
    </row>
    <row r="35982" spans="10:10" ht="15" customHeight="1" x14ac:dyDescent="0.3">
      <c r="J35982" s="33"/>
    </row>
    <row r="35983" spans="10:10" x14ac:dyDescent="0.3">
      <c r="J35983" s="33"/>
    </row>
    <row r="35984" spans="10:10" ht="15" customHeight="1" x14ac:dyDescent="0.3">
      <c r="J35984" s="33"/>
    </row>
    <row r="35985" spans="10:10" x14ac:dyDescent="0.3">
      <c r="J35985" s="33"/>
    </row>
    <row r="35986" spans="10:10" x14ac:dyDescent="0.3">
      <c r="J35986" s="33"/>
    </row>
    <row r="35987" spans="10:10" x14ac:dyDescent="0.3">
      <c r="J35987" s="33"/>
    </row>
    <row r="35988" spans="10:10" x14ac:dyDescent="0.3">
      <c r="J35988" s="33"/>
    </row>
    <row r="35989" spans="10:10" ht="15" customHeight="1" x14ac:dyDescent="0.3">
      <c r="J35989" s="33"/>
    </row>
    <row r="35990" spans="10:10" x14ac:dyDescent="0.3">
      <c r="J35990" s="33"/>
    </row>
    <row r="35991" spans="10:10" x14ac:dyDescent="0.3">
      <c r="J35991" s="33"/>
    </row>
    <row r="35992" spans="10:10" x14ac:dyDescent="0.3">
      <c r="J35992" s="33"/>
    </row>
    <row r="35993" spans="10:10" x14ac:dyDescent="0.3">
      <c r="J35993" s="33"/>
    </row>
    <row r="35994" spans="10:10" ht="15" customHeight="1" x14ac:dyDescent="0.3">
      <c r="J35994" s="33"/>
    </row>
    <row r="35995" spans="10:10" x14ac:dyDescent="0.3">
      <c r="J35995" s="33"/>
    </row>
    <row r="35996" spans="10:10" ht="15" customHeight="1" x14ac:dyDescent="0.3">
      <c r="J35996" s="33"/>
    </row>
    <row r="35997" spans="10:10" ht="15" customHeight="1" x14ac:dyDescent="0.3">
      <c r="J35997" s="33"/>
    </row>
    <row r="35998" spans="10:10" ht="15" customHeight="1" x14ac:dyDescent="0.3">
      <c r="J35998" s="33"/>
    </row>
    <row r="35999" spans="10:10" ht="15" customHeight="1" x14ac:dyDescent="0.3">
      <c r="J35999" s="33"/>
    </row>
    <row r="36000" spans="10:10" x14ac:dyDescent="0.3">
      <c r="J36000" s="33"/>
    </row>
    <row r="36001" spans="10:10" x14ac:dyDescent="0.3">
      <c r="J36001" s="33"/>
    </row>
    <row r="36002" spans="10:10" x14ac:dyDescent="0.3">
      <c r="J36002" s="33"/>
    </row>
    <row r="36003" spans="10:10" x14ac:dyDescent="0.3">
      <c r="J36003" s="33"/>
    </row>
    <row r="36004" spans="10:10" x14ac:dyDescent="0.3">
      <c r="J36004" s="33"/>
    </row>
    <row r="36005" spans="10:10" x14ac:dyDescent="0.3">
      <c r="J36005" s="33"/>
    </row>
    <row r="36006" spans="10:10" x14ac:dyDescent="0.3">
      <c r="J36006" s="33"/>
    </row>
    <row r="36007" spans="10:10" ht="15" customHeight="1" x14ac:dyDescent="0.3">
      <c r="J36007" s="33"/>
    </row>
    <row r="36008" spans="10:10" ht="15" customHeight="1" x14ac:dyDescent="0.3">
      <c r="J36008" s="33"/>
    </row>
    <row r="36009" spans="10:10" ht="15" customHeight="1" x14ac:dyDescent="0.3">
      <c r="J36009" s="33"/>
    </row>
    <row r="36010" spans="10:10" x14ac:dyDescent="0.3">
      <c r="J36010" s="33"/>
    </row>
    <row r="36011" spans="10:10" ht="15" customHeight="1" x14ac:dyDescent="0.3">
      <c r="J36011" s="33"/>
    </row>
    <row r="36012" spans="10:10" ht="15" customHeight="1" x14ac:dyDescent="0.3">
      <c r="J36012" s="33"/>
    </row>
    <row r="36013" spans="10:10" ht="15" customHeight="1" x14ac:dyDescent="0.3">
      <c r="J36013" s="33"/>
    </row>
    <row r="36014" spans="10:10" ht="15" customHeight="1" x14ac:dyDescent="0.3">
      <c r="J36014" s="33"/>
    </row>
    <row r="36015" spans="10:10" x14ac:dyDescent="0.3">
      <c r="J36015" s="33"/>
    </row>
    <row r="36016" spans="10:10" ht="15" customHeight="1" x14ac:dyDescent="0.3">
      <c r="J36016" s="33"/>
    </row>
    <row r="36017" spans="10:10" x14ac:dyDescent="0.3">
      <c r="J36017" s="33"/>
    </row>
    <row r="36018" spans="10:10" x14ac:dyDescent="0.3">
      <c r="J36018" s="33"/>
    </row>
    <row r="36019" spans="10:10" ht="15" customHeight="1" x14ac:dyDescent="0.3">
      <c r="J36019" s="33"/>
    </row>
    <row r="36020" spans="10:10" x14ac:dyDescent="0.3">
      <c r="J36020" s="33"/>
    </row>
    <row r="36021" spans="10:10" x14ac:dyDescent="0.3">
      <c r="J36021" s="33"/>
    </row>
    <row r="36022" spans="10:10" ht="15" customHeight="1" x14ac:dyDescent="0.3">
      <c r="J36022" s="33"/>
    </row>
    <row r="36023" spans="10:10" x14ac:dyDescent="0.3">
      <c r="J36023" s="33"/>
    </row>
    <row r="36024" spans="10:10" ht="15" customHeight="1" x14ac:dyDescent="0.3">
      <c r="J36024" s="33"/>
    </row>
    <row r="36025" spans="10:10" x14ac:dyDescent="0.3">
      <c r="J36025" s="33"/>
    </row>
    <row r="36026" spans="10:10" x14ac:dyDescent="0.3">
      <c r="J36026" s="33"/>
    </row>
    <row r="36027" spans="10:10" x14ac:dyDescent="0.3">
      <c r="J36027" s="33"/>
    </row>
    <row r="36028" spans="10:10" ht="15" customHeight="1" x14ac:dyDescent="0.3">
      <c r="J36028" s="33"/>
    </row>
    <row r="36029" spans="10:10" ht="15" customHeight="1" x14ac:dyDescent="0.3">
      <c r="J36029" s="33"/>
    </row>
    <row r="36030" spans="10:10" ht="15" customHeight="1" x14ac:dyDescent="0.3">
      <c r="J36030" s="33"/>
    </row>
    <row r="36031" spans="10:10" ht="15" customHeight="1" x14ac:dyDescent="0.3">
      <c r="J36031" s="33"/>
    </row>
    <row r="36032" spans="10:10" x14ac:dyDescent="0.3">
      <c r="J36032" s="33"/>
    </row>
    <row r="36033" spans="10:10" x14ac:dyDescent="0.3">
      <c r="J36033" s="33"/>
    </row>
    <row r="36034" spans="10:10" x14ac:dyDescent="0.3">
      <c r="J36034" s="33"/>
    </row>
    <row r="36035" spans="10:10" ht="15" customHeight="1" x14ac:dyDescent="0.3">
      <c r="J36035" s="33"/>
    </row>
    <row r="36036" spans="10:10" ht="15" customHeight="1" x14ac:dyDescent="0.3">
      <c r="J36036" s="33"/>
    </row>
    <row r="36037" spans="10:10" x14ac:dyDescent="0.3">
      <c r="J36037" s="33"/>
    </row>
    <row r="36038" spans="10:10" ht="15" customHeight="1" x14ac:dyDescent="0.3">
      <c r="J36038" s="33"/>
    </row>
    <row r="36039" spans="10:10" x14ac:dyDescent="0.3">
      <c r="J36039" s="33"/>
    </row>
    <row r="36040" spans="10:10" ht="15" customHeight="1" x14ac:dyDescent="0.3">
      <c r="J36040" s="33"/>
    </row>
    <row r="36041" spans="10:10" x14ac:dyDescent="0.3">
      <c r="J36041" s="33"/>
    </row>
    <row r="36042" spans="10:10" ht="15" customHeight="1" x14ac:dyDescent="0.3">
      <c r="J36042" s="33"/>
    </row>
    <row r="36043" spans="10:10" x14ac:dyDescent="0.3">
      <c r="J36043" s="33"/>
    </row>
    <row r="36044" spans="10:10" x14ac:dyDescent="0.3">
      <c r="J36044" s="33"/>
    </row>
    <row r="36045" spans="10:10" ht="15" customHeight="1" x14ac:dyDescent="0.3">
      <c r="J36045" s="33"/>
    </row>
    <row r="36046" spans="10:10" ht="15" customHeight="1" x14ac:dyDescent="0.3">
      <c r="J36046" s="33"/>
    </row>
    <row r="36047" spans="10:10" x14ac:dyDescent="0.3">
      <c r="J36047" s="33"/>
    </row>
    <row r="36048" spans="10:10" ht="15" customHeight="1" x14ac:dyDescent="0.3">
      <c r="J36048" s="33"/>
    </row>
    <row r="36049" spans="10:10" x14ac:dyDescent="0.3">
      <c r="J36049" s="33"/>
    </row>
    <row r="36050" spans="10:10" ht="15" customHeight="1" x14ac:dyDescent="0.3">
      <c r="J36050" s="33"/>
    </row>
    <row r="36051" spans="10:10" x14ac:dyDescent="0.3">
      <c r="J36051" s="33"/>
    </row>
    <row r="36052" spans="10:10" x14ac:dyDescent="0.3">
      <c r="J36052" s="33"/>
    </row>
    <row r="36053" spans="10:10" x14ac:dyDescent="0.3">
      <c r="J36053" s="33"/>
    </row>
    <row r="36054" spans="10:10" x14ac:dyDescent="0.3">
      <c r="J36054" s="33"/>
    </row>
    <row r="36055" spans="10:10" ht="15" customHeight="1" x14ac:dyDescent="0.3">
      <c r="J36055" s="33"/>
    </row>
    <row r="36056" spans="10:10" x14ac:dyDescent="0.3">
      <c r="J36056" s="33"/>
    </row>
    <row r="36057" spans="10:10" ht="15" customHeight="1" x14ac:dyDescent="0.3">
      <c r="J36057" s="33"/>
    </row>
    <row r="36058" spans="10:10" ht="15" customHeight="1" x14ac:dyDescent="0.3">
      <c r="J36058" s="33"/>
    </row>
    <row r="36059" spans="10:10" ht="15" customHeight="1" x14ac:dyDescent="0.3">
      <c r="J36059" s="33"/>
    </row>
    <row r="36060" spans="10:10" ht="15" customHeight="1" x14ac:dyDescent="0.3">
      <c r="J36060" s="33"/>
    </row>
    <row r="36061" spans="10:10" ht="15" customHeight="1" x14ac:dyDescent="0.3">
      <c r="J36061" s="33"/>
    </row>
    <row r="36062" spans="10:10" x14ac:dyDescent="0.3">
      <c r="J36062" s="33"/>
    </row>
    <row r="36063" spans="10:10" ht="15" customHeight="1" x14ac:dyDescent="0.3">
      <c r="J36063" s="33"/>
    </row>
    <row r="36064" spans="10:10" ht="15" customHeight="1" x14ac:dyDescent="0.3">
      <c r="J36064" s="33"/>
    </row>
    <row r="36065" spans="10:10" ht="15" customHeight="1" x14ac:dyDescent="0.3">
      <c r="J36065" s="33"/>
    </row>
    <row r="36066" spans="10:10" ht="15" customHeight="1" x14ac:dyDescent="0.3">
      <c r="J36066" s="33"/>
    </row>
    <row r="36067" spans="10:10" ht="15" customHeight="1" x14ac:dyDescent="0.3">
      <c r="J36067" s="33"/>
    </row>
    <row r="36068" spans="10:10" ht="15" customHeight="1" x14ac:dyDescent="0.3">
      <c r="J36068" s="33"/>
    </row>
    <row r="36069" spans="10:10" ht="15" customHeight="1" x14ac:dyDescent="0.3">
      <c r="J36069" s="33"/>
    </row>
    <row r="36070" spans="10:10" x14ac:dyDescent="0.3">
      <c r="J36070" s="33"/>
    </row>
    <row r="36071" spans="10:10" ht="15" customHeight="1" x14ac:dyDescent="0.3">
      <c r="J36071" s="33"/>
    </row>
    <row r="36072" spans="10:10" ht="15" customHeight="1" x14ac:dyDescent="0.3">
      <c r="J36072" s="33"/>
    </row>
    <row r="36073" spans="10:10" ht="15" customHeight="1" x14ac:dyDescent="0.3">
      <c r="J36073" s="33"/>
    </row>
    <row r="36074" spans="10:10" x14ac:dyDescent="0.3">
      <c r="J36074" s="33"/>
    </row>
    <row r="36075" spans="10:10" x14ac:dyDescent="0.3">
      <c r="J36075" s="33"/>
    </row>
    <row r="36076" spans="10:10" ht="15" customHeight="1" x14ac:dyDescent="0.3">
      <c r="J36076" s="33"/>
    </row>
    <row r="36077" spans="10:10" x14ac:dyDescent="0.3">
      <c r="J36077" s="33"/>
    </row>
    <row r="36078" spans="10:10" ht="15" customHeight="1" x14ac:dyDescent="0.3">
      <c r="J36078" s="33"/>
    </row>
    <row r="36079" spans="10:10" ht="15" customHeight="1" x14ac:dyDescent="0.3">
      <c r="J36079" s="33"/>
    </row>
    <row r="36080" spans="10:10" ht="15" customHeight="1" x14ac:dyDescent="0.3">
      <c r="J36080" s="33"/>
    </row>
    <row r="36081" spans="10:10" ht="15" customHeight="1" x14ac:dyDescent="0.3">
      <c r="J36081" s="33"/>
    </row>
    <row r="36082" spans="10:10" ht="15" customHeight="1" x14ac:dyDescent="0.3">
      <c r="J36082" s="33"/>
    </row>
    <row r="36083" spans="10:10" x14ac:dyDescent="0.3">
      <c r="J36083" s="33"/>
    </row>
    <row r="36084" spans="10:10" ht="15" customHeight="1" x14ac:dyDescent="0.3">
      <c r="J36084" s="33"/>
    </row>
    <row r="36085" spans="10:10" x14ac:dyDescent="0.3">
      <c r="J36085" s="33"/>
    </row>
    <row r="36086" spans="10:10" x14ac:dyDescent="0.3">
      <c r="J36086" s="33"/>
    </row>
    <row r="36087" spans="10:10" x14ac:dyDescent="0.3">
      <c r="J36087" s="33"/>
    </row>
    <row r="36088" spans="10:10" x14ac:dyDescent="0.3">
      <c r="J36088" s="33"/>
    </row>
    <row r="36089" spans="10:10" x14ac:dyDescent="0.3">
      <c r="J36089" s="33"/>
    </row>
    <row r="36090" spans="10:10" ht="15" customHeight="1" x14ac:dyDescent="0.3">
      <c r="J36090" s="33"/>
    </row>
    <row r="36091" spans="10:10" ht="15" customHeight="1" x14ac:dyDescent="0.3">
      <c r="J36091" s="33"/>
    </row>
    <row r="36092" spans="10:10" x14ac:dyDescent="0.3">
      <c r="J36092" s="33"/>
    </row>
    <row r="36093" spans="10:10" ht="15" customHeight="1" x14ac:dyDescent="0.3">
      <c r="J36093" s="33"/>
    </row>
    <row r="36094" spans="10:10" x14ac:dyDescent="0.3">
      <c r="J36094" s="33"/>
    </row>
    <row r="36095" spans="10:10" x14ac:dyDescent="0.3">
      <c r="J36095" s="33"/>
    </row>
    <row r="36096" spans="10:10" x14ac:dyDescent="0.3">
      <c r="J36096" s="33"/>
    </row>
    <row r="36097" spans="10:10" ht="15" customHeight="1" x14ac:dyDescent="0.3">
      <c r="J36097" s="33"/>
    </row>
    <row r="36098" spans="10:10" x14ac:dyDescent="0.3">
      <c r="J36098" s="33"/>
    </row>
    <row r="36099" spans="10:10" x14ac:dyDescent="0.3">
      <c r="J36099" s="33"/>
    </row>
    <row r="36100" spans="10:10" x14ac:dyDescent="0.3">
      <c r="J36100" s="33"/>
    </row>
    <row r="36101" spans="10:10" x14ac:dyDescent="0.3">
      <c r="J36101" s="33"/>
    </row>
    <row r="36102" spans="10:10" ht="15" customHeight="1" x14ac:dyDescent="0.3">
      <c r="J36102" s="33"/>
    </row>
    <row r="36103" spans="10:10" ht="15" customHeight="1" x14ac:dyDescent="0.3">
      <c r="J36103" s="33"/>
    </row>
    <row r="36104" spans="10:10" x14ac:dyDescent="0.3">
      <c r="J36104" s="33"/>
    </row>
    <row r="36105" spans="10:10" ht="15" customHeight="1" x14ac:dyDescent="0.3">
      <c r="J36105" s="33"/>
    </row>
    <row r="36106" spans="10:10" x14ac:dyDescent="0.3">
      <c r="J36106" s="33"/>
    </row>
    <row r="36107" spans="10:10" x14ac:dyDescent="0.3">
      <c r="J36107" s="33"/>
    </row>
    <row r="36108" spans="10:10" ht="15" customHeight="1" x14ac:dyDescent="0.3">
      <c r="J36108" s="33"/>
    </row>
    <row r="36109" spans="10:10" ht="15" customHeight="1" x14ac:dyDescent="0.3">
      <c r="J36109" s="33"/>
    </row>
    <row r="36110" spans="10:10" x14ac:dyDescent="0.3">
      <c r="J36110" s="33"/>
    </row>
    <row r="36111" spans="10:10" x14ac:dyDescent="0.3">
      <c r="J36111" s="33"/>
    </row>
    <row r="36112" spans="10:10" x14ac:dyDescent="0.3">
      <c r="J36112" s="33"/>
    </row>
    <row r="36113" spans="10:10" ht="15" customHeight="1" x14ac:dyDescent="0.3">
      <c r="J36113" s="33"/>
    </row>
    <row r="36114" spans="10:10" ht="15" customHeight="1" x14ac:dyDescent="0.3">
      <c r="J36114" s="33"/>
    </row>
    <row r="36115" spans="10:10" x14ac:dyDescent="0.3">
      <c r="J36115" s="33"/>
    </row>
    <row r="36116" spans="10:10" x14ac:dyDescent="0.3">
      <c r="J36116" s="33"/>
    </row>
    <row r="36117" spans="10:10" ht="15" customHeight="1" x14ac:dyDescent="0.3">
      <c r="J36117" s="33"/>
    </row>
    <row r="36118" spans="10:10" x14ac:dyDescent="0.3">
      <c r="J36118" s="33"/>
    </row>
    <row r="36119" spans="10:10" x14ac:dyDescent="0.3">
      <c r="J36119" s="33"/>
    </row>
    <row r="36120" spans="10:10" ht="15" customHeight="1" x14ac:dyDescent="0.3">
      <c r="J36120" s="33"/>
    </row>
    <row r="36121" spans="10:10" ht="15" customHeight="1" x14ac:dyDescent="0.3">
      <c r="J36121" s="33"/>
    </row>
    <row r="36122" spans="10:10" x14ac:dyDescent="0.3">
      <c r="J36122" s="33"/>
    </row>
    <row r="36123" spans="10:10" ht="15" customHeight="1" x14ac:dyDescent="0.3">
      <c r="J36123" s="33"/>
    </row>
    <row r="36124" spans="10:10" ht="15" customHeight="1" x14ac:dyDescent="0.3">
      <c r="J36124" s="33"/>
    </row>
    <row r="36125" spans="10:10" x14ac:dyDescent="0.3">
      <c r="J36125" s="33"/>
    </row>
    <row r="36126" spans="10:10" ht="15" customHeight="1" x14ac:dyDescent="0.3">
      <c r="J36126" s="33"/>
    </row>
    <row r="36127" spans="10:10" ht="15" customHeight="1" x14ac:dyDescent="0.3">
      <c r="J36127" s="33"/>
    </row>
    <row r="36128" spans="10:10" x14ac:dyDescent="0.3">
      <c r="J36128" s="33"/>
    </row>
    <row r="36129" spans="10:10" ht="15" customHeight="1" x14ac:dyDescent="0.3">
      <c r="J36129" s="33"/>
    </row>
    <row r="36130" spans="10:10" x14ac:dyDescent="0.3">
      <c r="J36130" s="33"/>
    </row>
    <row r="36131" spans="10:10" x14ac:dyDescent="0.3">
      <c r="J36131" s="33"/>
    </row>
    <row r="36132" spans="10:10" x14ac:dyDescent="0.3">
      <c r="J36132" s="33"/>
    </row>
    <row r="36133" spans="10:10" x14ac:dyDescent="0.3">
      <c r="J36133" s="33"/>
    </row>
    <row r="36134" spans="10:10" ht="15" customHeight="1" x14ac:dyDescent="0.3">
      <c r="J36134" s="33"/>
    </row>
    <row r="36135" spans="10:10" ht="15" customHeight="1" x14ac:dyDescent="0.3">
      <c r="J36135" s="33"/>
    </row>
    <row r="36136" spans="10:10" ht="15" customHeight="1" x14ac:dyDescent="0.3">
      <c r="J36136" s="33"/>
    </row>
    <row r="36137" spans="10:10" ht="15" customHeight="1" x14ac:dyDescent="0.3">
      <c r="J36137" s="33"/>
    </row>
    <row r="36138" spans="10:10" ht="15" customHeight="1" x14ac:dyDescent="0.3">
      <c r="J36138" s="33"/>
    </row>
    <row r="36139" spans="10:10" ht="15" customHeight="1" x14ac:dyDescent="0.3">
      <c r="J36139" s="33"/>
    </row>
    <row r="36140" spans="10:10" ht="15" customHeight="1" x14ac:dyDescent="0.3">
      <c r="J36140" s="33"/>
    </row>
    <row r="36141" spans="10:10" x14ac:dyDescent="0.3">
      <c r="J36141" s="33"/>
    </row>
    <row r="36142" spans="10:10" ht="15" customHeight="1" x14ac:dyDescent="0.3">
      <c r="J36142" s="33"/>
    </row>
    <row r="36143" spans="10:10" x14ac:dyDescent="0.3">
      <c r="J36143" s="33"/>
    </row>
    <row r="36144" spans="10:10" x14ac:dyDescent="0.3">
      <c r="J36144" s="33"/>
    </row>
    <row r="36145" spans="10:10" ht="15" customHeight="1" x14ac:dyDescent="0.3">
      <c r="J36145" s="33"/>
    </row>
    <row r="36146" spans="10:10" x14ac:dyDescent="0.3">
      <c r="J36146" s="33"/>
    </row>
    <row r="36147" spans="10:10" ht="15" customHeight="1" x14ac:dyDescent="0.3">
      <c r="J36147" s="33"/>
    </row>
    <row r="36148" spans="10:10" x14ac:dyDescent="0.3">
      <c r="J36148" s="33"/>
    </row>
    <row r="36149" spans="10:10" x14ac:dyDescent="0.3">
      <c r="J36149" s="33"/>
    </row>
    <row r="36150" spans="10:10" ht="15" customHeight="1" x14ac:dyDescent="0.3">
      <c r="J36150" s="33"/>
    </row>
    <row r="36151" spans="10:10" x14ac:dyDescent="0.3">
      <c r="J36151" s="33"/>
    </row>
    <row r="36152" spans="10:10" ht="15" customHeight="1" x14ac:dyDescent="0.3">
      <c r="J36152" s="33"/>
    </row>
    <row r="36153" spans="10:10" x14ac:dyDescent="0.3">
      <c r="J36153" s="33"/>
    </row>
    <row r="36154" spans="10:10" ht="15" customHeight="1" x14ac:dyDescent="0.3">
      <c r="J36154" s="33"/>
    </row>
    <row r="36155" spans="10:10" ht="15" customHeight="1" x14ac:dyDescent="0.3">
      <c r="J36155" s="33"/>
    </row>
    <row r="36156" spans="10:10" ht="15" customHeight="1" x14ac:dyDescent="0.3">
      <c r="J36156" s="33"/>
    </row>
    <row r="36157" spans="10:10" x14ac:dyDescent="0.3">
      <c r="J36157" s="33"/>
    </row>
    <row r="36158" spans="10:10" ht="15" customHeight="1" x14ac:dyDescent="0.3">
      <c r="J36158" s="33"/>
    </row>
    <row r="36159" spans="10:10" ht="15" customHeight="1" x14ac:dyDescent="0.3">
      <c r="J36159" s="33"/>
    </row>
    <row r="36160" spans="10:10" ht="15" customHeight="1" x14ac:dyDescent="0.3">
      <c r="J36160" s="33"/>
    </row>
    <row r="36161" spans="10:10" ht="15" customHeight="1" x14ac:dyDescent="0.3">
      <c r="J36161" s="33"/>
    </row>
    <row r="36162" spans="10:10" ht="15" customHeight="1" x14ac:dyDescent="0.3">
      <c r="J36162" s="33"/>
    </row>
    <row r="36163" spans="10:10" x14ac:dyDescent="0.3">
      <c r="J36163" s="33"/>
    </row>
    <row r="36164" spans="10:10" x14ac:dyDescent="0.3">
      <c r="J36164" s="33"/>
    </row>
    <row r="36165" spans="10:10" x14ac:dyDescent="0.3">
      <c r="J36165" s="33"/>
    </row>
    <row r="36166" spans="10:10" x14ac:dyDescent="0.3">
      <c r="J36166" s="33"/>
    </row>
    <row r="36167" spans="10:10" ht="15" customHeight="1" x14ac:dyDescent="0.3">
      <c r="J36167" s="33"/>
    </row>
    <row r="36168" spans="10:10" ht="15" customHeight="1" x14ac:dyDescent="0.3">
      <c r="J36168" s="33"/>
    </row>
    <row r="36169" spans="10:10" x14ac:dyDescent="0.3">
      <c r="J36169" s="33"/>
    </row>
    <row r="36170" spans="10:10" x14ac:dyDescent="0.3">
      <c r="J36170" s="33"/>
    </row>
    <row r="36171" spans="10:10" x14ac:dyDescent="0.3">
      <c r="J36171" s="33"/>
    </row>
    <row r="36172" spans="10:10" x14ac:dyDescent="0.3">
      <c r="J36172" s="33"/>
    </row>
    <row r="36173" spans="10:10" x14ac:dyDescent="0.3">
      <c r="J36173" s="33"/>
    </row>
    <row r="36174" spans="10:10" ht="15" customHeight="1" x14ac:dyDescent="0.3">
      <c r="J36174" s="33"/>
    </row>
    <row r="36175" spans="10:10" ht="15" customHeight="1" x14ac:dyDescent="0.3">
      <c r="J36175" s="33"/>
    </row>
    <row r="36176" spans="10:10" ht="15" customHeight="1" x14ac:dyDescent="0.3">
      <c r="J36176" s="33"/>
    </row>
    <row r="36177" spans="10:10" x14ac:dyDescent="0.3">
      <c r="J36177" s="33"/>
    </row>
    <row r="36178" spans="10:10" x14ac:dyDescent="0.3">
      <c r="J36178" s="33"/>
    </row>
    <row r="36179" spans="10:10" ht="15" customHeight="1" x14ac:dyDescent="0.3">
      <c r="J36179" s="33"/>
    </row>
    <row r="36180" spans="10:10" ht="15" customHeight="1" x14ac:dyDescent="0.3">
      <c r="J36180" s="33"/>
    </row>
    <row r="36181" spans="10:10" ht="15" customHeight="1" x14ac:dyDescent="0.3">
      <c r="J36181" s="33"/>
    </row>
    <row r="36182" spans="10:10" x14ac:dyDescent="0.3">
      <c r="J36182" s="33"/>
    </row>
    <row r="36183" spans="10:10" ht="15" customHeight="1" x14ac:dyDescent="0.3">
      <c r="J36183" s="33"/>
    </row>
    <row r="36184" spans="10:10" x14ac:dyDescent="0.3">
      <c r="J36184" s="33"/>
    </row>
    <row r="36185" spans="10:10" ht="15" customHeight="1" x14ac:dyDescent="0.3">
      <c r="J36185" s="33"/>
    </row>
    <row r="36186" spans="10:10" ht="15" customHeight="1" x14ac:dyDescent="0.3">
      <c r="J36186" s="33"/>
    </row>
    <row r="36187" spans="10:10" x14ac:dyDescent="0.3">
      <c r="J36187" s="33"/>
    </row>
    <row r="36188" spans="10:10" x14ac:dyDescent="0.3">
      <c r="J36188" s="33"/>
    </row>
    <row r="36189" spans="10:10" ht="15" customHeight="1" x14ac:dyDescent="0.3">
      <c r="J36189" s="33"/>
    </row>
    <row r="36190" spans="10:10" x14ac:dyDescent="0.3">
      <c r="J36190" s="33"/>
    </row>
    <row r="36191" spans="10:10" x14ac:dyDescent="0.3">
      <c r="J36191" s="33"/>
    </row>
    <row r="36192" spans="10:10" ht="15" customHeight="1" x14ac:dyDescent="0.3">
      <c r="J36192" s="33"/>
    </row>
    <row r="36193" spans="10:10" ht="15" customHeight="1" x14ac:dyDescent="0.3">
      <c r="J36193" s="33"/>
    </row>
    <row r="36194" spans="10:10" x14ac:dyDescent="0.3">
      <c r="J36194" s="33"/>
    </row>
    <row r="36195" spans="10:10" x14ac:dyDescent="0.3">
      <c r="J36195" s="33"/>
    </row>
    <row r="36196" spans="10:10" ht="15" customHeight="1" x14ac:dyDescent="0.3">
      <c r="J36196" s="33"/>
    </row>
    <row r="36197" spans="10:10" x14ac:dyDescent="0.3">
      <c r="J36197" s="33"/>
    </row>
    <row r="36198" spans="10:10" x14ac:dyDescent="0.3">
      <c r="J36198" s="33"/>
    </row>
    <row r="36199" spans="10:10" x14ac:dyDescent="0.3">
      <c r="J36199" s="33"/>
    </row>
    <row r="36200" spans="10:10" x14ac:dyDescent="0.3">
      <c r="J36200" s="33"/>
    </row>
    <row r="36201" spans="10:10" ht="15" customHeight="1" x14ac:dyDescent="0.3">
      <c r="J36201" s="33"/>
    </row>
    <row r="36202" spans="10:10" ht="15" customHeight="1" x14ac:dyDescent="0.3">
      <c r="J36202" s="33"/>
    </row>
    <row r="36203" spans="10:10" x14ac:dyDescent="0.3">
      <c r="J36203" s="33"/>
    </row>
    <row r="36204" spans="10:10" x14ac:dyDescent="0.3">
      <c r="J36204" s="33"/>
    </row>
    <row r="36205" spans="10:10" x14ac:dyDescent="0.3">
      <c r="J36205" s="33"/>
    </row>
    <row r="36206" spans="10:10" ht="15" customHeight="1" x14ac:dyDescent="0.3">
      <c r="J36206" s="33"/>
    </row>
    <row r="36207" spans="10:10" x14ac:dyDescent="0.3">
      <c r="J36207" s="33"/>
    </row>
    <row r="36208" spans="10:10" ht="15" customHeight="1" x14ac:dyDescent="0.3">
      <c r="J36208" s="33"/>
    </row>
    <row r="36209" spans="10:10" ht="15" customHeight="1" x14ac:dyDescent="0.3">
      <c r="J36209" s="33"/>
    </row>
    <row r="36210" spans="10:10" x14ac:dyDescent="0.3">
      <c r="J36210" s="33"/>
    </row>
    <row r="36211" spans="10:10" ht="15" customHeight="1" x14ac:dyDescent="0.3">
      <c r="J36211" s="33"/>
    </row>
    <row r="36212" spans="10:10" x14ac:dyDescent="0.3">
      <c r="J36212" s="33"/>
    </row>
    <row r="36213" spans="10:10" ht="15" customHeight="1" x14ac:dyDescent="0.3">
      <c r="J36213" s="33"/>
    </row>
    <row r="36214" spans="10:10" ht="15" customHeight="1" x14ac:dyDescent="0.3">
      <c r="J36214" s="33"/>
    </row>
    <row r="36215" spans="10:10" ht="15" customHeight="1" x14ac:dyDescent="0.3">
      <c r="J36215" s="33"/>
    </row>
    <row r="36216" spans="10:10" ht="15" customHeight="1" x14ac:dyDescent="0.3">
      <c r="J36216" s="33"/>
    </row>
    <row r="36217" spans="10:10" ht="15" customHeight="1" x14ac:dyDescent="0.3">
      <c r="J36217" s="33"/>
    </row>
    <row r="36218" spans="10:10" ht="15" customHeight="1" x14ac:dyDescent="0.3">
      <c r="J36218" s="33"/>
    </row>
    <row r="36219" spans="10:10" ht="15" customHeight="1" x14ac:dyDescent="0.3">
      <c r="J36219" s="33"/>
    </row>
    <row r="36220" spans="10:10" ht="15" customHeight="1" x14ac:dyDescent="0.3">
      <c r="J36220" s="33"/>
    </row>
    <row r="36221" spans="10:10" x14ac:dyDescent="0.3">
      <c r="J36221" s="33"/>
    </row>
    <row r="36222" spans="10:10" ht="15" customHeight="1" x14ac:dyDescent="0.3">
      <c r="J36222" s="33"/>
    </row>
    <row r="36223" spans="10:10" ht="15" customHeight="1" x14ac:dyDescent="0.3">
      <c r="J36223" s="33"/>
    </row>
    <row r="36224" spans="10:10" x14ac:dyDescent="0.3">
      <c r="J36224" s="33"/>
    </row>
    <row r="36225" spans="10:10" x14ac:dyDescent="0.3">
      <c r="J36225" s="33"/>
    </row>
    <row r="36226" spans="10:10" ht="15" customHeight="1" x14ac:dyDescent="0.3">
      <c r="J36226" s="33"/>
    </row>
    <row r="36227" spans="10:10" ht="15" customHeight="1" x14ac:dyDescent="0.3">
      <c r="J36227" s="33"/>
    </row>
    <row r="36228" spans="10:10" ht="15" customHeight="1" x14ac:dyDescent="0.3">
      <c r="J36228" s="33"/>
    </row>
    <row r="36229" spans="10:10" x14ac:dyDescent="0.3">
      <c r="J36229" s="33"/>
    </row>
    <row r="36230" spans="10:10" x14ac:dyDescent="0.3">
      <c r="J36230" s="33"/>
    </row>
    <row r="36231" spans="10:10" x14ac:dyDescent="0.3">
      <c r="J36231" s="33"/>
    </row>
    <row r="36232" spans="10:10" x14ac:dyDescent="0.3">
      <c r="J36232" s="33"/>
    </row>
    <row r="36233" spans="10:10" ht="15" customHeight="1" x14ac:dyDescent="0.3">
      <c r="J36233" s="33"/>
    </row>
    <row r="36234" spans="10:10" ht="15" customHeight="1" x14ac:dyDescent="0.3">
      <c r="J36234" s="33"/>
    </row>
    <row r="36235" spans="10:10" x14ac:dyDescent="0.3">
      <c r="J36235" s="33"/>
    </row>
    <row r="36236" spans="10:10" ht="15" customHeight="1" x14ac:dyDescent="0.3">
      <c r="J36236" s="33"/>
    </row>
    <row r="36237" spans="10:10" x14ac:dyDescent="0.3">
      <c r="J36237" s="33"/>
    </row>
    <row r="36238" spans="10:10" x14ac:dyDescent="0.3">
      <c r="J36238" s="33"/>
    </row>
    <row r="36239" spans="10:10" x14ac:dyDescent="0.3">
      <c r="J36239" s="33"/>
    </row>
    <row r="36240" spans="10:10" ht="15" customHeight="1" x14ac:dyDescent="0.3">
      <c r="J36240" s="33"/>
    </row>
    <row r="36241" spans="10:10" ht="15" customHeight="1" x14ac:dyDescent="0.3">
      <c r="J36241" s="33"/>
    </row>
    <row r="36242" spans="10:10" x14ac:dyDescent="0.3">
      <c r="J36242" s="33"/>
    </row>
    <row r="36243" spans="10:10" x14ac:dyDescent="0.3">
      <c r="J36243" s="33"/>
    </row>
    <row r="36244" spans="10:10" x14ac:dyDescent="0.3">
      <c r="J36244" s="33"/>
    </row>
    <row r="36245" spans="10:10" ht="15" customHeight="1" x14ac:dyDescent="0.3">
      <c r="J36245" s="33"/>
    </row>
    <row r="36246" spans="10:10" ht="15" customHeight="1" x14ac:dyDescent="0.3">
      <c r="J36246" s="33"/>
    </row>
    <row r="36247" spans="10:10" x14ac:dyDescent="0.3">
      <c r="J36247" s="33"/>
    </row>
    <row r="36248" spans="10:10" ht="15" customHeight="1" x14ac:dyDescent="0.3">
      <c r="J36248" s="33"/>
    </row>
    <row r="36249" spans="10:10" ht="15" customHeight="1" x14ac:dyDescent="0.3">
      <c r="J36249" s="33"/>
    </row>
    <row r="36250" spans="10:10" ht="15" customHeight="1" x14ac:dyDescent="0.3">
      <c r="J36250" s="33"/>
    </row>
    <row r="36251" spans="10:10" x14ac:dyDescent="0.3">
      <c r="J36251" s="33"/>
    </row>
    <row r="36252" spans="10:10" ht="15" customHeight="1" x14ac:dyDescent="0.3">
      <c r="J36252" s="33"/>
    </row>
    <row r="36253" spans="10:10" ht="15" customHeight="1" x14ac:dyDescent="0.3">
      <c r="J36253" s="33"/>
    </row>
    <row r="36254" spans="10:10" ht="15" customHeight="1" x14ac:dyDescent="0.3">
      <c r="J36254" s="33"/>
    </row>
    <row r="36255" spans="10:10" ht="15" customHeight="1" x14ac:dyDescent="0.3">
      <c r="J36255" s="33"/>
    </row>
    <row r="36256" spans="10:10" x14ac:dyDescent="0.3">
      <c r="J36256" s="33"/>
    </row>
    <row r="36257" spans="10:10" ht="15" customHeight="1" x14ac:dyDescent="0.3">
      <c r="J36257" s="33"/>
    </row>
    <row r="36258" spans="10:10" x14ac:dyDescent="0.3">
      <c r="J36258" s="33"/>
    </row>
    <row r="36259" spans="10:10" ht="15" customHeight="1" x14ac:dyDescent="0.3">
      <c r="J36259" s="33"/>
    </row>
    <row r="36260" spans="10:10" x14ac:dyDescent="0.3">
      <c r="J36260" s="33"/>
    </row>
    <row r="36261" spans="10:10" ht="15" customHeight="1" x14ac:dyDescent="0.3">
      <c r="J36261" s="33"/>
    </row>
    <row r="36262" spans="10:10" ht="15" customHeight="1" x14ac:dyDescent="0.3">
      <c r="J36262" s="33"/>
    </row>
    <row r="36263" spans="10:10" ht="15" customHeight="1" x14ac:dyDescent="0.3">
      <c r="J36263" s="33"/>
    </row>
    <row r="36264" spans="10:10" x14ac:dyDescent="0.3">
      <c r="J36264" s="33"/>
    </row>
    <row r="36265" spans="10:10" ht="15" customHeight="1" x14ac:dyDescent="0.3">
      <c r="J36265" s="33"/>
    </row>
    <row r="36266" spans="10:10" x14ac:dyDescent="0.3">
      <c r="J36266" s="33"/>
    </row>
    <row r="36267" spans="10:10" x14ac:dyDescent="0.3">
      <c r="J36267" s="33"/>
    </row>
    <row r="36268" spans="10:10" ht="15" customHeight="1" x14ac:dyDescent="0.3">
      <c r="J36268" s="33"/>
    </row>
    <row r="36269" spans="10:10" ht="15" customHeight="1" x14ac:dyDescent="0.3">
      <c r="J36269" s="33"/>
    </row>
    <row r="36270" spans="10:10" x14ac:dyDescent="0.3">
      <c r="J36270" s="33"/>
    </row>
    <row r="36271" spans="10:10" x14ac:dyDescent="0.3">
      <c r="J36271" s="33"/>
    </row>
    <row r="36272" spans="10:10" ht="15" customHeight="1" x14ac:dyDescent="0.3">
      <c r="J36272" s="33"/>
    </row>
    <row r="36273" spans="10:10" x14ac:dyDescent="0.3">
      <c r="J36273" s="33"/>
    </row>
    <row r="36274" spans="10:10" ht="15" customHeight="1" x14ac:dyDescent="0.3">
      <c r="J36274" s="33"/>
    </row>
    <row r="36275" spans="10:10" x14ac:dyDescent="0.3">
      <c r="J36275" s="33"/>
    </row>
    <row r="36276" spans="10:10" ht="15" customHeight="1" x14ac:dyDescent="0.3">
      <c r="J36276" s="33"/>
    </row>
    <row r="36277" spans="10:10" ht="15" customHeight="1" x14ac:dyDescent="0.3">
      <c r="J36277" s="33"/>
    </row>
    <row r="36278" spans="10:10" x14ac:dyDescent="0.3">
      <c r="J36278" s="33"/>
    </row>
    <row r="36279" spans="10:10" ht="15" customHeight="1" x14ac:dyDescent="0.3">
      <c r="J36279" s="33"/>
    </row>
    <row r="36280" spans="10:10" x14ac:dyDescent="0.3">
      <c r="J36280" s="33"/>
    </row>
    <row r="36281" spans="10:10" x14ac:dyDescent="0.3">
      <c r="J36281" s="33"/>
    </row>
    <row r="36282" spans="10:10" x14ac:dyDescent="0.3">
      <c r="J36282" s="33"/>
    </row>
    <row r="36283" spans="10:10" x14ac:dyDescent="0.3">
      <c r="J36283" s="33"/>
    </row>
    <row r="36284" spans="10:10" ht="15" customHeight="1" x14ac:dyDescent="0.3">
      <c r="J36284" s="33"/>
    </row>
    <row r="36285" spans="10:10" x14ac:dyDescent="0.3">
      <c r="J36285" s="33"/>
    </row>
    <row r="36286" spans="10:10" x14ac:dyDescent="0.3">
      <c r="J36286" s="33"/>
    </row>
    <row r="36287" spans="10:10" x14ac:dyDescent="0.3">
      <c r="J36287" s="33"/>
    </row>
    <row r="36288" spans="10:10" x14ac:dyDescent="0.3">
      <c r="J36288" s="33"/>
    </row>
    <row r="36289" spans="10:10" ht="15" customHeight="1" x14ac:dyDescent="0.3">
      <c r="J36289" s="33"/>
    </row>
    <row r="36290" spans="10:10" ht="15" customHeight="1" x14ac:dyDescent="0.3">
      <c r="J36290" s="33"/>
    </row>
    <row r="36291" spans="10:10" x14ac:dyDescent="0.3">
      <c r="J36291" s="33"/>
    </row>
    <row r="36292" spans="10:10" ht="15" customHeight="1" x14ac:dyDescent="0.3">
      <c r="J36292" s="33"/>
    </row>
    <row r="36293" spans="10:10" x14ac:dyDescent="0.3">
      <c r="J36293" s="33"/>
    </row>
    <row r="36294" spans="10:10" x14ac:dyDescent="0.3">
      <c r="J36294" s="33"/>
    </row>
    <row r="36295" spans="10:10" x14ac:dyDescent="0.3">
      <c r="J36295" s="33"/>
    </row>
    <row r="36296" spans="10:10" x14ac:dyDescent="0.3">
      <c r="J36296" s="33"/>
    </row>
    <row r="36297" spans="10:10" ht="15" customHeight="1" x14ac:dyDescent="0.3">
      <c r="J36297" s="33"/>
    </row>
    <row r="36298" spans="10:10" ht="15" customHeight="1" x14ac:dyDescent="0.3">
      <c r="J36298" s="33"/>
    </row>
    <row r="36299" spans="10:10" x14ac:dyDescent="0.3">
      <c r="J36299" s="33"/>
    </row>
    <row r="36300" spans="10:10" x14ac:dyDescent="0.3">
      <c r="J36300" s="33"/>
    </row>
    <row r="36301" spans="10:10" x14ac:dyDescent="0.3">
      <c r="J36301" s="33"/>
    </row>
    <row r="36302" spans="10:10" x14ac:dyDescent="0.3">
      <c r="J36302" s="33"/>
    </row>
    <row r="36303" spans="10:10" ht="15" customHeight="1" x14ac:dyDescent="0.3">
      <c r="J36303" s="33"/>
    </row>
    <row r="36304" spans="10:10" ht="15" customHeight="1" x14ac:dyDescent="0.3">
      <c r="J36304" s="33"/>
    </row>
    <row r="36305" spans="10:10" ht="15" customHeight="1" x14ac:dyDescent="0.3">
      <c r="J36305" s="33"/>
    </row>
    <row r="36306" spans="10:10" x14ac:dyDescent="0.3">
      <c r="J36306" s="33"/>
    </row>
    <row r="36307" spans="10:10" x14ac:dyDescent="0.3">
      <c r="J36307" s="33"/>
    </row>
    <row r="36308" spans="10:10" ht="15" customHeight="1" x14ac:dyDescent="0.3">
      <c r="J36308" s="33"/>
    </row>
    <row r="36309" spans="10:10" x14ac:dyDescent="0.3">
      <c r="J36309" s="33"/>
    </row>
    <row r="36310" spans="10:10" ht="15" customHeight="1" x14ac:dyDescent="0.3">
      <c r="J36310" s="33"/>
    </row>
    <row r="36311" spans="10:10" ht="15" customHeight="1" x14ac:dyDescent="0.3">
      <c r="J36311" s="33"/>
    </row>
    <row r="36312" spans="10:10" ht="15" customHeight="1" x14ac:dyDescent="0.3">
      <c r="J36312" s="33"/>
    </row>
    <row r="36313" spans="10:10" ht="15" customHeight="1" x14ac:dyDescent="0.3">
      <c r="J36313" s="33"/>
    </row>
    <row r="36314" spans="10:10" ht="15" customHeight="1" x14ac:dyDescent="0.3">
      <c r="J36314" s="33"/>
    </row>
    <row r="36315" spans="10:10" ht="15" customHeight="1" x14ac:dyDescent="0.3">
      <c r="J36315" s="33"/>
    </row>
    <row r="36316" spans="10:10" x14ac:dyDescent="0.3">
      <c r="J36316" s="33"/>
    </row>
    <row r="36317" spans="10:10" ht="15" customHeight="1" x14ac:dyDescent="0.3">
      <c r="J36317" s="33"/>
    </row>
    <row r="36318" spans="10:10" ht="15" customHeight="1" x14ac:dyDescent="0.3">
      <c r="J36318" s="33"/>
    </row>
    <row r="36319" spans="10:10" ht="15" customHeight="1" x14ac:dyDescent="0.3">
      <c r="J36319" s="33"/>
    </row>
    <row r="36320" spans="10:10" x14ac:dyDescent="0.3">
      <c r="J36320" s="33"/>
    </row>
    <row r="36321" spans="10:10" x14ac:dyDescent="0.3">
      <c r="J36321" s="33"/>
    </row>
    <row r="36322" spans="10:10" x14ac:dyDescent="0.3">
      <c r="J36322" s="33"/>
    </row>
    <row r="36323" spans="10:10" x14ac:dyDescent="0.3">
      <c r="J36323" s="33"/>
    </row>
    <row r="36324" spans="10:10" ht="15" customHeight="1" x14ac:dyDescent="0.3">
      <c r="J36324" s="33"/>
    </row>
    <row r="36325" spans="10:10" x14ac:dyDescent="0.3">
      <c r="J36325" s="33"/>
    </row>
    <row r="36326" spans="10:10" x14ac:dyDescent="0.3">
      <c r="J36326" s="33"/>
    </row>
    <row r="36327" spans="10:10" x14ac:dyDescent="0.3">
      <c r="J36327" s="33"/>
    </row>
    <row r="36328" spans="10:10" ht="15" customHeight="1" x14ac:dyDescent="0.3">
      <c r="J36328" s="33"/>
    </row>
    <row r="36329" spans="10:10" ht="15" customHeight="1" x14ac:dyDescent="0.3">
      <c r="J36329" s="33"/>
    </row>
    <row r="36330" spans="10:10" ht="15" customHeight="1" x14ac:dyDescent="0.3">
      <c r="J36330" s="33"/>
    </row>
    <row r="36331" spans="10:10" ht="15" customHeight="1" x14ac:dyDescent="0.3">
      <c r="J36331" s="33"/>
    </row>
    <row r="36332" spans="10:10" x14ac:dyDescent="0.3">
      <c r="J36332" s="33"/>
    </row>
    <row r="36333" spans="10:10" ht="15" customHeight="1" x14ac:dyDescent="0.3">
      <c r="J36333" s="33"/>
    </row>
    <row r="36334" spans="10:10" ht="15" customHeight="1" x14ac:dyDescent="0.3">
      <c r="J36334" s="33"/>
    </row>
    <row r="36335" spans="10:10" x14ac:dyDescent="0.3">
      <c r="J36335" s="33"/>
    </row>
    <row r="36336" spans="10:10" ht="15" customHeight="1" x14ac:dyDescent="0.3">
      <c r="J36336" s="33"/>
    </row>
    <row r="36337" spans="10:10" x14ac:dyDescent="0.3">
      <c r="J36337" s="33"/>
    </row>
    <row r="36338" spans="10:10" x14ac:dyDescent="0.3">
      <c r="J36338" s="33"/>
    </row>
    <row r="36339" spans="10:10" x14ac:dyDescent="0.3">
      <c r="J36339" s="33"/>
    </row>
    <row r="36340" spans="10:10" ht="15" customHeight="1" x14ac:dyDescent="0.3">
      <c r="J36340" s="33"/>
    </row>
    <row r="36341" spans="10:10" x14ac:dyDescent="0.3">
      <c r="J36341" s="33"/>
    </row>
    <row r="36342" spans="10:10" ht="15" customHeight="1" x14ac:dyDescent="0.3">
      <c r="J36342" s="33"/>
    </row>
    <row r="36343" spans="10:10" ht="15" customHeight="1" x14ac:dyDescent="0.3">
      <c r="J36343" s="33"/>
    </row>
    <row r="36344" spans="10:10" ht="15" customHeight="1" x14ac:dyDescent="0.3">
      <c r="J36344" s="33"/>
    </row>
    <row r="36345" spans="10:10" x14ac:dyDescent="0.3">
      <c r="J36345" s="33"/>
    </row>
    <row r="36346" spans="10:10" x14ac:dyDescent="0.3">
      <c r="J36346" s="33"/>
    </row>
    <row r="36347" spans="10:10" ht="15" customHeight="1" x14ac:dyDescent="0.3">
      <c r="J36347" s="33"/>
    </row>
    <row r="36348" spans="10:10" ht="15" customHeight="1" x14ac:dyDescent="0.3">
      <c r="J36348" s="33"/>
    </row>
    <row r="36349" spans="10:10" ht="15" customHeight="1" x14ac:dyDescent="0.3">
      <c r="J36349" s="33"/>
    </row>
    <row r="36350" spans="10:10" x14ac:dyDescent="0.3">
      <c r="J36350" s="33"/>
    </row>
    <row r="36351" spans="10:10" ht="15" customHeight="1" x14ac:dyDescent="0.3">
      <c r="J36351" s="33"/>
    </row>
    <row r="36352" spans="10:10" ht="15" customHeight="1" x14ac:dyDescent="0.3">
      <c r="J36352" s="33"/>
    </row>
    <row r="36353" spans="10:10" ht="15" customHeight="1" x14ac:dyDescent="0.3">
      <c r="J36353" s="33"/>
    </row>
    <row r="36354" spans="10:10" x14ac:dyDescent="0.3">
      <c r="J36354" s="33"/>
    </row>
    <row r="36355" spans="10:10" ht="15" customHeight="1" x14ac:dyDescent="0.3">
      <c r="J36355" s="33"/>
    </row>
    <row r="36356" spans="10:10" x14ac:dyDescent="0.3">
      <c r="J36356" s="33"/>
    </row>
    <row r="36357" spans="10:10" x14ac:dyDescent="0.3">
      <c r="J36357" s="33"/>
    </row>
    <row r="36358" spans="10:10" x14ac:dyDescent="0.3">
      <c r="J36358" s="33"/>
    </row>
    <row r="36359" spans="10:10" x14ac:dyDescent="0.3">
      <c r="J36359" s="33"/>
    </row>
    <row r="36360" spans="10:10" ht="15" customHeight="1" x14ac:dyDescent="0.3">
      <c r="J36360" s="33"/>
    </row>
    <row r="36361" spans="10:10" x14ac:dyDescent="0.3">
      <c r="J36361" s="33"/>
    </row>
    <row r="36362" spans="10:10" ht="15" customHeight="1" x14ac:dyDescent="0.3">
      <c r="J36362" s="33"/>
    </row>
    <row r="36363" spans="10:10" ht="15" customHeight="1" x14ac:dyDescent="0.3">
      <c r="J36363" s="33"/>
    </row>
    <row r="36364" spans="10:10" ht="15" customHeight="1" x14ac:dyDescent="0.3">
      <c r="J36364" s="33"/>
    </row>
    <row r="36365" spans="10:10" ht="15" customHeight="1" x14ac:dyDescent="0.3">
      <c r="J36365" s="33"/>
    </row>
    <row r="36366" spans="10:10" x14ac:dyDescent="0.3">
      <c r="J36366" s="33"/>
    </row>
    <row r="36367" spans="10:10" ht="15" customHeight="1" x14ac:dyDescent="0.3">
      <c r="J36367" s="33"/>
    </row>
    <row r="36368" spans="10:10" ht="15" customHeight="1" x14ac:dyDescent="0.3">
      <c r="J36368" s="33"/>
    </row>
    <row r="36369" spans="10:10" x14ac:dyDescent="0.3">
      <c r="J36369" s="33"/>
    </row>
    <row r="36370" spans="10:10" x14ac:dyDescent="0.3">
      <c r="J36370" s="33"/>
    </row>
    <row r="36371" spans="10:10" x14ac:dyDescent="0.3">
      <c r="J36371" s="33"/>
    </row>
    <row r="36372" spans="10:10" ht="15" customHeight="1" x14ac:dyDescent="0.3">
      <c r="J36372" s="33"/>
    </row>
    <row r="36373" spans="10:10" x14ac:dyDescent="0.3">
      <c r="J36373" s="33"/>
    </row>
    <row r="36374" spans="10:10" ht="15" customHeight="1" x14ac:dyDescent="0.3">
      <c r="J36374" s="33"/>
    </row>
    <row r="36375" spans="10:10" ht="15" customHeight="1" x14ac:dyDescent="0.3">
      <c r="J36375" s="33"/>
    </row>
    <row r="36376" spans="10:10" ht="15" customHeight="1" x14ac:dyDescent="0.3">
      <c r="J36376" s="33"/>
    </row>
    <row r="36377" spans="10:10" ht="15" customHeight="1" x14ac:dyDescent="0.3">
      <c r="J36377" s="33"/>
    </row>
    <row r="36378" spans="10:10" ht="15" customHeight="1" x14ac:dyDescent="0.3">
      <c r="J36378" s="33"/>
    </row>
    <row r="36379" spans="10:10" ht="15" customHeight="1" x14ac:dyDescent="0.3">
      <c r="J36379" s="33"/>
    </row>
    <row r="36380" spans="10:10" ht="15" customHeight="1" x14ac:dyDescent="0.3">
      <c r="J36380" s="33"/>
    </row>
    <row r="36381" spans="10:10" x14ac:dyDescent="0.3">
      <c r="J36381" s="33"/>
    </row>
    <row r="36382" spans="10:10" ht="15" customHeight="1" x14ac:dyDescent="0.3">
      <c r="J36382" s="33"/>
    </row>
    <row r="36383" spans="10:10" ht="15" customHeight="1" x14ac:dyDescent="0.3">
      <c r="J36383" s="33"/>
    </row>
    <row r="36384" spans="10:10" ht="15" customHeight="1" x14ac:dyDescent="0.3">
      <c r="J36384" s="33"/>
    </row>
    <row r="36385" spans="10:10" ht="15" customHeight="1" x14ac:dyDescent="0.3">
      <c r="J36385" s="33"/>
    </row>
    <row r="36386" spans="10:10" ht="15" customHeight="1" x14ac:dyDescent="0.3">
      <c r="J36386" s="33"/>
    </row>
    <row r="36387" spans="10:10" x14ac:dyDescent="0.3">
      <c r="J36387" s="33"/>
    </row>
    <row r="36388" spans="10:10" ht="15" customHeight="1" x14ac:dyDescent="0.3">
      <c r="J36388" s="33"/>
    </row>
    <row r="36389" spans="10:10" x14ac:dyDescent="0.3">
      <c r="J36389" s="33"/>
    </row>
    <row r="36390" spans="10:10" ht="15" customHeight="1" x14ac:dyDescent="0.3">
      <c r="J36390" s="33"/>
    </row>
    <row r="36391" spans="10:10" x14ac:dyDescent="0.3">
      <c r="J36391" s="33"/>
    </row>
    <row r="36392" spans="10:10" ht="15" customHeight="1" x14ac:dyDescent="0.3">
      <c r="J36392" s="33"/>
    </row>
    <row r="36393" spans="10:10" ht="15" customHeight="1" x14ac:dyDescent="0.3">
      <c r="J36393" s="33"/>
    </row>
    <row r="36394" spans="10:10" x14ac:dyDescent="0.3">
      <c r="J36394" s="33"/>
    </row>
    <row r="36395" spans="10:10" ht="15" customHeight="1" x14ac:dyDescent="0.3">
      <c r="J36395" s="33"/>
    </row>
    <row r="36396" spans="10:10" ht="15" customHeight="1" x14ac:dyDescent="0.3">
      <c r="J36396" s="33"/>
    </row>
    <row r="36397" spans="10:10" x14ac:dyDescent="0.3">
      <c r="J36397" s="33"/>
    </row>
    <row r="36398" spans="10:10" ht="15" customHeight="1" x14ac:dyDescent="0.3">
      <c r="J36398" s="33"/>
    </row>
    <row r="36399" spans="10:10" ht="15" customHeight="1" x14ac:dyDescent="0.3">
      <c r="J36399" s="33"/>
    </row>
    <row r="36400" spans="10:10" x14ac:dyDescent="0.3">
      <c r="J36400" s="33"/>
    </row>
    <row r="36401" spans="10:10" x14ac:dyDescent="0.3">
      <c r="J36401" s="33"/>
    </row>
    <row r="36402" spans="10:10" x14ac:dyDescent="0.3">
      <c r="J36402" s="33"/>
    </row>
    <row r="36403" spans="10:10" x14ac:dyDescent="0.3">
      <c r="J36403" s="33"/>
    </row>
    <row r="36404" spans="10:10" ht="15" customHeight="1" x14ac:dyDescent="0.3">
      <c r="J36404" s="33"/>
    </row>
    <row r="36405" spans="10:10" x14ac:dyDescent="0.3">
      <c r="J36405" s="33"/>
    </row>
    <row r="36406" spans="10:10" x14ac:dyDescent="0.3">
      <c r="J36406" s="33"/>
    </row>
    <row r="36407" spans="10:10" ht="15" customHeight="1" x14ac:dyDescent="0.3">
      <c r="J36407" s="33"/>
    </row>
    <row r="36408" spans="10:10" ht="15" customHeight="1" x14ac:dyDescent="0.3">
      <c r="J36408" s="33"/>
    </row>
    <row r="36409" spans="10:10" x14ac:dyDescent="0.3">
      <c r="J36409" s="33"/>
    </row>
    <row r="36410" spans="10:10" x14ac:dyDescent="0.3">
      <c r="J36410" s="33"/>
    </row>
    <row r="36411" spans="10:10" ht="15" customHeight="1" x14ac:dyDescent="0.3">
      <c r="J36411" s="33"/>
    </row>
    <row r="36412" spans="10:10" ht="15" customHeight="1" x14ac:dyDescent="0.3">
      <c r="J36412" s="33"/>
    </row>
    <row r="36413" spans="10:10" x14ac:dyDescent="0.3">
      <c r="J36413" s="33"/>
    </row>
    <row r="36414" spans="10:10" x14ac:dyDescent="0.3">
      <c r="J36414" s="33"/>
    </row>
    <row r="36415" spans="10:10" x14ac:dyDescent="0.3">
      <c r="J36415" s="33"/>
    </row>
    <row r="36416" spans="10:10" ht="15" customHeight="1" x14ac:dyDescent="0.3">
      <c r="J36416" s="33"/>
    </row>
    <row r="36417" spans="10:10" ht="15" customHeight="1" x14ac:dyDescent="0.3">
      <c r="J36417" s="33"/>
    </row>
    <row r="36418" spans="10:10" ht="15" customHeight="1" x14ac:dyDescent="0.3">
      <c r="J36418" s="33"/>
    </row>
    <row r="36419" spans="10:10" ht="15" customHeight="1" x14ac:dyDescent="0.3">
      <c r="J36419" s="33"/>
    </row>
    <row r="36420" spans="10:10" ht="15" customHeight="1" x14ac:dyDescent="0.3">
      <c r="J36420" s="33"/>
    </row>
    <row r="36421" spans="10:10" ht="15" customHeight="1" x14ac:dyDescent="0.3">
      <c r="J36421" s="33"/>
    </row>
    <row r="36422" spans="10:10" ht="15" customHeight="1" x14ac:dyDescent="0.3">
      <c r="J36422" s="33"/>
    </row>
    <row r="36423" spans="10:10" ht="15" customHeight="1" x14ac:dyDescent="0.3">
      <c r="J36423" s="33"/>
    </row>
    <row r="36424" spans="10:10" x14ac:dyDescent="0.3">
      <c r="J36424" s="33"/>
    </row>
    <row r="36425" spans="10:10" x14ac:dyDescent="0.3">
      <c r="J36425" s="33"/>
    </row>
    <row r="36426" spans="10:10" x14ac:dyDescent="0.3">
      <c r="J36426" s="33"/>
    </row>
    <row r="36427" spans="10:10" x14ac:dyDescent="0.3">
      <c r="J36427" s="33"/>
    </row>
    <row r="36428" spans="10:10" x14ac:dyDescent="0.3">
      <c r="J36428" s="33"/>
    </row>
    <row r="36429" spans="10:10" ht="15" customHeight="1" x14ac:dyDescent="0.3">
      <c r="J36429" s="33"/>
    </row>
    <row r="36430" spans="10:10" ht="15" customHeight="1" x14ac:dyDescent="0.3">
      <c r="J36430" s="33"/>
    </row>
    <row r="36431" spans="10:10" x14ac:dyDescent="0.3">
      <c r="J36431" s="33"/>
    </row>
    <row r="36432" spans="10:10" ht="15" customHeight="1" x14ac:dyDescent="0.3">
      <c r="J36432" s="33"/>
    </row>
    <row r="36433" spans="10:10" x14ac:dyDescent="0.3">
      <c r="J36433" s="33"/>
    </row>
    <row r="36434" spans="10:10" ht="15" customHeight="1" x14ac:dyDescent="0.3">
      <c r="J36434" s="33"/>
    </row>
    <row r="36435" spans="10:10" ht="15" customHeight="1" x14ac:dyDescent="0.3">
      <c r="J36435" s="33"/>
    </row>
    <row r="36436" spans="10:10" x14ac:dyDescent="0.3">
      <c r="J36436" s="33"/>
    </row>
    <row r="36437" spans="10:10" ht="15" customHeight="1" x14ac:dyDescent="0.3">
      <c r="J36437" s="33"/>
    </row>
    <row r="36438" spans="10:10" x14ac:dyDescent="0.3">
      <c r="J36438" s="33"/>
    </row>
    <row r="36439" spans="10:10" ht="15" customHeight="1" x14ac:dyDescent="0.3">
      <c r="J36439" s="33"/>
    </row>
    <row r="36440" spans="10:10" ht="15" customHeight="1" x14ac:dyDescent="0.3">
      <c r="J36440" s="33"/>
    </row>
    <row r="36441" spans="10:10" ht="15" customHeight="1" x14ac:dyDescent="0.3">
      <c r="J36441" s="33"/>
    </row>
    <row r="36442" spans="10:10" ht="15" customHeight="1" x14ac:dyDescent="0.3">
      <c r="J36442" s="33"/>
    </row>
    <row r="36443" spans="10:10" x14ac:dyDescent="0.3">
      <c r="J36443" s="33"/>
    </row>
    <row r="36444" spans="10:10" ht="15" customHeight="1" x14ac:dyDescent="0.3">
      <c r="J36444" s="33"/>
    </row>
    <row r="36445" spans="10:10" x14ac:dyDescent="0.3">
      <c r="J36445" s="33"/>
    </row>
    <row r="36446" spans="10:10" ht="15" customHeight="1" x14ac:dyDescent="0.3">
      <c r="J36446" s="33"/>
    </row>
    <row r="36447" spans="10:10" x14ac:dyDescent="0.3">
      <c r="J36447" s="33"/>
    </row>
    <row r="36448" spans="10:10" x14ac:dyDescent="0.3">
      <c r="J36448" s="33"/>
    </row>
    <row r="36449" spans="10:10" x14ac:dyDescent="0.3">
      <c r="J36449" s="33"/>
    </row>
    <row r="36450" spans="10:10" ht="15" customHeight="1" x14ac:dyDescent="0.3">
      <c r="J36450" s="33"/>
    </row>
    <row r="36451" spans="10:10" x14ac:dyDescent="0.3">
      <c r="J36451" s="33"/>
    </row>
    <row r="36452" spans="10:10" x14ac:dyDescent="0.3">
      <c r="J36452" s="33"/>
    </row>
    <row r="36453" spans="10:10" ht="15" customHeight="1" x14ac:dyDescent="0.3">
      <c r="J36453" s="33"/>
    </row>
    <row r="36454" spans="10:10" ht="15" customHeight="1" x14ac:dyDescent="0.3">
      <c r="J36454" s="33"/>
    </row>
    <row r="36455" spans="10:10" ht="15" customHeight="1" x14ac:dyDescent="0.3">
      <c r="J36455" s="33"/>
    </row>
    <row r="36456" spans="10:10" x14ac:dyDescent="0.3">
      <c r="J36456" s="33"/>
    </row>
    <row r="36457" spans="10:10" x14ac:dyDescent="0.3">
      <c r="J36457" s="33"/>
    </row>
    <row r="36458" spans="10:10" ht="15" customHeight="1" x14ac:dyDescent="0.3">
      <c r="J36458" s="33"/>
    </row>
    <row r="36459" spans="10:10" ht="15" customHeight="1" x14ac:dyDescent="0.3">
      <c r="J36459" s="33"/>
    </row>
    <row r="36460" spans="10:10" x14ac:dyDescent="0.3">
      <c r="J36460" s="33"/>
    </row>
    <row r="36461" spans="10:10" ht="15" customHeight="1" x14ac:dyDescent="0.3">
      <c r="J36461" s="33"/>
    </row>
    <row r="36462" spans="10:10" ht="15" customHeight="1" x14ac:dyDescent="0.3">
      <c r="J36462" s="33"/>
    </row>
    <row r="36463" spans="10:10" x14ac:dyDescent="0.3">
      <c r="J36463" s="33"/>
    </row>
    <row r="36464" spans="10:10" ht="15" customHeight="1" x14ac:dyDescent="0.3">
      <c r="J36464" s="33"/>
    </row>
    <row r="36465" spans="10:10" ht="15" customHeight="1" x14ac:dyDescent="0.3">
      <c r="J36465" s="33"/>
    </row>
    <row r="36466" spans="10:10" x14ac:dyDescent="0.3">
      <c r="J36466" s="33"/>
    </row>
    <row r="36467" spans="10:10" x14ac:dyDescent="0.3">
      <c r="J36467" s="33"/>
    </row>
    <row r="36468" spans="10:10" x14ac:dyDescent="0.3">
      <c r="J36468" s="33"/>
    </row>
    <row r="36469" spans="10:10" ht="15" customHeight="1" x14ac:dyDescent="0.3">
      <c r="J36469" s="33"/>
    </row>
    <row r="36470" spans="10:10" x14ac:dyDescent="0.3">
      <c r="J36470" s="33"/>
    </row>
    <row r="36471" spans="10:10" x14ac:dyDescent="0.3">
      <c r="J36471" s="33"/>
    </row>
    <row r="36472" spans="10:10" ht="15" customHeight="1" x14ac:dyDescent="0.3">
      <c r="J36472" s="33"/>
    </row>
    <row r="36473" spans="10:10" ht="15" customHeight="1" x14ac:dyDescent="0.3">
      <c r="J36473" s="33"/>
    </row>
    <row r="36474" spans="10:10" x14ac:dyDescent="0.3">
      <c r="J36474" s="33"/>
    </row>
    <row r="36475" spans="10:10" x14ac:dyDescent="0.3">
      <c r="J36475" s="33"/>
    </row>
    <row r="36476" spans="10:10" ht="15" customHeight="1" x14ac:dyDescent="0.3">
      <c r="J36476" s="33"/>
    </row>
    <row r="36477" spans="10:10" ht="15" customHeight="1" x14ac:dyDescent="0.3">
      <c r="J36477" s="33"/>
    </row>
    <row r="36478" spans="10:10" ht="15" customHeight="1" x14ac:dyDescent="0.3">
      <c r="J36478" s="33"/>
    </row>
    <row r="36479" spans="10:10" x14ac:dyDescent="0.3">
      <c r="J36479" s="33"/>
    </row>
    <row r="36480" spans="10:10" ht="15" customHeight="1" x14ac:dyDescent="0.3">
      <c r="J36480" s="33"/>
    </row>
    <row r="36481" spans="10:10" x14ac:dyDescent="0.3">
      <c r="J36481" s="33"/>
    </row>
    <row r="36482" spans="10:10" ht="15" customHeight="1" x14ac:dyDescent="0.3">
      <c r="J36482" s="33"/>
    </row>
    <row r="36483" spans="10:10" x14ac:dyDescent="0.3">
      <c r="J36483" s="33"/>
    </row>
    <row r="36484" spans="10:10" x14ac:dyDescent="0.3">
      <c r="J36484" s="33"/>
    </row>
    <row r="36485" spans="10:10" ht="15" customHeight="1" x14ac:dyDescent="0.3">
      <c r="J36485" s="33"/>
    </row>
    <row r="36486" spans="10:10" ht="15" customHeight="1" x14ac:dyDescent="0.3">
      <c r="J36486" s="33"/>
    </row>
    <row r="36487" spans="10:10" ht="15" customHeight="1" x14ac:dyDescent="0.3">
      <c r="J36487" s="33"/>
    </row>
    <row r="36488" spans="10:10" ht="15" customHeight="1" x14ac:dyDescent="0.3">
      <c r="J36488" s="33"/>
    </row>
    <row r="36489" spans="10:10" ht="15" customHeight="1" x14ac:dyDescent="0.3">
      <c r="J36489" s="33"/>
    </row>
    <row r="36490" spans="10:10" x14ac:dyDescent="0.3">
      <c r="J36490" s="33"/>
    </row>
    <row r="36491" spans="10:10" ht="15" customHeight="1" x14ac:dyDescent="0.3">
      <c r="J36491" s="33"/>
    </row>
    <row r="36492" spans="10:10" x14ac:dyDescent="0.3">
      <c r="J36492" s="33"/>
    </row>
    <row r="36493" spans="10:10" ht="15" customHeight="1" x14ac:dyDescent="0.3">
      <c r="J36493" s="33"/>
    </row>
    <row r="36494" spans="10:10" ht="15" customHeight="1" x14ac:dyDescent="0.3">
      <c r="J36494" s="33"/>
    </row>
    <row r="36495" spans="10:10" ht="15" customHeight="1" x14ac:dyDescent="0.3">
      <c r="J36495" s="33"/>
    </row>
    <row r="36496" spans="10:10" ht="15" customHeight="1" x14ac:dyDescent="0.3">
      <c r="J36496" s="33"/>
    </row>
    <row r="36497" spans="10:10" ht="15" customHeight="1" x14ac:dyDescent="0.3">
      <c r="J36497" s="33"/>
    </row>
    <row r="36498" spans="10:10" x14ac:dyDescent="0.3">
      <c r="J36498" s="33"/>
    </row>
    <row r="36499" spans="10:10" x14ac:dyDescent="0.3">
      <c r="J36499" s="33"/>
    </row>
    <row r="36500" spans="10:10" ht="15" customHeight="1" x14ac:dyDescent="0.3">
      <c r="J36500" s="33"/>
    </row>
    <row r="36501" spans="10:10" ht="15" customHeight="1" x14ac:dyDescent="0.3">
      <c r="J36501" s="33"/>
    </row>
    <row r="36502" spans="10:10" x14ac:dyDescent="0.3">
      <c r="J36502" s="33"/>
    </row>
    <row r="36503" spans="10:10" x14ac:dyDescent="0.3">
      <c r="J36503" s="33"/>
    </row>
    <row r="36504" spans="10:10" ht="15" customHeight="1" x14ac:dyDescent="0.3">
      <c r="J36504" s="33"/>
    </row>
    <row r="36505" spans="10:10" x14ac:dyDescent="0.3">
      <c r="J36505" s="33"/>
    </row>
    <row r="36506" spans="10:10" ht="15" customHeight="1" x14ac:dyDescent="0.3">
      <c r="J36506" s="33"/>
    </row>
    <row r="36507" spans="10:10" ht="15" customHeight="1" x14ac:dyDescent="0.3">
      <c r="J36507" s="33"/>
    </row>
    <row r="36508" spans="10:10" ht="15" customHeight="1" x14ac:dyDescent="0.3">
      <c r="J36508" s="33"/>
    </row>
    <row r="36509" spans="10:10" x14ac:dyDescent="0.3">
      <c r="J36509" s="33"/>
    </row>
    <row r="36510" spans="10:10" x14ac:dyDescent="0.3">
      <c r="J36510" s="33"/>
    </row>
    <row r="36511" spans="10:10" ht="15" customHeight="1" x14ac:dyDescent="0.3">
      <c r="J36511" s="33"/>
    </row>
    <row r="36512" spans="10:10" x14ac:dyDescent="0.3">
      <c r="J36512" s="33"/>
    </row>
    <row r="36513" spans="10:10" ht="15" customHeight="1" x14ac:dyDescent="0.3">
      <c r="J36513" s="33"/>
    </row>
    <row r="36514" spans="10:10" x14ac:dyDescent="0.3">
      <c r="J36514" s="33"/>
    </row>
    <row r="36515" spans="10:10" x14ac:dyDescent="0.3">
      <c r="J36515" s="33"/>
    </row>
    <row r="36516" spans="10:10" x14ac:dyDescent="0.3">
      <c r="J36516" s="33"/>
    </row>
    <row r="36517" spans="10:10" ht="15" customHeight="1" x14ac:dyDescent="0.3">
      <c r="J36517" s="33"/>
    </row>
    <row r="36518" spans="10:10" ht="15" customHeight="1" x14ac:dyDescent="0.3">
      <c r="J36518" s="33"/>
    </row>
    <row r="36519" spans="10:10" x14ac:dyDescent="0.3">
      <c r="J36519" s="33"/>
    </row>
    <row r="36520" spans="10:10" x14ac:dyDescent="0.3">
      <c r="J36520" s="33"/>
    </row>
    <row r="36521" spans="10:10" x14ac:dyDescent="0.3">
      <c r="J36521" s="33"/>
    </row>
    <row r="36522" spans="10:10" ht="15" customHeight="1" x14ac:dyDescent="0.3">
      <c r="J36522" s="33"/>
    </row>
    <row r="36523" spans="10:10" x14ac:dyDescent="0.3">
      <c r="J36523" s="33"/>
    </row>
    <row r="36524" spans="10:10" ht="15" customHeight="1" x14ac:dyDescent="0.3">
      <c r="J36524" s="33"/>
    </row>
    <row r="36525" spans="10:10" x14ac:dyDescent="0.3">
      <c r="J36525" s="33"/>
    </row>
    <row r="36526" spans="10:10" ht="15" customHeight="1" x14ac:dyDescent="0.3">
      <c r="J36526" s="33"/>
    </row>
    <row r="36527" spans="10:10" ht="15" customHeight="1" x14ac:dyDescent="0.3">
      <c r="J36527" s="33"/>
    </row>
    <row r="36528" spans="10:10" ht="15" customHeight="1" x14ac:dyDescent="0.3">
      <c r="J36528" s="33"/>
    </row>
    <row r="36529" spans="10:10" x14ac:dyDescent="0.3">
      <c r="J36529" s="33"/>
    </row>
    <row r="36530" spans="10:10" x14ac:dyDescent="0.3">
      <c r="J36530" s="33"/>
    </row>
    <row r="36531" spans="10:10" ht="15" customHeight="1" x14ac:dyDescent="0.3">
      <c r="J36531" s="33"/>
    </row>
    <row r="36532" spans="10:10" ht="15" customHeight="1" x14ac:dyDescent="0.3">
      <c r="J36532" s="33"/>
    </row>
    <row r="36533" spans="10:10" ht="15" customHeight="1" x14ac:dyDescent="0.3">
      <c r="J36533" s="33"/>
    </row>
    <row r="36534" spans="10:10" x14ac:dyDescent="0.3">
      <c r="J36534" s="33"/>
    </row>
    <row r="36535" spans="10:10" ht="15" customHeight="1" x14ac:dyDescent="0.3">
      <c r="J36535" s="33"/>
    </row>
    <row r="36536" spans="10:10" x14ac:dyDescent="0.3">
      <c r="J36536" s="33"/>
    </row>
    <row r="36537" spans="10:10" ht="15" customHeight="1" x14ac:dyDescent="0.3">
      <c r="J36537" s="33"/>
    </row>
    <row r="36538" spans="10:10" ht="15" customHeight="1" x14ac:dyDescent="0.3">
      <c r="J36538" s="33"/>
    </row>
    <row r="36539" spans="10:10" ht="15" customHeight="1" x14ac:dyDescent="0.3">
      <c r="J36539" s="33"/>
    </row>
    <row r="36540" spans="10:10" ht="15" customHeight="1" x14ac:dyDescent="0.3">
      <c r="J36540" s="33"/>
    </row>
    <row r="36541" spans="10:10" ht="15" customHeight="1" x14ac:dyDescent="0.3">
      <c r="J36541" s="33"/>
    </row>
    <row r="36542" spans="10:10" x14ac:dyDescent="0.3">
      <c r="J36542" s="33"/>
    </row>
    <row r="36543" spans="10:10" x14ac:dyDescent="0.3">
      <c r="J36543" s="33"/>
    </row>
    <row r="36544" spans="10:10" x14ac:dyDescent="0.3">
      <c r="J36544" s="33"/>
    </row>
    <row r="36545" spans="10:10" ht="15" customHeight="1" x14ac:dyDescent="0.3">
      <c r="J36545" s="33"/>
    </row>
    <row r="36546" spans="10:10" ht="15" customHeight="1" x14ac:dyDescent="0.3">
      <c r="J36546" s="33"/>
    </row>
    <row r="36547" spans="10:10" x14ac:dyDescent="0.3">
      <c r="J36547" s="33"/>
    </row>
    <row r="36548" spans="10:10" ht="15" customHeight="1" x14ac:dyDescent="0.3">
      <c r="J36548" s="33"/>
    </row>
    <row r="36549" spans="10:10" x14ac:dyDescent="0.3">
      <c r="J36549" s="33"/>
    </row>
    <row r="36550" spans="10:10" x14ac:dyDescent="0.3">
      <c r="J36550" s="33"/>
    </row>
    <row r="36551" spans="10:10" ht="15" customHeight="1" x14ac:dyDescent="0.3">
      <c r="J36551" s="33"/>
    </row>
    <row r="36552" spans="10:10" ht="15" customHeight="1" x14ac:dyDescent="0.3">
      <c r="J36552" s="33"/>
    </row>
    <row r="36553" spans="10:10" x14ac:dyDescent="0.3">
      <c r="J36553" s="33"/>
    </row>
    <row r="36554" spans="10:10" ht="15" customHeight="1" x14ac:dyDescent="0.3">
      <c r="J36554" s="33"/>
    </row>
    <row r="36555" spans="10:10" ht="15" customHeight="1" x14ac:dyDescent="0.3">
      <c r="J36555" s="33"/>
    </row>
    <row r="36556" spans="10:10" ht="15" customHeight="1" x14ac:dyDescent="0.3">
      <c r="J36556" s="33"/>
    </row>
    <row r="36557" spans="10:10" x14ac:dyDescent="0.3">
      <c r="J36557" s="33"/>
    </row>
    <row r="36558" spans="10:10" x14ac:dyDescent="0.3">
      <c r="J36558" s="33"/>
    </row>
    <row r="36559" spans="10:10" x14ac:dyDescent="0.3">
      <c r="J36559" s="33"/>
    </row>
    <row r="36560" spans="10:10" x14ac:dyDescent="0.3">
      <c r="J36560" s="33"/>
    </row>
    <row r="36561" spans="10:10" x14ac:dyDescent="0.3">
      <c r="J36561" s="33"/>
    </row>
    <row r="36562" spans="10:10" ht="15" customHeight="1" x14ac:dyDescent="0.3">
      <c r="J36562" s="33"/>
    </row>
    <row r="36563" spans="10:10" x14ac:dyDescent="0.3">
      <c r="J36563" s="33"/>
    </row>
    <row r="36564" spans="10:10" x14ac:dyDescent="0.3">
      <c r="J36564" s="33"/>
    </row>
    <row r="36565" spans="10:10" x14ac:dyDescent="0.3">
      <c r="J36565" s="33"/>
    </row>
    <row r="36566" spans="10:10" x14ac:dyDescent="0.3">
      <c r="J36566" s="33"/>
    </row>
    <row r="36567" spans="10:10" x14ac:dyDescent="0.3">
      <c r="J36567" s="33"/>
    </row>
    <row r="36568" spans="10:10" ht="15" customHeight="1" x14ac:dyDescent="0.3">
      <c r="J36568" s="33"/>
    </row>
    <row r="36569" spans="10:10" x14ac:dyDescent="0.3">
      <c r="J36569" s="33"/>
    </row>
    <row r="36570" spans="10:10" x14ac:dyDescent="0.3">
      <c r="J36570" s="33"/>
    </row>
    <row r="36571" spans="10:10" ht="15" customHeight="1" x14ac:dyDescent="0.3">
      <c r="J36571" s="33"/>
    </row>
    <row r="36572" spans="10:10" x14ac:dyDescent="0.3">
      <c r="J36572" s="33"/>
    </row>
    <row r="36573" spans="10:10" ht="15" customHeight="1" x14ac:dyDescent="0.3">
      <c r="J36573" s="33"/>
    </row>
    <row r="36574" spans="10:10" x14ac:dyDescent="0.3">
      <c r="J36574" s="33"/>
    </row>
    <row r="36575" spans="10:10" ht="15" customHeight="1" x14ac:dyDescent="0.3">
      <c r="J36575" s="33"/>
    </row>
    <row r="36576" spans="10:10" x14ac:dyDescent="0.3">
      <c r="J36576" s="33"/>
    </row>
    <row r="36577" spans="10:10" x14ac:dyDescent="0.3">
      <c r="J36577" s="33"/>
    </row>
    <row r="36578" spans="10:10" ht="15" customHeight="1" x14ac:dyDescent="0.3">
      <c r="J36578" s="33"/>
    </row>
    <row r="36579" spans="10:10" x14ac:dyDescent="0.3">
      <c r="J36579" s="33"/>
    </row>
    <row r="36580" spans="10:10" ht="15" customHeight="1" x14ac:dyDescent="0.3">
      <c r="J36580" s="33"/>
    </row>
    <row r="36581" spans="10:10" ht="15" customHeight="1" x14ac:dyDescent="0.3">
      <c r="J36581" s="33"/>
    </row>
    <row r="36582" spans="10:10" x14ac:dyDescent="0.3">
      <c r="J36582" s="33"/>
    </row>
    <row r="36583" spans="10:10" ht="15" customHeight="1" x14ac:dyDescent="0.3">
      <c r="J36583" s="33"/>
    </row>
    <row r="36584" spans="10:10" ht="15" customHeight="1" x14ac:dyDescent="0.3">
      <c r="J36584" s="33"/>
    </row>
    <row r="36585" spans="10:10" ht="15" customHeight="1" x14ac:dyDescent="0.3">
      <c r="J36585" s="33"/>
    </row>
    <row r="36586" spans="10:10" ht="15" customHeight="1" x14ac:dyDescent="0.3">
      <c r="J36586" s="33"/>
    </row>
    <row r="36587" spans="10:10" x14ac:dyDescent="0.3">
      <c r="J36587" s="33"/>
    </row>
    <row r="36588" spans="10:10" x14ac:dyDescent="0.3">
      <c r="J36588" s="33"/>
    </row>
    <row r="36589" spans="10:10" ht="15" customHeight="1" x14ac:dyDescent="0.3">
      <c r="J36589" s="33"/>
    </row>
    <row r="36590" spans="10:10" x14ac:dyDescent="0.3">
      <c r="J36590" s="33"/>
    </row>
    <row r="36591" spans="10:10" x14ac:dyDescent="0.3">
      <c r="J36591" s="33"/>
    </row>
    <row r="36592" spans="10:10" x14ac:dyDescent="0.3">
      <c r="J36592" s="33"/>
    </row>
    <row r="36593" spans="10:10" x14ac:dyDescent="0.3">
      <c r="J36593" s="33"/>
    </row>
    <row r="36594" spans="10:10" ht="15" customHeight="1" x14ac:dyDescent="0.3">
      <c r="J36594" s="33"/>
    </row>
    <row r="36595" spans="10:10" ht="15" customHeight="1" x14ac:dyDescent="0.3">
      <c r="J36595" s="33"/>
    </row>
    <row r="36596" spans="10:10" x14ac:dyDescent="0.3">
      <c r="J36596" s="33"/>
    </row>
    <row r="36597" spans="10:10" ht="15" customHeight="1" x14ac:dyDescent="0.3">
      <c r="J36597" s="33"/>
    </row>
    <row r="36598" spans="10:10" x14ac:dyDescent="0.3">
      <c r="J36598" s="33"/>
    </row>
    <row r="36599" spans="10:10" x14ac:dyDescent="0.3">
      <c r="J36599" s="33"/>
    </row>
    <row r="36600" spans="10:10" ht="15" customHeight="1" x14ac:dyDescent="0.3">
      <c r="J36600" s="33"/>
    </row>
    <row r="36601" spans="10:10" ht="15" customHeight="1" x14ac:dyDescent="0.3">
      <c r="J36601" s="33"/>
    </row>
    <row r="36602" spans="10:10" ht="15" customHeight="1" x14ac:dyDescent="0.3">
      <c r="J36602" s="33"/>
    </row>
    <row r="36603" spans="10:10" x14ac:dyDescent="0.3">
      <c r="J36603" s="33"/>
    </row>
    <row r="36604" spans="10:10" x14ac:dyDescent="0.3">
      <c r="J36604" s="33"/>
    </row>
    <row r="36605" spans="10:10" ht="15" customHeight="1" x14ac:dyDescent="0.3">
      <c r="J36605" s="33"/>
    </row>
    <row r="36606" spans="10:10" x14ac:dyDescent="0.3">
      <c r="J36606" s="33"/>
    </row>
    <row r="36607" spans="10:10" ht="15" customHeight="1" x14ac:dyDescent="0.3">
      <c r="J36607" s="33"/>
    </row>
    <row r="36608" spans="10:10" ht="15" customHeight="1" x14ac:dyDescent="0.3">
      <c r="J36608" s="33"/>
    </row>
    <row r="36609" spans="10:10" x14ac:dyDescent="0.3">
      <c r="J36609" s="33"/>
    </row>
    <row r="36610" spans="10:10" ht="15" customHeight="1" x14ac:dyDescent="0.3">
      <c r="J36610" s="33"/>
    </row>
    <row r="36611" spans="10:10" ht="15" customHeight="1" x14ac:dyDescent="0.3">
      <c r="J36611" s="33"/>
    </row>
    <row r="36612" spans="10:10" ht="15" customHeight="1" x14ac:dyDescent="0.3">
      <c r="J36612" s="33"/>
    </row>
    <row r="36613" spans="10:10" x14ac:dyDescent="0.3">
      <c r="J36613" s="33"/>
    </row>
    <row r="36614" spans="10:10" x14ac:dyDescent="0.3">
      <c r="J36614" s="33"/>
    </row>
    <row r="36615" spans="10:10" ht="15" customHeight="1" x14ac:dyDescent="0.3">
      <c r="J36615" s="33"/>
    </row>
    <row r="36616" spans="10:10" ht="15" customHeight="1" x14ac:dyDescent="0.3">
      <c r="J36616" s="33"/>
    </row>
    <row r="36617" spans="10:10" ht="15" customHeight="1" x14ac:dyDescent="0.3">
      <c r="J36617" s="33"/>
    </row>
    <row r="36618" spans="10:10" x14ac:dyDescent="0.3">
      <c r="J36618" s="33"/>
    </row>
    <row r="36619" spans="10:10" ht="15" customHeight="1" x14ac:dyDescent="0.3">
      <c r="J36619" s="33"/>
    </row>
    <row r="36620" spans="10:10" x14ac:dyDescent="0.3">
      <c r="J36620" s="33"/>
    </row>
    <row r="36621" spans="10:10" ht="15" customHeight="1" x14ac:dyDescent="0.3">
      <c r="J36621" s="33"/>
    </row>
    <row r="36622" spans="10:10" ht="15" customHeight="1" x14ac:dyDescent="0.3">
      <c r="J36622" s="33"/>
    </row>
    <row r="36623" spans="10:10" x14ac:dyDescent="0.3">
      <c r="J36623" s="33"/>
    </row>
    <row r="36624" spans="10:10" x14ac:dyDescent="0.3">
      <c r="J36624" s="33"/>
    </row>
    <row r="36625" spans="10:10" x14ac:dyDescent="0.3">
      <c r="J36625" s="33"/>
    </row>
    <row r="36626" spans="10:10" ht="15" customHeight="1" x14ac:dyDescent="0.3">
      <c r="J36626" s="33"/>
    </row>
    <row r="36627" spans="10:10" ht="15" customHeight="1" x14ac:dyDescent="0.3">
      <c r="J36627" s="33"/>
    </row>
    <row r="36628" spans="10:10" ht="15" customHeight="1" x14ac:dyDescent="0.3">
      <c r="J36628" s="33"/>
    </row>
    <row r="36629" spans="10:10" ht="15" customHeight="1" x14ac:dyDescent="0.3">
      <c r="J36629" s="33"/>
    </row>
    <row r="36630" spans="10:10" x14ac:dyDescent="0.3">
      <c r="J36630" s="33"/>
    </row>
    <row r="36631" spans="10:10" ht="15" customHeight="1" x14ac:dyDescent="0.3">
      <c r="J36631" s="33"/>
    </row>
    <row r="36632" spans="10:10" ht="15" customHeight="1" x14ac:dyDescent="0.3">
      <c r="J36632" s="33"/>
    </row>
    <row r="36633" spans="10:10" x14ac:dyDescent="0.3">
      <c r="J36633" s="33"/>
    </row>
    <row r="36634" spans="10:10" ht="15" customHeight="1" x14ac:dyDescent="0.3">
      <c r="J36634" s="33"/>
    </row>
    <row r="36635" spans="10:10" x14ac:dyDescent="0.3">
      <c r="J36635" s="33"/>
    </row>
    <row r="36636" spans="10:10" x14ac:dyDescent="0.3">
      <c r="J36636" s="33"/>
    </row>
    <row r="36637" spans="10:10" x14ac:dyDescent="0.3">
      <c r="J36637" s="33"/>
    </row>
    <row r="36638" spans="10:10" x14ac:dyDescent="0.3">
      <c r="J36638" s="33"/>
    </row>
    <row r="36639" spans="10:10" ht="15" customHeight="1" x14ac:dyDescent="0.3">
      <c r="J36639" s="33"/>
    </row>
    <row r="36640" spans="10:10" x14ac:dyDescent="0.3">
      <c r="J36640" s="33"/>
    </row>
    <row r="36641" spans="10:10" x14ac:dyDescent="0.3">
      <c r="J36641" s="33"/>
    </row>
    <row r="36642" spans="10:10" ht="15" customHeight="1" x14ac:dyDescent="0.3">
      <c r="J36642" s="33"/>
    </row>
    <row r="36643" spans="10:10" ht="15" customHeight="1" x14ac:dyDescent="0.3">
      <c r="J36643" s="33"/>
    </row>
    <row r="36644" spans="10:10" x14ac:dyDescent="0.3">
      <c r="J36644" s="33"/>
    </row>
    <row r="36645" spans="10:10" x14ac:dyDescent="0.3">
      <c r="J36645" s="33"/>
    </row>
    <row r="36646" spans="10:10" ht="15" customHeight="1" x14ac:dyDescent="0.3">
      <c r="J36646" s="33"/>
    </row>
    <row r="36647" spans="10:10" x14ac:dyDescent="0.3">
      <c r="J36647" s="33"/>
    </row>
    <row r="36648" spans="10:10" ht="15" customHeight="1" x14ac:dyDescent="0.3">
      <c r="J36648" s="33"/>
    </row>
    <row r="36649" spans="10:10" x14ac:dyDescent="0.3">
      <c r="J36649" s="33"/>
    </row>
    <row r="36650" spans="10:10" ht="15" customHeight="1" x14ac:dyDescent="0.3">
      <c r="J36650" s="33"/>
    </row>
    <row r="36651" spans="10:10" x14ac:dyDescent="0.3">
      <c r="J36651" s="33"/>
    </row>
    <row r="36652" spans="10:10" ht="15" customHeight="1" x14ac:dyDescent="0.3">
      <c r="J36652" s="33"/>
    </row>
    <row r="36653" spans="10:10" x14ac:dyDescent="0.3">
      <c r="J36653" s="33"/>
    </row>
    <row r="36654" spans="10:10" ht="15" customHeight="1" x14ac:dyDescent="0.3">
      <c r="J36654" s="33"/>
    </row>
    <row r="36655" spans="10:10" x14ac:dyDescent="0.3">
      <c r="J36655" s="33"/>
    </row>
    <row r="36656" spans="10:10" ht="15" customHeight="1" x14ac:dyDescent="0.3">
      <c r="J36656" s="33"/>
    </row>
    <row r="36657" spans="10:10" ht="15" customHeight="1" x14ac:dyDescent="0.3">
      <c r="J36657" s="33"/>
    </row>
    <row r="36658" spans="10:10" ht="15" customHeight="1" x14ac:dyDescent="0.3">
      <c r="J36658" s="33"/>
    </row>
    <row r="36659" spans="10:10" x14ac:dyDescent="0.3">
      <c r="J36659" s="33"/>
    </row>
    <row r="36660" spans="10:10" ht="15" customHeight="1" x14ac:dyDescent="0.3">
      <c r="J36660" s="33"/>
    </row>
    <row r="36661" spans="10:10" ht="15" customHeight="1" x14ac:dyDescent="0.3">
      <c r="J36661" s="33"/>
    </row>
    <row r="36662" spans="10:10" x14ac:dyDescent="0.3">
      <c r="J36662" s="33"/>
    </row>
    <row r="36663" spans="10:10" x14ac:dyDescent="0.3">
      <c r="J36663" s="33"/>
    </row>
    <row r="36664" spans="10:10" ht="15" customHeight="1" x14ac:dyDescent="0.3">
      <c r="J36664" s="33"/>
    </row>
    <row r="36665" spans="10:10" x14ac:dyDescent="0.3">
      <c r="J36665" s="33"/>
    </row>
    <row r="36666" spans="10:10" ht="15" customHeight="1" x14ac:dyDescent="0.3">
      <c r="J36666" s="33"/>
    </row>
    <row r="36667" spans="10:10" ht="15" customHeight="1" x14ac:dyDescent="0.3">
      <c r="J36667" s="33"/>
    </row>
    <row r="36668" spans="10:10" x14ac:dyDescent="0.3">
      <c r="J36668" s="33"/>
    </row>
    <row r="36669" spans="10:10" ht="15" customHeight="1" x14ac:dyDescent="0.3">
      <c r="J36669" s="33"/>
    </row>
    <row r="36670" spans="10:10" ht="15" customHeight="1" x14ac:dyDescent="0.3">
      <c r="J36670" s="33"/>
    </row>
    <row r="36671" spans="10:10" x14ac:dyDescent="0.3">
      <c r="J36671" s="33"/>
    </row>
    <row r="36672" spans="10:10" x14ac:dyDescent="0.3">
      <c r="J36672" s="33"/>
    </row>
    <row r="36673" spans="10:10" x14ac:dyDescent="0.3">
      <c r="J36673" s="33"/>
    </row>
    <row r="36674" spans="10:10" x14ac:dyDescent="0.3">
      <c r="J36674" s="33"/>
    </row>
    <row r="36675" spans="10:10" x14ac:dyDescent="0.3">
      <c r="J36675" s="33"/>
    </row>
    <row r="36676" spans="10:10" ht="15" customHeight="1" x14ac:dyDescent="0.3">
      <c r="J36676" s="33"/>
    </row>
    <row r="36677" spans="10:10" x14ac:dyDescent="0.3">
      <c r="J36677" s="33"/>
    </row>
    <row r="36678" spans="10:10" ht="15" customHeight="1" x14ac:dyDescent="0.3">
      <c r="J36678" s="33"/>
    </row>
    <row r="36679" spans="10:10" x14ac:dyDescent="0.3">
      <c r="J36679" s="33"/>
    </row>
    <row r="36680" spans="10:10" ht="15" customHeight="1" x14ac:dyDescent="0.3">
      <c r="J36680" s="33"/>
    </row>
    <row r="36681" spans="10:10" ht="15" customHeight="1" x14ac:dyDescent="0.3">
      <c r="J36681" s="33"/>
    </row>
    <row r="36682" spans="10:10" x14ac:dyDescent="0.3">
      <c r="J36682" s="33"/>
    </row>
    <row r="36683" spans="10:10" ht="15" customHeight="1" x14ac:dyDescent="0.3">
      <c r="J36683" s="33"/>
    </row>
    <row r="36684" spans="10:10" ht="15" customHeight="1" x14ac:dyDescent="0.3">
      <c r="J36684" s="33"/>
    </row>
    <row r="36685" spans="10:10" x14ac:dyDescent="0.3">
      <c r="J36685" s="33"/>
    </row>
    <row r="36686" spans="10:10" ht="15" customHeight="1" x14ac:dyDescent="0.3">
      <c r="J36686" s="33"/>
    </row>
    <row r="36687" spans="10:10" ht="15" customHeight="1" x14ac:dyDescent="0.3">
      <c r="J36687" s="33"/>
    </row>
    <row r="36688" spans="10:10" x14ac:dyDescent="0.3">
      <c r="J36688" s="33"/>
    </row>
    <row r="36689" spans="10:10" ht="15" customHeight="1" x14ac:dyDescent="0.3">
      <c r="J36689" s="33"/>
    </row>
    <row r="36690" spans="10:10" ht="15" customHeight="1" x14ac:dyDescent="0.3">
      <c r="J36690" s="33"/>
    </row>
    <row r="36691" spans="10:10" ht="15" customHeight="1" x14ac:dyDescent="0.3">
      <c r="J36691" s="33"/>
    </row>
    <row r="36692" spans="10:10" ht="15" customHeight="1" x14ac:dyDescent="0.3">
      <c r="J36692" s="33"/>
    </row>
    <row r="36693" spans="10:10" ht="15" customHeight="1" x14ac:dyDescent="0.3">
      <c r="J36693" s="33"/>
    </row>
    <row r="36694" spans="10:10" ht="15" customHeight="1" x14ac:dyDescent="0.3">
      <c r="J36694" s="33"/>
    </row>
    <row r="36695" spans="10:10" x14ac:dyDescent="0.3">
      <c r="J36695" s="33"/>
    </row>
    <row r="36696" spans="10:10" ht="15" customHeight="1" x14ac:dyDescent="0.3">
      <c r="J36696" s="33"/>
    </row>
    <row r="36697" spans="10:10" ht="15" customHeight="1" x14ac:dyDescent="0.3">
      <c r="J36697" s="33"/>
    </row>
    <row r="36698" spans="10:10" ht="15" customHeight="1" x14ac:dyDescent="0.3">
      <c r="J36698" s="33"/>
    </row>
    <row r="36699" spans="10:10" x14ac:dyDescent="0.3">
      <c r="J36699" s="33"/>
    </row>
    <row r="36700" spans="10:10" x14ac:dyDescent="0.3">
      <c r="J36700" s="33"/>
    </row>
    <row r="36701" spans="10:10" x14ac:dyDescent="0.3">
      <c r="J36701" s="33"/>
    </row>
    <row r="36702" spans="10:10" ht="15" customHeight="1" x14ac:dyDescent="0.3">
      <c r="J36702" s="33"/>
    </row>
    <row r="36703" spans="10:10" ht="15" customHeight="1" x14ac:dyDescent="0.3">
      <c r="J36703" s="33"/>
    </row>
    <row r="36704" spans="10:10" x14ac:dyDescent="0.3">
      <c r="J36704" s="33"/>
    </row>
    <row r="36705" spans="10:10" ht="15" customHeight="1" x14ac:dyDescent="0.3">
      <c r="J36705" s="33"/>
    </row>
    <row r="36706" spans="10:10" ht="15" customHeight="1" x14ac:dyDescent="0.3">
      <c r="J36706" s="33"/>
    </row>
    <row r="36707" spans="10:10" ht="15" customHeight="1" x14ac:dyDescent="0.3">
      <c r="J36707" s="33"/>
    </row>
    <row r="36708" spans="10:10" x14ac:dyDescent="0.3">
      <c r="J36708" s="33"/>
    </row>
    <row r="36709" spans="10:10" x14ac:dyDescent="0.3">
      <c r="J36709" s="33"/>
    </row>
    <row r="36710" spans="10:10" ht="15" customHeight="1" x14ac:dyDescent="0.3">
      <c r="J36710" s="33"/>
    </row>
    <row r="36711" spans="10:10" x14ac:dyDescent="0.3">
      <c r="J36711" s="33"/>
    </row>
    <row r="36712" spans="10:10" ht="15" customHeight="1" x14ac:dyDescent="0.3">
      <c r="J36712" s="33"/>
    </row>
    <row r="36713" spans="10:10" x14ac:dyDescent="0.3">
      <c r="J36713" s="33"/>
    </row>
    <row r="36714" spans="10:10" ht="15" customHeight="1" x14ac:dyDescent="0.3">
      <c r="J36714" s="33"/>
    </row>
    <row r="36715" spans="10:10" x14ac:dyDescent="0.3">
      <c r="J36715" s="33"/>
    </row>
    <row r="36716" spans="10:10" ht="15" customHeight="1" x14ac:dyDescent="0.3">
      <c r="J36716" s="33"/>
    </row>
    <row r="36717" spans="10:10" x14ac:dyDescent="0.3">
      <c r="J36717" s="33"/>
    </row>
    <row r="36718" spans="10:10" x14ac:dyDescent="0.3">
      <c r="J36718" s="33"/>
    </row>
    <row r="36719" spans="10:10" ht="15" customHeight="1" x14ac:dyDescent="0.3">
      <c r="J36719" s="33"/>
    </row>
    <row r="36720" spans="10:10" ht="15" customHeight="1" x14ac:dyDescent="0.3">
      <c r="J36720" s="33"/>
    </row>
    <row r="36721" spans="10:10" x14ac:dyDescent="0.3">
      <c r="J36721" s="33"/>
    </row>
    <row r="36722" spans="10:10" ht="15" customHeight="1" x14ac:dyDescent="0.3">
      <c r="J36722" s="33"/>
    </row>
    <row r="36723" spans="10:10" ht="15" customHeight="1" x14ac:dyDescent="0.3">
      <c r="J36723" s="33"/>
    </row>
    <row r="36724" spans="10:10" x14ac:dyDescent="0.3">
      <c r="J36724" s="33"/>
    </row>
    <row r="36725" spans="10:10" x14ac:dyDescent="0.3">
      <c r="J36725" s="33"/>
    </row>
    <row r="36726" spans="10:10" x14ac:dyDescent="0.3">
      <c r="J36726" s="33"/>
    </row>
    <row r="36727" spans="10:10" ht="15" customHeight="1" x14ac:dyDescent="0.3">
      <c r="J36727" s="33"/>
    </row>
    <row r="36728" spans="10:10" x14ac:dyDescent="0.3">
      <c r="J36728" s="33"/>
    </row>
    <row r="36729" spans="10:10" ht="15" customHeight="1" x14ac:dyDescent="0.3">
      <c r="J36729" s="33"/>
    </row>
    <row r="36730" spans="10:10" ht="15" customHeight="1" x14ac:dyDescent="0.3">
      <c r="J36730" s="33"/>
    </row>
    <row r="36731" spans="10:10" ht="15" customHeight="1" x14ac:dyDescent="0.3">
      <c r="J36731" s="33"/>
    </row>
    <row r="36732" spans="10:10" ht="15" customHeight="1" x14ac:dyDescent="0.3">
      <c r="J36732" s="33"/>
    </row>
    <row r="36733" spans="10:10" ht="15" customHeight="1" x14ac:dyDescent="0.3">
      <c r="J36733" s="33"/>
    </row>
    <row r="36734" spans="10:10" x14ac:dyDescent="0.3">
      <c r="J36734" s="33"/>
    </row>
    <row r="36735" spans="10:10" x14ac:dyDescent="0.3">
      <c r="J36735" s="33"/>
    </row>
    <row r="36736" spans="10:10" ht="15" customHeight="1" x14ac:dyDescent="0.3">
      <c r="J36736" s="33"/>
    </row>
    <row r="36737" spans="10:10" ht="15" customHeight="1" x14ac:dyDescent="0.3">
      <c r="J36737" s="33"/>
    </row>
    <row r="36738" spans="10:10" x14ac:dyDescent="0.3">
      <c r="J36738" s="33"/>
    </row>
    <row r="36739" spans="10:10" x14ac:dyDescent="0.3">
      <c r="J36739" s="33"/>
    </row>
    <row r="36740" spans="10:10" x14ac:dyDescent="0.3">
      <c r="J36740" s="33"/>
    </row>
    <row r="36741" spans="10:10" x14ac:dyDescent="0.3">
      <c r="J36741" s="33"/>
    </row>
    <row r="36742" spans="10:10" ht="15" customHeight="1" x14ac:dyDescent="0.3">
      <c r="J36742" s="33"/>
    </row>
    <row r="36743" spans="10:10" x14ac:dyDescent="0.3">
      <c r="J36743" s="33"/>
    </row>
    <row r="36744" spans="10:10" ht="15" customHeight="1" x14ac:dyDescent="0.3">
      <c r="J36744" s="33"/>
    </row>
    <row r="36745" spans="10:10" x14ac:dyDescent="0.3">
      <c r="J36745" s="33"/>
    </row>
    <row r="36746" spans="10:10" ht="15" customHeight="1" x14ac:dyDescent="0.3">
      <c r="J36746" s="33"/>
    </row>
    <row r="36747" spans="10:10" ht="15" customHeight="1" x14ac:dyDescent="0.3">
      <c r="J36747" s="33"/>
    </row>
    <row r="36748" spans="10:10" ht="15" customHeight="1" x14ac:dyDescent="0.3">
      <c r="J36748" s="33"/>
    </row>
    <row r="36749" spans="10:10" ht="15" customHeight="1" x14ac:dyDescent="0.3">
      <c r="J36749" s="33"/>
    </row>
    <row r="36750" spans="10:10" ht="15" customHeight="1" x14ac:dyDescent="0.3">
      <c r="J36750" s="33"/>
    </row>
    <row r="36751" spans="10:10" ht="15" customHeight="1" x14ac:dyDescent="0.3">
      <c r="J36751" s="33"/>
    </row>
    <row r="36752" spans="10:10" ht="15" customHeight="1" x14ac:dyDescent="0.3">
      <c r="J36752" s="33"/>
    </row>
    <row r="36753" spans="10:10" x14ac:dyDescent="0.3">
      <c r="J36753" s="33"/>
    </row>
    <row r="36754" spans="10:10" ht="15" customHeight="1" x14ac:dyDescent="0.3">
      <c r="J36754" s="33"/>
    </row>
    <row r="36755" spans="10:10" x14ac:dyDescent="0.3">
      <c r="J36755" s="33"/>
    </row>
    <row r="36756" spans="10:10" ht="15" customHeight="1" x14ac:dyDescent="0.3">
      <c r="J36756" s="33"/>
    </row>
    <row r="36757" spans="10:10" ht="15" customHeight="1" x14ac:dyDescent="0.3">
      <c r="J36757" s="33"/>
    </row>
    <row r="36758" spans="10:10" x14ac:dyDescent="0.3">
      <c r="J36758" s="33"/>
    </row>
    <row r="36759" spans="10:10" ht="15" customHeight="1" x14ac:dyDescent="0.3">
      <c r="J36759" s="33"/>
    </row>
    <row r="36760" spans="10:10" ht="15" customHeight="1" x14ac:dyDescent="0.3">
      <c r="J36760" s="33"/>
    </row>
    <row r="36761" spans="10:10" ht="15" customHeight="1" x14ac:dyDescent="0.3">
      <c r="J36761" s="33"/>
    </row>
    <row r="36762" spans="10:10" x14ac:dyDescent="0.3">
      <c r="J36762" s="33"/>
    </row>
    <row r="36763" spans="10:10" x14ac:dyDescent="0.3">
      <c r="J36763" s="33"/>
    </row>
    <row r="36764" spans="10:10" ht="15" customHeight="1" x14ac:dyDescent="0.3">
      <c r="J36764" s="33"/>
    </row>
    <row r="36765" spans="10:10" ht="15" customHeight="1" x14ac:dyDescent="0.3">
      <c r="J36765" s="33"/>
    </row>
    <row r="36766" spans="10:10" ht="15" customHeight="1" x14ac:dyDescent="0.3">
      <c r="J36766" s="33"/>
    </row>
    <row r="36767" spans="10:10" ht="15" customHeight="1" x14ac:dyDescent="0.3">
      <c r="J36767" s="33"/>
    </row>
    <row r="36768" spans="10:10" ht="15" customHeight="1" x14ac:dyDescent="0.3">
      <c r="J36768" s="33"/>
    </row>
    <row r="36769" spans="10:10" x14ac:dyDescent="0.3">
      <c r="J36769" s="33"/>
    </row>
    <row r="36770" spans="10:10" x14ac:dyDescent="0.3">
      <c r="J36770" s="33"/>
    </row>
    <row r="36771" spans="10:10" ht="15" customHeight="1" x14ac:dyDescent="0.3">
      <c r="J36771" s="33"/>
    </row>
    <row r="36772" spans="10:10" x14ac:dyDescent="0.3">
      <c r="J36772" s="33"/>
    </row>
    <row r="36773" spans="10:10" ht="15" customHeight="1" x14ac:dyDescent="0.3">
      <c r="J36773" s="33"/>
    </row>
    <row r="36774" spans="10:10" ht="15" customHeight="1" x14ac:dyDescent="0.3">
      <c r="J36774" s="33"/>
    </row>
    <row r="36775" spans="10:10" ht="15" customHeight="1" x14ac:dyDescent="0.3">
      <c r="J36775" s="33"/>
    </row>
    <row r="36776" spans="10:10" ht="15" customHeight="1" x14ac:dyDescent="0.3">
      <c r="J36776" s="33"/>
    </row>
    <row r="36777" spans="10:10" x14ac:dyDescent="0.3">
      <c r="J36777" s="33"/>
    </row>
    <row r="36778" spans="10:10" x14ac:dyDescent="0.3">
      <c r="J36778" s="33"/>
    </row>
    <row r="36779" spans="10:10" x14ac:dyDescent="0.3">
      <c r="J36779" s="33"/>
    </row>
    <row r="36780" spans="10:10" x14ac:dyDescent="0.3">
      <c r="J36780" s="33"/>
    </row>
    <row r="36781" spans="10:10" ht="15" customHeight="1" x14ac:dyDescent="0.3">
      <c r="J36781" s="33"/>
    </row>
    <row r="36782" spans="10:10" ht="15" customHeight="1" x14ac:dyDescent="0.3">
      <c r="J36782" s="33"/>
    </row>
    <row r="36783" spans="10:10" ht="15" customHeight="1" x14ac:dyDescent="0.3">
      <c r="J36783" s="33"/>
    </row>
    <row r="36784" spans="10:10" ht="15" customHeight="1" x14ac:dyDescent="0.3">
      <c r="J36784" s="33"/>
    </row>
    <row r="36785" spans="10:10" x14ac:dyDescent="0.3">
      <c r="J36785" s="33"/>
    </row>
    <row r="36786" spans="10:10" x14ac:dyDescent="0.3">
      <c r="J36786" s="33"/>
    </row>
    <row r="36787" spans="10:10" x14ac:dyDescent="0.3">
      <c r="J36787" s="33"/>
    </row>
    <row r="36788" spans="10:10" x14ac:dyDescent="0.3">
      <c r="J36788" s="33"/>
    </row>
    <row r="36789" spans="10:10" ht="15" customHeight="1" x14ac:dyDescent="0.3">
      <c r="J36789" s="33"/>
    </row>
    <row r="36790" spans="10:10" ht="15" customHeight="1" x14ac:dyDescent="0.3">
      <c r="J36790" s="33"/>
    </row>
    <row r="36791" spans="10:10" x14ac:dyDescent="0.3">
      <c r="J36791" s="33"/>
    </row>
    <row r="36792" spans="10:10" x14ac:dyDescent="0.3">
      <c r="J36792" s="33"/>
    </row>
    <row r="36793" spans="10:10" ht="15" customHeight="1" x14ac:dyDescent="0.3">
      <c r="J36793" s="33"/>
    </row>
    <row r="36794" spans="10:10" x14ac:dyDescent="0.3">
      <c r="J36794" s="33"/>
    </row>
    <row r="36795" spans="10:10" x14ac:dyDescent="0.3">
      <c r="J36795" s="33"/>
    </row>
    <row r="36796" spans="10:10" x14ac:dyDescent="0.3">
      <c r="J36796" s="33"/>
    </row>
    <row r="36797" spans="10:10" x14ac:dyDescent="0.3">
      <c r="J36797" s="33"/>
    </row>
    <row r="36798" spans="10:10" x14ac:dyDescent="0.3">
      <c r="J36798" s="33"/>
    </row>
    <row r="36799" spans="10:10" ht="15" customHeight="1" x14ac:dyDescent="0.3">
      <c r="J36799" s="33"/>
    </row>
    <row r="36800" spans="10:10" ht="15" customHeight="1" x14ac:dyDescent="0.3">
      <c r="J36800" s="33"/>
    </row>
    <row r="36801" spans="10:10" x14ac:dyDescent="0.3">
      <c r="J36801" s="33"/>
    </row>
    <row r="36802" spans="10:10" x14ac:dyDescent="0.3">
      <c r="J36802" s="33"/>
    </row>
    <row r="36803" spans="10:10" ht="15" customHeight="1" x14ac:dyDescent="0.3">
      <c r="J36803" s="33"/>
    </row>
    <row r="36804" spans="10:10" x14ac:dyDescent="0.3">
      <c r="J36804" s="33"/>
    </row>
    <row r="36805" spans="10:10" x14ac:dyDescent="0.3">
      <c r="J36805" s="33"/>
    </row>
    <row r="36806" spans="10:10" x14ac:dyDescent="0.3">
      <c r="J36806" s="33"/>
    </row>
    <row r="36807" spans="10:10" ht="15" customHeight="1" x14ac:dyDescent="0.3">
      <c r="J36807" s="33"/>
    </row>
    <row r="36808" spans="10:10" ht="15" customHeight="1" x14ac:dyDescent="0.3">
      <c r="J36808" s="33"/>
    </row>
    <row r="36809" spans="10:10" x14ac:dyDescent="0.3">
      <c r="J36809" s="33"/>
    </row>
    <row r="36810" spans="10:10" ht="15" customHeight="1" x14ac:dyDescent="0.3">
      <c r="J36810" s="33"/>
    </row>
    <row r="36811" spans="10:10" ht="15" customHeight="1" x14ac:dyDescent="0.3">
      <c r="J36811" s="33"/>
    </row>
    <row r="36812" spans="10:10" ht="15" customHeight="1" x14ac:dyDescent="0.3">
      <c r="J36812" s="33"/>
    </row>
    <row r="36813" spans="10:10" x14ac:dyDescent="0.3">
      <c r="J36813" s="33"/>
    </row>
    <row r="36814" spans="10:10" x14ac:dyDescent="0.3">
      <c r="J36814" s="33"/>
    </row>
    <row r="36815" spans="10:10" x14ac:dyDescent="0.3">
      <c r="J36815" s="33"/>
    </row>
    <row r="36816" spans="10:10" x14ac:dyDescent="0.3">
      <c r="J36816" s="33"/>
    </row>
    <row r="36817" spans="10:10" ht="15" customHeight="1" x14ac:dyDescent="0.3">
      <c r="J36817" s="33"/>
    </row>
    <row r="36818" spans="10:10" x14ac:dyDescent="0.3">
      <c r="J36818" s="33"/>
    </row>
    <row r="36819" spans="10:10" x14ac:dyDescent="0.3">
      <c r="J36819" s="33"/>
    </row>
    <row r="36820" spans="10:10" x14ac:dyDescent="0.3">
      <c r="J36820" s="33"/>
    </row>
    <row r="36821" spans="10:10" ht="15" customHeight="1" x14ac:dyDescent="0.3">
      <c r="J36821" s="33"/>
    </row>
    <row r="36822" spans="10:10" x14ac:dyDescent="0.3">
      <c r="J36822" s="33"/>
    </row>
    <row r="36823" spans="10:10" x14ac:dyDescent="0.3">
      <c r="J36823" s="33"/>
    </row>
    <row r="36824" spans="10:10" x14ac:dyDescent="0.3">
      <c r="J36824" s="33"/>
    </row>
    <row r="36825" spans="10:10" ht="15" customHeight="1" x14ac:dyDescent="0.3">
      <c r="J36825" s="33"/>
    </row>
    <row r="36826" spans="10:10" ht="15" customHeight="1" x14ac:dyDescent="0.3">
      <c r="J36826" s="33"/>
    </row>
    <row r="36827" spans="10:10" x14ac:dyDescent="0.3">
      <c r="J36827" s="33"/>
    </row>
    <row r="36828" spans="10:10" ht="15" customHeight="1" x14ac:dyDescent="0.3">
      <c r="J36828" s="33"/>
    </row>
    <row r="36829" spans="10:10" x14ac:dyDescent="0.3">
      <c r="J36829" s="33"/>
    </row>
    <row r="36830" spans="10:10" x14ac:dyDescent="0.3">
      <c r="J36830" s="33"/>
    </row>
    <row r="36831" spans="10:10" ht="15" customHeight="1" x14ac:dyDescent="0.3">
      <c r="J36831" s="33"/>
    </row>
    <row r="36832" spans="10:10" x14ac:dyDescent="0.3">
      <c r="J36832" s="33"/>
    </row>
    <row r="36833" spans="10:10" ht="15" customHeight="1" x14ac:dyDescent="0.3">
      <c r="J36833" s="33"/>
    </row>
    <row r="36834" spans="10:10" x14ac:dyDescent="0.3">
      <c r="J36834" s="33"/>
    </row>
    <row r="36835" spans="10:10" x14ac:dyDescent="0.3">
      <c r="J36835" s="33"/>
    </row>
    <row r="36836" spans="10:10" ht="15" customHeight="1" x14ac:dyDescent="0.3">
      <c r="J36836" s="33"/>
    </row>
    <row r="36837" spans="10:10" ht="15" customHeight="1" x14ac:dyDescent="0.3">
      <c r="J36837" s="33"/>
    </row>
    <row r="36838" spans="10:10" ht="15" customHeight="1" x14ac:dyDescent="0.3">
      <c r="J36838" s="33"/>
    </row>
    <row r="36839" spans="10:10" ht="15" customHeight="1" x14ac:dyDescent="0.3">
      <c r="J36839" s="33"/>
    </row>
    <row r="36840" spans="10:10" x14ac:dyDescent="0.3">
      <c r="J36840" s="33"/>
    </row>
    <row r="36841" spans="10:10" x14ac:dyDescent="0.3">
      <c r="J36841" s="33"/>
    </row>
    <row r="36842" spans="10:10" ht="15" customHeight="1" x14ac:dyDescent="0.3">
      <c r="J36842" s="33"/>
    </row>
    <row r="36843" spans="10:10" x14ac:dyDescent="0.3">
      <c r="J36843" s="33"/>
    </row>
    <row r="36844" spans="10:10" x14ac:dyDescent="0.3">
      <c r="J36844" s="33"/>
    </row>
    <row r="36845" spans="10:10" ht="15" customHeight="1" x14ac:dyDescent="0.3">
      <c r="J36845" s="33"/>
    </row>
    <row r="36846" spans="10:10" x14ac:dyDescent="0.3">
      <c r="J36846" s="33"/>
    </row>
    <row r="36847" spans="10:10" x14ac:dyDescent="0.3">
      <c r="J36847" s="33"/>
    </row>
    <row r="36848" spans="10:10" x14ac:dyDescent="0.3">
      <c r="J36848" s="33"/>
    </row>
    <row r="36849" spans="10:10" x14ac:dyDescent="0.3">
      <c r="J36849" s="33"/>
    </row>
    <row r="36850" spans="10:10" ht="15" customHeight="1" x14ac:dyDescent="0.3">
      <c r="J36850" s="33"/>
    </row>
    <row r="36851" spans="10:10" x14ac:dyDescent="0.3">
      <c r="J36851" s="33"/>
    </row>
    <row r="36852" spans="10:10" x14ac:dyDescent="0.3">
      <c r="J36852" s="33"/>
    </row>
    <row r="36853" spans="10:10" ht="15" customHeight="1" x14ac:dyDescent="0.3">
      <c r="J36853" s="33"/>
    </row>
    <row r="36854" spans="10:10" ht="15" customHeight="1" x14ac:dyDescent="0.3">
      <c r="J36854" s="33"/>
    </row>
    <row r="36855" spans="10:10" ht="15" customHeight="1" x14ac:dyDescent="0.3">
      <c r="J36855" s="33"/>
    </row>
    <row r="36856" spans="10:10" x14ac:dyDescent="0.3">
      <c r="J36856" s="33"/>
    </row>
    <row r="36857" spans="10:10" x14ac:dyDescent="0.3">
      <c r="J36857" s="33"/>
    </row>
    <row r="36858" spans="10:10" ht="15" customHeight="1" x14ac:dyDescent="0.3">
      <c r="J36858" s="33"/>
    </row>
    <row r="36859" spans="10:10" ht="15" customHeight="1" x14ac:dyDescent="0.3">
      <c r="J36859" s="33"/>
    </row>
    <row r="36860" spans="10:10" x14ac:dyDescent="0.3">
      <c r="J36860" s="33"/>
    </row>
    <row r="36861" spans="10:10" x14ac:dyDescent="0.3">
      <c r="J36861" s="33"/>
    </row>
    <row r="36862" spans="10:10" x14ac:dyDescent="0.3">
      <c r="J36862" s="33"/>
    </row>
    <row r="36863" spans="10:10" ht="15" customHeight="1" x14ac:dyDescent="0.3">
      <c r="J36863" s="33"/>
    </row>
    <row r="36864" spans="10:10" x14ac:dyDescent="0.3">
      <c r="J36864" s="33"/>
    </row>
    <row r="36865" spans="10:10" ht="15" customHeight="1" x14ac:dyDescent="0.3">
      <c r="J36865" s="33"/>
    </row>
    <row r="36866" spans="10:10" x14ac:dyDescent="0.3">
      <c r="J36866" s="33"/>
    </row>
    <row r="36867" spans="10:10" ht="15" customHeight="1" x14ac:dyDescent="0.3">
      <c r="J36867" s="33"/>
    </row>
    <row r="36868" spans="10:10" ht="15" customHeight="1" x14ac:dyDescent="0.3">
      <c r="J36868" s="33"/>
    </row>
    <row r="36869" spans="10:10" x14ac:dyDescent="0.3">
      <c r="J36869" s="33"/>
    </row>
    <row r="36870" spans="10:10" ht="15" customHeight="1" x14ac:dyDescent="0.3">
      <c r="J36870" s="33"/>
    </row>
    <row r="36871" spans="10:10" ht="15" customHeight="1" x14ac:dyDescent="0.3">
      <c r="J36871" s="33"/>
    </row>
    <row r="36872" spans="10:10" ht="15" customHeight="1" x14ac:dyDescent="0.3">
      <c r="J36872" s="33"/>
    </row>
    <row r="36873" spans="10:10" ht="15" customHeight="1" x14ac:dyDescent="0.3">
      <c r="J36873" s="33"/>
    </row>
    <row r="36874" spans="10:10" ht="15" customHeight="1" x14ac:dyDescent="0.3">
      <c r="J36874" s="33"/>
    </row>
    <row r="36875" spans="10:10" x14ac:dyDescent="0.3">
      <c r="J36875" s="33"/>
    </row>
    <row r="36876" spans="10:10" x14ac:dyDescent="0.3">
      <c r="J36876" s="33"/>
    </row>
    <row r="36877" spans="10:10" x14ac:dyDescent="0.3">
      <c r="J36877" s="33"/>
    </row>
    <row r="36878" spans="10:10" ht="15" customHeight="1" x14ac:dyDescent="0.3">
      <c r="J36878" s="33"/>
    </row>
    <row r="36879" spans="10:10" ht="15" customHeight="1" x14ac:dyDescent="0.3">
      <c r="J36879" s="33"/>
    </row>
    <row r="36880" spans="10:10" x14ac:dyDescent="0.3">
      <c r="J36880" s="33"/>
    </row>
    <row r="36881" spans="10:10" x14ac:dyDescent="0.3">
      <c r="J36881" s="33"/>
    </row>
    <row r="36882" spans="10:10" x14ac:dyDescent="0.3">
      <c r="J36882" s="33"/>
    </row>
    <row r="36883" spans="10:10" ht="15" customHeight="1" x14ac:dyDescent="0.3">
      <c r="J36883" s="33"/>
    </row>
    <row r="36884" spans="10:10" ht="15" customHeight="1" x14ac:dyDescent="0.3">
      <c r="J36884" s="33"/>
    </row>
    <row r="36885" spans="10:10" x14ac:dyDescent="0.3">
      <c r="J36885" s="33"/>
    </row>
    <row r="36886" spans="10:10" ht="15" customHeight="1" x14ac:dyDescent="0.3">
      <c r="J36886" s="33"/>
    </row>
    <row r="36887" spans="10:10" ht="15" customHeight="1" x14ac:dyDescent="0.3">
      <c r="J36887" s="33"/>
    </row>
    <row r="36888" spans="10:10" x14ac:dyDescent="0.3">
      <c r="J36888" s="33"/>
    </row>
    <row r="36889" spans="10:10" ht="15" customHeight="1" x14ac:dyDescent="0.3">
      <c r="J36889" s="33"/>
    </row>
    <row r="36890" spans="10:10" ht="15" customHeight="1" x14ac:dyDescent="0.3">
      <c r="J36890" s="33"/>
    </row>
    <row r="36891" spans="10:10" ht="15" customHeight="1" x14ac:dyDescent="0.3">
      <c r="J36891" s="33"/>
    </row>
    <row r="36892" spans="10:10" ht="15" customHeight="1" x14ac:dyDescent="0.3">
      <c r="J36892" s="33"/>
    </row>
    <row r="36893" spans="10:10" ht="15" customHeight="1" x14ac:dyDescent="0.3">
      <c r="J36893" s="33"/>
    </row>
    <row r="36894" spans="10:10" x14ac:dyDescent="0.3">
      <c r="J36894" s="33"/>
    </row>
    <row r="36895" spans="10:10" x14ac:dyDescent="0.3">
      <c r="J36895" s="33"/>
    </row>
    <row r="36896" spans="10:10" x14ac:dyDescent="0.3">
      <c r="J36896" s="33"/>
    </row>
    <row r="36897" spans="10:10" ht="15" customHeight="1" x14ac:dyDescent="0.3">
      <c r="J36897" s="33"/>
    </row>
    <row r="36898" spans="10:10" x14ac:dyDescent="0.3">
      <c r="J36898" s="33"/>
    </row>
    <row r="36899" spans="10:10" x14ac:dyDescent="0.3">
      <c r="J36899" s="33"/>
    </row>
    <row r="36900" spans="10:10" ht="15" customHeight="1" x14ac:dyDescent="0.3">
      <c r="J36900" s="33"/>
    </row>
    <row r="36901" spans="10:10" ht="15" customHeight="1" x14ac:dyDescent="0.3">
      <c r="J36901" s="33"/>
    </row>
    <row r="36902" spans="10:10" ht="15" customHeight="1" x14ac:dyDescent="0.3">
      <c r="J36902" s="33"/>
    </row>
    <row r="36903" spans="10:10" ht="15" customHeight="1" x14ac:dyDescent="0.3">
      <c r="J36903" s="33"/>
    </row>
    <row r="36904" spans="10:10" ht="15" customHeight="1" x14ac:dyDescent="0.3">
      <c r="J36904" s="33"/>
    </row>
    <row r="36905" spans="10:10" x14ac:dyDescent="0.3">
      <c r="J36905" s="33"/>
    </row>
    <row r="36906" spans="10:10" ht="15" customHeight="1" x14ac:dyDescent="0.3">
      <c r="J36906" s="33"/>
    </row>
    <row r="36907" spans="10:10" ht="15" customHeight="1" x14ac:dyDescent="0.3">
      <c r="J36907" s="33"/>
    </row>
    <row r="36908" spans="10:10" ht="15" customHeight="1" x14ac:dyDescent="0.3">
      <c r="J36908" s="33"/>
    </row>
    <row r="36909" spans="10:10" ht="15" customHeight="1" x14ac:dyDescent="0.3">
      <c r="J36909" s="33"/>
    </row>
    <row r="36910" spans="10:10" x14ac:dyDescent="0.3">
      <c r="J36910" s="33"/>
    </row>
    <row r="36911" spans="10:10" ht="15" customHeight="1" x14ac:dyDescent="0.3">
      <c r="J36911" s="33"/>
    </row>
    <row r="36912" spans="10:10" x14ac:dyDescent="0.3">
      <c r="J36912" s="33"/>
    </row>
    <row r="36913" spans="10:10" x14ac:dyDescent="0.3">
      <c r="J36913" s="33"/>
    </row>
    <row r="36914" spans="10:10" ht="15" customHeight="1" x14ac:dyDescent="0.3">
      <c r="J36914" s="33"/>
    </row>
    <row r="36915" spans="10:10" ht="15" customHeight="1" x14ac:dyDescent="0.3">
      <c r="J36915" s="33"/>
    </row>
    <row r="36916" spans="10:10" ht="15" customHeight="1" x14ac:dyDescent="0.3">
      <c r="J36916" s="33"/>
    </row>
    <row r="36917" spans="10:10" ht="15" customHeight="1" x14ac:dyDescent="0.3">
      <c r="J36917" s="33"/>
    </row>
    <row r="36918" spans="10:10" x14ac:dyDescent="0.3">
      <c r="J36918" s="33"/>
    </row>
    <row r="36919" spans="10:10" x14ac:dyDescent="0.3">
      <c r="J36919" s="33"/>
    </row>
    <row r="36920" spans="10:10" ht="15" customHeight="1" x14ac:dyDescent="0.3">
      <c r="J36920" s="33"/>
    </row>
    <row r="36921" spans="10:10" x14ac:dyDescent="0.3">
      <c r="J36921" s="33"/>
    </row>
    <row r="36922" spans="10:10" x14ac:dyDescent="0.3">
      <c r="J36922" s="33"/>
    </row>
    <row r="36923" spans="10:10" ht="15" customHeight="1" x14ac:dyDescent="0.3">
      <c r="J36923" s="33"/>
    </row>
    <row r="36924" spans="10:10" ht="15" customHeight="1" x14ac:dyDescent="0.3">
      <c r="J36924" s="33"/>
    </row>
    <row r="36925" spans="10:10" ht="15" customHeight="1" x14ac:dyDescent="0.3">
      <c r="J36925" s="33"/>
    </row>
    <row r="36926" spans="10:10" x14ac:dyDescent="0.3">
      <c r="J36926" s="33"/>
    </row>
    <row r="36927" spans="10:10" ht="15" customHeight="1" x14ac:dyDescent="0.3">
      <c r="J36927" s="33"/>
    </row>
    <row r="36928" spans="10:10" x14ac:dyDescent="0.3">
      <c r="J36928" s="33"/>
    </row>
    <row r="36929" spans="10:10" x14ac:dyDescent="0.3">
      <c r="J36929" s="33"/>
    </row>
    <row r="36930" spans="10:10" x14ac:dyDescent="0.3">
      <c r="J36930" s="33"/>
    </row>
    <row r="36931" spans="10:10" ht="15" customHeight="1" x14ac:dyDescent="0.3">
      <c r="J36931" s="33"/>
    </row>
    <row r="36932" spans="10:10" ht="15" customHeight="1" x14ac:dyDescent="0.3">
      <c r="J36932" s="33"/>
    </row>
    <row r="36933" spans="10:10" ht="15" customHeight="1" x14ac:dyDescent="0.3">
      <c r="J36933" s="33"/>
    </row>
    <row r="36934" spans="10:10" ht="15" customHeight="1" x14ac:dyDescent="0.3">
      <c r="J36934" s="33"/>
    </row>
    <row r="36935" spans="10:10" ht="15" customHeight="1" x14ac:dyDescent="0.3">
      <c r="J36935" s="33"/>
    </row>
    <row r="36936" spans="10:10" ht="15" customHeight="1" x14ac:dyDescent="0.3">
      <c r="J36936" s="33"/>
    </row>
    <row r="36937" spans="10:10" ht="15" customHeight="1" x14ac:dyDescent="0.3">
      <c r="J36937" s="33"/>
    </row>
    <row r="36938" spans="10:10" x14ac:dyDescent="0.3">
      <c r="J36938" s="33"/>
    </row>
    <row r="36939" spans="10:10" x14ac:dyDescent="0.3">
      <c r="J36939" s="33"/>
    </row>
    <row r="36940" spans="10:10" x14ac:dyDescent="0.3">
      <c r="J36940" s="33"/>
    </row>
    <row r="36941" spans="10:10" x14ac:dyDescent="0.3">
      <c r="J36941" s="33"/>
    </row>
    <row r="36942" spans="10:10" ht="15" customHeight="1" x14ac:dyDescent="0.3">
      <c r="J36942" s="33"/>
    </row>
    <row r="36943" spans="10:10" x14ac:dyDescent="0.3">
      <c r="J36943" s="33"/>
    </row>
    <row r="36944" spans="10:10" x14ac:dyDescent="0.3">
      <c r="J36944" s="33"/>
    </row>
    <row r="36945" spans="10:10" x14ac:dyDescent="0.3">
      <c r="J36945" s="33"/>
    </row>
    <row r="36946" spans="10:10" ht="15" customHeight="1" x14ac:dyDescent="0.3">
      <c r="J36946" s="33"/>
    </row>
    <row r="36947" spans="10:10" x14ac:dyDescent="0.3">
      <c r="J36947" s="33"/>
    </row>
    <row r="36948" spans="10:10" x14ac:dyDescent="0.3">
      <c r="J36948" s="33"/>
    </row>
    <row r="36949" spans="10:10" x14ac:dyDescent="0.3">
      <c r="J36949" s="33"/>
    </row>
    <row r="36950" spans="10:10" ht="15" customHeight="1" x14ac:dyDescent="0.3">
      <c r="J36950" s="33"/>
    </row>
    <row r="36951" spans="10:10" ht="15" customHeight="1" x14ac:dyDescent="0.3">
      <c r="J36951" s="33"/>
    </row>
    <row r="36952" spans="10:10" ht="15" customHeight="1" x14ac:dyDescent="0.3">
      <c r="J36952" s="33"/>
    </row>
    <row r="36953" spans="10:10" ht="15" customHeight="1" x14ac:dyDescent="0.3">
      <c r="J36953" s="33"/>
    </row>
    <row r="36954" spans="10:10" x14ac:dyDescent="0.3">
      <c r="J36954" s="33"/>
    </row>
    <row r="36955" spans="10:10" ht="15" customHeight="1" x14ac:dyDescent="0.3">
      <c r="J36955" s="33"/>
    </row>
    <row r="36956" spans="10:10" ht="15" customHeight="1" x14ac:dyDescent="0.3">
      <c r="J36956" s="33"/>
    </row>
    <row r="36957" spans="10:10" x14ac:dyDescent="0.3">
      <c r="J36957" s="33"/>
    </row>
    <row r="36958" spans="10:10" x14ac:dyDescent="0.3">
      <c r="J36958" s="33"/>
    </row>
    <row r="36959" spans="10:10" x14ac:dyDescent="0.3">
      <c r="J36959" s="33"/>
    </row>
    <row r="36960" spans="10:10" ht="15" customHeight="1" x14ac:dyDescent="0.3">
      <c r="J36960" s="33"/>
    </row>
    <row r="36961" spans="10:10" x14ac:dyDescent="0.3">
      <c r="J36961" s="33"/>
    </row>
    <row r="36962" spans="10:10" x14ac:dyDescent="0.3">
      <c r="J36962" s="33"/>
    </row>
    <row r="36963" spans="10:10" ht="15" customHeight="1" x14ac:dyDescent="0.3">
      <c r="J36963" s="33"/>
    </row>
    <row r="36964" spans="10:10" ht="15" customHeight="1" x14ac:dyDescent="0.3">
      <c r="J36964" s="33"/>
    </row>
    <row r="36965" spans="10:10" ht="15" customHeight="1" x14ac:dyDescent="0.3">
      <c r="J36965" s="33"/>
    </row>
    <row r="36966" spans="10:10" ht="15" customHeight="1" x14ac:dyDescent="0.3">
      <c r="J36966" s="33"/>
    </row>
    <row r="36967" spans="10:10" x14ac:dyDescent="0.3">
      <c r="J36967" s="33"/>
    </row>
    <row r="36968" spans="10:10" ht="15" customHeight="1" x14ac:dyDescent="0.3">
      <c r="J36968" s="33"/>
    </row>
    <row r="36969" spans="10:10" ht="15" customHeight="1" x14ac:dyDescent="0.3">
      <c r="J36969" s="33"/>
    </row>
    <row r="36970" spans="10:10" ht="15" customHeight="1" x14ac:dyDescent="0.3">
      <c r="J36970" s="33"/>
    </row>
    <row r="36971" spans="10:10" ht="15" customHeight="1" x14ac:dyDescent="0.3">
      <c r="J36971" s="33"/>
    </row>
    <row r="36972" spans="10:10" x14ac:dyDescent="0.3">
      <c r="J36972" s="33"/>
    </row>
    <row r="36973" spans="10:10" ht="15" customHeight="1" x14ac:dyDescent="0.3">
      <c r="J36973" s="33"/>
    </row>
    <row r="36974" spans="10:10" x14ac:dyDescent="0.3">
      <c r="J36974" s="33"/>
    </row>
    <row r="36975" spans="10:10" x14ac:dyDescent="0.3">
      <c r="J36975" s="33"/>
    </row>
    <row r="36976" spans="10:10" x14ac:dyDescent="0.3">
      <c r="J36976" s="33"/>
    </row>
    <row r="36977" spans="10:10" ht="15" customHeight="1" x14ac:dyDescent="0.3">
      <c r="J36977" s="33"/>
    </row>
    <row r="36978" spans="10:10" ht="15" customHeight="1" x14ac:dyDescent="0.3">
      <c r="J36978" s="33"/>
    </row>
    <row r="36979" spans="10:10" x14ac:dyDescent="0.3">
      <c r="J36979" s="33"/>
    </row>
    <row r="36980" spans="10:10" ht="15" customHeight="1" x14ac:dyDescent="0.3">
      <c r="J36980" s="33"/>
    </row>
    <row r="36981" spans="10:10" ht="15" customHeight="1" x14ac:dyDescent="0.3">
      <c r="J36981" s="33"/>
    </row>
    <row r="36982" spans="10:10" x14ac:dyDescent="0.3">
      <c r="J36982" s="33"/>
    </row>
    <row r="36983" spans="10:10" ht="15" customHeight="1" x14ac:dyDescent="0.3">
      <c r="J36983" s="33"/>
    </row>
    <row r="36984" spans="10:10" ht="15" customHeight="1" x14ac:dyDescent="0.3">
      <c r="J36984" s="33"/>
    </row>
    <row r="36985" spans="10:10" ht="15" customHeight="1" x14ac:dyDescent="0.3">
      <c r="J36985" s="33"/>
    </row>
    <row r="36986" spans="10:10" x14ac:dyDescent="0.3">
      <c r="J36986" s="33"/>
    </row>
    <row r="36987" spans="10:10" x14ac:dyDescent="0.3">
      <c r="J36987" s="33"/>
    </row>
    <row r="36988" spans="10:10" ht="15" customHeight="1" x14ac:dyDescent="0.3">
      <c r="J36988" s="33"/>
    </row>
    <row r="36989" spans="10:10" ht="15" customHeight="1" x14ac:dyDescent="0.3">
      <c r="J36989" s="33"/>
    </row>
    <row r="36990" spans="10:10" ht="15" customHeight="1" x14ac:dyDescent="0.3">
      <c r="J36990" s="33"/>
    </row>
    <row r="36991" spans="10:10" ht="15" customHeight="1" x14ac:dyDescent="0.3">
      <c r="J36991" s="33"/>
    </row>
    <row r="36992" spans="10:10" x14ac:dyDescent="0.3">
      <c r="J36992" s="33"/>
    </row>
    <row r="36993" spans="10:10" x14ac:dyDescent="0.3">
      <c r="J36993" s="33"/>
    </row>
    <row r="36994" spans="10:10" x14ac:dyDescent="0.3">
      <c r="J36994" s="33"/>
    </row>
    <row r="36995" spans="10:10" ht="15" customHeight="1" x14ac:dyDescent="0.3">
      <c r="J36995" s="33"/>
    </row>
    <row r="36996" spans="10:10" ht="15" customHeight="1" x14ac:dyDescent="0.3">
      <c r="J36996" s="33"/>
    </row>
    <row r="36997" spans="10:10" ht="15" customHeight="1" x14ac:dyDescent="0.3">
      <c r="J36997" s="33"/>
    </row>
    <row r="36998" spans="10:10" ht="15" customHeight="1" x14ac:dyDescent="0.3">
      <c r="J36998" s="33"/>
    </row>
    <row r="36999" spans="10:10" ht="15" customHeight="1" x14ac:dyDescent="0.3">
      <c r="J36999" s="33"/>
    </row>
    <row r="37000" spans="10:10" ht="15" customHeight="1" x14ac:dyDescent="0.3">
      <c r="J37000" s="33"/>
    </row>
    <row r="37001" spans="10:10" ht="15" customHeight="1" x14ac:dyDescent="0.3">
      <c r="J37001" s="33"/>
    </row>
    <row r="37002" spans="10:10" x14ac:dyDescent="0.3">
      <c r="J37002" s="33"/>
    </row>
    <row r="37003" spans="10:10" x14ac:dyDescent="0.3">
      <c r="J37003" s="33"/>
    </row>
    <row r="37004" spans="10:10" ht="15" customHeight="1" x14ac:dyDescent="0.3">
      <c r="J37004" s="33"/>
    </row>
    <row r="37005" spans="10:10" x14ac:dyDescent="0.3">
      <c r="J37005" s="33"/>
    </row>
    <row r="37006" spans="10:10" x14ac:dyDescent="0.3">
      <c r="J37006" s="33"/>
    </row>
    <row r="37007" spans="10:10" ht="15" customHeight="1" x14ac:dyDescent="0.3">
      <c r="J37007" s="33"/>
    </row>
    <row r="37008" spans="10:10" ht="15" customHeight="1" x14ac:dyDescent="0.3">
      <c r="J37008" s="33"/>
    </row>
    <row r="37009" spans="10:10" x14ac:dyDescent="0.3">
      <c r="J37009" s="33"/>
    </row>
    <row r="37010" spans="10:10" x14ac:dyDescent="0.3">
      <c r="J37010" s="33"/>
    </row>
    <row r="37011" spans="10:10" ht="15" customHeight="1" x14ac:dyDescent="0.3">
      <c r="J37011" s="33"/>
    </row>
    <row r="37012" spans="10:10" ht="15" customHeight="1" x14ac:dyDescent="0.3">
      <c r="J37012" s="33"/>
    </row>
    <row r="37013" spans="10:10" x14ac:dyDescent="0.3">
      <c r="J37013" s="33"/>
    </row>
    <row r="37014" spans="10:10" ht="15" customHeight="1" x14ac:dyDescent="0.3">
      <c r="J37014" s="33"/>
    </row>
    <row r="37015" spans="10:10" ht="15" customHeight="1" x14ac:dyDescent="0.3">
      <c r="J37015" s="33"/>
    </row>
    <row r="37016" spans="10:10" x14ac:dyDescent="0.3">
      <c r="J37016" s="33"/>
    </row>
    <row r="37017" spans="10:10" x14ac:dyDescent="0.3">
      <c r="J37017" s="33"/>
    </row>
    <row r="37018" spans="10:10" x14ac:dyDescent="0.3">
      <c r="J37018" s="33"/>
    </row>
    <row r="37019" spans="10:10" x14ac:dyDescent="0.3">
      <c r="J37019" s="33"/>
    </row>
    <row r="37020" spans="10:10" ht="15" customHeight="1" x14ac:dyDescent="0.3">
      <c r="J37020" s="33"/>
    </row>
    <row r="37021" spans="10:10" x14ac:dyDescent="0.3">
      <c r="J37021" s="33"/>
    </row>
    <row r="37022" spans="10:10" ht="15" customHeight="1" x14ac:dyDescent="0.3">
      <c r="J37022" s="33"/>
    </row>
    <row r="37023" spans="10:10" ht="15" customHeight="1" x14ac:dyDescent="0.3">
      <c r="J37023" s="33"/>
    </row>
    <row r="37024" spans="10:10" ht="15" customHeight="1" x14ac:dyDescent="0.3">
      <c r="J37024" s="33"/>
    </row>
    <row r="37025" spans="10:10" x14ac:dyDescent="0.3">
      <c r="J37025" s="33"/>
    </row>
    <row r="37026" spans="10:10" x14ac:dyDescent="0.3">
      <c r="J37026" s="33"/>
    </row>
    <row r="37027" spans="10:10" x14ac:dyDescent="0.3">
      <c r="J37027" s="33"/>
    </row>
    <row r="37028" spans="10:10" x14ac:dyDescent="0.3">
      <c r="J37028" s="33"/>
    </row>
    <row r="37029" spans="10:10" ht="15" customHeight="1" x14ac:dyDescent="0.3">
      <c r="J37029" s="33"/>
    </row>
    <row r="37030" spans="10:10" ht="15" customHeight="1" x14ac:dyDescent="0.3">
      <c r="J37030" s="33"/>
    </row>
    <row r="37031" spans="10:10" x14ac:dyDescent="0.3">
      <c r="J37031" s="33"/>
    </row>
    <row r="37032" spans="10:10" ht="15" customHeight="1" x14ac:dyDescent="0.3">
      <c r="J37032" s="33"/>
    </row>
    <row r="37033" spans="10:10" x14ac:dyDescent="0.3">
      <c r="J37033" s="33"/>
    </row>
    <row r="37034" spans="10:10" x14ac:dyDescent="0.3">
      <c r="J37034" s="33"/>
    </row>
    <row r="37035" spans="10:10" ht="15" customHeight="1" x14ac:dyDescent="0.3">
      <c r="J37035" s="33"/>
    </row>
    <row r="37036" spans="10:10" ht="15" customHeight="1" x14ac:dyDescent="0.3">
      <c r="J37036" s="33"/>
    </row>
    <row r="37037" spans="10:10" ht="15" customHeight="1" x14ac:dyDescent="0.3">
      <c r="J37037" s="33"/>
    </row>
    <row r="37038" spans="10:10" ht="15" customHeight="1" x14ac:dyDescent="0.3">
      <c r="J37038" s="33"/>
    </row>
    <row r="37039" spans="10:10" ht="15" customHeight="1" x14ac:dyDescent="0.3">
      <c r="J37039" s="33"/>
    </row>
    <row r="37040" spans="10:10" ht="15" customHeight="1" x14ac:dyDescent="0.3">
      <c r="J37040" s="33"/>
    </row>
    <row r="37041" spans="10:10" ht="15" customHeight="1" x14ac:dyDescent="0.3">
      <c r="J37041" s="33"/>
    </row>
    <row r="37042" spans="10:10" ht="15" customHeight="1" x14ac:dyDescent="0.3">
      <c r="J37042" s="33"/>
    </row>
    <row r="37043" spans="10:10" ht="15" customHeight="1" x14ac:dyDescent="0.3">
      <c r="J37043" s="33"/>
    </row>
    <row r="37044" spans="10:10" ht="15" customHeight="1" x14ac:dyDescent="0.3">
      <c r="J37044" s="33"/>
    </row>
    <row r="37045" spans="10:10" ht="15" customHeight="1" x14ac:dyDescent="0.3">
      <c r="J37045" s="33"/>
    </row>
    <row r="37046" spans="10:10" x14ac:dyDescent="0.3">
      <c r="J37046" s="33"/>
    </row>
    <row r="37047" spans="10:10" x14ac:dyDescent="0.3">
      <c r="J37047" s="33"/>
    </row>
    <row r="37048" spans="10:10" ht="15" customHeight="1" x14ac:dyDescent="0.3">
      <c r="J37048" s="33"/>
    </row>
    <row r="37049" spans="10:10" ht="15" customHeight="1" x14ac:dyDescent="0.3">
      <c r="J37049" s="33"/>
    </row>
    <row r="37050" spans="10:10" ht="15" customHeight="1" x14ac:dyDescent="0.3">
      <c r="J37050" s="33"/>
    </row>
    <row r="37051" spans="10:10" ht="15" customHeight="1" x14ac:dyDescent="0.3">
      <c r="J37051" s="33"/>
    </row>
    <row r="37052" spans="10:10" ht="15" customHeight="1" x14ac:dyDescent="0.3">
      <c r="J37052" s="33"/>
    </row>
    <row r="37053" spans="10:10" ht="15" customHeight="1" x14ac:dyDescent="0.3">
      <c r="J37053" s="33"/>
    </row>
    <row r="37054" spans="10:10" x14ac:dyDescent="0.3">
      <c r="J37054" s="33"/>
    </row>
    <row r="37055" spans="10:10" ht="15" customHeight="1" x14ac:dyDescent="0.3">
      <c r="J37055" s="33"/>
    </row>
    <row r="37056" spans="10:10" ht="15" customHeight="1" x14ac:dyDescent="0.3">
      <c r="J37056" s="33"/>
    </row>
    <row r="37057" spans="10:10" ht="15" customHeight="1" x14ac:dyDescent="0.3">
      <c r="J37057" s="33"/>
    </row>
    <row r="37058" spans="10:10" ht="15" customHeight="1" x14ac:dyDescent="0.3">
      <c r="J37058" s="33"/>
    </row>
    <row r="37059" spans="10:10" ht="15" customHeight="1" x14ac:dyDescent="0.3">
      <c r="J37059" s="33"/>
    </row>
    <row r="37060" spans="10:10" ht="15" customHeight="1" x14ac:dyDescent="0.3">
      <c r="J37060" s="33"/>
    </row>
    <row r="37061" spans="10:10" x14ac:dyDescent="0.3">
      <c r="J37061" s="33"/>
    </row>
    <row r="37062" spans="10:10" ht="15" customHeight="1" x14ac:dyDescent="0.3">
      <c r="J37062" s="33"/>
    </row>
    <row r="37063" spans="10:10" x14ac:dyDescent="0.3">
      <c r="J37063" s="33"/>
    </row>
    <row r="37064" spans="10:10" x14ac:dyDescent="0.3">
      <c r="J37064" s="33"/>
    </row>
    <row r="37065" spans="10:10" ht="15" customHeight="1" x14ac:dyDescent="0.3">
      <c r="J37065" s="33"/>
    </row>
    <row r="37066" spans="10:10" x14ac:dyDescent="0.3">
      <c r="J37066" s="33"/>
    </row>
    <row r="37067" spans="10:10" x14ac:dyDescent="0.3">
      <c r="J37067" s="33"/>
    </row>
    <row r="37068" spans="10:10" ht="15" customHeight="1" x14ac:dyDescent="0.3">
      <c r="J37068" s="33"/>
    </row>
    <row r="37069" spans="10:10" ht="15" customHeight="1" x14ac:dyDescent="0.3">
      <c r="J37069" s="33"/>
    </row>
    <row r="37070" spans="10:10" ht="15" customHeight="1" x14ac:dyDescent="0.3">
      <c r="J37070" s="33"/>
    </row>
    <row r="37071" spans="10:10" x14ac:dyDescent="0.3">
      <c r="J37071" s="33"/>
    </row>
    <row r="37072" spans="10:10" ht="15" customHeight="1" x14ac:dyDescent="0.3">
      <c r="J37072" s="33"/>
    </row>
    <row r="37073" spans="10:10" ht="15" customHeight="1" x14ac:dyDescent="0.3">
      <c r="J37073" s="33"/>
    </row>
    <row r="37074" spans="10:10" ht="15" customHeight="1" x14ac:dyDescent="0.3">
      <c r="J37074" s="33"/>
    </row>
    <row r="37075" spans="10:10" ht="15" customHeight="1" x14ac:dyDescent="0.3">
      <c r="J37075" s="33"/>
    </row>
    <row r="37076" spans="10:10" x14ac:dyDescent="0.3">
      <c r="J37076" s="33"/>
    </row>
    <row r="37077" spans="10:10" ht="15" customHeight="1" x14ac:dyDescent="0.3">
      <c r="J37077" s="33"/>
    </row>
    <row r="37078" spans="10:10" ht="15" customHeight="1" x14ac:dyDescent="0.3">
      <c r="J37078" s="33"/>
    </row>
    <row r="37079" spans="10:10" ht="15" customHeight="1" x14ac:dyDescent="0.3">
      <c r="J37079" s="33"/>
    </row>
    <row r="37080" spans="10:10" ht="15" customHeight="1" x14ac:dyDescent="0.3">
      <c r="J37080" s="33"/>
    </row>
    <row r="37081" spans="10:10" ht="15" customHeight="1" x14ac:dyDescent="0.3">
      <c r="J37081" s="33"/>
    </row>
    <row r="37082" spans="10:10" x14ac:dyDescent="0.3">
      <c r="J37082" s="33"/>
    </row>
    <row r="37083" spans="10:10" ht="15" customHeight="1" x14ac:dyDescent="0.3">
      <c r="J37083" s="33"/>
    </row>
    <row r="37084" spans="10:10" ht="15" customHeight="1" x14ac:dyDescent="0.3">
      <c r="J37084" s="33"/>
    </row>
    <row r="37085" spans="10:10" ht="15" customHeight="1" x14ac:dyDescent="0.3">
      <c r="J37085" s="33"/>
    </row>
    <row r="37086" spans="10:10" ht="15" customHeight="1" x14ac:dyDescent="0.3">
      <c r="J37086" s="33"/>
    </row>
    <row r="37087" spans="10:10" ht="15" customHeight="1" x14ac:dyDescent="0.3">
      <c r="J37087" s="33"/>
    </row>
    <row r="37088" spans="10:10" ht="15" customHeight="1" x14ac:dyDescent="0.3">
      <c r="J37088" s="33"/>
    </row>
    <row r="37089" spans="10:10" x14ac:dyDescent="0.3">
      <c r="J37089" s="33"/>
    </row>
    <row r="37090" spans="10:10" ht="15" customHeight="1" x14ac:dyDescent="0.3">
      <c r="J37090" s="33"/>
    </row>
    <row r="37091" spans="10:10" x14ac:dyDescent="0.3">
      <c r="J37091" s="33"/>
    </row>
    <row r="37092" spans="10:10" x14ac:dyDescent="0.3">
      <c r="J37092" s="33"/>
    </row>
    <row r="37093" spans="10:10" x14ac:dyDescent="0.3">
      <c r="J37093" s="33"/>
    </row>
    <row r="37094" spans="10:10" ht="15" customHeight="1" x14ac:dyDescent="0.3">
      <c r="J37094" s="33"/>
    </row>
    <row r="37095" spans="10:10" ht="15" customHeight="1" x14ac:dyDescent="0.3">
      <c r="J37095" s="33"/>
    </row>
    <row r="37096" spans="10:10" x14ac:dyDescent="0.3">
      <c r="J37096" s="33"/>
    </row>
    <row r="37097" spans="10:10" x14ac:dyDescent="0.3">
      <c r="J37097" s="33"/>
    </row>
    <row r="37098" spans="10:10" ht="15" customHeight="1" x14ac:dyDescent="0.3">
      <c r="J37098" s="33"/>
    </row>
    <row r="37099" spans="10:10" ht="15" customHeight="1" x14ac:dyDescent="0.3">
      <c r="J37099" s="33"/>
    </row>
    <row r="37100" spans="10:10" ht="15" customHeight="1" x14ac:dyDescent="0.3">
      <c r="J37100" s="33"/>
    </row>
    <row r="37101" spans="10:10" x14ac:dyDescent="0.3">
      <c r="J37101" s="33"/>
    </row>
    <row r="37102" spans="10:10" ht="15" customHeight="1" x14ac:dyDescent="0.3">
      <c r="J37102" s="33"/>
    </row>
    <row r="37103" spans="10:10" x14ac:dyDescent="0.3">
      <c r="J37103" s="33"/>
    </row>
    <row r="37104" spans="10:10" x14ac:dyDescent="0.3">
      <c r="J37104" s="33"/>
    </row>
    <row r="37105" spans="10:10" ht="15" customHeight="1" x14ac:dyDescent="0.3">
      <c r="J37105" s="33"/>
    </row>
    <row r="37106" spans="10:10" x14ac:dyDescent="0.3">
      <c r="J37106" s="33"/>
    </row>
    <row r="37107" spans="10:10" x14ac:dyDescent="0.3">
      <c r="J37107" s="33"/>
    </row>
    <row r="37108" spans="10:10" x14ac:dyDescent="0.3">
      <c r="J37108" s="33"/>
    </row>
    <row r="37109" spans="10:10" ht="15" customHeight="1" x14ac:dyDescent="0.3">
      <c r="J37109" s="33"/>
    </row>
    <row r="37110" spans="10:10" ht="15" customHeight="1" x14ac:dyDescent="0.3">
      <c r="J37110" s="33"/>
    </row>
    <row r="37111" spans="10:10" x14ac:dyDescent="0.3">
      <c r="J37111" s="33"/>
    </row>
    <row r="37112" spans="10:10" ht="15" customHeight="1" x14ac:dyDescent="0.3">
      <c r="J37112" s="33"/>
    </row>
    <row r="37113" spans="10:10" x14ac:dyDescent="0.3">
      <c r="J37113" s="33"/>
    </row>
    <row r="37114" spans="10:10" ht="15" customHeight="1" x14ac:dyDescent="0.3">
      <c r="J37114" s="33"/>
    </row>
    <row r="37115" spans="10:10" x14ac:dyDescent="0.3">
      <c r="J37115" s="33"/>
    </row>
    <row r="37116" spans="10:10" x14ac:dyDescent="0.3">
      <c r="J37116" s="33"/>
    </row>
    <row r="37117" spans="10:10" ht="15" customHeight="1" x14ac:dyDescent="0.3">
      <c r="J37117" s="33"/>
    </row>
    <row r="37118" spans="10:10" ht="15" customHeight="1" x14ac:dyDescent="0.3">
      <c r="J37118" s="33"/>
    </row>
    <row r="37119" spans="10:10" x14ac:dyDescent="0.3">
      <c r="J37119" s="33"/>
    </row>
    <row r="37120" spans="10:10" ht="15" customHeight="1" x14ac:dyDescent="0.3">
      <c r="J37120" s="33"/>
    </row>
    <row r="37121" spans="10:10" x14ac:dyDescent="0.3">
      <c r="J37121" s="33"/>
    </row>
    <row r="37122" spans="10:10" ht="15" customHeight="1" x14ac:dyDescent="0.3">
      <c r="J37122" s="33"/>
    </row>
    <row r="37123" spans="10:10" ht="15" customHeight="1" x14ac:dyDescent="0.3">
      <c r="J37123" s="33"/>
    </row>
    <row r="37124" spans="10:10" x14ac:dyDescent="0.3">
      <c r="J37124" s="33"/>
    </row>
    <row r="37125" spans="10:10" ht="15" customHeight="1" x14ac:dyDescent="0.3">
      <c r="J37125" s="33"/>
    </row>
    <row r="37126" spans="10:10" ht="15" customHeight="1" x14ac:dyDescent="0.3">
      <c r="J37126" s="33"/>
    </row>
    <row r="37127" spans="10:10" x14ac:dyDescent="0.3">
      <c r="J37127" s="33"/>
    </row>
    <row r="37128" spans="10:10" x14ac:dyDescent="0.3">
      <c r="J37128" s="33"/>
    </row>
    <row r="37129" spans="10:10" ht="15" customHeight="1" x14ac:dyDescent="0.3">
      <c r="J37129" s="33"/>
    </row>
    <row r="37130" spans="10:10" ht="15" customHeight="1" x14ac:dyDescent="0.3">
      <c r="J37130" s="33"/>
    </row>
    <row r="37131" spans="10:10" ht="15" customHeight="1" x14ac:dyDescent="0.3">
      <c r="J37131" s="33"/>
    </row>
    <row r="37132" spans="10:10" ht="15" customHeight="1" x14ac:dyDescent="0.3">
      <c r="J37132" s="33"/>
    </row>
    <row r="37133" spans="10:10" ht="15" customHeight="1" x14ac:dyDescent="0.3">
      <c r="J37133" s="33"/>
    </row>
    <row r="37134" spans="10:10" ht="15" customHeight="1" x14ac:dyDescent="0.3">
      <c r="J37134" s="33"/>
    </row>
    <row r="37135" spans="10:10" ht="15" customHeight="1" x14ac:dyDescent="0.3">
      <c r="J37135" s="33"/>
    </row>
    <row r="37136" spans="10:10" x14ac:dyDescent="0.3">
      <c r="J37136" s="33"/>
    </row>
    <row r="37137" spans="10:10" x14ac:dyDescent="0.3">
      <c r="J37137" s="33"/>
    </row>
    <row r="37138" spans="10:10" ht="15" customHeight="1" x14ac:dyDescent="0.3">
      <c r="J37138" s="33"/>
    </row>
    <row r="37139" spans="10:10" ht="15" customHeight="1" x14ac:dyDescent="0.3">
      <c r="J37139" s="33"/>
    </row>
    <row r="37140" spans="10:10" ht="15" customHeight="1" x14ac:dyDescent="0.3">
      <c r="J37140" s="33"/>
    </row>
    <row r="37141" spans="10:10" x14ac:dyDescent="0.3">
      <c r="J37141" s="33"/>
    </row>
    <row r="37142" spans="10:10" x14ac:dyDescent="0.3">
      <c r="J37142" s="33"/>
    </row>
    <row r="37143" spans="10:10" x14ac:dyDescent="0.3">
      <c r="J37143" s="33"/>
    </row>
    <row r="37144" spans="10:10" ht="15" customHeight="1" x14ac:dyDescent="0.3">
      <c r="J37144" s="33"/>
    </row>
    <row r="37145" spans="10:10" x14ac:dyDescent="0.3">
      <c r="J37145" s="33"/>
    </row>
    <row r="37146" spans="10:10" x14ac:dyDescent="0.3">
      <c r="J37146" s="33"/>
    </row>
    <row r="37147" spans="10:10" x14ac:dyDescent="0.3">
      <c r="J37147" s="33"/>
    </row>
    <row r="37148" spans="10:10" ht="15" customHeight="1" x14ac:dyDescent="0.3">
      <c r="J37148" s="33"/>
    </row>
    <row r="37149" spans="10:10" ht="15" customHeight="1" x14ac:dyDescent="0.3">
      <c r="J37149" s="33"/>
    </row>
    <row r="37150" spans="10:10" ht="15" customHeight="1" x14ac:dyDescent="0.3">
      <c r="J37150" s="33"/>
    </row>
    <row r="37151" spans="10:10" ht="15" customHeight="1" x14ac:dyDescent="0.3">
      <c r="J37151" s="33"/>
    </row>
    <row r="37152" spans="10:10" ht="15" customHeight="1" x14ac:dyDescent="0.3">
      <c r="J37152" s="33"/>
    </row>
    <row r="37153" spans="10:10" x14ac:dyDescent="0.3">
      <c r="J37153" s="33"/>
    </row>
    <row r="37154" spans="10:10" ht="15" customHeight="1" x14ac:dyDescent="0.3">
      <c r="J37154" s="33"/>
    </row>
    <row r="37155" spans="10:10" x14ac:dyDescent="0.3">
      <c r="J37155" s="33"/>
    </row>
    <row r="37156" spans="10:10" x14ac:dyDescent="0.3">
      <c r="J37156" s="33"/>
    </row>
    <row r="37157" spans="10:10" x14ac:dyDescent="0.3">
      <c r="J37157" s="33"/>
    </row>
    <row r="37158" spans="10:10" x14ac:dyDescent="0.3">
      <c r="J37158" s="33"/>
    </row>
    <row r="37159" spans="10:10" ht="15" customHeight="1" x14ac:dyDescent="0.3">
      <c r="J37159" s="33"/>
    </row>
    <row r="37160" spans="10:10" ht="15" customHeight="1" x14ac:dyDescent="0.3">
      <c r="J37160" s="33"/>
    </row>
    <row r="37161" spans="10:10" x14ac:dyDescent="0.3">
      <c r="J37161" s="33"/>
    </row>
    <row r="37162" spans="10:10" x14ac:dyDescent="0.3">
      <c r="J37162" s="33"/>
    </row>
    <row r="37163" spans="10:10" x14ac:dyDescent="0.3">
      <c r="J37163" s="33"/>
    </row>
    <row r="37164" spans="10:10" ht="15" customHeight="1" x14ac:dyDescent="0.3">
      <c r="J37164" s="33"/>
    </row>
    <row r="37165" spans="10:10" ht="15" customHeight="1" x14ac:dyDescent="0.3">
      <c r="J37165" s="33"/>
    </row>
    <row r="37166" spans="10:10" ht="15" customHeight="1" x14ac:dyDescent="0.3">
      <c r="J37166" s="33"/>
    </row>
    <row r="37167" spans="10:10" x14ac:dyDescent="0.3">
      <c r="J37167" s="33"/>
    </row>
    <row r="37168" spans="10:10" ht="15" customHeight="1" x14ac:dyDescent="0.3">
      <c r="J37168" s="33"/>
    </row>
    <row r="37169" spans="10:10" x14ac:dyDescent="0.3">
      <c r="J37169" s="33"/>
    </row>
    <row r="37170" spans="10:10" x14ac:dyDescent="0.3">
      <c r="J37170" s="33"/>
    </row>
    <row r="37171" spans="10:10" ht="15" customHeight="1" x14ac:dyDescent="0.3">
      <c r="J37171" s="33"/>
    </row>
    <row r="37172" spans="10:10" x14ac:dyDescent="0.3">
      <c r="J37172" s="33"/>
    </row>
    <row r="37173" spans="10:10" x14ac:dyDescent="0.3">
      <c r="J37173" s="33"/>
    </row>
    <row r="37174" spans="10:10" ht="15" customHeight="1" x14ac:dyDescent="0.3">
      <c r="J37174" s="33"/>
    </row>
    <row r="37175" spans="10:10" x14ac:dyDescent="0.3">
      <c r="J37175" s="33"/>
    </row>
    <row r="37176" spans="10:10" ht="15" customHeight="1" x14ac:dyDescent="0.3">
      <c r="J37176" s="33"/>
    </row>
    <row r="37177" spans="10:10" x14ac:dyDescent="0.3">
      <c r="J37177" s="33"/>
    </row>
    <row r="37178" spans="10:10" x14ac:dyDescent="0.3">
      <c r="J37178" s="33"/>
    </row>
    <row r="37179" spans="10:10" ht="15" customHeight="1" x14ac:dyDescent="0.3">
      <c r="J37179" s="33"/>
    </row>
    <row r="37180" spans="10:10" ht="15" customHeight="1" x14ac:dyDescent="0.3">
      <c r="J37180" s="33"/>
    </row>
    <row r="37181" spans="10:10" ht="15" customHeight="1" x14ac:dyDescent="0.3">
      <c r="J37181" s="33"/>
    </row>
    <row r="37182" spans="10:10" ht="15" customHeight="1" x14ac:dyDescent="0.3">
      <c r="J37182" s="33"/>
    </row>
    <row r="37183" spans="10:10" ht="15" customHeight="1" x14ac:dyDescent="0.3">
      <c r="J37183" s="33"/>
    </row>
    <row r="37184" spans="10:10" ht="15" customHeight="1" x14ac:dyDescent="0.3">
      <c r="J37184" s="33"/>
    </row>
    <row r="37185" spans="10:10" x14ac:dyDescent="0.3">
      <c r="J37185" s="33"/>
    </row>
    <row r="37186" spans="10:10" ht="15" customHeight="1" x14ac:dyDescent="0.3">
      <c r="J37186" s="33"/>
    </row>
    <row r="37187" spans="10:10" ht="15" customHeight="1" x14ac:dyDescent="0.3">
      <c r="J37187" s="33"/>
    </row>
    <row r="37188" spans="10:10" ht="15" customHeight="1" x14ac:dyDescent="0.3">
      <c r="J37188" s="33"/>
    </row>
    <row r="37189" spans="10:10" x14ac:dyDescent="0.3">
      <c r="J37189" s="33"/>
    </row>
    <row r="37190" spans="10:10" ht="15" customHeight="1" x14ac:dyDescent="0.3">
      <c r="J37190" s="33"/>
    </row>
    <row r="37191" spans="10:10" ht="15" customHeight="1" x14ac:dyDescent="0.3">
      <c r="J37191" s="33"/>
    </row>
    <row r="37192" spans="10:10" ht="15" customHeight="1" x14ac:dyDescent="0.3">
      <c r="J37192" s="33"/>
    </row>
    <row r="37193" spans="10:10" ht="15" customHeight="1" x14ac:dyDescent="0.3">
      <c r="J37193" s="33"/>
    </row>
    <row r="37194" spans="10:10" x14ac:dyDescent="0.3">
      <c r="J37194" s="33"/>
    </row>
    <row r="37195" spans="10:10" x14ac:dyDescent="0.3">
      <c r="J37195" s="33"/>
    </row>
    <row r="37196" spans="10:10" x14ac:dyDescent="0.3">
      <c r="J37196" s="33"/>
    </row>
    <row r="37197" spans="10:10" ht="15" customHeight="1" x14ac:dyDescent="0.3">
      <c r="J37197" s="33"/>
    </row>
    <row r="37198" spans="10:10" ht="15" customHeight="1" x14ac:dyDescent="0.3">
      <c r="J37198" s="33"/>
    </row>
    <row r="37199" spans="10:10" ht="15" customHeight="1" x14ac:dyDescent="0.3">
      <c r="J37199" s="33"/>
    </row>
    <row r="37200" spans="10:10" x14ac:dyDescent="0.3">
      <c r="J37200" s="33"/>
    </row>
    <row r="37201" spans="10:10" ht="15" customHeight="1" x14ac:dyDescent="0.3">
      <c r="J37201" s="33"/>
    </row>
    <row r="37202" spans="10:10" ht="15" customHeight="1" x14ac:dyDescent="0.3">
      <c r="J37202" s="33"/>
    </row>
    <row r="37203" spans="10:10" x14ac:dyDescent="0.3">
      <c r="J37203" s="33"/>
    </row>
    <row r="37204" spans="10:10" x14ac:dyDescent="0.3">
      <c r="J37204" s="33"/>
    </row>
    <row r="37205" spans="10:10" x14ac:dyDescent="0.3">
      <c r="J37205" s="33"/>
    </row>
    <row r="37206" spans="10:10" ht="15" customHeight="1" x14ac:dyDescent="0.3">
      <c r="J37206" s="33"/>
    </row>
    <row r="37207" spans="10:10" x14ac:dyDescent="0.3">
      <c r="J37207" s="33"/>
    </row>
    <row r="37208" spans="10:10" x14ac:dyDescent="0.3">
      <c r="J37208" s="33"/>
    </row>
    <row r="37209" spans="10:10" x14ac:dyDescent="0.3">
      <c r="J37209" s="33"/>
    </row>
    <row r="37210" spans="10:10" ht="15" customHeight="1" x14ac:dyDescent="0.3">
      <c r="J37210" s="33"/>
    </row>
    <row r="37211" spans="10:10" ht="15" customHeight="1" x14ac:dyDescent="0.3">
      <c r="J37211" s="33"/>
    </row>
    <row r="37212" spans="10:10" x14ac:dyDescent="0.3">
      <c r="J37212" s="33"/>
    </row>
    <row r="37213" spans="10:10" ht="15" customHeight="1" x14ac:dyDescent="0.3">
      <c r="J37213" s="33"/>
    </row>
    <row r="37214" spans="10:10" x14ac:dyDescent="0.3">
      <c r="J37214" s="33"/>
    </row>
    <row r="37215" spans="10:10" ht="15" customHeight="1" x14ac:dyDescent="0.3">
      <c r="J37215" s="33"/>
    </row>
    <row r="37216" spans="10:10" ht="15" customHeight="1" x14ac:dyDescent="0.3">
      <c r="J37216" s="33"/>
    </row>
    <row r="37217" spans="10:10" ht="15" customHeight="1" x14ac:dyDescent="0.3">
      <c r="J37217" s="33"/>
    </row>
    <row r="37218" spans="10:10" ht="15" customHeight="1" x14ac:dyDescent="0.3">
      <c r="J37218" s="33"/>
    </row>
    <row r="37219" spans="10:10" x14ac:dyDescent="0.3">
      <c r="J37219" s="33"/>
    </row>
    <row r="37220" spans="10:10" x14ac:dyDescent="0.3">
      <c r="J37220" s="33"/>
    </row>
    <row r="37221" spans="10:10" x14ac:dyDescent="0.3">
      <c r="J37221" s="33"/>
    </row>
    <row r="37222" spans="10:10" ht="15" customHeight="1" x14ac:dyDescent="0.3">
      <c r="J37222" s="33"/>
    </row>
    <row r="37223" spans="10:10" ht="15" customHeight="1" x14ac:dyDescent="0.3">
      <c r="J37223" s="33"/>
    </row>
    <row r="37224" spans="10:10" x14ac:dyDescent="0.3">
      <c r="J37224" s="33"/>
    </row>
    <row r="37225" spans="10:10" ht="15" customHeight="1" x14ac:dyDescent="0.3">
      <c r="J37225" s="33"/>
    </row>
    <row r="37226" spans="10:10" x14ac:dyDescent="0.3">
      <c r="J37226" s="33"/>
    </row>
    <row r="37227" spans="10:10" x14ac:dyDescent="0.3">
      <c r="J37227" s="33"/>
    </row>
    <row r="37228" spans="10:10" ht="15" customHeight="1" x14ac:dyDescent="0.3">
      <c r="J37228" s="33"/>
    </row>
    <row r="37229" spans="10:10" ht="15" customHeight="1" x14ac:dyDescent="0.3">
      <c r="J37229" s="33"/>
    </row>
    <row r="37230" spans="10:10" x14ac:dyDescent="0.3">
      <c r="J37230" s="33"/>
    </row>
    <row r="37231" spans="10:10" ht="15" customHeight="1" x14ac:dyDescent="0.3">
      <c r="J37231" s="33"/>
    </row>
    <row r="37232" spans="10:10" x14ac:dyDescent="0.3">
      <c r="J37232" s="33"/>
    </row>
    <row r="37233" spans="10:10" ht="15" customHeight="1" x14ac:dyDescent="0.3">
      <c r="J37233" s="33"/>
    </row>
    <row r="37234" spans="10:10" ht="15" customHeight="1" x14ac:dyDescent="0.3">
      <c r="J37234" s="33"/>
    </row>
    <row r="37235" spans="10:10" x14ac:dyDescent="0.3">
      <c r="J37235" s="33"/>
    </row>
    <row r="37236" spans="10:10" ht="15" customHeight="1" x14ac:dyDescent="0.3">
      <c r="J37236" s="33"/>
    </row>
    <row r="37237" spans="10:10" ht="15" customHeight="1" x14ac:dyDescent="0.3">
      <c r="J37237" s="33"/>
    </row>
    <row r="37238" spans="10:10" x14ac:dyDescent="0.3">
      <c r="J37238" s="33"/>
    </row>
    <row r="37239" spans="10:10" x14ac:dyDescent="0.3">
      <c r="J37239" s="33"/>
    </row>
    <row r="37240" spans="10:10" ht="15" customHeight="1" x14ac:dyDescent="0.3">
      <c r="J37240" s="33"/>
    </row>
    <row r="37241" spans="10:10" ht="15" customHeight="1" x14ac:dyDescent="0.3">
      <c r="J37241" s="33"/>
    </row>
    <row r="37242" spans="10:10" x14ac:dyDescent="0.3">
      <c r="J37242" s="33"/>
    </row>
    <row r="37243" spans="10:10" ht="15" customHeight="1" x14ac:dyDescent="0.3">
      <c r="J37243" s="33"/>
    </row>
    <row r="37244" spans="10:10" ht="15" customHeight="1" x14ac:dyDescent="0.3">
      <c r="J37244" s="33"/>
    </row>
    <row r="37245" spans="10:10" ht="15" customHeight="1" x14ac:dyDescent="0.3">
      <c r="J37245" s="33"/>
    </row>
    <row r="37246" spans="10:10" x14ac:dyDescent="0.3">
      <c r="J37246" s="33"/>
    </row>
    <row r="37247" spans="10:10" x14ac:dyDescent="0.3">
      <c r="J37247" s="33"/>
    </row>
    <row r="37248" spans="10:10" x14ac:dyDescent="0.3">
      <c r="J37248" s="33"/>
    </row>
    <row r="37249" spans="10:10" x14ac:dyDescent="0.3">
      <c r="J37249" s="33"/>
    </row>
    <row r="37250" spans="10:10" x14ac:dyDescent="0.3">
      <c r="J37250" s="33"/>
    </row>
    <row r="37251" spans="10:10" ht="15" customHeight="1" x14ac:dyDescent="0.3">
      <c r="J37251" s="33"/>
    </row>
    <row r="37252" spans="10:10" ht="15" customHeight="1" x14ac:dyDescent="0.3">
      <c r="J37252" s="33"/>
    </row>
    <row r="37253" spans="10:10" ht="15" customHeight="1" x14ac:dyDescent="0.3">
      <c r="J37253" s="33"/>
    </row>
    <row r="37254" spans="10:10" x14ac:dyDescent="0.3">
      <c r="J37254" s="33"/>
    </row>
    <row r="37255" spans="10:10" x14ac:dyDescent="0.3">
      <c r="J37255" s="33"/>
    </row>
    <row r="37256" spans="10:10" ht="15" customHeight="1" x14ac:dyDescent="0.3">
      <c r="J37256" s="33"/>
    </row>
    <row r="37257" spans="10:10" x14ac:dyDescent="0.3">
      <c r="J37257" s="33"/>
    </row>
    <row r="37258" spans="10:10" x14ac:dyDescent="0.3">
      <c r="J37258" s="33"/>
    </row>
    <row r="37259" spans="10:10" ht="15" customHeight="1" x14ac:dyDescent="0.3">
      <c r="J37259" s="33"/>
    </row>
    <row r="37260" spans="10:10" x14ac:dyDescent="0.3">
      <c r="J37260" s="33"/>
    </row>
    <row r="37261" spans="10:10" ht="15" customHeight="1" x14ac:dyDescent="0.3">
      <c r="J37261" s="33"/>
    </row>
    <row r="37262" spans="10:10" ht="15" customHeight="1" x14ac:dyDescent="0.3">
      <c r="J37262" s="33"/>
    </row>
    <row r="37263" spans="10:10" ht="15" customHeight="1" x14ac:dyDescent="0.3">
      <c r="J37263" s="33"/>
    </row>
    <row r="37264" spans="10:10" ht="15" customHeight="1" x14ac:dyDescent="0.3">
      <c r="J37264" s="33"/>
    </row>
    <row r="37265" spans="10:10" x14ac:dyDescent="0.3">
      <c r="J37265" s="33"/>
    </row>
    <row r="37266" spans="10:10" x14ac:dyDescent="0.3">
      <c r="J37266" s="33"/>
    </row>
    <row r="37267" spans="10:10" ht="15" customHeight="1" x14ac:dyDescent="0.3">
      <c r="J37267" s="33"/>
    </row>
    <row r="37268" spans="10:10" ht="15" customHeight="1" x14ac:dyDescent="0.3">
      <c r="J37268" s="33"/>
    </row>
    <row r="37269" spans="10:10" x14ac:dyDescent="0.3">
      <c r="J37269" s="33"/>
    </row>
    <row r="37270" spans="10:10" x14ac:dyDescent="0.3">
      <c r="J37270" s="33"/>
    </row>
    <row r="37271" spans="10:10" ht="15" customHeight="1" x14ac:dyDescent="0.3">
      <c r="J37271" s="33"/>
    </row>
    <row r="37272" spans="10:10" ht="15" customHeight="1" x14ac:dyDescent="0.3">
      <c r="J37272" s="33"/>
    </row>
    <row r="37273" spans="10:10" x14ac:dyDescent="0.3">
      <c r="J37273" s="33"/>
    </row>
    <row r="37274" spans="10:10" x14ac:dyDescent="0.3">
      <c r="J37274" s="33"/>
    </row>
    <row r="37275" spans="10:10" ht="15" customHeight="1" x14ac:dyDescent="0.3">
      <c r="J37275" s="33"/>
    </row>
    <row r="37276" spans="10:10" x14ac:dyDescent="0.3">
      <c r="J37276" s="33"/>
    </row>
    <row r="37277" spans="10:10" ht="15" customHeight="1" x14ac:dyDescent="0.3">
      <c r="J37277" s="33"/>
    </row>
    <row r="37278" spans="10:10" x14ac:dyDescent="0.3">
      <c r="J37278" s="33"/>
    </row>
    <row r="37279" spans="10:10" ht="15" customHeight="1" x14ac:dyDescent="0.3">
      <c r="J37279" s="33"/>
    </row>
    <row r="37280" spans="10:10" x14ac:dyDescent="0.3">
      <c r="J37280" s="33"/>
    </row>
    <row r="37281" spans="10:10" x14ac:dyDescent="0.3">
      <c r="J37281" s="33"/>
    </row>
    <row r="37282" spans="10:10" ht="15" customHeight="1" x14ac:dyDescent="0.3">
      <c r="J37282" s="33"/>
    </row>
    <row r="37283" spans="10:10" x14ac:dyDescent="0.3">
      <c r="J37283" s="33"/>
    </row>
    <row r="37284" spans="10:10" ht="15" customHeight="1" x14ac:dyDescent="0.3">
      <c r="J37284" s="33"/>
    </row>
    <row r="37285" spans="10:10" x14ac:dyDescent="0.3">
      <c r="J37285" s="33"/>
    </row>
    <row r="37286" spans="10:10" x14ac:dyDescent="0.3">
      <c r="J37286" s="33"/>
    </row>
    <row r="37287" spans="10:10" x14ac:dyDescent="0.3">
      <c r="J37287" s="33"/>
    </row>
    <row r="37288" spans="10:10" x14ac:dyDescent="0.3">
      <c r="J37288" s="33"/>
    </row>
    <row r="37289" spans="10:10" ht="15" customHeight="1" x14ac:dyDescent="0.3">
      <c r="J37289" s="33"/>
    </row>
    <row r="37290" spans="10:10" ht="15" customHeight="1" x14ac:dyDescent="0.3">
      <c r="J37290" s="33"/>
    </row>
    <row r="37291" spans="10:10" x14ac:dyDescent="0.3">
      <c r="J37291" s="33"/>
    </row>
    <row r="37292" spans="10:10" ht="15" customHeight="1" x14ac:dyDescent="0.3">
      <c r="J37292" s="33"/>
    </row>
    <row r="37293" spans="10:10" ht="15" customHeight="1" x14ac:dyDescent="0.3">
      <c r="J37293" s="33"/>
    </row>
    <row r="37294" spans="10:10" ht="15" customHeight="1" x14ac:dyDescent="0.3">
      <c r="J37294" s="33"/>
    </row>
    <row r="37295" spans="10:10" x14ac:dyDescent="0.3">
      <c r="J37295" s="33"/>
    </row>
    <row r="37296" spans="10:10" ht="15" customHeight="1" x14ac:dyDescent="0.3">
      <c r="J37296" s="33"/>
    </row>
    <row r="37297" spans="10:10" ht="15" customHeight="1" x14ac:dyDescent="0.3">
      <c r="J37297" s="33"/>
    </row>
    <row r="37298" spans="10:10" ht="15" customHeight="1" x14ac:dyDescent="0.3">
      <c r="J37298" s="33"/>
    </row>
    <row r="37299" spans="10:10" x14ac:dyDescent="0.3">
      <c r="J37299" s="33"/>
    </row>
    <row r="37300" spans="10:10" ht="15" customHeight="1" x14ac:dyDescent="0.3">
      <c r="J37300" s="33"/>
    </row>
    <row r="37301" spans="10:10" x14ac:dyDescent="0.3">
      <c r="J37301" s="33"/>
    </row>
    <row r="37302" spans="10:10" ht="15" customHeight="1" x14ac:dyDescent="0.3">
      <c r="J37302" s="33"/>
    </row>
    <row r="37303" spans="10:10" x14ac:dyDescent="0.3">
      <c r="J37303" s="33"/>
    </row>
    <row r="37304" spans="10:10" ht="15" customHeight="1" x14ac:dyDescent="0.3">
      <c r="J37304" s="33"/>
    </row>
    <row r="37305" spans="10:10" x14ac:dyDescent="0.3">
      <c r="J37305" s="33"/>
    </row>
    <row r="37306" spans="10:10" ht="15" customHeight="1" x14ac:dyDescent="0.3">
      <c r="J37306" s="33"/>
    </row>
    <row r="37307" spans="10:10" x14ac:dyDescent="0.3">
      <c r="J37307" s="33"/>
    </row>
    <row r="37308" spans="10:10" x14ac:dyDescent="0.3">
      <c r="J37308" s="33"/>
    </row>
    <row r="37309" spans="10:10" x14ac:dyDescent="0.3">
      <c r="J37309" s="33"/>
    </row>
    <row r="37310" spans="10:10" ht="15" customHeight="1" x14ac:dyDescent="0.3">
      <c r="J37310" s="33"/>
    </row>
    <row r="37311" spans="10:10" ht="15" customHeight="1" x14ac:dyDescent="0.3">
      <c r="J37311" s="33"/>
    </row>
    <row r="37312" spans="10:10" ht="15" customHeight="1" x14ac:dyDescent="0.3">
      <c r="J37312" s="33"/>
    </row>
    <row r="37313" spans="10:10" x14ac:dyDescent="0.3">
      <c r="J37313" s="33"/>
    </row>
    <row r="37314" spans="10:10" ht="15" customHeight="1" x14ac:dyDescent="0.3">
      <c r="J37314" s="33"/>
    </row>
    <row r="37315" spans="10:10" ht="15" customHeight="1" x14ac:dyDescent="0.3">
      <c r="J37315" s="33"/>
    </row>
    <row r="37316" spans="10:10" ht="15" customHeight="1" x14ac:dyDescent="0.3">
      <c r="J37316" s="33"/>
    </row>
    <row r="37317" spans="10:10" ht="15" customHeight="1" x14ac:dyDescent="0.3">
      <c r="J37317" s="33"/>
    </row>
    <row r="37318" spans="10:10" ht="15" customHeight="1" x14ac:dyDescent="0.3">
      <c r="J37318" s="33"/>
    </row>
    <row r="37319" spans="10:10" ht="15" customHeight="1" x14ac:dyDescent="0.3">
      <c r="J37319" s="33"/>
    </row>
    <row r="37320" spans="10:10" x14ac:dyDescent="0.3">
      <c r="J37320" s="33"/>
    </row>
    <row r="37321" spans="10:10" ht="15" customHeight="1" x14ac:dyDescent="0.3">
      <c r="J37321" s="33"/>
    </row>
    <row r="37322" spans="10:10" x14ac:dyDescent="0.3">
      <c r="J37322" s="33"/>
    </row>
    <row r="37323" spans="10:10" ht="15" customHeight="1" x14ac:dyDescent="0.3">
      <c r="J37323" s="33"/>
    </row>
    <row r="37324" spans="10:10" x14ac:dyDescent="0.3">
      <c r="J37324" s="33"/>
    </row>
    <row r="37325" spans="10:10" x14ac:dyDescent="0.3">
      <c r="J37325" s="33"/>
    </row>
    <row r="37326" spans="10:10" x14ac:dyDescent="0.3">
      <c r="J37326" s="33"/>
    </row>
    <row r="37327" spans="10:10" ht="15" customHeight="1" x14ac:dyDescent="0.3">
      <c r="J37327" s="33"/>
    </row>
    <row r="37328" spans="10:10" x14ac:dyDescent="0.3">
      <c r="J37328" s="33"/>
    </row>
    <row r="37329" spans="10:10" ht="15" customHeight="1" x14ac:dyDescent="0.3">
      <c r="J37329" s="33"/>
    </row>
    <row r="37330" spans="10:10" ht="15" customHeight="1" x14ac:dyDescent="0.3">
      <c r="J37330" s="33"/>
    </row>
    <row r="37331" spans="10:10" ht="15" customHeight="1" x14ac:dyDescent="0.3">
      <c r="J37331" s="33"/>
    </row>
    <row r="37332" spans="10:10" ht="15" customHeight="1" x14ac:dyDescent="0.3">
      <c r="J37332" s="33"/>
    </row>
    <row r="37333" spans="10:10" x14ac:dyDescent="0.3">
      <c r="J37333" s="33"/>
    </row>
    <row r="37334" spans="10:10" x14ac:dyDescent="0.3">
      <c r="J37334" s="33"/>
    </row>
    <row r="37335" spans="10:10" ht="15" customHeight="1" x14ac:dyDescent="0.3">
      <c r="J37335" s="33"/>
    </row>
    <row r="37336" spans="10:10" x14ac:dyDescent="0.3">
      <c r="J37336" s="33"/>
    </row>
    <row r="37337" spans="10:10" x14ac:dyDescent="0.3">
      <c r="J37337" s="33"/>
    </row>
    <row r="37338" spans="10:10" x14ac:dyDescent="0.3">
      <c r="J37338" s="33"/>
    </row>
    <row r="37339" spans="10:10" ht="15" customHeight="1" x14ac:dyDescent="0.3">
      <c r="J37339" s="33"/>
    </row>
    <row r="37340" spans="10:10" ht="15" customHeight="1" x14ac:dyDescent="0.3">
      <c r="J37340" s="33"/>
    </row>
    <row r="37341" spans="10:10" ht="15" customHeight="1" x14ac:dyDescent="0.3">
      <c r="J37341" s="33"/>
    </row>
    <row r="37342" spans="10:10" ht="15" customHeight="1" x14ac:dyDescent="0.3">
      <c r="J37342" s="33"/>
    </row>
    <row r="37343" spans="10:10" x14ac:dyDescent="0.3">
      <c r="J37343" s="33"/>
    </row>
    <row r="37344" spans="10:10" ht="15" customHeight="1" x14ac:dyDescent="0.3">
      <c r="J37344" s="33"/>
    </row>
    <row r="37345" spans="10:10" x14ac:dyDescent="0.3">
      <c r="J37345" s="33"/>
    </row>
    <row r="37346" spans="10:10" ht="15" customHeight="1" x14ac:dyDescent="0.3">
      <c r="J37346" s="33"/>
    </row>
    <row r="37347" spans="10:10" ht="15" customHeight="1" x14ac:dyDescent="0.3">
      <c r="J37347" s="33"/>
    </row>
    <row r="37348" spans="10:10" ht="15" customHeight="1" x14ac:dyDescent="0.3">
      <c r="J37348" s="33"/>
    </row>
    <row r="37349" spans="10:10" ht="15" customHeight="1" x14ac:dyDescent="0.3">
      <c r="J37349" s="33"/>
    </row>
    <row r="37350" spans="10:10" x14ac:dyDescent="0.3">
      <c r="J37350" s="33"/>
    </row>
    <row r="37351" spans="10:10" x14ac:dyDescent="0.3">
      <c r="J37351" s="33"/>
    </row>
    <row r="37352" spans="10:10" x14ac:dyDescent="0.3">
      <c r="J37352" s="33"/>
    </row>
    <row r="37353" spans="10:10" x14ac:dyDescent="0.3">
      <c r="J37353" s="33"/>
    </row>
    <row r="37354" spans="10:10" ht="15" customHeight="1" x14ac:dyDescent="0.3">
      <c r="J37354" s="33"/>
    </row>
    <row r="37355" spans="10:10" x14ac:dyDescent="0.3">
      <c r="J37355" s="33"/>
    </row>
    <row r="37356" spans="10:10" ht="15" customHeight="1" x14ac:dyDescent="0.3">
      <c r="J37356" s="33"/>
    </row>
    <row r="37357" spans="10:10" x14ac:dyDescent="0.3">
      <c r="J37357" s="33"/>
    </row>
    <row r="37358" spans="10:10" ht="15" customHeight="1" x14ac:dyDescent="0.3">
      <c r="J37358" s="33"/>
    </row>
    <row r="37359" spans="10:10" x14ac:dyDescent="0.3">
      <c r="J37359" s="33"/>
    </row>
    <row r="37360" spans="10:10" x14ac:dyDescent="0.3">
      <c r="J37360" s="33"/>
    </row>
    <row r="37361" spans="10:10" x14ac:dyDescent="0.3">
      <c r="J37361" s="33"/>
    </row>
    <row r="37362" spans="10:10" ht="15" customHeight="1" x14ac:dyDescent="0.3">
      <c r="J37362" s="33"/>
    </row>
    <row r="37363" spans="10:10" ht="15" customHeight="1" x14ac:dyDescent="0.3">
      <c r="J37363" s="33"/>
    </row>
    <row r="37364" spans="10:10" ht="15" customHeight="1" x14ac:dyDescent="0.3">
      <c r="J37364" s="33"/>
    </row>
    <row r="37365" spans="10:10" x14ac:dyDescent="0.3">
      <c r="J37365" s="33"/>
    </row>
    <row r="37366" spans="10:10" x14ac:dyDescent="0.3">
      <c r="J37366" s="33"/>
    </row>
    <row r="37367" spans="10:10" ht="15" customHeight="1" x14ac:dyDescent="0.3">
      <c r="J37367" s="33"/>
    </row>
    <row r="37368" spans="10:10" x14ac:dyDescent="0.3">
      <c r="J37368" s="33"/>
    </row>
    <row r="37369" spans="10:10" ht="15" customHeight="1" x14ac:dyDescent="0.3">
      <c r="J37369" s="33"/>
    </row>
    <row r="37370" spans="10:10" x14ac:dyDescent="0.3">
      <c r="J37370" s="33"/>
    </row>
    <row r="37371" spans="10:10" ht="15" customHeight="1" x14ac:dyDescent="0.3">
      <c r="J37371" s="33"/>
    </row>
    <row r="37372" spans="10:10" ht="15" customHeight="1" x14ac:dyDescent="0.3">
      <c r="J37372" s="33"/>
    </row>
    <row r="37373" spans="10:10" x14ac:dyDescent="0.3">
      <c r="J37373" s="33"/>
    </row>
    <row r="37374" spans="10:10" ht="15" customHeight="1" x14ac:dyDescent="0.3">
      <c r="J37374" s="33"/>
    </row>
    <row r="37375" spans="10:10" ht="15" customHeight="1" x14ac:dyDescent="0.3">
      <c r="J37375" s="33"/>
    </row>
    <row r="37376" spans="10:10" ht="15" customHeight="1" x14ac:dyDescent="0.3">
      <c r="J37376" s="33"/>
    </row>
    <row r="37377" spans="10:10" ht="15" customHeight="1" x14ac:dyDescent="0.3">
      <c r="J37377" s="33"/>
    </row>
    <row r="37378" spans="10:10" x14ac:dyDescent="0.3">
      <c r="J37378" s="33"/>
    </row>
    <row r="37379" spans="10:10" x14ac:dyDescent="0.3">
      <c r="J37379" s="33"/>
    </row>
    <row r="37380" spans="10:10" x14ac:dyDescent="0.3">
      <c r="J37380" s="33"/>
    </row>
    <row r="37381" spans="10:10" x14ac:dyDescent="0.3">
      <c r="J37381" s="33"/>
    </row>
    <row r="37382" spans="10:10" ht="15" customHeight="1" x14ac:dyDescent="0.3">
      <c r="J37382" s="33"/>
    </row>
    <row r="37383" spans="10:10" x14ac:dyDescent="0.3">
      <c r="J37383" s="33"/>
    </row>
    <row r="37384" spans="10:10" ht="15" customHeight="1" x14ac:dyDescent="0.3">
      <c r="J37384" s="33"/>
    </row>
    <row r="37385" spans="10:10" x14ac:dyDescent="0.3">
      <c r="J37385" s="33"/>
    </row>
    <row r="37386" spans="10:10" ht="15" customHeight="1" x14ac:dyDescent="0.3">
      <c r="J37386" s="33"/>
    </row>
    <row r="37387" spans="10:10" ht="15" customHeight="1" x14ac:dyDescent="0.3">
      <c r="J37387" s="33"/>
    </row>
    <row r="37388" spans="10:10" ht="15" customHeight="1" x14ac:dyDescent="0.3">
      <c r="J37388" s="33"/>
    </row>
    <row r="37389" spans="10:10" x14ac:dyDescent="0.3">
      <c r="J37389" s="33"/>
    </row>
    <row r="37390" spans="10:10" ht="15" customHeight="1" x14ac:dyDescent="0.3">
      <c r="J37390" s="33"/>
    </row>
    <row r="37391" spans="10:10" x14ac:dyDescent="0.3">
      <c r="J37391" s="33"/>
    </row>
    <row r="37392" spans="10:10" ht="15" customHeight="1" x14ac:dyDescent="0.3">
      <c r="J37392" s="33"/>
    </row>
    <row r="37393" spans="10:10" ht="15" customHeight="1" x14ac:dyDescent="0.3">
      <c r="J37393" s="33"/>
    </row>
    <row r="37394" spans="10:10" ht="15" customHeight="1" x14ac:dyDescent="0.3">
      <c r="J37394" s="33"/>
    </row>
    <row r="37395" spans="10:10" x14ac:dyDescent="0.3">
      <c r="J37395" s="33"/>
    </row>
    <row r="37396" spans="10:10" ht="15" customHeight="1" x14ac:dyDescent="0.3">
      <c r="J37396" s="33"/>
    </row>
    <row r="37397" spans="10:10" x14ac:dyDescent="0.3">
      <c r="J37397" s="33"/>
    </row>
    <row r="37398" spans="10:10" x14ac:dyDescent="0.3">
      <c r="J37398" s="33"/>
    </row>
    <row r="37399" spans="10:10" x14ac:dyDescent="0.3">
      <c r="J37399" s="33"/>
    </row>
    <row r="37400" spans="10:10" ht="15" customHeight="1" x14ac:dyDescent="0.3">
      <c r="J37400" s="33"/>
    </row>
    <row r="37401" spans="10:10" ht="15" customHeight="1" x14ac:dyDescent="0.3">
      <c r="J37401" s="33"/>
    </row>
    <row r="37402" spans="10:10" x14ac:dyDescent="0.3">
      <c r="J37402" s="33"/>
    </row>
    <row r="37403" spans="10:10" ht="15" customHeight="1" x14ac:dyDescent="0.3">
      <c r="J37403" s="33"/>
    </row>
    <row r="37404" spans="10:10" x14ac:dyDescent="0.3">
      <c r="J37404" s="33"/>
    </row>
    <row r="37405" spans="10:10" x14ac:dyDescent="0.3">
      <c r="J37405" s="33"/>
    </row>
    <row r="37406" spans="10:10" x14ac:dyDescent="0.3">
      <c r="J37406" s="33"/>
    </row>
    <row r="37407" spans="10:10" ht="15" customHeight="1" x14ac:dyDescent="0.3">
      <c r="J37407" s="33"/>
    </row>
    <row r="37408" spans="10:10" ht="15" customHeight="1" x14ac:dyDescent="0.3">
      <c r="J37408" s="33"/>
    </row>
    <row r="37409" spans="10:10" ht="15" customHeight="1" x14ac:dyDescent="0.3">
      <c r="J37409" s="33"/>
    </row>
    <row r="37410" spans="10:10" x14ac:dyDescent="0.3">
      <c r="J37410" s="33"/>
    </row>
    <row r="37411" spans="10:10" x14ac:dyDescent="0.3">
      <c r="J37411" s="33"/>
    </row>
    <row r="37412" spans="10:10" x14ac:dyDescent="0.3">
      <c r="J37412" s="33"/>
    </row>
    <row r="37413" spans="10:10" ht="15" customHeight="1" x14ac:dyDescent="0.3">
      <c r="J37413" s="33"/>
    </row>
    <row r="37414" spans="10:10" ht="15" customHeight="1" x14ac:dyDescent="0.3">
      <c r="J37414" s="33"/>
    </row>
    <row r="37415" spans="10:10" ht="15" customHeight="1" x14ac:dyDescent="0.3">
      <c r="J37415" s="33"/>
    </row>
    <row r="37416" spans="10:10" x14ac:dyDescent="0.3">
      <c r="J37416" s="33"/>
    </row>
    <row r="37417" spans="10:10" ht="15" customHeight="1" x14ac:dyDescent="0.3">
      <c r="J37417" s="33"/>
    </row>
    <row r="37418" spans="10:10" ht="15" customHeight="1" x14ac:dyDescent="0.3">
      <c r="J37418" s="33"/>
    </row>
    <row r="37419" spans="10:10" ht="15" customHeight="1" x14ac:dyDescent="0.3">
      <c r="J37419" s="33"/>
    </row>
    <row r="37420" spans="10:10" x14ac:dyDescent="0.3">
      <c r="J37420" s="33"/>
    </row>
    <row r="37421" spans="10:10" ht="15" customHeight="1" x14ac:dyDescent="0.3">
      <c r="J37421" s="33"/>
    </row>
    <row r="37422" spans="10:10" x14ac:dyDescent="0.3">
      <c r="J37422" s="33"/>
    </row>
    <row r="37423" spans="10:10" ht="15" customHeight="1" x14ac:dyDescent="0.3">
      <c r="J37423" s="33"/>
    </row>
    <row r="37424" spans="10:10" x14ac:dyDescent="0.3">
      <c r="J37424" s="33"/>
    </row>
    <row r="37425" spans="10:10" x14ac:dyDescent="0.3">
      <c r="J37425" s="33"/>
    </row>
    <row r="37426" spans="10:10" x14ac:dyDescent="0.3">
      <c r="J37426" s="33"/>
    </row>
    <row r="37427" spans="10:10" ht="15" customHeight="1" x14ac:dyDescent="0.3">
      <c r="J37427" s="33"/>
    </row>
    <row r="37428" spans="10:10" ht="15" customHeight="1" x14ac:dyDescent="0.3">
      <c r="J37428" s="33"/>
    </row>
    <row r="37429" spans="10:10" ht="15" customHeight="1" x14ac:dyDescent="0.3">
      <c r="J37429" s="33"/>
    </row>
    <row r="37430" spans="10:10" x14ac:dyDescent="0.3">
      <c r="J37430" s="33"/>
    </row>
    <row r="37431" spans="10:10" ht="15" customHeight="1" x14ac:dyDescent="0.3">
      <c r="J37431" s="33"/>
    </row>
    <row r="37432" spans="10:10" x14ac:dyDescent="0.3">
      <c r="J37432" s="33"/>
    </row>
    <row r="37433" spans="10:10" ht="15" customHeight="1" x14ac:dyDescent="0.3">
      <c r="J37433" s="33"/>
    </row>
    <row r="37434" spans="10:10" ht="15" customHeight="1" x14ac:dyDescent="0.3">
      <c r="J37434" s="33"/>
    </row>
    <row r="37435" spans="10:10" x14ac:dyDescent="0.3">
      <c r="J37435" s="33"/>
    </row>
    <row r="37436" spans="10:10" x14ac:dyDescent="0.3">
      <c r="J37436" s="33"/>
    </row>
    <row r="37437" spans="10:10" ht="15" customHeight="1" x14ac:dyDescent="0.3">
      <c r="J37437" s="33"/>
    </row>
    <row r="37438" spans="10:10" ht="15" customHeight="1" x14ac:dyDescent="0.3">
      <c r="J37438" s="33"/>
    </row>
    <row r="37439" spans="10:10" x14ac:dyDescent="0.3">
      <c r="J37439" s="33"/>
    </row>
    <row r="37440" spans="10:10" x14ac:dyDescent="0.3">
      <c r="J37440" s="33"/>
    </row>
    <row r="37441" spans="10:10" ht="15" customHeight="1" x14ac:dyDescent="0.3">
      <c r="J37441" s="33"/>
    </row>
    <row r="37442" spans="10:10" ht="15" customHeight="1" x14ac:dyDescent="0.3">
      <c r="J37442" s="33"/>
    </row>
    <row r="37443" spans="10:10" x14ac:dyDescent="0.3">
      <c r="J37443" s="33"/>
    </row>
    <row r="37444" spans="10:10" x14ac:dyDescent="0.3">
      <c r="J37444" s="33"/>
    </row>
    <row r="37445" spans="10:10" x14ac:dyDescent="0.3">
      <c r="J37445" s="33"/>
    </row>
    <row r="37446" spans="10:10" x14ac:dyDescent="0.3">
      <c r="J37446" s="33"/>
    </row>
    <row r="37447" spans="10:10" x14ac:dyDescent="0.3">
      <c r="J37447" s="33"/>
    </row>
    <row r="37448" spans="10:10" ht="15" customHeight="1" x14ac:dyDescent="0.3">
      <c r="J37448" s="33"/>
    </row>
    <row r="37449" spans="10:10" x14ac:dyDescent="0.3">
      <c r="J37449" s="33"/>
    </row>
    <row r="37450" spans="10:10" x14ac:dyDescent="0.3">
      <c r="J37450" s="33"/>
    </row>
    <row r="37451" spans="10:10" ht="15" customHeight="1" x14ac:dyDescent="0.3">
      <c r="J37451" s="33"/>
    </row>
    <row r="37452" spans="10:10" x14ac:dyDescent="0.3">
      <c r="J37452" s="33"/>
    </row>
    <row r="37453" spans="10:10" ht="15" customHeight="1" x14ac:dyDescent="0.3">
      <c r="J37453" s="33"/>
    </row>
    <row r="37454" spans="10:10" x14ac:dyDescent="0.3">
      <c r="J37454" s="33"/>
    </row>
    <row r="37455" spans="10:10" ht="15" customHeight="1" x14ac:dyDescent="0.3">
      <c r="J37455" s="33"/>
    </row>
    <row r="37456" spans="10:10" x14ac:dyDescent="0.3">
      <c r="J37456" s="33"/>
    </row>
    <row r="37457" spans="10:10" ht="15" customHeight="1" x14ac:dyDescent="0.3">
      <c r="J37457" s="33"/>
    </row>
    <row r="37458" spans="10:10" x14ac:dyDescent="0.3">
      <c r="J37458" s="33"/>
    </row>
    <row r="37459" spans="10:10" ht="15" customHeight="1" x14ac:dyDescent="0.3">
      <c r="J37459" s="33"/>
    </row>
    <row r="37460" spans="10:10" ht="15" customHeight="1" x14ac:dyDescent="0.3">
      <c r="J37460" s="33"/>
    </row>
    <row r="37461" spans="10:10" ht="15" customHeight="1" x14ac:dyDescent="0.3">
      <c r="J37461" s="33"/>
    </row>
    <row r="37462" spans="10:10" x14ac:dyDescent="0.3">
      <c r="J37462" s="33"/>
    </row>
    <row r="37463" spans="10:10" ht="15" customHeight="1" x14ac:dyDescent="0.3">
      <c r="J37463" s="33"/>
    </row>
    <row r="37464" spans="10:10" ht="15" customHeight="1" x14ac:dyDescent="0.3">
      <c r="J37464" s="33"/>
    </row>
    <row r="37465" spans="10:10" ht="15" customHeight="1" x14ac:dyDescent="0.3">
      <c r="J37465" s="33"/>
    </row>
    <row r="37466" spans="10:10" x14ac:dyDescent="0.3">
      <c r="J37466" s="33"/>
    </row>
    <row r="37467" spans="10:10" x14ac:dyDescent="0.3">
      <c r="J37467" s="33"/>
    </row>
    <row r="37468" spans="10:10" x14ac:dyDescent="0.3">
      <c r="J37468" s="33"/>
    </row>
    <row r="37469" spans="10:10" x14ac:dyDescent="0.3">
      <c r="J37469" s="33"/>
    </row>
    <row r="37470" spans="10:10" x14ac:dyDescent="0.3">
      <c r="J37470" s="33"/>
    </row>
    <row r="37471" spans="10:10" ht="15" customHeight="1" x14ac:dyDescent="0.3">
      <c r="J37471" s="33"/>
    </row>
    <row r="37472" spans="10:10" x14ac:dyDescent="0.3">
      <c r="J37472" s="33"/>
    </row>
    <row r="37473" spans="10:10" ht="15" customHeight="1" x14ac:dyDescent="0.3">
      <c r="J37473" s="33"/>
    </row>
    <row r="37474" spans="10:10" x14ac:dyDescent="0.3">
      <c r="J37474" s="33"/>
    </row>
    <row r="37475" spans="10:10" ht="15" customHeight="1" x14ac:dyDescent="0.3">
      <c r="J37475" s="33"/>
    </row>
    <row r="37476" spans="10:10" ht="15" customHeight="1" x14ac:dyDescent="0.3">
      <c r="J37476" s="33"/>
    </row>
    <row r="37477" spans="10:10" ht="15" customHeight="1" x14ac:dyDescent="0.3">
      <c r="J37477" s="33"/>
    </row>
    <row r="37478" spans="10:10" x14ac:dyDescent="0.3">
      <c r="J37478" s="33"/>
    </row>
    <row r="37479" spans="10:10" x14ac:dyDescent="0.3">
      <c r="J37479" s="33"/>
    </row>
    <row r="37480" spans="10:10" x14ac:dyDescent="0.3">
      <c r="J37480" s="33"/>
    </row>
    <row r="37481" spans="10:10" ht="15" customHeight="1" x14ac:dyDescent="0.3">
      <c r="J37481" s="33"/>
    </row>
    <row r="37482" spans="10:10" ht="15" customHeight="1" x14ac:dyDescent="0.3">
      <c r="J37482" s="33"/>
    </row>
    <row r="37483" spans="10:10" ht="15" customHeight="1" x14ac:dyDescent="0.3">
      <c r="J37483" s="33"/>
    </row>
    <row r="37484" spans="10:10" ht="15" customHeight="1" x14ac:dyDescent="0.3">
      <c r="J37484" s="33"/>
    </row>
    <row r="37485" spans="10:10" ht="15" customHeight="1" x14ac:dyDescent="0.3">
      <c r="J37485" s="33"/>
    </row>
    <row r="37486" spans="10:10" ht="15" customHeight="1" x14ac:dyDescent="0.3">
      <c r="J37486" s="33"/>
    </row>
    <row r="37487" spans="10:10" x14ac:dyDescent="0.3">
      <c r="J37487" s="33"/>
    </row>
    <row r="37488" spans="10:10" x14ac:dyDescent="0.3">
      <c r="J37488" s="33"/>
    </row>
    <row r="37489" spans="10:10" ht="15" customHeight="1" x14ac:dyDescent="0.3">
      <c r="J37489" s="33"/>
    </row>
    <row r="37490" spans="10:10" x14ac:dyDescent="0.3">
      <c r="J37490" s="33"/>
    </row>
    <row r="37491" spans="10:10" x14ac:dyDescent="0.3">
      <c r="J37491" s="33"/>
    </row>
    <row r="37492" spans="10:10" x14ac:dyDescent="0.3">
      <c r="J37492" s="33"/>
    </row>
    <row r="37493" spans="10:10" ht="15" customHeight="1" x14ac:dyDescent="0.3">
      <c r="J37493" s="33"/>
    </row>
    <row r="37494" spans="10:10" x14ac:dyDescent="0.3">
      <c r="J37494" s="33"/>
    </row>
    <row r="37495" spans="10:10" ht="15" customHeight="1" x14ac:dyDescent="0.3">
      <c r="J37495" s="33"/>
    </row>
    <row r="37496" spans="10:10" x14ac:dyDescent="0.3">
      <c r="J37496" s="33"/>
    </row>
    <row r="37497" spans="10:10" ht="15" customHeight="1" x14ac:dyDescent="0.3">
      <c r="J37497" s="33"/>
    </row>
    <row r="37498" spans="10:10" ht="15" customHeight="1" x14ac:dyDescent="0.3">
      <c r="J37498" s="33"/>
    </row>
    <row r="37499" spans="10:10" x14ac:dyDescent="0.3">
      <c r="J37499" s="33"/>
    </row>
    <row r="37500" spans="10:10" x14ac:dyDescent="0.3">
      <c r="J37500" s="33"/>
    </row>
    <row r="37501" spans="10:10" x14ac:dyDescent="0.3">
      <c r="J37501" s="33"/>
    </row>
    <row r="37502" spans="10:10" ht="15" customHeight="1" x14ac:dyDescent="0.3">
      <c r="J37502" s="33"/>
    </row>
    <row r="37503" spans="10:10" x14ac:dyDescent="0.3">
      <c r="J37503" s="33"/>
    </row>
    <row r="37504" spans="10:10" x14ac:dyDescent="0.3">
      <c r="J37504" s="33"/>
    </row>
    <row r="37505" spans="10:10" ht="15" customHeight="1" x14ac:dyDescent="0.3">
      <c r="J37505" s="33"/>
    </row>
    <row r="37506" spans="10:10" ht="15" customHeight="1" x14ac:dyDescent="0.3">
      <c r="J37506" s="33"/>
    </row>
    <row r="37507" spans="10:10" ht="15" customHeight="1" x14ac:dyDescent="0.3">
      <c r="J37507" s="33"/>
    </row>
    <row r="37508" spans="10:10" x14ac:dyDescent="0.3">
      <c r="J37508" s="33"/>
    </row>
    <row r="37509" spans="10:10" ht="15" customHeight="1" x14ac:dyDescent="0.3">
      <c r="J37509" s="33"/>
    </row>
    <row r="37510" spans="10:10" x14ac:dyDescent="0.3">
      <c r="J37510" s="33"/>
    </row>
    <row r="37511" spans="10:10" ht="15" customHeight="1" x14ac:dyDescent="0.3">
      <c r="J37511" s="33"/>
    </row>
    <row r="37512" spans="10:10" ht="15" customHeight="1" x14ac:dyDescent="0.3">
      <c r="J37512" s="33"/>
    </row>
    <row r="37513" spans="10:10" ht="15" customHeight="1" x14ac:dyDescent="0.3">
      <c r="J37513" s="33"/>
    </row>
    <row r="37514" spans="10:10" x14ac:dyDescent="0.3">
      <c r="J37514" s="33"/>
    </row>
    <row r="37515" spans="10:10" ht="15" customHeight="1" x14ac:dyDescent="0.3">
      <c r="J37515" s="33"/>
    </row>
    <row r="37516" spans="10:10" ht="15" customHeight="1" x14ac:dyDescent="0.3">
      <c r="J37516" s="33"/>
    </row>
    <row r="37517" spans="10:10" x14ac:dyDescent="0.3">
      <c r="J37517" s="33"/>
    </row>
    <row r="37518" spans="10:10" x14ac:dyDescent="0.3">
      <c r="J37518" s="33"/>
    </row>
    <row r="37519" spans="10:10" x14ac:dyDescent="0.3">
      <c r="J37519" s="33"/>
    </row>
    <row r="37520" spans="10:10" ht="15" customHeight="1" x14ac:dyDescent="0.3">
      <c r="J37520" s="33"/>
    </row>
    <row r="37521" spans="10:10" ht="15" customHeight="1" x14ac:dyDescent="0.3">
      <c r="J37521" s="33"/>
    </row>
    <row r="37522" spans="10:10" ht="15" customHeight="1" x14ac:dyDescent="0.3">
      <c r="J37522" s="33"/>
    </row>
    <row r="37523" spans="10:10" x14ac:dyDescent="0.3">
      <c r="J37523" s="33"/>
    </row>
    <row r="37524" spans="10:10" x14ac:dyDescent="0.3">
      <c r="J37524" s="33"/>
    </row>
    <row r="37525" spans="10:10" ht="15" customHeight="1" x14ac:dyDescent="0.3">
      <c r="J37525" s="33"/>
    </row>
    <row r="37526" spans="10:10" ht="15" customHeight="1" x14ac:dyDescent="0.3">
      <c r="J37526" s="33"/>
    </row>
    <row r="37527" spans="10:10" x14ac:dyDescent="0.3">
      <c r="J37527" s="33"/>
    </row>
    <row r="37528" spans="10:10" ht="15" customHeight="1" x14ac:dyDescent="0.3">
      <c r="J37528" s="33"/>
    </row>
    <row r="37529" spans="10:10" ht="15" customHeight="1" x14ac:dyDescent="0.3">
      <c r="J37529" s="33"/>
    </row>
    <row r="37530" spans="10:10" x14ac:dyDescent="0.3">
      <c r="J37530" s="33"/>
    </row>
    <row r="37531" spans="10:10" ht="15" customHeight="1" x14ac:dyDescent="0.3">
      <c r="J37531" s="33"/>
    </row>
    <row r="37532" spans="10:10" ht="15" customHeight="1" x14ac:dyDescent="0.3">
      <c r="J37532" s="33"/>
    </row>
    <row r="37533" spans="10:10" x14ac:dyDescent="0.3">
      <c r="J37533" s="33"/>
    </row>
    <row r="37534" spans="10:10" ht="15" customHeight="1" x14ac:dyDescent="0.3">
      <c r="J37534" s="33"/>
    </row>
    <row r="37535" spans="10:10" ht="15" customHeight="1" x14ac:dyDescent="0.3">
      <c r="J37535" s="33"/>
    </row>
    <row r="37536" spans="10:10" x14ac:dyDescent="0.3">
      <c r="J37536" s="33"/>
    </row>
    <row r="37537" spans="10:10" x14ac:dyDescent="0.3">
      <c r="J37537" s="33"/>
    </row>
    <row r="37538" spans="10:10" x14ac:dyDescent="0.3">
      <c r="J37538" s="33"/>
    </row>
    <row r="37539" spans="10:10" x14ac:dyDescent="0.3">
      <c r="J37539" s="33"/>
    </row>
    <row r="37540" spans="10:10" x14ac:dyDescent="0.3">
      <c r="J37540" s="33"/>
    </row>
    <row r="37541" spans="10:10" x14ac:dyDescent="0.3">
      <c r="J37541" s="33"/>
    </row>
    <row r="37542" spans="10:10" ht="15" customHeight="1" x14ac:dyDescent="0.3">
      <c r="J37542" s="33"/>
    </row>
    <row r="37543" spans="10:10" x14ac:dyDescent="0.3">
      <c r="J37543" s="33"/>
    </row>
    <row r="37544" spans="10:10" ht="15" customHeight="1" x14ac:dyDescent="0.3">
      <c r="J37544" s="33"/>
    </row>
    <row r="37545" spans="10:10" x14ac:dyDescent="0.3">
      <c r="J37545" s="33"/>
    </row>
    <row r="37546" spans="10:10" ht="15" customHeight="1" x14ac:dyDescent="0.3">
      <c r="J37546" s="33"/>
    </row>
    <row r="37547" spans="10:10" ht="15" customHeight="1" x14ac:dyDescent="0.3">
      <c r="J37547" s="33"/>
    </row>
    <row r="37548" spans="10:10" x14ac:dyDescent="0.3">
      <c r="J37548" s="33"/>
    </row>
    <row r="37549" spans="10:10" ht="15" customHeight="1" x14ac:dyDescent="0.3">
      <c r="J37549" s="33"/>
    </row>
    <row r="37550" spans="10:10" ht="15" customHeight="1" x14ac:dyDescent="0.3">
      <c r="J37550" s="33"/>
    </row>
    <row r="37551" spans="10:10" ht="15" customHeight="1" x14ac:dyDescent="0.3">
      <c r="J37551" s="33"/>
    </row>
    <row r="37552" spans="10:10" ht="15" customHeight="1" x14ac:dyDescent="0.3">
      <c r="J37552" s="33"/>
    </row>
    <row r="37553" spans="10:10" ht="15" customHeight="1" x14ac:dyDescent="0.3">
      <c r="J37553" s="33"/>
    </row>
    <row r="37554" spans="10:10" ht="15" customHeight="1" x14ac:dyDescent="0.3">
      <c r="J37554" s="33"/>
    </row>
    <row r="37555" spans="10:10" x14ac:dyDescent="0.3">
      <c r="J37555" s="33"/>
    </row>
    <row r="37556" spans="10:10" x14ac:dyDescent="0.3">
      <c r="J37556" s="33"/>
    </row>
    <row r="37557" spans="10:10" ht="15" customHeight="1" x14ac:dyDescent="0.3">
      <c r="J37557" s="33"/>
    </row>
    <row r="37558" spans="10:10" ht="15" customHeight="1" x14ac:dyDescent="0.3">
      <c r="J37558" s="33"/>
    </row>
    <row r="37559" spans="10:10" ht="15" customHeight="1" x14ac:dyDescent="0.3">
      <c r="J37559" s="33"/>
    </row>
    <row r="37560" spans="10:10" ht="15" customHeight="1" x14ac:dyDescent="0.3">
      <c r="J37560" s="33"/>
    </row>
    <row r="37561" spans="10:10" ht="15" customHeight="1" x14ac:dyDescent="0.3">
      <c r="J37561" s="33"/>
    </row>
    <row r="37562" spans="10:10" ht="15" customHeight="1" x14ac:dyDescent="0.3">
      <c r="J37562" s="33"/>
    </row>
    <row r="37563" spans="10:10" ht="15" customHeight="1" x14ac:dyDescent="0.3">
      <c r="J37563" s="33"/>
    </row>
    <row r="37564" spans="10:10" ht="15" customHeight="1" x14ac:dyDescent="0.3">
      <c r="J37564" s="33"/>
    </row>
    <row r="37565" spans="10:10" x14ac:dyDescent="0.3">
      <c r="J37565" s="33"/>
    </row>
    <row r="37566" spans="10:10" ht="15" customHeight="1" x14ac:dyDescent="0.3">
      <c r="J37566" s="33"/>
    </row>
    <row r="37567" spans="10:10" x14ac:dyDescent="0.3">
      <c r="J37567" s="33"/>
    </row>
    <row r="37568" spans="10:10" x14ac:dyDescent="0.3">
      <c r="J37568" s="33"/>
    </row>
    <row r="37569" spans="10:10" x14ac:dyDescent="0.3">
      <c r="J37569" s="33"/>
    </row>
    <row r="37570" spans="10:10" ht="15" customHeight="1" x14ac:dyDescent="0.3">
      <c r="J37570" s="33"/>
    </row>
    <row r="37571" spans="10:10" ht="15" customHeight="1" x14ac:dyDescent="0.3">
      <c r="J37571" s="33"/>
    </row>
    <row r="37572" spans="10:10" x14ac:dyDescent="0.3">
      <c r="J37572" s="33"/>
    </row>
    <row r="37573" spans="10:10" ht="15" customHeight="1" x14ac:dyDescent="0.3">
      <c r="J37573" s="33"/>
    </row>
    <row r="37574" spans="10:10" ht="15" customHeight="1" x14ac:dyDescent="0.3">
      <c r="J37574" s="33"/>
    </row>
    <row r="37575" spans="10:10" ht="15" customHeight="1" x14ac:dyDescent="0.3">
      <c r="J37575" s="33"/>
    </row>
    <row r="37576" spans="10:10" ht="15" customHeight="1" x14ac:dyDescent="0.3">
      <c r="J37576" s="33"/>
    </row>
    <row r="37577" spans="10:10" x14ac:dyDescent="0.3">
      <c r="J37577" s="33"/>
    </row>
    <row r="37578" spans="10:10" x14ac:dyDescent="0.3">
      <c r="J37578" s="33"/>
    </row>
    <row r="37579" spans="10:10" x14ac:dyDescent="0.3">
      <c r="J37579" s="33"/>
    </row>
    <row r="37580" spans="10:10" ht="15" customHeight="1" x14ac:dyDescent="0.3">
      <c r="J37580" s="33"/>
    </row>
    <row r="37581" spans="10:10" ht="15" customHeight="1" x14ac:dyDescent="0.3">
      <c r="J37581" s="33"/>
    </row>
    <row r="37582" spans="10:10" ht="15" customHeight="1" x14ac:dyDescent="0.3">
      <c r="J37582" s="33"/>
    </row>
    <row r="37583" spans="10:10" ht="15" customHeight="1" x14ac:dyDescent="0.3">
      <c r="J37583" s="33"/>
    </row>
    <row r="37584" spans="10:10" ht="15" customHeight="1" x14ac:dyDescent="0.3">
      <c r="J37584" s="33"/>
    </row>
    <row r="37585" spans="10:10" ht="15" customHeight="1" x14ac:dyDescent="0.3">
      <c r="J37585" s="33"/>
    </row>
    <row r="37586" spans="10:10" ht="15" customHeight="1" x14ac:dyDescent="0.3">
      <c r="J37586" s="33"/>
    </row>
    <row r="37587" spans="10:10" x14ac:dyDescent="0.3">
      <c r="J37587" s="33"/>
    </row>
    <row r="37588" spans="10:10" x14ac:dyDescent="0.3">
      <c r="J37588" s="33"/>
    </row>
    <row r="37589" spans="10:10" ht="15" customHeight="1" x14ac:dyDescent="0.3">
      <c r="J37589" s="33"/>
    </row>
    <row r="37590" spans="10:10" ht="15" customHeight="1" x14ac:dyDescent="0.3">
      <c r="J37590" s="33"/>
    </row>
    <row r="37591" spans="10:10" ht="15" customHeight="1" x14ac:dyDescent="0.3">
      <c r="J37591" s="33"/>
    </row>
    <row r="37592" spans="10:10" ht="15" customHeight="1" x14ac:dyDescent="0.3">
      <c r="J37592" s="33"/>
    </row>
    <row r="37593" spans="10:10" ht="15" customHeight="1" x14ac:dyDescent="0.3">
      <c r="J37593" s="33"/>
    </row>
    <row r="37594" spans="10:10" ht="15" customHeight="1" x14ac:dyDescent="0.3">
      <c r="J37594" s="33"/>
    </row>
    <row r="37595" spans="10:10" x14ac:dyDescent="0.3">
      <c r="J37595" s="33"/>
    </row>
    <row r="37596" spans="10:10" ht="15" customHeight="1" x14ac:dyDescent="0.3">
      <c r="J37596" s="33"/>
    </row>
    <row r="37597" spans="10:10" ht="15" customHeight="1" x14ac:dyDescent="0.3">
      <c r="J37597" s="33"/>
    </row>
    <row r="37598" spans="10:10" x14ac:dyDescent="0.3">
      <c r="J37598" s="33"/>
    </row>
    <row r="37599" spans="10:10" ht="15" customHeight="1" x14ac:dyDescent="0.3">
      <c r="J37599" s="33"/>
    </row>
    <row r="37600" spans="10:10" x14ac:dyDescent="0.3">
      <c r="J37600" s="33"/>
    </row>
    <row r="37601" spans="10:10" ht="15" customHeight="1" x14ac:dyDescent="0.3">
      <c r="J37601" s="33"/>
    </row>
    <row r="37602" spans="10:10" ht="15" customHeight="1" x14ac:dyDescent="0.3">
      <c r="J37602" s="33"/>
    </row>
    <row r="37603" spans="10:10" ht="15" customHeight="1" x14ac:dyDescent="0.3">
      <c r="J37603" s="33"/>
    </row>
    <row r="37604" spans="10:10" x14ac:dyDescent="0.3">
      <c r="J37604" s="33"/>
    </row>
    <row r="37605" spans="10:10" ht="15" customHeight="1" x14ac:dyDescent="0.3">
      <c r="J37605" s="33"/>
    </row>
    <row r="37606" spans="10:10" x14ac:dyDescent="0.3">
      <c r="J37606" s="33"/>
    </row>
    <row r="37607" spans="10:10" ht="15" customHeight="1" x14ac:dyDescent="0.3">
      <c r="J37607" s="33"/>
    </row>
    <row r="37608" spans="10:10" ht="15" customHeight="1" x14ac:dyDescent="0.3">
      <c r="J37608" s="33"/>
    </row>
    <row r="37609" spans="10:10" ht="15" customHeight="1" x14ac:dyDescent="0.3">
      <c r="J37609" s="33"/>
    </row>
    <row r="37610" spans="10:10" ht="15" customHeight="1" x14ac:dyDescent="0.3">
      <c r="J37610" s="33"/>
    </row>
    <row r="37611" spans="10:10" x14ac:dyDescent="0.3">
      <c r="J37611" s="33"/>
    </row>
    <row r="37612" spans="10:10" x14ac:dyDescent="0.3">
      <c r="J37612" s="33"/>
    </row>
    <row r="37613" spans="10:10" ht="15" customHeight="1" x14ac:dyDescent="0.3">
      <c r="J37613" s="33"/>
    </row>
    <row r="37614" spans="10:10" x14ac:dyDescent="0.3">
      <c r="J37614" s="33"/>
    </row>
    <row r="37615" spans="10:10" x14ac:dyDescent="0.3">
      <c r="J37615" s="33"/>
    </row>
    <row r="37616" spans="10:10" ht="15" customHeight="1" x14ac:dyDescent="0.3">
      <c r="J37616" s="33"/>
    </row>
    <row r="37617" spans="10:10" x14ac:dyDescent="0.3">
      <c r="J37617" s="33"/>
    </row>
    <row r="37618" spans="10:10" ht="15" customHeight="1" x14ac:dyDescent="0.3">
      <c r="J37618" s="33"/>
    </row>
    <row r="37619" spans="10:10" ht="15" customHeight="1" x14ac:dyDescent="0.3">
      <c r="J37619" s="33"/>
    </row>
    <row r="37620" spans="10:10" ht="15" customHeight="1" x14ac:dyDescent="0.3">
      <c r="J37620" s="33"/>
    </row>
    <row r="37621" spans="10:10" ht="15" customHeight="1" x14ac:dyDescent="0.3">
      <c r="J37621" s="33"/>
    </row>
    <row r="37622" spans="10:10" x14ac:dyDescent="0.3">
      <c r="J37622" s="33"/>
    </row>
    <row r="37623" spans="10:10" ht="15" customHeight="1" x14ac:dyDescent="0.3">
      <c r="J37623" s="33"/>
    </row>
    <row r="37624" spans="10:10" ht="15" customHeight="1" x14ac:dyDescent="0.3">
      <c r="J37624" s="33"/>
    </row>
    <row r="37625" spans="10:10" ht="15" customHeight="1" x14ac:dyDescent="0.3">
      <c r="J37625" s="33"/>
    </row>
    <row r="37626" spans="10:10" ht="15" customHeight="1" x14ac:dyDescent="0.3">
      <c r="J37626" s="33"/>
    </row>
    <row r="37627" spans="10:10" x14ac:dyDescent="0.3">
      <c r="J37627" s="33"/>
    </row>
    <row r="37628" spans="10:10" ht="15" customHeight="1" x14ac:dyDescent="0.3">
      <c r="J37628" s="33"/>
    </row>
    <row r="37629" spans="10:10" x14ac:dyDescent="0.3">
      <c r="J37629" s="33"/>
    </row>
    <row r="37630" spans="10:10" ht="15" customHeight="1" x14ac:dyDescent="0.3">
      <c r="J37630" s="33"/>
    </row>
    <row r="37631" spans="10:10" x14ac:dyDescent="0.3">
      <c r="J37631" s="33"/>
    </row>
    <row r="37632" spans="10:10" ht="15" customHeight="1" x14ac:dyDescent="0.3">
      <c r="J37632" s="33"/>
    </row>
    <row r="37633" spans="10:10" ht="15" customHeight="1" x14ac:dyDescent="0.3">
      <c r="J37633" s="33"/>
    </row>
    <row r="37634" spans="10:10" x14ac:dyDescent="0.3">
      <c r="J37634" s="33"/>
    </row>
    <row r="37635" spans="10:10" x14ac:dyDescent="0.3">
      <c r="J37635" s="33"/>
    </row>
    <row r="37636" spans="10:10" ht="15" customHeight="1" x14ac:dyDescent="0.3">
      <c r="J37636" s="33"/>
    </row>
    <row r="37637" spans="10:10" ht="15" customHeight="1" x14ac:dyDescent="0.3">
      <c r="J37637" s="33"/>
    </row>
    <row r="37638" spans="10:10" x14ac:dyDescent="0.3">
      <c r="J37638" s="33"/>
    </row>
    <row r="37639" spans="10:10" ht="15" customHeight="1" x14ac:dyDescent="0.3">
      <c r="J37639" s="33"/>
    </row>
    <row r="37640" spans="10:10" ht="15" customHeight="1" x14ac:dyDescent="0.3">
      <c r="J37640" s="33"/>
    </row>
    <row r="37641" spans="10:10" ht="15" customHeight="1" x14ac:dyDescent="0.3">
      <c r="J37641" s="33"/>
    </row>
    <row r="37642" spans="10:10" ht="15" customHeight="1" x14ac:dyDescent="0.3">
      <c r="J37642" s="33"/>
    </row>
    <row r="37643" spans="10:10" x14ac:dyDescent="0.3">
      <c r="J37643" s="33"/>
    </row>
    <row r="37644" spans="10:10" x14ac:dyDescent="0.3">
      <c r="J37644" s="33"/>
    </row>
    <row r="37645" spans="10:10" x14ac:dyDescent="0.3">
      <c r="J37645" s="33"/>
    </row>
    <row r="37646" spans="10:10" ht="15" customHeight="1" x14ac:dyDescent="0.3">
      <c r="J37646" s="33"/>
    </row>
    <row r="37647" spans="10:10" ht="15" customHeight="1" x14ac:dyDescent="0.3">
      <c r="J37647" s="33"/>
    </row>
    <row r="37648" spans="10:10" ht="15" customHeight="1" x14ac:dyDescent="0.3">
      <c r="J37648" s="33"/>
    </row>
    <row r="37649" spans="10:10" ht="15" customHeight="1" x14ac:dyDescent="0.3">
      <c r="J37649" s="33"/>
    </row>
    <row r="37650" spans="10:10" x14ac:dyDescent="0.3">
      <c r="J37650" s="33"/>
    </row>
    <row r="37651" spans="10:10" ht="15" customHeight="1" x14ac:dyDescent="0.3">
      <c r="J37651" s="33"/>
    </row>
    <row r="37652" spans="10:10" x14ac:dyDescent="0.3">
      <c r="J37652" s="33"/>
    </row>
    <row r="37653" spans="10:10" x14ac:dyDescent="0.3">
      <c r="J37653" s="33"/>
    </row>
    <row r="37654" spans="10:10" ht="15" customHeight="1" x14ac:dyDescent="0.3">
      <c r="J37654" s="33"/>
    </row>
    <row r="37655" spans="10:10" ht="15" customHeight="1" x14ac:dyDescent="0.3">
      <c r="J37655" s="33"/>
    </row>
    <row r="37656" spans="10:10" x14ac:dyDescent="0.3">
      <c r="J37656" s="33"/>
    </row>
    <row r="37657" spans="10:10" x14ac:dyDescent="0.3">
      <c r="J37657" s="33"/>
    </row>
    <row r="37658" spans="10:10" ht="15" customHeight="1" x14ac:dyDescent="0.3">
      <c r="J37658" s="33"/>
    </row>
    <row r="37659" spans="10:10" x14ac:dyDescent="0.3">
      <c r="J37659" s="33"/>
    </row>
    <row r="37660" spans="10:10" ht="15" customHeight="1" x14ac:dyDescent="0.3">
      <c r="J37660" s="33"/>
    </row>
    <row r="37661" spans="10:10" x14ac:dyDescent="0.3">
      <c r="J37661" s="33"/>
    </row>
    <row r="37662" spans="10:10" x14ac:dyDescent="0.3">
      <c r="J37662" s="33"/>
    </row>
    <row r="37663" spans="10:10" ht="15" customHeight="1" x14ac:dyDescent="0.3">
      <c r="J37663" s="33"/>
    </row>
    <row r="37664" spans="10:10" ht="15" customHeight="1" x14ac:dyDescent="0.3">
      <c r="J37664" s="33"/>
    </row>
    <row r="37665" spans="10:10" ht="15" customHeight="1" x14ac:dyDescent="0.3">
      <c r="J37665" s="33"/>
    </row>
    <row r="37666" spans="10:10" ht="15" customHeight="1" x14ac:dyDescent="0.3">
      <c r="J37666" s="33"/>
    </row>
    <row r="37667" spans="10:10" ht="15" customHeight="1" x14ac:dyDescent="0.3">
      <c r="J37667" s="33"/>
    </row>
    <row r="37668" spans="10:10" x14ac:dyDescent="0.3">
      <c r="J37668" s="33"/>
    </row>
    <row r="37669" spans="10:10" x14ac:dyDescent="0.3">
      <c r="J37669" s="33"/>
    </row>
    <row r="37670" spans="10:10" x14ac:dyDescent="0.3">
      <c r="J37670" s="33"/>
    </row>
    <row r="37671" spans="10:10" x14ac:dyDescent="0.3">
      <c r="J37671" s="33"/>
    </row>
    <row r="37672" spans="10:10" x14ac:dyDescent="0.3">
      <c r="J37672" s="33"/>
    </row>
    <row r="37673" spans="10:10" ht="15" customHeight="1" x14ac:dyDescent="0.3">
      <c r="J37673" s="33"/>
    </row>
    <row r="37674" spans="10:10" ht="15" customHeight="1" x14ac:dyDescent="0.3">
      <c r="J37674" s="33"/>
    </row>
    <row r="37675" spans="10:10" x14ac:dyDescent="0.3">
      <c r="J37675" s="33"/>
    </row>
    <row r="37676" spans="10:10" x14ac:dyDescent="0.3">
      <c r="J37676" s="33"/>
    </row>
    <row r="37677" spans="10:10" x14ac:dyDescent="0.3">
      <c r="J37677" s="33"/>
    </row>
    <row r="37678" spans="10:10" ht="15" customHeight="1" x14ac:dyDescent="0.3">
      <c r="J37678" s="33"/>
    </row>
    <row r="37679" spans="10:10" x14ac:dyDescent="0.3">
      <c r="J37679" s="33"/>
    </row>
    <row r="37680" spans="10:10" x14ac:dyDescent="0.3">
      <c r="J37680" s="33"/>
    </row>
    <row r="37681" spans="10:10" ht="15" customHeight="1" x14ac:dyDescent="0.3">
      <c r="J37681" s="33"/>
    </row>
    <row r="37682" spans="10:10" x14ac:dyDescent="0.3">
      <c r="J37682" s="33"/>
    </row>
    <row r="37683" spans="10:10" x14ac:dyDescent="0.3">
      <c r="J37683" s="33"/>
    </row>
    <row r="37684" spans="10:10" ht="15" customHeight="1" x14ac:dyDescent="0.3">
      <c r="J37684" s="33"/>
    </row>
    <row r="37685" spans="10:10" ht="15" customHeight="1" x14ac:dyDescent="0.3">
      <c r="J37685" s="33"/>
    </row>
    <row r="37686" spans="10:10" x14ac:dyDescent="0.3">
      <c r="J37686" s="33"/>
    </row>
    <row r="37687" spans="10:10" ht="15" customHeight="1" x14ac:dyDescent="0.3">
      <c r="J37687" s="33"/>
    </row>
    <row r="37688" spans="10:10" ht="15" customHeight="1" x14ac:dyDescent="0.3">
      <c r="J37688" s="33"/>
    </row>
    <row r="37689" spans="10:10" ht="15" customHeight="1" x14ac:dyDescent="0.3">
      <c r="J37689" s="33"/>
    </row>
    <row r="37690" spans="10:10" x14ac:dyDescent="0.3">
      <c r="J37690" s="33"/>
    </row>
    <row r="37691" spans="10:10" x14ac:dyDescent="0.3">
      <c r="J37691" s="33"/>
    </row>
    <row r="37692" spans="10:10" x14ac:dyDescent="0.3">
      <c r="J37692" s="33"/>
    </row>
    <row r="37693" spans="10:10" ht="15" customHeight="1" x14ac:dyDescent="0.3">
      <c r="J37693" s="33"/>
    </row>
    <row r="37694" spans="10:10" x14ac:dyDescent="0.3">
      <c r="J37694" s="33"/>
    </row>
    <row r="37695" spans="10:10" ht="15" customHeight="1" x14ac:dyDescent="0.3">
      <c r="J37695" s="33"/>
    </row>
    <row r="37696" spans="10:10" x14ac:dyDescent="0.3">
      <c r="J37696" s="33"/>
    </row>
    <row r="37697" spans="10:10" ht="15" customHeight="1" x14ac:dyDescent="0.3">
      <c r="J37697" s="33"/>
    </row>
    <row r="37698" spans="10:10" x14ac:dyDescent="0.3">
      <c r="J37698" s="33"/>
    </row>
    <row r="37699" spans="10:10" x14ac:dyDescent="0.3">
      <c r="J37699" s="33"/>
    </row>
    <row r="37700" spans="10:10" ht="15" customHeight="1" x14ac:dyDescent="0.3">
      <c r="J37700" s="33"/>
    </row>
    <row r="37701" spans="10:10" x14ac:dyDescent="0.3">
      <c r="J37701" s="33"/>
    </row>
    <row r="37702" spans="10:10" x14ac:dyDescent="0.3">
      <c r="J37702" s="33"/>
    </row>
    <row r="37703" spans="10:10" ht="15" customHeight="1" x14ac:dyDescent="0.3">
      <c r="J37703" s="33"/>
    </row>
    <row r="37704" spans="10:10" ht="15" customHeight="1" x14ac:dyDescent="0.3">
      <c r="J37704" s="33"/>
    </row>
    <row r="37705" spans="10:10" ht="15" customHeight="1" x14ac:dyDescent="0.3">
      <c r="J37705" s="33"/>
    </row>
    <row r="37706" spans="10:10" ht="15" customHeight="1" x14ac:dyDescent="0.3">
      <c r="J37706" s="33"/>
    </row>
    <row r="37707" spans="10:10" ht="15" customHeight="1" x14ac:dyDescent="0.3">
      <c r="J37707" s="33"/>
    </row>
    <row r="37708" spans="10:10" ht="15" customHeight="1" x14ac:dyDescent="0.3">
      <c r="J37708" s="33"/>
    </row>
    <row r="37709" spans="10:10" x14ac:dyDescent="0.3">
      <c r="J37709" s="33"/>
    </row>
    <row r="37710" spans="10:10" ht="15" customHeight="1" x14ac:dyDescent="0.3">
      <c r="J37710" s="33"/>
    </row>
    <row r="37711" spans="10:10" x14ac:dyDescent="0.3">
      <c r="J37711" s="33"/>
    </row>
    <row r="37712" spans="10:10" ht="15" customHeight="1" x14ac:dyDescent="0.3">
      <c r="J37712" s="33"/>
    </row>
    <row r="37713" spans="10:10" ht="15" customHeight="1" x14ac:dyDescent="0.3">
      <c r="J37713" s="33"/>
    </row>
    <row r="37714" spans="10:10" x14ac:dyDescent="0.3">
      <c r="J37714" s="33"/>
    </row>
    <row r="37715" spans="10:10" x14ac:dyDescent="0.3">
      <c r="J37715" s="33"/>
    </row>
    <row r="37716" spans="10:10" x14ac:dyDescent="0.3">
      <c r="J37716" s="33"/>
    </row>
    <row r="37717" spans="10:10" ht="15" customHeight="1" x14ac:dyDescent="0.3">
      <c r="J37717" s="33"/>
    </row>
    <row r="37718" spans="10:10" ht="15" customHeight="1" x14ac:dyDescent="0.3">
      <c r="J37718" s="33"/>
    </row>
    <row r="37719" spans="10:10" x14ac:dyDescent="0.3">
      <c r="J37719" s="33"/>
    </row>
    <row r="37720" spans="10:10" x14ac:dyDescent="0.3">
      <c r="J37720" s="33"/>
    </row>
    <row r="37721" spans="10:10" x14ac:dyDescent="0.3">
      <c r="J37721" s="33"/>
    </row>
    <row r="37722" spans="10:10" ht="15" customHeight="1" x14ac:dyDescent="0.3">
      <c r="J37722" s="33"/>
    </row>
    <row r="37723" spans="10:10" ht="15" customHeight="1" x14ac:dyDescent="0.3">
      <c r="J37723" s="33"/>
    </row>
    <row r="37724" spans="10:10" ht="15" customHeight="1" x14ac:dyDescent="0.3">
      <c r="J37724" s="33"/>
    </row>
    <row r="37725" spans="10:10" ht="15" customHeight="1" x14ac:dyDescent="0.3">
      <c r="J37725" s="33"/>
    </row>
    <row r="37726" spans="10:10" ht="15" customHeight="1" x14ac:dyDescent="0.3">
      <c r="J37726" s="33"/>
    </row>
    <row r="37727" spans="10:10" ht="15" customHeight="1" x14ac:dyDescent="0.3">
      <c r="J37727" s="33"/>
    </row>
    <row r="37728" spans="10:10" x14ac:dyDescent="0.3">
      <c r="J37728" s="33"/>
    </row>
    <row r="37729" spans="10:10" ht="15" customHeight="1" x14ac:dyDescent="0.3">
      <c r="J37729" s="33"/>
    </row>
    <row r="37730" spans="10:10" ht="15" customHeight="1" x14ac:dyDescent="0.3">
      <c r="J37730" s="33"/>
    </row>
    <row r="37731" spans="10:10" x14ac:dyDescent="0.3">
      <c r="J37731" s="33"/>
    </row>
    <row r="37732" spans="10:10" x14ac:dyDescent="0.3">
      <c r="J37732" s="33"/>
    </row>
    <row r="37733" spans="10:10" x14ac:dyDescent="0.3">
      <c r="J37733" s="33"/>
    </row>
    <row r="37734" spans="10:10" ht="15" customHeight="1" x14ac:dyDescent="0.3">
      <c r="J37734" s="33"/>
    </row>
    <row r="37735" spans="10:10" ht="15" customHeight="1" x14ac:dyDescent="0.3">
      <c r="J37735" s="33"/>
    </row>
    <row r="37736" spans="10:10" ht="15" customHeight="1" x14ac:dyDescent="0.3">
      <c r="J37736" s="33"/>
    </row>
    <row r="37737" spans="10:10" ht="15" customHeight="1" x14ac:dyDescent="0.3">
      <c r="J37737" s="33"/>
    </row>
    <row r="37738" spans="10:10" ht="15" customHeight="1" x14ac:dyDescent="0.3">
      <c r="J37738" s="33"/>
    </row>
    <row r="37739" spans="10:10" x14ac:dyDescent="0.3">
      <c r="J37739" s="33"/>
    </row>
    <row r="37740" spans="10:10" x14ac:dyDescent="0.3">
      <c r="J37740" s="33"/>
    </row>
    <row r="37741" spans="10:10" x14ac:dyDescent="0.3">
      <c r="J37741" s="33"/>
    </row>
    <row r="37742" spans="10:10" ht="15" customHeight="1" x14ac:dyDescent="0.3">
      <c r="J37742" s="33"/>
    </row>
    <row r="37743" spans="10:10" x14ac:dyDescent="0.3">
      <c r="J37743" s="33"/>
    </row>
    <row r="37744" spans="10:10" x14ac:dyDescent="0.3">
      <c r="J37744" s="33"/>
    </row>
    <row r="37745" spans="10:10" ht="15" customHeight="1" x14ac:dyDescent="0.3">
      <c r="J37745" s="33"/>
    </row>
    <row r="37746" spans="10:10" ht="15" customHeight="1" x14ac:dyDescent="0.3">
      <c r="J37746" s="33"/>
    </row>
    <row r="37747" spans="10:10" ht="15" customHeight="1" x14ac:dyDescent="0.3">
      <c r="J37747" s="33"/>
    </row>
    <row r="37748" spans="10:10" ht="15" customHeight="1" x14ac:dyDescent="0.3">
      <c r="J37748" s="33"/>
    </row>
    <row r="37749" spans="10:10" x14ac:dyDescent="0.3">
      <c r="J37749" s="33"/>
    </row>
    <row r="37750" spans="10:10" ht="15" customHeight="1" x14ac:dyDescent="0.3">
      <c r="J37750" s="33"/>
    </row>
    <row r="37751" spans="10:10" x14ac:dyDescent="0.3">
      <c r="J37751" s="33"/>
    </row>
    <row r="37752" spans="10:10" ht="15" customHeight="1" x14ac:dyDescent="0.3">
      <c r="J37752" s="33"/>
    </row>
    <row r="37753" spans="10:10" x14ac:dyDescent="0.3">
      <c r="J37753" s="33"/>
    </row>
    <row r="37754" spans="10:10" x14ac:dyDescent="0.3">
      <c r="J37754" s="33"/>
    </row>
    <row r="37755" spans="10:10" x14ac:dyDescent="0.3">
      <c r="J37755" s="33"/>
    </row>
    <row r="37756" spans="10:10" ht="15" customHeight="1" x14ac:dyDescent="0.3">
      <c r="J37756" s="33"/>
    </row>
    <row r="37757" spans="10:10" x14ac:dyDescent="0.3">
      <c r="J37757" s="33"/>
    </row>
    <row r="37758" spans="10:10" ht="15" customHeight="1" x14ac:dyDescent="0.3">
      <c r="J37758" s="33"/>
    </row>
    <row r="37759" spans="10:10" ht="15" customHeight="1" x14ac:dyDescent="0.3">
      <c r="J37759" s="33"/>
    </row>
    <row r="37760" spans="10:10" ht="15" customHeight="1" x14ac:dyDescent="0.3">
      <c r="J37760" s="33"/>
    </row>
    <row r="37761" spans="10:10" x14ac:dyDescent="0.3">
      <c r="J37761" s="33"/>
    </row>
    <row r="37762" spans="10:10" x14ac:dyDescent="0.3">
      <c r="J37762" s="33"/>
    </row>
    <row r="37763" spans="10:10" ht="15" customHeight="1" x14ac:dyDescent="0.3">
      <c r="J37763" s="33"/>
    </row>
    <row r="37764" spans="10:10" ht="15" customHeight="1" x14ac:dyDescent="0.3">
      <c r="J37764" s="33"/>
    </row>
    <row r="37765" spans="10:10" ht="15" customHeight="1" x14ac:dyDescent="0.3">
      <c r="J37765" s="33"/>
    </row>
    <row r="37766" spans="10:10" x14ac:dyDescent="0.3">
      <c r="J37766" s="33"/>
    </row>
    <row r="37767" spans="10:10" x14ac:dyDescent="0.3">
      <c r="J37767" s="33"/>
    </row>
    <row r="37768" spans="10:10" ht="15" customHeight="1" x14ac:dyDescent="0.3">
      <c r="J37768" s="33"/>
    </row>
    <row r="37769" spans="10:10" x14ac:dyDescent="0.3">
      <c r="J37769" s="33"/>
    </row>
    <row r="37770" spans="10:10" ht="15" customHeight="1" x14ac:dyDescent="0.3">
      <c r="J37770" s="33"/>
    </row>
    <row r="37771" spans="10:10" x14ac:dyDescent="0.3">
      <c r="J37771" s="33"/>
    </row>
    <row r="37772" spans="10:10" ht="15" customHeight="1" x14ac:dyDescent="0.3">
      <c r="J37772" s="33"/>
    </row>
    <row r="37773" spans="10:10" x14ac:dyDescent="0.3">
      <c r="J37773" s="33"/>
    </row>
    <row r="37774" spans="10:10" x14ac:dyDescent="0.3">
      <c r="J37774" s="33"/>
    </row>
    <row r="37775" spans="10:10" ht="15" customHeight="1" x14ac:dyDescent="0.3">
      <c r="J37775" s="33"/>
    </row>
    <row r="37776" spans="10:10" x14ac:dyDescent="0.3">
      <c r="J37776" s="33"/>
    </row>
    <row r="37777" spans="10:10" ht="15" customHeight="1" x14ac:dyDescent="0.3">
      <c r="J37777" s="33"/>
    </row>
    <row r="37778" spans="10:10" x14ac:dyDescent="0.3">
      <c r="J37778" s="33"/>
    </row>
    <row r="37779" spans="10:10" x14ac:dyDescent="0.3">
      <c r="J37779" s="33"/>
    </row>
    <row r="37780" spans="10:10" ht="15" customHeight="1" x14ac:dyDescent="0.3">
      <c r="J37780" s="33"/>
    </row>
    <row r="37781" spans="10:10" x14ac:dyDescent="0.3">
      <c r="J37781" s="33"/>
    </row>
    <row r="37782" spans="10:10" ht="15" customHeight="1" x14ac:dyDescent="0.3">
      <c r="J37782" s="33"/>
    </row>
    <row r="37783" spans="10:10" ht="15" customHeight="1" x14ac:dyDescent="0.3">
      <c r="J37783" s="33"/>
    </row>
    <row r="37784" spans="10:10" ht="15" customHeight="1" x14ac:dyDescent="0.3">
      <c r="J37784" s="33"/>
    </row>
    <row r="37785" spans="10:10" x14ac:dyDescent="0.3">
      <c r="J37785" s="33"/>
    </row>
    <row r="37786" spans="10:10" ht="15" customHeight="1" x14ac:dyDescent="0.3">
      <c r="J37786" s="33"/>
    </row>
    <row r="37787" spans="10:10" x14ac:dyDescent="0.3">
      <c r="J37787" s="33"/>
    </row>
    <row r="37788" spans="10:10" x14ac:dyDescent="0.3">
      <c r="J37788" s="33"/>
    </row>
    <row r="37789" spans="10:10" ht="15" customHeight="1" x14ac:dyDescent="0.3">
      <c r="J37789" s="33"/>
    </row>
    <row r="37790" spans="10:10" x14ac:dyDescent="0.3">
      <c r="J37790" s="33"/>
    </row>
    <row r="37791" spans="10:10" x14ac:dyDescent="0.3">
      <c r="J37791" s="33"/>
    </row>
    <row r="37792" spans="10:10" x14ac:dyDescent="0.3">
      <c r="J37792" s="33"/>
    </row>
    <row r="37793" spans="10:10" ht="15" customHeight="1" x14ac:dyDescent="0.3">
      <c r="J37793" s="33"/>
    </row>
    <row r="37794" spans="10:10" x14ac:dyDescent="0.3">
      <c r="J37794" s="33"/>
    </row>
    <row r="37795" spans="10:10" x14ac:dyDescent="0.3">
      <c r="J37795" s="33"/>
    </row>
    <row r="37796" spans="10:10" x14ac:dyDescent="0.3">
      <c r="J37796" s="33"/>
    </row>
    <row r="37797" spans="10:10" ht="15" customHeight="1" x14ac:dyDescent="0.3">
      <c r="J37797" s="33"/>
    </row>
    <row r="37798" spans="10:10" x14ac:dyDescent="0.3">
      <c r="J37798" s="33"/>
    </row>
    <row r="37799" spans="10:10" x14ac:dyDescent="0.3">
      <c r="J37799" s="33"/>
    </row>
    <row r="37800" spans="10:10" ht="15" customHeight="1" x14ac:dyDescent="0.3">
      <c r="J37800" s="33"/>
    </row>
    <row r="37801" spans="10:10" ht="15" customHeight="1" x14ac:dyDescent="0.3">
      <c r="J37801" s="33"/>
    </row>
    <row r="37802" spans="10:10" x14ac:dyDescent="0.3">
      <c r="J37802" s="33"/>
    </row>
    <row r="37803" spans="10:10" x14ac:dyDescent="0.3">
      <c r="J37803" s="33"/>
    </row>
    <row r="37804" spans="10:10" x14ac:dyDescent="0.3">
      <c r="J37804" s="33"/>
    </row>
    <row r="37805" spans="10:10" ht="15" customHeight="1" x14ac:dyDescent="0.3">
      <c r="J37805" s="33"/>
    </row>
    <row r="37806" spans="10:10" x14ac:dyDescent="0.3">
      <c r="J37806" s="33"/>
    </row>
    <row r="37807" spans="10:10" x14ac:dyDescent="0.3">
      <c r="J37807" s="33"/>
    </row>
    <row r="37808" spans="10:10" x14ac:dyDescent="0.3">
      <c r="J37808" s="33"/>
    </row>
    <row r="37809" spans="10:10" ht="15" customHeight="1" x14ac:dyDescent="0.3">
      <c r="J37809" s="33"/>
    </row>
    <row r="37810" spans="10:10" x14ac:dyDescent="0.3">
      <c r="J37810" s="33"/>
    </row>
    <row r="37811" spans="10:10" x14ac:dyDescent="0.3">
      <c r="J37811" s="33"/>
    </row>
    <row r="37812" spans="10:10" x14ac:dyDescent="0.3">
      <c r="J37812" s="33"/>
    </row>
    <row r="37813" spans="10:10" x14ac:dyDescent="0.3">
      <c r="J37813" s="33"/>
    </row>
    <row r="37814" spans="10:10" ht="15" customHeight="1" x14ac:dyDescent="0.3">
      <c r="J37814" s="33"/>
    </row>
    <row r="37815" spans="10:10" x14ac:dyDescent="0.3">
      <c r="J37815" s="33"/>
    </row>
    <row r="37816" spans="10:10" x14ac:dyDescent="0.3">
      <c r="J37816" s="33"/>
    </row>
    <row r="37817" spans="10:10" x14ac:dyDescent="0.3">
      <c r="J37817" s="33"/>
    </row>
    <row r="37818" spans="10:10" x14ac:dyDescent="0.3">
      <c r="J37818" s="33"/>
    </row>
    <row r="37819" spans="10:10" x14ac:dyDescent="0.3">
      <c r="J37819" s="33"/>
    </row>
    <row r="37820" spans="10:10" ht="15" customHeight="1" x14ac:dyDescent="0.3">
      <c r="J37820" s="33"/>
    </row>
    <row r="37821" spans="10:10" x14ac:dyDescent="0.3">
      <c r="J37821" s="33"/>
    </row>
    <row r="37822" spans="10:10" x14ac:dyDescent="0.3">
      <c r="J37822" s="33"/>
    </row>
    <row r="37823" spans="10:10" x14ac:dyDescent="0.3">
      <c r="J37823" s="33"/>
    </row>
    <row r="37824" spans="10:10" x14ac:dyDescent="0.3">
      <c r="J37824" s="33"/>
    </row>
    <row r="37825" spans="10:10" ht="15" customHeight="1" x14ac:dyDescent="0.3">
      <c r="J37825" s="33"/>
    </row>
    <row r="37826" spans="10:10" ht="15" customHeight="1" x14ac:dyDescent="0.3">
      <c r="J37826" s="33"/>
    </row>
    <row r="37827" spans="10:10" ht="15" customHeight="1" x14ac:dyDescent="0.3">
      <c r="J37827" s="33"/>
    </row>
    <row r="37828" spans="10:10" ht="15" customHeight="1" x14ac:dyDescent="0.3">
      <c r="J37828" s="33"/>
    </row>
    <row r="37829" spans="10:10" x14ac:dyDescent="0.3">
      <c r="J37829" s="33"/>
    </row>
    <row r="37830" spans="10:10" ht="15" customHeight="1" x14ac:dyDescent="0.3">
      <c r="J37830" s="33"/>
    </row>
    <row r="37831" spans="10:10" ht="15" customHeight="1" x14ac:dyDescent="0.3">
      <c r="J37831" s="33"/>
    </row>
    <row r="37832" spans="10:10" x14ac:dyDescent="0.3">
      <c r="J37832" s="33"/>
    </row>
    <row r="37833" spans="10:10" x14ac:dyDescent="0.3">
      <c r="J37833" s="33"/>
    </row>
    <row r="37834" spans="10:10" x14ac:dyDescent="0.3">
      <c r="J37834" s="33"/>
    </row>
    <row r="37835" spans="10:10" x14ac:dyDescent="0.3">
      <c r="J37835" s="33"/>
    </row>
    <row r="37836" spans="10:10" x14ac:dyDescent="0.3">
      <c r="J37836" s="33"/>
    </row>
    <row r="37837" spans="10:10" ht="15" customHeight="1" x14ac:dyDescent="0.3">
      <c r="J37837" s="33"/>
    </row>
    <row r="37838" spans="10:10" x14ac:dyDescent="0.3">
      <c r="J37838" s="33"/>
    </row>
    <row r="37839" spans="10:10" x14ac:dyDescent="0.3">
      <c r="J37839" s="33"/>
    </row>
    <row r="37840" spans="10:10" x14ac:dyDescent="0.3">
      <c r="J37840" s="33"/>
    </row>
    <row r="37841" spans="10:10" x14ac:dyDescent="0.3">
      <c r="J37841" s="33"/>
    </row>
    <row r="37842" spans="10:10" ht="15" customHeight="1" x14ac:dyDescent="0.3">
      <c r="J37842" s="33"/>
    </row>
    <row r="37843" spans="10:10" ht="15" customHeight="1" x14ac:dyDescent="0.3">
      <c r="J37843" s="33"/>
    </row>
    <row r="37844" spans="10:10" x14ac:dyDescent="0.3">
      <c r="J37844" s="33"/>
    </row>
    <row r="37845" spans="10:10" x14ac:dyDescent="0.3">
      <c r="J37845" s="33"/>
    </row>
    <row r="37846" spans="10:10" x14ac:dyDescent="0.3">
      <c r="J37846" s="33"/>
    </row>
    <row r="37847" spans="10:10" x14ac:dyDescent="0.3">
      <c r="J37847" s="33"/>
    </row>
    <row r="37848" spans="10:10" ht="15" customHeight="1" x14ac:dyDescent="0.3">
      <c r="J37848" s="33"/>
    </row>
    <row r="37849" spans="10:10" x14ac:dyDescent="0.3">
      <c r="J37849" s="33"/>
    </row>
    <row r="37850" spans="10:10" ht="15" customHeight="1" x14ac:dyDescent="0.3">
      <c r="J37850" s="33"/>
    </row>
    <row r="37851" spans="10:10" x14ac:dyDescent="0.3">
      <c r="J37851" s="33"/>
    </row>
    <row r="37852" spans="10:10" x14ac:dyDescent="0.3">
      <c r="J37852" s="33"/>
    </row>
    <row r="37853" spans="10:10" ht="15" customHeight="1" x14ac:dyDescent="0.3">
      <c r="J37853" s="33"/>
    </row>
    <row r="37854" spans="10:10" x14ac:dyDescent="0.3">
      <c r="J37854" s="33"/>
    </row>
    <row r="37855" spans="10:10" x14ac:dyDescent="0.3">
      <c r="J37855" s="33"/>
    </row>
    <row r="37856" spans="10:10" x14ac:dyDescent="0.3">
      <c r="J37856" s="33"/>
    </row>
    <row r="37857" spans="10:10" x14ac:dyDescent="0.3">
      <c r="J37857" s="33"/>
    </row>
    <row r="37858" spans="10:10" x14ac:dyDescent="0.3">
      <c r="J37858" s="33"/>
    </row>
    <row r="37859" spans="10:10" x14ac:dyDescent="0.3">
      <c r="J37859" s="33"/>
    </row>
    <row r="37860" spans="10:10" x14ac:dyDescent="0.3">
      <c r="J37860" s="33"/>
    </row>
    <row r="37861" spans="10:10" x14ac:dyDescent="0.3">
      <c r="J37861" s="33"/>
    </row>
    <row r="37862" spans="10:10" ht="15" customHeight="1" x14ac:dyDescent="0.3">
      <c r="J37862" s="33"/>
    </row>
    <row r="37863" spans="10:10" x14ac:dyDescent="0.3">
      <c r="J37863" s="33"/>
    </row>
    <row r="37864" spans="10:10" x14ac:dyDescent="0.3">
      <c r="J37864" s="33"/>
    </row>
    <row r="37865" spans="10:10" ht="15" customHeight="1" x14ac:dyDescent="0.3">
      <c r="J37865" s="33"/>
    </row>
    <row r="37866" spans="10:10" x14ac:dyDescent="0.3">
      <c r="J37866" s="33"/>
    </row>
    <row r="37867" spans="10:10" x14ac:dyDescent="0.3">
      <c r="J37867" s="33"/>
    </row>
    <row r="37868" spans="10:10" ht="15" customHeight="1" x14ac:dyDescent="0.3">
      <c r="J37868" s="33"/>
    </row>
    <row r="37869" spans="10:10" ht="15" customHeight="1" x14ac:dyDescent="0.3">
      <c r="J37869" s="33"/>
    </row>
    <row r="37870" spans="10:10" x14ac:dyDescent="0.3">
      <c r="J37870" s="33"/>
    </row>
    <row r="37871" spans="10:10" ht="15" customHeight="1" x14ac:dyDescent="0.3">
      <c r="J37871" s="33"/>
    </row>
    <row r="37872" spans="10:10" x14ac:dyDescent="0.3">
      <c r="J37872" s="33"/>
    </row>
    <row r="37873" spans="10:10" x14ac:dyDescent="0.3">
      <c r="J37873" s="33"/>
    </row>
    <row r="37874" spans="10:10" x14ac:dyDescent="0.3">
      <c r="J37874" s="33"/>
    </row>
    <row r="37875" spans="10:10" x14ac:dyDescent="0.3">
      <c r="J37875" s="33"/>
    </row>
    <row r="37876" spans="10:10" x14ac:dyDescent="0.3">
      <c r="J37876" s="33"/>
    </row>
    <row r="37877" spans="10:10" x14ac:dyDescent="0.3">
      <c r="J37877" s="33"/>
    </row>
    <row r="37878" spans="10:10" x14ac:dyDescent="0.3">
      <c r="J37878" s="33"/>
    </row>
    <row r="37879" spans="10:10" x14ac:dyDescent="0.3">
      <c r="J37879" s="33"/>
    </row>
    <row r="37880" spans="10:10" x14ac:dyDescent="0.3">
      <c r="J37880" s="33"/>
    </row>
    <row r="37881" spans="10:10" ht="15" customHeight="1" x14ac:dyDescent="0.3">
      <c r="J37881" s="33"/>
    </row>
    <row r="37882" spans="10:10" x14ac:dyDescent="0.3">
      <c r="J37882" s="33"/>
    </row>
    <row r="37883" spans="10:10" ht="15" customHeight="1" x14ac:dyDescent="0.3">
      <c r="J37883" s="33"/>
    </row>
    <row r="37884" spans="10:10" x14ac:dyDescent="0.3">
      <c r="J37884" s="33"/>
    </row>
    <row r="37885" spans="10:10" x14ac:dyDescent="0.3">
      <c r="J37885" s="33"/>
    </row>
    <row r="37886" spans="10:10" x14ac:dyDescent="0.3">
      <c r="J37886" s="33"/>
    </row>
    <row r="37887" spans="10:10" ht="15" customHeight="1" x14ac:dyDescent="0.3">
      <c r="J37887" s="33"/>
    </row>
    <row r="37888" spans="10:10" x14ac:dyDescent="0.3">
      <c r="J37888" s="33"/>
    </row>
    <row r="37889" spans="10:10" x14ac:dyDescent="0.3">
      <c r="J37889" s="33"/>
    </row>
    <row r="37890" spans="10:10" ht="15" customHeight="1" x14ac:dyDescent="0.3">
      <c r="J37890" s="33"/>
    </row>
    <row r="37891" spans="10:10" x14ac:dyDescent="0.3">
      <c r="J37891" s="33"/>
    </row>
    <row r="37892" spans="10:10" ht="15" customHeight="1" x14ac:dyDescent="0.3">
      <c r="J37892" s="33"/>
    </row>
    <row r="37893" spans="10:10" ht="15" customHeight="1" x14ac:dyDescent="0.3">
      <c r="J37893" s="33"/>
    </row>
    <row r="37894" spans="10:10" x14ac:dyDescent="0.3">
      <c r="J37894" s="33"/>
    </row>
    <row r="37895" spans="10:10" ht="15" customHeight="1" x14ac:dyDescent="0.3">
      <c r="J37895" s="33"/>
    </row>
    <row r="37896" spans="10:10" ht="15" customHeight="1" x14ac:dyDescent="0.3">
      <c r="J37896" s="33"/>
    </row>
    <row r="37897" spans="10:10" x14ac:dyDescent="0.3">
      <c r="J37897" s="33"/>
    </row>
    <row r="37898" spans="10:10" x14ac:dyDescent="0.3">
      <c r="J37898" s="33"/>
    </row>
    <row r="37899" spans="10:10" ht="15" customHeight="1" x14ac:dyDescent="0.3">
      <c r="J37899" s="33"/>
    </row>
    <row r="37900" spans="10:10" x14ac:dyDescent="0.3">
      <c r="J37900" s="33"/>
    </row>
    <row r="37901" spans="10:10" x14ac:dyDescent="0.3">
      <c r="J37901" s="33"/>
    </row>
    <row r="37902" spans="10:10" x14ac:dyDescent="0.3">
      <c r="J37902" s="33"/>
    </row>
    <row r="37903" spans="10:10" x14ac:dyDescent="0.3">
      <c r="J37903" s="33"/>
    </row>
    <row r="37904" spans="10:10" x14ac:dyDescent="0.3">
      <c r="J37904" s="33"/>
    </row>
    <row r="37905" spans="10:10" ht="15" customHeight="1" x14ac:dyDescent="0.3">
      <c r="J37905" s="33"/>
    </row>
    <row r="37906" spans="10:10" x14ac:dyDescent="0.3">
      <c r="J37906" s="33"/>
    </row>
    <row r="37907" spans="10:10" x14ac:dyDescent="0.3">
      <c r="J37907" s="33"/>
    </row>
    <row r="37908" spans="10:10" x14ac:dyDescent="0.3">
      <c r="J37908" s="33"/>
    </row>
    <row r="37909" spans="10:10" ht="15" customHeight="1" x14ac:dyDescent="0.3">
      <c r="J37909" s="33"/>
    </row>
    <row r="37910" spans="10:10" x14ac:dyDescent="0.3">
      <c r="J37910" s="33"/>
    </row>
    <row r="37911" spans="10:10" x14ac:dyDescent="0.3">
      <c r="J37911" s="33"/>
    </row>
    <row r="37912" spans="10:10" x14ac:dyDescent="0.3">
      <c r="J37912" s="33"/>
    </row>
    <row r="37913" spans="10:10" ht="15" customHeight="1" x14ac:dyDescent="0.3">
      <c r="J37913" s="33"/>
    </row>
    <row r="37914" spans="10:10" x14ac:dyDescent="0.3">
      <c r="J37914" s="33"/>
    </row>
    <row r="37915" spans="10:10" x14ac:dyDescent="0.3">
      <c r="J37915" s="33"/>
    </row>
    <row r="37916" spans="10:10" x14ac:dyDescent="0.3">
      <c r="J37916" s="33"/>
    </row>
    <row r="37917" spans="10:10" x14ac:dyDescent="0.3">
      <c r="J37917" s="33"/>
    </row>
    <row r="37918" spans="10:10" ht="15" customHeight="1" x14ac:dyDescent="0.3">
      <c r="J37918" s="33"/>
    </row>
    <row r="37919" spans="10:10" x14ac:dyDescent="0.3">
      <c r="J37919" s="33"/>
    </row>
    <row r="37920" spans="10:10" ht="15" customHeight="1" x14ac:dyDescent="0.3">
      <c r="J37920" s="33"/>
    </row>
    <row r="37921" spans="10:10" x14ac:dyDescent="0.3">
      <c r="J37921" s="33"/>
    </row>
    <row r="37922" spans="10:10" ht="15" customHeight="1" x14ac:dyDescent="0.3">
      <c r="J37922" s="33"/>
    </row>
    <row r="37923" spans="10:10" x14ac:dyDescent="0.3">
      <c r="J37923" s="33"/>
    </row>
    <row r="37924" spans="10:10" ht="15" customHeight="1" x14ac:dyDescent="0.3">
      <c r="J37924" s="33"/>
    </row>
    <row r="37925" spans="10:10" x14ac:dyDescent="0.3">
      <c r="J37925" s="33"/>
    </row>
    <row r="37926" spans="10:10" ht="15" customHeight="1" x14ac:dyDescent="0.3">
      <c r="J37926" s="33"/>
    </row>
    <row r="37927" spans="10:10" x14ac:dyDescent="0.3">
      <c r="J37927" s="33"/>
    </row>
    <row r="37928" spans="10:10" x14ac:dyDescent="0.3">
      <c r="J37928" s="33"/>
    </row>
    <row r="37929" spans="10:10" x14ac:dyDescent="0.3">
      <c r="J37929" s="33"/>
    </row>
    <row r="37930" spans="10:10" x14ac:dyDescent="0.3">
      <c r="J37930" s="33"/>
    </row>
    <row r="37931" spans="10:10" x14ac:dyDescent="0.3">
      <c r="J37931" s="33"/>
    </row>
    <row r="37932" spans="10:10" ht="15" customHeight="1" x14ac:dyDescent="0.3">
      <c r="J37932" s="33"/>
    </row>
    <row r="37933" spans="10:10" x14ac:dyDescent="0.3">
      <c r="J37933" s="33"/>
    </row>
    <row r="37934" spans="10:10" x14ac:dyDescent="0.3">
      <c r="J37934" s="33"/>
    </row>
    <row r="37935" spans="10:10" x14ac:dyDescent="0.3">
      <c r="J37935" s="33"/>
    </row>
    <row r="37936" spans="10:10" x14ac:dyDescent="0.3">
      <c r="J37936" s="33"/>
    </row>
    <row r="37937" spans="10:10" ht="15" customHeight="1" x14ac:dyDescent="0.3">
      <c r="J37937" s="33"/>
    </row>
    <row r="37938" spans="10:10" ht="15" customHeight="1" x14ac:dyDescent="0.3">
      <c r="J37938" s="33"/>
    </row>
    <row r="37939" spans="10:10" ht="15" customHeight="1" x14ac:dyDescent="0.3">
      <c r="J37939" s="33"/>
    </row>
    <row r="37940" spans="10:10" x14ac:dyDescent="0.3">
      <c r="J37940" s="33"/>
    </row>
    <row r="37941" spans="10:10" x14ac:dyDescent="0.3">
      <c r="J37941" s="33"/>
    </row>
    <row r="37942" spans="10:10" ht="15" customHeight="1" x14ac:dyDescent="0.3">
      <c r="J37942" s="33"/>
    </row>
    <row r="37943" spans="10:10" ht="15" customHeight="1" x14ac:dyDescent="0.3">
      <c r="J37943" s="33"/>
    </row>
    <row r="37944" spans="10:10" x14ac:dyDescent="0.3">
      <c r="J37944" s="33"/>
    </row>
    <row r="37945" spans="10:10" x14ac:dyDescent="0.3">
      <c r="J37945" s="33"/>
    </row>
    <row r="37946" spans="10:10" x14ac:dyDescent="0.3">
      <c r="J37946" s="33"/>
    </row>
    <row r="37947" spans="10:10" ht="15" customHeight="1" x14ac:dyDescent="0.3">
      <c r="J37947" s="33"/>
    </row>
    <row r="37948" spans="10:10" x14ac:dyDescent="0.3">
      <c r="J37948" s="33"/>
    </row>
    <row r="37949" spans="10:10" x14ac:dyDescent="0.3">
      <c r="J37949" s="33"/>
    </row>
    <row r="37950" spans="10:10" ht="15" customHeight="1" x14ac:dyDescent="0.3">
      <c r="J37950" s="33"/>
    </row>
    <row r="37951" spans="10:10" x14ac:dyDescent="0.3">
      <c r="J37951" s="33"/>
    </row>
    <row r="37952" spans="10:10" ht="15" customHeight="1" x14ac:dyDescent="0.3">
      <c r="J37952" s="33"/>
    </row>
    <row r="37953" spans="10:10" x14ac:dyDescent="0.3">
      <c r="J37953" s="33"/>
    </row>
    <row r="37954" spans="10:10" x14ac:dyDescent="0.3">
      <c r="J37954" s="33"/>
    </row>
    <row r="37955" spans="10:10" ht="15" customHeight="1" x14ac:dyDescent="0.3">
      <c r="J37955" s="33"/>
    </row>
    <row r="37956" spans="10:10" x14ac:dyDescent="0.3">
      <c r="J37956" s="33"/>
    </row>
    <row r="37957" spans="10:10" ht="15" customHeight="1" x14ac:dyDescent="0.3">
      <c r="J37957" s="33"/>
    </row>
    <row r="37958" spans="10:10" x14ac:dyDescent="0.3">
      <c r="J37958" s="33"/>
    </row>
    <row r="37959" spans="10:10" ht="15" customHeight="1" x14ac:dyDescent="0.3">
      <c r="J37959" s="33"/>
    </row>
    <row r="37960" spans="10:10" x14ac:dyDescent="0.3">
      <c r="J37960" s="33"/>
    </row>
    <row r="37961" spans="10:10" ht="15" customHeight="1" x14ac:dyDescent="0.3">
      <c r="J37961" s="33"/>
    </row>
    <row r="37962" spans="10:10" x14ac:dyDescent="0.3">
      <c r="J37962" s="33"/>
    </row>
    <row r="37963" spans="10:10" x14ac:dyDescent="0.3">
      <c r="J37963" s="33"/>
    </row>
    <row r="37964" spans="10:10" ht="15" customHeight="1" x14ac:dyDescent="0.3">
      <c r="J37964" s="33"/>
    </row>
    <row r="37965" spans="10:10" x14ac:dyDescent="0.3">
      <c r="J37965" s="33"/>
    </row>
    <row r="37966" spans="10:10" ht="15" customHeight="1" x14ac:dyDescent="0.3">
      <c r="J37966" s="33"/>
    </row>
    <row r="37967" spans="10:10" x14ac:dyDescent="0.3">
      <c r="J37967" s="33"/>
    </row>
    <row r="37968" spans="10:10" x14ac:dyDescent="0.3">
      <c r="J37968" s="33"/>
    </row>
    <row r="37969" spans="10:10" x14ac:dyDescent="0.3">
      <c r="J37969" s="33"/>
    </row>
    <row r="37970" spans="10:10" x14ac:dyDescent="0.3">
      <c r="J37970" s="33"/>
    </row>
    <row r="37971" spans="10:10" x14ac:dyDescent="0.3">
      <c r="J37971" s="33"/>
    </row>
    <row r="37972" spans="10:10" ht="15" customHeight="1" x14ac:dyDescent="0.3">
      <c r="J37972" s="33"/>
    </row>
    <row r="37973" spans="10:10" ht="15" customHeight="1" x14ac:dyDescent="0.3">
      <c r="J37973" s="33"/>
    </row>
    <row r="37974" spans="10:10" x14ac:dyDescent="0.3">
      <c r="J37974" s="33"/>
    </row>
    <row r="37975" spans="10:10" x14ac:dyDescent="0.3">
      <c r="J37975" s="33"/>
    </row>
    <row r="37976" spans="10:10" x14ac:dyDescent="0.3">
      <c r="J37976" s="33"/>
    </row>
    <row r="37977" spans="10:10" ht="15" customHeight="1" x14ac:dyDescent="0.3">
      <c r="J37977" s="33"/>
    </row>
    <row r="37978" spans="10:10" x14ac:dyDescent="0.3">
      <c r="J37978" s="33"/>
    </row>
    <row r="37979" spans="10:10" x14ac:dyDescent="0.3">
      <c r="J37979" s="33"/>
    </row>
    <row r="37980" spans="10:10" x14ac:dyDescent="0.3">
      <c r="J37980" s="33"/>
    </row>
    <row r="37981" spans="10:10" ht="15" customHeight="1" x14ac:dyDescent="0.3">
      <c r="J37981" s="33"/>
    </row>
    <row r="37982" spans="10:10" x14ac:dyDescent="0.3">
      <c r="J37982" s="33"/>
    </row>
    <row r="37983" spans="10:10" x14ac:dyDescent="0.3">
      <c r="J37983" s="33"/>
    </row>
    <row r="37984" spans="10:10" ht="15" customHeight="1" x14ac:dyDescent="0.3">
      <c r="J37984" s="33"/>
    </row>
    <row r="37985" spans="10:10" x14ac:dyDescent="0.3">
      <c r="J37985" s="33"/>
    </row>
    <row r="37986" spans="10:10" ht="15" customHeight="1" x14ac:dyDescent="0.3">
      <c r="J37986" s="33"/>
    </row>
    <row r="37987" spans="10:10" x14ac:dyDescent="0.3">
      <c r="J37987" s="33"/>
    </row>
    <row r="37988" spans="10:10" x14ac:dyDescent="0.3">
      <c r="J37988" s="33"/>
    </row>
    <row r="37989" spans="10:10" ht="15" customHeight="1" x14ac:dyDescent="0.3">
      <c r="J37989" s="33"/>
    </row>
    <row r="37990" spans="10:10" ht="15" customHeight="1" x14ac:dyDescent="0.3">
      <c r="J37990" s="33"/>
    </row>
    <row r="37991" spans="10:10" x14ac:dyDescent="0.3">
      <c r="J37991" s="33"/>
    </row>
    <row r="37992" spans="10:10" x14ac:dyDescent="0.3">
      <c r="J37992" s="33"/>
    </row>
    <row r="37993" spans="10:10" x14ac:dyDescent="0.3">
      <c r="J37993" s="33"/>
    </row>
    <row r="37994" spans="10:10" x14ac:dyDescent="0.3">
      <c r="J37994" s="33"/>
    </row>
    <row r="37995" spans="10:10" x14ac:dyDescent="0.3">
      <c r="J37995" s="33"/>
    </row>
    <row r="37996" spans="10:10" x14ac:dyDescent="0.3">
      <c r="J37996" s="33"/>
    </row>
    <row r="37997" spans="10:10" ht="15" customHeight="1" x14ac:dyDescent="0.3">
      <c r="J37997" s="33"/>
    </row>
    <row r="37998" spans="10:10" x14ac:dyDescent="0.3">
      <c r="J37998" s="33"/>
    </row>
    <row r="37999" spans="10:10" x14ac:dyDescent="0.3">
      <c r="J37999" s="33"/>
    </row>
    <row r="38000" spans="10:10" x14ac:dyDescent="0.3">
      <c r="J38000" s="33"/>
    </row>
    <row r="38001" spans="10:10" x14ac:dyDescent="0.3">
      <c r="J38001" s="33"/>
    </row>
    <row r="38002" spans="10:10" ht="15" customHeight="1" x14ac:dyDescent="0.3">
      <c r="J38002" s="33"/>
    </row>
    <row r="38003" spans="10:10" ht="15" customHeight="1" x14ac:dyDescent="0.3">
      <c r="J38003" s="33"/>
    </row>
    <row r="38004" spans="10:10" x14ac:dyDescent="0.3">
      <c r="J38004" s="33"/>
    </row>
    <row r="38005" spans="10:10" x14ac:dyDescent="0.3">
      <c r="J38005" s="33"/>
    </row>
    <row r="38006" spans="10:10" x14ac:dyDescent="0.3">
      <c r="J38006" s="33"/>
    </row>
    <row r="38007" spans="10:10" ht="15" customHeight="1" x14ac:dyDescent="0.3">
      <c r="J38007" s="33"/>
    </row>
    <row r="38008" spans="10:10" ht="15" customHeight="1" x14ac:dyDescent="0.3">
      <c r="J38008" s="33"/>
    </row>
    <row r="38009" spans="10:10" x14ac:dyDescent="0.3">
      <c r="J38009" s="33"/>
    </row>
    <row r="38010" spans="10:10" x14ac:dyDescent="0.3">
      <c r="J38010" s="33"/>
    </row>
    <row r="38011" spans="10:10" ht="15" customHeight="1" x14ac:dyDescent="0.3">
      <c r="J38011" s="33"/>
    </row>
    <row r="38012" spans="10:10" x14ac:dyDescent="0.3">
      <c r="J38012" s="33"/>
    </row>
    <row r="38013" spans="10:10" x14ac:dyDescent="0.3">
      <c r="J38013" s="33"/>
    </row>
    <row r="38014" spans="10:10" ht="15" customHeight="1" x14ac:dyDescent="0.3">
      <c r="J38014" s="33"/>
    </row>
    <row r="38015" spans="10:10" x14ac:dyDescent="0.3">
      <c r="J38015" s="33"/>
    </row>
    <row r="38016" spans="10:10" ht="15" customHeight="1" x14ac:dyDescent="0.3">
      <c r="J38016" s="33"/>
    </row>
    <row r="38017" spans="10:10" x14ac:dyDescent="0.3">
      <c r="J38017" s="33"/>
    </row>
    <row r="38018" spans="10:10" x14ac:dyDescent="0.3">
      <c r="J38018" s="33"/>
    </row>
    <row r="38019" spans="10:10" ht="15" customHeight="1" x14ac:dyDescent="0.3">
      <c r="J38019" s="33"/>
    </row>
    <row r="38020" spans="10:10" ht="15" customHeight="1" x14ac:dyDescent="0.3">
      <c r="J38020" s="33"/>
    </row>
    <row r="38021" spans="10:10" ht="15" customHeight="1" x14ac:dyDescent="0.3">
      <c r="J38021" s="33"/>
    </row>
    <row r="38022" spans="10:10" x14ac:dyDescent="0.3">
      <c r="J38022" s="33"/>
    </row>
    <row r="38023" spans="10:10" ht="15" customHeight="1" x14ac:dyDescent="0.3">
      <c r="J38023" s="33"/>
    </row>
    <row r="38024" spans="10:10" x14ac:dyDescent="0.3">
      <c r="J38024" s="33"/>
    </row>
    <row r="38025" spans="10:10" x14ac:dyDescent="0.3">
      <c r="J38025" s="33"/>
    </row>
    <row r="38026" spans="10:10" x14ac:dyDescent="0.3">
      <c r="J38026" s="33"/>
    </row>
    <row r="38027" spans="10:10" ht="15" customHeight="1" x14ac:dyDescent="0.3">
      <c r="J38027" s="33"/>
    </row>
    <row r="38028" spans="10:10" ht="15" customHeight="1" x14ac:dyDescent="0.3">
      <c r="J38028" s="33"/>
    </row>
    <row r="38029" spans="10:10" x14ac:dyDescent="0.3">
      <c r="J38029" s="33"/>
    </row>
    <row r="38030" spans="10:10" ht="15" customHeight="1" x14ac:dyDescent="0.3">
      <c r="J38030" s="33"/>
    </row>
    <row r="38031" spans="10:10" ht="15" customHeight="1" x14ac:dyDescent="0.3">
      <c r="J38031" s="33"/>
    </row>
    <row r="38032" spans="10:10" ht="15" customHeight="1" x14ac:dyDescent="0.3">
      <c r="J38032" s="33"/>
    </row>
    <row r="38033" spans="10:10" x14ac:dyDescent="0.3">
      <c r="J38033" s="33"/>
    </row>
    <row r="38034" spans="10:10" ht="15" customHeight="1" x14ac:dyDescent="0.3">
      <c r="J38034" s="33"/>
    </row>
    <row r="38035" spans="10:10" ht="15" customHeight="1" x14ac:dyDescent="0.3">
      <c r="J38035" s="33"/>
    </row>
    <row r="38036" spans="10:10" x14ac:dyDescent="0.3">
      <c r="J38036" s="33"/>
    </row>
    <row r="38037" spans="10:10" x14ac:dyDescent="0.3">
      <c r="J38037" s="33"/>
    </row>
    <row r="38038" spans="10:10" x14ac:dyDescent="0.3">
      <c r="J38038" s="33"/>
    </row>
    <row r="38039" spans="10:10" ht="15" customHeight="1" x14ac:dyDescent="0.3">
      <c r="J38039" s="33"/>
    </row>
    <row r="38040" spans="10:10" x14ac:dyDescent="0.3">
      <c r="J38040" s="33"/>
    </row>
    <row r="38041" spans="10:10" ht="15" customHeight="1" x14ac:dyDescent="0.3">
      <c r="J38041" s="33"/>
    </row>
    <row r="38042" spans="10:10" x14ac:dyDescent="0.3">
      <c r="J38042" s="33"/>
    </row>
    <row r="38043" spans="10:10" ht="15" customHeight="1" x14ac:dyDescent="0.3">
      <c r="J38043" s="33"/>
    </row>
    <row r="38044" spans="10:10" ht="15" customHeight="1" x14ac:dyDescent="0.3">
      <c r="J38044" s="33"/>
    </row>
    <row r="38045" spans="10:10" ht="15" customHeight="1" x14ac:dyDescent="0.3">
      <c r="J38045" s="33"/>
    </row>
    <row r="38046" spans="10:10" ht="15" customHeight="1" x14ac:dyDescent="0.3">
      <c r="J38046" s="33"/>
    </row>
    <row r="38047" spans="10:10" x14ac:dyDescent="0.3">
      <c r="J38047" s="33"/>
    </row>
    <row r="38048" spans="10:10" ht="15" customHeight="1" x14ac:dyDescent="0.3">
      <c r="J38048" s="33"/>
    </row>
    <row r="38049" spans="10:10" x14ac:dyDescent="0.3">
      <c r="J38049" s="33"/>
    </row>
    <row r="38050" spans="10:10" x14ac:dyDescent="0.3">
      <c r="J38050" s="33"/>
    </row>
    <row r="38051" spans="10:10" x14ac:dyDescent="0.3">
      <c r="J38051" s="33"/>
    </row>
    <row r="38052" spans="10:10" x14ac:dyDescent="0.3">
      <c r="J38052" s="33"/>
    </row>
    <row r="38053" spans="10:10" x14ac:dyDescent="0.3">
      <c r="J38053" s="33"/>
    </row>
    <row r="38054" spans="10:10" x14ac:dyDescent="0.3">
      <c r="J38054" s="33"/>
    </row>
    <row r="38055" spans="10:10" x14ac:dyDescent="0.3">
      <c r="J38055" s="33"/>
    </row>
    <row r="38056" spans="10:10" x14ac:dyDescent="0.3">
      <c r="J38056" s="33"/>
    </row>
    <row r="38057" spans="10:10" x14ac:dyDescent="0.3">
      <c r="J38057" s="33"/>
    </row>
    <row r="38058" spans="10:10" ht="15" customHeight="1" x14ac:dyDescent="0.3">
      <c r="J38058" s="33"/>
    </row>
    <row r="38059" spans="10:10" x14ac:dyDescent="0.3">
      <c r="J38059" s="33"/>
    </row>
    <row r="38060" spans="10:10" ht="15" customHeight="1" x14ac:dyDescent="0.3">
      <c r="J38060" s="33"/>
    </row>
    <row r="38061" spans="10:10" ht="15" customHeight="1" x14ac:dyDescent="0.3">
      <c r="J38061" s="33"/>
    </row>
    <row r="38062" spans="10:10" x14ac:dyDescent="0.3">
      <c r="J38062" s="33"/>
    </row>
    <row r="38063" spans="10:10" x14ac:dyDescent="0.3">
      <c r="J38063" s="33"/>
    </row>
    <row r="38064" spans="10:10" x14ac:dyDescent="0.3">
      <c r="J38064" s="33"/>
    </row>
    <row r="38065" spans="10:10" x14ac:dyDescent="0.3">
      <c r="J38065" s="33"/>
    </row>
    <row r="38066" spans="10:10" ht="15" customHeight="1" x14ac:dyDescent="0.3">
      <c r="J38066" s="33"/>
    </row>
    <row r="38067" spans="10:10" x14ac:dyDescent="0.3">
      <c r="J38067" s="33"/>
    </row>
    <row r="38068" spans="10:10" ht="15" customHeight="1" x14ac:dyDescent="0.3">
      <c r="J38068" s="33"/>
    </row>
    <row r="38069" spans="10:10" x14ac:dyDescent="0.3">
      <c r="J38069" s="33"/>
    </row>
    <row r="38070" spans="10:10" ht="15" customHeight="1" x14ac:dyDescent="0.3">
      <c r="J38070" s="33"/>
    </row>
    <row r="38071" spans="10:10" x14ac:dyDescent="0.3">
      <c r="J38071" s="33"/>
    </row>
    <row r="38072" spans="10:10" x14ac:dyDescent="0.3">
      <c r="J38072" s="33"/>
    </row>
    <row r="38073" spans="10:10" x14ac:dyDescent="0.3">
      <c r="J38073" s="33"/>
    </row>
    <row r="38074" spans="10:10" x14ac:dyDescent="0.3">
      <c r="J38074" s="33"/>
    </row>
    <row r="38075" spans="10:10" x14ac:dyDescent="0.3">
      <c r="J38075" s="33"/>
    </row>
    <row r="38076" spans="10:10" ht="15" customHeight="1" x14ac:dyDescent="0.3">
      <c r="J38076" s="33"/>
    </row>
    <row r="38077" spans="10:10" ht="15" customHeight="1" x14ac:dyDescent="0.3">
      <c r="J38077" s="33"/>
    </row>
    <row r="38078" spans="10:10" x14ac:dyDescent="0.3">
      <c r="J38078" s="33"/>
    </row>
    <row r="38079" spans="10:10" x14ac:dyDescent="0.3">
      <c r="J38079" s="33"/>
    </row>
    <row r="38080" spans="10:10" x14ac:dyDescent="0.3">
      <c r="J38080" s="33"/>
    </row>
    <row r="38081" spans="10:10" ht="15" customHeight="1" x14ac:dyDescent="0.3">
      <c r="J38081" s="33"/>
    </row>
    <row r="38082" spans="10:10" x14ac:dyDescent="0.3">
      <c r="J38082" s="33"/>
    </row>
    <row r="38083" spans="10:10" ht="15" customHeight="1" x14ac:dyDescent="0.3">
      <c r="J38083" s="33"/>
    </row>
    <row r="38084" spans="10:10" ht="15" customHeight="1" x14ac:dyDescent="0.3">
      <c r="J38084" s="33"/>
    </row>
    <row r="38085" spans="10:10" ht="15" customHeight="1" x14ac:dyDescent="0.3">
      <c r="J38085" s="33"/>
    </row>
    <row r="38086" spans="10:10" ht="15" customHeight="1" x14ac:dyDescent="0.3">
      <c r="J38086" s="33"/>
    </row>
    <row r="38087" spans="10:10" x14ac:dyDescent="0.3">
      <c r="J38087" s="33"/>
    </row>
    <row r="38088" spans="10:10" ht="15" customHeight="1" x14ac:dyDescent="0.3">
      <c r="J38088" s="33"/>
    </row>
    <row r="38089" spans="10:10" ht="15" customHeight="1" x14ac:dyDescent="0.3">
      <c r="J38089" s="33"/>
    </row>
    <row r="38090" spans="10:10" x14ac:dyDescent="0.3">
      <c r="J38090" s="33"/>
    </row>
    <row r="38091" spans="10:10" x14ac:dyDescent="0.3">
      <c r="J38091" s="33"/>
    </row>
    <row r="38092" spans="10:10" ht="15" customHeight="1" x14ac:dyDescent="0.3">
      <c r="J38092" s="33"/>
    </row>
    <row r="38093" spans="10:10" ht="15" customHeight="1" x14ac:dyDescent="0.3">
      <c r="J38093" s="33"/>
    </row>
    <row r="38094" spans="10:10" ht="15" customHeight="1" x14ac:dyDescent="0.3">
      <c r="J38094" s="33"/>
    </row>
    <row r="38095" spans="10:10" ht="15" customHeight="1" x14ac:dyDescent="0.3">
      <c r="J38095" s="33"/>
    </row>
    <row r="38096" spans="10:10" x14ac:dyDescent="0.3">
      <c r="J38096" s="33"/>
    </row>
    <row r="38097" spans="10:10" x14ac:dyDescent="0.3">
      <c r="J38097" s="33"/>
    </row>
    <row r="38098" spans="10:10" ht="15" customHeight="1" x14ac:dyDescent="0.3">
      <c r="J38098" s="33"/>
    </row>
    <row r="38099" spans="10:10" x14ac:dyDescent="0.3">
      <c r="J38099" s="33"/>
    </row>
    <row r="38100" spans="10:10" ht="15" customHeight="1" x14ac:dyDescent="0.3">
      <c r="J38100" s="33"/>
    </row>
    <row r="38101" spans="10:10" ht="15" customHeight="1" x14ac:dyDescent="0.3">
      <c r="J38101" s="33"/>
    </row>
    <row r="38102" spans="10:10" ht="15" customHeight="1" x14ac:dyDescent="0.3">
      <c r="J38102" s="33"/>
    </row>
    <row r="38103" spans="10:10" x14ac:dyDescent="0.3">
      <c r="J38103" s="33"/>
    </row>
    <row r="38104" spans="10:10" x14ac:dyDescent="0.3">
      <c r="J38104" s="33"/>
    </row>
    <row r="38105" spans="10:10" x14ac:dyDescent="0.3">
      <c r="J38105" s="33"/>
    </row>
    <row r="38106" spans="10:10" ht="15" customHeight="1" x14ac:dyDescent="0.3">
      <c r="J38106" s="33"/>
    </row>
    <row r="38107" spans="10:10" ht="15" customHeight="1" x14ac:dyDescent="0.3">
      <c r="J38107" s="33"/>
    </row>
    <row r="38108" spans="10:10" x14ac:dyDescent="0.3">
      <c r="J38108" s="33"/>
    </row>
    <row r="38109" spans="10:10" ht="15" customHeight="1" x14ac:dyDescent="0.3">
      <c r="J38109" s="33"/>
    </row>
    <row r="38110" spans="10:10" ht="15" customHeight="1" x14ac:dyDescent="0.3">
      <c r="J38110" s="33"/>
    </row>
    <row r="38111" spans="10:10" x14ac:dyDescent="0.3">
      <c r="J38111" s="33"/>
    </row>
    <row r="38112" spans="10:10" ht="15" customHeight="1" x14ac:dyDescent="0.3">
      <c r="J38112" s="33"/>
    </row>
    <row r="38113" spans="10:10" ht="15" customHeight="1" x14ac:dyDescent="0.3">
      <c r="J38113" s="33"/>
    </row>
    <row r="38114" spans="10:10" ht="15" customHeight="1" x14ac:dyDescent="0.3">
      <c r="J38114" s="33"/>
    </row>
    <row r="38115" spans="10:10" ht="15" customHeight="1" x14ac:dyDescent="0.3">
      <c r="J38115" s="33"/>
    </row>
    <row r="38116" spans="10:10" ht="15" customHeight="1" x14ac:dyDescent="0.3">
      <c r="J38116" s="33"/>
    </row>
    <row r="38117" spans="10:10" ht="15" customHeight="1" x14ac:dyDescent="0.3">
      <c r="J38117" s="33"/>
    </row>
    <row r="38118" spans="10:10" ht="15" customHeight="1" x14ac:dyDescent="0.3">
      <c r="J38118" s="33"/>
    </row>
    <row r="38119" spans="10:10" x14ac:dyDescent="0.3">
      <c r="J38119" s="33"/>
    </row>
    <row r="38120" spans="10:10" x14ac:dyDescent="0.3">
      <c r="J38120" s="33"/>
    </row>
    <row r="38121" spans="10:10" x14ac:dyDescent="0.3">
      <c r="J38121" s="33"/>
    </row>
    <row r="38122" spans="10:10" ht="15" customHeight="1" x14ac:dyDescent="0.3">
      <c r="J38122" s="33"/>
    </row>
    <row r="38123" spans="10:10" x14ac:dyDescent="0.3">
      <c r="J38123" s="33"/>
    </row>
    <row r="38124" spans="10:10" x14ac:dyDescent="0.3">
      <c r="J38124" s="33"/>
    </row>
    <row r="38125" spans="10:10" x14ac:dyDescent="0.3">
      <c r="J38125" s="33"/>
    </row>
    <row r="38126" spans="10:10" ht="15" customHeight="1" x14ac:dyDescent="0.3">
      <c r="J38126" s="33"/>
    </row>
    <row r="38127" spans="10:10" ht="15" customHeight="1" x14ac:dyDescent="0.3">
      <c r="J38127" s="33"/>
    </row>
    <row r="38128" spans="10:10" ht="15" customHeight="1" x14ac:dyDescent="0.3">
      <c r="J38128" s="33"/>
    </row>
    <row r="38129" spans="10:10" ht="15" customHeight="1" x14ac:dyDescent="0.3">
      <c r="J38129" s="33"/>
    </row>
    <row r="38130" spans="10:10" x14ac:dyDescent="0.3">
      <c r="J38130" s="33"/>
    </row>
    <row r="38131" spans="10:10" ht="15" customHeight="1" x14ac:dyDescent="0.3">
      <c r="J38131" s="33"/>
    </row>
    <row r="38132" spans="10:10" ht="15" customHeight="1" x14ac:dyDescent="0.3">
      <c r="J38132" s="33"/>
    </row>
    <row r="38133" spans="10:10" x14ac:dyDescent="0.3">
      <c r="J38133" s="33"/>
    </row>
    <row r="38134" spans="10:10" ht="15" customHeight="1" x14ac:dyDescent="0.3">
      <c r="J38134" s="33"/>
    </row>
    <row r="38135" spans="10:10" x14ac:dyDescent="0.3">
      <c r="J38135" s="33"/>
    </row>
    <row r="38136" spans="10:10" x14ac:dyDescent="0.3">
      <c r="J38136" s="33"/>
    </row>
    <row r="38137" spans="10:10" ht="15" customHeight="1" x14ac:dyDescent="0.3">
      <c r="J38137" s="33"/>
    </row>
    <row r="38138" spans="10:10" x14ac:dyDescent="0.3">
      <c r="J38138" s="33"/>
    </row>
    <row r="38139" spans="10:10" x14ac:dyDescent="0.3">
      <c r="J38139" s="33"/>
    </row>
    <row r="38140" spans="10:10" x14ac:dyDescent="0.3">
      <c r="J38140" s="33"/>
    </row>
    <row r="38141" spans="10:10" ht="15" customHeight="1" x14ac:dyDescent="0.3">
      <c r="J38141" s="33"/>
    </row>
    <row r="38142" spans="10:10" ht="15" customHeight="1" x14ac:dyDescent="0.3">
      <c r="J38142" s="33"/>
    </row>
    <row r="38143" spans="10:10" x14ac:dyDescent="0.3">
      <c r="J38143" s="33"/>
    </row>
    <row r="38144" spans="10:10" x14ac:dyDescent="0.3">
      <c r="J38144" s="33"/>
    </row>
    <row r="38145" spans="10:10" x14ac:dyDescent="0.3">
      <c r="J38145" s="33"/>
    </row>
    <row r="38146" spans="10:10" ht="15" customHeight="1" x14ac:dyDescent="0.3">
      <c r="J38146" s="33"/>
    </row>
    <row r="38147" spans="10:10" x14ac:dyDescent="0.3">
      <c r="J38147" s="33"/>
    </row>
    <row r="38148" spans="10:10" x14ac:dyDescent="0.3">
      <c r="J38148" s="33"/>
    </row>
    <row r="38149" spans="10:10" ht="15" customHeight="1" x14ac:dyDescent="0.3">
      <c r="J38149" s="33"/>
    </row>
    <row r="38150" spans="10:10" x14ac:dyDescent="0.3">
      <c r="J38150" s="33"/>
    </row>
    <row r="38151" spans="10:10" ht="15" customHeight="1" x14ac:dyDescent="0.3">
      <c r="J38151" s="33"/>
    </row>
    <row r="38152" spans="10:10" x14ac:dyDescent="0.3">
      <c r="J38152" s="33"/>
    </row>
    <row r="38153" spans="10:10" x14ac:dyDescent="0.3">
      <c r="J38153" s="33"/>
    </row>
    <row r="38154" spans="10:10" ht="15" customHeight="1" x14ac:dyDescent="0.3">
      <c r="J38154" s="33"/>
    </row>
    <row r="38155" spans="10:10" x14ac:dyDescent="0.3">
      <c r="J38155" s="33"/>
    </row>
    <row r="38156" spans="10:10" x14ac:dyDescent="0.3">
      <c r="J38156" s="33"/>
    </row>
    <row r="38157" spans="10:10" ht="15" customHeight="1" x14ac:dyDescent="0.3">
      <c r="J38157" s="33"/>
    </row>
    <row r="38158" spans="10:10" x14ac:dyDescent="0.3">
      <c r="J38158" s="33"/>
    </row>
    <row r="38159" spans="10:10" ht="15" customHeight="1" x14ac:dyDescent="0.3">
      <c r="J38159" s="33"/>
    </row>
    <row r="38160" spans="10:10" x14ac:dyDescent="0.3">
      <c r="J38160" s="33"/>
    </row>
    <row r="38161" spans="10:10" x14ac:dyDescent="0.3">
      <c r="J38161" s="33"/>
    </row>
    <row r="38162" spans="10:10" ht="15" customHeight="1" x14ac:dyDescent="0.3">
      <c r="J38162" s="33"/>
    </row>
    <row r="38163" spans="10:10" x14ac:dyDescent="0.3">
      <c r="J38163" s="33"/>
    </row>
    <row r="38164" spans="10:10" ht="15" customHeight="1" x14ac:dyDescent="0.3">
      <c r="J38164" s="33"/>
    </row>
    <row r="38165" spans="10:10" ht="15" customHeight="1" x14ac:dyDescent="0.3">
      <c r="J38165" s="33"/>
    </row>
    <row r="38166" spans="10:10" x14ac:dyDescent="0.3">
      <c r="J38166" s="33"/>
    </row>
    <row r="38167" spans="10:10" ht="15" customHeight="1" x14ac:dyDescent="0.3">
      <c r="J38167" s="33"/>
    </row>
    <row r="38168" spans="10:10" x14ac:dyDescent="0.3">
      <c r="J38168" s="33"/>
    </row>
    <row r="38169" spans="10:10" ht="15" customHeight="1" x14ac:dyDescent="0.3">
      <c r="J38169" s="33"/>
    </row>
    <row r="38170" spans="10:10" x14ac:dyDescent="0.3">
      <c r="J38170" s="33"/>
    </row>
    <row r="38171" spans="10:10" ht="15" customHeight="1" x14ac:dyDescent="0.3">
      <c r="J38171" s="33"/>
    </row>
    <row r="38172" spans="10:10" ht="15" customHeight="1" x14ac:dyDescent="0.3">
      <c r="J38172" s="33"/>
    </row>
    <row r="38173" spans="10:10" x14ac:dyDescent="0.3">
      <c r="J38173" s="33"/>
    </row>
    <row r="38174" spans="10:10" ht="15" customHeight="1" x14ac:dyDescent="0.3">
      <c r="J38174" s="33"/>
    </row>
    <row r="38175" spans="10:10" x14ac:dyDescent="0.3">
      <c r="J38175" s="33"/>
    </row>
    <row r="38176" spans="10:10" ht="15" customHeight="1" x14ac:dyDescent="0.3">
      <c r="J38176" s="33"/>
    </row>
    <row r="38177" spans="10:10" x14ac:dyDescent="0.3">
      <c r="J38177" s="33"/>
    </row>
    <row r="38178" spans="10:10" x14ac:dyDescent="0.3">
      <c r="J38178" s="33"/>
    </row>
    <row r="38179" spans="10:10" x14ac:dyDescent="0.3">
      <c r="J38179" s="33"/>
    </row>
    <row r="38180" spans="10:10" ht="15" customHeight="1" x14ac:dyDescent="0.3">
      <c r="J38180" s="33"/>
    </row>
    <row r="38181" spans="10:10" ht="15" customHeight="1" x14ac:dyDescent="0.3">
      <c r="J38181" s="33"/>
    </row>
    <row r="38182" spans="10:10" x14ac:dyDescent="0.3">
      <c r="J38182" s="33"/>
    </row>
    <row r="38183" spans="10:10" x14ac:dyDescent="0.3">
      <c r="J38183" s="33"/>
    </row>
    <row r="38184" spans="10:10" x14ac:dyDescent="0.3">
      <c r="J38184" s="33"/>
    </row>
    <row r="38185" spans="10:10" x14ac:dyDescent="0.3">
      <c r="J38185" s="33"/>
    </row>
    <row r="38186" spans="10:10" ht="15" customHeight="1" x14ac:dyDescent="0.3">
      <c r="J38186" s="33"/>
    </row>
    <row r="38187" spans="10:10" ht="15" customHeight="1" x14ac:dyDescent="0.3">
      <c r="J38187" s="33"/>
    </row>
    <row r="38188" spans="10:10" ht="15" customHeight="1" x14ac:dyDescent="0.3">
      <c r="J38188" s="33"/>
    </row>
    <row r="38189" spans="10:10" x14ac:dyDescent="0.3">
      <c r="J38189" s="33"/>
    </row>
    <row r="38190" spans="10:10" x14ac:dyDescent="0.3">
      <c r="J38190" s="33"/>
    </row>
    <row r="38191" spans="10:10" x14ac:dyDescent="0.3">
      <c r="J38191" s="33"/>
    </row>
    <row r="38192" spans="10:10" x14ac:dyDescent="0.3">
      <c r="J38192" s="33"/>
    </row>
    <row r="38193" spans="10:10" x14ac:dyDescent="0.3">
      <c r="J38193" s="33"/>
    </row>
    <row r="38194" spans="10:10" x14ac:dyDescent="0.3">
      <c r="J38194" s="33"/>
    </row>
    <row r="38195" spans="10:10" x14ac:dyDescent="0.3">
      <c r="J38195" s="33"/>
    </row>
    <row r="38196" spans="10:10" x14ac:dyDescent="0.3">
      <c r="J38196" s="33"/>
    </row>
    <row r="38197" spans="10:10" ht="15" customHeight="1" x14ac:dyDescent="0.3">
      <c r="J38197" s="33"/>
    </row>
    <row r="38198" spans="10:10" x14ac:dyDescent="0.3">
      <c r="J38198" s="33"/>
    </row>
    <row r="38199" spans="10:10" x14ac:dyDescent="0.3">
      <c r="J38199" s="33"/>
    </row>
    <row r="38200" spans="10:10" x14ac:dyDescent="0.3">
      <c r="J38200" s="33"/>
    </row>
    <row r="38201" spans="10:10" x14ac:dyDescent="0.3">
      <c r="J38201" s="33"/>
    </row>
    <row r="38202" spans="10:10" ht="15" customHeight="1" x14ac:dyDescent="0.3">
      <c r="J38202" s="33"/>
    </row>
    <row r="38203" spans="10:10" x14ac:dyDescent="0.3">
      <c r="J38203" s="33"/>
    </row>
    <row r="38204" spans="10:10" x14ac:dyDescent="0.3">
      <c r="J38204" s="33"/>
    </row>
    <row r="38205" spans="10:10" x14ac:dyDescent="0.3">
      <c r="J38205" s="33"/>
    </row>
    <row r="38206" spans="10:10" x14ac:dyDescent="0.3">
      <c r="J38206" s="33"/>
    </row>
    <row r="38207" spans="10:10" ht="15" customHeight="1" x14ac:dyDescent="0.3">
      <c r="J38207" s="33"/>
    </row>
    <row r="38208" spans="10:10" ht="15" customHeight="1" x14ac:dyDescent="0.3">
      <c r="J38208" s="33"/>
    </row>
    <row r="38209" spans="10:10" x14ac:dyDescent="0.3">
      <c r="J38209" s="33"/>
    </row>
    <row r="38210" spans="10:10" ht="15" customHeight="1" x14ac:dyDescent="0.3">
      <c r="J38210" s="33"/>
    </row>
    <row r="38211" spans="10:10" x14ac:dyDescent="0.3">
      <c r="J38211" s="33"/>
    </row>
    <row r="38212" spans="10:10" x14ac:dyDescent="0.3">
      <c r="J38212" s="33"/>
    </row>
    <row r="38213" spans="10:10" x14ac:dyDescent="0.3">
      <c r="J38213" s="33"/>
    </row>
    <row r="38214" spans="10:10" x14ac:dyDescent="0.3">
      <c r="J38214" s="33"/>
    </row>
    <row r="38215" spans="10:10" x14ac:dyDescent="0.3">
      <c r="J38215" s="33"/>
    </row>
    <row r="38216" spans="10:10" x14ac:dyDescent="0.3">
      <c r="J38216" s="33"/>
    </row>
    <row r="38217" spans="10:10" x14ac:dyDescent="0.3">
      <c r="J38217" s="33"/>
    </row>
    <row r="38218" spans="10:10" x14ac:dyDescent="0.3">
      <c r="J38218" s="33"/>
    </row>
    <row r="38219" spans="10:10" x14ac:dyDescent="0.3">
      <c r="J38219" s="33"/>
    </row>
    <row r="38220" spans="10:10" x14ac:dyDescent="0.3">
      <c r="J38220" s="33"/>
    </row>
    <row r="38221" spans="10:10" ht="15" customHeight="1" x14ac:dyDescent="0.3">
      <c r="J38221" s="33"/>
    </row>
    <row r="38222" spans="10:10" ht="15" customHeight="1" x14ac:dyDescent="0.3">
      <c r="J38222" s="33"/>
    </row>
    <row r="38223" spans="10:10" x14ac:dyDescent="0.3">
      <c r="J38223" s="33"/>
    </row>
    <row r="38224" spans="10:10" x14ac:dyDescent="0.3">
      <c r="J38224" s="33"/>
    </row>
    <row r="38225" spans="10:10" x14ac:dyDescent="0.3">
      <c r="J38225" s="33"/>
    </row>
    <row r="38226" spans="10:10" ht="15" customHeight="1" x14ac:dyDescent="0.3">
      <c r="J38226" s="33"/>
    </row>
    <row r="38227" spans="10:10" x14ac:dyDescent="0.3">
      <c r="J38227" s="33"/>
    </row>
    <row r="38228" spans="10:10" ht="15" customHeight="1" x14ac:dyDescent="0.3">
      <c r="J38228" s="33"/>
    </row>
    <row r="38229" spans="10:10" x14ac:dyDescent="0.3">
      <c r="J38229" s="33"/>
    </row>
    <row r="38230" spans="10:10" ht="15" customHeight="1" x14ac:dyDescent="0.3">
      <c r="J38230" s="33"/>
    </row>
    <row r="38231" spans="10:10" x14ac:dyDescent="0.3">
      <c r="J38231" s="33"/>
    </row>
    <row r="38232" spans="10:10" x14ac:dyDescent="0.3">
      <c r="J38232" s="33"/>
    </row>
    <row r="38233" spans="10:10" x14ac:dyDescent="0.3">
      <c r="J38233" s="33"/>
    </row>
    <row r="38234" spans="10:10" x14ac:dyDescent="0.3">
      <c r="J38234" s="33"/>
    </row>
    <row r="38235" spans="10:10" x14ac:dyDescent="0.3">
      <c r="J38235" s="33"/>
    </row>
    <row r="38236" spans="10:10" x14ac:dyDescent="0.3">
      <c r="J38236" s="33"/>
    </row>
    <row r="38237" spans="10:10" ht="15" customHeight="1" x14ac:dyDescent="0.3">
      <c r="J38237" s="33"/>
    </row>
    <row r="38238" spans="10:10" x14ac:dyDescent="0.3">
      <c r="J38238" s="33"/>
    </row>
    <row r="38239" spans="10:10" x14ac:dyDescent="0.3">
      <c r="J38239" s="33"/>
    </row>
    <row r="38240" spans="10:10" x14ac:dyDescent="0.3">
      <c r="J38240" s="33"/>
    </row>
    <row r="38241" spans="10:10" x14ac:dyDescent="0.3">
      <c r="J38241" s="33"/>
    </row>
    <row r="38242" spans="10:10" x14ac:dyDescent="0.3">
      <c r="J38242" s="33"/>
    </row>
    <row r="38243" spans="10:10" x14ac:dyDescent="0.3">
      <c r="J38243" s="33"/>
    </row>
    <row r="38244" spans="10:10" x14ac:dyDescent="0.3">
      <c r="J38244" s="33"/>
    </row>
    <row r="38245" spans="10:10" x14ac:dyDescent="0.3">
      <c r="J38245" s="33"/>
    </row>
    <row r="38246" spans="10:10" x14ac:dyDescent="0.3">
      <c r="J38246" s="33"/>
    </row>
    <row r="38247" spans="10:10" x14ac:dyDescent="0.3">
      <c r="J38247" s="33"/>
    </row>
    <row r="38248" spans="10:10" ht="15" customHeight="1" x14ac:dyDescent="0.3">
      <c r="J38248" s="33"/>
    </row>
    <row r="38249" spans="10:10" ht="15" customHeight="1" x14ac:dyDescent="0.3">
      <c r="J38249" s="33"/>
    </row>
    <row r="38250" spans="10:10" ht="15" customHeight="1" x14ac:dyDescent="0.3">
      <c r="J38250" s="33"/>
    </row>
    <row r="38251" spans="10:10" ht="15" customHeight="1" x14ac:dyDescent="0.3">
      <c r="J38251" s="33"/>
    </row>
    <row r="38252" spans="10:10" x14ac:dyDescent="0.3">
      <c r="J38252" s="33"/>
    </row>
    <row r="38253" spans="10:10" x14ac:dyDescent="0.3">
      <c r="J38253" s="33"/>
    </row>
    <row r="38254" spans="10:10" x14ac:dyDescent="0.3">
      <c r="J38254" s="33"/>
    </row>
    <row r="38255" spans="10:10" x14ac:dyDescent="0.3">
      <c r="J38255" s="33"/>
    </row>
    <row r="38256" spans="10:10" x14ac:dyDescent="0.3">
      <c r="J38256" s="33"/>
    </row>
    <row r="38257" spans="10:10" x14ac:dyDescent="0.3">
      <c r="J38257" s="33"/>
    </row>
    <row r="38258" spans="10:10" x14ac:dyDescent="0.3">
      <c r="J38258" s="33"/>
    </row>
    <row r="38259" spans="10:10" ht="15" customHeight="1" x14ac:dyDescent="0.3">
      <c r="J38259" s="33"/>
    </row>
    <row r="38260" spans="10:10" ht="15" customHeight="1" x14ac:dyDescent="0.3">
      <c r="J38260" s="33"/>
    </row>
    <row r="38261" spans="10:10" x14ac:dyDescent="0.3">
      <c r="J38261" s="33"/>
    </row>
    <row r="38262" spans="10:10" x14ac:dyDescent="0.3">
      <c r="J38262" s="33"/>
    </row>
    <row r="38263" spans="10:10" x14ac:dyDescent="0.3">
      <c r="J38263" s="33"/>
    </row>
    <row r="38264" spans="10:10" ht="15" customHeight="1" x14ac:dyDescent="0.3">
      <c r="J38264" s="33"/>
    </row>
    <row r="38265" spans="10:10" x14ac:dyDescent="0.3">
      <c r="J38265" s="33"/>
    </row>
    <row r="38266" spans="10:10" ht="15" customHeight="1" x14ac:dyDescent="0.3">
      <c r="J38266" s="33"/>
    </row>
    <row r="38267" spans="10:10" ht="15" customHeight="1" x14ac:dyDescent="0.3">
      <c r="J38267" s="33"/>
    </row>
    <row r="38268" spans="10:10" ht="15" customHeight="1" x14ac:dyDescent="0.3">
      <c r="J38268" s="33"/>
    </row>
    <row r="38269" spans="10:10" ht="15" customHeight="1" x14ac:dyDescent="0.3">
      <c r="J38269" s="33"/>
    </row>
    <row r="38270" spans="10:10" ht="15" customHeight="1" x14ac:dyDescent="0.3">
      <c r="J38270" s="33"/>
    </row>
    <row r="38271" spans="10:10" x14ac:dyDescent="0.3">
      <c r="J38271" s="33"/>
    </row>
    <row r="38272" spans="10:10" x14ac:dyDescent="0.3">
      <c r="J38272" s="33"/>
    </row>
    <row r="38273" spans="10:10" x14ac:dyDescent="0.3">
      <c r="J38273" s="33"/>
    </row>
    <row r="38274" spans="10:10" ht="15" customHeight="1" x14ac:dyDescent="0.3">
      <c r="J38274" s="33"/>
    </row>
    <row r="38275" spans="10:10" x14ac:dyDescent="0.3">
      <c r="J38275" s="33"/>
    </row>
    <row r="38276" spans="10:10" x14ac:dyDescent="0.3">
      <c r="J38276" s="33"/>
    </row>
    <row r="38277" spans="10:10" ht="15" customHeight="1" x14ac:dyDescent="0.3">
      <c r="J38277" s="33"/>
    </row>
    <row r="38278" spans="10:10" x14ac:dyDescent="0.3">
      <c r="J38278" s="33"/>
    </row>
    <row r="38279" spans="10:10" ht="15" customHeight="1" x14ac:dyDescent="0.3">
      <c r="J38279" s="33"/>
    </row>
    <row r="38280" spans="10:10" x14ac:dyDescent="0.3">
      <c r="J38280" s="33"/>
    </row>
    <row r="38281" spans="10:10" x14ac:dyDescent="0.3">
      <c r="J38281" s="33"/>
    </row>
    <row r="38282" spans="10:10" x14ac:dyDescent="0.3">
      <c r="J38282" s="33"/>
    </row>
    <row r="38283" spans="10:10" x14ac:dyDescent="0.3">
      <c r="J38283" s="33"/>
    </row>
    <row r="38284" spans="10:10" x14ac:dyDescent="0.3">
      <c r="J38284" s="33"/>
    </row>
    <row r="38285" spans="10:10" x14ac:dyDescent="0.3">
      <c r="J38285" s="33"/>
    </row>
    <row r="38286" spans="10:10" x14ac:dyDescent="0.3">
      <c r="J38286" s="33"/>
    </row>
    <row r="38287" spans="10:10" x14ac:dyDescent="0.3">
      <c r="J38287" s="33"/>
    </row>
    <row r="38288" spans="10:10" x14ac:dyDescent="0.3">
      <c r="J38288" s="33"/>
    </row>
    <row r="38289" spans="10:10" x14ac:dyDescent="0.3">
      <c r="J38289" s="33"/>
    </row>
    <row r="38290" spans="10:10" x14ac:dyDescent="0.3">
      <c r="J38290" s="33"/>
    </row>
    <row r="38291" spans="10:10" x14ac:dyDescent="0.3">
      <c r="J38291" s="33"/>
    </row>
    <row r="38292" spans="10:10" x14ac:dyDescent="0.3">
      <c r="J38292" s="33"/>
    </row>
    <row r="38293" spans="10:10" ht="15" customHeight="1" x14ac:dyDescent="0.3">
      <c r="J38293" s="33"/>
    </row>
    <row r="38294" spans="10:10" x14ac:dyDescent="0.3">
      <c r="J38294" s="33"/>
    </row>
    <row r="38295" spans="10:10" x14ac:dyDescent="0.3">
      <c r="J38295" s="33"/>
    </row>
    <row r="38296" spans="10:10" x14ac:dyDescent="0.3">
      <c r="J38296" s="33"/>
    </row>
    <row r="38297" spans="10:10" x14ac:dyDescent="0.3">
      <c r="J38297" s="33"/>
    </row>
    <row r="38298" spans="10:10" x14ac:dyDescent="0.3">
      <c r="J38298" s="33"/>
    </row>
    <row r="38299" spans="10:10" ht="15" customHeight="1" x14ac:dyDescent="0.3">
      <c r="J38299" s="33"/>
    </row>
    <row r="38300" spans="10:10" x14ac:dyDescent="0.3">
      <c r="J38300" s="33"/>
    </row>
    <row r="38301" spans="10:10" ht="15" customHeight="1" x14ac:dyDescent="0.3">
      <c r="J38301" s="33"/>
    </row>
    <row r="38302" spans="10:10" x14ac:dyDescent="0.3">
      <c r="J38302" s="33"/>
    </row>
    <row r="38303" spans="10:10" x14ac:dyDescent="0.3">
      <c r="J38303" s="33"/>
    </row>
    <row r="38304" spans="10:10" ht="15" customHeight="1" x14ac:dyDescent="0.3">
      <c r="J38304" s="33"/>
    </row>
    <row r="38305" spans="10:10" x14ac:dyDescent="0.3">
      <c r="J38305" s="33"/>
    </row>
    <row r="38306" spans="10:10" x14ac:dyDescent="0.3">
      <c r="J38306" s="33"/>
    </row>
    <row r="38307" spans="10:10" ht="15" customHeight="1" x14ac:dyDescent="0.3">
      <c r="J38307" s="33"/>
    </row>
    <row r="38308" spans="10:10" x14ac:dyDescent="0.3">
      <c r="J38308" s="33"/>
    </row>
    <row r="38309" spans="10:10" x14ac:dyDescent="0.3">
      <c r="J38309" s="33"/>
    </row>
    <row r="38310" spans="10:10" ht="15" customHeight="1" x14ac:dyDescent="0.3">
      <c r="J38310" s="33"/>
    </row>
    <row r="38311" spans="10:10" x14ac:dyDescent="0.3">
      <c r="J38311" s="33"/>
    </row>
    <row r="38312" spans="10:10" x14ac:dyDescent="0.3">
      <c r="J38312" s="33"/>
    </row>
    <row r="38313" spans="10:10" x14ac:dyDescent="0.3">
      <c r="J38313" s="33"/>
    </row>
    <row r="38314" spans="10:10" x14ac:dyDescent="0.3">
      <c r="J38314" s="33"/>
    </row>
    <row r="38315" spans="10:10" ht="15" customHeight="1" x14ac:dyDescent="0.3">
      <c r="J38315" s="33"/>
    </row>
    <row r="38316" spans="10:10" ht="15" customHeight="1" x14ac:dyDescent="0.3">
      <c r="J38316" s="33"/>
    </row>
    <row r="38317" spans="10:10" ht="15" customHeight="1" x14ac:dyDescent="0.3">
      <c r="J38317" s="33"/>
    </row>
    <row r="38318" spans="10:10" ht="15" customHeight="1" x14ac:dyDescent="0.3">
      <c r="J38318" s="33"/>
    </row>
    <row r="38319" spans="10:10" x14ac:dyDescent="0.3">
      <c r="J38319" s="33"/>
    </row>
    <row r="38320" spans="10:10" x14ac:dyDescent="0.3">
      <c r="J38320" s="33"/>
    </row>
    <row r="38321" spans="10:10" ht="15" customHeight="1" x14ac:dyDescent="0.3">
      <c r="J38321" s="33"/>
    </row>
    <row r="38322" spans="10:10" x14ac:dyDescent="0.3">
      <c r="J38322" s="33"/>
    </row>
    <row r="38323" spans="10:10" x14ac:dyDescent="0.3">
      <c r="J38323" s="33"/>
    </row>
    <row r="38324" spans="10:10" ht="15" customHeight="1" x14ac:dyDescent="0.3">
      <c r="J38324" s="33"/>
    </row>
    <row r="38325" spans="10:10" x14ac:dyDescent="0.3">
      <c r="J38325" s="33"/>
    </row>
    <row r="38326" spans="10:10" ht="15" customHeight="1" x14ac:dyDescent="0.3">
      <c r="J38326" s="33"/>
    </row>
    <row r="38327" spans="10:10" ht="15" customHeight="1" x14ac:dyDescent="0.3">
      <c r="J38327" s="33"/>
    </row>
    <row r="38328" spans="10:10" ht="15" customHeight="1" x14ac:dyDescent="0.3">
      <c r="J38328" s="33"/>
    </row>
    <row r="38329" spans="10:10" x14ac:dyDescent="0.3">
      <c r="J38329" s="33"/>
    </row>
    <row r="38330" spans="10:10" ht="15" customHeight="1" x14ac:dyDescent="0.3">
      <c r="J38330" s="33"/>
    </row>
    <row r="38331" spans="10:10" x14ac:dyDescent="0.3">
      <c r="J38331" s="33"/>
    </row>
    <row r="38332" spans="10:10" ht="15" customHeight="1" x14ac:dyDescent="0.3">
      <c r="J38332" s="33"/>
    </row>
    <row r="38333" spans="10:10" x14ac:dyDescent="0.3">
      <c r="J38333" s="33"/>
    </row>
    <row r="38334" spans="10:10" x14ac:dyDescent="0.3">
      <c r="J38334" s="33"/>
    </row>
    <row r="38335" spans="10:10" x14ac:dyDescent="0.3">
      <c r="J38335" s="33"/>
    </row>
    <row r="38336" spans="10:10" ht="15" customHeight="1" x14ac:dyDescent="0.3">
      <c r="J38336" s="33"/>
    </row>
    <row r="38337" spans="10:10" x14ac:dyDescent="0.3">
      <c r="J38337" s="33"/>
    </row>
    <row r="38338" spans="10:10" x14ac:dyDescent="0.3">
      <c r="J38338" s="33"/>
    </row>
    <row r="38339" spans="10:10" x14ac:dyDescent="0.3">
      <c r="J38339" s="33"/>
    </row>
    <row r="38340" spans="10:10" x14ac:dyDescent="0.3">
      <c r="J38340" s="33"/>
    </row>
    <row r="38341" spans="10:10" x14ac:dyDescent="0.3">
      <c r="J38341" s="33"/>
    </row>
    <row r="38342" spans="10:10" x14ac:dyDescent="0.3">
      <c r="J38342" s="33"/>
    </row>
    <row r="38343" spans="10:10" x14ac:dyDescent="0.3">
      <c r="J38343" s="33"/>
    </row>
    <row r="38344" spans="10:10" x14ac:dyDescent="0.3">
      <c r="J38344" s="33"/>
    </row>
    <row r="38345" spans="10:10" x14ac:dyDescent="0.3">
      <c r="J38345" s="33"/>
    </row>
    <row r="38346" spans="10:10" x14ac:dyDescent="0.3">
      <c r="J38346" s="33"/>
    </row>
    <row r="38347" spans="10:10" x14ac:dyDescent="0.3">
      <c r="J38347" s="33"/>
    </row>
    <row r="38348" spans="10:10" x14ac:dyDescent="0.3">
      <c r="J38348" s="33"/>
    </row>
    <row r="38349" spans="10:10" ht="15" customHeight="1" x14ac:dyDescent="0.3">
      <c r="J38349" s="33"/>
    </row>
    <row r="38350" spans="10:10" x14ac:dyDescent="0.3">
      <c r="J38350" s="33"/>
    </row>
    <row r="38351" spans="10:10" x14ac:dyDescent="0.3">
      <c r="J38351" s="33"/>
    </row>
    <row r="38352" spans="10:10" ht="15" customHeight="1" x14ac:dyDescent="0.3">
      <c r="J38352" s="33"/>
    </row>
    <row r="38353" spans="10:10" x14ac:dyDescent="0.3">
      <c r="J38353" s="33"/>
    </row>
    <row r="38354" spans="10:10" x14ac:dyDescent="0.3">
      <c r="J38354" s="33"/>
    </row>
    <row r="38355" spans="10:10" x14ac:dyDescent="0.3">
      <c r="J38355" s="33"/>
    </row>
    <row r="38356" spans="10:10" ht="15" customHeight="1" x14ac:dyDescent="0.3">
      <c r="J38356" s="33"/>
    </row>
    <row r="38357" spans="10:10" x14ac:dyDescent="0.3">
      <c r="J38357" s="33"/>
    </row>
    <row r="38358" spans="10:10" x14ac:dyDescent="0.3">
      <c r="J38358" s="33"/>
    </row>
    <row r="38359" spans="10:10" x14ac:dyDescent="0.3">
      <c r="J38359" s="33"/>
    </row>
    <row r="38360" spans="10:10" ht="15" customHeight="1" x14ac:dyDescent="0.3">
      <c r="J38360" s="33"/>
    </row>
    <row r="38361" spans="10:10" x14ac:dyDescent="0.3">
      <c r="J38361" s="33"/>
    </row>
    <row r="38362" spans="10:10" ht="15" customHeight="1" x14ac:dyDescent="0.3">
      <c r="J38362" s="33"/>
    </row>
    <row r="38363" spans="10:10" ht="15" customHeight="1" x14ac:dyDescent="0.3">
      <c r="J38363" s="33"/>
    </row>
    <row r="38364" spans="10:10" ht="15" customHeight="1" x14ac:dyDescent="0.3">
      <c r="J38364" s="33"/>
    </row>
    <row r="38365" spans="10:10" ht="15" customHeight="1" x14ac:dyDescent="0.3">
      <c r="J38365" s="33"/>
    </row>
    <row r="38366" spans="10:10" ht="15" customHeight="1" x14ac:dyDescent="0.3">
      <c r="J38366" s="33"/>
    </row>
    <row r="38367" spans="10:10" x14ac:dyDescent="0.3">
      <c r="J38367" s="33"/>
    </row>
    <row r="38368" spans="10:10" ht="15" customHeight="1" x14ac:dyDescent="0.3">
      <c r="J38368" s="33"/>
    </row>
    <row r="38369" spans="10:10" ht="15" customHeight="1" x14ac:dyDescent="0.3">
      <c r="J38369" s="33"/>
    </row>
    <row r="38370" spans="10:10" x14ac:dyDescent="0.3">
      <c r="J38370" s="33"/>
    </row>
    <row r="38371" spans="10:10" ht="15" customHeight="1" x14ac:dyDescent="0.3">
      <c r="J38371" s="33"/>
    </row>
    <row r="38372" spans="10:10" x14ac:dyDescent="0.3">
      <c r="J38372" s="33"/>
    </row>
    <row r="38373" spans="10:10" x14ac:dyDescent="0.3">
      <c r="J38373" s="33"/>
    </row>
    <row r="38374" spans="10:10" x14ac:dyDescent="0.3">
      <c r="J38374" s="33"/>
    </row>
    <row r="38375" spans="10:10" x14ac:dyDescent="0.3">
      <c r="J38375" s="33"/>
    </row>
    <row r="38376" spans="10:10" x14ac:dyDescent="0.3">
      <c r="J38376" s="33"/>
    </row>
    <row r="38377" spans="10:10" x14ac:dyDescent="0.3">
      <c r="J38377" s="33"/>
    </row>
    <row r="38378" spans="10:10" x14ac:dyDescent="0.3">
      <c r="J38378" s="33"/>
    </row>
    <row r="38379" spans="10:10" ht="15" customHeight="1" x14ac:dyDescent="0.3">
      <c r="J38379" s="33"/>
    </row>
    <row r="38380" spans="10:10" x14ac:dyDescent="0.3">
      <c r="J38380" s="33"/>
    </row>
    <row r="38381" spans="10:10" x14ac:dyDescent="0.3">
      <c r="J38381" s="33"/>
    </row>
    <row r="38382" spans="10:10" x14ac:dyDescent="0.3">
      <c r="J38382" s="33"/>
    </row>
    <row r="38383" spans="10:10" x14ac:dyDescent="0.3">
      <c r="J38383" s="33"/>
    </row>
    <row r="38384" spans="10:10" x14ac:dyDescent="0.3">
      <c r="J38384" s="33"/>
    </row>
    <row r="38385" spans="10:10" ht="15" customHeight="1" x14ac:dyDescent="0.3">
      <c r="J38385" s="33"/>
    </row>
    <row r="38386" spans="10:10" ht="15" customHeight="1" x14ac:dyDescent="0.3">
      <c r="J38386" s="33"/>
    </row>
    <row r="38387" spans="10:10" x14ac:dyDescent="0.3">
      <c r="J38387" s="33"/>
    </row>
    <row r="38388" spans="10:10" ht="15" customHeight="1" x14ac:dyDescent="0.3">
      <c r="J38388" s="33"/>
    </row>
    <row r="38389" spans="10:10" ht="15" customHeight="1" x14ac:dyDescent="0.3">
      <c r="J38389" s="33"/>
    </row>
    <row r="38390" spans="10:10" x14ac:dyDescent="0.3">
      <c r="J38390" s="33"/>
    </row>
    <row r="38391" spans="10:10" x14ac:dyDescent="0.3">
      <c r="J38391" s="33"/>
    </row>
    <row r="38392" spans="10:10" ht="15" customHeight="1" x14ac:dyDescent="0.3">
      <c r="J38392" s="33"/>
    </row>
    <row r="38393" spans="10:10" x14ac:dyDescent="0.3">
      <c r="J38393" s="33"/>
    </row>
    <row r="38394" spans="10:10" x14ac:dyDescent="0.3">
      <c r="J38394" s="33"/>
    </row>
    <row r="38395" spans="10:10" x14ac:dyDescent="0.3">
      <c r="J38395" s="33"/>
    </row>
    <row r="38396" spans="10:10" x14ac:dyDescent="0.3">
      <c r="J38396" s="33"/>
    </row>
    <row r="38397" spans="10:10" ht="15" customHeight="1" x14ac:dyDescent="0.3">
      <c r="J38397" s="33"/>
    </row>
    <row r="38398" spans="10:10" ht="15" customHeight="1" x14ac:dyDescent="0.3">
      <c r="J38398" s="33"/>
    </row>
    <row r="38399" spans="10:10" x14ac:dyDescent="0.3">
      <c r="J38399" s="33"/>
    </row>
    <row r="38400" spans="10:10" x14ac:dyDescent="0.3">
      <c r="J38400" s="33"/>
    </row>
    <row r="38401" spans="10:10" x14ac:dyDescent="0.3">
      <c r="J38401" s="33"/>
    </row>
    <row r="38402" spans="10:10" x14ac:dyDescent="0.3">
      <c r="J38402" s="33"/>
    </row>
    <row r="38403" spans="10:10" ht="15" customHeight="1" x14ac:dyDescent="0.3">
      <c r="J38403" s="33"/>
    </row>
    <row r="38404" spans="10:10" ht="15" customHeight="1" x14ac:dyDescent="0.3">
      <c r="J38404" s="33"/>
    </row>
    <row r="38405" spans="10:10" x14ac:dyDescent="0.3">
      <c r="J38405" s="33"/>
    </row>
    <row r="38406" spans="10:10" ht="15" customHeight="1" x14ac:dyDescent="0.3">
      <c r="J38406" s="33"/>
    </row>
    <row r="38407" spans="10:10" x14ac:dyDescent="0.3">
      <c r="J38407" s="33"/>
    </row>
    <row r="38408" spans="10:10" x14ac:dyDescent="0.3">
      <c r="J38408" s="33"/>
    </row>
    <row r="38409" spans="10:10" x14ac:dyDescent="0.3">
      <c r="J38409" s="33"/>
    </row>
    <row r="38410" spans="10:10" x14ac:dyDescent="0.3">
      <c r="J38410" s="33"/>
    </row>
    <row r="38411" spans="10:10" ht="15" customHeight="1" x14ac:dyDescent="0.3">
      <c r="J38411" s="33"/>
    </row>
    <row r="38412" spans="10:10" x14ac:dyDescent="0.3">
      <c r="J38412" s="33"/>
    </row>
    <row r="38413" spans="10:10" x14ac:dyDescent="0.3">
      <c r="J38413" s="33"/>
    </row>
    <row r="38414" spans="10:10" ht="15" customHeight="1" x14ac:dyDescent="0.3">
      <c r="J38414" s="33"/>
    </row>
    <row r="38415" spans="10:10" ht="15" customHeight="1" x14ac:dyDescent="0.3">
      <c r="J38415" s="33"/>
    </row>
    <row r="38416" spans="10:10" x14ac:dyDescent="0.3">
      <c r="J38416" s="33"/>
    </row>
    <row r="38417" spans="10:10" ht="15" customHeight="1" x14ac:dyDescent="0.3">
      <c r="J38417" s="33"/>
    </row>
    <row r="38418" spans="10:10" x14ac:dyDescent="0.3">
      <c r="J38418" s="33"/>
    </row>
    <row r="38419" spans="10:10" ht="15" customHeight="1" x14ac:dyDescent="0.3">
      <c r="J38419" s="33"/>
    </row>
    <row r="38420" spans="10:10" x14ac:dyDescent="0.3">
      <c r="J38420" s="33"/>
    </row>
    <row r="38421" spans="10:10" x14ac:dyDescent="0.3">
      <c r="J38421" s="33"/>
    </row>
    <row r="38422" spans="10:10" ht="15" customHeight="1" x14ac:dyDescent="0.3">
      <c r="J38422" s="33"/>
    </row>
    <row r="38423" spans="10:10" x14ac:dyDescent="0.3">
      <c r="J38423" s="33"/>
    </row>
    <row r="38424" spans="10:10" ht="15" customHeight="1" x14ac:dyDescent="0.3">
      <c r="J38424" s="33"/>
    </row>
    <row r="38425" spans="10:10" ht="15" customHeight="1" x14ac:dyDescent="0.3">
      <c r="J38425" s="33"/>
    </row>
    <row r="38426" spans="10:10" ht="15" customHeight="1" x14ac:dyDescent="0.3">
      <c r="J38426" s="33"/>
    </row>
    <row r="38427" spans="10:10" ht="15" customHeight="1" x14ac:dyDescent="0.3">
      <c r="J38427" s="33"/>
    </row>
    <row r="38428" spans="10:10" x14ac:dyDescent="0.3">
      <c r="J38428" s="33"/>
    </row>
    <row r="38429" spans="10:10" x14ac:dyDescent="0.3">
      <c r="J38429" s="33"/>
    </row>
    <row r="38430" spans="10:10" x14ac:dyDescent="0.3">
      <c r="J38430" s="33"/>
    </row>
    <row r="38431" spans="10:10" x14ac:dyDescent="0.3">
      <c r="J38431" s="33"/>
    </row>
    <row r="38432" spans="10:10" ht="15" customHeight="1" x14ac:dyDescent="0.3">
      <c r="J38432" s="33"/>
    </row>
    <row r="38433" spans="10:10" ht="15" customHeight="1" x14ac:dyDescent="0.3">
      <c r="J38433" s="33"/>
    </row>
    <row r="38434" spans="10:10" x14ac:dyDescent="0.3">
      <c r="J38434" s="33"/>
    </row>
    <row r="38435" spans="10:10" x14ac:dyDescent="0.3">
      <c r="J38435" s="33"/>
    </row>
    <row r="38436" spans="10:10" x14ac:dyDescent="0.3">
      <c r="J38436" s="33"/>
    </row>
    <row r="38437" spans="10:10" x14ac:dyDescent="0.3">
      <c r="J38437" s="33"/>
    </row>
    <row r="38438" spans="10:10" x14ac:dyDescent="0.3">
      <c r="J38438" s="33"/>
    </row>
    <row r="38439" spans="10:10" x14ac:dyDescent="0.3">
      <c r="J38439" s="33"/>
    </row>
    <row r="38440" spans="10:10" x14ac:dyDescent="0.3">
      <c r="J38440" s="33"/>
    </row>
    <row r="38441" spans="10:10" x14ac:dyDescent="0.3">
      <c r="J38441" s="33"/>
    </row>
    <row r="38442" spans="10:10" x14ac:dyDescent="0.3">
      <c r="J38442" s="33"/>
    </row>
    <row r="38443" spans="10:10" x14ac:dyDescent="0.3">
      <c r="J38443" s="33"/>
    </row>
    <row r="38444" spans="10:10" x14ac:dyDescent="0.3">
      <c r="J38444" s="33"/>
    </row>
    <row r="38445" spans="10:10" x14ac:dyDescent="0.3">
      <c r="J38445" s="33"/>
    </row>
    <row r="38446" spans="10:10" ht="15" customHeight="1" x14ac:dyDescent="0.3">
      <c r="J38446" s="33"/>
    </row>
    <row r="38447" spans="10:10" ht="15" customHeight="1" x14ac:dyDescent="0.3">
      <c r="J38447" s="33"/>
    </row>
    <row r="38448" spans="10:10" ht="15" customHeight="1" x14ac:dyDescent="0.3">
      <c r="J38448" s="33"/>
    </row>
    <row r="38449" spans="10:10" x14ac:dyDescent="0.3">
      <c r="J38449" s="33"/>
    </row>
    <row r="38450" spans="10:10" ht="15" customHeight="1" x14ac:dyDescent="0.3">
      <c r="J38450" s="33"/>
    </row>
    <row r="38451" spans="10:10" x14ac:dyDescent="0.3">
      <c r="J38451" s="33"/>
    </row>
    <row r="38452" spans="10:10" ht="15" customHeight="1" x14ac:dyDescent="0.3">
      <c r="J38452" s="33"/>
    </row>
    <row r="38453" spans="10:10" x14ac:dyDescent="0.3">
      <c r="J38453" s="33"/>
    </row>
    <row r="38454" spans="10:10" ht="15" customHeight="1" x14ac:dyDescent="0.3">
      <c r="J38454" s="33"/>
    </row>
    <row r="38455" spans="10:10" x14ac:dyDescent="0.3">
      <c r="J38455" s="33"/>
    </row>
    <row r="38456" spans="10:10" x14ac:dyDescent="0.3">
      <c r="J38456" s="33"/>
    </row>
    <row r="38457" spans="10:10" x14ac:dyDescent="0.3">
      <c r="J38457" s="33"/>
    </row>
    <row r="38458" spans="10:10" ht="15" customHeight="1" x14ac:dyDescent="0.3">
      <c r="J38458" s="33"/>
    </row>
    <row r="38459" spans="10:10" x14ac:dyDescent="0.3">
      <c r="J38459" s="33"/>
    </row>
    <row r="38460" spans="10:10" x14ac:dyDescent="0.3">
      <c r="J38460" s="33"/>
    </row>
    <row r="38461" spans="10:10" x14ac:dyDescent="0.3">
      <c r="J38461" s="33"/>
    </row>
    <row r="38462" spans="10:10" ht="15" customHeight="1" x14ac:dyDescent="0.3">
      <c r="J38462" s="33"/>
    </row>
    <row r="38463" spans="10:10" ht="15" customHeight="1" x14ac:dyDescent="0.3">
      <c r="J38463" s="33"/>
    </row>
    <row r="38464" spans="10:10" ht="15" customHeight="1" x14ac:dyDescent="0.3">
      <c r="J38464" s="33"/>
    </row>
    <row r="38465" spans="10:10" ht="15" customHeight="1" x14ac:dyDescent="0.3">
      <c r="J38465" s="33"/>
    </row>
    <row r="38466" spans="10:10" x14ac:dyDescent="0.3">
      <c r="J38466" s="33"/>
    </row>
    <row r="38467" spans="10:10" x14ac:dyDescent="0.3">
      <c r="J38467" s="33"/>
    </row>
    <row r="38468" spans="10:10" x14ac:dyDescent="0.3">
      <c r="J38468" s="33"/>
    </row>
    <row r="38469" spans="10:10" ht="15" customHeight="1" x14ac:dyDescent="0.3">
      <c r="J38469" s="33"/>
    </row>
    <row r="38470" spans="10:10" x14ac:dyDescent="0.3">
      <c r="J38470" s="33"/>
    </row>
    <row r="38471" spans="10:10" x14ac:dyDescent="0.3">
      <c r="J38471" s="33"/>
    </row>
    <row r="38472" spans="10:10" ht="15" customHeight="1" x14ac:dyDescent="0.3">
      <c r="J38472" s="33"/>
    </row>
    <row r="38473" spans="10:10" x14ac:dyDescent="0.3">
      <c r="J38473" s="33"/>
    </row>
    <row r="38474" spans="10:10" x14ac:dyDescent="0.3">
      <c r="J38474" s="33"/>
    </row>
    <row r="38475" spans="10:10" ht="15" customHeight="1" x14ac:dyDescent="0.3">
      <c r="J38475" s="33"/>
    </row>
    <row r="38476" spans="10:10" ht="15" customHeight="1" x14ac:dyDescent="0.3">
      <c r="J38476" s="33"/>
    </row>
    <row r="38477" spans="10:10" ht="15" customHeight="1" x14ac:dyDescent="0.3">
      <c r="J38477" s="33"/>
    </row>
    <row r="38478" spans="10:10" x14ac:dyDescent="0.3">
      <c r="J38478" s="33"/>
    </row>
    <row r="38479" spans="10:10" ht="15" customHeight="1" x14ac:dyDescent="0.3">
      <c r="J38479" s="33"/>
    </row>
    <row r="38480" spans="10:10" x14ac:dyDescent="0.3">
      <c r="J38480" s="33"/>
    </row>
    <row r="38481" spans="10:10" ht="15" customHeight="1" x14ac:dyDescent="0.3">
      <c r="J38481" s="33"/>
    </row>
    <row r="38482" spans="10:10" x14ac:dyDescent="0.3">
      <c r="J38482" s="33"/>
    </row>
    <row r="38483" spans="10:10" x14ac:dyDescent="0.3">
      <c r="J38483" s="33"/>
    </row>
    <row r="38484" spans="10:10" x14ac:dyDescent="0.3">
      <c r="J38484" s="33"/>
    </row>
    <row r="38485" spans="10:10" ht="15" customHeight="1" x14ac:dyDescent="0.3">
      <c r="J38485" s="33"/>
    </row>
    <row r="38486" spans="10:10" x14ac:dyDescent="0.3">
      <c r="J38486" s="33"/>
    </row>
    <row r="38487" spans="10:10" x14ac:dyDescent="0.3">
      <c r="J38487" s="33"/>
    </row>
    <row r="38488" spans="10:10" x14ac:dyDescent="0.3">
      <c r="J38488" s="33"/>
    </row>
    <row r="38489" spans="10:10" x14ac:dyDescent="0.3">
      <c r="J38489" s="33"/>
    </row>
    <row r="38490" spans="10:10" ht="15" customHeight="1" x14ac:dyDescent="0.3">
      <c r="J38490" s="33"/>
    </row>
    <row r="38491" spans="10:10" ht="15" customHeight="1" x14ac:dyDescent="0.3">
      <c r="J38491" s="33"/>
    </row>
    <row r="38492" spans="10:10" x14ac:dyDescent="0.3">
      <c r="J38492" s="33"/>
    </row>
    <row r="38493" spans="10:10" x14ac:dyDescent="0.3">
      <c r="J38493" s="33"/>
    </row>
    <row r="38494" spans="10:10" x14ac:dyDescent="0.3">
      <c r="J38494" s="33"/>
    </row>
    <row r="38495" spans="10:10" ht="15" customHeight="1" x14ac:dyDescent="0.3">
      <c r="J38495" s="33"/>
    </row>
    <row r="38496" spans="10:10" x14ac:dyDescent="0.3">
      <c r="J38496" s="33"/>
    </row>
    <row r="38497" spans="10:10" x14ac:dyDescent="0.3">
      <c r="J38497" s="33"/>
    </row>
    <row r="38498" spans="10:10" x14ac:dyDescent="0.3">
      <c r="J38498" s="33"/>
    </row>
    <row r="38499" spans="10:10" x14ac:dyDescent="0.3">
      <c r="J38499" s="33"/>
    </row>
    <row r="38500" spans="10:10" x14ac:dyDescent="0.3">
      <c r="J38500" s="33"/>
    </row>
    <row r="38501" spans="10:10" ht="15" customHeight="1" x14ac:dyDescent="0.3">
      <c r="J38501" s="33"/>
    </row>
    <row r="38502" spans="10:10" x14ac:dyDescent="0.3">
      <c r="J38502" s="33"/>
    </row>
    <row r="38503" spans="10:10" ht="15" customHeight="1" x14ac:dyDescent="0.3">
      <c r="J38503" s="33"/>
    </row>
    <row r="38504" spans="10:10" x14ac:dyDescent="0.3">
      <c r="J38504" s="33"/>
    </row>
    <row r="38505" spans="10:10" x14ac:dyDescent="0.3">
      <c r="J38505" s="33"/>
    </row>
    <row r="38506" spans="10:10" ht="15" customHeight="1" x14ac:dyDescent="0.3">
      <c r="J38506" s="33"/>
    </row>
    <row r="38507" spans="10:10" x14ac:dyDescent="0.3">
      <c r="J38507" s="33"/>
    </row>
    <row r="38508" spans="10:10" ht="15" customHeight="1" x14ac:dyDescent="0.3">
      <c r="J38508" s="33"/>
    </row>
    <row r="38509" spans="10:10" ht="15" customHeight="1" x14ac:dyDescent="0.3">
      <c r="J38509" s="33"/>
    </row>
    <row r="38510" spans="10:10" ht="15" customHeight="1" x14ac:dyDescent="0.3">
      <c r="J38510" s="33"/>
    </row>
    <row r="38511" spans="10:10" x14ac:dyDescent="0.3">
      <c r="J38511" s="33"/>
    </row>
    <row r="38512" spans="10:10" ht="15" customHeight="1" x14ac:dyDescent="0.3">
      <c r="J38512" s="33"/>
    </row>
    <row r="38513" spans="10:10" x14ac:dyDescent="0.3">
      <c r="J38513" s="33"/>
    </row>
    <row r="38514" spans="10:10" x14ac:dyDescent="0.3">
      <c r="J38514" s="33"/>
    </row>
    <row r="38515" spans="10:10" x14ac:dyDescent="0.3">
      <c r="J38515" s="33"/>
    </row>
    <row r="38516" spans="10:10" x14ac:dyDescent="0.3">
      <c r="J38516" s="33"/>
    </row>
    <row r="38517" spans="10:10" ht="15" customHeight="1" x14ac:dyDescent="0.3">
      <c r="J38517" s="33"/>
    </row>
    <row r="38518" spans="10:10" x14ac:dyDescent="0.3">
      <c r="J38518" s="33"/>
    </row>
    <row r="38519" spans="10:10" ht="15" customHeight="1" x14ac:dyDescent="0.3">
      <c r="J38519" s="33"/>
    </row>
    <row r="38520" spans="10:10" x14ac:dyDescent="0.3">
      <c r="J38520" s="33"/>
    </row>
    <row r="38521" spans="10:10" x14ac:dyDescent="0.3">
      <c r="J38521" s="33"/>
    </row>
    <row r="38522" spans="10:10" ht="15" customHeight="1" x14ac:dyDescent="0.3">
      <c r="J38522" s="33"/>
    </row>
    <row r="38523" spans="10:10" ht="15" customHeight="1" x14ac:dyDescent="0.3">
      <c r="J38523" s="33"/>
    </row>
    <row r="38524" spans="10:10" x14ac:dyDescent="0.3">
      <c r="J38524" s="33"/>
    </row>
    <row r="38525" spans="10:10" x14ac:dyDescent="0.3">
      <c r="J38525" s="33"/>
    </row>
    <row r="38526" spans="10:10" x14ac:dyDescent="0.3">
      <c r="J38526" s="33"/>
    </row>
    <row r="38527" spans="10:10" ht="15" customHeight="1" x14ac:dyDescent="0.3">
      <c r="J38527" s="33"/>
    </row>
    <row r="38528" spans="10:10" x14ac:dyDescent="0.3">
      <c r="J38528" s="33"/>
    </row>
    <row r="38529" spans="10:10" x14ac:dyDescent="0.3">
      <c r="J38529" s="33"/>
    </row>
    <row r="38530" spans="10:10" x14ac:dyDescent="0.3">
      <c r="J38530" s="33"/>
    </row>
    <row r="38531" spans="10:10" ht="15" customHeight="1" x14ac:dyDescent="0.3">
      <c r="J38531" s="33"/>
    </row>
    <row r="38532" spans="10:10" ht="15" customHeight="1" x14ac:dyDescent="0.3">
      <c r="J38532" s="33"/>
    </row>
    <row r="38533" spans="10:10" x14ac:dyDescent="0.3">
      <c r="J38533" s="33"/>
    </row>
    <row r="38534" spans="10:10" x14ac:dyDescent="0.3">
      <c r="J38534" s="33"/>
    </row>
    <row r="38535" spans="10:10" ht="15" customHeight="1" x14ac:dyDescent="0.3">
      <c r="J38535" s="33"/>
    </row>
    <row r="38536" spans="10:10" x14ac:dyDescent="0.3">
      <c r="J38536" s="33"/>
    </row>
    <row r="38537" spans="10:10" x14ac:dyDescent="0.3">
      <c r="J38537" s="33"/>
    </row>
    <row r="38538" spans="10:10" x14ac:dyDescent="0.3">
      <c r="J38538" s="33"/>
    </row>
    <row r="38539" spans="10:10" x14ac:dyDescent="0.3">
      <c r="J38539" s="33"/>
    </row>
    <row r="38540" spans="10:10" x14ac:dyDescent="0.3">
      <c r="J38540" s="33"/>
    </row>
    <row r="38541" spans="10:10" ht="15" customHeight="1" x14ac:dyDescent="0.3">
      <c r="J38541" s="33"/>
    </row>
    <row r="38542" spans="10:10" ht="15" customHeight="1" x14ac:dyDescent="0.3">
      <c r="J38542" s="33"/>
    </row>
    <row r="38543" spans="10:10" x14ac:dyDescent="0.3">
      <c r="J38543" s="33"/>
    </row>
    <row r="38544" spans="10:10" x14ac:dyDescent="0.3">
      <c r="J38544" s="33"/>
    </row>
    <row r="38545" spans="10:10" x14ac:dyDescent="0.3">
      <c r="J38545" s="33"/>
    </row>
    <row r="38546" spans="10:10" x14ac:dyDescent="0.3">
      <c r="J38546" s="33"/>
    </row>
    <row r="38547" spans="10:10" ht="15" customHeight="1" x14ac:dyDescent="0.3">
      <c r="J38547" s="33"/>
    </row>
    <row r="38548" spans="10:10" x14ac:dyDescent="0.3">
      <c r="J38548" s="33"/>
    </row>
    <row r="38549" spans="10:10" x14ac:dyDescent="0.3">
      <c r="J38549" s="33"/>
    </row>
    <row r="38550" spans="10:10" ht="15" customHeight="1" x14ac:dyDescent="0.3">
      <c r="J38550" s="33"/>
    </row>
    <row r="38551" spans="10:10" x14ac:dyDescent="0.3">
      <c r="J38551" s="33"/>
    </row>
    <row r="38552" spans="10:10" ht="15" customHeight="1" x14ac:dyDescent="0.3">
      <c r="J38552" s="33"/>
    </row>
    <row r="38553" spans="10:10" ht="15" customHeight="1" x14ac:dyDescent="0.3">
      <c r="J38553" s="33"/>
    </row>
    <row r="38554" spans="10:10" ht="15" customHeight="1" x14ac:dyDescent="0.3">
      <c r="J38554" s="33"/>
    </row>
    <row r="38555" spans="10:10" ht="15" customHeight="1" x14ac:dyDescent="0.3">
      <c r="J38555" s="33"/>
    </row>
    <row r="38556" spans="10:10" x14ac:dyDescent="0.3">
      <c r="J38556" s="33"/>
    </row>
    <row r="38557" spans="10:10" x14ac:dyDescent="0.3">
      <c r="J38557" s="33"/>
    </row>
    <row r="38558" spans="10:10" x14ac:dyDescent="0.3">
      <c r="J38558" s="33"/>
    </row>
    <row r="38559" spans="10:10" x14ac:dyDescent="0.3">
      <c r="J38559" s="33"/>
    </row>
    <row r="38560" spans="10:10" x14ac:dyDescent="0.3">
      <c r="J38560" s="33"/>
    </row>
    <row r="38561" spans="10:10" ht="15" customHeight="1" x14ac:dyDescent="0.3">
      <c r="J38561" s="33"/>
    </row>
    <row r="38562" spans="10:10" ht="15" customHeight="1" x14ac:dyDescent="0.3">
      <c r="J38562" s="33"/>
    </row>
    <row r="38563" spans="10:10" ht="15" customHeight="1" x14ac:dyDescent="0.3">
      <c r="J38563" s="33"/>
    </row>
    <row r="38564" spans="10:10" ht="15" customHeight="1" x14ac:dyDescent="0.3">
      <c r="J38564" s="33"/>
    </row>
    <row r="38565" spans="10:10" ht="15" customHeight="1" x14ac:dyDescent="0.3">
      <c r="J38565" s="33"/>
    </row>
    <row r="38566" spans="10:10" ht="15" customHeight="1" x14ac:dyDescent="0.3">
      <c r="J38566" s="33"/>
    </row>
    <row r="38567" spans="10:10" ht="15" customHeight="1" x14ac:dyDescent="0.3">
      <c r="J38567" s="33"/>
    </row>
    <row r="38568" spans="10:10" x14ac:dyDescent="0.3">
      <c r="J38568" s="33"/>
    </row>
    <row r="38569" spans="10:10" ht="15" customHeight="1" x14ac:dyDescent="0.3">
      <c r="J38569" s="33"/>
    </row>
    <row r="38570" spans="10:10" ht="15" customHeight="1" x14ac:dyDescent="0.3">
      <c r="J38570" s="33"/>
    </row>
    <row r="38571" spans="10:10" ht="15" customHeight="1" x14ac:dyDescent="0.3">
      <c r="J38571" s="33"/>
    </row>
    <row r="38572" spans="10:10" x14ac:dyDescent="0.3">
      <c r="J38572" s="33"/>
    </row>
    <row r="38573" spans="10:10" ht="15" customHeight="1" x14ac:dyDescent="0.3">
      <c r="J38573" s="33"/>
    </row>
    <row r="38574" spans="10:10" ht="15" customHeight="1" x14ac:dyDescent="0.3">
      <c r="J38574" s="33"/>
    </row>
    <row r="38575" spans="10:10" x14ac:dyDescent="0.3">
      <c r="J38575" s="33"/>
    </row>
    <row r="38576" spans="10:10" x14ac:dyDescent="0.3">
      <c r="J38576" s="33"/>
    </row>
    <row r="38577" spans="10:10" ht="15" customHeight="1" x14ac:dyDescent="0.3">
      <c r="J38577" s="33"/>
    </row>
    <row r="38578" spans="10:10" x14ac:dyDescent="0.3">
      <c r="J38578" s="33"/>
    </row>
    <row r="38579" spans="10:10" ht="15" customHeight="1" x14ac:dyDescent="0.3">
      <c r="J38579" s="33"/>
    </row>
    <row r="38580" spans="10:10" ht="15" customHeight="1" x14ac:dyDescent="0.3">
      <c r="J38580" s="33"/>
    </row>
    <row r="38581" spans="10:10" x14ac:dyDescent="0.3">
      <c r="J38581" s="33"/>
    </row>
    <row r="38582" spans="10:10" x14ac:dyDescent="0.3">
      <c r="J38582" s="33"/>
    </row>
    <row r="38583" spans="10:10" x14ac:dyDescent="0.3">
      <c r="J38583" s="33"/>
    </row>
    <row r="38584" spans="10:10" x14ac:dyDescent="0.3">
      <c r="J38584" s="33"/>
    </row>
    <row r="38585" spans="10:10" x14ac:dyDescent="0.3">
      <c r="J38585" s="33"/>
    </row>
    <row r="38586" spans="10:10" x14ac:dyDescent="0.3">
      <c r="J38586" s="33"/>
    </row>
    <row r="38587" spans="10:10" x14ac:dyDescent="0.3">
      <c r="J38587" s="33"/>
    </row>
    <row r="38588" spans="10:10" ht="15" customHeight="1" x14ac:dyDescent="0.3">
      <c r="J38588" s="33"/>
    </row>
    <row r="38589" spans="10:10" x14ac:dyDescent="0.3">
      <c r="J38589" s="33"/>
    </row>
    <row r="38590" spans="10:10" ht="15" customHeight="1" x14ac:dyDescent="0.3">
      <c r="J38590" s="33"/>
    </row>
    <row r="38591" spans="10:10" x14ac:dyDescent="0.3">
      <c r="J38591" s="33"/>
    </row>
    <row r="38592" spans="10:10" x14ac:dyDescent="0.3">
      <c r="J38592" s="33"/>
    </row>
    <row r="38593" spans="10:10" ht="15" customHeight="1" x14ac:dyDescent="0.3">
      <c r="J38593" s="33"/>
    </row>
    <row r="38594" spans="10:10" x14ac:dyDescent="0.3">
      <c r="J38594" s="33"/>
    </row>
    <row r="38595" spans="10:10" ht="15" customHeight="1" x14ac:dyDescent="0.3">
      <c r="J38595" s="33"/>
    </row>
    <row r="38596" spans="10:10" x14ac:dyDescent="0.3">
      <c r="J38596" s="33"/>
    </row>
    <row r="38597" spans="10:10" x14ac:dyDescent="0.3">
      <c r="J38597" s="33"/>
    </row>
    <row r="38598" spans="10:10" x14ac:dyDescent="0.3">
      <c r="J38598" s="33"/>
    </row>
    <row r="38599" spans="10:10" ht="15" customHeight="1" x14ac:dyDescent="0.3">
      <c r="J38599" s="33"/>
    </row>
    <row r="38600" spans="10:10" x14ac:dyDescent="0.3">
      <c r="J38600" s="33"/>
    </row>
    <row r="38601" spans="10:10" x14ac:dyDescent="0.3">
      <c r="J38601" s="33"/>
    </row>
    <row r="38602" spans="10:10" x14ac:dyDescent="0.3">
      <c r="J38602" s="33"/>
    </row>
    <row r="38603" spans="10:10" x14ac:dyDescent="0.3">
      <c r="J38603" s="33"/>
    </row>
    <row r="38604" spans="10:10" x14ac:dyDescent="0.3">
      <c r="J38604" s="33"/>
    </row>
    <row r="38605" spans="10:10" x14ac:dyDescent="0.3">
      <c r="J38605" s="33"/>
    </row>
    <row r="38606" spans="10:10" x14ac:dyDescent="0.3">
      <c r="J38606" s="33"/>
    </row>
    <row r="38607" spans="10:10" x14ac:dyDescent="0.3">
      <c r="J38607" s="33"/>
    </row>
    <row r="38608" spans="10:10" x14ac:dyDescent="0.3">
      <c r="J38608" s="33"/>
    </row>
    <row r="38609" spans="10:10" ht="15" customHeight="1" x14ac:dyDescent="0.3">
      <c r="J38609" s="33"/>
    </row>
    <row r="38610" spans="10:10" ht="15" customHeight="1" x14ac:dyDescent="0.3">
      <c r="J38610" s="33"/>
    </row>
    <row r="38611" spans="10:10" x14ac:dyDescent="0.3">
      <c r="J38611" s="33"/>
    </row>
    <row r="38612" spans="10:10" x14ac:dyDescent="0.3">
      <c r="J38612" s="33"/>
    </row>
    <row r="38613" spans="10:10" ht="15" customHeight="1" x14ac:dyDescent="0.3">
      <c r="J38613" s="33"/>
    </row>
    <row r="38614" spans="10:10" ht="15" customHeight="1" x14ac:dyDescent="0.3">
      <c r="J38614" s="33"/>
    </row>
    <row r="38615" spans="10:10" x14ac:dyDescent="0.3">
      <c r="J38615" s="33"/>
    </row>
    <row r="38616" spans="10:10" x14ac:dyDescent="0.3">
      <c r="J38616" s="33"/>
    </row>
    <row r="38617" spans="10:10" ht="15" customHeight="1" x14ac:dyDescent="0.3">
      <c r="J38617" s="33"/>
    </row>
    <row r="38618" spans="10:10" x14ac:dyDescent="0.3">
      <c r="J38618" s="33"/>
    </row>
    <row r="38619" spans="10:10" x14ac:dyDescent="0.3">
      <c r="J38619" s="33"/>
    </row>
    <row r="38620" spans="10:10" ht="15" customHeight="1" x14ac:dyDescent="0.3">
      <c r="J38620" s="33"/>
    </row>
    <row r="38621" spans="10:10" ht="15" customHeight="1" x14ac:dyDescent="0.3">
      <c r="J38621" s="33"/>
    </row>
    <row r="38622" spans="10:10" ht="15" customHeight="1" x14ac:dyDescent="0.3">
      <c r="J38622" s="33"/>
    </row>
    <row r="38623" spans="10:10" ht="15" customHeight="1" x14ac:dyDescent="0.3">
      <c r="J38623" s="33"/>
    </row>
    <row r="38624" spans="10:10" x14ac:dyDescent="0.3">
      <c r="J38624" s="33"/>
    </row>
    <row r="38625" spans="10:10" x14ac:dyDescent="0.3">
      <c r="J38625" s="33"/>
    </row>
    <row r="38626" spans="10:10" ht="15" customHeight="1" x14ac:dyDescent="0.3">
      <c r="J38626" s="33"/>
    </row>
    <row r="38627" spans="10:10" x14ac:dyDescent="0.3">
      <c r="J38627" s="33"/>
    </row>
    <row r="38628" spans="10:10" ht="15" customHeight="1" x14ac:dyDescent="0.3">
      <c r="J38628" s="33"/>
    </row>
    <row r="38629" spans="10:10" ht="15" customHeight="1" x14ac:dyDescent="0.3">
      <c r="J38629" s="33"/>
    </row>
    <row r="38630" spans="10:10" ht="15" customHeight="1" x14ac:dyDescent="0.3">
      <c r="J38630" s="33"/>
    </row>
    <row r="38631" spans="10:10" x14ac:dyDescent="0.3">
      <c r="J38631" s="33"/>
    </row>
    <row r="38632" spans="10:10" x14ac:dyDescent="0.3">
      <c r="J38632" s="33"/>
    </row>
    <row r="38633" spans="10:10" x14ac:dyDescent="0.3">
      <c r="J38633" s="33"/>
    </row>
    <row r="38634" spans="10:10" ht="15" customHeight="1" x14ac:dyDescent="0.3">
      <c r="J38634" s="33"/>
    </row>
    <row r="38635" spans="10:10" x14ac:dyDescent="0.3">
      <c r="J38635" s="33"/>
    </row>
    <row r="38636" spans="10:10" x14ac:dyDescent="0.3">
      <c r="J38636" s="33"/>
    </row>
    <row r="38637" spans="10:10" x14ac:dyDescent="0.3">
      <c r="J38637" s="33"/>
    </row>
    <row r="38638" spans="10:10" x14ac:dyDescent="0.3">
      <c r="J38638" s="33"/>
    </row>
    <row r="38639" spans="10:10" ht="15" customHeight="1" x14ac:dyDescent="0.3">
      <c r="J38639" s="33"/>
    </row>
    <row r="38640" spans="10:10" ht="15" customHeight="1" x14ac:dyDescent="0.3">
      <c r="J38640" s="33"/>
    </row>
    <row r="38641" spans="10:10" x14ac:dyDescent="0.3">
      <c r="J38641" s="33"/>
    </row>
    <row r="38642" spans="10:10" x14ac:dyDescent="0.3">
      <c r="J38642" s="33"/>
    </row>
    <row r="38643" spans="10:10" x14ac:dyDescent="0.3">
      <c r="J38643" s="33"/>
    </row>
    <row r="38644" spans="10:10" ht="15" customHeight="1" x14ac:dyDescent="0.3">
      <c r="J38644" s="33"/>
    </row>
    <row r="38645" spans="10:10" x14ac:dyDescent="0.3">
      <c r="J38645" s="33"/>
    </row>
    <row r="38646" spans="10:10" ht="15" customHeight="1" x14ac:dyDescent="0.3">
      <c r="J38646" s="33"/>
    </row>
    <row r="38647" spans="10:10" x14ac:dyDescent="0.3">
      <c r="J38647" s="33"/>
    </row>
    <row r="38648" spans="10:10" ht="15" customHeight="1" x14ac:dyDescent="0.3">
      <c r="J38648" s="33"/>
    </row>
    <row r="38649" spans="10:10" ht="15" customHeight="1" x14ac:dyDescent="0.3">
      <c r="J38649" s="33"/>
    </row>
    <row r="38650" spans="10:10" x14ac:dyDescent="0.3">
      <c r="J38650" s="33"/>
    </row>
    <row r="38651" spans="10:10" x14ac:dyDescent="0.3">
      <c r="J38651" s="33"/>
    </row>
    <row r="38652" spans="10:10" x14ac:dyDescent="0.3">
      <c r="J38652" s="33"/>
    </row>
    <row r="38653" spans="10:10" x14ac:dyDescent="0.3">
      <c r="J38653" s="33"/>
    </row>
    <row r="38654" spans="10:10" x14ac:dyDescent="0.3">
      <c r="J38654" s="33"/>
    </row>
    <row r="38655" spans="10:10" x14ac:dyDescent="0.3">
      <c r="J38655" s="33"/>
    </row>
    <row r="38656" spans="10:10" x14ac:dyDescent="0.3">
      <c r="J38656" s="33"/>
    </row>
    <row r="38657" spans="10:10" x14ac:dyDescent="0.3">
      <c r="J38657" s="33"/>
    </row>
    <row r="38658" spans="10:10" ht="15" customHeight="1" x14ac:dyDescent="0.3">
      <c r="J38658" s="33"/>
    </row>
    <row r="38659" spans="10:10" x14ac:dyDescent="0.3">
      <c r="J38659" s="33"/>
    </row>
    <row r="38660" spans="10:10" x14ac:dyDescent="0.3">
      <c r="J38660" s="33"/>
    </row>
    <row r="38661" spans="10:10" ht="15" customHeight="1" x14ac:dyDescent="0.3">
      <c r="J38661" s="33"/>
    </row>
    <row r="38662" spans="10:10" x14ac:dyDescent="0.3">
      <c r="J38662" s="33"/>
    </row>
    <row r="38663" spans="10:10" x14ac:dyDescent="0.3">
      <c r="J38663" s="33"/>
    </row>
    <row r="38664" spans="10:10" x14ac:dyDescent="0.3">
      <c r="J38664" s="33"/>
    </row>
    <row r="38665" spans="10:10" x14ac:dyDescent="0.3">
      <c r="J38665" s="33"/>
    </row>
    <row r="38666" spans="10:10" x14ac:dyDescent="0.3">
      <c r="J38666" s="33"/>
    </row>
    <row r="38667" spans="10:10" x14ac:dyDescent="0.3">
      <c r="J38667" s="33"/>
    </row>
    <row r="38668" spans="10:10" x14ac:dyDescent="0.3">
      <c r="J38668" s="33"/>
    </row>
    <row r="38669" spans="10:10" x14ac:dyDescent="0.3">
      <c r="J38669" s="33"/>
    </row>
    <row r="38670" spans="10:10" x14ac:dyDescent="0.3">
      <c r="J38670" s="33"/>
    </row>
    <row r="38671" spans="10:10" ht="15" customHeight="1" x14ac:dyDescent="0.3">
      <c r="J38671" s="33"/>
    </row>
    <row r="38672" spans="10:10" x14ac:dyDescent="0.3">
      <c r="J38672" s="33"/>
    </row>
    <row r="38673" spans="10:10" x14ac:dyDescent="0.3">
      <c r="J38673" s="33"/>
    </row>
    <row r="38674" spans="10:10" ht="15" customHeight="1" x14ac:dyDescent="0.3">
      <c r="J38674" s="33"/>
    </row>
    <row r="38675" spans="10:10" x14ac:dyDescent="0.3">
      <c r="J38675" s="33"/>
    </row>
    <row r="38676" spans="10:10" ht="15" customHeight="1" x14ac:dyDescent="0.3">
      <c r="J38676" s="33"/>
    </row>
    <row r="38677" spans="10:10" x14ac:dyDescent="0.3">
      <c r="J38677" s="33"/>
    </row>
    <row r="38678" spans="10:10" ht="15" customHeight="1" x14ac:dyDescent="0.3">
      <c r="J38678" s="33"/>
    </row>
    <row r="38679" spans="10:10" x14ac:dyDescent="0.3">
      <c r="J38679" s="33"/>
    </row>
    <row r="38680" spans="10:10" ht="15" customHeight="1" x14ac:dyDescent="0.3">
      <c r="J38680" s="33"/>
    </row>
    <row r="38681" spans="10:10" ht="15" customHeight="1" x14ac:dyDescent="0.3">
      <c r="J38681" s="33"/>
    </row>
    <row r="38682" spans="10:10" x14ac:dyDescent="0.3">
      <c r="J38682" s="33"/>
    </row>
    <row r="38683" spans="10:10" x14ac:dyDescent="0.3">
      <c r="J38683" s="33"/>
    </row>
    <row r="38684" spans="10:10" x14ac:dyDescent="0.3">
      <c r="J38684" s="33"/>
    </row>
    <row r="38685" spans="10:10" x14ac:dyDescent="0.3">
      <c r="J38685" s="33"/>
    </row>
    <row r="38686" spans="10:10" x14ac:dyDescent="0.3">
      <c r="J38686" s="33"/>
    </row>
    <row r="38687" spans="10:10" ht="15" customHeight="1" x14ac:dyDescent="0.3">
      <c r="J38687" s="33"/>
    </row>
    <row r="38688" spans="10:10" ht="15" customHeight="1" x14ac:dyDescent="0.3">
      <c r="J38688" s="33"/>
    </row>
    <row r="38689" spans="10:10" x14ac:dyDescent="0.3">
      <c r="J38689" s="33"/>
    </row>
    <row r="38690" spans="10:10" x14ac:dyDescent="0.3">
      <c r="J38690" s="33"/>
    </row>
    <row r="38691" spans="10:10" x14ac:dyDescent="0.3">
      <c r="J38691" s="33"/>
    </row>
    <row r="38692" spans="10:10" x14ac:dyDescent="0.3">
      <c r="J38692" s="33"/>
    </row>
    <row r="38693" spans="10:10" ht="15" customHeight="1" x14ac:dyDescent="0.3">
      <c r="J38693" s="33"/>
    </row>
    <row r="38694" spans="10:10" x14ac:dyDescent="0.3">
      <c r="J38694" s="33"/>
    </row>
    <row r="38695" spans="10:10" ht="15" customHeight="1" x14ac:dyDescent="0.3">
      <c r="J38695" s="33"/>
    </row>
    <row r="38696" spans="10:10" x14ac:dyDescent="0.3">
      <c r="J38696" s="33"/>
    </row>
    <row r="38697" spans="10:10" x14ac:dyDescent="0.3">
      <c r="J38697" s="33"/>
    </row>
    <row r="38698" spans="10:10" ht="15" customHeight="1" x14ac:dyDescent="0.3">
      <c r="J38698" s="33"/>
    </row>
    <row r="38699" spans="10:10" x14ac:dyDescent="0.3">
      <c r="J38699" s="33"/>
    </row>
    <row r="38700" spans="10:10" ht="15" customHeight="1" x14ac:dyDescent="0.3">
      <c r="J38700" s="33"/>
    </row>
    <row r="38701" spans="10:10" ht="15" customHeight="1" x14ac:dyDescent="0.3">
      <c r="J38701" s="33"/>
    </row>
    <row r="38702" spans="10:10" x14ac:dyDescent="0.3">
      <c r="J38702" s="33"/>
    </row>
    <row r="38703" spans="10:10" x14ac:dyDescent="0.3">
      <c r="J38703" s="33"/>
    </row>
    <row r="38704" spans="10:10" x14ac:dyDescent="0.3">
      <c r="J38704" s="33"/>
    </row>
    <row r="38705" spans="10:10" ht="15" customHeight="1" x14ac:dyDescent="0.3">
      <c r="J38705" s="33"/>
    </row>
    <row r="38706" spans="10:10" ht="15" customHeight="1" x14ac:dyDescent="0.3">
      <c r="J38706" s="33"/>
    </row>
    <row r="38707" spans="10:10" x14ac:dyDescent="0.3">
      <c r="J38707" s="33"/>
    </row>
    <row r="38708" spans="10:10" x14ac:dyDescent="0.3">
      <c r="J38708" s="33"/>
    </row>
    <row r="38709" spans="10:10" x14ac:dyDescent="0.3">
      <c r="J38709" s="33"/>
    </row>
    <row r="38710" spans="10:10" x14ac:dyDescent="0.3">
      <c r="J38710" s="33"/>
    </row>
    <row r="38711" spans="10:10" ht="15" customHeight="1" x14ac:dyDescent="0.3">
      <c r="J38711" s="33"/>
    </row>
    <row r="38712" spans="10:10" x14ac:dyDescent="0.3">
      <c r="J38712" s="33"/>
    </row>
    <row r="38713" spans="10:10" x14ac:dyDescent="0.3">
      <c r="J38713" s="33"/>
    </row>
    <row r="38714" spans="10:10" x14ac:dyDescent="0.3">
      <c r="J38714" s="33"/>
    </row>
    <row r="38715" spans="10:10" ht="15" customHeight="1" x14ac:dyDescent="0.3">
      <c r="J38715" s="33"/>
    </row>
    <row r="38716" spans="10:10" x14ac:dyDescent="0.3">
      <c r="J38716" s="33"/>
    </row>
    <row r="38717" spans="10:10" x14ac:dyDescent="0.3">
      <c r="J38717" s="33"/>
    </row>
    <row r="38718" spans="10:10" x14ac:dyDescent="0.3">
      <c r="J38718" s="33"/>
    </row>
    <row r="38719" spans="10:10" x14ac:dyDescent="0.3">
      <c r="J38719" s="33"/>
    </row>
    <row r="38720" spans="10:10" x14ac:dyDescent="0.3">
      <c r="J38720" s="33"/>
    </row>
    <row r="38721" spans="10:10" x14ac:dyDescent="0.3">
      <c r="J38721" s="33"/>
    </row>
    <row r="38722" spans="10:10" x14ac:dyDescent="0.3">
      <c r="J38722" s="33"/>
    </row>
    <row r="38723" spans="10:10" ht="15" customHeight="1" x14ac:dyDescent="0.3">
      <c r="J38723" s="33"/>
    </row>
    <row r="38724" spans="10:10" ht="15" customHeight="1" x14ac:dyDescent="0.3">
      <c r="J38724" s="33"/>
    </row>
    <row r="38725" spans="10:10" ht="15" customHeight="1" x14ac:dyDescent="0.3">
      <c r="J38725" s="33"/>
    </row>
    <row r="38726" spans="10:10" x14ac:dyDescent="0.3">
      <c r="J38726" s="33"/>
    </row>
    <row r="38727" spans="10:10" x14ac:dyDescent="0.3">
      <c r="J38727" s="33"/>
    </row>
    <row r="38728" spans="10:10" ht="15" customHeight="1" x14ac:dyDescent="0.3">
      <c r="J38728" s="33"/>
    </row>
    <row r="38729" spans="10:10" ht="15" customHeight="1" x14ac:dyDescent="0.3">
      <c r="J38729" s="33"/>
    </row>
    <row r="38730" spans="10:10" ht="15" customHeight="1" x14ac:dyDescent="0.3">
      <c r="J38730" s="33"/>
    </row>
    <row r="38731" spans="10:10" x14ac:dyDescent="0.3">
      <c r="J38731" s="33"/>
    </row>
    <row r="38732" spans="10:10" ht="15" customHeight="1" x14ac:dyDescent="0.3">
      <c r="J38732" s="33"/>
    </row>
    <row r="38733" spans="10:10" x14ac:dyDescent="0.3">
      <c r="J38733" s="33"/>
    </row>
    <row r="38734" spans="10:10" x14ac:dyDescent="0.3">
      <c r="J38734" s="33"/>
    </row>
    <row r="38735" spans="10:10" x14ac:dyDescent="0.3">
      <c r="J38735" s="33"/>
    </row>
    <row r="38736" spans="10:10" ht="15" customHeight="1" x14ac:dyDescent="0.3">
      <c r="J38736" s="33"/>
    </row>
    <row r="38737" spans="10:10" ht="15" customHeight="1" x14ac:dyDescent="0.3">
      <c r="J38737" s="33"/>
    </row>
    <row r="38738" spans="10:10" ht="15" customHeight="1" x14ac:dyDescent="0.3">
      <c r="J38738" s="33"/>
    </row>
    <row r="38739" spans="10:10" ht="15" customHeight="1" x14ac:dyDescent="0.3">
      <c r="J38739" s="33"/>
    </row>
    <row r="38740" spans="10:10" x14ac:dyDescent="0.3">
      <c r="J38740" s="33"/>
    </row>
    <row r="38741" spans="10:10" ht="15" customHeight="1" x14ac:dyDescent="0.3">
      <c r="J38741" s="33"/>
    </row>
    <row r="38742" spans="10:10" x14ac:dyDescent="0.3">
      <c r="J38742" s="33"/>
    </row>
    <row r="38743" spans="10:10" ht="15" customHeight="1" x14ac:dyDescent="0.3">
      <c r="J38743" s="33"/>
    </row>
    <row r="38744" spans="10:10" x14ac:dyDescent="0.3">
      <c r="J38744" s="33"/>
    </row>
    <row r="38745" spans="10:10" x14ac:dyDescent="0.3">
      <c r="J38745" s="33"/>
    </row>
    <row r="38746" spans="10:10" ht="15" customHeight="1" x14ac:dyDescent="0.3">
      <c r="J38746" s="33"/>
    </row>
    <row r="38747" spans="10:10" x14ac:dyDescent="0.3">
      <c r="J38747" s="33"/>
    </row>
    <row r="38748" spans="10:10" ht="15" customHeight="1" x14ac:dyDescent="0.3">
      <c r="J38748" s="33"/>
    </row>
    <row r="38749" spans="10:10" ht="15" customHeight="1" x14ac:dyDescent="0.3">
      <c r="J38749" s="33"/>
    </row>
    <row r="38750" spans="10:10" ht="15" customHeight="1" x14ac:dyDescent="0.3">
      <c r="J38750" s="33"/>
    </row>
    <row r="38751" spans="10:10" ht="15" customHeight="1" x14ac:dyDescent="0.3">
      <c r="J38751" s="33"/>
    </row>
    <row r="38752" spans="10:10" x14ac:dyDescent="0.3">
      <c r="J38752" s="33"/>
    </row>
    <row r="38753" spans="10:10" ht="15" customHeight="1" x14ac:dyDescent="0.3">
      <c r="J38753" s="33"/>
    </row>
    <row r="38754" spans="10:10" x14ac:dyDescent="0.3">
      <c r="J38754" s="33"/>
    </row>
    <row r="38755" spans="10:10" ht="15" customHeight="1" x14ac:dyDescent="0.3">
      <c r="J38755" s="33"/>
    </row>
    <row r="38756" spans="10:10" x14ac:dyDescent="0.3">
      <c r="J38756" s="33"/>
    </row>
    <row r="38757" spans="10:10" ht="15" customHeight="1" x14ac:dyDescent="0.3">
      <c r="J38757" s="33"/>
    </row>
    <row r="38758" spans="10:10" ht="15" customHeight="1" x14ac:dyDescent="0.3">
      <c r="J38758" s="33"/>
    </row>
    <row r="38759" spans="10:10" x14ac:dyDescent="0.3">
      <c r="J38759" s="33"/>
    </row>
    <row r="38760" spans="10:10" x14ac:dyDescent="0.3">
      <c r="J38760" s="33"/>
    </row>
    <row r="38761" spans="10:10" x14ac:dyDescent="0.3">
      <c r="J38761" s="33"/>
    </row>
    <row r="38762" spans="10:10" ht="15" customHeight="1" x14ac:dyDescent="0.3">
      <c r="J38762" s="33"/>
    </row>
    <row r="38763" spans="10:10" ht="15" customHeight="1" x14ac:dyDescent="0.3">
      <c r="J38763" s="33"/>
    </row>
    <row r="38764" spans="10:10" ht="15" customHeight="1" x14ac:dyDescent="0.3">
      <c r="J38764" s="33"/>
    </row>
    <row r="38765" spans="10:10" ht="15" customHeight="1" x14ac:dyDescent="0.3">
      <c r="J38765" s="33"/>
    </row>
    <row r="38766" spans="10:10" x14ac:dyDescent="0.3">
      <c r="J38766" s="33"/>
    </row>
    <row r="38767" spans="10:10" ht="15" customHeight="1" x14ac:dyDescent="0.3">
      <c r="J38767" s="33"/>
    </row>
    <row r="38768" spans="10:10" x14ac:dyDescent="0.3">
      <c r="J38768" s="33"/>
    </row>
    <row r="38769" spans="10:10" ht="15" customHeight="1" x14ac:dyDescent="0.3">
      <c r="J38769" s="33"/>
    </row>
    <row r="38770" spans="10:10" x14ac:dyDescent="0.3">
      <c r="J38770" s="33"/>
    </row>
    <row r="38771" spans="10:10" ht="15" customHeight="1" x14ac:dyDescent="0.3">
      <c r="J38771" s="33"/>
    </row>
    <row r="38772" spans="10:10" x14ac:dyDescent="0.3">
      <c r="J38772" s="33"/>
    </row>
    <row r="38773" spans="10:10" x14ac:dyDescent="0.3">
      <c r="J38773" s="33"/>
    </row>
    <row r="38774" spans="10:10" x14ac:dyDescent="0.3">
      <c r="J38774" s="33"/>
    </row>
    <row r="38775" spans="10:10" ht="15" customHeight="1" x14ac:dyDescent="0.3">
      <c r="J38775" s="33"/>
    </row>
    <row r="38776" spans="10:10" ht="15" customHeight="1" x14ac:dyDescent="0.3">
      <c r="J38776" s="33"/>
    </row>
    <row r="38777" spans="10:10" ht="15" customHeight="1" x14ac:dyDescent="0.3">
      <c r="J38777" s="33"/>
    </row>
    <row r="38778" spans="10:10" x14ac:dyDescent="0.3">
      <c r="J38778" s="33"/>
    </row>
    <row r="38779" spans="10:10" ht="15" customHeight="1" x14ac:dyDescent="0.3">
      <c r="J38779" s="33"/>
    </row>
    <row r="38780" spans="10:10" x14ac:dyDescent="0.3">
      <c r="J38780" s="33"/>
    </row>
    <row r="38781" spans="10:10" x14ac:dyDescent="0.3">
      <c r="J38781" s="33"/>
    </row>
    <row r="38782" spans="10:10" ht="15" customHeight="1" x14ac:dyDescent="0.3">
      <c r="J38782" s="33"/>
    </row>
    <row r="38783" spans="10:10" x14ac:dyDescent="0.3">
      <c r="J38783" s="33"/>
    </row>
    <row r="38784" spans="10:10" x14ac:dyDescent="0.3">
      <c r="J38784" s="33"/>
    </row>
    <row r="38785" spans="10:10" x14ac:dyDescent="0.3">
      <c r="J38785" s="33"/>
    </row>
    <row r="38786" spans="10:10" x14ac:dyDescent="0.3">
      <c r="J38786" s="33"/>
    </row>
    <row r="38787" spans="10:10" x14ac:dyDescent="0.3">
      <c r="J38787" s="33"/>
    </row>
    <row r="38788" spans="10:10" x14ac:dyDescent="0.3">
      <c r="J38788" s="33"/>
    </row>
    <row r="38789" spans="10:10" ht="15" customHeight="1" x14ac:dyDescent="0.3">
      <c r="J38789" s="33"/>
    </row>
    <row r="38790" spans="10:10" ht="15" customHeight="1" x14ac:dyDescent="0.3">
      <c r="J38790" s="33"/>
    </row>
    <row r="38791" spans="10:10" x14ac:dyDescent="0.3">
      <c r="J38791" s="33"/>
    </row>
    <row r="38792" spans="10:10" x14ac:dyDescent="0.3">
      <c r="J38792" s="33"/>
    </row>
    <row r="38793" spans="10:10" ht="15" customHeight="1" x14ac:dyDescent="0.3">
      <c r="J38793" s="33"/>
    </row>
    <row r="38794" spans="10:10" ht="15" customHeight="1" x14ac:dyDescent="0.3">
      <c r="J38794" s="33"/>
    </row>
    <row r="38795" spans="10:10" x14ac:dyDescent="0.3">
      <c r="J38795" s="33"/>
    </row>
    <row r="38796" spans="10:10" ht="15" customHeight="1" x14ac:dyDescent="0.3">
      <c r="J38796" s="33"/>
    </row>
    <row r="38797" spans="10:10" x14ac:dyDescent="0.3">
      <c r="J38797" s="33"/>
    </row>
    <row r="38798" spans="10:10" x14ac:dyDescent="0.3">
      <c r="J38798" s="33"/>
    </row>
    <row r="38799" spans="10:10" x14ac:dyDescent="0.3">
      <c r="J38799" s="33"/>
    </row>
    <row r="38800" spans="10:10" x14ac:dyDescent="0.3">
      <c r="J38800" s="33"/>
    </row>
    <row r="38801" spans="10:10" x14ac:dyDescent="0.3">
      <c r="J38801" s="33"/>
    </row>
    <row r="38802" spans="10:10" ht="15" customHeight="1" x14ac:dyDescent="0.3">
      <c r="J38802" s="33"/>
    </row>
    <row r="38803" spans="10:10" ht="15" customHeight="1" x14ac:dyDescent="0.3">
      <c r="J38803" s="33"/>
    </row>
    <row r="38804" spans="10:10" x14ac:dyDescent="0.3">
      <c r="J38804" s="33"/>
    </row>
    <row r="38805" spans="10:10" x14ac:dyDescent="0.3">
      <c r="J38805" s="33"/>
    </row>
    <row r="38806" spans="10:10" x14ac:dyDescent="0.3">
      <c r="J38806" s="33"/>
    </row>
    <row r="38807" spans="10:10" x14ac:dyDescent="0.3">
      <c r="J38807" s="33"/>
    </row>
    <row r="38808" spans="10:10" ht="15" customHeight="1" x14ac:dyDescent="0.3">
      <c r="J38808" s="33"/>
    </row>
    <row r="38809" spans="10:10" x14ac:dyDescent="0.3">
      <c r="J38809" s="33"/>
    </row>
    <row r="38810" spans="10:10" x14ac:dyDescent="0.3">
      <c r="J38810" s="33"/>
    </row>
    <row r="38811" spans="10:10" x14ac:dyDescent="0.3">
      <c r="J38811" s="33"/>
    </row>
    <row r="38812" spans="10:10" ht="15" customHeight="1" x14ac:dyDescent="0.3">
      <c r="J38812" s="33"/>
    </row>
    <row r="38813" spans="10:10" ht="15" customHeight="1" x14ac:dyDescent="0.3">
      <c r="J38813" s="33"/>
    </row>
    <row r="38814" spans="10:10" x14ac:dyDescent="0.3">
      <c r="J38814" s="33"/>
    </row>
    <row r="38815" spans="10:10" x14ac:dyDescent="0.3">
      <c r="J38815" s="33"/>
    </row>
    <row r="38816" spans="10:10" ht="15" customHeight="1" x14ac:dyDescent="0.3">
      <c r="J38816" s="33"/>
    </row>
    <row r="38817" spans="10:10" x14ac:dyDescent="0.3">
      <c r="J38817" s="33"/>
    </row>
    <row r="38818" spans="10:10" x14ac:dyDescent="0.3">
      <c r="J38818" s="33"/>
    </row>
    <row r="38819" spans="10:10" x14ac:dyDescent="0.3">
      <c r="J38819" s="33"/>
    </row>
    <row r="38820" spans="10:10" x14ac:dyDescent="0.3">
      <c r="J38820" s="33"/>
    </row>
    <row r="38821" spans="10:10" x14ac:dyDescent="0.3">
      <c r="J38821" s="33"/>
    </row>
    <row r="38822" spans="10:10" ht="15" customHeight="1" x14ac:dyDescent="0.3">
      <c r="J38822" s="33"/>
    </row>
    <row r="38823" spans="10:10" x14ac:dyDescent="0.3">
      <c r="J38823" s="33"/>
    </row>
    <row r="38824" spans="10:10" x14ac:dyDescent="0.3">
      <c r="J38824" s="33"/>
    </row>
    <row r="38825" spans="10:10" ht="15" customHeight="1" x14ac:dyDescent="0.3">
      <c r="J38825" s="33"/>
    </row>
    <row r="38826" spans="10:10" ht="15" customHeight="1" x14ac:dyDescent="0.3">
      <c r="J38826" s="33"/>
    </row>
    <row r="38827" spans="10:10" x14ac:dyDescent="0.3">
      <c r="J38827" s="33"/>
    </row>
    <row r="38828" spans="10:10" x14ac:dyDescent="0.3">
      <c r="J38828" s="33"/>
    </row>
    <row r="38829" spans="10:10" x14ac:dyDescent="0.3">
      <c r="J38829" s="33"/>
    </row>
    <row r="38830" spans="10:10" x14ac:dyDescent="0.3">
      <c r="J38830" s="33"/>
    </row>
    <row r="38831" spans="10:10" ht="15" customHeight="1" x14ac:dyDescent="0.3">
      <c r="J38831" s="33"/>
    </row>
    <row r="38832" spans="10:10" x14ac:dyDescent="0.3">
      <c r="J38832" s="33"/>
    </row>
    <row r="38833" spans="10:10" ht="15" customHeight="1" x14ac:dyDescent="0.3">
      <c r="J38833" s="33"/>
    </row>
    <row r="38834" spans="10:10" x14ac:dyDescent="0.3">
      <c r="J38834" s="33"/>
    </row>
    <row r="38835" spans="10:10" x14ac:dyDescent="0.3">
      <c r="J38835" s="33"/>
    </row>
    <row r="38836" spans="10:10" x14ac:dyDescent="0.3">
      <c r="J38836" s="33"/>
    </row>
    <row r="38837" spans="10:10" ht="15" customHeight="1" x14ac:dyDescent="0.3">
      <c r="J38837" s="33"/>
    </row>
    <row r="38838" spans="10:10" ht="15" customHeight="1" x14ac:dyDescent="0.3">
      <c r="J38838" s="33"/>
    </row>
    <row r="38839" spans="10:10" x14ac:dyDescent="0.3">
      <c r="J38839" s="33"/>
    </row>
    <row r="38840" spans="10:10" x14ac:dyDescent="0.3">
      <c r="J38840" s="33"/>
    </row>
    <row r="38841" spans="10:10" x14ac:dyDescent="0.3">
      <c r="J38841" s="33"/>
    </row>
    <row r="38842" spans="10:10" ht="15" customHeight="1" x14ac:dyDescent="0.3">
      <c r="J38842" s="33"/>
    </row>
    <row r="38843" spans="10:10" ht="15" customHeight="1" x14ac:dyDescent="0.3">
      <c r="J38843" s="33"/>
    </row>
    <row r="38844" spans="10:10" x14ac:dyDescent="0.3">
      <c r="J38844" s="33"/>
    </row>
    <row r="38845" spans="10:10" x14ac:dyDescent="0.3">
      <c r="J38845" s="33"/>
    </row>
    <row r="38846" spans="10:10" x14ac:dyDescent="0.3">
      <c r="J38846" s="33"/>
    </row>
    <row r="38847" spans="10:10" x14ac:dyDescent="0.3">
      <c r="J38847" s="33"/>
    </row>
    <row r="38848" spans="10:10" ht="15" customHeight="1" x14ac:dyDescent="0.3">
      <c r="J38848" s="33"/>
    </row>
    <row r="38849" spans="10:10" ht="15" customHeight="1" x14ac:dyDescent="0.3">
      <c r="J38849" s="33"/>
    </row>
    <row r="38850" spans="10:10" x14ac:dyDescent="0.3">
      <c r="J38850" s="33"/>
    </row>
    <row r="38851" spans="10:10" ht="15" customHeight="1" x14ac:dyDescent="0.3">
      <c r="J38851" s="33"/>
    </row>
    <row r="38852" spans="10:10" x14ac:dyDescent="0.3">
      <c r="J38852" s="33"/>
    </row>
    <row r="38853" spans="10:10" ht="15" customHeight="1" x14ac:dyDescent="0.3">
      <c r="J38853" s="33"/>
    </row>
    <row r="38854" spans="10:10" x14ac:dyDescent="0.3">
      <c r="J38854" s="33"/>
    </row>
    <row r="38855" spans="10:10" ht="15" customHeight="1" x14ac:dyDescent="0.3">
      <c r="J38855" s="33"/>
    </row>
    <row r="38856" spans="10:10" ht="15" customHeight="1" x14ac:dyDescent="0.3">
      <c r="J38856" s="33"/>
    </row>
    <row r="38857" spans="10:10" ht="15" customHeight="1" x14ac:dyDescent="0.3">
      <c r="J38857" s="33"/>
    </row>
    <row r="38858" spans="10:10" x14ac:dyDescent="0.3">
      <c r="J38858" s="33"/>
    </row>
    <row r="38859" spans="10:10" x14ac:dyDescent="0.3">
      <c r="J38859" s="33"/>
    </row>
    <row r="38860" spans="10:10" ht="15" customHeight="1" x14ac:dyDescent="0.3">
      <c r="J38860" s="33"/>
    </row>
    <row r="38861" spans="10:10" ht="15" customHeight="1" x14ac:dyDescent="0.3">
      <c r="J38861" s="33"/>
    </row>
    <row r="38862" spans="10:10" x14ac:dyDescent="0.3">
      <c r="J38862" s="33"/>
    </row>
    <row r="38863" spans="10:10" ht="15" customHeight="1" x14ac:dyDescent="0.3">
      <c r="J38863" s="33"/>
    </row>
    <row r="38864" spans="10:10" x14ac:dyDescent="0.3">
      <c r="J38864" s="33"/>
    </row>
    <row r="38865" spans="10:10" ht="15" customHeight="1" x14ac:dyDescent="0.3">
      <c r="J38865" s="33"/>
    </row>
    <row r="38866" spans="10:10" ht="15" customHeight="1" x14ac:dyDescent="0.3">
      <c r="J38866" s="33"/>
    </row>
    <row r="38867" spans="10:10" ht="15" customHeight="1" x14ac:dyDescent="0.3">
      <c r="J38867" s="33"/>
    </row>
    <row r="38868" spans="10:10" x14ac:dyDescent="0.3">
      <c r="J38868" s="33"/>
    </row>
    <row r="38869" spans="10:10" x14ac:dyDescent="0.3">
      <c r="J38869" s="33"/>
    </row>
    <row r="38870" spans="10:10" x14ac:dyDescent="0.3">
      <c r="J38870" s="33"/>
    </row>
    <row r="38871" spans="10:10" ht="15" customHeight="1" x14ac:dyDescent="0.3">
      <c r="J38871" s="33"/>
    </row>
    <row r="38872" spans="10:10" x14ac:dyDescent="0.3">
      <c r="J38872" s="33"/>
    </row>
    <row r="38873" spans="10:10" x14ac:dyDescent="0.3">
      <c r="J38873" s="33"/>
    </row>
    <row r="38874" spans="10:10" ht="15" customHeight="1" x14ac:dyDescent="0.3">
      <c r="J38874" s="33"/>
    </row>
    <row r="38875" spans="10:10" ht="15" customHeight="1" x14ac:dyDescent="0.3">
      <c r="J38875" s="33"/>
    </row>
    <row r="38876" spans="10:10" ht="15" customHeight="1" x14ac:dyDescent="0.3">
      <c r="J38876" s="33"/>
    </row>
    <row r="38877" spans="10:10" ht="15" customHeight="1" x14ac:dyDescent="0.3">
      <c r="J38877" s="33"/>
    </row>
    <row r="38878" spans="10:10" x14ac:dyDescent="0.3">
      <c r="J38878" s="33"/>
    </row>
    <row r="38879" spans="10:10" ht="15" customHeight="1" x14ac:dyDescent="0.3">
      <c r="J38879" s="33"/>
    </row>
    <row r="38880" spans="10:10" ht="15" customHeight="1" x14ac:dyDescent="0.3">
      <c r="J38880" s="33"/>
    </row>
    <row r="38881" spans="10:10" x14ac:dyDescent="0.3">
      <c r="J38881" s="33"/>
    </row>
    <row r="38882" spans="10:10" x14ac:dyDescent="0.3">
      <c r="J38882" s="33"/>
    </row>
    <row r="38883" spans="10:10" ht="15" customHeight="1" x14ac:dyDescent="0.3">
      <c r="J38883" s="33"/>
    </row>
    <row r="38884" spans="10:10" x14ac:dyDescent="0.3">
      <c r="J38884" s="33"/>
    </row>
    <row r="38885" spans="10:10" x14ac:dyDescent="0.3">
      <c r="J38885" s="33"/>
    </row>
    <row r="38886" spans="10:10" ht="15" customHeight="1" x14ac:dyDescent="0.3">
      <c r="J38886" s="33"/>
    </row>
    <row r="38887" spans="10:10" x14ac:dyDescent="0.3">
      <c r="J38887" s="33"/>
    </row>
    <row r="38888" spans="10:10" x14ac:dyDescent="0.3">
      <c r="J38888" s="33"/>
    </row>
    <row r="38889" spans="10:10" x14ac:dyDescent="0.3">
      <c r="J38889" s="33"/>
    </row>
    <row r="38890" spans="10:10" x14ac:dyDescent="0.3">
      <c r="J38890" s="33"/>
    </row>
    <row r="38891" spans="10:10" ht="15" customHeight="1" x14ac:dyDescent="0.3">
      <c r="J38891" s="33"/>
    </row>
    <row r="38892" spans="10:10" x14ac:dyDescent="0.3">
      <c r="J38892" s="33"/>
    </row>
    <row r="38893" spans="10:10" x14ac:dyDescent="0.3">
      <c r="J38893" s="33"/>
    </row>
    <row r="38894" spans="10:10" x14ac:dyDescent="0.3">
      <c r="J38894" s="33"/>
    </row>
    <row r="38895" spans="10:10" x14ac:dyDescent="0.3">
      <c r="J38895" s="33"/>
    </row>
    <row r="38896" spans="10:10" ht="15" customHeight="1" x14ac:dyDescent="0.3">
      <c r="J38896" s="33"/>
    </row>
    <row r="38897" spans="10:10" x14ac:dyDescent="0.3">
      <c r="J38897" s="33"/>
    </row>
    <row r="38898" spans="10:10" ht="15" customHeight="1" x14ac:dyDescent="0.3">
      <c r="J38898" s="33"/>
    </row>
    <row r="38899" spans="10:10" x14ac:dyDescent="0.3">
      <c r="J38899" s="33"/>
    </row>
    <row r="38900" spans="10:10" ht="15" customHeight="1" x14ac:dyDescent="0.3">
      <c r="J38900" s="33"/>
    </row>
    <row r="38901" spans="10:10" ht="15" customHeight="1" x14ac:dyDescent="0.3">
      <c r="J38901" s="33"/>
    </row>
    <row r="38902" spans="10:10" ht="15" customHeight="1" x14ac:dyDescent="0.3">
      <c r="J38902" s="33"/>
    </row>
    <row r="38903" spans="10:10" x14ac:dyDescent="0.3">
      <c r="J38903" s="33"/>
    </row>
    <row r="38904" spans="10:10" x14ac:dyDescent="0.3">
      <c r="J38904" s="33"/>
    </row>
    <row r="38905" spans="10:10" ht="15" customHeight="1" x14ac:dyDescent="0.3">
      <c r="J38905" s="33"/>
    </row>
    <row r="38906" spans="10:10" x14ac:dyDescent="0.3">
      <c r="J38906" s="33"/>
    </row>
    <row r="38907" spans="10:10" x14ac:dyDescent="0.3">
      <c r="J38907" s="33"/>
    </row>
    <row r="38908" spans="10:10" ht="15" customHeight="1" x14ac:dyDescent="0.3">
      <c r="J38908" s="33"/>
    </row>
    <row r="38909" spans="10:10" x14ac:dyDescent="0.3">
      <c r="J38909" s="33"/>
    </row>
    <row r="38910" spans="10:10" x14ac:dyDescent="0.3">
      <c r="J38910" s="33"/>
    </row>
    <row r="38911" spans="10:10" ht="15" customHeight="1" x14ac:dyDescent="0.3">
      <c r="J38911" s="33"/>
    </row>
    <row r="38912" spans="10:10" ht="15" customHeight="1" x14ac:dyDescent="0.3">
      <c r="J38912" s="33"/>
    </row>
    <row r="38913" spans="10:10" x14ac:dyDescent="0.3">
      <c r="J38913" s="33"/>
    </row>
    <row r="38914" spans="10:10" x14ac:dyDescent="0.3">
      <c r="J38914" s="33"/>
    </row>
    <row r="38915" spans="10:10" x14ac:dyDescent="0.3">
      <c r="J38915" s="33"/>
    </row>
    <row r="38916" spans="10:10" ht="15" customHeight="1" x14ac:dyDescent="0.3">
      <c r="J38916" s="33"/>
    </row>
    <row r="38917" spans="10:10" x14ac:dyDescent="0.3">
      <c r="J38917" s="33"/>
    </row>
    <row r="38918" spans="10:10" x14ac:dyDescent="0.3">
      <c r="J38918" s="33"/>
    </row>
    <row r="38919" spans="10:10" ht="15" customHeight="1" x14ac:dyDescent="0.3">
      <c r="J38919" s="33"/>
    </row>
    <row r="38920" spans="10:10" ht="15" customHeight="1" x14ac:dyDescent="0.3">
      <c r="J38920" s="33"/>
    </row>
    <row r="38921" spans="10:10" x14ac:dyDescent="0.3">
      <c r="J38921" s="33"/>
    </row>
    <row r="38922" spans="10:10" x14ac:dyDescent="0.3">
      <c r="J38922" s="33"/>
    </row>
    <row r="38923" spans="10:10" ht="15" customHeight="1" x14ac:dyDescent="0.3">
      <c r="J38923" s="33"/>
    </row>
    <row r="38924" spans="10:10" x14ac:dyDescent="0.3">
      <c r="J38924" s="33"/>
    </row>
    <row r="38925" spans="10:10" x14ac:dyDescent="0.3">
      <c r="J38925" s="33"/>
    </row>
    <row r="38926" spans="10:10" x14ac:dyDescent="0.3">
      <c r="J38926" s="33"/>
    </row>
    <row r="38927" spans="10:10" x14ac:dyDescent="0.3">
      <c r="J38927" s="33"/>
    </row>
    <row r="38928" spans="10:10" x14ac:dyDescent="0.3">
      <c r="J38928" s="33"/>
    </row>
    <row r="38929" spans="10:10" x14ac:dyDescent="0.3">
      <c r="J38929" s="33"/>
    </row>
    <row r="38930" spans="10:10" x14ac:dyDescent="0.3">
      <c r="J38930" s="33"/>
    </row>
    <row r="38931" spans="10:10" x14ac:dyDescent="0.3">
      <c r="J38931" s="33"/>
    </row>
    <row r="38932" spans="10:10" x14ac:dyDescent="0.3">
      <c r="J38932" s="33"/>
    </row>
    <row r="38933" spans="10:10" ht="15" customHeight="1" x14ac:dyDescent="0.3">
      <c r="J38933" s="33"/>
    </row>
    <row r="38934" spans="10:10" x14ac:dyDescent="0.3">
      <c r="J38934" s="33"/>
    </row>
    <row r="38935" spans="10:10" x14ac:dyDescent="0.3">
      <c r="J38935" s="33"/>
    </row>
    <row r="38936" spans="10:10" x14ac:dyDescent="0.3">
      <c r="J38936" s="33"/>
    </row>
    <row r="38937" spans="10:10" x14ac:dyDescent="0.3">
      <c r="J38937" s="33"/>
    </row>
    <row r="38938" spans="10:10" ht="15" customHeight="1" x14ac:dyDescent="0.3">
      <c r="J38938" s="33"/>
    </row>
    <row r="38939" spans="10:10" ht="15" customHeight="1" x14ac:dyDescent="0.3">
      <c r="J38939" s="33"/>
    </row>
    <row r="38940" spans="10:10" ht="15" customHeight="1" x14ac:dyDescent="0.3">
      <c r="J38940" s="33"/>
    </row>
    <row r="38941" spans="10:10" x14ac:dyDescent="0.3">
      <c r="J38941" s="33"/>
    </row>
    <row r="38942" spans="10:10" x14ac:dyDescent="0.3">
      <c r="J38942" s="33"/>
    </row>
    <row r="38943" spans="10:10" x14ac:dyDescent="0.3">
      <c r="J38943" s="33"/>
    </row>
    <row r="38944" spans="10:10" x14ac:dyDescent="0.3">
      <c r="J38944" s="33"/>
    </row>
    <row r="38945" spans="10:10" x14ac:dyDescent="0.3">
      <c r="J38945" s="33"/>
    </row>
    <row r="38946" spans="10:10" ht="15" customHeight="1" x14ac:dyDescent="0.3">
      <c r="J38946" s="33"/>
    </row>
    <row r="38947" spans="10:10" x14ac:dyDescent="0.3">
      <c r="J38947" s="33"/>
    </row>
    <row r="38948" spans="10:10" x14ac:dyDescent="0.3">
      <c r="J38948" s="33"/>
    </row>
    <row r="38949" spans="10:10" ht="15" customHeight="1" x14ac:dyDescent="0.3">
      <c r="J38949" s="33"/>
    </row>
    <row r="38950" spans="10:10" ht="15" customHeight="1" x14ac:dyDescent="0.3">
      <c r="J38950" s="33"/>
    </row>
    <row r="38951" spans="10:10" x14ac:dyDescent="0.3">
      <c r="J38951" s="33"/>
    </row>
    <row r="38952" spans="10:10" ht="15" customHeight="1" x14ac:dyDescent="0.3">
      <c r="J38952" s="33"/>
    </row>
    <row r="38953" spans="10:10" x14ac:dyDescent="0.3">
      <c r="J38953" s="33"/>
    </row>
    <row r="38954" spans="10:10" x14ac:dyDescent="0.3">
      <c r="J38954" s="33"/>
    </row>
    <row r="38955" spans="10:10" x14ac:dyDescent="0.3">
      <c r="J38955" s="33"/>
    </row>
    <row r="38956" spans="10:10" x14ac:dyDescent="0.3">
      <c r="J38956" s="33"/>
    </row>
    <row r="38957" spans="10:10" x14ac:dyDescent="0.3">
      <c r="J38957" s="33"/>
    </row>
    <row r="38958" spans="10:10" ht="15" customHeight="1" x14ac:dyDescent="0.3">
      <c r="J38958" s="33"/>
    </row>
    <row r="38959" spans="10:10" x14ac:dyDescent="0.3">
      <c r="J38959" s="33"/>
    </row>
    <row r="38960" spans="10:10" x14ac:dyDescent="0.3">
      <c r="J38960" s="33"/>
    </row>
    <row r="38961" spans="10:10" ht="15" customHeight="1" x14ac:dyDescent="0.3">
      <c r="J38961" s="33"/>
    </row>
    <row r="38962" spans="10:10" ht="15" customHeight="1" x14ac:dyDescent="0.3">
      <c r="J38962" s="33"/>
    </row>
    <row r="38963" spans="10:10" ht="15" customHeight="1" x14ac:dyDescent="0.3">
      <c r="J38963" s="33"/>
    </row>
    <row r="38964" spans="10:10" ht="15" customHeight="1" x14ac:dyDescent="0.3">
      <c r="J38964" s="33"/>
    </row>
    <row r="38965" spans="10:10" x14ac:dyDescent="0.3">
      <c r="J38965" s="33"/>
    </row>
    <row r="38966" spans="10:10" x14ac:dyDescent="0.3">
      <c r="J38966" s="33"/>
    </row>
    <row r="38967" spans="10:10" ht="15" customHeight="1" x14ac:dyDescent="0.3">
      <c r="J38967" s="33"/>
    </row>
    <row r="38968" spans="10:10" x14ac:dyDescent="0.3">
      <c r="J38968" s="33"/>
    </row>
    <row r="38969" spans="10:10" x14ac:dyDescent="0.3">
      <c r="J38969" s="33"/>
    </row>
    <row r="38970" spans="10:10" x14ac:dyDescent="0.3">
      <c r="J38970" s="33"/>
    </row>
    <row r="38971" spans="10:10" ht="15" customHeight="1" x14ac:dyDescent="0.3">
      <c r="J38971" s="33"/>
    </row>
    <row r="38972" spans="10:10" x14ac:dyDescent="0.3">
      <c r="J38972" s="33"/>
    </row>
    <row r="38973" spans="10:10" ht="15" customHeight="1" x14ac:dyDescent="0.3">
      <c r="J38973" s="33"/>
    </row>
    <row r="38974" spans="10:10" x14ac:dyDescent="0.3">
      <c r="J38974" s="33"/>
    </row>
    <row r="38975" spans="10:10" ht="15" customHeight="1" x14ac:dyDescent="0.3">
      <c r="J38975" s="33"/>
    </row>
    <row r="38976" spans="10:10" x14ac:dyDescent="0.3">
      <c r="J38976" s="33"/>
    </row>
    <row r="38977" spans="10:10" ht="15" customHeight="1" x14ac:dyDescent="0.3">
      <c r="J38977" s="33"/>
    </row>
    <row r="38978" spans="10:10" x14ac:dyDescent="0.3">
      <c r="J38978" s="33"/>
    </row>
    <row r="38979" spans="10:10" x14ac:dyDescent="0.3">
      <c r="J38979" s="33"/>
    </row>
    <row r="38980" spans="10:10" ht="15" customHeight="1" x14ac:dyDescent="0.3">
      <c r="J38980" s="33"/>
    </row>
    <row r="38981" spans="10:10" x14ac:dyDescent="0.3">
      <c r="J38981" s="33"/>
    </row>
    <row r="38982" spans="10:10" x14ac:dyDescent="0.3">
      <c r="J38982" s="33"/>
    </row>
    <row r="38983" spans="10:10" ht="15" customHeight="1" x14ac:dyDescent="0.3">
      <c r="J38983" s="33"/>
    </row>
    <row r="38984" spans="10:10" x14ac:dyDescent="0.3">
      <c r="J38984" s="33"/>
    </row>
    <row r="38985" spans="10:10" x14ac:dyDescent="0.3">
      <c r="J38985" s="33"/>
    </row>
    <row r="38986" spans="10:10" x14ac:dyDescent="0.3">
      <c r="J38986" s="33"/>
    </row>
    <row r="38987" spans="10:10" ht="15" customHeight="1" x14ac:dyDescent="0.3">
      <c r="J38987" s="33"/>
    </row>
    <row r="38988" spans="10:10" x14ac:dyDescent="0.3">
      <c r="J38988" s="33"/>
    </row>
    <row r="38989" spans="10:10" x14ac:dyDescent="0.3">
      <c r="J38989" s="33"/>
    </row>
    <row r="38990" spans="10:10" x14ac:dyDescent="0.3">
      <c r="J38990" s="33"/>
    </row>
    <row r="38991" spans="10:10" ht="15" customHeight="1" x14ac:dyDescent="0.3">
      <c r="J38991" s="33"/>
    </row>
    <row r="38992" spans="10:10" x14ac:dyDescent="0.3">
      <c r="J38992" s="33"/>
    </row>
    <row r="38993" spans="10:10" ht="15" customHeight="1" x14ac:dyDescent="0.3">
      <c r="J38993" s="33"/>
    </row>
    <row r="38994" spans="10:10" x14ac:dyDescent="0.3">
      <c r="J38994" s="33"/>
    </row>
    <row r="38995" spans="10:10" ht="15" customHeight="1" x14ac:dyDescent="0.3">
      <c r="J38995" s="33"/>
    </row>
    <row r="38996" spans="10:10" ht="15" customHeight="1" x14ac:dyDescent="0.3">
      <c r="J38996" s="33"/>
    </row>
    <row r="38997" spans="10:10" ht="15" customHeight="1" x14ac:dyDescent="0.3">
      <c r="J38997" s="33"/>
    </row>
    <row r="38998" spans="10:10" ht="15" customHeight="1" x14ac:dyDescent="0.3">
      <c r="J38998" s="33"/>
    </row>
    <row r="38999" spans="10:10" x14ac:dyDescent="0.3">
      <c r="J38999" s="33"/>
    </row>
    <row r="39000" spans="10:10" ht="15" customHeight="1" x14ac:dyDescent="0.3">
      <c r="J39000" s="33"/>
    </row>
    <row r="39001" spans="10:10" x14ac:dyDescent="0.3">
      <c r="J39001" s="33"/>
    </row>
    <row r="39002" spans="10:10" ht="15" customHeight="1" x14ac:dyDescent="0.3">
      <c r="J39002" s="33"/>
    </row>
    <row r="39003" spans="10:10" x14ac:dyDescent="0.3">
      <c r="J39003" s="33"/>
    </row>
    <row r="39004" spans="10:10" x14ac:dyDescent="0.3">
      <c r="J39004" s="33"/>
    </row>
    <row r="39005" spans="10:10" x14ac:dyDescent="0.3">
      <c r="J39005" s="33"/>
    </row>
    <row r="39006" spans="10:10" ht="15" customHeight="1" x14ac:dyDescent="0.3">
      <c r="J39006" s="33"/>
    </row>
    <row r="39007" spans="10:10" x14ac:dyDescent="0.3">
      <c r="J39007" s="33"/>
    </row>
    <row r="39008" spans="10:10" ht="15" customHeight="1" x14ac:dyDescent="0.3">
      <c r="J39008" s="33"/>
    </row>
    <row r="39009" spans="10:10" x14ac:dyDescent="0.3">
      <c r="J39009" s="33"/>
    </row>
    <row r="39010" spans="10:10" ht="15" customHeight="1" x14ac:dyDescent="0.3">
      <c r="J39010" s="33"/>
    </row>
    <row r="39011" spans="10:10" x14ac:dyDescent="0.3">
      <c r="J39011" s="33"/>
    </row>
    <row r="39012" spans="10:10" ht="15" customHeight="1" x14ac:dyDescent="0.3">
      <c r="J39012" s="33"/>
    </row>
    <row r="39013" spans="10:10" x14ac:dyDescent="0.3">
      <c r="J39013" s="33"/>
    </row>
    <row r="39014" spans="10:10" ht="15" customHeight="1" x14ac:dyDescent="0.3">
      <c r="J39014" s="33"/>
    </row>
    <row r="39015" spans="10:10" x14ac:dyDescent="0.3">
      <c r="J39015" s="33"/>
    </row>
    <row r="39016" spans="10:10" ht="15" customHeight="1" x14ac:dyDescent="0.3">
      <c r="J39016" s="33"/>
    </row>
    <row r="39017" spans="10:10" x14ac:dyDescent="0.3">
      <c r="J39017" s="33"/>
    </row>
    <row r="39018" spans="10:10" x14ac:dyDescent="0.3">
      <c r="J39018" s="33"/>
    </row>
    <row r="39019" spans="10:10" x14ac:dyDescent="0.3">
      <c r="J39019" s="33"/>
    </row>
    <row r="39020" spans="10:10" x14ac:dyDescent="0.3">
      <c r="J39020" s="33"/>
    </row>
    <row r="39021" spans="10:10" ht="15" customHeight="1" x14ac:dyDescent="0.3">
      <c r="J39021" s="33"/>
    </row>
    <row r="39022" spans="10:10" x14ac:dyDescent="0.3">
      <c r="J39022" s="33"/>
    </row>
    <row r="39023" spans="10:10" x14ac:dyDescent="0.3">
      <c r="J39023" s="33"/>
    </row>
    <row r="39024" spans="10:10" x14ac:dyDescent="0.3">
      <c r="J39024" s="33"/>
    </row>
    <row r="39025" spans="10:10" ht="15" customHeight="1" x14ac:dyDescent="0.3">
      <c r="J39025" s="33"/>
    </row>
    <row r="39026" spans="10:10" ht="15" customHeight="1" x14ac:dyDescent="0.3">
      <c r="J39026" s="33"/>
    </row>
    <row r="39027" spans="10:10" x14ac:dyDescent="0.3">
      <c r="J39027" s="33"/>
    </row>
    <row r="39028" spans="10:10" x14ac:dyDescent="0.3">
      <c r="J39028" s="33"/>
    </row>
    <row r="39029" spans="10:10" ht="15" customHeight="1" x14ac:dyDescent="0.3">
      <c r="J39029" s="33"/>
    </row>
    <row r="39030" spans="10:10" ht="15" customHeight="1" x14ac:dyDescent="0.3">
      <c r="J39030" s="33"/>
    </row>
    <row r="39031" spans="10:10" x14ac:dyDescent="0.3">
      <c r="J39031" s="33"/>
    </row>
    <row r="39032" spans="10:10" x14ac:dyDescent="0.3">
      <c r="J39032" s="33"/>
    </row>
    <row r="39033" spans="10:10" x14ac:dyDescent="0.3">
      <c r="J39033" s="33"/>
    </row>
    <row r="39034" spans="10:10" ht="15" customHeight="1" x14ac:dyDescent="0.3">
      <c r="J39034" s="33"/>
    </row>
    <row r="39035" spans="10:10" x14ac:dyDescent="0.3">
      <c r="J39035" s="33"/>
    </row>
    <row r="39036" spans="10:10" x14ac:dyDescent="0.3">
      <c r="J39036" s="33"/>
    </row>
    <row r="39037" spans="10:10" x14ac:dyDescent="0.3">
      <c r="J39037" s="33"/>
    </row>
    <row r="39038" spans="10:10" x14ac:dyDescent="0.3">
      <c r="J39038" s="33"/>
    </row>
    <row r="39039" spans="10:10" x14ac:dyDescent="0.3">
      <c r="J39039" s="33"/>
    </row>
    <row r="39040" spans="10:10" x14ac:dyDescent="0.3">
      <c r="J39040" s="33"/>
    </row>
    <row r="39041" spans="10:10" x14ac:dyDescent="0.3">
      <c r="J39041" s="33"/>
    </row>
    <row r="39042" spans="10:10" x14ac:dyDescent="0.3">
      <c r="J39042" s="33"/>
    </row>
    <row r="39043" spans="10:10" ht="15" customHeight="1" x14ac:dyDescent="0.3">
      <c r="J39043" s="33"/>
    </row>
    <row r="39044" spans="10:10" x14ac:dyDescent="0.3">
      <c r="J39044" s="33"/>
    </row>
    <row r="39045" spans="10:10" ht="15" customHeight="1" x14ac:dyDescent="0.3">
      <c r="J39045" s="33"/>
    </row>
    <row r="39046" spans="10:10" x14ac:dyDescent="0.3">
      <c r="J39046" s="33"/>
    </row>
    <row r="39047" spans="10:10" x14ac:dyDescent="0.3">
      <c r="J39047" s="33"/>
    </row>
    <row r="39048" spans="10:10" x14ac:dyDescent="0.3">
      <c r="J39048" s="33"/>
    </row>
    <row r="39049" spans="10:10" x14ac:dyDescent="0.3">
      <c r="J39049" s="33"/>
    </row>
    <row r="39050" spans="10:10" x14ac:dyDescent="0.3">
      <c r="J39050" s="33"/>
    </row>
    <row r="39051" spans="10:10" x14ac:dyDescent="0.3">
      <c r="J39051" s="33"/>
    </row>
    <row r="39052" spans="10:10" x14ac:dyDescent="0.3">
      <c r="J39052" s="33"/>
    </row>
    <row r="39053" spans="10:10" x14ac:dyDescent="0.3">
      <c r="J39053" s="33"/>
    </row>
    <row r="39054" spans="10:10" x14ac:dyDescent="0.3">
      <c r="J39054" s="33"/>
    </row>
    <row r="39055" spans="10:10" x14ac:dyDescent="0.3">
      <c r="J39055" s="33"/>
    </row>
    <row r="39056" spans="10:10" x14ac:dyDescent="0.3">
      <c r="J39056" s="33"/>
    </row>
    <row r="39057" spans="10:10" x14ac:dyDescent="0.3">
      <c r="J39057" s="33"/>
    </row>
    <row r="39058" spans="10:10" ht="15" customHeight="1" x14ac:dyDescent="0.3">
      <c r="J39058" s="33"/>
    </row>
    <row r="39059" spans="10:10" x14ac:dyDescent="0.3">
      <c r="J39059" s="33"/>
    </row>
    <row r="39060" spans="10:10" x14ac:dyDescent="0.3">
      <c r="J39060" s="33"/>
    </row>
    <row r="39061" spans="10:10" ht="15" customHeight="1" x14ac:dyDescent="0.3">
      <c r="J39061" s="33"/>
    </row>
    <row r="39062" spans="10:10" ht="15" customHeight="1" x14ac:dyDescent="0.3">
      <c r="J39062" s="33"/>
    </row>
    <row r="39063" spans="10:10" ht="15" customHeight="1" x14ac:dyDescent="0.3">
      <c r="J39063" s="33"/>
    </row>
    <row r="39064" spans="10:10" x14ac:dyDescent="0.3">
      <c r="J39064" s="33"/>
    </row>
    <row r="39065" spans="10:10" ht="15" customHeight="1" x14ac:dyDescent="0.3">
      <c r="J39065" s="33"/>
    </row>
    <row r="39066" spans="10:10" x14ac:dyDescent="0.3">
      <c r="J39066" s="33"/>
    </row>
    <row r="39067" spans="10:10" x14ac:dyDescent="0.3">
      <c r="J39067" s="33"/>
    </row>
    <row r="39068" spans="10:10" x14ac:dyDescent="0.3">
      <c r="J39068" s="33"/>
    </row>
    <row r="39069" spans="10:10" ht="15" customHeight="1" x14ac:dyDescent="0.3">
      <c r="J39069" s="33"/>
    </row>
    <row r="39070" spans="10:10" x14ac:dyDescent="0.3">
      <c r="J39070" s="33"/>
    </row>
    <row r="39071" spans="10:10" x14ac:dyDescent="0.3">
      <c r="J39071" s="33"/>
    </row>
    <row r="39072" spans="10:10" x14ac:dyDescent="0.3">
      <c r="J39072" s="33"/>
    </row>
    <row r="39073" spans="10:10" x14ac:dyDescent="0.3">
      <c r="J39073" s="33"/>
    </row>
    <row r="39074" spans="10:10" ht="15" customHeight="1" x14ac:dyDescent="0.3">
      <c r="J39074" s="33"/>
    </row>
    <row r="39075" spans="10:10" x14ac:dyDescent="0.3">
      <c r="J39075" s="33"/>
    </row>
    <row r="39076" spans="10:10" x14ac:dyDescent="0.3">
      <c r="J39076" s="33"/>
    </row>
    <row r="39077" spans="10:10" x14ac:dyDescent="0.3">
      <c r="J39077" s="33"/>
    </row>
    <row r="39078" spans="10:10" ht="15" customHeight="1" x14ac:dyDescent="0.3">
      <c r="J39078" s="33"/>
    </row>
    <row r="39079" spans="10:10" x14ac:dyDescent="0.3">
      <c r="J39079" s="33"/>
    </row>
    <row r="39080" spans="10:10" ht="15" customHeight="1" x14ac:dyDescent="0.3">
      <c r="J39080" s="33"/>
    </row>
    <row r="39081" spans="10:10" x14ac:dyDescent="0.3">
      <c r="J39081" s="33"/>
    </row>
    <row r="39082" spans="10:10" x14ac:dyDescent="0.3">
      <c r="J39082" s="33"/>
    </row>
    <row r="39083" spans="10:10" ht="15" customHeight="1" x14ac:dyDescent="0.3">
      <c r="J39083" s="33"/>
    </row>
    <row r="39084" spans="10:10" x14ac:dyDescent="0.3">
      <c r="J39084" s="33"/>
    </row>
    <row r="39085" spans="10:10" x14ac:dyDescent="0.3">
      <c r="J39085" s="33"/>
    </row>
    <row r="39086" spans="10:10" x14ac:dyDescent="0.3">
      <c r="J39086" s="33"/>
    </row>
    <row r="39087" spans="10:10" x14ac:dyDescent="0.3">
      <c r="J39087" s="33"/>
    </row>
    <row r="39088" spans="10:10" x14ac:dyDescent="0.3">
      <c r="J39088" s="33"/>
    </row>
    <row r="39089" spans="10:10" x14ac:dyDescent="0.3">
      <c r="J39089" s="33"/>
    </row>
    <row r="39090" spans="10:10" x14ac:dyDescent="0.3">
      <c r="J39090" s="33"/>
    </row>
    <row r="39091" spans="10:10" x14ac:dyDescent="0.3">
      <c r="J39091" s="33"/>
    </row>
    <row r="39092" spans="10:10" x14ac:dyDescent="0.3">
      <c r="J39092" s="33"/>
    </row>
    <row r="39093" spans="10:10" x14ac:dyDescent="0.3">
      <c r="J39093" s="33"/>
    </row>
    <row r="39094" spans="10:10" ht="15" customHeight="1" x14ac:dyDescent="0.3">
      <c r="J39094" s="33"/>
    </row>
    <row r="39095" spans="10:10" ht="15" customHeight="1" x14ac:dyDescent="0.3">
      <c r="J39095" s="33"/>
    </row>
    <row r="39096" spans="10:10" x14ac:dyDescent="0.3">
      <c r="J39096" s="33"/>
    </row>
    <row r="39097" spans="10:10" ht="15" customHeight="1" x14ac:dyDescent="0.3">
      <c r="J39097" s="33"/>
    </row>
    <row r="39098" spans="10:10" x14ac:dyDescent="0.3">
      <c r="J39098" s="33"/>
    </row>
    <row r="39099" spans="10:10" ht="15" customHeight="1" x14ac:dyDescent="0.3">
      <c r="J39099" s="33"/>
    </row>
    <row r="39100" spans="10:10" x14ac:dyDescent="0.3">
      <c r="J39100" s="33"/>
    </row>
    <row r="39101" spans="10:10" x14ac:dyDescent="0.3">
      <c r="J39101" s="33"/>
    </row>
    <row r="39102" spans="10:10" x14ac:dyDescent="0.3">
      <c r="J39102" s="33"/>
    </row>
    <row r="39103" spans="10:10" ht="15" customHeight="1" x14ac:dyDescent="0.3">
      <c r="J39103" s="33"/>
    </row>
    <row r="39104" spans="10:10" x14ac:dyDescent="0.3">
      <c r="J39104" s="33"/>
    </row>
    <row r="39105" spans="10:10" x14ac:dyDescent="0.3">
      <c r="J39105" s="33"/>
    </row>
    <row r="39106" spans="10:10" x14ac:dyDescent="0.3">
      <c r="J39106" s="33"/>
    </row>
    <row r="39107" spans="10:10" ht="15" customHeight="1" x14ac:dyDescent="0.3">
      <c r="J39107" s="33"/>
    </row>
    <row r="39108" spans="10:10" x14ac:dyDescent="0.3">
      <c r="J39108" s="33"/>
    </row>
    <row r="39109" spans="10:10" x14ac:dyDescent="0.3">
      <c r="J39109" s="33"/>
    </row>
    <row r="39110" spans="10:10" x14ac:dyDescent="0.3">
      <c r="J39110" s="33"/>
    </row>
    <row r="39111" spans="10:10" x14ac:dyDescent="0.3">
      <c r="J39111" s="33"/>
    </row>
    <row r="39112" spans="10:10" x14ac:dyDescent="0.3">
      <c r="J39112" s="33"/>
    </row>
    <row r="39113" spans="10:10" x14ac:dyDescent="0.3">
      <c r="J39113" s="33"/>
    </row>
    <row r="39114" spans="10:10" x14ac:dyDescent="0.3">
      <c r="J39114" s="33"/>
    </row>
    <row r="39115" spans="10:10" x14ac:dyDescent="0.3">
      <c r="J39115" s="33"/>
    </row>
    <row r="39116" spans="10:10" x14ac:dyDescent="0.3">
      <c r="J39116" s="33"/>
    </row>
    <row r="39117" spans="10:10" ht="15" customHeight="1" x14ac:dyDescent="0.3">
      <c r="J39117" s="33"/>
    </row>
    <row r="39118" spans="10:10" x14ac:dyDescent="0.3">
      <c r="J39118" s="33"/>
    </row>
    <row r="39119" spans="10:10" ht="15" customHeight="1" x14ac:dyDescent="0.3">
      <c r="J39119" s="33"/>
    </row>
    <row r="39120" spans="10:10" ht="15" customHeight="1" x14ac:dyDescent="0.3">
      <c r="J39120" s="33"/>
    </row>
    <row r="39121" spans="10:10" x14ac:dyDescent="0.3">
      <c r="J39121" s="33"/>
    </row>
    <row r="39122" spans="10:10" x14ac:dyDescent="0.3">
      <c r="J39122" s="33"/>
    </row>
    <row r="39123" spans="10:10" ht="15" customHeight="1" x14ac:dyDescent="0.3">
      <c r="J39123" s="33"/>
    </row>
    <row r="39124" spans="10:10" x14ac:dyDescent="0.3">
      <c r="J39124" s="33"/>
    </row>
    <row r="39125" spans="10:10" x14ac:dyDescent="0.3">
      <c r="J39125" s="33"/>
    </row>
    <row r="39126" spans="10:10" ht="15" customHeight="1" x14ac:dyDescent="0.3">
      <c r="J39126" s="33"/>
    </row>
    <row r="39127" spans="10:10" ht="15" customHeight="1" x14ac:dyDescent="0.3">
      <c r="J39127" s="33"/>
    </row>
    <row r="39128" spans="10:10" x14ac:dyDescent="0.3">
      <c r="J39128" s="33"/>
    </row>
    <row r="39129" spans="10:10" x14ac:dyDescent="0.3">
      <c r="J39129" s="33"/>
    </row>
    <row r="39130" spans="10:10" ht="15" customHeight="1" x14ac:dyDescent="0.3">
      <c r="J39130" s="33"/>
    </row>
    <row r="39131" spans="10:10" x14ac:dyDescent="0.3">
      <c r="J39131" s="33"/>
    </row>
    <row r="39132" spans="10:10" x14ac:dyDescent="0.3">
      <c r="J39132" s="33"/>
    </row>
    <row r="39133" spans="10:10" x14ac:dyDescent="0.3">
      <c r="J39133" s="33"/>
    </row>
    <row r="39134" spans="10:10" ht="15" customHeight="1" x14ac:dyDescent="0.3">
      <c r="J39134" s="33"/>
    </row>
    <row r="39135" spans="10:10" ht="15" customHeight="1" x14ac:dyDescent="0.3">
      <c r="J39135" s="33"/>
    </row>
    <row r="39136" spans="10:10" ht="15" customHeight="1" x14ac:dyDescent="0.3">
      <c r="J39136" s="33"/>
    </row>
    <row r="39137" spans="10:10" ht="15" customHeight="1" x14ac:dyDescent="0.3">
      <c r="J39137" s="33"/>
    </row>
    <row r="39138" spans="10:10" x14ac:dyDescent="0.3">
      <c r="J39138" s="33"/>
    </row>
    <row r="39139" spans="10:10" x14ac:dyDescent="0.3">
      <c r="J39139" s="33"/>
    </row>
    <row r="39140" spans="10:10" x14ac:dyDescent="0.3">
      <c r="J39140" s="33"/>
    </row>
    <row r="39141" spans="10:10" x14ac:dyDescent="0.3">
      <c r="J39141" s="33"/>
    </row>
    <row r="39142" spans="10:10" x14ac:dyDescent="0.3">
      <c r="J39142" s="33"/>
    </row>
    <row r="39143" spans="10:10" x14ac:dyDescent="0.3">
      <c r="J39143" s="33"/>
    </row>
    <row r="39144" spans="10:10" ht="15" customHeight="1" x14ac:dyDescent="0.3">
      <c r="J39144" s="33"/>
    </row>
    <row r="39145" spans="10:10" x14ac:dyDescent="0.3">
      <c r="J39145" s="33"/>
    </row>
    <row r="39146" spans="10:10" ht="15" customHeight="1" x14ac:dyDescent="0.3">
      <c r="J39146" s="33"/>
    </row>
    <row r="39147" spans="10:10" ht="15" customHeight="1" x14ac:dyDescent="0.3">
      <c r="J39147" s="33"/>
    </row>
    <row r="39148" spans="10:10" ht="15" customHeight="1" x14ac:dyDescent="0.3">
      <c r="J39148" s="33"/>
    </row>
    <row r="39149" spans="10:10" x14ac:dyDescent="0.3">
      <c r="J39149" s="33"/>
    </row>
    <row r="39150" spans="10:10" x14ac:dyDescent="0.3">
      <c r="J39150" s="33"/>
    </row>
    <row r="39151" spans="10:10" x14ac:dyDescent="0.3">
      <c r="J39151" s="33"/>
    </row>
    <row r="39152" spans="10:10" ht="15" customHeight="1" x14ac:dyDescent="0.3">
      <c r="J39152" s="33"/>
    </row>
    <row r="39153" spans="10:10" ht="15" customHeight="1" x14ac:dyDescent="0.3">
      <c r="J39153" s="33"/>
    </row>
    <row r="39154" spans="10:10" x14ac:dyDescent="0.3">
      <c r="J39154" s="33"/>
    </row>
    <row r="39155" spans="10:10" ht="15" customHeight="1" x14ac:dyDescent="0.3">
      <c r="J39155" s="33"/>
    </row>
    <row r="39156" spans="10:10" x14ac:dyDescent="0.3">
      <c r="J39156" s="33"/>
    </row>
    <row r="39157" spans="10:10" x14ac:dyDescent="0.3">
      <c r="J39157" s="33"/>
    </row>
    <row r="39158" spans="10:10" x14ac:dyDescent="0.3">
      <c r="J39158" s="33"/>
    </row>
    <row r="39159" spans="10:10" x14ac:dyDescent="0.3">
      <c r="J39159" s="33"/>
    </row>
    <row r="39160" spans="10:10" ht="15" customHeight="1" x14ac:dyDescent="0.3">
      <c r="J39160" s="33"/>
    </row>
    <row r="39161" spans="10:10" x14ac:dyDescent="0.3">
      <c r="J39161" s="33"/>
    </row>
    <row r="39162" spans="10:10" ht="15" customHeight="1" x14ac:dyDescent="0.3">
      <c r="J39162" s="33"/>
    </row>
    <row r="39163" spans="10:10" ht="15" customHeight="1" x14ac:dyDescent="0.3">
      <c r="J39163" s="33"/>
    </row>
    <row r="39164" spans="10:10" x14ac:dyDescent="0.3">
      <c r="J39164" s="33"/>
    </row>
    <row r="39165" spans="10:10" x14ac:dyDescent="0.3">
      <c r="J39165" s="33"/>
    </row>
    <row r="39166" spans="10:10" ht="15" customHeight="1" x14ac:dyDescent="0.3">
      <c r="J39166" s="33"/>
    </row>
    <row r="39167" spans="10:10" x14ac:dyDescent="0.3">
      <c r="J39167" s="33"/>
    </row>
    <row r="39168" spans="10:10" x14ac:dyDescent="0.3">
      <c r="J39168" s="33"/>
    </row>
    <row r="39169" spans="10:10" ht="15" customHeight="1" x14ac:dyDescent="0.3">
      <c r="J39169" s="33"/>
    </row>
    <row r="39170" spans="10:10" x14ac:dyDescent="0.3">
      <c r="J39170" s="33"/>
    </row>
    <row r="39171" spans="10:10" x14ac:dyDescent="0.3">
      <c r="J39171" s="33"/>
    </row>
    <row r="39172" spans="10:10" x14ac:dyDescent="0.3">
      <c r="J39172" s="33"/>
    </row>
    <row r="39173" spans="10:10" x14ac:dyDescent="0.3">
      <c r="J39173" s="33"/>
    </row>
    <row r="39174" spans="10:10" x14ac:dyDescent="0.3">
      <c r="J39174" s="33"/>
    </row>
    <row r="39175" spans="10:10" x14ac:dyDescent="0.3">
      <c r="J39175" s="33"/>
    </row>
    <row r="39176" spans="10:10" x14ac:dyDescent="0.3">
      <c r="J39176" s="33"/>
    </row>
    <row r="39177" spans="10:10" ht="15" customHeight="1" x14ac:dyDescent="0.3">
      <c r="J39177" s="33"/>
    </row>
    <row r="39178" spans="10:10" ht="15" customHeight="1" x14ac:dyDescent="0.3">
      <c r="J39178" s="33"/>
    </row>
    <row r="39179" spans="10:10" ht="15" customHeight="1" x14ac:dyDescent="0.3">
      <c r="J39179" s="33"/>
    </row>
    <row r="39180" spans="10:10" x14ac:dyDescent="0.3">
      <c r="J39180" s="33"/>
    </row>
    <row r="39181" spans="10:10" x14ac:dyDescent="0.3">
      <c r="J39181" s="33"/>
    </row>
    <row r="39182" spans="10:10" x14ac:dyDescent="0.3">
      <c r="J39182" s="33"/>
    </row>
    <row r="39183" spans="10:10" ht="15" customHeight="1" x14ac:dyDescent="0.3">
      <c r="J39183" s="33"/>
    </row>
    <row r="39184" spans="10:10" ht="15" customHeight="1" x14ac:dyDescent="0.3">
      <c r="J39184" s="33"/>
    </row>
    <row r="39185" spans="10:10" ht="15" customHeight="1" x14ac:dyDescent="0.3">
      <c r="J39185" s="33"/>
    </row>
    <row r="39186" spans="10:10" x14ac:dyDescent="0.3">
      <c r="J39186" s="33"/>
    </row>
    <row r="39187" spans="10:10" ht="15" customHeight="1" x14ac:dyDescent="0.3">
      <c r="J39187" s="33"/>
    </row>
    <row r="39188" spans="10:10" ht="15" customHeight="1" x14ac:dyDescent="0.3">
      <c r="J39188" s="33"/>
    </row>
    <row r="39189" spans="10:10" x14ac:dyDescent="0.3">
      <c r="J39189" s="33"/>
    </row>
    <row r="39190" spans="10:10" ht="15" customHeight="1" x14ac:dyDescent="0.3">
      <c r="J39190" s="33"/>
    </row>
    <row r="39191" spans="10:10" ht="15" customHeight="1" x14ac:dyDescent="0.3">
      <c r="J39191" s="33"/>
    </row>
    <row r="39192" spans="10:10" x14ac:dyDescent="0.3">
      <c r="J39192" s="33"/>
    </row>
    <row r="39193" spans="10:10" x14ac:dyDescent="0.3">
      <c r="J39193" s="33"/>
    </row>
    <row r="39194" spans="10:10" ht="15" customHeight="1" x14ac:dyDescent="0.3">
      <c r="J39194" s="33"/>
    </row>
    <row r="39195" spans="10:10" x14ac:dyDescent="0.3">
      <c r="J39195" s="33"/>
    </row>
    <row r="39196" spans="10:10" x14ac:dyDescent="0.3">
      <c r="J39196" s="33"/>
    </row>
    <row r="39197" spans="10:10" x14ac:dyDescent="0.3">
      <c r="J39197" s="33"/>
    </row>
    <row r="39198" spans="10:10" ht="15" customHeight="1" x14ac:dyDescent="0.3">
      <c r="J39198" s="33"/>
    </row>
    <row r="39199" spans="10:10" ht="15" customHeight="1" x14ac:dyDescent="0.3">
      <c r="J39199" s="33"/>
    </row>
    <row r="39200" spans="10:10" x14ac:dyDescent="0.3">
      <c r="J39200" s="33"/>
    </row>
    <row r="39201" spans="10:10" x14ac:dyDescent="0.3">
      <c r="J39201" s="33"/>
    </row>
    <row r="39202" spans="10:10" ht="15" customHeight="1" x14ac:dyDescent="0.3">
      <c r="J39202" s="33"/>
    </row>
    <row r="39203" spans="10:10" ht="15" customHeight="1" x14ac:dyDescent="0.3">
      <c r="J39203" s="33"/>
    </row>
    <row r="39204" spans="10:10" x14ac:dyDescent="0.3">
      <c r="J39204" s="33"/>
    </row>
    <row r="39205" spans="10:10" x14ac:dyDescent="0.3">
      <c r="J39205" s="33"/>
    </row>
    <row r="39206" spans="10:10" x14ac:dyDescent="0.3">
      <c r="J39206" s="33"/>
    </row>
    <row r="39207" spans="10:10" ht="15" customHeight="1" x14ac:dyDescent="0.3">
      <c r="J39207" s="33"/>
    </row>
    <row r="39208" spans="10:10" ht="15" customHeight="1" x14ac:dyDescent="0.3">
      <c r="J39208" s="33"/>
    </row>
    <row r="39209" spans="10:10" x14ac:dyDescent="0.3">
      <c r="J39209" s="33"/>
    </row>
    <row r="39210" spans="10:10" ht="15" customHeight="1" x14ac:dyDescent="0.3">
      <c r="J39210" s="33"/>
    </row>
    <row r="39211" spans="10:10" ht="15" customHeight="1" x14ac:dyDescent="0.3">
      <c r="J39211" s="33"/>
    </row>
    <row r="39212" spans="10:10" ht="15" customHeight="1" x14ac:dyDescent="0.3">
      <c r="J39212" s="33"/>
    </row>
    <row r="39213" spans="10:10" ht="15" customHeight="1" x14ac:dyDescent="0.3">
      <c r="J39213" s="33"/>
    </row>
    <row r="39214" spans="10:10" x14ac:dyDescent="0.3">
      <c r="J39214" s="33"/>
    </row>
    <row r="39215" spans="10:10" ht="15" customHeight="1" x14ac:dyDescent="0.3">
      <c r="J39215" s="33"/>
    </row>
    <row r="39216" spans="10:10" x14ac:dyDescent="0.3">
      <c r="J39216" s="33"/>
    </row>
    <row r="39217" spans="10:10" x14ac:dyDescent="0.3">
      <c r="J39217" s="33"/>
    </row>
    <row r="39218" spans="10:10" ht="15" customHeight="1" x14ac:dyDescent="0.3">
      <c r="J39218" s="33"/>
    </row>
    <row r="39219" spans="10:10" x14ac:dyDescent="0.3">
      <c r="J39219" s="33"/>
    </row>
    <row r="39220" spans="10:10" ht="15" customHeight="1" x14ac:dyDescent="0.3">
      <c r="J39220" s="33"/>
    </row>
    <row r="39221" spans="10:10" ht="15" customHeight="1" x14ac:dyDescent="0.3">
      <c r="J39221" s="33"/>
    </row>
    <row r="39222" spans="10:10" x14ac:dyDescent="0.3">
      <c r="J39222" s="33"/>
    </row>
    <row r="39223" spans="10:10" ht="15" customHeight="1" x14ac:dyDescent="0.3">
      <c r="J39223" s="33"/>
    </row>
    <row r="39224" spans="10:10" ht="15" customHeight="1" x14ac:dyDescent="0.3">
      <c r="J39224" s="33"/>
    </row>
    <row r="39225" spans="10:10" x14ac:dyDescent="0.3">
      <c r="J39225" s="33"/>
    </row>
    <row r="39226" spans="10:10" x14ac:dyDescent="0.3">
      <c r="J39226" s="33"/>
    </row>
    <row r="39227" spans="10:10" ht="15" customHeight="1" x14ac:dyDescent="0.3">
      <c r="J39227" s="33"/>
    </row>
    <row r="39228" spans="10:10" ht="15" customHeight="1" x14ac:dyDescent="0.3">
      <c r="J39228" s="33"/>
    </row>
    <row r="39229" spans="10:10" x14ac:dyDescent="0.3">
      <c r="J39229" s="33"/>
    </row>
    <row r="39230" spans="10:10" x14ac:dyDescent="0.3">
      <c r="J39230" s="33"/>
    </row>
    <row r="39231" spans="10:10" ht="15" customHeight="1" x14ac:dyDescent="0.3">
      <c r="J39231" s="33"/>
    </row>
    <row r="39232" spans="10:10" x14ac:dyDescent="0.3">
      <c r="J39232" s="33"/>
    </row>
    <row r="39233" spans="10:10" x14ac:dyDescent="0.3">
      <c r="J39233" s="33"/>
    </row>
    <row r="39234" spans="10:10" x14ac:dyDescent="0.3">
      <c r="J39234" s="33"/>
    </row>
    <row r="39235" spans="10:10" x14ac:dyDescent="0.3">
      <c r="J39235" s="33"/>
    </row>
    <row r="39236" spans="10:10" x14ac:dyDescent="0.3">
      <c r="J39236" s="33"/>
    </row>
    <row r="39237" spans="10:10" ht="15" customHeight="1" x14ac:dyDescent="0.3">
      <c r="J39237" s="33"/>
    </row>
    <row r="39238" spans="10:10" x14ac:dyDescent="0.3">
      <c r="J39238" s="33"/>
    </row>
    <row r="39239" spans="10:10" ht="15" customHeight="1" x14ac:dyDescent="0.3">
      <c r="J39239" s="33"/>
    </row>
    <row r="39240" spans="10:10" x14ac:dyDescent="0.3">
      <c r="J39240" s="33"/>
    </row>
    <row r="39241" spans="10:10" x14ac:dyDescent="0.3">
      <c r="J39241" s="33"/>
    </row>
    <row r="39242" spans="10:10" ht="15" customHeight="1" x14ac:dyDescent="0.3">
      <c r="J39242" s="33"/>
    </row>
    <row r="39243" spans="10:10" ht="15" customHeight="1" x14ac:dyDescent="0.3">
      <c r="J39243" s="33"/>
    </row>
    <row r="39244" spans="10:10" x14ac:dyDescent="0.3">
      <c r="J39244" s="33"/>
    </row>
    <row r="39245" spans="10:10" ht="15" customHeight="1" x14ac:dyDescent="0.3">
      <c r="J39245" s="33"/>
    </row>
    <row r="39246" spans="10:10" x14ac:dyDescent="0.3">
      <c r="J39246" s="33"/>
    </row>
    <row r="39247" spans="10:10" x14ac:dyDescent="0.3">
      <c r="J39247" s="33"/>
    </row>
    <row r="39248" spans="10:10" ht="15" customHeight="1" x14ac:dyDescent="0.3">
      <c r="J39248" s="33"/>
    </row>
    <row r="39249" spans="10:10" ht="15" customHeight="1" x14ac:dyDescent="0.3">
      <c r="J39249" s="33"/>
    </row>
    <row r="39250" spans="10:10" ht="15" customHeight="1" x14ac:dyDescent="0.3">
      <c r="J39250" s="33"/>
    </row>
    <row r="39251" spans="10:10" x14ac:dyDescent="0.3">
      <c r="J39251" s="33"/>
    </row>
    <row r="39252" spans="10:10" x14ac:dyDescent="0.3">
      <c r="J39252" s="33"/>
    </row>
    <row r="39253" spans="10:10" ht="15" customHeight="1" x14ac:dyDescent="0.3">
      <c r="J39253" s="33"/>
    </row>
    <row r="39254" spans="10:10" ht="15" customHeight="1" x14ac:dyDescent="0.3">
      <c r="J39254" s="33"/>
    </row>
    <row r="39255" spans="10:10" x14ac:dyDescent="0.3">
      <c r="J39255" s="33"/>
    </row>
    <row r="39256" spans="10:10" ht="15" customHeight="1" x14ac:dyDescent="0.3">
      <c r="J39256" s="33"/>
    </row>
    <row r="39257" spans="10:10" ht="15" customHeight="1" x14ac:dyDescent="0.3">
      <c r="J39257" s="33"/>
    </row>
    <row r="39258" spans="10:10" ht="15" customHeight="1" x14ac:dyDescent="0.3">
      <c r="J39258" s="33"/>
    </row>
    <row r="39259" spans="10:10" x14ac:dyDescent="0.3">
      <c r="J39259" s="33"/>
    </row>
    <row r="39260" spans="10:10" ht="15" customHeight="1" x14ac:dyDescent="0.3">
      <c r="J39260" s="33"/>
    </row>
    <row r="39261" spans="10:10" x14ac:dyDescent="0.3">
      <c r="J39261" s="33"/>
    </row>
    <row r="39262" spans="10:10" x14ac:dyDescent="0.3">
      <c r="J39262" s="33"/>
    </row>
    <row r="39263" spans="10:10" x14ac:dyDescent="0.3">
      <c r="J39263" s="33"/>
    </row>
    <row r="39264" spans="10:10" x14ac:dyDescent="0.3">
      <c r="J39264" s="33"/>
    </row>
    <row r="39265" spans="10:10" ht="15" customHeight="1" x14ac:dyDescent="0.3">
      <c r="J39265" s="33"/>
    </row>
    <row r="39266" spans="10:10" x14ac:dyDescent="0.3">
      <c r="J39266" s="33"/>
    </row>
    <row r="39267" spans="10:10" x14ac:dyDescent="0.3">
      <c r="J39267" s="33"/>
    </row>
    <row r="39268" spans="10:10" ht="15" customHeight="1" x14ac:dyDescent="0.3">
      <c r="J39268" s="33"/>
    </row>
    <row r="39269" spans="10:10" ht="15" customHeight="1" x14ac:dyDescent="0.3">
      <c r="J39269" s="33"/>
    </row>
    <row r="39270" spans="10:10" x14ac:dyDescent="0.3">
      <c r="J39270" s="33"/>
    </row>
    <row r="39271" spans="10:10" x14ac:dyDescent="0.3">
      <c r="J39271" s="33"/>
    </row>
    <row r="39272" spans="10:10" ht="15" customHeight="1" x14ac:dyDescent="0.3">
      <c r="J39272" s="33"/>
    </row>
    <row r="39273" spans="10:10" ht="15" customHeight="1" x14ac:dyDescent="0.3">
      <c r="J39273" s="33"/>
    </row>
    <row r="39274" spans="10:10" x14ac:dyDescent="0.3">
      <c r="J39274" s="33"/>
    </row>
    <row r="39275" spans="10:10" x14ac:dyDescent="0.3">
      <c r="J39275" s="33"/>
    </row>
    <row r="39276" spans="10:10" x14ac:dyDescent="0.3">
      <c r="J39276" s="33"/>
    </row>
    <row r="39277" spans="10:10" ht="15" customHeight="1" x14ac:dyDescent="0.3">
      <c r="J39277" s="33"/>
    </row>
    <row r="39278" spans="10:10" x14ac:dyDescent="0.3">
      <c r="J39278" s="33"/>
    </row>
    <row r="39279" spans="10:10" x14ac:dyDescent="0.3">
      <c r="J39279" s="33"/>
    </row>
    <row r="39280" spans="10:10" ht="15" customHeight="1" x14ac:dyDescent="0.3">
      <c r="J39280" s="33"/>
    </row>
    <row r="39281" spans="10:10" ht="15" customHeight="1" x14ac:dyDescent="0.3">
      <c r="J39281" s="33"/>
    </row>
    <row r="39282" spans="10:10" x14ac:dyDescent="0.3">
      <c r="J39282" s="33"/>
    </row>
    <row r="39283" spans="10:10" x14ac:dyDescent="0.3">
      <c r="J39283" s="33"/>
    </row>
    <row r="39284" spans="10:10" x14ac:dyDescent="0.3">
      <c r="J39284" s="33"/>
    </row>
    <row r="39285" spans="10:10" x14ac:dyDescent="0.3">
      <c r="J39285" s="33"/>
    </row>
    <row r="39286" spans="10:10" x14ac:dyDescent="0.3">
      <c r="J39286" s="33"/>
    </row>
    <row r="39287" spans="10:10" ht="15" customHeight="1" x14ac:dyDescent="0.3">
      <c r="J39287" s="33"/>
    </row>
    <row r="39288" spans="10:10" x14ac:dyDescent="0.3">
      <c r="J39288" s="33"/>
    </row>
    <row r="39289" spans="10:10" x14ac:dyDescent="0.3">
      <c r="J39289" s="33"/>
    </row>
    <row r="39290" spans="10:10" x14ac:dyDescent="0.3">
      <c r="J39290" s="33"/>
    </row>
    <row r="39291" spans="10:10" ht="15" customHeight="1" x14ac:dyDescent="0.3">
      <c r="J39291" s="33"/>
    </row>
    <row r="39292" spans="10:10" x14ac:dyDescent="0.3">
      <c r="J39292" s="33"/>
    </row>
    <row r="39293" spans="10:10" x14ac:dyDescent="0.3">
      <c r="J39293" s="33"/>
    </row>
    <row r="39294" spans="10:10" ht="15" customHeight="1" x14ac:dyDescent="0.3">
      <c r="J39294" s="33"/>
    </row>
    <row r="39295" spans="10:10" x14ac:dyDescent="0.3">
      <c r="J39295" s="33"/>
    </row>
    <row r="39296" spans="10:10" x14ac:dyDescent="0.3">
      <c r="J39296" s="33"/>
    </row>
    <row r="39297" spans="10:10" x14ac:dyDescent="0.3">
      <c r="J39297" s="33"/>
    </row>
    <row r="39298" spans="10:10" x14ac:dyDescent="0.3">
      <c r="J39298" s="33"/>
    </row>
    <row r="39299" spans="10:10" ht="15" customHeight="1" x14ac:dyDescent="0.3">
      <c r="J39299" s="33"/>
    </row>
    <row r="39300" spans="10:10" ht="15" customHeight="1" x14ac:dyDescent="0.3">
      <c r="J39300" s="33"/>
    </row>
    <row r="39301" spans="10:10" ht="15" customHeight="1" x14ac:dyDescent="0.3">
      <c r="J39301" s="33"/>
    </row>
    <row r="39302" spans="10:10" ht="15" customHeight="1" x14ac:dyDescent="0.3">
      <c r="J39302" s="33"/>
    </row>
    <row r="39303" spans="10:10" ht="15" customHeight="1" x14ac:dyDescent="0.3">
      <c r="J39303" s="33"/>
    </row>
    <row r="39304" spans="10:10" ht="15" customHeight="1" x14ac:dyDescent="0.3">
      <c r="J39304" s="33"/>
    </row>
    <row r="39305" spans="10:10" ht="15" customHeight="1" x14ac:dyDescent="0.3">
      <c r="J39305" s="33"/>
    </row>
    <row r="39306" spans="10:10" ht="15" customHeight="1" x14ac:dyDescent="0.3">
      <c r="J39306" s="33"/>
    </row>
    <row r="39307" spans="10:10" ht="15" customHeight="1" x14ac:dyDescent="0.3">
      <c r="J39307" s="33"/>
    </row>
    <row r="39308" spans="10:10" ht="15" customHeight="1" x14ac:dyDescent="0.3">
      <c r="J39308" s="33"/>
    </row>
    <row r="39309" spans="10:10" x14ac:dyDescent="0.3">
      <c r="J39309" s="33"/>
    </row>
    <row r="39310" spans="10:10" ht="15" customHeight="1" x14ac:dyDescent="0.3">
      <c r="J39310" s="33"/>
    </row>
    <row r="39311" spans="10:10" ht="15" customHeight="1" x14ac:dyDescent="0.3">
      <c r="J39311" s="33"/>
    </row>
    <row r="39312" spans="10:10" ht="15" customHeight="1" x14ac:dyDescent="0.3">
      <c r="J39312" s="33"/>
    </row>
    <row r="39313" spans="10:10" ht="15" customHeight="1" x14ac:dyDescent="0.3">
      <c r="J39313" s="33"/>
    </row>
    <row r="39314" spans="10:10" ht="15" customHeight="1" x14ac:dyDescent="0.3">
      <c r="J39314" s="33"/>
    </row>
    <row r="39315" spans="10:10" ht="15" customHeight="1" x14ac:dyDescent="0.3">
      <c r="J39315" s="33"/>
    </row>
    <row r="39316" spans="10:10" ht="15" customHeight="1" x14ac:dyDescent="0.3">
      <c r="J39316" s="33"/>
    </row>
    <row r="39317" spans="10:10" ht="15" customHeight="1" x14ac:dyDescent="0.3">
      <c r="J39317" s="33"/>
    </row>
    <row r="39318" spans="10:10" ht="15" customHeight="1" x14ac:dyDescent="0.3">
      <c r="J39318" s="33"/>
    </row>
    <row r="39319" spans="10:10" ht="15" customHeight="1" x14ac:dyDescent="0.3">
      <c r="J39319" s="33"/>
    </row>
    <row r="39320" spans="10:10" x14ac:dyDescent="0.3">
      <c r="J39320" s="33"/>
    </row>
    <row r="39321" spans="10:10" ht="15" customHeight="1" x14ac:dyDescent="0.3">
      <c r="J39321" s="33"/>
    </row>
    <row r="39322" spans="10:10" ht="15" customHeight="1" x14ac:dyDescent="0.3">
      <c r="J39322" s="33"/>
    </row>
    <row r="39323" spans="10:10" ht="15" customHeight="1" x14ac:dyDescent="0.3">
      <c r="J39323" s="33"/>
    </row>
    <row r="39324" spans="10:10" ht="15" customHeight="1" x14ac:dyDescent="0.3">
      <c r="J39324" s="33"/>
    </row>
    <row r="39325" spans="10:10" ht="15" customHeight="1" x14ac:dyDescent="0.3">
      <c r="J39325" s="33"/>
    </row>
    <row r="39326" spans="10:10" ht="15" customHeight="1" x14ac:dyDescent="0.3">
      <c r="J39326" s="33"/>
    </row>
    <row r="39327" spans="10:10" ht="15" customHeight="1" x14ac:dyDescent="0.3">
      <c r="J39327" s="33"/>
    </row>
    <row r="39328" spans="10:10" ht="15" customHeight="1" x14ac:dyDescent="0.3">
      <c r="J39328" s="33"/>
    </row>
    <row r="39329" spans="10:10" ht="15" customHeight="1" x14ac:dyDescent="0.3">
      <c r="J39329" s="33"/>
    </row>
    <row r="39330" spans="10:10" ht="15" customHeight="1" x14ac:dyDescent="0.3">
      <c r="J39330" s="33"/>
    </row>
    <row r="39331" spans="10:10" ht="15" customHeight="1" x14ac:dyDescent="0.3">
      <c r="J39331" s="33"/>
    </row>
    <row r="39332" spans="10:10" ht="15" customHeight="1" x14ac:dyDescent="0.3">
      <c r="J39332" s="33"/>
    </row>
    <row r="39333" spans="10:10" ht="15" customHeight="1" x14ac:dyDescent="0.3">
      <c r="J39333" s="33"/>
    </row>
    <row r="39334" spans="10:10" ht="15" customHeight="1" x14ac:dyDescent="0.3">
      <c r="J39334" s="33"/>
    </row>
    <row r="39335" spans="10:10" ht="15" customHeight="1" x14ac:dyDescent="0.3">
      <c r="J39335" s="33"/>
    </row>
    <row r="39336" spans="10:10" ht="15" customHeight="1" x14ac:dyDescent="0.3">
      <c r="J39336" s="33"/>
    </row>
    <row r="39337" spans="10:10" x14ac:dyDescent="0.3">
      <c r="J39337" s="33"/>
    </row>
    <row r="39338" spans="10:10" ht="15" customHeight="1" x14ac:dyDescent="0.3">
      <c r="J39338" s="33"/>
    </row>
    <row r="39339" spans="10:10" ht="15" customHeight="1" x14ac:dyDescent="0.3">
      <c r="J39339" s="33"/>
    </row>
    <row r="39340" spans="10:10" x14ac:dyDescent="0.3">
      <c r="J39340" s="33"/>
    </row>
    <row r="39341" spans="10:10" x14ac:dyDescent="0.3">
      <c r="J39341" s="33"/>
    </row>
    <row r="39342" spans="10:10" ht="15" customHeight="1" x14ac:dyDescent="0.3">
      <c r="J39342" s="33"/>
    </row>
    <row r="39343" spans="10:10" ht="15" customHeight="1" x14ac:dyDescent="0.3">
      <c r="J39343" s="33"/>
    </row>
    <row r="39344" spans="10:10" x14ac:dyDescent="0.3">
      <c r="J39344" s="33"/>
    </row>
    <row r="39345" spans="10:10" x14ac:dyDescent="0.3">
      <c r="J39345" s="33"/>
    </row>
    <row r="39346" spans="10:10" ht="15" customHeight="1" x14ac:dyDescent="0.3">
      <c r="J39346" s="33"/>
    </row>
    <row r="39347" spans="10:10" ht="15" customHeight="1" x14ac:dyDescent="0.3">
      <c r="J39347" s="33"/>
    </row>
    <row r="39348" spans="10:10" ht="15" customHeight="1" x14ac:dyDescent="0.3">
      <c r="J39348" s="33"/>
    </row>
    <row r="39349" spans="10:10" ht="15" customHeight="1" x14ac:dyDescent="0.3">
      <c r="J39349" s="33"/>
    </row>
    <row r="39350" spans="10:10" ht="15" customHeight="1" x14ac:dyDescent="0.3">
      <c r="J39350" s="33"/>
    </row>
    <row r="39351" spans="10:10" x14ac:dyDescent="0.3">
      <c r="J39351" s="33"/>
    </row>
    <row r="39352" spans="10:10" ht="15" customHeight="1" x14ac:dyDescent="0.3">
      <c r="J39352" s="33"/>
    </row>
    <row r="39353" spans="10:10" ht="15" customHeight="1" x14ac:dyDescent="0.3">
      <c r="J39353" s="33"/>
    </row>
    <row r="39354" spans="10:10" ht="15" customHeight="1" x14ac:dyDescent="0.3">
      <c r="J39354" s="33"/>
    </row>
    <row r="39355" spans="10:10" ht="15" customHeight="1" x14ac:dyDescent="0.3">
      <c r="J39355" s="33"/>
    </row>
    <row r="39356" spans="10:10" x14ac:dyDescent="0.3">
      <c r="J39356" s="33"/>
    </row>
    <row r="39357" spans="10:10" ht="15" customHeight="1" x14ac:dyDescent="0.3">
      <c r="J39357" s="33"/>
    </row>
    <row r="39358" spans="10:10" ht="15" customHeight="1" x14ac:dyDescent="0.3">
      <c r="J39358" s="33"/>
    </row>
    <row r="39359" spans="10:10" ht="15" customHeight="1" x14ac:dyDescent="0.3">
      <c r="J39359" s="33"/>
    </row>
    <row r="39360" spans="10:10" x14ac:dyDescent="0.3">
      <c r="J39360" s="33"/>
    </row>
    <row r="39361" spans="10:10" ht="15" customHeight="1" x14ac:dyDescent="0.3">
      <c r="J39361" s="33"/>
    </row>
    <row r="39362" spans="10:10" ht="15" customHeight="1" x14ac:dyDescent="0.3">
      <c r="J39362" s="33"/>
    </row>
    <row r="39363" spans="10:10" ht="15" customHeight="1" x14ac:dyDescent="0.3">
      <c r="J39363" s="33"/>
    </row>
    <row r="39364" spans="10:10" ht="15" customHeight="1" x14ac:dyDescent="0.3">
      <c r="J39364" s="33"/>
    </row>
    <row r="39365" spans="10:10" ht="15" customHeight="1" x14ac:dyDescent="0.3">
      <c r="J39365" s="33"/>
    </row>
    <row r="39366" spans="10:10" x14ac:dyDescent="0.3">
      <c r="J39366" s="33"/>
    </row>
    <row r="39367" spans="10:10" ht="15" customHeight="1" x14ac:dyDescent="0.3">
      <c r="J39367" s="33"/>
    </row>
    <row r="39368" spans="10:10" ht="15" customHeight="1" x14ac:dyDescent="0.3">
      <c r="J39368" s="33"/>
    </row>
    <row r="39369" spans="10:10" ht="15" customHeight="1" x14ac:dyDescent="0.3">
      <c r="J39369" s="33"/>
    </row>
    <row r="39370" spans="10:10" ht="15" customHeight="1" x14ac:dyDescent="0.3">
      <c r="J39370" s="33"/>
    </row>
    <row r="39371" spans="10:10" ht="15" customHeight="1" x14ac:dyDescent="0.3">
      <c r="J39371" s="33"/>
    </row>
    <row r="39372" spans="10:10" ht="15" customHeight="1" x14ac:dyDescent="0.3">
      <c r="J39372" s="33"/>
    </row>
    <row r="39373" spans="10:10" ht="15" customHeight="1" x14ac:dyDescent="0.3">
      <c r="J39373" s="33"/>
    </row>
    <row r="39374" spans="10:10" x14ac:dyDescent="0.3">
      <c r="J39374" s="33"/>
    </row>
    <row r="39375" spans="10:10" ht="15" customHeight="1" x14ac:dyDescent="0.3">
      <c r="J39375" s="33"/>
    </row>
    <row r="39376" spans="10:10" x14ac:dyDescent="0.3">
      <c r="J39376" s="33"/>
    </row>
    <row r="39377" spans="10:10" x14ac:dyDescent="0.3">
      <c r="J39377" s="33"/>
    </row>
    <row r="39378" spans="10:10" ht="15" customHeight="1" x14ac:dyDescent="0.3">
      <c r="J39378" s="33"/>
    </row>
    <row r="39379" spans="10:10" ht="15" customHeight="1" x14ac:dyDescent="0.3">
      <c r="J39379" s="33"/>
    </row>
    <row r="39380" spans="10:10" ht="15" customHeight="1" x14ac:dyDescent="0.3">
      <c r="J39380" s="33"/>
    </row>
    <row r="39381" spans="10:10" ht="15" customHeight="1" x14ac:dyDescent="0.3">
      <c r="J39381" s="33"/>
    </row>
    <row r="39382" spans="10:10" ht="15" customHeight="1" x14ac:dyDescent="0.3">
      <c r="J39382" s="33"/>
    </row>
    <row r="39383" spans="10:10" x14ac:dyDescent="0.3">
      <c r="J39383" s="33"/>
    </row>
    <row r="39384" spans="10:10" ht="15" customHeight="1" x14ac:dyDescent="0.3">
      <c r="J39384" s="33"/>
    </row>
    <row r="39385" spans="10:10" ht="15" customHeight="1" x14ac:dyDescent="0.3">
      <c r="J39385" s="33"/>
    </row>
    <row r="39386" spans="10:10" ht="15" customHeight="1" x14ac:dyDescent="0.3">
      <c r="J39386" s="33"/>
    </row>
    <row r="39387" spans="10:10" ht="15" customHeight="1" x14ac:dyDescent="0.3">
      <c r="J39387" s="33"/>
    </row>
    <row r="39388" spans="10:10" ht="15" customHeight="1" x14ac:dyDescent="0.3">
      <c r="J39388" s="33"/>
    </row>
    <row r="39389" spans="10:10" ht="15" customHeight="1" x14ac:dyDescent="0.3">
      <c r="J39389" s="33"/>
    </row>
    <row r="39390" spans="10:10" ht="15" customHeight="1" x14ac:dyDescent="0.3">
      <c r="J39390" s="33"/>
    </row>
    <row r="39391" spans="10:10" ht="15" customHeight="1" x14ac:dyDescent="0.3">
      <c r="J39391" s="33"/>
    </row>
    <row r="39392" spans="10:10" x14ac:dyDescent="0.3">
      <c r="J39392" s="33"/>
    </row>
    <row r="39393" spans="10:10" x14ac:dyDescent="0.3">
      <c r="J39393" s="33"/>
    </row>
    <row r="39394" spans="10:10" ht="15" customHeight="1" x14ac:dyDescent="0.3">
      <c r="J39394" s="33"/>
    </row>
    <row r="39395" spans="10:10" ht="15" customHeight="1" x14ac:dyDescent="0.3">
      <c r="J39395" s="33"/>
    </row>
    <row r="39396" spans="10:10" ht="15" customHeight="1" x14ac:dyDescent="0.3">
      <c r="J39396" s="33"/>
    </row>
    <row r="39397" spans="10:10" x14ac:dyDescent="0.3">
      <c r="J39397" s="33"/>
    </row>
    <row r="39398" spans="10:10" x14ac:dyDescent="0.3">
      <c r="J39398" s="33"/>
    </row>
    <row r="39399" spans="10:10" ht="15" customHeight="1" x14ac:dyDescent="0.3">
      <c r="J39399" s="33"/>
    </row>
    <row r="39400" spans="10:10" ht="15" customHeight="1" x14ac:dyDescent="0.3">
      <c r="J39400" s="33"/>
    </row>
    <row r="39401" spans="10:10" ht="15" customHeight="1" x14ac:dyDescent="0.3">
      <c r="J39401" s="33"/>
    </row>
    <row r="39402" spans="10:10" x14ac:dyDescent="0.3">
      <c r="J39402" s="33"/>
    </row>
    <row r="39403" spans="10:10" ht="15" customHeight="1" x14ac:dyDescent="0.3">
      <c r="J39403" s="33"/>
    </row>
    <row r="39404" spans="10:10" ht="15" customHeight="1" x14ac:dyDescent="0.3">
      <c r="J39404" s="33"/>
    </row>
    <row r="39405" spans="10:10" x14ac:dyDescent="0.3">
      <c r="J39405" s="33"/>
    </row>
    <row r="39406" spans="10:10" ht="15" customHeight="1" x14ac:dyDescent="0.3">
      <c r="J39406" s="33"/>
    </row>
    <row r="39407" spans="10:10" ht="15" customHeight="1" x14ac:dyDescent="0.3">
      <c r="J39407" s="33"/>
    </row>
    <row r="39408" spans="10:10" x14ac:dyDescent="0.3">
      <c r="J39408" s="33"/>
    </row>
    <row r="39409" spans="10:10" x14ac:dyDescent="0.3">
      <c r="J39409" s="33"/>
    </row>
    <row r="39410" spans="10:10" x14ac:dyDescent="0.3">
      <c r="J39410" s="33"/>
    </row>
    <row r="39411" spans="10:10" ht="15" customHeight="1" x14ac:dyDescent="0.3">
      <c r="J39411" s="33"/>
    </row>
    <row r="39412" spans="10:10" ht="15" customHeight="1" x14ac:dyDescent="0.3">
      <c r="J39412" s="33"/>
    </row>
    <row r="39413" spans="10:10" ht="15" customHeight="1" x14ac:dyDescent="0.3">
      <c r="J39413" s="33"/>
    </row>
    <row r="39414" spans="10:10" ht="15" customHeight="1" x14ac:dyDescent="0.3">
      <c r="J39414" s="33"/>
    </row>
    <row r="39415" spans="10:10" ht="15" customHeight="1" x14ac:dyDescent="0.3">
      <c r="J39415" s="33"/>
    </row>
    <row r="39416" spans="10:10" ht="15" customHeight="1" x14ac:dyDescent="0.3">
      <c r="J39416" s="33"/>
    </row>
    <row r="39417" spans="10:10" ht="15" customHeight="1" x14ac:dyDescent="0.3">
      <c r="J39417" s="33"/>
    </row>
    <row r="39418" spans="10:10" ht="15" customHeight="1" x14ac:dyDescent="0.3">
      <c r="J39418" s="33"/>
    </row>
    <row r="39419" spans="10:10" x14ac:dyDescent="0.3">
      <c r="J39419" s="33"/>
    </row>
    <row r="39420" spans="10:10" ht="15" customHeight="1" x14ac:dyDescent="0.3">
      <c r="J39420" s="33"/>
    </row>
    <row r="39421" spans="10:10" x14ac:dyDescent="0.3">
      <c r="J39421" s="33"/>
    </row>
    <row r="39422" spans="10:10" ht="15" customHeight="1" x14ac:dyDescent="0.3">
      <c r="J39422" s="33"/>
    </row>
    <row r="39423" spans="10:10" x14ac:dyDescent="0.3">
      <c r="J39423" s="33"/>
    </row>
    <row r="39424" spans="10:10" ht="15" customHeight="1" x14ac:dyDescent="0.3">
      <c r="J39424" s="33"/>
    </row>
    <row r="39425" spans="10:10" ht="15" customHeight="1" x14ac:dyDescent="0.3">
      <c r="J39425" s="33"/>
    </row>
    <row r="39426" spans="10:10" ht="15" customHeight="1" x14ac:dyDescent="0.3">
      <c r="J39426" s="33"/>
    </row>
    <row r="39427" spans="10:10" ht="15" customHeight="1" x14ac:dyDescent="0.3">
      <c r="J39427" s="33"/>
    </row>
    <row r="39428" spans="10:10" ht="15" customHeight="1" x14ac:dyDescent="0.3">
      <c r="J39428" s="33"/>
    </row>
    <row r="39429" spans="10:10" ht="15" customHeight="1" x14ac:dyDescent="0.3">
      <c r="J39429" s="33"/>
    </row>
    <row r="39430" spans="10:10" ht="15" customHeight="1" x14ac:dyDescent="0.3">
      <c r="J39430" s="33"/>
    </row>
    <row r="39431" spans="10:10" x14ac:dyDescent="0.3">
      <c r="J39431" s="33"/>
    </row>
    <row r="39432" spans="10:10" ht="15" customHeight="1" x14ac:dyDescent="0.3">
      <c r="J39432" s="33"/>
    </row>
    <row r="39433" spans="10:10" ht="15" customHeight="1" x14ac:dyDescent="0.3">
      <c r="J39433" s="33"/>
    </row>
    <row r="39434" spans="10:10" ht="15" customHeight="1" x14ac:dyDescent="0.3">
      <c r="J39434" s="33"/>
    </row>
    <row r="39435" spans="10:10" ht="15" customHeight="1" x14ac:dyDescent="0.3">
      <c r="J39435" s="33"/>
    </row>
    <row r="39436" spans="10:10" ht="15" customHeight="1" x14ac:dyDescent="0.3">
      <c r="J39436" s="33"/>
    </row>
    <row r="39437" spans="10:10" ht="15" customHeight="1" x14ac:dyDescent="0.3">
      <c r="J39437" s="33"/>
    </row>
    <row r="39438" spans="10:10" ht="15" customHeight="1" x14ac:dyDescent="0.3">
      <c r="J39438" s="33"/>
    </row>
    <row r="39439" spans="10:10" x14ac:dyDescent="0.3">
      <c r="J39439" s="33"/>
    </row>
    <row r="39440" spans="10:10" ht="15" customHeight="1" x14ac:dyDescent="0.3">
      <c r="J39440" s="33"/>
    </row>
    <row r="39441" spans="10:10" x14ac:dyDescent="0.3">
      <c r="J39441" s="33"/>
    </row>
    <row r="39442" spans="10:10" ht="15" customHeight="1" x14ac:dyDescent="0.3">
      <c r="J39442" s="33"/>
    </row>
    <row r="39443" spans="10:10" ht="15" customHeight="1" x14ac:dyDescent="0.3">
      <c r="J39443" s="33"/>
    </row>
    <row r="39444" spans="10:10" x14ac:dyDescent="0.3">
      <c r="J39444" s="33"/>
    </row>
    <row r="39445" spans="10:10" x14ac:dyDescent="0.3">
      <c r="J39445" s="33"/>
    </row>
    <row r="39446" spans="10:10" x14ac:dyDescent="0.3">
      <c r="J39446" s="33"/>
    </row>
    <row r="39447" spans="10:10" ht="15" customHeight="1" x14ac:dyDescent="0.3">
      <c r="J39447" s="33"/>
    </row>
    <row r="39448" spans="10:10" ht="15" customHeight="1" x14ac:dyDescent="0.3">
      <c r="J39448" s="33"/>
    </row>
    <row r="39449" spans="10:10" x14ac:dyDescent="0.3">
      <c r="J39449" s="33"/>
    </row>
    <row r="39450" spans="10:10" ht="15" customHeight="1" x14ac:dyDescent="0.3">
      <c r="J39450" s="33"/>
    </row>
    <row r="39451" spans="10:10" x14ac:dyDescent="0.3">
      <c r="J39451" s="33"/>
    </row>
    <row r="39452" spans="10:10" ht="15" customHeight="1" x14ac:dyDescent="0.3">
      <c r="J39452" s="33"/>
    </row>
    <row r="39453" spans="10:10" ht="15" customHeight="1" x14ac:dyDescent="0.3">
      <c r="J39453" s="33"/>
    </row>
    <row r="39454" spans="10:10" ht="15" customHeight="1" x14ac:dyDescent="0.3">
      <c r="J39454" s="33"/>
    </row>
    <row r="39455" spans="10:10" ht="15" customHeight="1" x14ac:dyDescent="0.3">
      <c r="J39455" s="33"/>
    </row>
    <row r="39456" spans="10:10" ht="15" customHeight="1" x14ac:dyDescent="0.3">
      <c r="J39456" s="33"/>
    </row>
    <row r="39457" spans="10:10" ht="15" customHeight="1" x14ac:dyDescent="0.3">
      <c r="J39457" s="33"/>
    </row>
    <row r="39458" spans="10:10" ht="15" customHeight="1" x14ac:dyDescent="0.3">
      <c r="J39458" s="33"/>
    </row>
    <row r="39459" spans="10:10" ht="15" customHeight="1" x14ac:dyDescent="0.3">
      <c r="J39459" s="33"/>
    </row>
    <row r="39460" spans="10:10" ht="15" customHeight="1" x14ac:dyDescent="0.3">
      <c r="J39460" s="33"/>
    </row>
    <row r="39461" spans="10:10" ht="15" customHeight="1" x14ac:dyDescent="0.3">
      <c r="J39461" s="33"/>
    </row>
    <row r="39462" spans="10:10" ht="15" customHeight="1" x14ac:dyDescent="0.3">
      <c r="J39462" s="33"/>
    </row>
    <row r="39463" spans="10:10" ht="15" customHeight="1" x14ac:dyDescent="0.3">
      <c r="J39463" s="33"/>
    </row>
    <row r="39464" spans="10:10" ht="15" customHeight="1" x14ac:dyDescent="0.3">
      <c r="J39464" s="33"/>
    </row>
    <row r="39465" spans="10:10" ht="15" customHeight="1" x14ac:dyDescent="0.3">
      <c r="J39465" s="33"/>
    </row>
    <row r="39466" spans="10:10" ht="15" customHeight="1" x14ac:dyDescent="0.3">
      <c r="J39466" s="33"/>
    </row>
    <row r="39467" spans="10:10" ht="15" customHeight="1" x14ac:dyDescent="0.3">
      <c r="J39467" s="33"/>
    </row>
    <row r="39468" spans="10:10" ht="15" customHeight="1" x14ac:dyDescent="0.3">
      <c r="J39468" s="33"/>
    </row>
    <row r="39469" spans="10:10" x14ac:dyDescent="0.3">
      <c r="J39469" s="33"/>
    </row>
    <row r="39470" spans="10:10" ht="15" customHeight="1" x14ac:dyDescent="0.3">
      <c r="J39470" s="33"/>
    </row>
    <row r="39471" spans="10:10" ht="15" customHeight="1" x14ac:dyDescent="0.3">
      <c r="J39471" s="33"/>
    </row>
    <row r="39472" spans="10:10" x14ac:dyDescent="0.3">
      <c r="J39472" s="33"/>
    </row>
    <row r="39473" spans="10:10" x14ac:dyDescent="0.3">
      <c r="J39473" s="33"/>
    </row>
    <row r="39474" spans="10:10" ht="15" customHeight="1" x14ac:dyDescent="0.3">
      <c r="J39474" s="33"/>
    </row>
    <row r="39475" spans="10:10" ht="15" customHeight="1" x14ac:dyDescent="0.3">
      <c r="J39475" s="33"/>
    </row>
    <row r="39476" spans="10:10" x14ac:dyDescent="0.3">
      <c r="J39476" s="33"/>
    </row>
    <row r="39477" spans="10:10" ht="15" customHeight="1" x14ac:dyDescent="0.3">
      <c r="J39477" s="33"/>
    </row>
    <row r="39478" spans="10:10" ht="15" customHeight="1" x14ac:dyDescent="0.3">
      <c r="J39478" s="33"/>
    </row>
    <row r="39479" spans="10:10" x14ac:dyDescent="0.3">
      <c r="J39479" s="33"/>
    </row>
    <row r="39480" spans="10:10" ht="15" customHeight="1" x14ac:dyDescent="0.3">
      <c r="J39480" s="33"/>
    </row>
    <row r="39481" spans="10:10" ht="15" customHeight="1" x14ac:dyDescent="0.3">
      <c r="J39481" s="33"/>
    </row>
    <row r="39482" spans="10:10" ht="15" customHeight="1" x14ac:dyDescent="0.3">
      <c r="J39482" s="33"/>
    </row>
    <row r="39483" spans="10:10" x14ac:dyDescent="0.3">
      <c r="J39483" s="33"/>
    </row>
    <row r="39484" spans="10:10" ht="15" customHeight="1" x14ac:dyDescent="0.3">
      <c r="J39484" s="33"/>
    </row>
    <row r="39485" spans="10:10" ht="15" customHeight="1" x14ac:dyDescent="0.3">
      <c r="J39485" s="33"/>
    </row>
    <row r="39486" spans="10:10" ht="15" customHeight="1" x14ac:dyDescent="0.3">
      <c r="J39486" s="33"/>
    </row>
    <row r="39487" spans="10:10" ht="15" customHeight="1" x14ac:dyDescent="0.3">
      <c r="J39487" s="33"/>
    </row>
    <row r="39488" spans="10:10" ht="15" customHeight="1" x14ac:dyDescent="0.3">
      <c r="J39488" s="33"/>
    </row>
    <row r="39489" spans="10:10" ht="15" customHeight="1" x14ac:dyDescent="0.3">
      <c r="J39489" s="33"/>
    </row>
    <row r="39490" spans="10:10" x14ac:dyDescent="0.3">
      <c r="J39490" s="33"/>
    </row>
    <row r="39491" spans="10:10" x14ac:dyDescent="0.3">
      <c r="J39491" s="33"/>
    </row>
    <row r="39492" spans="10:10" ht="15" customHeight="1" x14ac:dyDescent="0.3">
      <c r="J39492" s="33"/>
    </row>
    <row r="39493" spans="10:10" ht="15" customHeight="1" x14ac:dyDescent="0.3">
      <c r="J39493" s="33"/>
    </row>
    <row r="39494" spans="10:10" x14ac:dyDescent="0.3">
      <c r="J39494" s="33"/>
    </row>
    <row r="39495" spans="10:10" ht="15" customHeight="1" x14ac:dyDescent="0.3">
      <c r="J39495" s="33"/>
    </row>
    <row r="39496" spans="10:10" ht="15" customHeight="1" x14ac:dyDescent="0.3">
      <c r="J39496" s="33"/>
    </row>
    <row r="39497" spans="10:10" x14ac:dyDescent="0.3">
      <c r="J39497" s="33"/>
    </row>
    <row r="39498" spans="10:10" ht="15" customHeight="1" x14ac:dyDescent="0.3">
      <c r="J39498" s="33"/>
    </row>
    <row r="39499" spans="10:10" ht="15" customHeight="1" x14ac:dyDescent="0.3">
      <c r="J39499" s="33"/>
    </row>
    <row r="39500" spans="10:10" ht="15" customHeight="1" x14ac:dyDescent="0.3">
      <c r="J39500" s="33"/>
    </row>
    <row r="39501" spans="10:10" ht="15" customHeight="1" x14ac:dyDescent="0.3">
      <c r="J39501" s="33"/>
    </row>
    <row r="39502" spans="10:10" ht="15" customHeight="1" x14ac:dyDescent="0.3">
      <c r="J39502" s="33"/>
    </row>
    <row r="39503" spans="10:10" ht="15" customHeight="1" x14ac:dyDescent="0.3">
      <c r="J39503" s="33"/>
    </row>
    <row r="39504" spans="10:10" ht="15" customHeight="1" x14ac:dyDescent="0.3">
      <c r="J39504" s="33"/>
    </row>
    <row r="39505" spans="10:10" ht="15" customHeight="1" x14ac:dyDescent="0.3">
      <c r="J39505" s="33"/>
    </row>
    <row r="39506" spans="10:10" ht="15" customHeight="1" x14ac:dyDescent="0.3">
      <c r="J39506" s="33"/>
    </row>
    <row r="39507" spans="10:10" ht="15" customHeight="1" x14ac:dyDescent="0.3">
      <c r="J39507" s="33"/>
    </row>
    <row r="39508" spans="10:10" ht="15" customHeight="1" x14ac:dyDescent="0.3">
      <c r="J39508" s="33"/>
    </row>
    <row r="39509" spans="10:10" ht="15" customHeight="1" x14ac:dyDescent="0.3">
      <c r="J39509" s="33"/>
    </row>
    <row r="39510" spans="10:10" ht="15" customHeight="1" x14ac:dyDescent="0.3">
      <c r="J39510" s="33"/>
    </row>
    <row r="39511" spans="10:10" x14ac:dyDescent="0.3">
      <c r="J39511" s="33"/>
    </row>
    <row r="39512" spans="10:10" ht="15" customHeight="1" x14ac:dyDescent="0.3">
      <c r="J39512" s="33"/>
    </row>
    <row r="39513" spans="10:10" ht="15" customHeight="1" x14ac:dyDescent="0.3">
      <c r="J39513" s="33"/>
    </row>
    <row r="39514" spans="10:10" ht="15" customHeight="1" x14ac:dyDescent="0.3">
      <c r="J39514" s="33"/>
    </row>
    <row r="39515" spans="10:10" ht="15" customHeight="1" x14ac:dyDescent="0.3">
      <c r="J39515" s="33"/>
    </row>
    <row r="39516" spans="10:10" ht="15" customHeight="1" x14ac:dyDescent="0.3">
      <c r="J39516" s="33"/>
    </row>
    <row r="39517" spans="10:10" ht="15" customHeight="1" x14ac:dyDescent="0.3">
      <c r="J39517" s="33"/>
    </row>
    <row r="39518" spans="10:10" x14ac:dyDescent="0.3">
      <c r="J39518" s="33"/>
    </row>
    <row r="39519" spans="10:10" x14ac:dyDescent="0.3">
      <c r="J39519" s="33"/>
    </row>
    <row r="39520" spans="10:10" x14ac:dyDescent="0.3">
      <c r="J39520" s="33"/>
    </row>
    <row r="39521" spans="10:10" x14ac:dyDescent="0.3">
      <c r="J39521" s="33"/>
    </row>
    <row r="39522" spans="10:10" ht="15" customHeight="1" x14ac:dyDescent="0.3">
      <c r="J39522" s="33"/>
    </row>
    <row r="39523" spans="10:10" ht="15" customHeight="1" x14ac:dyDescent="0.3">
      <c r="J39523" s="33"/>
    </row>
    <row r="39524" spans="10:10" x14ac:dyDescent="0.3">
      <c r="J39524" s="33"/>
    </row>
    <row r="39525" spans="10:10" ht="15" customHeight="1" x14ac:dyDescent="0.3">
      <c r="J39525" s="33"/>
    </row>
    <row r="39526" spans="10:10" x14ac:dyDescent="0.3">
      <c r="J39526" s="33"/>
    </row>
    <row r="39527" spans="10:10" ht="15" customHeight="1" x14ac:dyDescent="0.3">
      <c r="J39527" s="33"/>
    </row>
    <row r="39528" spans="10:10" ht="15" customHeight="1" x14ac:dyDescent="0.3">
      <c r="J39528" s="33"/>
    </row>
    <row r="39529" spans="10:10" ht="15" customHeight="1" x14ac:dyDescent="0.3">
      <c r="J39529" s="33"/>
    </row>
    <row r="39530" spans="10:10" ht="15" customHeight="1" x14ac:dyDescent="0.3">
      <c r="J39530" s="33"/>
    </row>
    <row r="39531" spans="10:10" ht="15" customHeight="1" x14ac:dyDescent="0.3">
      <c r="J39531" s="33"/>
    </row>
    <row r="39532" spans="10:10" x14ac:dyDescent="0.3">
      <c r="J39532" s="33"/>
    </row>
    <row r="39533" spans="10:10" ht="15" customHeight="1" x14ac:dyDescent="0.3">
      <c r="J39533" s="33"/>
    </row>
    <row r="39534" spans="10:10" x14ac:dyDescent="0.3">
      <c r="J39534" s="33"/>
    </row>
    <row r="39535" spans="10:10" ht="15" customHeight="1" x14ac:dyDescent="0.3">
      <c r="J39535" s="33"/>
    </row>
    <row r="39536" spans="10:10" ht="15" customHeight="1" x14ac:dyDescent="0.3">
      <c r="J39536" s="33"/>
    </row>
    <row r="39537" spans="10:10" ht="15" customHeight="1" x14ac:dyDescent="0.3">
      <c r="J39537" s="33"/>
    </row>
    <row r="39538" spans="10:10" ht="15" customHeight="1" x14ac:dyDescent="0.3">
      <c r="J39538" s="33"/>
    </row>
    <row r="39539" spans="10:10" ht="15" customHeight="1" x14ac:dyDescent="0.3">
      <c r="J39539" s="33"/>
    </row>
    <row r="39540" spans="10:10" ht="15" customHeight="1" x14ac:dyDescent="0.3">
      <c r="J39540" s="33"/>
    </row>
    <row r="39541" spans="10:10" ht="15" customHeight="1" x14ac:dyDescent="0.3">
      <c r="J39541" s="33"/>
    </row>
    <row r="39542" spans="10:10" ht="15" customHeight="1" x14ac:dyDescent="0.3">
      <c r="J39542" s="33"/>
    </row>
    <row r="39543" spans="10:10" ht="15" customHeight="1" x14ac:dyDescent="0.3">
      <c r="J39543" s="33"/>
    </row>
    <row r="39544" spans="10:10" ht="15" customHeight="1" x14ac:dyDescent="0.3">
      <c r="J39544" s="33"/>
    </row>
    <row r="39545" spans="10:10" ht="15" customHeight="1" x14ac:dyDescent="0.3">
      <c r="J39545" s="33"/>
    </row>
    <row r="39546" spans="10:10" ht="15" customHeight="1" x14ac:dyDescent="0.3">
      <c r="J39546" s="33"/>
    </row>
    <row r="39547" spans="10:10" ht="15" customHeight="1" x14ac:dyDescent="0.3">
      <c r="J39547" s="33"/>
    </row>
    <row r="39548" spans="10:10" x14ac:dyDescent="0.3">
      <c r="J39548" s="33"/>
    </row>
    <row r="39549" spans="10:10" ht="15" customHeight="1" x14ac:dyDescent="0.3">
      <c r="J39549" s="33"/>
    </row>
    <row r="39550" spans="10:10" ht="15" customHeight="1" x14ac:dyDescent="0.3">
      <c r="J39550" s="33"/>
    </row>
    <row r="39551" spans="10:10" ht="15" customHeight="1" x14ac:dyDescent="0.3">
      <c r="J39551" s="33"/>
    </row>
    <row r="39552" spans="10:10" ht="15" customHeight="1" x14ac:dyDescent="0.3">
      <c r="J39552" s="33"/>
    </row>
    <row r="39553" spans="10:10" ht="15" customHeight="1" x14ac:dyDescent="0.3">
      <c r="J39553" s="33"/>
    </row>
    <row r="39554" spans="10:10" ht="15" customHeight="1" x14ac:dyDescent="0.3">
      <c r="J39554" s="33"/>
    </row>
    <row r="39555" spans="10:10" ht="15" customHeight="1" x14ac:dyDescent="0.3">
      <c r="J39555" s="33"/>
    </row>
    <row r="39556" spans="10:10" ht="15" customHeight="1" x14ac:dyDescent="0.3">
      <c r="J39556" s="33"/>
    </row>
    <row r="39557" spans="10:10" ht="15" customHeight="1" x14ac:dyDescent="0.3">
      <c r="J39557" s="33"/>
    </row>
    <row r="39558" spans="10:10" ht="15" customHeight="1" x14ac:dyDescent="0.3">
      <c r="J39558" s="33"/>
    </row>
    <row r="39559" spans="10:10" ht="15" customHeight="1" x14ac:dyDescent="0.3">
      <c r="J39559" s="33"/>
    </row>
    <row r="39560" spans="10:10" x14ac:dyDescent="0.3">
      <c r="J39560" s="33"/>
    </row>
    <row r="39561" spans="10:10" x14ac:dyDescent="0.3">
      <c r="J39561" s="33"/>
    </row>
    <row r="39562" spans="10:10" ht="15" customHeight="1" x14ac:dyDescent="0.3">
      <c r="J39562" s="33"/>
    </row>
    <row r="39563" spans="10:10" ht="15" customHeight="1" x14ac:dyDescent="0.3">
      <c r="J39563" s="33"/>
    </row>
    <row r="39564" spans="10:10" x14ac:dyDescent="0.3">
      <c r="J39564" s="33"/>
    </row>
    <row r="39565" spans="10:10" ht="15" customHeight="1" x14ac:dyDescent="0.3">
      <c r="J39565" s="33"/>
    </row>
    <row r="39566" spans="10:10" ht="15" customHeight="1" x14ac:dyDescent="0.3">
      <c r="J39566" s="33"/>
    </row>
    <row r="39567" spans="10:10" ht="15" customHeight="1" x14ac:dyDescent="0.3">
      <c r="J39567" s="33"/>
    </row>
    <row r="39568" spans="10:10" ht="15" customHeight="1" x14ac:dyDescent="0.3">
      <c r="J39568" s="33"/>
    </row>
    <row r="39569" spans="10:10" x14ac:dyDescent="0.3">
      <c r="J39569" s="33"/>
    </row>
    <row r="39570" spans="10:10" ht="15" customHeight="1" x14ac:dyDescent="0.3">
      <c r="J39570" s="33"/>
    </row>
    <row r="39571" spans="10:10" ht="15" customHeight="1" x14ac:dyDescent="0.3">
      <c r="J39571" s="33"/>
    </row>
    <row r="39572" spans="10:10" ht="15" customHeight="1" x14ac:dyDescent="0.3">
      <c r="J39572" s="33"/>
    </row>
    <row r="39573" spans="10:10" ht="15" customHeight="1" x14ac:dyDescent="0.3">
      <c r="J39573" s="33"/>
    </row>
    <row r="39574" spans="10:10" ht="15" customHeight="1" x14ac:dyDescent="0.3">
      <c r="J39574" s="33"/>
    </row>
    <row r="39575" spans="10:10" ht="15" customHeight="1" x14ac:dyDescent="0.3">
      <c r="J39575" s="33"/>
    </row>
    <row r="39576" spans="10:10" x14ac:dyDescent="0.3">
      <c r="J39576" s="33"/>
    </row>
    <row r="39577" spans="10:10" ht="15" customHeight="1" x14ac:dyDescent="0.3">
      <c r="J39577" s="33"/>
    </row>
    <row r="39578" spans="10:10" ht="15" customHeight="1" x14ac:dyDescent="0.3">
      <c r="J39578" s="33"/>
    </row>
    <row r="39579" spans="10:10" ht="15" customHeight="1" x14ac:dyDescent="0.3">
      <c r="J39579" s="33"/>
    </row>
    <row r="39580" spans="10:10" ht="15" customHeight="1" x14ac:dyDescent="0.3">
      <c r="J39580" s="33"/>
    </row>
    <row r="39581" spans="10:10" ht="15" customHeight="1" x14ac:dyDescent="0.3">
      <c r="J39581" s="33"/>
    </row>
    <row r="39582" spans="10:10" x14ac:dyDescent="0.3">
      <c r="J39582" s="33"/>
    </row>
    <row r="39583" spans="10:10" ht="15" customHeight="1" x14ac:dyDescent="0.3">
      <c r="J39583" s="33"/>
    </row>
    <row r="39584" spans="10:10" ht="15" customHeight="1" x14ac:dyDescent="0.3">
      <c r="J39584" s="33"/>
    </row>
    <row r="39585" spans="10:10" ht="15" customHeight="1" x14ac:dyDescent="0.3">
      <c r="J39585" s="33"/>
    </row>
    <row r="39586" spans="10:10" ht="15" customHeight="1" x14ac:dyDescent="0.3">
      <c r="J39586" s="33"/>
    </row>
    <row r="39587" spans="10:10" ht="15" customHeight="1" x14ac:dyDescent="0.3">
      <c r="J39587" s="33"/>
    </row>
    <row r="39588" spans="10:10" ht="15" customHeight="1" x14ac:dyDescent="0.3">
      <c r="J39588" s="33"/>
    </row>
    <row r="39589" spans="10:10" ht="15" customHeight="1" x14ac:dyDescent="0.3">
      <c r="J39589" s="33"/>
    </row>
    <row r="39590" spans="10:10" x14ac:dyDescent="0.3">
      <c r="J39590" s="33"/>
    </row>
    <row r="39591" spans="10:10" x14ac:dyDescent="0.3">
      <c r="J39591" s="33"/>
    </row>
    <row r="39592" spans="10:10" ht="15" customHeight="1" x14ac:dyDescent="0.3">
      <c r="J39592" s="33"/>
    </row>
    <row r="39593" spans="10:10" ht="15" customHeight="1" x14ac:dyDescent="0.3">
      <c r="J39593" s="33"/>
    </row>
    <row r="39594" spans="10:10" ht="15" customHeight="1" x14ac:dyDescent="0.3">
      <c r="J39594" s="33"/>
    </row>
    <row r="39595" spans="10:10" x14ac:dyDescent="0.3">
      <c r="J39595" s="33"/>
    </row>
    <row r="39596" spans="10:10" ht="15" customHeight="1" x14ac:dyDescent="0.3">
      <c r="J39596" s="33"/>
    </row>
    <row r="39597" spans="10:10" ht="15" customHeight="1" x14ac:dyDescent="0.3">
      <c r="J39597" s="33"/>
    </row>
    <row r="39598" spans="10:10" x14ac:dyDescent="0.3">
      <c r="J39598" s="33"/>
    </row>
    <row r="39599" spans="10:10" x14ac:dyDescent="0.3">
      <c r="J39599" s="33"/>
    </row>
    <row r="39600" spans="10:10" ht="15" customHeight="1" x14ac:dyDescent="0.3">
      <c r="J39600" s="33"/>
    </row>
    <row r="39601" spans="10:10" ht="15" customHeight="1" x14ac:dyDescent="0.3">
      <c r="J39601" s="33"/>
    </row>
    <row r="39602" spans="10:10" ht="15" customHeight="1" x14ac:dyDescent="0.3">
      <c r="J39602" s="33"/>
    </row>
    <row r="39603" spans="10:10" ht="15" customHeight="1" x14ac:dyDescent="0.3">
      <c r="J39603" s="33"/>
    </row>
    <row r="39604" spans="10:10" ht="15" customHeight="1" x14ac:dyDescent="0.3">
      <c r="J39604" s="33"/>
    </row>
    <row r="39605" spans="10:10" ht="15" customHeight="1" x14ac:dyDescent="0.3">
      <c r="J39605" s="33"/>
    </row>
    <row r="39606" spans="10:10" x14ac:dyDescent="0.3">
      <c r="J39606" s="33"/>
    </row>
    <row r="39607" spans="10:10" x14ac:dyDescent="0.3">
      <c r="J39607" s="33"/>
    </row>
    <row r="39608" spans="10:10" ht="15" customHeight="1" x14ac:dyDescent="0.3">
      <c r="J39608" s="33"/>
    </row>
    <row r="39609" spans="10:10" ht="15" customHeight="1" x14ac:dyDescent="0.3">
      <c r="J39609" s="33"/>
    </row>
    <row r="39610" spans="10:10" ht="15" customHeight="1" x14ac:dyDescent="0.3">
      <c r="J39610" s="33"/>
    </row>
    <row r="39611" spans="10:10" ht="15" customHeight="1" x14ac:dyDescent="0.3">
      <c r="J39611" s="33"/>
    </row>
    <row r="39612" spans="10:10" ht="15" customHeight="1" x14ac:dyDescent="0.3">
      <c r="J39612" s="33"/>
    </row>
    <row r="39613" spans="10:10" x14ac:dyDescent="0.3">
      <c r="J39613" s="33"/>
    </row>
    <row r="39614" spans="10:10" x14ac:dyDescent="0.3">
      <c r="J39614" s="33"/>
    </row>
    <row r="39615" spans="10:10" ht="15" customHeight="1" x14ac:dyDescent="0.3">
      <c r="J39615" s="33"/>
    </row>
    <row r="39616" spans="10:10" ht="15" customHeight="1" x14ac:dyDescent="0.3">
      <c r="J39616" s="33"/>
    </row>
    <row r="39617" spans="10:10" x14ac:dyDescent="0.3">
      <c r="J39617" s="33"/>
    </row>
    <row r="39618" spans="10:10" ht="15" customHeight="1" x14ac:dyDescent="0.3">
      <c r="J39618" s="33"/>
    </row>
    <row r="39619" spans="10:10" ht="15" customHeight="1" x14ac:dyDescent="0.3">
      <c r="J39619" s="33"/>
    </row>
    <row r="39620" spans="10:10" ht="15" customHeight="1" x14ac:dyDescent="0.3">
      <c r="J39620" s="33"/>
    </row>
    <row r="39621" spans="10:10" ht="15" customHeight="1" x14ac:dyDescent="0.3">
      <c r="J39621" s="33"/>
    </row>
    <row r="39622" spans="10:10" ht="15" customHeight="1" x14ac:dyDescent="0.3">
      <c r="J39622" s="33"/>
    </row>
    <row r="39623" spans="10:10" ht="15" customHeight="1" x14ac:dyDescent="0.3">
      <c r="J39623" s="33"/>
    </row>
    <row r="39624" spans="10:10" ht="15" customHeight="1" x14ac:dyDescent="0.3">
      <c r="J39624" s="33"/>
    </row>
    <row r="39625" spans="10:10" ht="15" customHeight="1" x14ac:dyDescent="0.3">
      <c r="J39625" s="33"/>
    </row>
    <row r="39626" spans="10:10" ht="15" customHeight="1" x14ac:dyDescent="0.3">
      <c r="J39626" s="33"/>
    </row>
    <row r="39627" spans="10:10" ht="15" customHeight="1" x14ac:dyDescent="0.3">
      <c r="J39627" s="33"/>
    </row>
    <row r="39628" spans="10:10" ht="15" customHeight="1" x14ac:dyDescent="0.3">
      <c r="J39628" s="33"/>
    </row>
    <row r="39629" spans="10:10" ht="15" customHeight="1" x14ac:dyDescent="0.3">
      <c r="J39629" s="33"/>
    </row>
    <row r="39630" spans="10:10" ht="15" customHeight="1" x14ac:dyDescent="0.3">
      <c r="J39630" s="33"/>
    </row>
    <row r="39631" spans="10:10" ht="15" customHeight="1" x14ac:dyDescent="0.3">
      <c r="J39631" s="33"/>
    </row>
    <row r="39632" spans="10:10" ht="15" customHeight="1" x14ac:dyDescent="0.3">
      <c r="J39632" s="33"/>
    </row>
    <row r="39633" spans="10:10" x14ac:dyDescent="0.3">
      <c r="J39633" s="33"/>
    </row>
    <row r="39634" spans="10:10" x14ac:dyDescent="0.3">
      <c r="J39634" s="33"/>
    </row>
    <row r="39635" spans="10:10" ht="15" customHeight="1" x14ac:dyDescent="0.3">
      <c r="J39635" s="33"/>
    </row>
    <row r="39636" spans="10:10" x14ac:dyDescent="0.3">
      <c r="J39636" s="33"/>
    </row>
    <row r="39637" spans="10:10" ht="15" customHeight="1" x14ac:dyDescent="0.3">
      <c r="J39637" s="33"/>
    </row>
    <row r="39638" spans="10:10" ht="15" customHeight="1" x14ac:dyDescent="0.3">
      <c r="J39638" s="33"/>
    </row>
    <row r="39639" spans="10:10" ht="15" customHeight="1" x14ac:dyDescent="0.3">
      <c r="J39639" s="33"/>
    </row>
    <row r="39640" spans="10:10" ht="15" customHeight="1" x14ac:dyDescent="0.3">
      <c r="J39640" s="33"/>
    </row>
    <row r="39641" spans="10:10" x14ac:dyDescent="0.3">
      <c r="J39641" s="33"/>
    </row>
    <row r="39642" spans="10:10" ht="15" customHeight="1" x14ac:dyDescent="0.3">
      <c r="J39642" s="33"/>
    </row>
    <row r="39643" spans="10:10" x14ac:dyDescent="0.3">
      <c r="J39643" s="33"/>
    </row>
    <row r="39644" spans="10:10" ht="15" customHeight="1" x14ac:dyDescent="0.3">
      <c r="J39644" s="33"/>
    </row>
    <row r="39645" spans="10:10" ht="15" customHeight="1" x14ac:dyDescent="0.3">
      <c r="J39645" s="33"/>
    </row>
    <row r="39646" spans="10:10" ht="15" customHeight="1" x14ac:dyDescent="0.3">
      <c r="J39646" s="33"/>
    </row>
    <row r="39647" spans="10:10" ht="15" customHeight="1" x14ac:dyDescent="0.3">
      <c r="J39647" s="33"/>
    </row>
    <row r="39648" spans="10:10" ht="15" customHeight="1" x14ac:dyDescent="0.3">
      <c r="J39648" s="33"/>
    </row>
    <row r="39649" spans="10:10" x14ac:dyDescent="0.3">
      <c r="J39649" s="33"/>
    </row>
    <row r="39650" spans="10:10" ht="15" customHeight="1" x14ac:dyDescent="0.3">
      <c r="J39650" s="33"/>
    </row>
    <row r="39651" spans="10:10" ht="15" customHeight="1" x14ac:dyDescent="0.3">
      <c r="J39651" s="33"/>
    </row>
    <row r="39652" spans="10:10" ht="15" customHeight="1" x14ac:dyDescent="0.3">
      <c r="J39652" s="33"/>
    </row>
    <row r="39653" spans="10:10" ht="15" customHeight="1" x14ac:dyDescent="0.3">
      <c r="J39653" s="33"/>
    </row>
    <row r="39654" spans="10:10" ht="15" customHeight="1" x14ac:dyDescent="0.3">
      <c r="J39654" s="33"/>
    </row>
    <row r="39655" spans="10:10" x14ac:dyDescent="0.3">
      <c r="J39655" s="33"/>
    </row>
    <row r="39656" spans="10:10" ht="15" customHeight="1" x14ac:dyDescent="0.3">
      <c r="J39656" s="33"/>
    </row>
    <row r="39657" spans="10:10" ht="15" customHeight="1" x14ac:dyDescent="0.3">
      <c r="J39657" s="33"/>
    </row>
    <row r="39658" spans="10:10" ht="15" customHeight="1" x14ac:dyDescent="0.3">
      <c r="J39658" s="33"/>
    </row>
    <row r="39659" spans="10:10" ht="15" customHeight="1" x14ac:dyDescent="0.3">
      <c r="J39659" s="33"/>
    </row>
    <row r="39660" spans="10:10" ht="15" customHeight="1" x14ac:dyDescent="0.3">
      <c r="J39660" s="33"/>
    </row>
    <row r="39661" spans="10:10" ht="15" customHeight="1" x14ac:dyDescent="0.3">
      <c r="J39661" s="33"/>
    </row>
    <row r="39662" spans="10:10" ht="15" customHeight="1" x14ac:dyDescent="0.3">
      <c r="J39662" s="33"/>
    </row>
    <row r="39663" spans="10:10" ht="15" customHeight="1" x14ac:dyDescent="0.3">
      <c r="J39663" s="33"/>
    </row>
    <row r="39664" spans="10:10" ht="15" customHeight="1" x14ac:dyDescent="0.3">
      <c r="J39664" s="33"/>
    </row>
    <row r="39665" spans="10:10" ht="15" customHeight="1" x14ac:dyDescent="0.3">
      <c r="J39665" s="33"/>
    </row>
    <row r="39666" spans="10:10" ht="15" customHeight="1" x14ac:dyDescent="0.3">
      <c r="J39666" s="33"/>
    </row>
    <row r="39667" spans="10:10" ht="15" customHeight="1" x14ac:dyDescent="0.3">
      <c r="J39667" s="33"/>
    </row>
    <row r="39668" spans="10:10" ht="15" customHeight="1" x14ac:dyDescent="0.3">
      <c r="J39668" s="33"/>
    </row>
    <row r="39669" spans="10:10" x14ac:dyDescent="0.3">
      <c r="J39669" s="33"/>
    </row>
    <row r="39670" spans="10:10" ht="15" customHeight="1" x14ac:dyDescent="0.3">
      <c r="J39670" s="33"/>
    </row>
    <row r="39671" spans="10:10" ht="15" customHeight="1" x14ac:dyDescent="0.3">
      <c r="J39671" s="33"/>
    </row>
    <row r="39672" spans="10:10" ht="15" customHeight="1" x14ac:dyDescent="0.3">
      <c r="J39672" s="33"/>
    </row>
    <row r="39673" spans="10:10" ht="15" customHeight="1" x14ac:dyDescent="0.3">
      <c r="J39673" s="33"/>
    </row>
    <row r="39674" spans="10:10" ht="15" customHeight="1" x14ac:dyDescent="0.3">
      <c r="J39674" s="33"/>
    </row>
    <row r="39675" spans="10:10" ht="15" customHeight="1" x14ac:dyDescent="0.3">
      <c r="J39675" s="33"/>
    </row>
    <row r="39676" spans="10:10" ht="15" customHeight="1" x14ac:dyDescent="0.3">
      <c r="J39676" s="33"/>
    </row>
    <row r="39677" spans="10:10" ht="15" customHeight="1" x14ac:dyDescent="0.3">
      <c r="J39677" s="33"/>
    </row>
    <row r="39678" spans="10:10" ht="15" customHeight="1" x14ac:dyDescent="0.3">
      <c r="J39678" s="33"/>
    </row>
    <row r="39679" spans="10:10" ht="15" customHeight="1" x14ac:dyDescent="0.3">
      <c r="J39679" s="33"/>
    </row>
    <row r="39680" spans="10:10" ht="15" customHeight="1" x14ac:dyDescent="0.3">
      <c r="J39680" s="33"/>
    </row>
    <row r="39681" spans="10:10" ht="15" customHeight="1" x14ac:dyDescent="0.3">
      <c r="J39681" s="33"/>
    </row>
    <row r="39682" spans="10:10" ht="15" customHeight="1" x14ac:dyDescent="0.3">
      <c r="J39682" s="33"/>
    </row>
    <row r="39683" spans="10:10" x14ac:dyDescent="0.3">
      <c r="J39683" s="33"/>
    </row>
    <row r="39684" spans="10:10" ht="15" customHeight="1" x14ac:dyDescent="0.3">
      <c r="J39684" s="33"/>
    </row>
    <row r="39685" spans="10:10" ht="15" customHeight="1" x14ac:dyDescent="0.3">
      <c r="J39685" s="33"/>
    </row>
    <row r="39686" spans="10:10" ht="15" customHeight="1" x14ac:dyDescent="0.3">
      <c r="J39686" s="33"/>
    </row>
    <row r="39687" spans="10:10" ht="15" customHeight="1" x14ac:dyDescent="0.3">
      <c r="J39687" s="33"/>
    </row>
    <row r="39688" spans="10:10" x14ac:dyDescent="0.3">
      <c r="J39688" s="33"/>
    </row>
    <row r="39689" spans="10:10" ht="15" customHeight="1" x14ac:dyDescent="0.3">
      <c r="J39689" s="33"/>
    </row>
    <row r="39690" spans="10:10" ht="15" customHeight="1" x14ac:dyDescent="0.3">
      <c r="J39690" s="33"/>
    </row>
    <row r="39691" spans="10:10" ht="15" customHeight="1" x14ac:dyDescent="0.3">
      <c r="J39691" s="33"/>
    </row>
    <row r="39692" spans="10:10" ht="15" customHeight="1" x14ac:dyDescent="0.3">
      <c r="J39692" s="33"/>
    </row>
    <row r="39693" spans="10:10" ht="15" customHeight="1" x14ac:dyDescent="0.3">
      <c r="J39693" s="33"/>
    </row>
    <row r="39694" spans="10:10" ht="15" customHeight="1" x14ac:dyDescent="0.3">
      <c r="J39694" s="33"/>
    </row>
    <row r="39695" spans="10:10" x14ac:dyDescent="0.3">
      <c r="J39695" s="33"/>
    </row>
    <row r="39696" spans="10:10" ht="15" customHeight="1" x14ac:dyDescent="0.3">
      <c r="J39696" s="33"/>
    </row>
    <row r="39697" spans="10:10" ht="15" customHeight="1" x14ac:dyDescent="0.3">
      <c r="J39697" s="33"/>
    </row>
    <row r="39698" spans="10:10" ht="15" customHeight="1" x14ac:dyDescent="0.3">
      <c r="J39698" s="33"/>
    </row>
    <row r="39699" spans="10:10" ht="15" customHeight="1" x14ac:dyDescent="0.3">
      <c r="J39699" s="33"/>
    </row>
    <row r="39700" spans="10:10" x14ac:dyDescent="0.3">
      <c r="J39700" s="33"/>
    </row>
    <row r="39701" spans="10:10" x14ac:dyDescent="0.3">
      <c r="J39701" s="33"/>
    </row>
    <row r="39702" spans="10:10" x14ac:dyDescent="0.3">
      <c r="J39702" s="33"/>
    </row>
    <row r="39703" spans="10:10" ht="15" customHeight="1" x14ac:dyDescent="0.3">
      <c r="J39703" s="33"/>
    </row>
    <row r="39704" spans="10:10" ht="15" customHeight="1" x14ac:dyDescent="0.3">
      <c r="J39704" s="33"/>
    </row>
    <row r="39705" spans="10:10" x14ac:dyDescent="0.3">
      <c r="J39705" s="33"/>
    </row>
    <row r="39706" spans="10:10" ht="15" customHeight="1" x14ac:dyDescent="0.3">
      <c r="J39706" s="33"/>
    </row>
    <row r="39707" spans="10:10" x14ac:dyDescent="0.3">
      <c r="J39707" s="33"/>
    </row>
    <row r="39708" spans="10:10" ht="15" customHeight="1" x14ac:dyDescent="0.3">
      <c r="J39708" s="33"/>
    </row>
    <row r="39709" spans="10:10" ht="15" customHeight="1" x14ac:dyDescent="0.3">
      <c r="J39709" s="33"/>
    </row>
    <row r="39710" spans="10:10" ht="15" customHeight="1" x14ac:dyDescent="0.3">
      <c r="J39710" s="33"/>
    </row>
    <row r="39711" spans="10:10" ht="15" customHeight="1" x14ac:dyDescent="0.3">
      <c r="J39711" s="33"/>
    </row>
    <row r="39712" spans="10:10" ht="15" customHeight="1" x14ac:dyDescent="0.3">
      <c r="J39712" s="33"/>
    </row>
    <row r="39713" spans="10:10" x14ac:dyDescent="0.3">
      <c r="J39713" s="33"/>
    </row>
    <row r="39714" spans="10:10" ht="15" customHeight="1" x14ac:dyDescent="0.3">
      <c r="J39714" s="33"/>
    </row>
    <row r="39715" spans="10:10" ht="15" customHeight="1" x14ac:dyDescent="0.3">
      <c r="J39715" s="33"/>
    </row>
    <row r="39716" spans="10:10" ht="15" customHeight="1" x14ac:dyDescent="0.3">
      <c r="J39716" s="33"/>
    </row>
    <row r="39717" spans="10:10" x14ac:dyDescent="0.3">
      <c r="J39717" s="33"/>
    </row>
    <row r="39718" spans="10:10" ht="15" customHeight="1" x14ac:dyDescent="0.3">
      <c r="J39718" s="33"/>
    </row>
    <row r="39719" spans="10:10" x14ac:dyDescent="0.3">
      <c r="J39719" s="33"/>
    </row>
    <row r="39720" spans="10:10" ht="15" customHeight="1" x14ac:dyDescent="0.3">
      <c r="J39720" s="33"/>
    </row>
    <row r="39721" spans="10:10" ht="15" customHeight="1" x14ac:dyDescent="0.3">
      <c r="J39721" s="33"/>
    </row>
    <row r="39722" spans="10:10" ht="15" customHeight="1" x14ac:dyDescent="0.3">
      <c r="J39722" s="33"/>
    </row>
    <row r="39723" spans="10:10" ht="15" customHeight="1" x14ac:dyDescent="0.3">
      <c r="J39723" s="33"/>
    </row>
    <row r="39724" spans="10:10" ht="15" customHeight="1" x14ac:dyDescent="0.3">
      <c r="J39724" s="33"/>
    </row>
    <row r="39725" spans="10:10" ht="15" customHeight="1" x14ac:dyDescent="0.3">
      <c r="J39725" s="33"/>
    </row>
    <row r="39726" spans="10:10" ht="15" customHeight="1" x14ac:dyDescent="0.3">
      <c r="J39726" s="33"/>
    </row>
    <row r="39727" spans="10:10" x14ac:dyDescent="0.3">
      <c r="J39727" s="33"/>
    </row>
    <row r="39728" spans="10:10" ht="15" customHeight="1" x14ac:dyDescent="0.3">
      <c r="J39728" s="33"/>
    </row>
    <row r="39729" spans="10:10" ht="15" customHeight="1" x14ac:dyDescent="0.3">
      <c r="J39729" s="33"/>
    </row>
    <row r="39730" spans="10:10" x14ac:dyDescent="0.3">
      <c r="J39730" s="33"/>
    </row>
    <row r="39731" spans="10:10" ht="15" customHeight="1" x14ac:dyDescent="0.3">
      <c r="J39731" s="33"/>
    </row>
    <row r="39732" spans="10:10" ht="15" customHeight="1" x14ac:dyDescent="0.3">
      <c r="J39732" s="33"/>
    </row>
    <row r="39733" spans="10:10" ht="15" customHeight="1" x14ac:dyDescent="0.3">
      <c r="J39733" s="33"/>
    </row>
    <row r="39734" spans="10:10" x14ac:dyDescent="0.3">
      <c r="J39734" s="33"/>
    </row>
    <row r="39735" spans="10:10" ht="15" customHeight="1" x14ac:dyDescent="0.3">
      <c r="J39735" s="33"/>
    </row>
    <row r="39736" spans="10:10" x14ac:dyDescent="0.3">
      <c r="J39736" s="33"/>
    </row>
    <row r="39737" spans="10:10" ht="15" customHeight="1" x14ac:dyDescent="0.3">
      <c r="J39737" s="33"/>
    </row>
    <row r="39738" spans="10:10" ht="15" customHeight="1" x14ac:dyDescent="0.3">
      <c r="J39738" s="33"/>
    </row>
    <row r="39739" spans="10:10" ht="15" customHeight="1" x14ac:dyDescent="0.3">
      <c r="J39739" s="33"/>
    </row>
    <row r="39740" spans="10:10" x14ac:dyDescent="0.3">
      <c r="J39740" s="33"/>
    </row>
    <row r="39741" spans="10:10" ht="15" customHeight="1" x14ac:dyDescent="0.3">
      <c r="J39741" s="33"/>
    </row>
    <row r="39742" spans="10:10" ht="15" customHeight="1" x14ac:dyDescent="0.3">
      <c r="J39742" s="33"/>
    </row>
    <row r="39743" spans="10:10" ht="15" customHeight="1" x14ac:dyDescent="0.3">
      <c r="J39743" s="33"/>
    </row>
    <row r="39744" spans="10:10" ht="15" customHeight="1" x14ac:dyDescent="0.3">
      <c r="J39744" s="33"/>
    </row>
    <row r="39745" spans="10:10" ht="15" customHeight="1" x14ac:dyDescent="0.3">
      <c r="J39745" s="33"/>
    </row>
    <row r="39746" spans="10:10" ht="15" customHeight="1" x14ac:dyDescent="0.3">
      <c r="J39746" s="33"/>
    </row>
    <row r="39747" spans="10:10" x14ac:dyDescent="0.3">
      <c r="J39747" s="33"/>
    </row>
    <row r="39748" spans="10:10" ht="15" customHeight="1" x14ac:dyDescent="0.3">
      <c r="J39748" s="33"/>
    </row>
    <row r="39749" spans="10:10" ht="15" customHeight="1" x14ac:dyDescent="0.3">
      <c r="J39749" s="33"/>
    </row>
    <row r="39750" spans="10:10" x14ac:dyDescent="0.3">
      <c r="J39750" s="33"/>
    </row>
    <row r="39751" spans="10:10" x14ac:dyDescent="0.3">
      <c r="J39751" s="33"/>
    </row>
    <row r="39752" spans="10:10" x14ac:dyDescent="0.3">
      <c r="J39752" s="33"/>
    </row>
    <row r="39753" spans="10:10" ht="15" customHeight="1" x14ac:dyDescent="0.3">
      <c r="J39753" s="33"/>
    </row>
    <row r="39754" spans="10:10" ht="15" customHeight="1" x14ac:dyDescent="0.3">
      <c r="J39754" s="33"/>
    </row>
    <row r="39755" spans="10:10" ht="15" customHeight="1" x14ac:dyDescent="0.3">
      <c r="J39755" s="33"/>
    </row>
    <row r="39756" spans="10:10" x14ac:dyDescent="0.3">
      <c r="J39756" s="33"/>
    </row>
    <row r="39757" spans="10:10" ht="15" customHeight="1" x14ac:dyDescent="0.3">
      <c r="J39757" s="33"/>
    </row>
    <row r="39758" spans="10:10" ht="15" customHeight="1" x14ac:dyDescent="0.3">
      <c r="J39758" s="33"/>
    </row>
    <row r="39759" spans="10:10" x14ac:dyDescent="0.3">
      <c r="J39759" s="33"/>
    </row>
    <row r="39760" spans="10:10" x14ac:dyDescent="0.3">
      <c r="J39760" s="33"/>
    </row>
    <row r="39761" spans="10:10" ht="15" customHeight="1" x14ac:dyDescent="0.3">
      <c r="J39761" s="33"/>
    </row>
    <row r="39762" spans="10:10" x14ac:dyDescent="0.3">
      <c r="J39762" s="33"/>
    </row>
    <row r="39763" spans="10:10" ht="15" customHeight="1" x14ac:dyDescent="0.3">
      <c r="J39763" s="33"/>
    </row>
    <row r="39764" spans="10:10" x14ac:dyDescent="0.3">
      <c r="J39764" s="33"/>
    </row>
    <row r="39765" spans="10:10" ht="15" customHeight="1" x14ac:dyDescent="0.3">
      <c r="J39765" s="33"/>
    </row>
    <row r="39766" spans="10:10" ht="15" customHeight="1" x14ac:dyDescent="0.3">
      <c r="J39766" s="33"/>
    </row>
    <row r="39767" spans="10:10" ht="15" customHeight="1" x14ac:dyDescent="0.3">
      <c r="J39767" s="33"/>
    </row>
    <row r="39768" spans="10:10" x14ac:dyDescent="0.3">
      <c r="J39768" s="33"/>
    </row>
    <row r="39769" spans="10:10" ht="15" customHeight="1" x14ac:dyDescent="0.3">
      <c r="J39769" s="33"/>
    </row>
    <row r="39770" spans="10:10" ht="15" customHeight="1" x14ac:dyDescent="0.3">
      <c r="J39770" s="33"/>
    </row>
    <row r="39771" spans="10:10" ht="15" customHeight="1" x14ac:dyDescent="0.3">
      <c r="J39771" s="33"/>
    </row>
    <row r="39772" spans="10:10" ht="15" customHeight="1" x14ac:dyDescent="0.3">
      <c r="J39772" s="33"/>
    </row>
    <row r="39773" spans="10:10" ht="15" customHeight="1" x14ac:dyDescent="0.3">
      <c r="J39773" s="33"/>
    </row>
    <row r="39774" spans="10:10" x14ac:dyDescent="0.3">
      <c r="J39774" s="33"/>
    </row>
    <row r="39775" spans="10:10" ht="15" customHeight="1" x14ac:dyDescent="0.3">
      <c r="J39775" s="33"/>
    </row>
    <row r="39776" spans="10:10" x14ac:dyDescent="0.3">
      <c r="J39776" s="33"/>
    </row>
    <row r="39777" spans="10:10" ht="15" customHeight="1" x14ac:dyDescent="0.3">
      <c r="J39777" s="33"/>
    </row>
    <row r="39778" spans="10:10" x14ac:dyDescent="0.3">
      <c r="J39778" s="33"/>
    </row>
    <row r="39779" spans="10:10" x14ac:dyDescent="0.3">
      <c r="J39779" s="33"/>
    </row>
    <row r="39780" spans="10:10" ht="15" customHeight="1" x14ac:dyDescent="0.3">
      <c r="J39780" s="33"/>
    </row>
    <row r="39781" spans="10:10" ht="15" customHeight="1" x14ac:dyDescent="0.3">
      <c r="J39781" s="33"/>
    </row>
    <row r="39782" spans="10:10" x14ac:dyDescent="0.3">
      <c r="J39782" s="33"/>
    </row>
    <row r="39783" spans="10:10" ht="15" customHeight="1" x14ac:dyDescent="0.3">
      <c r="J39783" s="33"/>
    </row>
    <row r="39784" spans="10:10" x14ac:dyDescent="0.3">
      <c r="J39784" s="33"/>
    </row>
    <row r="39785" spans="10:10" ht="15" customHeight="1" x14ac:dyDescent="0.3">
      <c r="J39785" s="33"/>
    </row>
    <row r="39786" spans="10:10" ht="15" customHeight="1" x14ac:dyDescent="0.3">
      <c r="J39786" s="33"/>
    </row>
    <row r="39787" spans="10:10" x14ac:dyDescent="0.3">
      <c r="J39787" s="33"/>
    </row>
    <row r="39788" spans="10:10" ht="15" customHeight="1" x14ac:dyDescent="0.3">
      <c r="J39788" s="33"/>
    </row>
    <row r="39789" spans="10:10" ht="15" customHeight="1" x14ac:dyDescent="0.3">
      <c r="J39789" s="33"/>
    </row>
    <row r="39790" spans="10:10" x14ac:dyDescent="0.3">
      <c r="J39790" s="33"/>
    </row>
    <row r="39791" spans="10:10" x14ac:dyDescent="0.3">
      <c r="J39791" s="33"/>
    </row>
    <row r="39792" spans="10:10" ht="15" customHeight="1" x14ac:dyDescent="0.3">
      <c r="J39792" s="33"/>
    </row>
    <row r="39793" spans="10:10" ht="15" customHeight="1" x14ac:dyDescent="0.3">
      <c r="J39793" s="33"/>
    </row>
    <row r="39794" spans="10:10" ht="15" customHeight="1" x14ac:dyDescent="0.3">
      <c r="J39794" s="33"/>
    </row>
    <row r="39795" spans="10:10" ht="15" customHeight="1" x14ac:dyDescent="0.3">
      <c r="J39795" s="33"/>
    </row>
    <row r="39796" spans="10:10" ht="15" customHeight="1" x14ac:dyDescent="0.3">
      <c r="J39796" s="33"/>
    </row>
    <row r="39797" spans="10:10" ht="15" customHeight="1" x14ac:dyDescent="0.3">
      <c r="J39797" s="33"/>
    </row>
    <row r="39798" spans="10:10" ht="15" customHeight="1" x14ac:dyDescent="0.3">
      <c r="J39798" s="33"/>
    </row>
    <row r="39799" spans="10:10" ht="15" customHeight="1" x14ac:dyDescent="0.3">
      <c r="J39799" s="33"/>
    </row>
    <row r="39800" spans="10:10" ht="15" customHeight="1" x14ac:dyDescent="0.3">
      <c r="J39800" s="33"/>
    </row>
    <row r="39801" spans="10:10" x14ac:dyDescent="0.3">
      <c r="J39801" s="33"/>
    </row>
    <row r="39802" spans="10:10" ht="15" customHeight="1" x14ac:dyDescent="0.3">
      <c r="J39802" s="33"/>
    </row>
    <row r="39803" spans="10:10" ht="15" customHeight="1" x14ac:dyDescent="0.3">
      <c r="J39803" s="33"/>
    </row>
    <row r="39804" spans="10:10" ht="15" customHeight="1" x14ac:dyDescent="0.3">
      <c r="J39804" s="33"/>
    </row>
    <row r="39805" spans="10:10" ht="15" customHeight="1" x14ac:dyDescent="0.3">
      <c r="J39805" s="33"/>
    </row>
    <row r="39806" spans="10:10" ht="15" customHeight="1" x14ac:dyDescent="0.3">
      <c r="J39806" s="33"/>
    </row>
    <row r="39807" spans="10:10" ht="15" customHeight="1" x14ac:dyDescent="0.3">
      <c r="J39807" s="33"/>
    </row>
    <row r="39808" spans="10:10" x14ac:dyDescent="0.3">
      <c r="J39808" s="33"/>
    </row>
    <row r="39809" spans="10:10" x14ac:dyDescent="0.3">
      <c r="J39809" s="33"/>
    </row>
    <row r="39810" spans="10:10" ht="15" customHeight="1" x14ac:dyDescent="0.3">
      <c r="J39810" s="33"/>
    </row>
    <row r="39811" spans="10:10" ht="15" customHeight="1" x14ac:dyDescent="0.3">
      <c r="J39811" s="33"/>
    </row>
    <row r="39812" spans="10:10" ht="15" customHeight="1" x14ac:dyDescent="0.3">
      <c r="J39812" s="33"/>
    </row>
    <row r="39813" spans="10:10" x14ac:dyDescent="0.3">
      <c r="J39813" s="33"/>
    </row>
    <row r="39814" spans="10:10" ht="15" customHeight="1" x14ac:dyDescent="0.3">
      <c r="J39814" s="33"/>
    </row>
    <row r="39815" spans="10:10" ht="15" customHeight="1" x14ac:dyDescent="0.3">
      <c r="J39815" s="33"/>
    </row>
    <row r="39816" spans="10:10" ht="15" customHeight="1" x14ac:dyDescent="0.3">
      <c r="J39816" s="33"/>
    </row>
    <row r="39817" spans="10:10" ht="15" customHeight="1" x14ac:dyDescent="0.3">
      <c r="J39817" s="33"/>
    </row>
    <row r="39818" spans="10:10" ht="15" customHeight="1" x14ac:dyDescent="0.3">
      <c r="J39818" s="33"/>
    </row>
    <row r="39819" spans="10:10" x14ac:dyDescent="0.3">
      <c r="J39819" s="33"/>
    </row>
    <row r="39820" spans="10:10" ht="15" customHeight="1" x14ac:dyDescent="0.3">
      <c r="J39820" s="33"/>
    </row>
    <row r="39821" spans="10:10" x14ac:dyDescent="0.3">
      <c r="J39821" s="33"/>
    </row>
    <row r="39822" spans="10:10" x14ac:dyDescent="0.3">
      <c r="J39822" s="33"/>
    </row>
    <row r="39823" spans="10:10" ht="15" customHeight="1" x14ac:dyDescent="0.3">
      <c r="J39823" s="33"/>
    </row>
    <row r="39824" spans="10:10" x14ac:dyDescent="0.3">
      <c r="J39824" s="33"/>
    </row>
    <row r="39825" spans="10:10" ht="15" customHeight="1" x14ac:dyDescent="0.3">
      <c r="J39825" s="33"/>
    </row>
    <row r="39826" spans="10:10" x14ac:dyDescent="0.3">
      <c r="J39826" s="33"/>
    </row>
    <row r="39827" spans="10:10" ht="15" customHeight="1" x14ac:dyDescent="0.3">
      <c r="J39827" s="33"/>
    </row>
    <row r="39828" spans="10:10" x14ac:dyDescent="0.3">
      <c r="J39828" s="33"/>
    </row>
    <row r="39829" spans="10:10" ht="15" customHeight="1" x14ac:dyDescent="0.3">
      <c r="J39829" s="33"/>
    </row>
    <row r="39830" spans="10:10" ht="15" customHeight="1" x14ac:dyDescent="0.3">
      <c r="J39830" s="33"/>
    </row>
    <row r="39831" spans="10:10" ht="15" customHeight="1" x14ac:dyDescent="0.3">
      <c r="J39831" s="33"/>
    </row>
    <row r="39832" spans="10:10" x14ac:dyDescent="0.3">
      <c r="J39832" s="33"/>
    </row>
    <row r="39833" spans="10:10" ht="15" customHeight="1" x14ac:dyDescent="0.3">
      <c r="J39833" s="33"/>
    </row>
    <row r="39834" spans="10:10" ht="15" customHeight="1" x14ac:dyDescent="0.3">
      <c r="J39834" s="33"/>
    </row>
    <row r="39835" spans="10:10" ht="15" customHeight="1" x14ac:dyDescent="0.3">
      <c r="J39835" s="33"/>
    </row>
    <row r="39836" spans="10:10" x14ac:dyDescent="0.3">
      <c r="J39836" s="33"/>
    </row>
    <row r="39837" spans="10:10" x14ac:dyDescent="0.3">
      <c r="J39837" s="33"/>
    </row>
    <row r="39838" spans="10:10" ht="15" customHeight="1" x14ac:dyDescent="0.3">
      <c r="J39838" s="33"/>
    </row>
    <row r="39839" spans="10:10" ht="15" customHeight="1" x14ac:dyDescent="0.3">
      <c r="J39839" s="33"/>
    </row>
    <row r="39840" spans="10:10" ht="15" customHeight="1" x14ac:dyDescent="0.3">
      <c r="J39840" s="33"/>
    </row>
    <row r="39841" spans="10:10" x14ac:dyDescent="0.3">
      <c r="J39841" s="33"/>
    </row>
    <row r="39842" spans="10:10" x14ac:dyDescent="0.3">
      <c r="J39842" s="33"/>
    </row>
    <row r="39843" spans="10:10" ht="15" customHeight="1" x14ac:dyDescent="0.3">
      <c r="J39843" s="33"/>
    </row>
    <row r="39844" spans="10:10" ht="15" customHeight="1" x14ac:dyDescent="0.3">
      <c r="J39844" s="33"/>
    </row>
    <row r="39845" spans="10:10" ht="15" customHeight="1" x14ac:dyDescent="0.3">
      <c r="J39845" s="33"/>
    </row>
    <row r="39846" spans="10:10" ht="15" customHeight="1" x14ac:dyDescent="0.3">
      <c r="J39846" s="33"/>
    </row>
    <row r="39847" spans="10:10" ht="15" customHeight="1" x14ac:dyDescent="0.3">
      <c r="J39847" s="33"/>
    </row>
    <row r="39848" spans="10:10" ht="15" customHeight="1" x14ac:dyDescent="0.3">
      <c r="J39848" s="33"/>
    </row>
    <row r="39849" spans="10:10" ht="15" customHeight="1" x14ac:dyDescent="0.3">
      <c r="J39849" s="33"/>
    </row>
    <row r="39850" spans="10:10" x14ac:dyDescent="0.3">
      <c r="J39850" s="33"/>
    </row>
    <row r="39851" spans="10:10" x14ac:dyDescent="0.3">
      <c r="J39851" s="33"/>
    </row>
    <row r="39852" spans="10:10" ht="15" customHeight="1" x14ac:dyDescent="0.3">
      <c r="J39852" s="33"/>
    </row>
    <row r="39853" spans="10:10" ht="15" customHeight="1" x14ac:dyDescent="0.3">
      <c r="J39853" s="33"/>
    </row>
    <row r="39854" spans="10:10" ht="15" customHeight="1" x14ac:dyDescent="0.3">
      <c r="J39854" s="33"/>
    </row>
    <row r="39855" spans="10:10" ht="15" customHeight="1" x14ac:dyDescent="0.3">
      <c r="J39855" s="33"/>
    </row>
    <row r="39856" spans="10:10" ht="15" customHeight="1" x14ac:dyDescent="0.3">
      <c r="J39856" s="33"/>
    </row>
    <row r="39857" spans="10:10" x14ac:dyDescent="0.3">
      <c r="J39857" s="33"/>
    </row>
    <row r="39858" spans="10:10" x14ac:dyDescent="0.3">
      <c r="J39858" s="33"/>
    </row>
    <row r="39859" spans="10:10" x14ac:dyDescent="0.3">
      <c r="J39859" s="33"/>
    </row>
    <row r="39860" spans="10:10" ht="15" customHeight="1" x14ac:dyDescent="0.3">
      <c r="J39860" s="33"/>
    </row>
    <row r="39861" spans="10:10" ht="15" customHeight="1" x14ac:dyDescent="0.3">
      <c r="J39861" s="33"/>
    </row>
    <row r="39862" spans="10:10" ht="15" customHeight="1" x14ac:dyDescent="0.3">
      <c r="J39862" s="33"/>
    </row>
    <row r="39863" spans="10:10" ht="15" customHeight="1" x14ac:dyDescent="0.3">
      <c r="J39863" s="33"/>
    </row>
    <row r="39864" spans="10:10" ht="15" customHeight="1" x14ac:dyDescent="0.3">
      <c r="J39864" s="33"/>
    </row>
    <row r="39865" spans="10:10" ht="15" customHeight="1" x14ac:dyDescent="0.3">
      <c r="J39865" s="33"/>
    </row>
    <row r="39866" spans="10:10" ht="15" customHeight="1" x14ac:dyDescent="0.3">
      <c r="J39866" s="33"/>
    </row>
    <row r="39867" spans="10:10" ht="15" customHeight="1" x14ac:dyDescent="0.3">
      <c r="J39867" s="33"/>
    </row>
    <row r="39868" spans="10:10" ht="15" customHeight="1" x14ac:dyDescent="0.3">
      <c r="J39868" s="33"/>
    </row>
    <row r="39869" spans="10:10" ht="15" customHeight="1" x14ac:dyDescent="0.3">
      <c r="J39869" s="33"/>
    </row>
    <row r="39870" spans="10:10" ht="15" customHeight="1" x14ac:dyDescent="0.3">
      <c r="J39870" s="33"/>
    </row>
    <row r="39871" spans="10:10" ht="15" customHeight="1" x14ac:dyDescent="0.3">
      <c r="J39871" s="33"/>
    </row>
    <row r="39872" spans="10:10" ht="15" customHeight="1" x14ac:dyDescent="0.3">
      <c r="J39872" s="33"/>
    </row>
    <row r="39873" spans="10:10" ht="15" customHeight="1" x14ac:dyDescent="0.3">
      <c r="J39873" s="33"/>
    </row>
    <row r="39874" spans="10:10" ht="15" customHeight="1" x14ac:dyDescent="0.3">
      <c r="J39874" s="33"/>
    </row>
    <row r="39875" spans="10:10" ht="15" customHeight="1" x14ac:dyDescent="0.3">
      <c r="J39875" s="33"/>
    </row>
    <row r="39876" spans="10:10" x14ac:dyDescent="0.3">
      <c r="J39876" s="33"/>
    </row>
    <row r="39877" spans="10:10" ht="15" customHeight="1" x14ac:dyDescent="0.3">
      <c r="J39877" s="33"/>
    </row>
    <row r="39878" spans="10:10" ht="15" customHeight="1" x14ac:dyDescent="0.3">
      <c r="J39878" s="33"/>
    </row>
    <row r="39879" spans="10:10" x14ac:dyDescent="0.3">
      <c r="J39879" s="33"/>
    </row>
    <row r="39880" spans="10:10" ht="15" customHeight="1" x14ac:dyDescent="0.3">
      <c r="J39880" s="33"/>
    </row>
    <row r="39881" spans="10:10" x14ac:dyDescent="0.3">
      <c r="J39881" s="33"/>
    </row>
    <row r="39882" spans="10:10" ht="15" customHeight="1" x14ac:dyDescent="0.3">
      <c r="J39882" s="33"/>
    </row>
    <row r="39883" spans="10:10" ht="15" customHeight="1" x14ac:dyDescent="0.3">
      <c r="J39883" s="33"/>
    </row>
    <row r="39884" spans="10:10" x14ac:dyDescent="0.3">
      <c r="J39884" s="33"/>
    </row>
    <row r="39885" spans="10:10" ht="15" customHeight="1" x14ac:dyDescent="0.3">
      <c r="J39885" s="33"/>
    </row>
    <row r="39886" spans="10:10" x14ac:dyDescent="0.3">
      <c r="J39886" s="33"/>
    </row>
    <row r="39887" spans="10:10" ht="15" customHeight="1" x14ac:dyDescent="0.3">
      <c r="J39887" s="33"/>
    </row>
    <row r="39888" spans="10:10" x14ac:dyDescent="0.3">
      <c r="J39888" s="33"/>
    </row>
    <row r="39889" spans="10:10" x14ac:dyDescent="0.3">
      <c r="J39889" s="33"/>
    </row>
    <row r="39890" spans="10:10" x14ac:dyDescent="0.3">
      <c r="J39890" s="33"/>
    </row>
    <row r="39891" spans="10:10" ht="15" customHeight="1" x14ac:dyDescent="0.3">
      <c r="J39891" s="33"/>
    </row>
    <row r="39892" spans="10:10" ht="15" customHeight="1" x14ac:dyDescent="0.3">
      <c r="J39892" s="33"/>
    </row>
    <row r="39893" spans="10:10" x14ac:dyDescent="0.3">
      <c r="J39893" s="33"/>
    </row>
    <row r="39894" spans="10:10" ht="15" customHeight="1" x14ac:dyDescent="0.3">
      <c r="J39894" s="33"/>
    </row>
    <row r="39895" spans="10:10" ht="15" customHeight="1" x14ac:dyDescent="0.3">
      <c r="J39895" s="33"/>
    </row>
    <row r="39896" spans="10:10" ht="15" customHeight="1" x14ac:dyDescent="0.3">
      <c r="J39896" s="33"/>
    </row>
    <row r="39897" spans="10:10" ht="15" customHeight="1" x14ac:dyDescent="0.3">
      <c r="J39897" s="33"/>
    </row>
    <row r="39898" spans="10:10" ht="15" customHeight="1" x14ac:dyDescent="0.3">
      <c r="J39898" s="33"/>
    </row>
    <row r="39899" spans="10:10" x14ac:dyDescent="0.3">
      <c r="J39899" s="33"/>
    </row>
    <row r="39900" spans="10:10" ht="15" customHeight="1" x14ac:dyDescent="0.3">
      <c r="J39900" s="33"/>
    </row>
    <row r="39901" spans="10:10" ht="15" customHeight="1" x14ac:dyDescent="0.3">
      <c r="J39901" s="33"/>
    </row>
    <row r="39902" spans="10:10" x14ac:dyDescent="0.3">
      <c r="J39902" s="33"/>
    </row>
    <row r="39903" spans="10:10" x14ac:dyDescent="0.3">
      <c r="J39903" s="33"/>
    </row>
    <row r="39904" spans="10:10" x14ac:dyDescent="0.3">
      <c r="J39904" s="33"/>
    </row>
    <row r="39905" spans="10:10" ht="15" customHeight="1" x14ac:dyDescent="0.3">
      <c r="J39905" s="33"/>
    </row>
    <row r="39906" spans="10:10" ht="15" customHeight="1" x14ac:dyDescent="0.3">
      <c r="J39906" s="33"/>
    </row>
    <row r="39907" spans="10:10" x14ac:dyDescent="0.3">
      <c r="J39907" s="33"/>
    </row>
    <row r="39908" spans="10:10" ht="15" customHeight="1" x14ac:dyDescent="0.3">
      <c r="J39908" s="33"/>
    </row>
    <row r="39909" spans="10:10" ht="15" customHeight="1" x14ac:dyDescent="0.3">
      <c r="J39909" s="33"/>
    </row>
    <row r="39910" spans="10:10" ht="15" customHeight="1" x14ac:dyDescent="0.3">
      <c r="J39910" s="33"/>
    </row>
    <row r="39911" spans="10:10" ht="15" customHeight="1" x14ac:dyDescent="0.3">
      <c r="J39911" s="33"/>
    </row>
    <row r="39912" spans="10:10" ht="15" customHeight="1" x14ac:dyDescent="0.3">
      <c r="J39912" s="33"/>
    </row>
    <row r="39913" spans="10:10" ht="15" customHeight="1" x14ac:dyDescent="0.3">
      <c r="J39913" s="33"/>
    </row>
    <row r="39914" spans="10:10" ht="15" customHeight="1" x14ac:dyDescent="0.3">
      <c r="J39914" s="33"/>
    </row>
    <row r="39915" spans="10:10" ht="15" customHeight="1" x14ac:dyDescent="0.3">
      <c r="J39915" s="33"/>
    </row>
    <row r="39916" spans="10:10" ht="15" customHeight="1" x14ac:dyDescent="0.3">
      <c r="J39916" s="33"/>
    </row>
    <row r="39917" spans="10:10" x14ac:dyDescent="0.3">
      <c r="J39917" s="33"/>
    </row>
    <row r="39918" spans="10:10" x14ac:dyDescent="0.3">
      <c r="J39918" s="33"/>
    </row>
    <row r="39919" spans="10:10" ht="15" customHeight="1" x14ac:dyDescent="0.3">
      <c r="J39919" s="33"/>
    </row>
    <row r="39920" spans="10:10" ht="15" customHeight="1" x14ac:dyDescent="0.3">
      <c r="J39920" s="33"/>
    </row>
    <row r="39921" spans="10:10" ht="15" customHeight="1" x14ac:dyDescent="0.3">
      <c r="J39921" s="33"/>
    </row>
    <row r="39922" spans="10:10" ht="15" customHeight="1" x14ac:dyDescent="0.3">
      <c r="J39922" s="33"/>
    </row>
    <row r="39923" spans="10:10" ht="15" customHeight="1" x14ac:dyDescent="0.3">
      <c r="J39923" s="33"/>
    </row>
    <row r="39924" spans="10:10" ht="15" customHeight="1" x14ac:dyDescent="0.3">
      <c r="J39924" s="33"/>
    </row>
    <row r="39925" spans="10:10" ht="15" customHeight="1" x14ac:dyDescent="0.3">
      <c r="J39925" s="33"/>
    </row>
    <row r="39926" spans="10:10" ht="15" customHeight="1" x14ac:dyDescent="0.3">
      <c r="J39926" s="33"/>
    </row>
    <row r="39927" spans="10:10" x14ac:dyDescent="0.3">
      <c r="J39927" s="33"/>
    </row>
    <row r="39928" spans="10:10" x14ac:dyDescent="0.3">
      <c r="J39928" s="33"/>
    </row>
    <row r="39929" spans="10:10" ht="15" customHeight="1" x14ac:dyDescent="0.3">
      <c r="J39929" s="33"/>
    </row>
    <row r="39930" spans="10:10" x14ac:dyDescent="0.3">
      <c r="J39930" s="33"/>
    </row>
    <row r="39931" spans="10:10" ht="15" customHeight="1" x14ac:dyDescent="0.3">
      <c r="J39931" s="33"/>
    </row>
    <row r="39932" spans="10:10" ht="15" customHeight="1" x14ac:dyDescent="0.3">
      <c r="J39932" s="33"/>
    </row>
    <row r="39933" spans="10:10" ht="15" customHeight="1" x14ac:dyDescent="0.3">
      <c r="J39933" s="33"/>
    </row>
    <row r="39934" spans="10:10" ht="15" customHeight="1" x14ac:dyDescent="0.3">
      <c r="J39934" s="33"/>
    </row>
    <row r="39935" spans="10:10" ht="15" customHeight="1" x14ac:dyDescent="0.3">
      <c r="J39935" s="33"/>
    </row>
    <row r="39936" spans="10:10" ht="15" customHeight="1" x14ac:dyDescent="0.3">
      <c r="J39936" s="33"/>
    </row>
    <row r="39937" spans="10:10" x14ac:dyDescent="0.3">
      <c r="J39937" s="33"/>
    </row>
    <row r="39938" spans="10:10" x14ac:dyDescent="0.3">
      <c r="J39938" s="33"/>
    </row>
    <row r="39939" spans="10:10" ht="15" customHeight="1" x14ac:dyDescent="0.3">
      <c r="J39939" s="33"/>
    </row>
    <row r="39940" spans="10:10" x14ac:dyDescent="0.3">
      <c r="J39940" s="33"/>
    </row>
    <row r="39941" spans="10:10" ht="15" customHeight="1" x14ac:dyDescent="0.3">
      <c r="J39941" s="33"/>
    </row>
    <row r="39942" spans="10:10" x14ac:dyDescent="0.3">
      <c r="J39942" s="33"/>
    </row>
    <row r="39943" spans="10:10" ht="15" customHeight="1" x14ac:dyDescent="0.3">
      <c r="J39943" s="33"/>
    </row>
    <row r="39944" spans="10:10" x14ac:dyDescent="0.3">
      <c r="J39944" s="33"/>
    </row>
    <row r="39945" spans="10:10" x14ac:dyDescent="0.3">
      <c r="J39945" s="33"/>
    </row>
    <row r="39946" spans="10:10" ht="15" customHeight="1" x14ac:dyDescent="0.3">
      <c r="J39946" s="33"/>
    </row>
    <row r="39947" spans="10:10" ht="15" customHeight="1" x14ac:dyDescent="0.3">
      <c r="J39947" s="33"/>
    </row>
    <row r="39948" spans="10:10" ht="15" customHeight="1" x14ac:dyDescent="0.3">
      <c r="J39948" s="33"/>
    </row>
    <row r="39949" spans="10:10" ht="15" customHeight="1" x14ac:dyDescent="0.3">
      <c r="J39949" s="33"/>
    </row>
    <row r="39950" spans="10:10" x14ac:dyDescent="0.3">
      <c r="J39950" s="33"/>
    </row>
    <row r="39951" spans="10:10" ht="15" customHeight="1" x14ac:dyDescent="0.3">
      <c r="J39951" s="33"/>
    </row>
    <row r="39952" spans="10:10" ht="15" customHeight="1" x14ac:dyDescent="0.3">
      <c r="J39952" s="33"/>
    </row>
    <row r="39953" spans="10:10" ht="15" customHeight="1" x14ac:dyDescent="0.3">
      <c r="J39953" s="33"/>
    </row>
    <row r="39954" spans="10:10" ht="15" customHeight="1" x14ac:dyDescent="0.3">
      <c r="J39954" s="33"/>
    </row>
    <row r="39955" spans="10:10" ht="15" customHeight="1" x14ac:dyDescent="0.3">
      <c r="J39955" s="33"/>
    </row>
    <row r="39956" spans="10:10" ht="15" customHeight="1" x14ac:dyDescent="0.3">
      <c r="J39956" s="33"/>
    </row>
    <row r="39957" spans="10:10" ht="15" customHeight="1" x14ac:dyDescent="0.3">
      <c r="J39957" s="33"/>
    </row>
    <row r="39958" spans="10:10" ht="15" customHeight="1" x14ac:dyDescent="0.3">
      <c r="J39958" s="33"/>
    </row>
    <row r="39959" spans="10:10" ht="15" customHeight="1" x14ac:dyDescent="0.3">
      <c r="J39959" s="33"/>
    </row>
    <row r="39960" spans="10:10" x14ac:dyDescent="0.3">
      <c r="J39960" s="33"/>
    </row>
    <row r="39961" spans="10:10" ht="15" customHeight="1" x14ac:dyDescent="0.3">
      <c r="J39961" s="33"/>
    </row>
    <row r="39962" spans="10:10" x14ac:dyDescent="0.3">
      <c r="J39962" s="33"/>
    </row>
    <row r="39963" spans="10:10" ht="15" customHeight="1" x14ac:dyDescent="0.3">
      <c r="J39963" s="33"/>
    </row>
    <row r="39964" spans="10:10" x14ac:dyDescent="0.3">
      <c r="J39964" s="33"/>
    </row>
    <row r="39965" spans="10:10" ht="15" customHeight="1" x14ac:dyDescent="0.3">
      <c r="J39965" s="33"/>
    </row>
    <row r="39966" spans="10:10" ht="15" customHeight="1" x14ac:dyDescent="0.3">
      <c r="J39966" s="33"/>
    </row>
    <row r="39967" spans="10:10" ht="15" customHeight="1" x14ac:dyDescent="0.3">
      <c r="J39967" s="33"/>
    </row>
    <row r="39968" spans="10:10" ht="15" customHeight="1" x14ac:dyDescent="0.3">
      <c r="J39968" s="33"/>
    </row>
    <row r="39969" spans="10:10" ht="15" customHeight="1" x14ac:dyDescent="0.3">
      <c r="J39969" s="33"/>
    </row>
    <row r="39970" spans="10:10" ht="15" customHeight="1" x14ac:dyDescent="0.3">
      <c r="J39970" s="33"/>
    </row>
    <row r="39971" spans="10:10" x14ac:dyDescent="0.3">
      <c r="J39971" s="33"/>
    </row>
    <row r="39972" spans="10:10" ht="15" customHeight="1" x14ac:dyDescent="0.3">
      <c r="J39972" s="33"/>
    </row>
    <row r="39973" spans="10:10" ht="15" customHeight="1" x14ac:dyDescent="0.3">
      <c r="J39973" s="33"/>
    </row>
    <row r="39974" spans="10:10" ht="15" customHeight="1" x14ac:dyDescent="0.3">
      <c r="J39974" s="33"/>
    </row>
    <row r="39975" spans="10:10" ht="15" customHeight="1" x14ac:dyDescent="0.3">
      <c r="J39975" s="33"/>
    </row>
    <row r="39976" spans="10:10" ht="15" customHeight="1" x14ac:dyDescent="0.3">
      <c r="J39976" s="33"/>
    </row>
    <row r="39977" spans="10:10" ht="15" customHeight="1" x14ac:dyDescent="0.3">
      <c r="J39977" s="33"/>
    </row>
    <row r="39978" spans="10:10" ht="15" customHeight="1" x14ac:dyDescent="0.3">
      <c r="J39978" s="33"/>
    </row>
    <row r="39979" spans="10:10" x14ac:dyDescent="0.3">
      <c r="J39979" s="33"/>
    </row>
    <row r="39980" spans="10:10" ht="15" customHeight="1" x14ac:dyDescent="0.3">
      <c r="J39980" s="33"/>
    </row>
    <row r="39981" spans="10:10" ht="15" customHeight="1" x14ac:dyDescent="0.3">
      <c r="J39981" s="33"/>
    </row>
    <row r="39982" spans="10:10" ht="15" customHeight="1" x14ac:dyDescent="0.3">
      <c r="J39982" s="33"/>
    </row>
    <row r="39983" spans="10:10" ht="15" customHeight="1" x14ac:dyDescent="0.3">
      <c r="J39983" s="33"/>
    </row>
    <row r="39984" spans="10:10" ht="15" customHeight="1" x14ac:dyDescent="0.3">
      <c r="J39984" s="33"/>
    </row>
    <row r="39985" spans="10:10" ht="15" customHeight="1" x14ac:dyDescent="0.3">
      <c r="J39985" s="33"/>
    </row>
    <row r="39986" spans="10:10" ht="15" customHeight="1" x14ac:dyDescent="0.3">
      <c r="J39986" s="33"/>
    </row>
    <row r="39987" spans="10:10" x14ac:dyDescent="0.3">
      <c r="J39987" s="33"/>
    </row>
    <row r="39988" spans="10:10" ht="15" customHeight="1" x14ac:dyDescent="0.3">
      <c r="J39988" s="33"/>
    </row>
    <row r="39989" spans="10:10" ht="15" customHeight="1" x14ac:dyDescent="0.3">
      <c r="J39989" s="33"/>
    </row>
    <row r="39990" spans="10:10" ht="15" customHeight="1" x14ac:dyDescent="0.3">
      <c r="J39990" s="33"/>
    </row>
    <row r="39991" spans="10:10" ht="15" customHeight="1" x14ac:dyDescent="0.3">
      <c r="J39991" s="33"/>
    </row>
    <row r="39992" spans="10:10" ht="15" customHeight="1" x14ac:dyDescent="0.3">
      <c r="J39992" s="33"/>
    </row>
    <row r="39993" spans="10:10" ht="15" customHeight="1" x14ac:dyDescent="0.3">
      <c r="J39993" s="33"/>
    </row>
    <row r="39994" spans="10:10" ht="15" customHeight="1" x14ac:dyDescent="0.3">
      <c r="J39994" s="33"/>
    </row>
    <row r="39995" spans="10:10" ht="15" customHeight="1" x14ac:dyDescent="0.3">
      <c r="J39995" s="33"/>
    </row>
    <row r="39996" spans="10:10" ht="15" customHeight="1" x14ac:dyDescent="0.3">
      <c r="J39996" s="33"/>
    </row>
    <row r="39997" spans="10:10" ht="15" customHeight="1" x14ac:dyDescent="0.3">
      <c r="J39997" s="33"/>
    </row>
    <row r="39998" spans="10:10" x14ac:dyDescent="0.3">
      <c r="J39998" s="33"/>
    </row>
    <row r="39999" spans="10:10" ht="15" customHeight="1" x14ac:dyDescent="0.3">
      <c r="J39999" s="33"/>
    </row>
    <row r="40000" spans="10:10" x14ac:dyDescent="0.3">
      <c r="J40000" s="33"/>
    </row>
    <row r="40001" spans="10:10" ht="15" customHeight="1" x14ac:dyDescent="0.3">
      <c r="J40001" s="33"/>
    </row>
    <row r="40002" spans="10:10" x14ac:dyDescent="0.3">
      <c r="J40002" s="33"/>
    </row>
    <row r="40003" spans="10:10" ht="15" customHeight="1" x14ac:dyDescent="0.3">
      <c r="J40003" s="33"/>
    </row>
    <row r="40004" spans="10:10" ht="15" customHeight="1" x14ac:dyDescent="0.3">
      <c r="J40004" s="33"/>
    </row>
    <row r="40005" spans="10:10" ht="15" customHeight="1" x14ac:dyDescent="0.3">
      <c r="J40005" s="33"/>
    </row>
    <row r="40006" spans="10:10" ht="15" customHeight="1" x14ac:dyDescent="0.3">
      <c r="J40006" s="33"/>
    </row>
    <row r="40007" spans="10:10" x14ac:dyDescent="0.3">
      <c r="J40007" s="33"/>
    </row>
    <row r="40008" spans="10:10" ht="15" customHeight="1" x14ac:dyDescent="0.3">
      <c r="J40008" s="33"/>
    </row>
    <row r="40009" spans="10:10" ht="15" customHeight="1" x14ac:dyDescent="0.3">
      <c r="J40009" s="33"/>
    </row>
    <row r="40010" spans="10:10" ht="15" customHeight="1" x14ac:dyDescent="0.3">
      <c r="J40010" s="33"/>
    </row>
    <row r="40011" spans="10:10" x14ac:dyDescent="0.3">
      <c r="J40011" s="33"/>
    </row>
    <row r="40012" spans="10:10" ht="15" customHeight="1" x14ac:dyDescent="0.3">
      <c r="J40012" s="33"/>
    </row>
    <row r="40013" spans="10:10" x14ac:dyDescent="0.3">
      <c r="J40013" s="33"/>
    </row>
    <row r="40014" spans="10:10" ht="15" customHeight="1" x14ac:dyDescent="0.3">
      <c r="J40014" s="33"/>
    </row>
    <row r="40015" spans="10:10" ht="15" customHeight="1" x14ac:dyDescent="0.3">
      <c r="J40015" s="33"/>
    </row>
    <row r="40016" spans="10:10" ht="15" customHeight="1" x14ac:dyDescent="0.3">
      <c r="J40016" s="33"/>
    </row>
    <row r="40017" spans="10:10" x14ac:dyDescent="0.3">
      <c r="J40017" s="33"/>
    </row>
    <row r="40018" spans="10:10" x14ac:dyDescent="0.3">
      <c r="J40018" s="33"/>
    </row>
    <row r="40019" spans="10:10" x14ac:dyDescent="0.3">
      <c r="J40019" s="33"/>
    </row>
    <row r="40020" spans="10:10" x14ac:dyDescent="0.3">
      <c r="J40020" s="33"/>
    </row>
    <row r="40021" spans="10:10" x14ac:dyDescent="0.3">
      <c r="J40021" s="33"/>
    </row>
    <row r="40022" spans="10:10" x14ac:dyDescent="0.3">
      <c r="J40022" s="33"/>
    </row>
    <row r="40023" spans="10:10" ht="15" customHeight="1" x14ac:dyDescent="0.3">
      <c r="J40023" s="33"/>
    </row>
    <row r="40024" spans="10:10" ht="15" customHeight="1" x14ac:dyDescent="0.3">
      <c r="J40024" s="33"/>
    </row>
    <row r="40025" spans="10:10" x14ac:dyDescent="0.3">
      <c r="J40025" s="33"/>
    </row>
    <row r="40026" spans="10:10" ht="15" customHeight="1" x14ac:dyDescent="0.3">
      <c r="J40026" s="33"/>
    </row>
    <row r="40027" spans="10:10" ht="15" customHeight="1" x14ac:dyDescent="0.3">
      <c r="J40027" s="33"/>
    </row>
    <row r="40028" spans="10:10" ht="15" customHeight="1" x14ac:dyDescent="0.3">
      <c r="J40028" s="33"/>
    </row>
    <row r="40029" spans="10:10" ht="15" customHeight="1" x14ac:dyDescent="0.3">
      <c r="J40029" s="33"/>
    </row>
    <row r="40030" spans="10:10" ht="15" customHeight="1" x14ac:dyDescent="0.3">
      <c r="J40030" s="33"/>
    </row>
    <row r="40031" spans="10:10" ht="15" customHeight="1" x14ac:dyDescent="0.3">
      <c r="J40031" s="33"/>
    </row>
    <row r="40032" spans="10:10" ht="15" customHeight="1" x14ac:dyDescent="0.3">
      <c r="J40032" s="33"/>
    </row>
    <row r="40033" spans="10:10" ht="15" customHeight="1" x14ac:dyDescent="0.3">
      <c r="J40033" s="33"/>
    </row>
    <row r="40034" spans="10:10" ht="15" customHeight="1" x14ac:dyDescent="0.3">
      <c r="J40034" s="33"/>
    </row>
    <row r="40035" spans="10:10" ht="15" customHeight="1" x14ac:dyDescent="0.3">
      <c r="J40035" s="33"/>
    </row>
    <row r="40036" spans="10:10" ht="15" customHeight="1" x14ac:dyDescent="0.3">
      <c r="J40036" s="33"/>
    </row>
    <row r="40037" spans="10:10" ht="15" customHeight="1" x14ac:dyDescent="0.3">
      <c r="J40037" s="33"/>
    </row>
    <row r="40038" spans="10:10" ht="15" customHeight="1" x14ac:dyDescent="0.3">
      <c r="J40038" s="33"/>
    </row>
    <row r="40039" spans="10:10" ht="15" customHeight="1" x14ac:dyDescent="0.3">
      <c r="J40039" s="33"/>
    </row>
    <row r="40040" spans="10:10" x14ac:dyDescent="0.3">
      <c r="J40040" s="33"/>
    </row>
    <row r="40041" spans="10:10" ht="15" customHeight="1" x14ac:dyDescent="0.3">
      <c r="J40041" s="33"/>
    </row>
    <row r="40042" spans="10:10" x14ac:dyDescent="0.3">
      <c r="J40042" s="33"/>
    </row>
    <row r="40043" spans="10:10" ht="15" customHeight="1" x14ac:dyDescent="0.3">
      <c r="J40043" s="33"/>
    </row>
    <row r="40044" spans="10:10" ht="15" customHeight="1" x14ac:dyDescent="0.3">
      <c r="J40044" s="33"/>
    </row>
    <row r="40045" spans="10:10" x14ac:dyDescent="0.3">
      <c r="J40045" s="33"/>
    </row>
    <row r="40046" spans="10:10" ht="15" customHeight="1" x14ac:dyDescent="0.3">
      <c r="J40046" s="33"/>
    </row>
    <row r="40047" spans="10:10" ht="15" customHeight="1" x14ac:dyDescent="0.3">
      <c r="J40047" s="33"/>
    </row>
    <row r="40048" spans="10:10" x14ac:dyDescent="0.3">
      <c r="J40048" s="33"/>
    </row>
    <row r="40049" spans="10:10" ht="15" customHeight="1" x14ac:dyDescent="0.3">
      <c r="J40049" s="33"/>
    </row>
    <row r="40050" spans="10:10" ht="15" customHeight="1" x14ac:dyDescent="0.3">
      <c r="J40050" s="33"/>
    </row>
    <row r="40051" spans="10:10" ht="15" customHeight="1" x14ac:dyDescent="0.3">
      <c r="J40051" s="33"/>
    </row>
    <row r="40052" spans="10:10" ht="15" customHeight="1" x14ac:dyDescent="0.3">
      <c r="J40052" s="33"/>
    </row>
    <row r="40053" spans="10:10" x14ac:dyDescent="0.3">
      <c r="J40053" s="33"/>
    </row>
    <row r="40054" spans="10:10" ht="15" customHeight="1" x14ac:dyDescent="0.3">
      <c r="J40054" s="33"/>
    </row>
    <row r="40055" spans="10:10" x14ac:dyDescent="0.3">
      <c r="J40055" s="33"/>
    </row>
    <row r="40056" spans="10:10" x14ac:dyDescent="0.3">
      <c r="J40056" s="33"/>
    </row>
    <row r="40057" spans="10:10" ht="15" customHeight="1" x14ac:dyDescent="0.3">
      <c r="J40057" s="33"/>
    </row>
    <row r="40058" spans="10:10" ht="15" customHeight="1" x14ac:dyDescent="0.3">
      <c r="J40058" s="33"/>
    </row>
    <row r="40059" spans="10:10" ht="15" customHeight="1" x14ac:dyDescent="0.3">
      <c r="J40059" s="33"/>
    </row>
    <row r="40060" spans="10:10" ht="15" customHeight="1" x14ac:dyDescent="0.3">
      <c r="J40060" s="33"/>
    </row>
    <row r="40061" spans="10:10" x14ac:dyDescent="0.3">
      <c r="J40061" s="33"/>
    </row>
    <row r="40062" spans="10:10" x14ac:dyDescent="0.3">
      <c r="J40062" s="33"/>
    </row>
    <row r="40063" spans="10:10" x14ac:dyDescent="0.3">
      <c r="J40063" s="33"/>
    </row>
    <row r="40064" spans="10:10" ht="15" customHeight="1" x14ac:dyDescent="0.3">
      <c r="J40064" s="33"/>
    </row>
    <row r="40065" spans="10:10" ht="15" customHeight="1" x14ac:dyDescent="0.3">
      <c r="J40065" s="33"/>
    </row>
    <row r="40066" spans="10:10" x14ac:dyDescent="0.3">
      <c r="J40066" s="33"/>
    </row>
    <row r="40067" spans="10:10" ht="15" customHeight="1" x14ac:dyDescent="0.3">
      <c r="J40067" s="33"/>
    </row>
    <row r="40068" spans="10:10" ht="15" customHeight="1" x14ac:dyDescent="0.3">
      <c r="J40068" s="33"/>
    </row>
    <row r="40069" spans="10:10" x14ac:dyDescent="0.3">
      <c r="J40069" s="33"/>
    </row>
    <row r="40070" spans="10:10" ht="15" customHeight="1" x14ac:dyDescent="0.3">
      <c r="J40070" s="33"/>
    </row>
    <row r="40071" spans="10:10" ht="15" customHeight="1" x14ac:dyDescent="0.3">
      <c r="J40071" s="33"/>
    </row>
    <row r="40072" spans="10:10" ht="15" customHeight="1" x14ac:dyDescent="0.3">
      <c r="J40072" s="33"/>
    </row>
    <row r="40073" spans="10:10" x14ac:dyDescent="0.3">
      <c r="J40073" s="33"/>
    </row>
    <row r="40074" spans="10:10" ht="15" customHeight="1" x14ac:dyDescent="0.3">
      <c r="J40074" s="33"/>
    </row>
    <row r="40075" spans="10:10" x14ac:dyDescent="0.3">
      <c r="J40075" s="33"/>
    </row>
    <row r="40076" spans="10:10" ht="15" customHeight="1" x14ac:dyDescent="0.3">
      <c r="J40076" s="33"/>
    </row>
    <row r="40077" spans="10:10" ht="15" customHeight="1" x14ac:dyDescent="0.3">
      <c r="J40077" s="33"/>
    </row>
    <row r="40078" spans="10:10" ht="15" customHeight="1" x14ac:dyDescent="0.3">
      <c r="J40078" s="33"/>
    </row>
    <row r="40079" spans="10:10" x14ac:dyDescent="0.3">
      <c r="J40079" s="33"/>
    </row>
    <row r="40080" spans="10:10" ht="15" customHeight="1" x14ac:dyDescent="0.3">
      <c r="J40080" s="33"/>
    </row>
    <row r="40081" spans="10:10" ht="15" customHeight="1" x14ac:dyDescent="0.3">
      <c r="J40081" s="33"/>
    </row>
    <row r="40082" spans="10:10" ht="15" customHeight="1" x14ac:dyDescent="0.3">
      <c r="J40082" s="33"/>
    </row>
    <row r="40083" spans="10:10" ht="15" customHeight="1" x14ac:dyDescent="0.3">
      <c r="J40083" s="33"/>
    </row>
    <row r="40084" spans="10:10" x14ac:dyDescent="0.3">
      <c r="J40084" s="33"/>
    </row>
    <row r="40085" spans="10:10" ht="15" customHeight="1" x14ac:dyDescent="0.3">
      <c r="J40085" s="33"/>
    </row>
    <row r="40086" spans="10:10" ht="15" customHeight="1" x14ac:dyDescent="0.3">
      <c r="J40086" s="33"/>
    </row>
    <row r="40087" spans="10:10" ht="15" customHeight="1" x14ac:dyDescent="0.3">
      <c r="J40087" s="33"/>
    </row>
    <row r="40088" spans="10:10" ht="15" customHeight="1" x14ac:dyDescent="0.3">
      <c r="J40088" s="33"/>
    </row>
    <row r="40089" spans="10:10" ht="15" customHeight="1" x14ac:dyDescent="0.3">
      <c r="J40089" s="33"/>
    </row>
    <row r="40090" spans="10:10" x14ac:dyDescent="0.3">
      <c r="J40090" s="33"/>
    </row>
    <row r="40091" spans="10:10" ht="15" customHeight="1" x14ac:dyDescent="0.3">
      <c r="J40091" s="33"/>
    </row>
    <row r="40092" spans="10:10" ht="15" customHeight="1" x14ac:dyDescent="0.3">
      <c r="J40092" s="33"/>
    </row>
    <row r="40093" spans="10:10" ht="15" customHeight="1" x14ac:dyDescent="0.3">
      <c r="J40093" s="33"/>
    </row>
    <row r="40094" spans="10:10" ht="15" customHeight="1" x14ac:dyDescent="0.3">
      <c r="J40094" s="33"/>
    </row>
    <row r="40095" spans="10:10" x14ac:dyDescent="0.3">
      <c r="J40095" s="33"/>
    </row>
    <row r="40096" spans="10:10" ht="15" customHeight="1" x14ac:dyDescent="0.3">
      <c r="J40096" s="33"/>
    </row>
    <row r="40097" spans="10:10" ht="15" customHeight="1" x14ac:dyDescent="0.3">
      <c r="J40097" s="33"/>
    </row>
    <row r="40098" spans="10:10" ht="15" customHeight="1" x14ac:dyDescent="0.3">
      <c r="J40098" s="33"/>
    </row>
    <row r="40099" spans="10:10" ht="15" customHeight="1" x14ac:dyDescent="0.3">
      <c r="J40099" s="33"/>
    </row>
    <row r="40100" spans="10:10" x14ac:dyDescent="0.3">
      <c r="J40100" s="33"/>
    </row>
    <row r="40101" spans="10:10" ht="15" customHeight="1" x14ac:dyDescent="0.3">
      <c r="J40101" s="33"/>
    </row>
    <row r="40102" spans="10:10" ht="15" customHeight="1" x14ac:dyDescent="0.3">
      <c r="J40102" s="33"/>
    </row>
    <row r="40103" spans="10:10" ht="15" customHeight="1" x14ac:dyDescent="0.3">
      <c r="J40103" s="33"/>
    </row>
    <row r="40104" spans="10:10" ht="15" customHeight="1" x14ac:dyDescent="0.3">
      <c r="J40104" s="33"/>
    </row>
    <row r="40105" spans="10:10" x14ac:dyDescent="0.3">
      <c r="J40105" s="33"/>
    </row>
    <row r="40106" spans="10:10" ht="15" customHeight="1" x14ac:dyDescent="0.3">
      <c r="J40106" s="33"/>
    </row>
    <row r="40107" spans="10:10" x14ac:dyDescent="0.3">
      <c r="J40107" s="33"/>
    </row>
    <row r="40108" spans="10:10" ht="15" customHeight="1" x14ac:dyDescent="0.3">
      <c r="J40108" s="33"/>
    </row>
    <row r="40109" spans="10:10" ht="15" customHeight="1" x14ac:dyDescent="0.3">
      <c r="J40109" s="33"/>
    </row>
    <row r="40110" spans="10:10" x14ac:dyDescent="0.3">
      <c r="J40110" s="33"/>
    </row>
    <row r="40111" spans="10:10" ht="15" customHeight="1" x14ac:dyDescent="0.3">
      <c r="J40111" s="33"/>
    </row>
    <row r="40112" spans="10:10" x14ac:dyDescent="0.3">
      <c r="J40112" s="33"/>
    </row>
    <row r="40113" spans="10:10" x14ac:dyDescent="0.3">
      <c r="J40113" s="33"/>
    </row>
    <row r="40114" spans="10:10" ht="15" customHeight="1" x14ac:dyDescent="0.3">
      <c r="J40114" s="33"/>
    </row>
    <row r="40115" spans="10:10" ht="15" customHeight="1" x14ac:dyDescent="0.3">
      <c r="J40115" s="33"/>
    </row>
    <row r="40116" spans="10:10" ht="15" customHeight="1" x14ac:dyDescent="0.3">
      <c r="J40116" s="33"/>
    </row>
    <row r="40117" spans="10:10" ht="15" customHeight="1" x14ac:dyDescent="0.3">
      <c r="J40117" s="33"/>
    </row>
    <row r="40118" spans="10:10" ht="15" customHeight="1" x14ac:dyDescent="0.3">
      <c r="J40118" s="33"/>
    </row>
    <row r="40119" spans="10:10" x14ac:dyDescent="0.3">
      <c r="J40119" s="33"/>
    </row>
    <row r="40120" spans="10:10" ht="15" customHeight="1" x14ac:dyDescent="0.3">
      <c r="J40120" s="33"/>
    </row>
    <row r="40121" spans="10:10" x14ac:dyDescent="0.3">
      <c r="J40121" s="33"/>
    </row>
    <row r="40122" spans="10:10" ht="15" customHeight="1" x14ac:dyDescent="0.3">
      <c r="J40122" s="33"/>
    </row>
    <row r="40123" spans="10:10" ht="15" customHeight="1" x14ac:dyDescent="0.3">
      <c r="J40123" s="33"/>
    </row>
    <row r="40124" spans="10:10" x14ac:dyDescent="0.3">
      <c r="J40124" s="33"/>
    </row>
    <row r="40125" spans="10:10" ht="15" customHeight="1" x14ac:dyDescent="0.3">
      <c r="J40125" s="33"/>
    </row>
    <row r="40126" spans="10:10" ht="15" customHeight="1" x14ac:dyDescent="0.3">
      <c r="J40126" s="33"/>
    </row>
    <row r="40127" spans="10:10" ht="15" customHeight="1" x14ac:dyDescent="0.3">
      <c r="J40127" s="33"/>
    </row>
    <row r="40128" spans="10:10" ht="15" customHeight="1" x14ac:dyDescent="0.3">
      <c r="J40128" s="33"/>
    </row>
    <row r="40129" spans="10:10" ht="15" customHeight="1" x14ac:dyDescent="0.3">
      <c r="J40129" s="33"/>
    </row>
    <row r="40130" spans="10:10" x14ac:dyDescent="0.3">
      <c r="J40130" s="33"/>
    </row>
    <row r="40131" spans="10:10" ht="15" customHeight="1" x14ac:dyDescent="0.3">
      <c r="J40131" s="33"/>
    </row>
    <row r="40132" spans="10:10" ht="15" customHeight="1" x14ac:dyDescent="0.3">
      <c r="J40132" s="33"/>
    </row>
    <row r="40133" spans="10:10" ht="15" customHeight="1" x14ac:dyDescent="0.3">
      <c r="J40133" s="33"/>
    </row>
    <row r="40134" spans="10:10" ht="15" customHeight="1" x14ac:dyDescent="0.3">
      <c r="J40134" s="33"/>
    </row>
    <row r="40135" spans="10:10" ht="15" customHeight="1" x14ac:dyDescent="0.3">
      <c r="J40135" s="33"/>
    </row>
    <row r="40136" spans="10:10" ht="15" customHeight="1" x14ac:dyDescent="0.3">
      <c r="J40136" s="33"/>
    </row>
    <row r="40137" spans="10:10" x14ac:dyDescent="0.3">
      <c r="J40137" s="33"/>
    </row>
    <row r="40138" spans="10:10" ht="15" customHeight="1" x14ac:dyDescent="0.3">
      <c r="J40138" s="33"/>
    </row>
    <row r="40139" spans="10:10" ht="15" customHeight="1" x14ac:dyDescent="0.3">
      <c r="J40139" s="33"/>
    </row>
    <row r="40140" spans="10:10" ht="15" customHeight="1" x14ac:dyDescent="0.3">
      <c r="J40140" s="33"/>
    </row>
    <row r="40141" spans="10:10" ht="15" customHeight="1" x14ac:dyDescent="0.3">
      <c r="J40141" s="33"/>
    </row>
    <row r="40142" spans="10:10" x14ac:dyDescent="0.3">
      <c r="J40142" s="33"/>
    </row>
    <row r="40143" spans="10:10" x14ac:dyDescent="0.3">
      <c r="J40143" s="33"/>
    </row>
    <row r="40144" spans="10:10" ht="15" customHeight="1" x14ac:dyDescent="0.3">
      <c r="J40144" s="33"/>
    </row>
    <row r="40145" spans="10:10" ht="15" customHeight="1" x14ac:dyDescent="0.3">
      <c r="J40145" s="33"/>
    </row>
    <row r="40146" spans="10:10" ht="15" customHeight="1" x14ac:dyDescent="0.3">
      <c r="J40146" s="33"/>
    </row>
    <row r="40147" spans="10:10" ht="15" customHeight="1" x14ac:dyDescent="0.3">
      <c r="J40147" s="33"/>
    </row>
    <row r="40148" spans="10:10" ht="15" customHeight="1" x14ac:dyDescent="0.3">
      <c r="J40148" s="33"/>
    </row>
    <row r="40149" spans="10:10" ht="15" customHeight="1" x14ac:dyDescent="0.3">
      <c r="J40149" s="33"/>
    </row>
    <row r="40150" spans="10:10" ht="15" customHeight="1" x14ac:dyDescent="0.3">
      <c r="J40150" s="33"/>
    </row>
    <row r="40151" spans="10:10" x14ac:dyDescent="0.3">
      <c r="J40151" s="33"/>
    </row>
    <row r="40152" spans="10:10" ht="15" customHeight="1" x14ac:dyDescent="0.3">
      <c r="J40152" s="33"/>
    </row>
    <row r="40153" spans="10:10" x14ac:dyDescent="0.3">
      <c r="J40153" s="33"/>
    </row>
    <row r="40154" spans="10:10" x14ac:dyDescent="0.3">
      <c r="J40154" s="33"/>
    </row>
    <row r="40155" spans="10:10" ht="15" customHeight="1" x14ac:dyDescent="0.3">
      <c r="J40155" s="33"/>
    </row>
    <row r="40156" spans="10:10" ht="15" customHeight="1" x14ac:dyDescent="0.3">
      <c r="J40156" s="33"/>
    </row>
    <row r="40157" spans="10:10" ht="15" customHeight="1" x14ac:dyDescent="0.3">
      <c r="J40157" s="33"/>
    </row>
    <row r="40158" spans="10:10" ht="15" customHeight="1" x14ac:dyDescent="0.3">
      <c r="J40158" s="33"/>
    </row>
    <row r="40159" spans="10:10" x14ac:dyDescent="0.3">
      <c r="J40159" s="33"/>
    </row>
    <row r="40160" spans="10:10" ht="15" customHeight="1" x14ac:dyDescent="0.3">
      <c r="J40160" s="33"/>
    </row>
    <row r="40161" spans="10:10" x14ac:dyDescent="0.3">
      <c r="J40161" s="33"/>
    </row>
    <row r="40162" spans="10:10" x14ac:dyDescent="0.3">
      <c r="J40162" s="33"/>
    </row>
    <row r="40163" spans="10:10" ht="15" customHeight="1" x14ac:dyDescent="0.3">
      <c r="J40163" s="33"/>
    </row>
    <row r="40164" spans="10:10" x14ac:dyDescent="0.3">
      <c r="J40164" s="33"/>
    </row>
    <row r="40165" spans="10:10" ht="15" customHeight="1" x14ac:dyDescent="0.3">
      <c r="J40165" s="33"/>
    </row>
    <row r="40166" spans="10:10" x14ac:dyDescent="0.3">
      <c r="J40166" s="33"/>
    </row>
    <row r="40167" spans="10:10" ht="15" customHeight="1" x14ac:dyDescent="0.3">
      <c r="J40167" s="33"/>
    </row>
    <row r="40168" spans="10:10" ht="15" customHeight="1" x14ac:dyDescent="0.3">
      <c r="J40168" s="33"/>
    </row>
    <row r="40169" spans="10:10" ht="15" customHeight="1" x14ac:dyDescent="0.3">
      <c r="J40169" s="33"/>
    </row>
    <row r="40170" spans="10:10" ht="15" customHeight="1" x14ac:dyDescent="0.3">
      <c r="J40170" s="33"/>
    </row>
    <row r="40171" spans="10:10" ht="15" customHeight="1" x14ac:dyDescent="0.3">
      <c r="J40171" s="33"/>
    </row>
    <row r="40172" spans="10:10" ht="15" customHeight="1" x14ac:dyDescent="0.3">
      <c r="J40172" s="33"/>
    </row>
    <row r="40173" spans="10:10" ht="15" customHeight="1" x14ac:dyDescent="0.3">
      <c r="J40173" s="33"/>
    </row>
    <row r="40174" spans="10:10" ht="15" customHeight="1" x14ac:dyDescent="0.3">
      <c r="J40174" s="33"/>
    </row>
    <row r="40175" spans="10:10" ht="15" customHeight="1" x14ac:dyDescent="0.3">
      <c r="J40175" s="33"/>
    </row>
    <row r="40176" spans="10:10" x14ac:dyDescent="0.3">
      <c r="J40176" s="33"/>
    </row>
    <row r="40177" spans="10:10" ht="15" customHeight="1" x14ac:dyDescent="0.3">
      <c r="J40177" s="33"/>
    </row>
    <row r="40178" spans="10:10" ht="15" customHeight="1" x14ac:dyDescent="0.3">
      <c r="J40178" s="33"/>
    </row>
    <row r="40179" spans="10:10" ht="15" customHeight="1" x14ac:dyDescent="0.3">
      <c r="J40179" s="33"/>
    </row>
    <row r="40180" spans="10:10" ht="15" customHeight="1" x14ac:dyDescent="0.3">
      <c r="J40180" s="33"/>
    </row>
    <row r="40181" spans="10:10" ht="15" customHeight="1" x14ac:dyDescent="0.3">
      <c r="J40181" s="33"/>
    </row>
    <row r="40182" spans="10:10" ht="15" customHeight="1" x14ac:dyDescent="0.3">
      <c r="J40182" s="33"/>
    </row>
    <row r="40183" spans="10:10" ht="15" customHeight="1" x14ac:dyDescent="0.3">
      <c r="J40183" s="33"/>
    </row>
    <row r="40184" spans="10:10" ht="15" customHeight="1" x14ac:dyDescent="0.3">
      <c r="J40184" s="33"/>
    </row>
    <row r="40185" spans="10:10" ht="15" customHeight="1" x14ac:dyDescent="0.3">
      <c r="J40185" s="33"/>
    </row>
    <row r="40186" spans="10:10" ht="15" customHeight="1" x14ac:dyDescent="0.3">
      <c r="J40186" s="33"/>
    </row>
    <row r="40187" spans="10:10" ht="15" customHeight="1" x14ac:dyDescent="0.3">
      <c r="J40187" s="33"/>
    </row>
    <row r="40188" spans="10:10" x14ac:dyDescent="0.3">
      <c r="J40188" s="33"/>
    </row>
    <row r="40189" spans="10:10" ht="15" customHeight="1" x14ac:dyDescent="0.3">
      <c r="J40189" s="33"/>
    </row>
    <row r="40190" spans="10:10" ht="15" customHeight="1" x14ac:dyDescent="0.3">
      <c r="J40190" s="33"/>
    </row>
    <row r="40191" spans="10:10" x14ac:dyDescent="0.3">
      <c r="J40191" s="33"/>
    </row>
    <row r="40192" spans="10:10" ht="15" customHeight="1" x14ac:dyDescent="0.3">
      <c r="J40192" s="33"/>
    </row>
    <row r="40193" spans="10:10" ht="15" customHeight="1" x14ac:dyDescent="0.3">
      <c r="J40193" s="33"/>
    </row>
    <row r="40194" spans="10:10" ht="15" customHeight="1" x14ac:dyDescent="0.3">
      <c r="J40194" s="33"/>
    </row>
    <row r="40195" spans="10:10" ht="15" customHeight="1" x14ac:dyDescent="0.3">
      <c r="J40195" s="33"/>
    </row>
    <row r="40196" spans="10:10" x14ac:dyDescent="0.3">
      <c r="J40196" s="33"/>
    </row>
    <row r="40197" spans="10:10" ht="15" customHeight="1" x14ac:dyDescent="0.3">
      <c r="J40197" s="33"/>
    </row>
    <row r="40198" spans="10:10" ht="15" customHeight="1" x14ac:dyDescent="0.3">
      <c r="J40198" s="33"/>
    </row>
    <row r="40199" spans="10:10" ht="15" customHeight="1" x14ac:dyDescent="0.3">
      <c r="J40199" s="33"/>
    </row>
    <row r="40200" spans="10:10" ht="15" customHeight="1" x14ac:dyDescent="0.3">
      <c r="J40200" s="33"/>
    </row>
    <row r="40201" spans="10:10" ht="15" customHeight="1" x14ac:dyDescent="0.3">
      <c r="J40201" s="33"/>
    </row>
    <row r="40202" spans="10:10" ht="15" customHeight="1" x14ac:dyDescent="0.3">
      <c r="J40202" s="33"/>
    </row>
    <row r="40203" spans="10:10" x14ac:dyDescent="0.3">
      <c r="J40203" s="33"/>
    </row>
    <row r="40204" spans="10:10" x14ac:dyDescent="0.3">
      <c r="J40204" s="33"/>
    </row>
    <row r="40205" spans="10:10" ht="15" customHeight="1" x14ac:dyDescent="0.3">
      <c r="J40205" s="33"/>
    </row>
    <row r="40206" spans="10:10" x14ac:dyDescent="0.3">
      <c r="J40206" s="33"/>
    </row>
    <row r="40207" spans="10:10" ht="15" customHeight="1" x14ac:dyDescent="0.3">
      <c r="J40207" s="33"/>
    </row>
    <row r="40208" spans="10:10" x14ac:dyDescent="0.3">
      <c r="J40208" s="33"/>
    </row>
    <row r="40209" spans="10:10" ht="15" customHeight="1" x14ac:dyDescent="0.3">
      <c r="J40209" s="33"/>
    </row>
    <row r="40210" spans="10:10" x14ac:dyDescent="0.3">
      <c r="J40210" s="33"/>
    </row>
    <row r="40211" spans="10:10" x14ac:dyDescent="0.3">
      <c r="J40211" s="33"/>
    </row>
    <row r="40212" spans="10:10" ht="15" customHeight="1" x14ac:dyDescent="0.3">
      <c r="J40212" s="33"/>
    </row>
    <row r="40213" spans="10:10" ht="15" customHeight="1" x14ac:dyDescent="0.3">
      <c r="J40213" s="33"/>
    </row>
    <row r="40214" spans="10:10" ht="15" customHeight="1" x14ac:dyDescent="0.3">
      <c r="J40214" s="33"/>
    </row>
    <row r="40215" spans="10:10" x14ac:dyDescent="0.3">
      <c r="J40215" s="33"/>
    </row>
    <row r="40216" spans="10:10" ht="15" customHeight="1" x14ac:dyDescent="0.3">
      <c r="J40216" s="33"/>
    </row>
    <row r="40217" spans="10:10" ht="15" customHeight="1" x14ac:dyDescent="0.3">
      <c r="J40217" s="33"/>
    </row>
    <row r="40218" spans="10:10" x14ac:dyDescent="0.3">
      <c r="J40218" s="33"/>
    </row>
    <row r="40219" spans="10:10" x14ac:dyDescent="0.3">
      <c r="J40219" s="33"/>
    </row>
    <row r="40220" spans="10:10" x14ac:dyDescent="0.3">
      <c r="J40220" s="33"/>
    </row>
    <row r="40221" spans="10:10" ht="15" customHeight="1" x14ac:dyDescent="0.3">
      <c r="J40221" s="33"/>
    </row>
    <row r="40222" spans="10:10" ht="15" customHeight="1" x14ac:dyDescent="0.3">
      <c r="J40222" s="33"/>
    </row>
    <row r="40223" spans="10:10" ht="15" customHeight="1" x14ac:dyDescent="0.3">
      <c r="J40223" s="33"/>
    </row>
    <row r="40224" spans="10:10" ht="15" customHeight="1" x14ac:dyDescent="0.3">
      <c r="J40224" s="33"/>
    </row>
    <row r="40225" spans="10:10" x14ac:dyDescent="0.3">
      <c r="J40225" s="33"/>
    </row>
    <row r="40226" spans="10:10" ht="15" customHeight="1" x14ac:dyDescent="0.3">
      <c r="J40226" s="33"/>
    </row>
    <row r="40227" spans="10:10" ht="15" customHeight="1" x14ac:dyDescent="0.3">
      <c r="J40227" s="33"/>
    </row>
    <row r="40228" spans="10:10" ht="15" customHeight="1" x14ac:dyDescent="0.3">
      <c r="J40228" s="33"/>
    </row>
    <row r="40229" spans="10:10" ht="15" customHeight="1" x14ac:dyDescent="0.3">
      <c r="J40229" s="33"/>
    </row>
    <row r="40230" spans="10:10" ht="15" customHeight="1" x14ac:dyDescent="0.3">
      <c r="J40230" s="33"/>
    </row>
    <row r="40231" spans="10:10" ht="15" customHeight="1" x14ac:dyDescent="0.3">
      <c r="J40231" s="33"/>
    </row>
    <row r="40232" spans="10:10" ht="15" customHeight="1" x14ac:dyDescent="0.3">
      <c r="J40232" s="33"/>
    </row>
    <row r="40233" spans="10:10" ht="15" customHeight="1" x14ac:dyDescent="0.3">
      <c r="J40233" s="33"/>
    </row>
    <row r="40234" spans="10:10" x14ac:dyDescent="0.3">
      <c r="J40234" s="33"/>
    </row>
    <row r="40235" spans="10:10" ht="15" customHeight="1" x14ac:dyDescent="0.3">
      <c r="J40235" s="33"/>
    </row>
    <row r="40236" spans="10:10" ht="15" customHeight="1" x14ac:dyDescent="0.3">
      <c r="J40236" s="33"/>
    </row>
    <row r="40237" spans="10:10" ht="15" customHeight="1" x14ac:dyDescent="0.3">
      <c r="J40237" s="33"/>
    </row>
    <row r="40238" spans="10:10" ht="15" customHeight="1" x14ac:dyDescent="0.3">
      <c r="J40238" s="33"/>
    </row>
    <row r="40239" spans="10:10" ht="15" customHeight="1" x14ac:dyDescent="0.3">
      <c r="J40239" s="33"/>
    </row>
    <row r="40240" spans="10:10" ht="15" customHeight="1" x14ac:dyDescent="0.3">
      <c r="J40240" s="33"/>
    </row>
    <row r="40241" spans="10:10" x14ac:dyDescent="0.3">
      <c r="J40241" s="33"/>
    </row>
    <row r="40242" spans="10:10" ht="15" customHeight="1" x14ac:dyDescent="0.3">
      <c r="J40242" s="33"/>
    </row>
    <row r="40243" spans="10:10" ht="15" customHeight="1" x14ac:dyDescent="0.3">
      <c r="J40243" s="33"/>
    </row>
    <row r="40244" spans="10:10" ht="15" customHeight="1" x14ac:dyDescent="0.3">
      <c r="J40244" s="33"/>
    </row>
    <row r="40245" spans="10:10" x14ac:dyDescent="0.3">
      <c r="J40245" s="33"/>
    </row>
    <row r="40246" spans="10:10" ht="15" customHeight="1" x14ac:dyDescent="0.3">
      <c r="J40246" s="33"/>
    </row>
    <row r="40247" spans="10:10" ht="15" customHeight="1" x14ac:dyDescent="0.3">
      <c r="J40247" s="33"/>
    </row>
    <row r="40248" spans="10:10" ht="15" customHeight="1" x14ac:dyDescent="0.3">
      <c r="J40248" s="33"/>
    </row>
    <row r="40249" spans="10:10" ht="15" customHeight="1" x14ac:dyDescent="0.3">
      <c r="J40249" s="33"/>
    </row>
    <row r="40250" spans="10:10" x14ac:dyDescent="0.3">
      <c r="J40250" s="33"/>
    </row>
    <row r="40251" spans="10:10" ht="15" customHeight="1" x14ac:dyDescent="0.3">
      <c r="J40251" s="33"/>
    </row>
    <row r="40252" spans="10:10" ht="15" customHeight="1" x14ac:dyDescent="0.3">
      <c r="J40252" s="33"/>
    </row>
    <row r="40253" spans="10:10" ht="15" customHeight="1" x14ac:dyDescent="0.3">
      <c r="J40253" s="33"/>
    </row>
    <row r="40254" spans="10:10" x14ac:dyDescent="0.3">
      <c r="J40254" s="33"/>
    </row>
    <row r="40255" spans="10:10" ht="15" customHeight="1" x14ac:dyDescent="0.3">
      <c r="J40255" s="33"/>
    </row>
    <row r="40256" spans="10:10" ht="15" customHeight="1" x14ac:dyDescent="0.3">
      <c r="J40256" s="33"/>
    </row>
    <row r="40257" spans="10:10" ht="15" customHeight="1" x14ac:dyDescent="0.3">
      <c r="J40257" s="33"/>
    </row>
    <row r="40258" spans="10:10" x14ac:dyDescent="0.3">
      <c r="J40258" s="33"/>
    </row>
    <row r="40259" spans="10:10" ht="15" customHeight="1" x14ac:dyDescent="0.3">
      <c r="J40259" s="33"/>
    </row>
    <row r="40260" spans="10:10" x14ac:dyDescent="0.3">
      <c r="J40260" s="33"/>
    </row>
    <row r="40261" spans="10:10" x14ac:dyDescent="0.3">
      <c r="J40261" s="33"/>
    </row>
    <row r="40262" spans="10:10" ht="15" customHeight="1" x14ac:dyDescent="0.3">
      <c r="J40262" s="33"/>
    </row>
    <row r="40263" spans="10:10" ht="15" customHeight="1" x14ac:dyDescent="0.3">
      <c r="J40263" s="33"/>
    </row>
    <row r="40264" spans="10:10" ht="15" customHeight="1" x14ac:dyDescent="0.3">
      <c r="J40264" s="33"/>
    </row>
    <row r="40265" spans="10:10" ht="15" customHeight="1" x14ac:dyDescent="0.3">
      <c r="J40265" s="33"/>
    </row>
    <row r="40266" spans="10:10" ht="15" customHeight="1" x14ac:dyDescent="0.3">
      <c r="J40266" s="33"/>
    </row>
    <row r="40267" spans="10:10" x14ac:dyDescent="0.3">
      <c r="J40267" s="33"/>
    </row>
    <row r="40268" spans="10:10" ht="15" customHeight="1" x14ac:dyDescent="0.3">
      <c r="J40268" s="33"/>
    </row>
    <row r="40269" spans="10:10" x14ac:dyDescent="0.3">
      <c r="J40269" s="33"/>
    </row>
    <row r="40270" spans="10:10" x14ac:dyDescent="0.3">
      <c r="J40270" s="33"/>
    </row>
    <row r="40271" spans="10:10" x14ac:dyDescent="0.3">
      <c r="J40271" s="33"/>
    </row>
    <row r="40272" spans="10:10" x14ac:dyDescent="0.3">
      <c r="J40272" s="33"/>
    </row>
    <row r="40273" spans="10:10" x14ac:dyDescent="0.3">
      <c r="J40273" s="33"/>
    </row>
    <row r="40274" spans="10:10" x14ac:dyDescent="0.3">
      <c r="J40274" s="33"/>
    </row>
    <row r="40275" spans="10:10" x14ac:dyDescent="0.3">
      <c r="J40275" s="33"/>
    </row>
    <row r="40276" spans="10:10" x14ac:dyDescent="0.3">
      <c r="J40276" s="33"/>
    </row>
    <row r="40277" spans="10:10" x14ac:dyDescent="0.3">
      <c r="J40277" s="33"/>
    </row>
    <row r="40278" spans="10:10" x14ac:dyDescent="0.3">
      <c r="J40278" s="33"/>
    </row>
    <row r="40279" spans="10:10" x14ac:dyDescent="0.3">
      <c r="J40279" s="33"/>
    </row>
    <row r="40280" spans="10:10" x14ac:dyDescent="0.3">
      <c r="J40280" s="33"/>
    </row>
    <row r="40281" spans="10:10" x14ac:dyDescent="0.3">
      <c r="J40281" s="33"/>
    </row>
    <row r="40282" spans="10:10" x14ac:dyDescent="0.3">
      <c r="J40282" s="33"/>
    </row>
    <row r="40283" spans="10:10" x14ac:dyDescent="0.3">
      <c r="J40283" s="33"/>
    </row>
    <row r="40284" spans="10:10" x14ac:dyDescent="0.3">
      <c r="J40284" s="33"/>
    </row>
    <row r="40285" spans="10:10" x14ac:dyDescent="0.3">
      <c r="J40285" s="33"/>
    </row>
    <row r="40286" spans="10:10" x14ac:dyDescent="0.3">
      <c r="J40286" s="33"/>
    </row>
    <row r="40287" spans="10:10" x14ac:dyDescent="0.3">
      <c r="J40287" s="33"/>
    </row>
    <row r="40288" spans="10:10" x14ac:dyDescent="0.3">
      <c r="J40288" s="33"/>
    </row>
    <row r="40289" spans="10:10" x14ac:dyDescent="0.3">
      <c r="J40289" s="33"/>
    </row>
    <row r="40290" spans="10:10" x14ac:dyDescent="0.3">
      <c r="J40290" s="33"/>
    </row>
    <row r="40291" spans="10:10" x14ac:dyDescent="0.3">
      <c r="J40291" s="33"/>
    </row>
    <row r="40292" spans="10:10" x14ac:dyDescent="0.3">
      <c r="J40292" s="33"/>
    </row>
    <row r="40293" spans="10:10" x14ac:dyDescent="0.3">
      <c r="J40293" s="33"/>
    </row>
    <row r="40294" spans="10:10" x14ac:dyDescent="0.3">
      <c r="J40294" s="33"/>
    </row>
    <row r="40295" spans="10:10" x14ac:dyDescent="0.3">
      <c r="J40295" s="33"/>
    </row>
    <row r="40296" spans="10:10" x14ac:dyDescent="0.3">
      <c r="J40296" s="33"/>
    </row>
    <row r="40297" spans="10:10" x14ac:dyDescent="0.3">
      <c r="J40297" s="33"/>
    </row>
    <row r="40298" spans="10:10" x14ac:dyDescent="0.3">
      <c r="J40298" s="33"/>
    </row>
    <row r="40299" spans="10:10" x14ac:dyDescent="0.3">
      <c r="J40299" s="33"/>
    </row>
    <row r="40300" spans="10:10" x14ac:dyDescent="0.3">
      <c r="J40300" s="33"/>
    </row>
    <row r="40301" spans="10:10" x14ac:dyDescent="0.3">
      <c r="J40301" s="33"/>
    </row>
    <row r="40302" spans="10:10" x14ac:dyDescent="0.3">
      <c r="J40302" s="33"/>
    </row>
    <row r="40303" spans="10:10" x14ac:dyDescent="0.3">
      <c r="J40303" s="33"/>
    </row>
    <row r="40304" spans="10:10" x14ac:dyDescent="0.3">
      <c r="J40304" s="33"/>
    </row>
    <row r="40305" spans="10:10" x14ac:dyDescent="0.3">
      <c r="J40305" s="33"/>
    </row>
    <row r="40306" spans="10:10" x14ac:dyDescent="0.3">
      <c r="J40306" s="33"/>
    </row>
    <row r="40307" spans="10:10" x14ac:dyDescent="0.3">
      <c r="J40307" s="33"/>
    </row>
    <row r="40308" spans="10:10" x14ac:dyDescent="0.3">
      <c r="J40308" s="33"/>
    </row>
    <row r="40309" spans="10:10" x14ac:dyDescent="0.3">
      <c r="J40309" s="33"/>
    </row>
    <row r="40310" spans="10:10" x14ac:dyDescent="0.3">
      <c r="J40310" s="33"/>
    </row>
    <row r="40311" spans="10:10" x14ac:dyDescent="0.3">
      <c r="J40311" s="33"/>
    </row>
    <row r="40312" spans="10:10" x14ac:dyDescent="0.3">
      <c r="J40312" s="33"/>
    </row>
    <row r="40313" spans="10:10" x14ac:dyDescent="0.3">
      <c r="J40313" s="33"/>
    </row>
    <row r="40314" spans="10:10" x14ac:dyDescent="0.3">
      <c r="J40314" s="33"/>
    </row>
    <row r="40315" spans="10:10" x14ac:dyDescent="0.3">
      <c r="J40315" s="33"/>
    </row>
    <row r="40316" spans="10:10" x14ac:dyDescent="0.3">
      <c r="J40316" s="33"/>
    </row>
    <row r="40317" spans="10:10" x14ac:dyDescent="0.3">
      <c r="J40317" s="33"/>
    </row>
    <row r="40318" spans="10:10" x14ac:dyDescent="0.3">
      <c r="J40318" s="33"/>
    </row>
    <row r="40319" spans="10:10" x14ac:dyDescent="0.3">
      <c r="J40319" s="33"/>
    </row>
    <row r="40320" spans="10:10" x14ac:dyDescent="0.3">
      <c r="J40320" s="33"/>
    </row>
    <row r="40321" spans="10:10" x14ac:dyDescent="0.3">
      <c r="J40321" s="33"/>
    </row>
    <row r="40322" spans="10:10" x14ac:dyDescent="0.3">
      <c r="J40322" s="33"/>
    </row>
    <row r="40323" spans="10:10" x14ac:dyDescent="0.3">
      <c r="J40323" s="33"/>
    </row>
    <row r="40324" spans="10:10" x14ac:dyDescent="0.3">
      <c r="J40324" s="33"/>
    </row>
    <row r="40325" spans="10:10" x14ac:dyDescent="0.3">
      <c r="J40325" s="33"/>
    </row>
    <row r="40326" spans="10:10" x14ac:dyDescent="0.3">
      <c r="J40326" s="33"/>
    </row>
    <row r="40327" spans="10:10" x14ac:dyDescent="0.3">
      <c r="J40327" s="33"/>
    </row>
    <row r="40328" spans="10:10" x14ac:dyDescent="0.3">
      <c r="J40328" s="33"/>
    </row>
    <row r="40329" spans="10:10" x14ac:dyDescent="0.3">
      <c r="J40329" s="33"/>
    </row>
    <row r="40330" spans="10:10" x14ac:dyDescent="0.3">
      <c r="J40330" s="33"/>
    </row>
    <row r="40331" spans="10:10" x14ac:dyDescent="0.3">
      <c r="J40331" s="33"/>
    </row>
    <row r="40332" spans="10:10" x14ac:dyDescent="0.3">
      <c r="J40332" s="33"/>
    </row>
    <row r="40333" spans="10:10" x14ac:dyDescent="0.3">
      <c r="J40333" s="33"/>
    </row>
    <row r="40334" spans="10:10" x14ac:dyDescent="0.3">
      <c r="J40334" s="33"/>
    </row>
    <row r="40335" spans="10:10" x14ac:dyDescent="0.3">
      <c r="J40335" s="33"/>
    </row>
    <row r="40336" spans="10:10" x14ac:dyDescent="0.3">
      <c r="J40336" s="33"/>
    </row>
    <row r="40337" spans="10:10" x14ac:dyDescent="0.3">
      <c r="J40337" s="33"/>
    </row>
    <row r="40338" spans="10:10" x14ac:dyDescent="0.3">
      <c r="J40338" s="33"/>
    </row>
    <row r="40339" spans="10:10" x14ac:dyDescent="0.3">
      <c r="J40339" s="33"/>
    </row>
    <row r="40340" spans="10:10" x14ac:dyDescent="0.3">
      <c r="J40340" s="33"/>
    </row>
    <row r="40341" spans="10:10" x14ac:dyDescent="0.3">
      <c r="J40341" s="33"/>
    </row>
    <row r="40342" spans="10:10" x14ac:dyDescent="0.3">
      <c r="J40342" s="33"/>
    </row>
    <row r="40343" spans="10:10" x14ac:dyDescent="0.3">
      <c r="J40343" s="33"/>
    </row>
    <row r="40344" spans="10:10" x14ac:dyDescent="0.3">
      <c r="J40344" s="33"/>
    </row>
    <row r="40345" spans="10:10" x14ac:dyDescent="0.3">
      <c r="J40345" s="33"/>
    </row>
    <row r="40346" spans="10:10" x14ac:dyDescent="0.3">
      <c r="J40346" s="33"/>
    </row>
    <row r="40347" spans="10:10" x14ac:dyDescent="0.3">
      <c r="J40347" s="33"/>
    </row>
    <row r="40348" spans="10:10" x14ac:dyDescent="0.3">
      <c r="J40348" s="33"/>
    </row>
    <row r="40349" spans="10:10" x14ac:dyDescent="0.3">
      <c r="J40349" s="33"/>
    </row>
    <row r="40350" spans="10:10" x14ac:dyDescent="0.3">
      <c r="J40350" s="33"/>
    </row>
    <row r="40351" spans="10:10" x14ac:dyDescent="0.3">
      <c r="J40351" s="33"/>
    </row>
    <row r="40352" spans="10:10" x14ac:dyDescent="0.3">
      <c r="J40352" s="33"/>
    </row>
    <row r="40353" spans="10:10" x14ac:dyDescent="0.3">
      <c r="J40353" s="33"/>
    </row>
    <row r="40354" spans="10:10" x14ac:dyDescent="0.3">
      <c r="J40354" s="33"/>
    </row>
    <row r="40355" spans="10:10" x14ac:dyDescent="0.3">
      <c r="J40355" s="33"/>
    </row>
    <row r="40356" spans="10:10" x14ac:dyDescent="0.3">
      <c r="J40356" s="33"/>
    </row>
    <row r="40357" spans="10:10" x14ac:dyDescent="0.3">
      <c r="J40357" s="33"/>
    </row>
    <row r="40358" spans="10:10" x14ac:dyDescent="0.3">
      <c r="J40358" s="33"/>
    </row>
    <row r="40359" spans="10:10" x14ac:dyDescent="0.3">
      <c r="J40359" s="33"/>
    </row>
    <row r="40360" spans="10:10" x14ac:dyDescent="0.3">
      <c r="J40360" s="33"/>
    </row>
    <row r="40361" spans="10:10" x14ac:dyDescent="0.3">
      <c r="J40361" s="33"/>
    </row>
    <row r="40362" spans="10:10" x14ac:dyDescent="0.3">
      <c r="J40362" s="33"/>
    </row>
    <row r="40363" spans="10:10" x14ac:dyDescent="0.3">
      <c r="J40363" s="33"/>
    </row>
    <row r="40364" spans="10:10" x14ac:dyDescent="0.3">
      <c r="J40364" s="33"/>
    </row>
    <row r="40365" spans="10:10" x14ac:dyDescent="0.3">
      <c r="J40365" s="33"/>
    </row>
    <row r="40366" spans="10:10" x14ac:dyDescent="0.3">
      <c r="J40366" s="33"/>
    </row>
    <row r="40367" spans="10:10" x14ac:dyDescent="0.3">
      <c r="J40367" s="33"/>
    </row>
    <row r="40368" spans="10:10" x14ac:dyDescent="0.3">
      <c r="J40368" s="33"/>
    </row>
    <row r="40369" spans="10:10" x14ac:dyDescent="0.3">
      <c r="J40369" s="33"/>
    </row>
    <row r="40370" spans="10:10" x14ac:dyDescent="0.3">
      <c r="J40370" s="33"/>
    </row>
    <row r="40371" spans="10:10" x14ac:dyDescent="0.3">
      <c r="J40371" s="33"/>
    </row>
    <row r="40372" spans="10:10" x14ac:dyDescent="0.3">
      <c r="J40372" s="33"/>
    </row>
    <row r="40373" spans="10:10" x14ac:dyDescent="0.3">
      <c r="J40373" s="33"/>
    </row>
    <row r="40374" spans="10:10" x14ac:dyDescent="0.3">
      <c r="J40374" s="33"/>
    </row>
    <row r="40375" spans="10:10" x14ac:dyDescent="0.3">
      <c r="J40375" s="33"/>
    </row>
    <row r="40376" spans="10:10" x14ac:dyDescent="0.3">
      <c r="J40376" s="33"/>
    </row>
    <row r="40377" spans="10:10" x14ac:dyDescent="0.3">
      <c r="J40377" s="33"/>
    </row>
    <row r="40378" spans="10:10" x14ac:dyDescent="0.3">
      <c r="J40378" s="33"/>
    </row>
    <row r="40379" spans="10:10" x14ac:dyDescent="0.3">
      <c r="J40379" s="33"/>
    </row>
    <row r="40380" spans="10:10" x14ac:dyDescent="0.3">
      <c r="J40380" s="33"/>
    </row>
    <row r="40381" spans="10:10" x14ac:dyDescent="0.3">
      <c r="J40381" s="33"/>
    </row>
    <row r="40382" spans="10:10" x14ac:dyDescent="0.3">
      <c r="J40382" s="33"/>
    </row>
    <row r="40383" spans="10:10" x14ac:dyDescent="0.3">
      <c r="J40383" s="33"/>
    </row>
    <row r="40384" spans="10:10" x14ac:dyDescent="0.3">
      <c r="J40384" s="33"/>
    </row>
    <row r="40385" spans="10:10" x14ac:dyDescent="0.3">
      <c r="J40385" s="33"/>
    </row>
    <row r="40386" spans="10:10" x14ac:dyDescent="0.3">
      <c r="J40386" s="33"/>
    </row>
    <row r="40387" spans="10:10" x14ac:dyDescent="0.3">
      <c r="J40387" s="33"/>
    </row>
    <row r="40388" spans="10:10" x14ac:dyDescent="0.3">
      <c r="J40388" s="33"/>
    </row>
    <row r="40389" spans="10:10" x14ac:dyDescent="0.3">
      <c r="J40389" s="33"/>
    </row>
    <row r="40390" spans="10:10" x14ac:dyDescent="0.3">
      <c r="J40390" s="33"/>
    </row>
    <row r="40391" spans="10:10" x14ac:dyDescent="0.3">
      <c r="J40391" s="33"/>
    </row>
    <row r="40392" spans="10:10" x14ac:dyDescent="0.3">
      <c r="J40392" s="33"/>
    </row>
    <row r="40393" spans="10:10" x14ac:dyDescent="0.3">
      <c r="J40393" s="33"/>
    </row>
    <row r="40394" spans="10:10" x14ac:dyDescent="0.3">
      <c r="J40394" s="33"/>
    </row>
    <row r="40395" spans="10:10" x14ac:dyDescent="0.3">
      <c r="J40395" s="33"/>
    </row>
    <row r="40396" spans="10:10" x14ac:dyDescent="0.3">
      <c r="J40396" s="33"/>
    </row>
    <row r="40397" spans="10:10" x14ac:dyDescent="0.3">
      <c r="J40397" s="33"/>
    </row>
    <row r="40398" spans="10:10" x14ac:dyDescent="0.3">
      <c r="J40398" s="33"/>
    </row>
    <row r="40399" spans="10:10" x14ac:dyDescent="0.3">
      <c r="J40399" s="33"/>
    </row>
    <row r="40400" spans="10:10" x14ac:dyDescent="0.3">
      <c r="J40400" s="33"/>
    </row>
    <row r="40401" spans="10:10" x14ac:dyDescent="0.3">
      <c r="J40401" s="33"/>
    </row>
    <row r="40402" spans="10:10" x14ac:dyDescent="0.3">
      <c r="J40402" s="33"/>
    </row>
    <row r="40403" spans="10:10" x14ac:dyDescent="0.3">
      <c r="J40403" s="33"/>
    </row>
    <row r="40404" spans="10:10" x14ac:dyDescent="0.3">
      <c r="J40404" s="33"/>
    </row>
    <row r="40405" spans="10:10" x14ac:dyDescent="0.3">
      <c r="J40405" s="33"/>
    </row>
    <row r="40406" spans="10:10" x14ac:dyDescent="0.3">
      <c r="J40406" s="33"/>
    </row>
    <row r="40407" spans="10:10" x14ac:dyDescent="0.3">
      <c r="J40407" s="33"/>
    </row>
    <row r="40408" spans="10:10" x14ac:dyDescent="0.3">
      <c r="J40408" s="33"/>
    </row>
    <row r="40409" spans="10:10" x14ac:dyDescent="0.3">
      <c r="J40409" s="33"/>
    </row>
    <row r="40410" spans="10:10" x14ac:dyDescent="0.3">
      <c r="J40410" s="33"/>
    </row>
    <row r="40411" spans="10:10" x14ac:dyDescent="0.3">
      <c r="J40411" s="33"/>
    </row>
    <row r="40412" spans="10:10" x14ac:dyDescent="0.3">
      <c r="J40412" s="33"/>
    </row>
    <row r="40413" spans="10:10" x14ac:dyDescent="0.3">
      <c r="J40413" s="33"/>
    </row>
    <row r="40414" spans="10:10" x14ac:dyDescent="0.3">
      <c r="J40414" s="33"/>
    </row>
    <row r="40415" spans="10:10" x14ac:dyDescent="0.3">
      <c r="J40415" s="33"/>
    </row>
    <row r="40416" spans="10:10" x14ac:dyDescent="0.3">
      <c r="J40416" s="33"/>
    </row>
    <row r="40417" spans="10:10" x14ac:dyDescent="0.3">
      <c r="J40417" s="33"/>
    </row>
    <row r="40418" spans="10:10" x14ac:dyDescent="0.3">
      <c r="J40418" s="33"/>
    </row>
    <row r="40419" spans="10:10" x14ac:dyDescent="0.3">
      <c r="J40419" s="33"/>
    </row>
    <row r="40420" spans="10:10" x14ac:dyDescent="0.3">
      <c r="J40420" s="33"/>
    </row>
    <row r="40421" spans="10:10" x14ac:dyDescent="0.3">
      <c r="J40421" s="33"/>
    </row>
    <row r="40422" spans="10:10" x14ac:dyDescent="0.3">
      <c r="J40422" s="33"/>
    </row>
    <row r="40423" spans="10:10" x14ac:dyDescent="0.3">
      <c r="J40423" s="33"/>
    </row>
    <row r="40424" spans="10:10" x14ac:dyDescent="0.3">
      <c r="J40424" s="33"/>
    </row>
    <row r="40425" spans="10:10" x14ac:dyDescent="0.3">
      <c r="J40425" s="33"/>
    </row>
    <row r="40426" spans="10:10" x14ac:dyDescent="0.3">
      <c r="J40426" s="33"/>
    </row>
    <row r="40427" spans="10:10" x14ac:dyDescent="0.3">
      <c r="J40427" s="33"/>
    </row>
    <row r="40428" spans="10:10" x14ac:dyDescent="0.3">
      <c r="J40428" s="33"/>
    </row>
    <row r="40429" spans="10:10" x14ac:dyDescent="0.3">
      <c r="J40429" s="33"/>
    </row>
    <row r="40430" spans="10:10" x14ac:dyDescent="0.3">
      <c r="J40430" s="33"/>
    </row>
    <row r="40431" spans="10:10" x14ac:dyDescent="0.3">
      <c r="J40431" s="33"/>
    </row>
    <row r="40432" spans="10:10" x14ac:dyDescent="0.3">
      <c r="J40432" s="33"/>
    </row>
    <row r="40433" spans="10:10" x14ac:dyDescent="0.3">
      <c r="J40433" s="33"/>
    </row>
    <row r="40434" spans="10:10" x14ac:dyDescent="0.3">
      <c r="J40434" s="33"/>
    </row>
    <row r="40435" spans="10:10" x14ac:dyDescent="0.3">
      <c r="J40435" s="33"/>
    </row>
    <row r="40436" spans="10:10" x14ac:dyDescent="0.3">
      <c r="J40436" s="33"/>
    </row>
    <row r="40437" spans="10:10" x14ac:dyDescent="0.3">
      <c r="J40437" s="33"/>
    </row>
    <row r="40438" spans="10:10" x14ac:dyDescent="0.3">
      <c r="J40438" s="33"/>
    </row>
    <row r="40439" spans="10:10" x14ac:dyDescent="0.3">
      <c r="J40439" s="33"/>
    </row>
    <row r="40440" spans="10:10" x14ac:dyDescent="0.3">
      <c r="J40440" s="33"/>
    </row>
    <row r="40441" spans="10:10" x14ac:dyDescent="0.3">
      <c r="J40441" s="33"/>
    </row>
    <row r="40442" spans="10:10" x14ac:dyDescent="0.3">
      <c r="J40442" s="33"/>
    </row>
    <row r="40443" spans="10:10" x14ac:dyDescent="0.3">
      <c r="J40443" s="33"/>
    </row>
    <row r="40444" spans="10:10" x14ac:dyDescent="0.3">
      <c r="J40444" s="33"/>
    </row>
    <row r="40445" spans="10:10" x14ac:dyDescent="0.3">
      <c r="J40445" s="33"/>
    </row>
    <row r="40446" spans="10:10" x14ac:dyDescent="0.3">
      <c r="J40446" s="33"/>
    </row>
    <row r="40447" spans="10:10" x14ac:dyDescent="0.3">
      <c r="J40447" s="33"/>
    </row>
    <row r="40448" spans="10:10" x14ac:dyDescent="0.3">
      <c r="J40448" s="33"/>
    </row>
    <row r="40449" spans="10:10" x14ac:dyDescent="0.3">
      <c r="J40449" s="33"/>
    </row>
    <row r="40450" spans="10:10" x14ac:dyDescent="0.3">
      <c r="J40450" s="33"/>
    </row>
    <row r="40451" spans="10:10" x14ac:dyDescent="0.3">
      <c r="J40451" s="33"/>
    </row>
    <row r="40452" spans="10:10" x14ac:dyDescent="0.3">
      <c r="J40452" s="33"/>
    </row>
    <row r="40453" spans="10:10" x14ac:dyDescent="0.3">
      <c r="J40453" s="33"/>
    </row>
    <row r="40454" spans="10:10" x14ac:dyDescent="0.3">
      <c r="J40454" s="33"/>
    </row>
    <row r="40455" spans="10:10" x14ac:dyDescent="0.3">
      <c r="J40455" s="33"/>
    </row>
    <row r="40456" spans="10:10" x14ac:dyDescent="0.3">
      <c r="J40456" s="33"/>
    </row>
    <row r="40457" spans="10:10" x14ac:dyDescent="0.3">
      <c r="J40457" s="33"/>
    </row>
    <row r="40458" spans="10:10" x14ac:dyDescent="0.3">
      <c r="J40458" s="33"/>
    </row>
    <row r="40459" spans="10:10" x14ac:dyDescent="0.3">
      <c r="J40459" s="33"/>
    </row>
    <row r="40460" spans="10:10" x14ac:dyDescent="0.3">
      <c r="J40460" s="33"/>
    </row>
    <row r="40461" spans="10:10" x14ac:dyDescent="0.3">
      <c r="J40461" s="33"/>
    </row>
    <row r="40462" spans="10:10" x14ac:dyDescent="0.3">
      <c r="J40462" s="33"/>
    </row>
    <row r="40463" spans="10:10" x14ac:dyDescent="0.3">
      <c r="J40463" s="33"/>
    </row>
    <row r="40464" spans="10:10" x14ac:dyDescent="0.3">
      <c r="J40464" s="33"/>
    </row>
    <row r="40465" spans="10:10" x14ac:dyDescent="0.3">
      <c r="J40465" s="33"/>
    </row>
    <row r="40466" spans="10:10" x14ac:dyDescent="0.3">
      <c r="J40466" s="33"/>
    </row>
    <row r="40467" spans="10:10" x14ac:dyDescent="0.3">
      <c r="J40467" s="33"/>
    </row>
    <row r="40468" spans="10:10" x14ac:dyDescent="0.3">
      <c r="J40468" s="33"/>
    </row>
    <row r="40469" spans="10:10" x14ac:dyDescent="0.3">
      <c r="J40469" s="33"/>
    </row>
    <row r="40470" spans="10:10" x14ac:dyDescent="0.3">
      <c r="J40470" s="33"/>
    </row>
    <row r="40471" spans="10:10" x14ac:dyDescent="0.3">
      <c r="J40471" s="33"/>
    </row>
    <row r="40472" spans="10:10" x14ac:dyDescent="0.3">
      <c r="J40472" s="33"/>
    </row>
    <row r="40473" spans="10:10" x14ac:dyDescent="0.3">
      <c r="J40473" s="33"/>
    </row>
    <row r="40474" spans="10:10" x14ac:dyDescent="0.3">
      <c r="J40474" s="33"/>
    </row>
    <row r="40475" spans="10:10" x14ac:dyDescent="0.3">
      <c r="J40475" s="33"/>
    </row>
    <row r="40476" spans="10:10" x14ac:dyDescent="0.3">
      <c r="J40476" s="33"/>
    </row>
    <row r="40477" spans="10:10" x14ac:dyDescent="0.3">
      <c r="J40477" s="33"/>
    </row>
    <row r="40478" spans="10:10" x14ac:dyDescent="0.3">
      <c r="J40478" s="33"/>
    </row>
    <row r="40479" spans="10:10" x14ac:dyDescent="0.3">
      <c r="J40479" s="33"/>
    </row>
    <row r="40480" spans="10:10" x14ac:dyDescent="0.3">
      <c r="J40480" s="33"/>
    </row>
    <row r="40481" spans="10:10" x14ac:dyDescent="0.3">
      <c r="J40481" s="33"/>
    </row>
    <row r="40482" spans="10:10" x14ac:dyDescent="0.3">
      <c r="J40482" s="33"/>
    </row>
    <row r="40483" spans="10:10" x14ac:dyDescent="0.3">
      <c r="J40483" s="33"/>
    </row>
    <row r="40484" spans="10:10" x14ac:dyDescent="0.3">
      <c r="J40484" s="33"/>
    </row>
    <row r="40485" spans="10:10" x14ac:dyDescent="0.3">
      <c r="J40485" s="33"/>
    </row>
    <row r="40486" spans="10:10" x14ac:dyDescent="0.3">
      <c r="J40486" s="33"/>
    </row>
    <row r="40487" spans="10:10" x14ac:dyDescent="0.3">
      <c r="J40487" s="33"/>
    </row>
    <row r="40488" spans="10:10" x14ac:dyDescent="0.3">
      <c r="J40488" s="33"/>
    </row>
    <row r="40489" spans="10:10" x14ac:dyDescent="0.3">
      <c r="J40489" s="33"/>
    </row>
    <row r="40490" spans="10:10" x14ac:dyDescent="0.3">
      <c r="J40490" s="33"/>
    </row>
    <row r="40491" spans="10:10" x14ac:dyDescent="0.3">
      <c r="J40491" s="33"/>
    </row>
    <row r="40492" spans="10:10" x14ac:dyDescent="0.3">
      <c r="J40492" s="33"/>
    </row>
    <row r="40493" spans="10:10" x14ac:dyDescent="0.3">
      <c r="J40493" s="33"/>
    </row>
    <row r="40494" spans="10:10" x14ac:dyDescent="0.3">
      <c r="J40494" s="33"/>
    </row>
    <row r="40495" spans="10:10" x14ac:dyDescent="0.3">
      <c r="J40495" s="33"/>
    </row>
    <row r="40496" spans="10:10" x14ac:dyDescent="0.3">
      <c r="J40496" s="33"/>
    </row>
    <row r="40497" spans="10:10" x14ac:dyDescent="0.3">
      <c r="J40497" s="33"/>
    </row>
    <row r="40498" spans="10:10" x14ac:dyDescent="0.3">
      <c r="J40498" s="33"/>
    </row>
    <row r="40499" spans="10:10" x14ac:dyDescent="0.3">
      <c r="J40499" s="33"/>
    </row>
    <row r="40500" spans="10:10" x14ac:dyDescent="0.3">
      <c r="J40500" s="33"/>
    </row>
    <row r="40501" spans="10:10" x14ac:dyDescent="0.3">
      <c r="J40501" s="33"/>
    </row>
    <row r="40502" spans="10:10" x14ac:dyDescent="0.3">
      <c r="J40502" s="33"/>
    </row>
    <row r="40503" spans="10:10" x14ac:dyDescent="0.3">
      <c r="J40503" s="33"/>
    </row>
    <row r="40504" spans="10:10" x14ac:dyDescent="0.3">
      <c r="J40504" s="33"/>
    </row>
    <row r="40505" spans="10:10" x14ac:dyDescent="0.3">
      <c r="J40505" s="33"/>
    </row>
    <row r="40506" spans="10:10" x14ac:dyDescent="0.3">
      <c r="J40506" s="33"/>
    </row>
    <row r="40507" spans="10:10" x14ac:dyDescent="0.3">
      <c r="J40507" s="33"/>
    </row>
    <row r="40508" spans="10:10" x14ac:dyDescent="0.3">
      <c r="J40508" s="33"/>
    </row>
    <row r="40509" spans="10:10" x14ac:dyDescent="0.3">
      <c r="J40509" s="33"/>
    </row>
    <row r="40510" spans="10:10" x14ac:dyDescent="0.3">
      <c r="J40510" s="33"/>
    </row>
    <row r="40511" spans="10:10" x14ac:dyDescent="0.3">
      <c r="J40511" s="33"/>
    </row>
    <row r="40512" spans="10:10" x14ac:dyDescent="0.3">
      <c r="J40512" s="33"/>
    </row>
    <row r="40513" spans="10:10" x14ac:dyDescent="0.3">
      <c r="J40513" s="33"/>
    </row>
    <row r="40514" spans="10:10" x14ac:dyDescent="0.3">
      <c r="J40514" s="33"/>
    </row>
    <row r="40515" spans="10:10" x14ac:dyDescent="0.3">
      <c r="J40515" s="33"/>
    </row>
    <row r="40516" spans="10:10" x14ac:dyDescent="0.3">
      <c r="J40516" s="33"/>
    </row>
    <row r="40517" spans="10:10" x14ac:dyDescent="0.3">
      <c r="J40517" s="33"/>
    </row>
    <row r="40518" spans="10:10" x14ac:dyDescent="0.3">
      <c r="J40518" s="33"/>
    </row>
    <row r="40519" spans="10:10" x14ac:dyDescent="0.3">
      <c r="J40519" s="33"/>
    </row>
    <row r="40520" spans="10:10" x14ac:dyDescent="0.3">
      <c r="J40520" s="33"/>
    </row>
    <row r="40521" spans="10:10" x14ac:dyDescent="0.3">
      <c r="J40521" s="33"/>
    </row>
    <row r="40522" spans="10:10" x14ac:dyDescent="0.3">
      <c r="J40522" s="33"/>
    </row>
    <row r="40523" spans="10:10" x14ac:dyDescent="0.3">
      <c r="J40523" s="33"/>
    </row>
    <row r="40524" spans="10:10" x14ac:dyDescent="0.3">
      <c r="J40524" s="33"/>
    </row>
    <row r="40525" spans="10:10" x14ac:dyDescent="0.3">
      <c r="J40525" s="33"/>
    </row>
    <row r="40526" spans="10:10" x14ac:dyDescent="0.3">
      <c r="J40526" s="33"/>
    </row>
    <row r="40527" spans="10:10" x14ac:dyDescent="0.3">
      <c r="J40527" s="33"/>
    </row>
    <row r="40528" spans="10:10" x14ac:dyDescent="0.3">
      <c r="J40528" s="33"/>
    </row>
    <row r="40529" spans="10:10" x14ac:dyDescent="0.3">
      <c r="J40529" s="33"/>
    </row>
    <row r="40530" spans="10:10" x14ac:dyDescent="0.3">
      <c r="J40530" s="33"/>
    </row>
    <row r="40531" spans="10:10" x14ac:dyDescent="0.3">
      <c r="J40531" s="33"/>
    </row>
    <row r="40532" spans="10:10" x14ac:dyDescent="0.3">
      <c r="J40532" s="33"/>
    </row>
    <row r="40533" spans="10:10" x14ac:dyDescent="0.3">
      <c r="J40533" s="33"/>
    </row>
    <row r="40534" spans="10:10" x14ac:dyDescent="0.3">
      <c r="J40534" s="33"/>
    </row>
    <row r="40535" spans="10:10" x14ac:dyDescent="0.3">
      <c r="J40535" s="33"/>
    </row>
    <row r="40536" spans="10:10" x14ac:dyDescent="0.3">
      <c r="J40536" s="33"/>
    </row>
    <row r="40537" spans="10:10" x14ac:dyDescent="0.3">
      <c r="J40537" s="33"/>
    </row>
    <row r="40538" spans="10:10" x14ac:dyDescent="0.3">
      <c r="J40538" s="33"/>
    </row>
    <row r="40539" spans="10:10" x14ac:dyDescent="0.3">
      <c r="J40539" s="33"/>
    </row>
    <row r="40540" spans="10:10" x14ac:dyDescent="0.3">
      <c r="J40540" s="33"/>
    </row>
    <row r="40541" spans="10:10" x14ac:dyDescent="0.3">
      <c r="J40541" s="33"/>
    </row>
    <row r="40542" spans="10:10" x14ac:dyDescent="0.3">
      <c r="J40542" s="33"/>
    </row>
    <row r="40543" spans="10:10" x14ac:dyDescent="0.3">
      <c r="J40543" s="33"/>
    </row>
    <row r="40544" spans="10:10" x14ac:dyDescent="0.3">
      <c r="J40544" s="33"/>
    </row>
    <row r="40545" spans="10:10" x14ac:dyDescent="0.3">
      <c r="J40545" s="33"/>
    </row>
    <row r="40546" spans="10:10" x14ac:dyDescent="0.3">
      <c r="J40546" s="33"/>
    </row>
    <row r="40547" spans="10:10" x14ac:dyDescent="0.3">
      <c r="J40547" s="33"/>
    </row>
    <row r="40548" spans="10:10" x14ac:dyDescent="0.3">
      <c r="J40548" s="33"/>
    </row>
    <row r="40549" spans="10:10" x14ac:dyDescent="0.3">
      <c r="J40549" s="33"/>
    </row>
    <row r="40550" spans="10:10" x14ac:dyDescent="0.3">
      <c r="J40550" s="33"/>
    </row>
    <row r="40551" spans="10:10" x14ac:dyDescent="0.3">
      <c r="J40551" s="33"/>
    </row>
    <row r="40552" spans="10:10" x14ac:dyDescent="0.3">
      <c r="J40552" s="33"/>
    </row>
    <row r="40553" spans="10:10" x14ac:dyDescent="0.3">
      <c r="J40553" s="33"/>
    </row>
    <row r="40554" spans="10:10" x14ac:dyDescent="0.3">
      <c r="J40554" s="33"/>
    </row>
    <row r="40555" spans="10:10" x14ac:dyDescent="0.3">
      <c r="J40555" s="33"/>
    </row>
    <row r="40556" spans="10:10" x14ac:dyDescent="0.3">
      <c r="J40556" s="33"/>
    </row>
    <row r="40557" spans="10:10" x14ac:dyDescent="0.3">
      <c r="J40557" s="33"/>
    </row>
    <row r="40558" spans="10:10" x14ac:dyDescent="0.3">
      <c r="J40558" s="33"/>
    </row>
    <row r="40559" spans="10:10" x14ac:dyDescent="0.3">
      <c r="J40559" s="33"/>
    </row>
    <row r="40560" spans="10:10" x14ac:dyDescent="0.3">
      <c r="J40560" s="33"/>
    </row>
    <row r="40561" spans="10:10" x14ac:dyDescent="0.3">
      <c r="J40561" s="33"/>
    </row>
    <row r="40562" spans="10:10" x14ac:dyDescent="0.3">
      <c r="J40562" s="33"/>
    </row>
    <row r="40563" spans="10:10" x14ac:dyDescent="0.3">
      <c r="J40563" s="33"/>
    </row>
    <row r="40564" spans="10:10" x14ac:dyDescent="0.3">
      <c r="J40564" s="33"/>
    </row>
    <row r="40565" spans="10:10" x14ac:dyDescent="0.3">
      <c r="J40565" s="33"/>
    </row>
    <row r="40566" spans="10:10" x14ac:dyDescent="0.3">
      <c r="J40566" s="33"/>
    </row>
    <row r="40567" spans="10:10" x14ac:dyDescent="0.3">
      <c r="J40567" s="33"/>
    </row>
    <row r="40568" spans="10:10" x14ac:dyDescent="0.3">
      <c r="J40568" s="33"/>
    </row>
    <row r="40569" spans="10:10" x14ac:dyDescent="0.3">
      <c r="J40569" s="33"/>
    </row>
    <row r="40570" spans="10:10" x14ac:dyDescent="0.3">
      <c r="J40570" s="33"/>
    </row>
    <row r="40571" spans="10:10" x14ac:dyDescent="0.3">
      <c r="J40571" s="33"/>
    </row>
    <row r="40572" spans="10:10" x14ac:dyDescent="0.3">
      <c r="J40572" s="33"/>
    </row>
    <row r="40573" spans="10:10" x14ac:dyDescent="0.3">
      <c r="J40573" s="33"/>
    </row>
    <row r="40574" spans="10:10" x14ac:dyDescent="0.3">
      <c r="J40574" s="33"/>
    </row>
    <row r="40575" spans="10:10" x14ac:dyDescent="0.3">
      <c r="J40575" s="33"/>
    </row>
    <row r="40576" spans="10:10" x14ac:dyDescent="0.3">
      <c r="J40576" s="33"/>
    </row>
    <row r="40577" spans="10:10" x14ac:dyDescent="0.3">
      <c r="J40577" s="33"/>
    </row>
    <row r="40578" spans="10:10" x14ac:dyDescent="0.3">
      <c r="J40578" s="33"/>
    </row>
    <row r="40579" spans="10:10" x14ac:dyDescent="0.3">
      <c r="J40579" s="33"/>
    </row>
    <row r="40580" spans="10:10" x14ac:dyDescent="0.3">
      <c r="J40580" s="33"/>
    </row>
    <row r="40581" spans="10:10" x14ac:dyDescent="0.3">
      <c r="J40581" s="33"/>
    </row>
    <row r="40582" spans="10:10" x14ac:dyDescent="0.3">
      <c r="J40582" s="33"/>
    </row>
    <row r="40583" spans="10:10" x14ac:dyDescent="0.3">
      <c r="J40583" s="33"/>
    </row>
    <row r="40584" spans="10:10" x14ac:dyDescent="0.3">
      <c r="J40584" s="33"/>
    </row>
    <row r="40585" spans="10:10" x14ac:dyDescent="0.3">
      <c r="J40585" s="33"/>
    </row>
    <row r="40586" spans="10:10" x14ac:dyDescent="0.3">
      <c r="J40586" s="33"/>
    </row>
    <row r="40587" spans="10:10" x14ac:dyDescent="0.3">
      <c r="J40587" s="33"/>
    </row>
    <row r="40588" spans="10:10" x14ac:dyDescent="0.3">
      <c r="J40588" s="33"/>
    </row>
    <row r="40589" spans="10:10" x14ac:dyDescent="0.3">
      <c r="J40589" s="33"/>
    </row>
    <row r="40590" spans="10:10" x14ac:dyDescent="0.3">
      <c r="J40590" s="33"/>
    </row>
    <row r="40591" spans="10:10" x14ac:dyDescent="0.3">
      <c r="J40591" s="33"/>
    </row>
    <row r="40592" spans="10:10" x14ac:dyDescent="0.3">
      <c r="J40592" s="33"/>
    </row>
    <row r="40593" spans="10:10" x14ac:dyDescent="0.3">
      <c r="J40593" s="33"/>
    </row>
    <row r="40594" spans="10:10" x14ac:dyDescent="0.3">
      <c r="J40594" s="33"/>
    </row>
    <row r="40595" spans="10:10" x14ac:dyDescent="0.3">
      <c r="J40595" s="33"/>
    </row>
    <row r="40596" spans="10:10" x14ac:dyDescent="0.3">
      <c r="J40596" s="33"/>
    </row>
    <row r="40597" spans="10:10" x14ac:dyDescent="0.3">
      <c r="J40597" s="33"/>
    </row>
    <row r="40598" spans="10:10" x14ac:dyDescent="0.3">
      <c r="J40598" s="33"/>
    </row>
    <row r="40599" spans="10:10" x14ac:dyDescent="0.3">
      <c r="J40599" s="33"/>
    </row>
    <row r="40600" spans="10:10" x14ac:dyDescent="0.3">
      <c r="J40600" s="33"/>
    </row>
    <row r="40601" spans="10:10" x14ac:dyDescent="0.3">
      <c r="J40601" s="33"/>
    </row>
    <row r="40602" spans="10:10" x14ac:dyDescent="0.3">
      <c r="J40602" s="33"/>
    </row>
    <row r="40603" spans="10:10" x14ac:dyDescent="0.3">
      <c r="J40603" s="33"/>
    </row>
    <row r="40604" spans="10:10" x14ac:dyDescent="0.3">
      <c r="J40604" s="33"/>
    </row>
    <row r="40605" spans="10:10" x14ac:dyDescent="0.3">
      <c r="J40605" s="33"/>
    </row>
    <row r="40606" spans="10:10" x14ac:dyDescent="0.3">
      <c r="J40606" s="33"/>
    </row>
    <row r="40607" spans="10:10" x14ac:dyDescent="0.3">
      <c r="J40607" s="33"/>
    </row>
    <row r="40608" spans="10:10" x14ac:dyDescent="0.3">
      <c r="J40608" s="33"/>
    </row>
    <row r="40609" spans="10:10" x14ac:dyDescent="0.3">
      <c r="J40609" s="33"/>
    </row>
    <row r="40610" spans="10:10" x14ac:dyDescent="0.3">
      <c r="J40610" s="33"/>
    </row>
    <row r="40611" spans="10:10" x14ac:dyDescent="0.3">
      <c r="J40611" s="33"/>
    </row>
    <row r="40612" spans="10:10" x14ac:dyDescent="0.3">
      <c r="J40612" s="33"/>
    </row>
    <row r="40613" spans="10:10" x14ac:dyDescent="0.3">
      <c r="J40613" s="33"/>
    </row>
    <row r="40614" spans="10:10" x14ac:dyDescent="0.3">
      <c r="J40614" s="33"/>
    </row>
    <row r="40615" spans="10:10" x14ac:dyDescent="0.3">
      <c r="J40615" s="33"/>
    </row>
    <row r="40616" spans="10:10" x14ac:dyDescent="0.3">
      <c r="J40616" s="33"/>
    </row>
    <row r="40617" spans="10:10" x14ac:dyDescent="0.3">
      <c r="J40617" s="33"/>
    </row>
    <row r="40618" spans="10:10" x14ac:dyDescent="0.3">
      <c r="J40618" s="33"/>
    </row>
    <row r="40619" spans="10:10" x14ac:dyDescent="0.3">
      <c r="J40619" s="33"/>
    </row>
    <row r="40620" spans="10:10" x14ac:dyDescent="0.3">
      <c r="J40620" s="33"/>
    </row>
    <row r="40621" spans="10:10" x14ac:dyDescent="0.3">
      <c r="J40621" s="33"/>
    </row>
    <row r="40622" spans="10:10" x14ac:dyDescent="0.3">
      <c r="J40622" s="33"/>
    </row>
    <row r="40623" spans="10:10" x14ac:dyDescent="0.3">
      <c r="J40623" s="33"/>
    </row>
    <row r="40624" spans="10:10" x14ac:dyDescent="0.3">
      <c r="J40624" s="33"/>
    </row>
    <row r="40625" spans="10:10" x14ac:dyDescent="0.3">
      <c r="J40625" s="33"/>
    </row>
    <row r="40626" spans="10:10" x14ac:dyDescent="0.3">
      <c r="J40626" s="33"/>
    </row>
    <row r="40627" spans="10:10" x14ac:dyDescent="0.3">
      <c r="J40627" s="33"/>
    </row>
    <row r="40628" spans="10:10" x14ac:dyDescent="0.3">
      <c r="J40628" s="33"/>
    </row>
    <row r="40629" spans="10:10" x14ac:dyDescent="0.3">
      <c r="J40629" s="33"/>
    </row>
    <row r="40630" spans="10:10" x14ac:dyDescent="0.3">
      <c r="J40630" s="33"/>
    </row>
    <row r="40631" spans="10:10" x14ac:dyDescent="0.3">
      <c r="J40631" s="33"/>
    </row>
    <row r="40632" spans="10:10" x14ac:dyDescent="0.3">
      <c r="J40632" s="33"/>
    </row>
    <row r="40633" spans="10:10" x14ac:dyDescent="0.3">
      <c r="J40633" s="33"/>
    </row>
    <row r="40634" spans="10:10" x14ac:dyDescent="0.3">
      <c r="J40634" s="33"/>
    </row>
    <row r="40635" spans="10:10" x14ac:dyDescent="0.3">
      <c r="J40635" s="33"/>
    </row>
    <row r="40636" spans="10:10" x14ac:dyDescent="0.3">
      <c r="J40636" s="33"/>
    </row>
    <row r="40637" spans="10:10" x14ac:dyDescent="0.3">
      <c r="J40637" s="33"/>
    </row>
    <row r="40638" spans="10:10" x14ac:dyDescent="0.3">
      <c r="J40638" s="33"/>
    </row>
    <row r="40639" spans="10:10" x14ac:dyDescent="0.3">
      <c r="J40639" s="33"/>
    </row>
    <row r="40640" spans="10:10" x14ac:dyDescent="0.3">
      <c r="J40640" s="33"/>
    </row>
    <row r="40641" spans="10:10" x14ac:dyDescent="0.3">
      <c r="J40641" s="33"/>
    </row>
    <row r="40642" spans="10:10" x14ac:dyDescent="0.3">
      <c r="J40642" s="33"/>
    </row>
    <row r="40643" spans="10:10" x14ac:dyDescent="0.3">
      <c r="J40643" s="33"/>
    </row>
    <row r="40644" spans="10:10" x14ac:dyDescent="0.3">
      <c r="J40644" s="33"/>
    </row>
    <row r="40645" spans="10:10" x14ac:dyDescent="0.3">
      <c r="J40645" s="33"/>
    </row>
    <row r="40646" spans="10:10" x14ac:dyDescent="0.3">
      <c r="J40646" s="33"/>
    </row>
    <row r="40647" spans="10:10" x14ac:dyDescent="0.3">
      <c r="J40647" s="33"/>
    </row>
    <row r="40648" spans="10:10" x14ac:dyDescent="0.3">
      <c r="J40648" s="33"/>
    </row>
    <row r="40649" spans="10:10" x14ac:dyDescent="0.3">
      <c r="J40649" s="33"/>
    </row>
    <row r="40650" spans="10:10" x14ac:dyDescent="0.3">
      <c r="J40650" s="33"/>
    </row>
    <row r="40651" spans="10:10" x14ac:dyDescent="0.3">
      <c r="J40651" s="33"/>
    </row>
    <row r="40652" spans="10:10" x14ac:dyDescent="0.3">
      <c r="J40652" s="33"/>
    </row>
    <row r="40653" spans="10:10" x14ac:dyDescent="0.3">
      <c r="J40653" s="33"/>
    </row>
    <row r="40654" spans="10:10" x14ac:dyDescent="0.3">
      <c r="J40654" s="33"/>
    </row>
    <row r="40655" spans="10:10" x14ac:dyDescent="0.3">
      <c r="J40655" s="33"/>
    </row>
    <row r="40656" spans="10:10" x14ac:dyDescent="0.3">
      <c r="J40656" s="33"/>
    </row>
    <row r="40657" spans="10:10" x14ac:dyDescent="0.3">
      <c r="J40657" s="33"/>
    </row>
    <row r="40658" spans="10:10" x14ac:dyDescent="0.3">
      <c r="J40658" s="33"/>
    </row>
    <row r="40659" spans="10:10" x14ac:dyDescent="0.3">
      <c r="J40659" s="33"/>
    </row>
    <row r="40660" spans="10:10" x14ac:dyDescent="0.3">
      <c r="J40660" s="33"/>
    </row>
    <row r="40661" spans="10:10" x14ac:dyDescent="0.3">
      <c r="J40661" s="33"/>
    </row>
    <row r="40662" spans="10:10" x14ac:dyDescent="0.3">
      <c r="J40662" s="33"/>
    </row>
    <row r="40663" spans="10:10" x14ac:dyDescent="0.3">
      <c r="J40663" s="33"/>
    </row>
    <row r="40664" spans="10:10" x14ac:dyDescent="0.3">
      <c r="J40664" s="33"/>
    </row>
    <row r="40665" spans="10:10" x14ac:dyDescent="0.3">
      <c r="J40665" s="33"/>
    </row>
    <row r="40666" spans="10:10" x14ac:dyDescent="0.3">
      <c r="J40666" s="33"/>
    </row>
    <row r="40667" spans="10:10" x14ac:dyDescent="0.3">
      <c r="J40667" s="33"/>
    </row>
    <row r="40668" spans="10:10" x14ac:dyDescent="0.3">
      <c r="J40668" s="33"/>
    </row>
    <row r="40669" spans="10:10" x14ac:dyDescent="0.3">
      <c r="J40669" s="33"/>
    </row>
    <row r="40670" spans="10:10" x14ac:dyDescent="0.3">
      <c r="J40670" s="33"/>
    </row>
    <row r="40671" spans="10:10" x14ac:dyDescent="0.3">
      <c r="J40671" s="33"/>
    </row>
    <row r="40672" spans="10:10" x14ac:dyDescent="0.3">
      <c r="J40672" s="33"/>
    </row>
    <row r="40673" spans="10:10" x14ac:dyDescent="0.3">
      <c r="J40673" s="33"/>
    </row>
    <row r="40674" spans="10:10" x14ac:dyDescent="0.3">
      <c r="J40674" s="33"/>
    </row>
    <row r="40675" spans="10:10" x14ac:dyDescent="0.3">
      <c r="J40675" s="33"/>
    </row>
    <row r="40676" spans="10:10" x14ac:dyDescent="0.3">
      <c r="J40676" s="33"/>
    </row>
    <row r="40677" spans="10:10" x14ac:dyDescent="0.3">
      <c r="J40677" s="33"/>
    </row>
    <row r="40678" spans="10:10" x14ac:dyDescent="0.3">
      <c r="J40678" s="33"/>
    </row>
    <row r="40679" spans="10:10" x14ac:dyDescent="0.3">
      <c r="J40679" s="33"/>
    </row>
    <row r="40680" spans="10:10" x14ac:dyDescent="0.3">
      <c r="J40680" s="33"/>
    </row>
    <row r="40681" spans="10:10" x14ac:dyDescent="0.3">
      <c r="J40681" s="33"/>
    </row>
    <row r="40682" spans="10:10" x14ac:dyDescent="0.3">
      <c r="J40682" s="33"/>
    </row>
    <row r="40683" spans="10:10" x14ac:dyDescent="0.3">
      <c r="J40683" s="33"/>
    </row>
    <row r="40684" spans="10:10" x14ac:dyDescent="0.3">
      <c r="J40684" s="33"/>
    </row>
    <row r="40685" spans="10:10" x14ac:dyDescent="0.3">
      <c r="J40685" s="33"/>
    </row>
    <row r="40686" spans="10:10" x14ac:dyDescent="0.3">
      <c r="J40686" s="33"/>
    </row>
    <row r="40687" spans="10:10" x14ac:dyDescent="0.3">
      <c r="J40687" s="33"/>
    </row>
    <row r="40688" spans="10:10" x14ac:dyDescent="0.3">
      <c r="J40688" s="33"/>
    </row>
    <row r="40689" spans="10:10" x14ac:dyDescent="0.3">
      <c r="J40689" s="33"/>
    </row>
    <row r="40690" spans="10:10" x14ac:dyDescent="0.3">
      <c r="J40690" s="33"/>
    </row>
    <row r="40691" spans="10:10" x14ac:dyDescent="0.3">
      <c r="J40691" s="33"/>
    </row>
    <row r="40692" spans="10:10" x14ac:dyDescent="0.3">
      <c r="J40692" s="33"/>
    </row>
    <row r="40693" spans="10:10" x14ac:dyDescent="0.3">
      <c r="J40693" s="33"/>
    </row>
    <row r="40694" spans="10:10" x14ac:dyDescent="0.3">
      <c r="J40694" s="33"/>
    </row>
    <row r="40695" spans="10:10" x14ac:dyDescent="0.3">
      <c r="J40695" s="33"/>
    </row>
    <row r="40696" spans="10:10" x14ac:dyDescent="0.3">
      <c r="J40696" s="33"/>
    </row>
    <row r="40697" spans="10:10" x14ac:dyDescent="0.3">
      <c r="J40697" s="33"/>
    </row>
    <row r="40698" spans="10:10" x14ac:dyDescent="0.3">
      <c r="J40698" s="33"/>
    </row>
    <row r="40699" spans="10:10" x14ac:dyDescent="0.3">
      <c r="J40699" s="33"/>
    </row>
    <row r="40700" spans="10:10" x14ac:dyDescent="0.3">
      <c r="J40700" s="33"/>
    </row>
    <row r="40701" spans="10:10" x14ac:dyDescent="0.3">
      <c r="J40701" s="33"/>
    </row>
    <row r="40702" spans="10:10" x14ac:dyDescent="0.3">
      <c r="J40702" s="33"/>
    </row>
    <row r="40703" spans="10:10" x14ac:dyDescent="0.3">
      <c r="J40703" s="33"/>
    </row>
    <row r="40704" spans="10:10" x14ac:dyDescent="0.3">
      <c r="J40704" s="33"/>
    </row>
    <row r="40705" spans="10:10" x14ac:dyDescent="0.3">
      <c r="J40705" s="33"/>
    </row>
    <row r="40706" spans="10:10" x14ac:dyDescent="0.3">
      <c r="J40706" s="33"/>
    </row>
    <row r="40707" spans="10:10" x14ac:dyDescent="0.3">
      <c r="J40707" s="33"/>
    </row>
    <row r="40708" spans="10:10" x14ac:dyDescent="0.3">
      <c r="J40708" s="33"/>
    </row>
    <row r="40709" spans="10:10" x14ac:dyDescent="0.3">
      <c r="J40709" s="33"/>
    </row>
    <row r="40710" spans="10:10" x14ac:dyDescent="0.3">
      <c r="J40710" s="33"/>
    </row>
    <row r="40711" spans="10:10" x14ac:dyDescent="0.3">
      <c r="J40711" s="33"/>
    </row>
    <row r="40712" spans="10:10" x14ac:dyDescent="0.3">
      <c r="J40712" s="33"/>
    </row>
    <row r="40713" spans="10:10" x14ac:dyDescent="0.3">
      <c r="J40713" s="33"/>
    </row>
    <row r="40714" spans="10:10" x14ac:dyDescent="0.3">
      <c r="J40714" s="33"/>
    </row>
    <row r="40715" spans="10:10" x14ac:dyDescent="0.3">
      <c r="J40715" s="33"/>
    </row>
    <row r="40716" spans="10:10" x14ac:dyDescent="0.3">
      <c r="J40716" s="33"/>
    </row>
    <row r="40717" spans="10:10" x14ac:dyDescent="0.3">
      <c r="J40717" s="33"/>
    </row>
    <row r="40718" spans="10:10" x14ac:dyDescent="0.3">
      <c r="J40718" s="33"/>
    </row>
    <row r="40719" spans="10:10" x14ac:dyDescent="0.3">
      <c r="J40719" s="33"/>
    </row>
    <row r="40720" spans="10:10" x14ac:dyDescent="0.3">
      <c r="J40720" s="33"/>
    </row>
    <row r="40721" spans="10:10" x14ac:dyDescent="0.3">
      <c r="J40721" s="33"/>
    </row>
    <row r="40722" spans="10:10" x14ac:dyDescent="0.3">
      <c r="J40722" s="33"/>
    </row>
    <row r="40723" spans="10:10" x14ac:dyDescent="0.3">
      <c r="J40723" s="33"/>
    </row>
    <row r="40724" spans="10:10" x14ac:dyDescent="0.3">
      <c r="J40724" s="33"/>
    </row>
    <row r="40725" spans="10:10" x14ac:dyDescent="0.3">
      <c r="J40725" s="33"/>
    </row>
    <row r="40726" spans="10:10" x14ac:dyDescent="0.3">
      <c r="J40726" s="33"/>
    </row>
    <row r="40727" spans="10:10" x14ac:dyDescent="0.3">
      <c r="J40727" s="33"/>
    </row>
    <row r="40728" spans="10:10" x14ac:dyDescent="0.3">
      <c r="J40728" s="33"/>
    </row>
    <row r="40729" spans="10:10" x14ac:dyDescent="0.3">
      <c r="J40729" s="33"/>
    </row>
    <row r="40730" spans="10:10" x14ac:dyDescent="0.3">
      <c r="J40730" s="33"/>
    </row>
    <row r="40731" spans="10:10" x14ac:dyDescent="0.3">
      <c r="J40731" s="33"/>
    </row>
    <row r="40732" spans="10:10" x14ac:dyDescent="0.3">
      <c r="J40732" s="33"/>
    </row>
    <row r="40733" spans="10:10" x14ac:dyDescent="0.3">
      <c r="J40733" s="33"/>
    </row>
    <row r="40734" spans="10:10" x14ac:dyDescent="0.3">
      <c r="J40734" s="33"/>
    </row>
    <row r="40735" spans="10:10" x14ac:dyDescent="0.3">
      <c r="J40735" s="33"/>
    </row>
    <row r="40736" spans="10:10" x14ac:dyDescent="0.3">
      <c r="J40736" s="33"/>
    </row>
    <row r="40737" spans="10:10" x14ac:dyDescent="0.3">
      <c r="J40737" s="33"/>
    </row>
    <row r="40738" spans="10:10" x14ac:dyDescent="0.3">
      <c r="J40738" s="33"/>
    </row>
    <row r="40739" spans="10:10" x14ac:dyDescent="0.3">
      <c r="J40739" s="33"/>
    </row>
    <row r="40740" spans="10:10" x14ac:dyDescent="0.3">
      <c r="J40740" s="33"/>
    </row>
    <row r="40741" spans="10:10" x14ac:dyDescent="0.3">
      <c r="J40741" s="33"/>
    </row>
    <row r="40742" spans="10:10" x14ac:dyDescent="0.3">
      <c r="J40742" s="33"/>
    </row>
    <row r="40743" spans="10:10" x14ac:dyDescent="0.3">
      <c r="J40743" s="33"/>
    </row>
    <row r="40744" spans="10:10" x14ac:dyDescent="0.3">
      <c r="J40744" s="33"/>
    </row>
    <row r="40745" spans="10:10" x14ac:dyDescent="0.3">
      <c r="J40745" s="33"/>
    </row>
    <row r="40746" spans="10:10" x14ac:dyDescent="0.3">
      <c r="J40746" s="33"/>
    </row>
    <row r="40747" spans="10:10" x14ac:dyDescent="0.3">
      <c r="J40747" s="33"/>
    </row>
    <row r="40748" spans="10:10" x14ac:dyDescent="0.3">
      <c r="J40748" s="33"/>
    </row>
    <row r="40749" spans="10:10" x14ac:dyDescent="0.3">
      <c r="J40749" s="33"/>
    </row>
    <row r="40750" spans="10:10" x14ac:dyDescent="0.3">
      <c r="J40750" s="33"/>
    </row>
    <row r="40751" spans="10:10" x14ac:dyDescent="0.3">
      <c r="J40751" s="33"/>
    </row>
    <row r="40752" spans="10:10" x14ac:dyDescent="0.3">
      <c r="J40752" s="33"/>
    </row>
    <row r="40753" spans="10:10" x14ac:dyDescent="0.3">
      <c r="J40753" s="33"/>
    </row>
    <row r="40754" spans="10:10" x14ac:dyDescent="0.3">
      <c r="J40754" s="33"/>
    </row>
    <row r="40755" spans="10:10" x14ac:dyDescent="0.3">
      <c r="J40755" s="33"/>
    </row>
    <row r="40756" spans="10:10" x14ac:dyDescent="0.3">
      <c r="J40756" s="33"/>
    </row>
    <row r="40757" spans="10:10" x14ac:dyDescent="0.3">
      <c r="J40757" s="33"/>
    </row>
    <row r="40758" spans="10:10" x14ac:dyDescent="0.3">
      <c r="J40758" s="33"/>
    </row>
    <row r="40759" spans="10:10" x14ac:dyDescent="0.3">
      <c r="J40759" s="33"/>
    </row>
    <row r="40760" spans="10:10" x14ac:dyDescent="0.3">
      <c r="J40760" s="33"/>
    </row>
    <row r="40761" spans="10:10" x14ac:dyDescent="0.3">
      <c r="J40761" s="33"/>
    </row>
    <row r="40762" spans="10:10" x14ac:dyDescent="0.3">
      <c r="J40762" s="33"/>
    </row>
    <row r="40763" spans="10:10" x14ac:dyDescent="0.3">
      <c r="J40763" s="33"/>
    </row>
    <row r="40764" spans="10:10" x14ac:dyDescent="0.3">
      <c r="J40764" s="33"/>
    </row>
    <row r="40765" spans="10:10" x14ac:dyDescent="0.3">
      <c r="J40765" s="33"/>
    </row>
    <row r="40766" spans="10:10" x14ac:dyDescent="0.3">
      <c r="J40766" s="33"/>
    </row>
    <row r="40767" spans="10:10" x14ac:dyDescent="0.3">
      <c r="J40767" s="33"/>
    </row>
    <row r="40768" spans="10:10" x14ac:dyDescent="0.3">
      <c r="J40768" s="33"/>
    </row>
    <row r="40769" spans="10:10" x14ac:dyDescent="0.3">
      <c r="J40769" s="33"/>
    </row>
    <row r="40770" spans="10:10" x14ac:dyDescent="0.3">
      <c r="J40770" s="33"/>
    </row>
    <row r="40771" spans="10:10" x14ac:dyDescent="0.3">
      <c r="J40771" s="33"/>
    </row>
    <row r="40772" spans="10:10" x14ac:dyDescent="0.3">
      <c r="J40772" s="33"/>
    </row>
    <row r="40773" spans="10:10" x14ac:dyDescent="0.3">
      <c r="J40773" s="33"/>
    </row>
    <row r="40774" spans="10:10" x14ac:dyDescent="0.3">
      <c r="J40774" s="33"/>
    </row>
    <row r="40775" spans="10:10" x14ac:dyDescent="0.3">
      <c r="J40775" s="33"/>
    </row>
    <row r="40776" spans="10:10" x14ac:dyDescent="0.3">
      <c r="J40776" s="33"/>
    </row>
    <row r="40777" spans="10:10" x14ac:dyDescent="0.3">
      <c r="J40777" s="33"/>
    </row>
    <row r="40778" spans="10:10" x14ac:dyDescent="0.3">
      <c r="J40778" s="33"/>
    </row>
    <row r="40779" spans="10:10" x14ac:dyDescent="0.3">
      <c r="J40779" s="33"/>
    </row>
    <row r="40780" spans="10:10" x14ac:dyDescent="0.3">
      <c r="J40780" s="33"/>
    </row>
    <row r="40781" spans="10:10" x14ac:dyDescent="0.3">
      <c r="J40781" s="33"/>
    </row>
    <row r="40782" spans="10:10" x14ac:dyDescent="0.3">
      <c r="J40782" s="33"/>
    </row>
    <row r="40783" spans="10:10" x14ac:dyDescent="0.3">
      <c r="J40783" s="33"/>
    </row>
    <row r="40784" spans="10:10" x14ac:dyDescent="0.3">
      <c r="J40784" s="33"/>
    </row>
    <row r="40785" spans="10:10" x14ac:dyDescent="0.3">
      <c r="J40785" s="33"/>
    </row>
    <row r="40786" spans="10:10" x14ac:dyDescent="0.3">
      <c r="J40786" s="33"/>
    </row>
    <row r="40787" spans="10:10" x14ac:dyDescent="0.3">
      <c r="J40787" s="33"/>
    </row>
    <row r="40788" spans="10:10" x14ac:dyDescent="0.3">
      <c r="J40788" s="33"/>
    </row>
    <row r="40789" spans="10:10" x14ac:dyDescent="0.3">
      <c r="J40789" s="33"/>
    </row>
    <row r="40790" spans="10:10" x14ac:dyDescent="0.3">
      <c r="J40790" s="33"/>
    </row>
    <row r="40791" spans="10:10" x14ac:dyDescent="0.3">
      <c r="J40791" s="33"/>
    </row>
    <row r="40792" spans="10:10" x14ac:dyDescent="0.3">
      <c r="J40792" s="33"/>
    </row>
    <row r="40793" spans="10:10" x14ac:dyDescent="0.3">
      <c r="J40793" s="33"/>
    </row>
    <row r="40794" spans="10:10" x14ac:dyDescent="0.3">
      <c r="J40794" s="33"/>
    </row>
    <row r="40795" spans="10:10" x14ac:dyDescent="0.3">
      <c r="J40795" s="33"/>
    </row>
    <row r="40796" spans="10:10" x14ac:dyDescent="0.3">
      <c r="J40796" s="33"/>
    </row>
    <row r="40797" spans="10:10" x14ac:dyDescent="0.3">
      <c r="J40797" s="33"/>
    </row>
    <row r="40798" spans="10:10" x14ac:dyDescent="0.3">
      <c r="J40798" s="33"/>
    </row>
    <row r="40799" spans="10:10" x14ac:dyDescent="0.3">
      <c r="J40799" s="33"/>
    </row>
    <row r="40800" spans="10:10" x14ac:dyDescent="0.3">
      <c r="J40800" s="33"/>
    </row>
    <row r="40801" spans="10:10" x14ac:dyDescent="0.3">
      <c r="J40801" s="33"/>
    </row>
    <row r="40802" spans="10:10" x14ac:dyDescent="0.3">
      <c r="J40802" s="33"/>
    </row>
    <row r="40803" spans="10:10" x14ac:dyDescent="0.3">
      <c r="J40803" s="33"/>
    </row>
    <row r="40804" spans="10:10" x14ac:dyDescent="0.3">
      <c r="J40804" s="33"/>
    </row>
    <row r="40805" spans="10:10" x14ac:dyDescent="0.3">
      <c r="J40805" s="33"/>
    </row>
    <row r="40806" spans="10:10" x14ac:dyDescent="0.3">
      <c r="J40806" s="33"/>
    </row>
    <row r="40807" spans="10:10" x14ac:dyDescent="0.3">
      <c r="J40807" s="33"/>
    </row>
    <row r="40808" spans="10:10" x14ac:dyDescent="0.3">
      <c r="J40808" s="33"/>
    </row>
    <row r="40809" spans="10:10" x14ac:dyDescent="0.3">
      <c r="J40809" s="33"/>
    </row>
    <row r="40810" spans="10:10" x14ac:dyDescent="0.3">
      <c r="J40810" s="33"/>
    </row>
    <row r="40811" spans="10:10" x14ac:dyDescent="0.3">
      <c r="J40811" s="33"/>
    </row>
    <row r="40812" spans="10:10" x14ac:dyDescent="0.3">
      <c r="J40812" s="33"/>
    </row>
    <row r="40813" spans="10:10" x14ac:dyDescent="0.3">
      <c r="J40813" s="33"/>
    </row>
    <row r="40814" spans="10:10" x14ac:dyDescent="0.3">
      <c r="J40814" s="33"/>
    </row>
    <row r="40815" spans="10:10" x14ac:dyDescent="0.3">
      <c r="J40815" s="33"/>
    </row>
    <row r="40816" spans="10:10" x14ac:dyDescent="0.3">
      <c r="J40816" s="33"/>
    </row>
    <row r="40817" spans="10:10" x14ac:dyDescent="0.3">
      <c r="J40817" s="33"/>
    </row>
    <row r="40818" spans="10:10" x14ac:dyDescent="0.3">
      <c r="J40818" s="33"/>
    </row>
    <row r="40819" spans="10:10" x14ac:dyDescent="0.3">
      <c r="J40819" s="33"/>
    </row>
    <row r="40820" spans="10:10" x14ac:dyDescent="0.3">
      <c r="J40820" s="33"/>
    </row>
    <row r="40821" spans="10:10" x14ac:dyDescent="0.3">
      <c r="J40821" s="33"/>
    </row>
    <row r="40822" spans="10:10" x14ac:dyDescent="0.3">
      <c r="J40822" s="33"/>
    </row>
    <row r="40823" spans="10:10" x14ac:dyDescent="0.3">
      <c r="J40823" s="33"/>
    </row>
    <row r="40824" spans="10:10" x14ac:dyDescent="0.3">
      <c r="J40824" s="33"/>
    </row>
    <row r="40825" spans="10:10" x14ac:dyDescent="0.3">
      <c r="J40825" s="33"/>
    </row>
    <row r="40826" spans="10:10" x14ac:dyDescent="0.3">
      <c r="J40826" s="33"/>
    </row>
    <row r="40827" spans="10:10" x14ac:dyDescent="0.3">
      <c r="J40827" s="33"/>
    </row>
    <row r="40828" spans="10:10" x14ac:dyDescent="0.3">
      <c r="J40828" s="33"/>
    </row>
    <row r="40829" spans="10:10" x14ac:dyDescent="0.3">
      <c r="J40829" s="33"/>
    </row>
    <row r="40830" spans="10:10" x14ac:dyDescent="0.3">
      <c r="J40830" s="33"/>
    </row>
    <row r="40831" spans="10:10" x14ac:dyDescent="0.3">
      <c r="J40831" s="33"/>
    </row>
    <row r="40832" spans="10:10" x14ac:dyDescent="0.3">
      <c r="J40832" s="33"/>
    </row>
    <row r="40833" spans="10:10" x14ac:dyDescent="0.3">
      <c r="J40833" s="33"/>
    </row>
    <row r="40834" spans="10:10" x14ac:dyDescent="0.3">
      <c r="J40834" s="33"/>
    </row>
    <row r="40835" spans="10:10" x14ac:dyDescent="0.3">
      <c r="J40835" s="33"/>
    </row>
    <row r="40836" spans="10:10" x14ac:dyDescent="0.3">
      <c r="J40836" s="33"/>
    </row>
    <row r="40837" spans="10:10" x14ac:dyDescent="0.3">
      <c r="J40837" s="33"/>
    </row>
    <row r="40838" spans="10:10" x14ac:dyDescent="0.3">
      <c r="J40838" s="33"/>
    </row>
    <row r="40839" spans="10:10" x14ac:dyDescent="0.3">
      <c r="J40839" s="33"/>
    </row>
    <row r="40840" spans="10:10" x14ac:dyDescent="0.3">
      <c r="J40840" s="33"/>
    </row>
    <row r="40841" spans="10:10" x14ac:dyDescent="0.3">
      <c r="J40841" s="33"/>
    </row>
    <row r="40842" spans="10:10" x14ac:dyDescent="0.3">
      <c r="J40842" s="33"/>
    </row>
    <row r="40843" spans="10:10" x14ac:dyDescent="0.3">
      <c r="J40843" s="33"/>
    </row>
    <row r="40844" spans="10:10" x14ac:dyDescent="0.3">
      <c r="J40844" s="33"/>
    </row>
    <row r="40845" spans="10:10" x14ac:dyDescent="0.3">
      <c r="J40845" s="33"/>
    </row>
    <row r="40846" spans="10:10" x14ac:dyDescent="0.3">
      <c r="J40846" s="33"/>
    </row>
    <row r="40847" spans="10:10" x14ac:dyDescent="0.3">
      <c r="J40847" s="33"/>
    </row>
    <row r="40848" spans="10:10" x14ac:dyDescent="0.3">
      <c r="J40848" s="33"/>
    </row>
    <row r="40849" spans="10:10" x14ac:dyDescent="0.3">
      <c r="J40849" s="33"/>
    </row>
    <row r="40850" spans="10:10" x14ac:dyDescent="0.3">
      <c r="J40850" s="33"/>
    </row>
    <row r="40851" spans="10:10" x14ac:dyDescent="0.3">
      <c r="J40851" s="33"/>
    </row>
    <row r="40852" spans="10:10" x14ac:dyDescent="0.3">
      <c r="J40852" s="33"/>
    </row>
    <row r="40853" spans="10:10" x14ac:dyDescent="0.3">
      <c r="J40853" s="33"/>
    </row>
    <row r="40854" spans="10:10" x14ac:dyDescent="0.3">
      <c r="J40854" s="33"/>
    </row>
    <row r="40855" spans="10:10" x14ac:dyDescent="0.3">
      <c r="J40855" s="33"/>
    </row>
    <row r="40856" spans="10:10" x14ac:dyDescent="0.3">
      <c r="J40856" s="33"/>
    </row>
    <row r="40857" spans="10:10" x14ac:dyDescent="0.3">
      <c r="J40857" s="33"/>
    </row>
    <row r="40858" spans="10:10" x14ac:dyDescent="0.3">
      <c r="J40858" s="33"/>
    </row>
    <row r="40859" spans="10:10" x14ac:dyDescent="0.3">
      <c r="J40859" s="33"/>
    </row>
    <row r="40860" spans="10:10" x14ac:dyDescent="0.3">
      <c r="J40860" s="33"/>
    </row>
    <row r="40861" spans="10:10" x14ac:dyDescent="0.3">
      <c r="J40861" s="33"/>
    </row>
    <row r="40862" spans="10:10" x14ac:dyDescent="0.3">
      <c r="J40862" s="33"/>
    </row>
    <row r="40863" spans="10:10" x14ac:dyDescent="0.3">
      <c r="J40863" s="33"/>
    </row>
    <row r="40864" spans="10:10" x14ac:dyDescent="0.3">
      <c r="J40864" s="33"/>
    </row>
    <row r="40865" spans="10:10" x14ac:dyDescent="0.3">
      <c r="J40865" s="33"/>
    </row>
    <row r="40866" spans="10:10" x14ac:dyDescent="0.3">
      <c r="J40866" s="33"/>
    </row>
    <row r="40867" spans="10:10" x14ac:dyDescent="0.3">
      <c r="J40867" s="33"/>
    </row>
    <row r="40868" spans="10:10" x14ac:dyDescent="0.3">
      <c r="J40868" s="33"/>
    </row>
    <row r="40869" spans="10:10" x14ac:dyDescent="0.3">
      <c r="J40869" s="33"/>
    </row>
    <row r="40870" spans="10:10" x14ac:dyDescent="0.3">
      <c r="J40870" s="33"/>
    </row>
    <row r="40871" spans="10:10" x14ac:dyDescent="0.3">
      <c r="J40871" s="33"/>
    </row>
    <row r="40872" spans="10:10" x14ac:dyDescent="0.3">
      <c r="J40872" s="33"/>
    </row>
    <row r="40873" spans="10:10" x14ac:dyDescent="0.3">
      <c r="J40873" s="33"/>
    </row>
    <row r="40874" spans="10:10" x14ac:dyDescent="0.3">
      <c r="J40874" s="33"/>
    </row>
    <row r="40875" spans="10:10" x14ac:dyDescent="0.3">
      <c r="J40875" s="33"/>
    </row>
    <row r="40876" spans="10:10" x14ac:dyDescent="0.3">
      <c r="J40876" s="33"/>
    </row>
    <row r="40877" spans="10:10" x14ac:dyDescent="0.3">
      <c r="J40877" s="33"/>
    </row>
    <row r="40878" spans="10:10" x14ac:dyDescent="0.3">
      <c r="J40878" s="33"/>
    </row>
    <row r="40879" spans="10:10" x14ac:dyDescent="0.3">
      <c r="J40879" s="33"/>
    </row>
    <row r="40880" spans="10:10" x14ac:dyDescent="0.3">
      <c r="J40880" s="33"/>
    </row>
    <row r="40881" spans="10:10" x14ac:dyDescent="0.3">
      <c r="J40881" s="33"/>
    </row>
    <row r="40882" spans="10:10" x14ac:dyDescent="0.3">
      <c r="J40882" s="33"/>
    </row>
    <row r="40883" spans="10:10" x14ac:dyDescent="0.3">
      <c r="J40883" s="33"/>
    </row>
    <row r="40884" spans="10:10" x14ac:dyDescent="0.3">
      <c r="J40884" s="33"/>
    </row>
    <row r="40885" spans="10:10" x14ac:dyDescent="0.3">
      <c r="J40885" s="33"/>
    </row>
    <row r="40886" spans="10:10" x14ac:dyDescent="0.3">
      <c r="J40886" s="33"/>
    </row>
    <row r="40887" spans="10:10" x14ac:dyDescent="0.3">
      <c r="J40887" s="33"/>
    </row>
    <row r="40888" spans="10:10" x14ac:dyDescent="0.3">
      <c r="J40888" s="33"/>
    </row>
    <row r="40889" spans="10:10" x14ac:dyDescent="0.3">
      <c r="J40889" s="33"/>
    </row>
    <row r="40890" spans="10:10" x14ac:dyDescent="0.3">
      <c r="J40890" s="33"/>
    </row>
    <row r="40891" spans="10:10" x14ac:dyDescent="0.3">
      <c r="J40891" s="33"/>
    </row>
    <row r="40892" spans="10:10" x14ac:dyDescent="0.3">
      <c r="J40892" s="33"/>
    </row>
    <row r="40893" spans="10:10" x14ac:dyDescent="0.3">
      <c r="J40893" s="33"/>
    </row>
    <row r="40894" spans="10:10" x14ac:dyDescent="0.3">
      <c r="J40894" s="33"/>
    </row>
    <row r="40895" spans="10:10" x14ac:dyDescent="0.3">
      <c r="J40895" s="33"/>
    </row>
    <row r="40896" spans="10:10" x14ac:dyDescent="0.3">
      <c r="J40896" s="33"/>
    </row>
    <row r="40897" spans="10:10" x14ac:dyDescent="0.3">
      <c r="J40897" s="33"/>
    </row>
    <row r="40898" spans="10:10" x14ac:dyDescent="0.3">
      <c r="J40898" s="33"/>
    </row>
    <row r="40899" spans="10:10" x14ac:dyDescent="0.3">
      <c r="J40899" s="33"/>
    </row>
    <row r="40900" spans="10:10" x14ac:dyDescent="0.3">
      <c r="J40900" s="33"/>
    </row>
    <row r="40901" spans="10:10" x14ac:dyDescent="0.3">
      <c r="J40901" s="33"/>
    </row>
    <row r="40902" spans="10:10" x14ac:dyDescent="0.3">
      <c r="J40902" s="33"/>
    </row>
    <row r="40903" spans="10:10" x14ac:dyDescent="0.3">
      <c r="J40903" s="33"/>
    </row>
    <row r="40904" spans="10:10" x14ac:dyDescent="0.3">
      <c r="J40904" s="33"/>
    </row>
    <row r="40905" spans="10:10" x14ac:dyDescent="0.3">
      <c r="J40905" s="33"/>
    </row>
    <row r="40906" spans="10:10" x14ac:dyDescent="0.3">
      <c r="J40906" s="33"/>
    </row>
    <row r="40907" spans="10:10" x14ac:dyDescent="0.3">
      <c r="J40907" s="33"/>
    </row>
    <row r="40908" spans="10:10" x14ac:dyDescent="0.3">
      <c r="J40908" s="33"/>
    </row>
    <row r="40909" spans="10:10" x14ac:dyDescent="0.3">
      <c r="J40909" s="33"/>
    </row>
    <row r="40910" spans="10:10" x14ac:dyDescent="0.3">
      <c r="J40910" s="33"/>
    </row>
    <row r="40911" spans="10:10" x14ac:dyDescent="0.3">
      <c r="J40911" s="33"/>
    </row>
    <row r="40912" spans="10:10" x14ac:dyDescent="0.3">
      <c r="J40912" s="33"/>
    </row>
    <row r="40913" spans="10:10" x14ac:dyDescent="0.3">
      <c r="J40913" s="33"/>
    </row>
    <row r="40914" spans="10:10" x14ac:dyDescent="0.3">
      <c r="J40914" s="33"/>
    </row>
    <row r="40915" spans="10:10" x14ac:dyDescent="0.3">
      <c r="J40915" s="33"/>
    </row>
    <row r="40916" spans="10:10" x14ac:dyDescent="0.3">
      <c r="J40916" s="33"/>
    </row>
    <row r="40917" spans="10:10" x14ac:dyDescent="0.3">
      <c r="J40917" s="33"/>
    </row>
    <row r="40918" spans="10:10" x14ac:dyDescent="0.3">
      <c r="J40918" s="33"/>
    </row>
    <row r="40919" spans="10:10" x14ac:dyDescent="0.3">
      <c r="J40919" s="33"/>
    </row>
    <row r="40920" spans="10:10" x14ac:dyDescent="0.3">
      <c r="J40920" s="33"/>
    </row>
    <row r="40921" spans="10:10" x14ac:dyDescent="0.3">
      <c r="J40921" s="33"/>
    </row>
    <row r="40922" spans="10:10" x14ac:dyDescent="0.3">
      <c r="J40922" s="33"/>
    </row>
    <row r="40923" spans="10:10" x14ac:dyDescent="0.3">
      <c r="J40923" s="33"/>
    </row>
    <row r="40924" spans="10:10" x14ac:dyDescent="0.3">
      <c r="J40924" s="33"/>
    </row>
    <row r="40925" spans="10:10" x14ac:dyDescent="0.3">
      <c r="J40925" s="33"/>
    </row>
    <row r="40926" spans="10:10" x14ac:dyDescent="0.3">
      <c r="J40926" s="33"/>
    </row>
    <row r="40927" spans="10:10" x14ac:dyDescent="0.3">
      <c r="J40927" s="33"/>
    </row>
    <row r="40928" spans="10:10" x14ac:dyDescent="0.3">
      <c r="J40928" s="33"/>
    </row>
    <row r="40929" spans="10:10" x14ac:dyDescent="0.3">
      <c r="J40929" s="33"/>
    </row>
    <row r="40930" spans="10:10" x14ac:dyDescent="0.3">
      <c r="J40930" s="33"/>
    </row>
    <row r="40931" spans="10:10" x14ac:dyDescent="0.3">
      <c r="J40931" s="33"/>
    </row>
    <row r="40932" spans="10:10" x14ac:dyDescent="0.3">
      <c r="J40932" s="33"/>
    </row>
    <row r="40933" spans="10:10" x14ac:dyDescent="0.3">
      <c r="J40933" s="33"/>
    </row>
    <row r="40934" spans="10:10" x14ac:dyDescent="0.3">
      <c r="J40934" s="33"/>
    </row>
    <row r="40935" spans="10:10" x14ac:dyDescent="0.3">
      <c r="J40935" s="33"/>
    </row>
    <row r="40936" spans="10:10" x14ac:dyDescent="0.3">
      <c r="J40936" s="33"/>
    </row>
    <row r="40937" spans="10:10" x14ac:dyDescent="0.3">
      <c r="J40937" s="33"/>
    </row>
    <row r="40938" spans="10:10" x14ac:dyDescent="0.3">
      <c r="J40938" s="33"/>
    </row>
    <row r="40939" spans="10:10" x14ac:dyDescent="0.3">
      <c r="J40939" s="33"/>
    </row>
    <row r="40940" spans="10:10" x14ac:dyDescent="0.3">
      <c r="J40940" s="33"/>
    </row>
    <row r="40941" spans="10:10" x14ac:dyDescent="0.3">
      <c r="J40941" s="33"/>
    </row>
    <row r="40942" spans="10:10" x14ac:dyDescent="0.3">
      <c r="J40942" s="33"/>
    </row>
    <row r="40943" spans="10:10" x14ac:dyDescent="0.3">
      <c r="J40943" s="33"/>
    </row>
    <row r="40944" spans="10:10" x14ac:dyDescent="0.3">
      <c r="J40944" s="33"/>
    </row>
    <row r="40945" spans="10:10" x14ac:dyDescent="0.3">
      <c r="J40945" s="33"/>
    </row>
    <row r="40946" spans="10:10" x14ac:dyDescent="0.3">
      <c r="J40946" s="33"/>
    </row>
    <row r="40947" spans="10:10" x14ac:dyDescent="0.3">
      <c r="J40947" s="33"/>
    </row>
    <row r="40948" spans="10:10" x14ac:dyDescent="0.3">
      <c r="J40948" s="33"/>
    </row>
    <row r="40949" spans="10:10" x14ac:dyDescent="0.3">
      <c r="J40949" s="33"/>
    </row>
    <row r="40950" spans="10:10" x14ac:dyDescent="0.3">
      <c r="J40950" s="33"/>
    </row>
    <row r="40951" spans="10:10" x14ac:dyDescent="0.3">
      <c r="J40951" s="33"/>
    </row>
    <row r="40952" spans="10:10" x14ac:dyDescent="0.3">
      <c r="J40952" s="33"/>
    </row>
    <row r="40953" spans="10:10" x14ac:dyDescent="0.3">
      <c r="J40953" s="33"/>
    </row>
    <row r="40954" spans="10:10" x14ac:dyDescent="0.3">
      <c r="J40954" s="33"/>
    </row>
    <row r="40955" spans="10:10" x14ac:dyDescent="0.3">
      <c r="J40955" s="33"/>
    </row>
    <row r="40956" spans="10:10" x14ac:dyDescent="0.3">
      <c r="J40956" s="33"/>
    </row>
    <row r="40957" spans="10:10" x14ac:dyDescent="0.3">
      <c r="J40957" s="33"/>
    </row>
    <row r="40958" spans="10:10" x14ac:dyDescent="0.3">
      <c r="J40958" s="33"/>
    </row>
    <row r="40959" spans="10:10" x14ac:dyDescent="0.3">
      <c r="J40959" s="33"/>
    </row>
    <row r="40960" spans="10:10" x14ac:dyDescent="0.3">
      <c r="J40960" s="33"/>
    </row>
    <row r="40961" spans="10:10" x14ac:dyDescent="0.3">
      <c r="J40961" s="33"/>
    </row>
    <row r="40962" spans="10:10" x14ac:dyDescent="0.3">
      <c r="J40962" s="33"/>
    </row>
    <row r="40963" spans="10:10" x14ac:dyDescent="0.3">
      <c r="J40963" s="33"/>
    </row>
    <row r="40964" spans="10:10" x14ac:dyDescent="0.3">
      <c r="J40964" s="33"/>
    </row>
    <row r="40965" spans="10:10" x14ac:dyDescent="0.3">
      <c r="J40965" s="33"/>
    </row>
    <row r="40966" spans="10:10" x14ac:dyDescent="0.3">
      <c r="J40966" s="33"/>
    </row>
    <row r="40967" spans="10:10" x14ac:dyDescent="0.3">
      <c r="J40967" s="33"/>
    </row>
    <row r="40968" spans="10:10" x14ac:dyDescent="0.3">
      <c r="J40968" s="33"/>
    </row>
    <row r="40969" spans="10:10" x14ac:dyDescent="0.3">
      <c r="J40969" s="33"/>
    </row>
    <row r="40970" spans="10:10" x14ac:dyDescent="0.3">
      <c r="J40970" s="33"/>
    </row>
    <row r="40971" spans="10:10" x14ac:dyDescent="0.3">
      <c r="J40971" s="33"/>
    </row>
    <row r="40972" spans="10:10" x14ac:dyDescent="0.3">
      <c r="J40972" s="33"/>
    </row>
    <row r="40973" spans="10:10" x14ac:dyDescent="0.3">
      <c r="J40973" s="33"/>
    </row>
    <row r="40974" spans="10:10" x14ac:dyDescent="0.3">
      <c r="J40974" s="33"/>
    </row>
    <row r="40975" spans="10:10" x14ac:dyDescent="0.3">
      <c r="J40975" s="33"/>
    </row>
    <row r="40976" spans="10:10" x14ac:dyDescent="0.3">
      <c r="J40976" s="33"/>
    </row>
    <row r="40977" spans="10:10" x14ac:dyDescent="0.3">
      <c r="J40977" s="33"/>
    </row>
    <row r="40978" spans="10:10" x14ac:dyDescent="0.3">
      <c r="J40978" s="33"/>
    </row>
    <row r="40979" spans="10:10" x14ac:dyDescent="0.3">
      <c r="J40979" s="33"/>
    </row>
    <row r="40980" spans="10:10" x14ac:dyDescent="0.3">
      <c r="J40980" s="33"/>
    </row>
    <row r="40981" spans="10:10" x14ac:dyDescent="0.3">
      <c r="J40981" s="33"/>
    </row>
    <row r="40982" spans="10:10" x14ac:dyDescent="0.3">
      <c r="J40982" s="33"/>
    </row>
    <row r="40983" spans="10:10" x14ac:dyDescent="0.3">
      <c r="J40983" s="33"/>
    </row>
    <row r="40984" spans="10:10" x14ac:dyDescent="0.3">
      <c r="J40984" s="33"/>
    </row>
    <row r="40985" spans="10:10" x14ac:dyDescent="0.3">
      <c r="J40985" s="33"/>
    </row>
    <row r="40986" spans="10:10" x14ac:dyDescent="0.3">
      <c r="J40986" s="33"/>
    </row>
    <row r="40987" spans="10:10" x14ac:dyDescent="0.3">
      <c r="J40987" s="33"/>
    </row>
    <row r="40988" spans="10:10" x14ac:dyDescent="0.3">
      <c r="J40988" s="33"/>
    </row>
    <row r="40989" spans="10:10" x14ac:dyDescent="0.3">
      <c r="J40989" s="33"/>
    </row>
    <row r="40990" spans="10:10" x14ac:dyDescent="0.3">
      <c r="J40990" s="33"/>
    </row>
    <row r="40991" spans="10:10" x14ac:dyDescent="0.3">
      <c r="J40991" s="33"/>
    </row>
    <row r="40992" spans="10:10" x14ac:dyDescent="0.3">
      <c r="J40992" s="33"/>
    </row>
    <row r="40993" spans="10:10" x14ac:dyDescent="0.3">
      <c r="J40993" s="33"/>
    </row>
    <row r="40994" spans="10:10" x14ac:dyDescent="0.3">
      <c r="J40994" s="33"/>
    </row>
    <row r="40995" spans="10:10" x14ac:dyDescent="0.3">
      <c r="J40995" s="33"/>
    </row>
    <row r="40996" spans="10:10" x14ac:dyDescent="0.3">
      <c r="J40996" s="33"/>
    </row>
    <row r="40997" spans="10:10" x14ac:dyDescent="0.3">
      <c r="J40997" s="33"/>
    </row>
    <row r="40998" spans="10:10" x14ac:dyDescent="0.3">
      <c r="J40998" s="33"/>
    </row>
    <row r="40999" spans="10:10" x14ac:dyDescent="0.3">
      <c r="J40999" s="33"/>
    </row>
    <row r="41000" spans="10:10" x14ac:dyDescent="0.3">
      <c r="J41000" s="33"/>
    </row>
    <row r="41001" spans="10:10" x14ac:dyDescent="0.3">
      <c r="J41001" s="33"/>
    </row>
    <row r="41002" spans="10:10" x14ac:dyDescent="0.3">
      <c r="J41002" s="33"/>
    </row>
    <row r="41003" spans="10:10" x14ac:dyDescent="0.3">
      <c r="J41003" s="33"/>
    </row>
    <row r="41004" spans="10:10" x14ac:dyDescent="0.3">
      <c r="J41004" s="33"/>
    </row>
    <row r="41005" spans="10:10" x14ac:dyDescent="0.3">
      <c r="J41005" s="33"/>
    </row>
    <row r="41006" spans="10:10" x14ac:dyDescent="0.3">
      <c r="J41006" s="33"/>
    </row>
    <row r="41007" spans="10:10" x14ac:dyDescent="0.3">
      <c r="J41007" s="33"/>
    </row>
    <row r="41008" spans="10:10" x14ac:dyDescent="0.3">
      <c r="J41008" s="33"/>
    </row>
    <row r="41009" spans="10:10" x14ac:dyDescent="0.3">
      <c r="J41009" s="33"/>
    </row>
    <row r="41010" spans="10:10" x14ac:dyDescent="0.3">
      <c r="J41010" s="33"/>
    </row>
    <row r="41011" spans="10:10" x14ac:dyDescent="0.3">
      <c r="J41011" s="33"/>
    </row>
    <row r="41012" spans="10:10" x14ac:dyDescent="0.3">
      <c r="J41012" s="33"/>
    </row>
    <row r="41013" spans="10:10" x14ac:dyDescent="0.3">
      <c r="J41013" s="33"/>
    </row>
    <row r="41014" spans="10:10" x14ac:dyDescent="0.3">
      <c r="J41014" s="33"/>
    </row>
    <row r="41015" spans="10:10" x14ac:dyDescent="0.3">
      <c r="J41015" s="33"/>
    </row>
    <row r="41016" spans="10:10" x14ac:dyDescent="0.3">
      <c r="J41016" s="33"/>
    </row>
    <row r="41017" spans="10:10" x14ac:dyDescent="0.3">
      <c r="J41017" s="33"/>
    </row>
    <row r="41018" spans="10:10" x14ac:dyDescent="0.3">
      <c r="J41018" s="33"/>
    </row>
    <row r="41019" spans="10:10" x14ac:dyDescent="0.3">
      <c r="J41019" s="33"/>
    </row>
    <row r="41020" spans="10:10" x14ac:dyDescent="0.3">
      <c r="J41020" s="33"/>
    </row>
    <row r="41021" spans="10:10" x14ac:dyDescent="0.3">
      <c r="J41021" s="33"/>
    </row>
    <row r="41022" spans="10:10" x14ac:dyDescent="0.3">
      <c r="J41022" s="33"/>
    </row>
    <row r="41023" spans="10:10" x14ac:dyDescent="0.3">
      <c r="J41023" s="33"/>
    </row>
    <row r="41024" spans="10:10" x14ac:dyDescent="0.3">
      <c r="J41024" s="33"/>
    </row>
    <row r="41025" spans="10:10" x14ac:dyDescent="0.3">
      <c r="J41025" s="33"/>
    </row>
    <row r="41026" spans="10:10" x14ac:dyDescent="0.3">
      <c r="J41026" s="33"/>
    </row>
    <row r="41027" spans="10:10" x14ac:dyDescent="0.3">
      <c r="J41027" s="33"/>
    </row>
    <row r="41028" spans="10:10" x14ac:dyDescent="0.3">
      <c r="J41028" s="33"/>
    </row>
    <row r="41029" spans="10:10" x14ac:dyDescent="0.3">
      <c r="J41029" s="33"/>
    </row>
    <row r="41030" spans="10:10" x14ac:dyDescent="0.3">
      <c r="J41030" s="33"/>
    </row>
    <row r="41031" spans="10:10" x14ac:dyDescent="0.3">
      <c r="J41031" s="33"/>
    </row>
    <row r="41032" spans="10:10" x14ac:dyDescent="0.3">
      <c r="J41032" s="33"/>
    </row>
    <row r="41033" spans="10:10" x14ac:dyDescent="0.3">
      <c r="J41033" s="33"/>
    </row>
    <row r="41034" spans="10:10" x14ac:dyDescent="0.3">
      <c r="J41034" s="33"/>
    </row>
    <row r="41035" spans="10:10" x14ac:dyDescent="0.3">
      <c r="J41035" s="33"/>
    </row>
    <row r="41036" spans="10:10" x14ac:dyDescent="0.3">
      <c r="J41036" s="33"/>
    </row>
    <row r="41037" spans="10:10" x14ac:dyDescent="0.3">
      <c r="J41037" s="33"/>
    </row>
    <row r="41038" spans="10:10" x14ac:dyDescent="0.3">
      <c r="J41038" s="33"/>
    </row>
    <row r="41039" spans="10:10" x14ac:dyDescent="0.3">
      <c r="J41039" s="33"/>
    </row>
    <row r="41040" spans="10:10" x14ac:dyDescent="0.3">
      <c r="J41040" s="33"/>
    </row>
    <row r="41041" spans="10:10" x14ac:dyDescent="0.3">
      <c r="J41041" s="33"/>
    </row>
    <row r="41042" spans="10:10" x14ac:dyDescent="0.3">
      <c r="J41042" s="33"/>
    </row>
    <row r="41043" spans="10:10" x14ac:dyDescent="0.3">
      <c r="J41043" s="33"/>
    </row>
    <row r="41044" spans="10:10" x14ac:dyDescent="0.3">
      <c r="J41044" s="33"/>
    </row>
    <row r="41045" spans="10:10" x14ac:dyDescent="0.3">
      <c r="J41045" s="33"/>
    </row>
    <row r="41046" spans="10:10" x14ac:dyDescent="0.3">
      <c r="J41046" s="33"/>
    </row>
    <row r="41047" spans="10:10" x14ac:dyDescent="0.3">
      <c r="J41047" s="33"/>
    </row>
    <row r="41048" spans="10:10" x14ac:dyDescent="0.3">
      <c r="J41048" s="33"/>
    </row>
    <row r="41049" spans="10:10" x14ac:dyDescent="0.3">
      <c r="J41049" s="33"/>
    </row>
    <row r="41050" spans="10:10" x14ac:dyDescent="0.3">
      <c r="J41050" s="33"/>
    </row>
    <row r="41051" spans="10:10" x14ac:dyDescent="0.3">
      <c r="J41051" s="33"/>
    </row>
    <row r="41052" spans="10:10" x14ac:dyDescent="0.3">
      <c r="J41052" s="33"/>
    </row>
    <row r="41053" spans="10:10" x14ac:dyDescent="0.3">
      <c r="J41053" s="33"/>
    </row>
    <row r="41054" spans="10:10" x14ac:dyDescent="0.3">
      <c r="J41054" s="33"/>
    </row>
    <row r="41055" spans="10:10" x14ac:dyDescent="0.3">
      <c r="J41055" s="33"/>
    </row>
    <row r="41056" spans="10:10" x14ac:dyDescent="0.3">
      <c r="J41056" s="33"/>
    </row>
    <row r="41057" spans="10:10" x14ac:dyDescent="0.3">
      <c r="J41057" s="33"/>
    </row>
    <row r="41058" spans="10:10" x14ac:dyDescent="0.3">
      <c r="J41058" s="33"/>
    </row>
    <row r="41059" spans="10:10" x14ac:dyDescent="0.3">
      <c r="J41059" s="33"/>
    </row>
    <row r="41060" spans="10:10" x14ac:dyDescent="0.3">
      <c r="J41060" s="33"/>
    </row>
    <row r="41061" spans="10:10" x14ac:dyDescent="0.3">
      <c r="J41061" s="33"/>
    </row>
    <row r="41062" spans="10:10" x14ac:dyDescent="0.3">
      <c r="J41062" s="33"/>
    </row>
    <row r="41063" spans="10:10" x14ac:dyDescent="0.3">
      <c r="J41063" s="33"/>
    </row>
    <row r="41064" spans="10:10" x14ac:dyDescent="0.3">
      <c r="J41064" s="33"/>
    </row>
    <row r="41065" spans="10:10" x14ac:dyDescent="0.3">
      <c r="J41065" s="33"/>
    </row>
    <row r="41066" spans="10:10" x14ac:dyDescent="0.3">
      <c r="J41066" s="33"/>
    </row>
    <row r="41067" spans="10:10" x14ac:dyDescent="0.3">
      <c r="J41067" s="33"/>
    </row>
    <row r="41068" spans="10:10" x14ac:dyDescent="0.3">
      <c r="J41068" s="33"/>
    </row>
    <row r="41069" spans="10:10" x14ac:dyDescent="0.3">
      <c r="J41069" s="33"/>
    </row>
    <row r="41070" spans="10:10" x14ac:dyDescent="0.3">
      <c r="J41070" s="33"/>
    </row>
    <row r="41071" spans="10:10" x14ac:dyDescent="0.3">
      <c r="J41071" s="33"/>
    </row>
    <row r="41072" spans="10:10" x14ac:dyDescent="0.3">
      <c r="J41072" s="33"/>
    </row>
    <row r="41073" spans="10:10" x14ac:dyDescent="0.3">
      <c r="J41073" s="33"/>
    </row>
    <row r="41074" spans="10:10" x14ac:dyDescent="0.3">
      <c r="J41074" s="33"/>
    </row>
    <row r="41075" spans="10:10" x14ac:dyDescent="0.3">
      <c r="J41075" s="33"/>
    </row>
    <row r="41076" spans="10:10" x14ac:dyDescent="0.3">
      <c r="J41076" s="33"/>
    </row>
    <row r="41077" spans="10:10" x14ac:dyDescent="0.3">
      <c r="J41077" s="33"/>
    </row>
    <row r="41078" spans="10:10" x14ac:dyDescent="0.3">
      <c r="J41078" s="33"/>
    </row>
    <row r="41079" spans="10:10" x14ac:dyDescent="0.3">
      <c r="J41079" s="33"/>
    </row>
    <row r="41080" spans="10:10" x14ac:dyDescent="0.3">
      <c r="J41080" s="33"/>
    </row>
    <row r="41081" spans="10:10" x14ac:dyDescent="0.3">
      <c r="J41081" s="33"/>
    </row>
    <row r="41082" spans="10:10" x14ac:dyDescent="0.3">
      <c r="J41082" s="33"/>
    </row>
    <row r="41083" spans="10:10" x14ac:dyDescent="0.3">
      <c r="J41083" s="33"/>
    </row>
    <row r="41084" spans="10:10" x14ac:dyDescent="0.3">
      <c r="J41084" s="33"/>
    </row>
    <row r="41085" spans="10:10" x14ac:dyDescent="0.3">
      <c r="J41085" s="33"/>
    </row>
    <row r="41086" spans="10:10" x14ac:dyDescent="0.3">
      <c r="J41086" s="33"/>
    </row>
    <row r="41087" spans="10:10" x14ac:dyDescent="0.3">
      <c r="J41087" s="33"/>
    </row>
    <row r="41088" spans="10:10" x14ac:dyDescent="0.3">
      <c r="J41088" s="33"/>
    </row>
    <row r="41089" spans="10:10" x14ac:dyDescent="0.3">
      <c r="J41089" s="33"/>
    </row>
    <row r="41090" spans="10:10" x14ac:dyDescent="0.3">
      <c r="J41090" s="33"/>
    </row>
    <row r="41091" spans="10:10" x14ac:dyDescent="0.3">
      <c r="J41091" s="33"/>
    </row>
    <row r="41092" spans="10:10" x14ac:dyDescent="0.3">
      <c r="J41092" s="33"/>
    </row>
    <row r="41093" spans="10:10" x14ac:dyDescent="0.3">
      <c r="J41093" s="33"/>
    </row>
    <row r="41094" spans="10:10" x14ac:dyDescent="0.3">
      <c r="J41094" s="33"/>
    </row>
    <row r="41095" spans="10:10" x14ac:dyDescent="0.3">
      <c r="J41095" s="33"/>
    </row>
    <row r="41096" spans="10:10" x14ac:dyDescent="0.3">
      <c r="J41096" s="33"/>
    </row>
    <row r="41097" spans="10:10" x14ac:dyDescent="0.3">
      <c r="J41097" s="33"/>
    </row>
    <row r="41098" spans="10:10" x14ac:dyDescent="0.3">
      <c r="J41098" s="33"/>
    </row>
    <row r="41099" spans="10:10" x14ac:dyDescent="0.3">
      <c r="J41099" s="33"/>
    </row>
    <row r="41100" spans="10:10" x14ac:dyDescent="0.3">
      <c r="J41100" s="33"/>
    </row>
    <row r="41101" spans="10:10" x14ac:dyDescent="0.3">
      <c r="J41101" s="33"/>
    </row>
    <row r="41102" spans="10:10" x14ac:dyDescent="0.3">
      <c r="J41102" s="33"/>
    </row>
    <row r="41103" spans="10:10" x14ac:dyDescent="0.3">
      <c r="J41103" s="33"/>
    </row>
    <row r="41104" spans="10:10" x14ac:dyDescent="0.3">
      <c r="J41104" s="33"/>
    </row>
    <row r="41105" spans="10:10" x14ac:dyDescent="0.3">
      <c r="J41105" s="33"/>
    </row>
    <row r="41106" spans="10:10" x14ac:dyDescent="0.3">
      <c r="J41106" s="33"/>
    </row>
    <row r="41107" spans="10:10" x14ac:dyDescent="0.3">
      <c r="J41107" s="33"/>
    </row>
    <row r="41108" spans="10:10" x14ac:dyDescent="0.3">
      <c r="J41108" s="33"/>
    </row>
    <row r="41109" spans="10:10" x14ac:dyDescent="0.3">
      <c r="J41109" s="33"/>
    </row>
    <row r="41110" spans="10:10" x14ac:dyDescent="0.3">
      <c r="J41110" s="33"/>
    </row>
    <row r="41111" spans="10:10" x14ac:dyDescent="0.3">
      <c r="J41111" s="33"/>
    </row>
    <row r="41112" spans="10:10" x14ac:dyDescent="0.3">
      <c r="J41112" s="33"/>
    </row>
    <row r="41113" spans="10:10" x14ac:dyDescent="0.3">
      <c r="J41113" s="33"/>
    </row>
    <row r="41114" spans="10:10" x14ac:dyDescent="0.3">
      <c r="J41114" s="33"/>
    </row>
    <row r="41115" spans="10:10" x14ac:dyDescent="0.3">
      <c r="J41115" s="33"/>
    </row>
    <row r="41116" spans="10:10" x14ac:dyDescent="0.3">
      <c r="J41116" s="33"/>
    </row>
    <row r="41117" spans="10:10" x14ac:dyDescent="0.3">
      <c r="J41117" s="33"/>
    </row>
    <row r="41118" spans="10:10" x14ac:dyDescent="0.3">
      <c r="J41118" s="33"/>
    </row>
    <row r="41119" spans="10:10" x14ac:dyDescent="0.3">
      <c r="J41119" s="33"/>
    </row>
    <row r="41120" spans="10:10" x14ac:dyDescent="0.3">
      <c r="J41120" s="33"/>
    </row>
    <row r="41121" spans="10:10" x14ac:dyDescent="0.3">
      <c r="J41121" s="33"/>
    </row>
    <row r="41122" spans="10:10" x14ac:dyDescent="0.3">
      <c r="J41122" s="33"/>
    </row>
    <row r="41123" spans="10:10" x14ac:dyDescent="0.3">
      <c r="J41123" s="33"/>
    </row>
    <row r="41124" spans="10:10" x14ac:dyDescent="0.3">
      <c r="J41124" s="33"/>
    </row>
    <row r="41125" spans="10:10" x14ac:dyDescent="0.3">
      <c r="J41125" s="33"/>
    </row>
    <row r="41126" spans="10:10" x14ac:dyDescent="0.3">
      <c r="J41126" s="33"/>
    </row>
    <row r="41127" spans="10:10" x14ac:dyDescent="0.3">
      <c r="J41127" s="33"/>
    </row>
    <row r="41128" spans="10:10" x14ac:dyDescent="0.3">
      <c r="J41128" s="33"/>
    </row>
    <row r="41129" spans="10:10" x14ac:dyDescent="0.3">
      <c r="J41129" s="33"/>
    </row>
    <row r="41130" spans="10:10" x14ac:dyDescent="0.3">
      <c r="J41130" s="33"/>
    </row>
    <row r="41131" spans="10:10" x14ac:dyDescent="0.3">
      <c r="J41131" s="33"/>
    </row>
    <row r="41132" spans="10:10" x14ac:dyDescent="0.3">
      <c r="J41132" s="33"/>
    </row>
    <row r="41133" spans="10:10" x14ac:dyDescent="0.3">
      <c r="J41133" s="33"/>
    </row>
    <row r="41134" spans="10:10" x14ac:dyDescent="0.3">
      <c r="J41134" s="33"/>
    </row>
    <row r="41135" spans="10:10" x14ac:dyDescent="0.3">
      <c r="J41135" s="33"/>
    </row>
    <row r="41136" spans="10:10" x14ac:dyDescent="0.3">
      <c r="J41136" s="33"/>
    </row>
    <row r="41137" spans="10:10" x14ac:dyDescent="0.3">
      <c r="J41137" s="33"/>
    </row>
    <row r="41138" spans="10:10" x14ac:dyDescent="0.3">
      <c r="J41138" s="33"/>
    </row>
    <row r="41139" spans="10:10" x14ac:dyDescent="0.3">
      <c r="J41139" s="33"/>
    </row>
    <row r="41140" spans="10:10" x14ac:dyDescent="0.3">
      <c r="J41140" s="33"/>
    </row>
    <row r="41141" spans="10:10" x14ac:dyDescent="0.3">
      <c r="J41141" s="33"/>
    </row>
    <row r="41142" spans="10:10" x14ac:dyDescent="0.3">
      <c r="J41142" s="33"/>
    </row>
    <row r="41143" spans="10:10" x14ac:dyDescent="0.3">
      <c r="J41143" s="33"/>
    </row>
    <row r="41144" spans="10:10" x14ac:dyDescent="0.3">
      <c r="J41144" s="33"/>
    </row>
    <row r="41145" spans="10:10" x14ac:dyDescent="0.3">
      <c r="J41145" s="33"/>
    </row>
    <row r="41146" spans="10:10" x14ac:dyDescent="0.3">
      <c r="J41146" s="33"/>
    </row>
    <row r="41147" spans="10:10" x14ac:dyDescent="0.3">
      <c r="J41147" s="33"/>
    </row>
    <row r="41148" spans="10:10" x14ac:dyDescent="0.3">
      <c r="J41148" s="33"/>
    </row>
    <row r="41149" spans="10:10" x14ac:dyDescent="0.3">
      <c r="J41149" s="33"/>
    </row>
    <row r="41150" spans="10:10" x14ac:dyDescent="0.3">
      <c r="J41150" s="33"/>
    </row>
    <row r="41151" spans="10:10" x14ac:dyDescent="0.3">
      <c r="J41151" s="33"/>
    </row>
    <row r="41152" spans="10:10" x14ac:dyDescent="0.3">
      <c r="J41152" s="33"/>
    </row>
    <row r="41153" spans="10:10" x14ac:dyDescent="0.3">
      <c r="J41153" s="33"/>
    </row>
    <row r="41154" spans="10:10" x14ac:dyDescent="0.3">
      <c r="J41154" s="33"/>
    </row>
    <row r="41155" spans="10:10" x14ac:dyDescent="0.3">
      <c r="J41155" s="33"/>
    </row>
    <row r="41156" spans="10:10" x14ac:dyDescent="0.3">
      <c r="J41156" s="33"/>
    </row>
    <row r="41157" spans="10:10" x14ac:dyDescent="0.3">
      <c r="J41157" s="33"/>
    </row>
    <row r="41158" spans="10:10" x14ac:dyDescent="0.3">
      <c r="J41158" s="33"/>
    </row>
    <row r="41159" spans="10:10" x14ac:dyDescent="0.3">
      <c r="J41159" s="33"/>
    </row>
    <row r="41160" spans="10:10" x14ac:dyDescent="0.3">
      <c r="J41160" s="33"/>
    </row>
    <row r="41161" spans="10:10" x14ac:dyDescent="0.3">
      <c r="J41161" s="33"/>
    </row>
    <row r="41162" spans="10:10" x14ac:dyDescent="0.3">
      <c r="J41162" s="33"/>
    </row>
    <row r="41163" spans="10:10" x14ac:dyDescent="0.3">
      <c r="J41163" s="33"/>
    </row>
    <row r="41164" spans="10:10" x14ac:dyDescent="0.3">
      <c r="J41164" s="33"/>
    </row>
    <row r="41165" spans="10:10" x14ac:dyDescent="0.3">
      <c r="J41165" s="33"/>
    </row>
    <row r="41166" spans="10:10" x14ac:dyDescent="0.3">
      <c r="J41166" s="33"/>
    </row>
    <row r="41167" spans="10:10" x14ac:dyDescent="0.3">
      <c r="J41167" s="33"/>
    </row>
    <row r="41168" spans="10:10" x14ac:dyDescent="0.3">
      <c r="J41168" s="33"/>
    </row>
    <row r="41169" spans="10:10" x14ac:dyDescent="0.3">
      <c r="J41169" s="33"/>
    </row>
    <row r="41170" spans="10:10" x14ac:dyDescent="0.3">
      <c r="J41170" s="33"/>
    </row>
    <row r="41171" spans="10:10" x14ac:dyDescent="0.3">
      <c r="J41171" s="33"/>
    </row>
    <row r="41172" spans="10:10" x14ac:dyDescent="0.3">
      <c r="J41172" s="33"/>
    </row>
    <row r="41173" spans="10:10" x14ac:dyDescent="0.3">
      <c r="J41173" s="33"/>
    </row>
    <row r="41174" spans="10:10" x14ac:dyDescent="0.3">
      <c r="J41174" s="33"/>
    </row>
    <row r="41175" spans="10:10" x14ac:dyDescent="0.3">
      <c r="J41175" s="33"/>
    </row>
    <row r="41176" spans="10:10" x14ac:dyDescent="0.3">
      <c r="J41176" s="33"/>
    </row>
    <row r="41177" spans="10:10" x14ac:dyDescent="0.3">
      <c r="J41177" s="33"/>
    </row>
    <row r="41178" spans="10:10" x14ac:dyDescent="0.3">
      <c r="J41178" s="33"/>
    </row>
    <row r="41179" spans="10:10" x14ac:dyDescent="0.3">
      <c r="J41179" s="33"/>
    </row>
    <row r="41180" spans="10:10" x14ac:dyDescent="0.3">
      <c r="J41180" s="33"/>
    </row>
    <row r="41181" spans="10:10" x14ac:dyDescent="0.3">
      <c r="J41181" s="33"/>
    </row>
    <row r="41182" spans="10:10" x14ac:dyDescent="0.3">
      <c r="J41182" s="33"/>
    </row>
    <row r="41183" spans="10:10" x14ac:dyDescent="0.3">
      <c r="J41183" s="33"/>
    </row>
    <row r="41184" spans="10:10" x14ac:dyDescent="0.3">
      <c r="J41184" s="33"/>
    </row>
    <row r="41185" spans="10:10" x14ac:dyDescent="0.3">
      <c r="J41185" s="33"/>
    </row>
    <row r="41186" spans="10:10" x14ac:dyDescent="0.3">
      <c r="J41186" s="33"/>
    </row>
    <row r="41187" spans="10:10" x14ac:dyDescent="0.3">
      <c r="J41187" s="33"/>
    </row>
    <row r="41188" spans="10:10" x14ac:dyDescent="0.3">
      <c r="J41188" s="33"/>
    </row>
    <row r="41189" spans="10:10" x14ac:dyDescent="0.3">
      <c r="J41189" s="33"/>
    </row>
    <row r="41190" spans="10:10" x14ac:dyDescent="0.3">
      <c r="J41190" s="33"/>
    </row>
    <row r="41191" spans="10:10" x14ac:dyDescent="0.3">
      <c r="J41191" s="33"/>
    </row>
    <row r="41192" spans="10:10" x14ac:dyDescent="0.3">
      <c r="J41192" s="33"/>
    </row>
    <row r="41193" spans="10:10" x14ac:dyDescent="0.3">
      <c r="J41193" s="33"/>
    </row>
    <row r="41194" spans="10:10" x14ac:dyDescent="0.3">
      <c r="J41194" s="33"/>
    </row>
    <row r="41195" spans="10:10" x14ac:dyDescent="0.3">
      <c r="J41195" s="33"/>
    </row>
    <row r="41196" spans="10:10" x14ac:dyDescent="0.3">
      <c r="J41196" s="33"/>
    </row>
    <row r="41197" spans="10:10" x14ac:dyDescent="0.3">
      <c r="J41197" s="33"/>
    </row>
    <row r="41198" spans="10:10" x14ac:dyDescent="0.3">
      <c r="J41198" s="33"/>
    </row>
    <row r="41199" spans="10:10" x14ac:dyDescent="0.3">
      <c r="J41199" s="33"/>
    </row>
    <row r="41200" spans="10:10" x14ac:dyDescent="0.3">
      <c r="J41200" s="33"/>
    </row>
    <row r="41201" spans="10:10" x14ac:dyDescent="0.3">
      <c r="J41201" s="33"/>
    </row>
    <row r="41202" spans="10:10" x14ac:dyDescent="0.3">
      <c r="J41202" s="33"/>
    </row>
    <row r="41203" spans="10:10" x14ac:dyDescent="0.3">
      <c r="J41203" s="33"/>
    </row>
    <row r="41204" spans="10:10" x14ac:dyDescent="0.3">
      <c r="J41204" s="33"/>
    </row>
    <row r="41205" spans="10:10" x14ac:dyDescent="0.3">
      <c r="J41205" s="33"/>
    </row>
    <row r="41206" spans="10:10" x14ac:dyDescent="0.3">
      <c r="J41206" s="33"/>
    </row>
    <row r="41207" spans="10:10" x14ac:dyDescent="0.3">
      <c r="J41207" s="33"/>
    </row>
    <row r="41208" spans="10:10" x14ac:dyDescent="0.3">
      <c r="J41208" s="33"/>
    </row>
    <row r="41209" spans="10:10" x14ac:dyDescent="0.3">
      <c r="J41209" s="33"/>
    </row>
    <row r="41210" spans="10:10" x14ac:dyDescent="0.3">
      <c r="J41210" s="33"/>
    </row>
    <row r="41211" spans="10:10" x14ac:dyDescent="0.3">
      <c r="J41211" s="33"/>
    </row>
    <row r="41212" spans="10:10" x14ac:dyDescent="0.3">
      <c r="J41212" s="33"/>
    </row>
    <row r="41213" spans="10:10" x14ac:dyDescent="0.3">
      <c r="J41213" s="33"/>
    </row>
    <row r="41214" spans="10:10" x14ac:dyDescent="0.3">
      <c r="J41214" s="33"/>
    </row>
    <row r="41215" spans="10:10" x14ac:dyDescent="0.3">
      <c r="J41215" s="33"/>
    </row>
    <row r="41216" spans="10:10" x14ac:dyDescent="0.3">
      <c r="J41216" s="33"/>
    </row>
    <row r="41217" spans="10:10" x14ac:dyDescent="0.3">
      <c r="J41217" s="33"/>
    </row>
    <row r="41218" spans="10:10" x14ac:dyDescent="0.3">
      <c r="J41218" s="33"/>
    </row>
    <row r="41219" spans="10:10" x14ac:dyDescent="0.3">
      <c r="J41219" s="33"/>
    </row>
    <row r="41220" spans="10:10" x14ac:dyDescent="0.3">
      <c r="J41220" s="33"/>
    </row>
    <row r="41221" spans="10:10" x14ac:dyDescent="0.3">
      <c r="J41221" s="33"/>
    </row>
    <row r="41222" spans="10:10" x14ac:dyDescent="0.3">
      <c r="J41222" s="33"/>
    </row>
    <row r="41223" spans="10:10" x14ac:dyDescent="0.3">
      <c r="J41223" s="33"/>
    </row>
    <row r="41224" spans="10:10" x14ac:dyDescent="0.3">
      <c r="J41224" s="33"/>
    </row>
    <row r="41225" spans="10:10" x14ac:dyDescent="0.3">
      <c r="J41225" s="33"/>
    </row>
    <row r="41226" spans="10:10" x14ac:dyDescent="0.3">
      <c r="J41226" s="33"/>
    </row>
    <row r="41227" spans="10:10" x14ac:dyDescent="0.3">
      <c r="J41227" s="33"/>
    </row>
    <row r="41228" spans="10:10" x14ac:dyDescent="0.3">
      <c r="J41228" s="33"/>
    </row>
    <row r="41229" spans="10:10" x14ac:dyDescent="0.3">
      <c r="J41229" s="33"/>
    </row>
    <row r="41230" spans="10:10" x14ac:dyDescent="0.3">
      <c r="J41230" s="33"/>
    </row>
    <row r="41231" spans="10:10" x14ac:dyDescent="0.3">
      <c r="J41231" s="33"/>
    </row>
    <row r="41232" spans="10:10" x14ac:dyDescent="0.3">
      <c r="J41232" s="33"/>
    </row>
    <row r="41233" spans="10:10" x14ac:dyDescent="0.3">
      <c r="J41233" s="33"/>
    </row>
    <row r="41234" spans="10:10" x14ac:dyDescent="0.3">
      <c r="J41234" s="33"/>
    </row>
    <row r="41235" spans="10:10" x14ac:dyDescent="0.3">
      <c r="J41235" s="33"/>
    </row>
    <row r="41236" spans="10:10" x14ac:dyDescent="0.3">
      <c r="J41236" s="33"/>
    </row>
    <row r="41237" spans="10:10" x14ac:dyDescent="0.3">
      <c r="J41237" s="33"/>
    </row>
    <row r="41238" spans="10:10" x14ac:dyDescent="0.3">
      <c r="J41238" s="33"/>
    </row>
    <row r="41239" spans="10:10" x14ac:dyDescent="0.3">
      <c r="J41239" s="33"/>
    </row>
    <row r="41240" spans="10:10" x14ac:dyDescent="0.3">
      <c r="J41240" s="33"/>
    </row>
    <row r="41241" spans="10:10" x14ac:dyDescent="0.3">
      <c r="J41241" s="33"/>
    </row>
    <row r="41242" spans="10:10" x14ac:dyDescent="0.3">
      <c r="J41242" s="33"/>
    </row>
    <row r="41243" spans="10:10" x14ac:dyDescent="0.3">
      <c r="J41243" s="33"/>
    </row>
    <row r="41244" spans="10:10" x14ac:dyDescent="0.3">
      <c r="J41244" s="33"/>
    </row>
    <row r="41245" spans="10:10" x14ac:dyDescent="0.3">
      <c r="J41245" s="33"/>
    </row>
    <row r="41246" spans="10:10" x14ac:dyDescent="0.3">
      <c r="J41246" s="33"/>
    </row>
    <row r="41247" spans="10:10" x14ac:dyDescent="0.3">
      <c r="J41247" s="33"/>
    </row>
    <row r="41248" spans="10:10" x14ac:dyDescent="0.3">
      <c r="J41248" s="33"/>
    </row>
    <row r="41249" spans="10:10" x14ac:dyDescent="0.3">
      <c r="J41249" s="33"/>
    </row>
    <row r="41250" spans="10:10" x14ac:dyDescent="0.3">
      <c r="J41250" s="33"/>
    </row>
    <row r="41251" spans="10:10" x14ac:dyDescent="0.3">
      <c r="J41251" s="33"/>
    </row>
    <row r="41252" spans="10:10" x14ac:dyDescent="0.3">
      <c r="J41252" s="33"/>
    </row>
    <row r="41253" spans="10:10" x14ac:dyDescent="0.3">
      <c r="J41253" s="33"/>
    </row>
    <row r="41254" spans="10:10" x14ac:dyDescent="0.3">
      <c r="J41254" s="33"/>
    </row>
    <row r="41255" spans="10:10" x14ac:dyDescent="0.3">
      <c r="J41255" s="33"/>
    </row>
    <row r="41256" spans="10:10" x14ac:dyDescent="0.3">
      <c r="J41256" s="33"/>
    </row>
    <row r="41257" spans="10:10" x14ac:dyDescent="0.3">
      <c r="J41257" s="33"/>
    </row>
    <row r="41258" spans="10:10" x14ac:dyDescent="0.3">
      <c r="J41258" s="33"/>
    </row>
    <row r="41259" spans="10:10" x14ac:dyDescent="0.3">
      <c r="J41259" s="33"/>
    </row>
    <row r="41260" spans="10:10" x14ac:dyDescent="0.3">
      <c r="J41260" s="33"/>
    </row>
    <row r="41261" spans="10:10" x14ac:dyDescent="0.3">
      <c r="J41261" s="33"/>
    </row>
    <row r="41262" spans="10:10" x14ac:dyDescent="0.3">
      <c r="J41262" s="33"/>
    </row>
    <row r="41263" spans="10:10" x14ac:dyDescent="0.3">
      <c r="J41263" s="33"/>
    </row>
    <row r="41264" spans="10:10" x14ac:dyDescent="0.3">
      <c r="J41264" s="33"/>
    </row>
    <row r="41265" spans="10:10" x14ac:dyDescent="0.3">
      <c r="J41265" s="33"/>
    </row>
    <row r="41266" spans="10:10" x14ac:dyDescent="0.3">
      <c r="J41266" s="33"/>
    </row>
    <row r="41267" spans="10:10" x14ac:dyDescent="0.3">
      <c r="J41267" s="33"/>
    </row>
    <row r="41268" spans="10:10" x14ac:dyDescent="0.3">
      <c r="J41268" s="33"/>
    </row>
    <row r="41269" spans="10:10" x14ac:dyDescent="0.3">
      <c r="J41269" s="33"/>
    </row>
    <row r="41270" spans="10:10" x14ac:dyDescent="0.3">
      <c r="J41270" s="33"/>
    </row>
    <row r="41271" spans="10:10" x14ac:dyDescent="0.3">
      <c r="J41271" s="33"/>
    </row>
    <row r="41272" spans="10:10" x14ac:dyDescent="0.3">
      <c r="J41272" s="33"/>
    </row>
    <row r="41273" spans="10:10" x14ac:dyDescent="0.3">
      <c r="J41273" s="33"/>
    </row>
    <row r="41274" spans="10:10" x14ac:dyDescent="0.3">
      <c r="J41274" s="33"/>
    </row>
    <row r="41275" spans="10:10" x14ac:dyDescent="0.3">
      <c r="J41275" s="33"/>
    </row>
    <row r="41276" spans="10:10" x14ac:dyDescent="0.3">
      <c r="J41276" s="33"/>
    </row>
    <row r="41277" spans="10:10" x14ac:dyDescent="0.3">
      <c r="J41277" s="33"/>
    </row>
    <row r="41278" spans="10:10" x14ac:dyDescent="0.3">
      <c r="J41278" s="33"/>
    </row>
    <row r="41279" spans="10:10" x14ac:dyDescent="0.3">
      <c r="J41279" s="33"/>
    </row>
    <row r="41280" spans="10:10" x14ac:dyDescent="0.3">
      <c r="J41280" s="33"/>
    </row>
    <row r="41281" spans="10:10" x14ac:dyDescent="0.3">
      <c r="J41281" s="33"/>
    </row>
    <row r="41282" spans="10:10" x14ac:dyDescent="0.3">
      <c r="J41282" s="33"/>
    </row>
    <row r="41283" spans="10:10" x14ac:dyDescent="0.3">
      <c r="J41283" s="33"/>
    </row>
    <row r="41284" spans="10:10" x14ac:dyDescent="0.3">
      <c r="J41284" s="33"/>
    </row>
    <row r="41285" spans="10:10" x14ac:dyDescent="0.3">
      <c r="J41285" s="33"/>
    </row>
    <row r="41286" spans="10:10" x14ac:dyDescent="0.3">
      <c r="J41286" s="33"/>
    </row>
    <row r="41287" spans="10:10" x14ac:dyDescent="0.3">
      <c r="J41287" s="33"/>
    </row>
    <row r="41288" spans="10:10" x14ac:dyDescent="0.3">
      <c r="J41288" s="33"/>
    </row>
    <row r="41289" spans="10:10" x14ac:dyDescent="0.3">
      <c r="J41289" s="33"/>
    </row>
    <row r="41290" spans="10:10" x14ac:dyDescent="0.3">
      <c r="J41290" s="33"/>
    </row>
    <row r="41291" spans="10:10" x14ac:dyDescent="0.3">
      <c r="J41291" s="33"/>
    </row>
    <row r="41292" spans="10:10" x14ac:dyDescent="0.3">
      <c r="J41292" s="33"/>
    </row>
    <row r="41293" spans="10:10" x14ac:dyDescent="0.3">
      <c r="J41293" s="33"/>
    </row>
    <row r="41294" spans="10:10" x14ac:dyDescent="0.3">
      <c r="J41294" s="33"/>
    </row>
    <row r="41295" spans="10:10" x14ac:dyDescent="0.3">
      <c r="J41295" s="33"/>
    </row>
    <row r="41296" spans="10:10" x14ac:dyDescent="0.3">
      <c r="J41296" s="33"/>
    </row>
    <row r="41297" spans="10:10" x14ac:dyDescent="0.3">
      <c r="J41297" s="33"/>
    </row>
    <row r="41298" spans="10:10" x14ac:dyDescent="0.3">
      <c r="J41298" s="33"/>
    </row>
    <row r="41299" spans="10:10" x14ac:dyDescent="0.3">
      <c r="J41299" s="33"/>
    </row>
    <row r="41300" spans="10:10" x14ac:dyDescent="0.3">
      <c r="J41300" s="33"/>
    </row>
    <row r="41301" spans="10:10" x14ac:dyDescent="0.3">
      <c r="J41301" s="33"/>
    </row>
    <row r="41302" spans="10:10" x14ac:dyDescent="0.3">
      <c r="J41302" s="33"/>
    </row>
    <row r="41303" spans="10:10" x14ac:dyDescent="0.3">
      <c r="J41303" s="33"/>
    </row>
    <row r="41304" spans="10:10" x14ac:dyDescent="0.3">
      <c r="J41304" s="33"/>
    </row>
    <row r="41305" spans="10:10" x14ac:dyDescent="0.3">
      <c r="J41305" s="33"/>
    </row>
    <row r="41306" spans="10:10" x14ac:dyDescent="0.3">
      <c r="J41306" s="33"/>
    </row>
    <row r="41307" spans="10:10" x14ac:dyDescent="0.3">
      <c r="J41307" s="33"/>
    </row>
    <row r="41308" spans="10:10" x14ac:dyDescent="0.3">
      <c r="J41308" s="33"/>
    </row>
    <row r="41309" spans="10:10" x14ac:dyDescent="0.3">
      <c r="J41309" s="33"/>
    </row>
    <row r="41310" spans="10:10" x14ac:dyDescent="0.3">
      <c r="J41310" s="33"/>
    </row>
    <row r="41311" spans="10:10" x14ac:dyDescent="0.3">
      <c r="J41311" s="33"/>
    </row>
    <row r="41312" spans="10:10" x14ac:dyDescent="0.3">
      <c r="J41312" s="33"/>
    </row>
    <row r="41313" spans="10:10" x14ac:dyDescent="0.3">
      <c r="J41313" s="33"/>
    </row>
    <row r="41314" spans="10:10" x14ac:dyDescent="0.3">
      <c r="J41314" s="33"/>
    </row>
    <row r="41315" spans="10:10" x14ac:dyDescent="0.3">
      <c r="J41315" s="33"/>
    </row>
    <row r="41316" spans="10:10" x14ac:dyDescent="0.3">
      <c r="J41316" s="33"/>
    </row>
    <row r="41317" spans="10:10" x14ac:dyDescent="0.3">
      <c r="J41317" s="33"/>
    </row>
    <row r="41318" spans="10:10" x14ac:dyDescent="0.3">
      <c r="J41318" s="33"/>
    </row>
    <row r="41319" spans="10:10" x14ac:dyDescent="0.3">
      <c r="J41319" s="33"/>
    </row>
    <row r="41320" spans="10:10" x14ac:dyDescent="0.3">
      <c r="J41320" s="33"/>
    </row>
    <row r="41321" spans="10:10" x14ac:dyDescent="0.3">
      <c r="J41321" s="33"/>
    </row>
    <row r="41322" spans="10:10" x14ac:dyDescent="0.3">
      <c r="J41322" s="33"/>
    </row>
    <row r="41323" spans="10:10" x14ac:dyDescent="0.3">
      <c r="J41323" s="33"/>
    </row>
    <row r="41324" spans="10:10" x14ac:dyDescent="0.3">
      <c r="J41324" s="33"/>
    </row>
    <row r="41325" spans="10:10" x14ac:dyDescent="0.3">
      <c r="J41325" s="33"/>
    </row>
    <row r="41326" spans="10:10" x14ac:dyDescent="0.3">
      <c r="J41326" s="33"/>
    </row>
    <row r="41327" spans="10:10" x14ac:dyDescent="0.3">
      <c r="J41327" s="33"/>
    </row>
    <row r="41328" spans="10:10" x14ac:dyDescent="0.3">
      <c r="J41328" s="33"/>
    </row>
    <row r="41329" spans="10:10" x14ac:dyDescent="0.3">
      <c r="J41329" s="33"/>
    </row>
    <row r="41330" spans="10:10" x14ac:dyDescent="0.3">
      <c r="J41330" s="33"/>
    </row>
    <row r="41331" spans="10:10" x14ac:dyDescent="0.3">
      <c r="J41331" s="33"/>
    </row>
    <row r="41332" spans="10:10" x14ac:dyDescent="0.3">
      <c r="J41332" s="33"/>
    </row>
    <row r="41333" spans="10:10" x14ac:dyDescent="0.3">
      <c r="J41333" s="33"/>
    </row>
    <row r="41334" spans="10:10" x14ac:dyDescent="0.3">
      <c r="J41334" s="33"/>
    </row>
    <row r="41335" spans="10:10" x14ac:dyDescent="0.3">
      <c r="J41335" s="33"/>
    </row>
    <row r="41336" spans="10:10" x14ac:dyDescent="0.3">
      <c r="J41336" s="33"/>
    </row>
    <row r="41337" spans="10:10" x14ac:dyDescent="0.3">
      <c r="J41337" s="33"/>
    </row>
    <row r="41338" spans="10:10" x14ac:dyDescent="0.3">
      <c r="J41338" s="33"/>
    </row>
    <row r="41339" spans="10:10" x14ac:dyDescent="0.3">
      <c r="J41339" s="33"/>
    </row>
    <row r="41340" spans="10:10" x14ac:dyDescent="0.3">
      <c r="J41340" s="33"/>
    </row>
    <row r="41341" spans="10:10" x14ac:dyDescent="0.3">
      <c r="J41341" s="33"/>
    </row>
    <row r="41342" spans="10:10" x14ac:dyDescent="0.3">
      <c r="J41342" s="33"/>
    </row>
    <row r="41343" spans="10:10" x14ac:dyDescent="0.3">
      <c r="J41343" s="33"/>
    </row>
    <row r="41344" spans="10:10" x14ac:dyDescent="0.3">
      <c r="J41344" s="33"/>
    </row>
    <row r="41345" spans="10:10" x14ac:dyDescent="0.3">
      <c r="J41345" s="33"/>
    </row>
    <row r="41346" spans="10:10" x14ac:dyDescent="0.3">
      <c r="J41346" s="33"/>
    </row>
    <row r="41347" spans="10:10" x14ac:dyDescent="0.3">
      <c r="J41347" s="33"/>
    </row>
    <row r="41348" spans="10:10" x14ac:dyDescent="0.3">
      <c r="J41348" s="33"/>
    </row>
    <row r="41349" spans="10:10" x14ac:dyDescent="0.3">
      <c r="J41349" s="33"/>
    </row>
    <row r="41350" spans="10:10" x14ac:dyDescent="0.3">
      <c r="J41350" s="33"/>
    </row>
    <row r="41351" spans="10:10" x14ac:dyDescent="0.3">
      <c r="J41351" s="33"/>
    </row>
    <row r="41352" spans="10:10" x14ac:dyDescent="0.3">
      <c r="J41352" s="33"/>
    </row>
    <row r="41353" spans="10:10" x14ac:dyDescent="0.3">
      <c r="J41353" s="33"/>
    </row>
    <row r="41354" spans="10:10" x14ac:dyDescent="0.3">
      <c r="J41354" s="33"/>
    </row>
    <row r="41355" spans="10:10" x14ac:dyDescent="0.3">
      <c r="J41355" s="33"/>
    </row>
    <row r="41356" spans="10:10" x14ac:dyDescent="0.3">
      <c r="J41356" s="33"/>
    </row>
    <row r="41357" spans="10:10" x14ac:dyDescent="0.3">
      <c r="J41357" s="33"/>
    </row>
    <row r="41358" spans="10:10" x14ac:dyDescent="0.3">
      <c r="J41358" s="33"/>
    </row>
    <row r="41359" spans="10:10" x14ac:dyDescent="0.3">
      <c r="J41359" s="33"/>
    </row>
    <row r="41360" spans="10:10" x14ac:dyDescent="0.3">
      <c r="J41360" s="33"/>
    </row>
    <row r="41361" spans="10:10" x14ac:dyDescent="0.3">
      <c r="J41361" s="33"/>
    </row>
    <row r="41362" spans="10:10" x14ac:dyDescent="0.3">
      <c r="J41362" s="33"/>
    </row>
    <row r="41363" spans="10:10" x14ac:dyDescent="0.3">
      <c r="J41363" s="33"/>
    </row>
    <row r="41364" spans="10:10" x14ac:dyDescent="0.3">
      <c r="J41364" s="33"/>
    </row>
    <row r="41365" spans="10:10" x14ac:dyDescent="0.3">
      <c r="J41365" s="33"/>
    </row>
    <row r="41366" spans="10:10" x14ac:dyDescent="0.3">
      <c r="J41366" s="33"/>
    </row>
    <row r="41367" spans="10:10" x14ac:dyDescent="0.3">
      <c r="J41367" s="33"/>
    </row>
    <row r="41368" spans="10:10" x14ac:dyDescent="0.3">
      <c r="J41368" s="33"/>
    </row>
    <row r="41369" spans="10:10" x14ac:dyDescent="0.3">
      <c r="J41369" s="33"/>
    </row>
    <row r="41370" spans="10:10" x14ac:dyDescent="0.3">
      <c r="J41370" s="33"/>
    </row>
    <row r="41371" spans="10:10" x14ac:dyDescent="0.3">
      <c r="J41371" s="33"/>
    </row>
    <row r="41372" spans="10:10" x14ac:dyDescent="0.3">
      <c r="J41372" s="33"/>
    </row>
    <row r="41373" spans="10:10" x14ac:dyDescent="0.3">
      <c r="J41373" s="33"/>
    </row>
    <row r="41374" spans="10:10" x14ac:dyDescent="0.3">
      <c r="J41374" s="33"/>
    </row>
    <row r="41375" spans="10:10" x14ac:dyDescent="0.3">
      <c r="J41375" s="33"/>
    </row>
    <row r="41376" spans="10:10" x14ac:dyDescent="0.3">
      <c r="J41376" s="33"/>
    </row>
    <row r="41377" spans="10:10" x14ac:dyDescent="0.3">
      <c r="J41377" s="33"/>
    </row>
    <row r="41378" spans="10:10" x14ac:dyDescent="0.3">
      <c r="J41378" s="33"/>
    </row>
    <row r="41379" spans="10:10" x14ac:dyDescent="0.3">
      <c r="J41379" s="33"/>
    </row>
    <row r="41380" spans="10:10" x14ac:dyDescent="0.3">
      <c r="J41380" s="33"/>
    </row>
    <row r="41381" spans="10:10" x14ac:dyDescent="0.3">
      <c r="J41381" s="33"/>
    </row>
    <row r="41382" spans="10:10" x14ac:dyDescent="0.3">
      <c r="J41382" s="33"/>
    </row>
    <row r="41383" spans="10:10" x14ac:dyDescent="0.3">
      <c r="J41383" s="33"/>
    </row>
    <row r="41384" spans="10:10" x14ac:dyDescent="0.3">
      <c r="J41384" s="33"/>
    </row>
    <row r="41385" spans="10:10" x14ac:dyDescent="0.3">
      <c r="J41385" s="33"/>
    </row>
    <row r="41386" spans="10:10" x14ac:dyDescent="0.3">
      <c r="J41386" s="33"/>
    </row>
    <row r="41387" spans="10:10" x14ac:dyDescent="0.3">
      <c r="J41387" s="33"/>
    </row>
    <row r="41388" spans="10:10" x14ac:dyDescent="0.3">
      <c r="J41388" s="33"/>
    </row>
    <row r="41389" spans="10:10" x14ac:dyDescent="0.3">
      <c r="J41389" s="33"/>
    </row>
    <row r="41390" spans="10:10" x14ac:dyDescent="0.3">
      <c r="J41390" s="33"/>
    </row>
    <row r="41391" spans="10:10" x14ac:dyDescent="0.3">
      <c r="J41391" s="33"/>
    </row>
    <row r="41392" spans="10:10" x14ac:dyDescent="0.3">
      <c r="J41392" s="33"/>
    </row>
    <row r="41393" spans="10:10" x14ac:dyDescent="0.3">
      <c r="J41393" s="33"/>
    </row>
    <row r="41394" spans="10:10" x14ac:dyDescent="0.3">
      <c r="J41394" s="33"/>
    </row>
    <row r="41395" spans="10:10" x14ac:dyDescent="0.3">
      <c r="J41395" s="33"/>
    </row>
    <row r="41396" spans="10:10" x14ac:dyDescent="0.3">
      <c r="J41396" s="33"/>
    </row>
    <row r="41397" spans="10:10" x14ac:dyDescent="0.3">
      <c r="J41397" s="33"/>
    </row>
    <row r="41398" spans="10:10" x14ac:dyDescent="0.3">
      <c r="J41398" s="33"/>
    </row>
    <row r="41399" spans="10:10" x14ac:dyDescent="0.3">
      <c r="J41399" s="33"/>
    </row>
    <row r="41400" spans="10:10" x14ac:dyDescent="0.3">
      <c r="J41400" s="33"/>
    </row>
    <row r="41401" spans="10:10" x14ac:dyDescent="0.3">
      <c r="J41401" s="33"/>
    </row>
    <row r="41402" spans="10:10" x14ac:dyDescent="0.3">
      <c r="J41402" s="33"/>
    </row>
    <row r="41403" spans="10:10" x14ac:dyDescent="0.3">
      <c r="J41403" s="33"/>
    </row>
    <row r="41404" spans="10:10" x14ac:dyDescent="0.3">
      <c r="J41404" s="33"/>
    </row>
    <row r="41405" spans="10:10" x14ac:dyDescent="0.3">
      <c r="J41405" s="33"/>
    </row>
    <row r="41406" spans="10:10" x14ac:dyDescent="0.3">
      <c r="J41406" s="33"/>
    </row>
    <row r="41407" spans="10:10" x14ac:dyDescent="0.3">
      <c r="J41407" s="33"/>
    </row>
    <row r="41408" spans="10:10" x14ac:dyDescent="0.3">
      <c r="J41408" s="33"/>
    </row>
    <row r="41409" spans="10:10" x14ac:dyDescent="0.3">
      <c r="J41409" s="33"/>
    </row>
    <row r="41410" spans="10:10" x14ac:dyDescent="0.3">
      <c r="J41410" s="33"/>
    </row>
    <row r="41411" spans="10:10" x14ac:dyDescent="0.3">
      <c r="J41411" s="33"/>
    </row>
    <row r="41412" spans="10:10" x14ac:dyDescent="0.3">
      <c r="J41412" s="33"/>
    </row>
    <row r="41413" spans="10:10" x14ac:dyDescent="0.3">
      <c r="J41413" s="33"/>
    </row>
    <row r="41414" spans="10:10" x14ac:dyDescent="0.3">
      <c r="J41414" s="33"/>
    </row>
    <row r="41415" spans="10:10" x14ac:dyDescent="0.3">
      <c r="J41415" s="33"/>
    </row>
    <row r="41416" spans="10:10" x14ac:dyDescent="0.3">
      <c r="J41416" s="33"/>
    </row>
    <row r="41417" spans="10:10" x14ac:dyDescent="0.3">
      <c r="J41417" s="33"/>
    </row>
    <row r="41418" spans="10:10" x14ac:dyDescent="0.3">
      <c r="J41418" s="33"/>
    </row>
    <row r="41419" spans="10:10" x14ac:dyDescent="0.3">
      <c r="J41419" s="33"/>
    </row>
    <row r="41420" spans="10:10" x14ac:dyDescent="0.3">
      <c r="J41420" s="33"/>
    </row>
    <row r="41421" spans="10:10" x14ac:dyDescent="0.3">
      <c r="J41421" s="33"/>
    </row>
    <row r="41422" spans="10:10" x14ac:dyDescent="0.3">
      <c r="J41422" s="33"/>
    </row>
    <row r="41423" spans="10:10" x14ac:dyDescent="0.3">
      <c r="J41423" s="33"/>
    </row>
    <row r="41424" spans="10:10" x14ac:dyDescent="0.3">
      <c r="J41424" s="33"/>
    </row>
    <row r="41425" spans="10:10" x14ac:dyDescent="0.3">
      <c r="J41425" s="33"/>
    </row>
    <row r="41426" spans="10:10" x14ac:dyDescent="0.3">
      <c r="J41426" s="33"/>
    </row>
    <row r="41427" spans="10:10" x14ac:dyDescent="0.3">
      <c r="J41427" s="33"/>
    </row>
    <row r="41428" spans="10:10" x14ac:dyDescent="0.3">
      <c r="J41428" s="33"/>
    </row>
    <row r="41429" spans="10:10" x14ac:dyDescent="0.3">
      <c r="J41429" s="33"/>
    </row>
    <row r="41430" spans="10:10" x14ac:dyDescent="0.3">
      <c r="J41430" s="33"/>
    </row>
    <row r="41431" spans="10:10" x14ac:dyDescent="0.3">
      <c r="J41431" s="33"/>
    </row>
    <row r="41432" spans="10:10" x14ac:dyDescent="0.3">
      <c r="J41432" s="33"/>
    </row>
    <row r="41433" spans="10:10" x14ac:dyDescent="0.3">
      <c r="J41433" s="33"/>
    </row>
    <row r="41434" spans="10:10" x14ac:dyDescent="0.3">
      <c r="J41434" s="33"/>
    </row>
    <row r="41435" spans="10:10" x14ac:dyDescent="0.3">
      <c r="J41435" s="33"/>
    </row>
    <row r="41436" spans="10:10" x14ac:dyDescent="0.3">
      <c r="J41436" s="33"/>
    </row>
    <row r="41437" spans="10:10" x14ac:dyDescent="0.3">
      <c r="J41437" s="33"/>
    </row>
    <row r="41438" spans="10:10" x14ac:dyDescent="0.3">
      <c r="J41438" s="33"/>
    </row>
    <row r="41439" spans="10:10" x14ac:dyDescent="0.3">
      <c r="J41439" s="33"/>
    </row>
    <row r="41440" spans="10:10" x14ac:dyDescent="0.3">
      <c r="J41440" s="33"/>
    </row>
    <row r="41441" spans="10:10" x14ac:dyDescent="0.3">
      <c r="J41441" s="33"/>
    </row>
    <row r="41442" spans="10:10" x14ac:dyDescent="0.3">
      <c r="J41442" s="33"/>
    </row>
    <row r="41443" spans="10:10" x14ac:dyDescent="0.3">
      <c r="J41443" s="33"/>
    </row>
    <row r="41444" spans="10:10" x14ac:dyDescent="0.3">
      <c r="J41444" s="33"/>
    </row>
    <row r="41445" spans="10:10" x14ac:dyDescent="0.3">
      <c r="J41445" s="33"/>
    </row>
    <row r="41446" spans="10:10" x14ac:dyDescent="0.3">
      <c r="J41446" s="33"/>
    </row>
    <row r="41447" spans="10:10" x14ac:dyDescent="0.3">
      <c r="J41447" s="33"/>
    </row>
    <row r="41448" spans="10:10" x14ac:dyDescent="0.3">
      <c r="J41448" s="33"/>
    </row>
    <row r="41449" spans="10:10" x14ac:dyDescent="0.3">
      <c r="J41449" s="33"/>
    </row>
    <row r="41450" spans="10:10" x14ac:dyDescent="0.3">
      <c r="J41450" s="33"/>
    </row>
    <row r="41451" spans="10:10" x14ac:dyDescent="0.3">
      <c r="J41451" s="33"/>
    </row>
    <row r="41452" spans="10:10" x14ac:dyDescent="0.3">
      <c r="J41452" s="33"/>
    </row>
    <row r="41453" spans="10:10" x14ac:dyDescent="0.3">
      <c r="J41453" s="33"/>
    </row>
    <row r="41454" spans="10:10" x14ac:dyDescent="0.3">
      <c r="J41454" s="33"/>
    </row>
    <row r="41455" spans="10:10" x14ac:dyDescent="0.3">
      <c r="J41455" s="33"/>
    </row>
    <row r="41456" spans="10:10" x14ac:dyDescent="0.3">
      <c r="J41456" s="33"/>
    </row>
    <row r="41457" spans="10:10" x14ac:dyDescent="0.3">
      <c r="J41457" s="33"/>
    </row>
    <row r="41458" spans="10:10" x14ac:dyDescent="0.3">
      <c r="J41458" s="33"/>
    </row>
    <row r="41459" spans="10:10" x14ac:dyDescent="0.3">
      <c r="J41459" s="33"/>
    </row>
    <row r="41460" spans="10:10" x14ac:dyDescent="0.3">
      <c r="J41460" s="33"/>
    </row>
    <row r="41461" spans="10:10" x14ac:dyDescent="0.3">
      <c r="J41461" s="33"/>
    </row>
    <row r="41462" spans="10:10" x14ac:dyDescent="0.3">
      <c r="J41462" s="33"/>
    </row>
    <row r="41463" spans="10:10" x14ac:dyDescent="0.3">
      <c r="J41463" s="33"/>
    </row>
    <row r="41464" spans="10:10" x14ac:dyDescent="0.3">
      <c r="J41464" s="33"/>
    </row>
    <row r="41465" spans="10:10" x14ac:dyDescent="0.3">
      <c r="J41465" s="33"/>
    </row>
    <row r="41466" spans="10:10" x14ac:dyDescent="0.3">
      <c r="J41466" s="33"/>
    </row>
    <row r="41467" spans="10:10" x14ac:dyDescent="0.3">
      <c r="J41467" s="33"/>
    </row>
    <row r="41468" spans="10:10" x14ac:dyDescent="0.3">
      <c r="J41468" s="33"/>
    </row>
    <row r="41469" spans="10:10" x14ac:dyDescent="0.3">
      <c r="J41469" s="33"/>
    </row>
    <row r="41470" spans="10:10" x14ac:dyDescent="0.3">
      <c r="J41470" s="33"/>
    </row>
    <row r="41471" spans="10:10" x14ac:dyDescent="0.3">
      <c r="J41471" s="33"/>
    </row>
    <row r="41472" spans="10:10" x14ac:dyDescent="0.3">
      <c r="J41472" s="33"/>
    </row>
    <row r="41473" spans="10:10" x14ac:dyDescent="0.3">
      <c r="J41473" s="33"/>
    </row>
    <row r="41474" spans="10:10" x14ac:dyDescent="0.3">
      <c r="J41474" s="33"/>
    </row>
    <row r="41475" spans="10:10" x14ac:dyDescent="0.3">
      <c r="J41475" s="33"/>
    </row>
    <row r="41476" spans="10:10" x14ac:dyDescent="0.3">
      <c r="J41476" s="33"/>
    </row>
    <row r="41477" spans="10:10" x14ac:dyDescent="0.3">
      <c r="J41477" s="33"/>
    </row>
    <row r="41478" spans="10:10" x14ac:dyDescent="0.3">
      <c r="J41478" s="33"/>
    </row>
    <row r="41479" spans="10:10" x14ac:dyDescent="0.3">
      <c r="J41479" s="33"/>
    </row>
    <row r="41480" spans="10:10" x14ac:dyDescent="0.3">
      <c r="J41480" s="33"/>
    </row>
    <row r="41481" spans="10:10" x14ac:dyDescent="0.3">
      <c r="J41481" s="33"/>
    </row>
    <row r="41482" spans="10:10" x14ac:dyDescent="0.3">
      <c r="J41482" s="33"/>
    </row>
    <row r="41483" spans="10:10" x14ac:dyDescent="0.3">
      <c r="J41483" s="33"/>
    </row>
    <row r="41484" spans="10:10" x14ac:dyDescent="0.3">
      <c r="J41484" s="33"/>
    </row>
    <row r="41485" spans="10:10" x14ac:dyDescent="0.3">
      <c r="J41485" s="33"/>
    </row>
    <row r="41486" spans="10:10" x14ac:dyDescent="0.3">
      <c r="J41486" s="33"/>
    </row>
    <row r="41487" spans="10:10" x14ac:dyDescent="0.3">
      <c r="J41487" s="33"/>
    </row>
    <row r="41488" spans="10:10" x14ac:dyDescent="0.3">
      <c r="J41488" s="33"/>
    </row>
    <row r="41489" spans="10:10" x14ac:dyDescent="0.3">
      <c r="J41489" s="33"/>
    </row>
    <row r="41490" spans="10:10" x14ac:dyDescent="0.3">
      <c r="J41490" s="33"/>
    </row>
    <row r="41491" spans="10:10" x14ac:dyDescent="0.3">
      <c r="J41491" s="33"/>
    </row>
    <row r="41492" spans="10:10" x14ac:dyDescent="0.3">
      <c r="J41492" s="33"/>
    </row>
    <row r="41493" spans="10:10" x14ac:dyDescent="0.3">
      <c r="J41493" s="33"/>
    </row>
    <row r="41494" spans="10:10" x14ac:dyDescent="0.3">
      <c r="J41494" s="33"/>
    </row>
    <row r="41495" spans="10:10" x14ac:dyDescent="0.3">
      <c r="J41495" s="33"/>
    </row>
    <row r="41496" spans="10:10" x14ac:dyDescent="0.3">
      <c r="J41496" s="33"/>
    </row>
    <row r="41497" spans="10:10" x14ac:dyDescent="0.3">
      <c r="J41497" s="33"/>
    </row>
    <row r="41498" spans="10:10" x14ac:dyDescent="0.3">
      <c r="J41498" s="33"/>
    </row>
    <row r="41499" spans="10:10" x14ac:dyDescent="0.3">
      <c r="J41499" s="33"/>
    </row>
    <row r="41500" spans="10:10" x14ac:dyDescent="0.3">
      <c r="J41500" s="33"/>
    </row>
    <row r="41501" spans="10:10" x14ac:dyDescent="0.3">
      <c r="J41501" s="33"/>
    </row>
    <row r="41502" spans="10:10" x14ac:dyDescent="0.3">
      <c r="J41502" s="33"/>
    </row>
    <row r="41503" spans="10:10" x14ac:dyDescent="0.3">
      <c r="J41503" s="33"/>
    </row>
    <row r="41504" spans="10:10" x14ac:dyDescent="0.3">
      <c r="J41504" s="33"/>
    </row>
    <row r="41505" spans="10:10" x14ac:dyDescent="0.3">
      <c r="J41505" s="33"/>
    </row>
    <row r="41506" spans="10:10" x14ac:dyDescent="0.3">
      <c r="J41506" s="33"/>
    </row>
    <row r="41507" spans="10:10" x14ac:dyDescent="0.3">
      <c r="J41507" s="33"/>
    </row>
    <row r="41508" spans="10:10" x14ac:dyDescent="0.3">
      <c r="J41508" s="33"/>
    </row>
    <row r="41509" spans="10:10" x14ac:dyDescent="0.3">
      <c r="J41509" s="33"/>
    </row>
    <row r="41510" spans="10:10" x14ac:dyDescent="0.3">
      <c r="J41510" s="33"/>
    </row>
    <row r="41511" spans="10:10" x14ac:dyDescent="0.3">
      <c r="J41511" s="33"/>
    </row>
    <row r="41512" spans="10:10" x14ac:dyDescent="0.3">
      <c r="J41512" s="33"/>
    </row>
    <row r="41513" spans="10:10" x14ac:dyDescent="0.3">
      <c r="J41513" s="33"/>
    </row>
    <row r="41514" spans="10:10" x14ac:dyDescent="0.3">
      <c r="J41514" s="33"/>
    </row>
    <row r="41515" spans="10:10" x14ac:dyDescent="0.3">
      <c r="J41515" s="33"/>
    </row>
    <row r="41516" spans="10:10" x14ac:dyDescent="0.3">
      <c r="J41516" s="33"/>
    </row>
    <row r="41517" spans="10:10" x14ac:dyDescent="0.3">
      <c r="J41517" s="33"/>
    </row>
    <row r="41518" spans="10:10" x14ac:dyDescent="0.3">
      <c r="J41518" s="33"/>
    </row>
    <row r="41519" spans="10:10" x14ac:dyDescent="0.3">
      <c r="J41519" s="33"/>
    </row>
    <row r="41520" spans="10:10" x14ac:dyDescent="0.3">
      <c r="J41520" s="33"/>
    </row>
    <row r="41521" spans="10:10" x14ac:dyDescent="0.3">
      <c r="J41521" s="33"/>
    </row>
    <row r="41522" spans="10:10" x14ac:dyDescent="0.3">
      <c r="J41522" s="33"/>
    </row>
    <row r="41523" spans="10:10" x14ac:dyDescent="0.3">
      <c r="J41523" s="33"/>
    </row>
    <row r="41524" spans="10:10" x14ac:dyDescent="0.3">
      <c r="J41524" s="33"/>
    </row>
    <row r="41525" spans="10:10" x14ac:dyDescent="0.3">
      <c r="J41525" s="33"/>
    </row>
    <row r="41526" spans="10:10" x14ac:dyDescent="0.3">
      <c r="J41526" s="33"/>
    </row>
    <row r="41527" spans="10:10" x14ac:dyDescent="0.3">
      <c r="J41527" s="33"/>
    </row>
    <row r="41528" spans="10:10" x14ac:dyDescent="0.3">
      <c r="J41528" s="33"/>
    </row>
    <row r="41529" spans="10:10" x14ac:dyDescent="0.3">
      <c r="J41529" s="33"/>
    </row>
    <row r="41530" spans="10:10" x14ac:dyDescent="0.3">
      <c r="J41530" s="33"/>
    </row>
    <row r="41531" spans="10:10" x14ac:dyDescent="0.3">
      <c r="J41531" s="33"/>
    </row>
    <row r="41532" spans="10:10" x14ac:dyDescent="0.3">
      <c r="J41532" s="33"/>
    </row>
    <row r="41533" spans="10:10" x14ac:dyDescent="0.3">
      <c r="J41533" s="33"/>
    </row>
    <row r="41534" spans="10:10" x14ac:dyDescent="0.3">
      <c r="J41534" s="33"/>
    </row>
    <row r="41535" spans="10:10" x14ac:dyDescent="0.3">
      <c r="J41535" s="33"/>
    </row>
    <row r="41536" spans="10:10" x14ac:dyDescent="0.3">
      <c r="J41536" s="33"/>
    </row>
    <row r="41537" spans="10:10" x14ac:dyDescent="0.3">
      <c r="J41537" s="33"/>
    </row>
    <row r="41538" spans="10:10" x14ac:dyDescent="0.3">
      <c r="J41538" s="33"/>
    </row>
    <row r="41539" spans="10:10" x14ac:dyDescent="0.3">
      <c r="J41539" s="33"/>
    </row>
    <row r="41540" spans="10:10" x14ac:dyDescent="0.3">
      <c r="J41540" s="33"/>
    </row>
    <row r="41541" spans="10:10" x14ac:dyDescent="0.3">
      <c r="J41541" s="33"/>
    </row>
    <row r="41542" spans="10:10" x14ac:dyDescent="0.3">
      <c r="J41542" s="33"/>
    </row>
    <row r="41543" spans="10:10" x14ac:dyDescent="0.3">
      <c r="J41543" s="33"/>
    </row>
    <row r="41544" spans="10:10" x14ac:dyDescent="0.3">
      <c r="J41544" s="33"/>
    </row>
    <row r="41545" spans="10:10" x14ac:dyDescent="0.3">
      <c r="J41545" s="33"/>
    </row>
    <row r="41546" spans="10:10" x14ac:dyDescent="0.3">
      <c r="J41546" s="33"/>
    </row>
    <row r="41547" spans="10:10" x14ac:dyDescent="0.3">
      <c r="J41547" s="33"/>
    </row>
    <row r="41548" spans="10:10" x14ac:dyDescent="0.3">
      <c r="J41548" s="33"/>
    </row>
    <row r="41549" spans="10:10" x14ac:dyDescent="0.3">
      <c r="J41549" s="33"/>
    </row>
    <row r="41550" spans="10:10" x14ac:dyDescent="0.3">
      <c r="J41550" s="33"/>
    </row>
    <row r="41551" spans="10:10" x14ac:dyDescent="0.3">
      <c r="J41551" s="33"/>
    </row>
    <row r="41552" spans="10:10" x14ac:dyDescent="0.3">
      <c r="J41552" s="33"/>
    </row>
    <row r="41553" spans="10:10" x14ac:dyDescent="0.3">
      <c r="J41553" s="33"/>
    </row>
    <row r="41554" spans="10:10" x14ac:dyDescent="0.3">
      <c r="J41554" s="33"/>
    </row>
    <row r="41555" spans="10:10" x14ac:dyDescent="0.3">
      <c r="J41555" s="33"/>
    </row>
    <row r="41556" spans="10:10" x14ac:dyDescent="0.3">
      <c r="J41556" s="33"/>
    </row>
    <row r="41557" spans="10:10" x14ac:dyDescent="0.3">
      <c r="J41557" s="33"/>
    </row>
    <row r="41558" spans="10:10" x14ac:dyDescent="0.3">
      <c r="J41558" s="33"/>
    </row>
    <row r="41559" spans="10:10" x14ac:dyDescent="0.3">
      <c r="J41559" s="33"/>
    </row>
    <row r="41560" spans="10:10" x14ac:dyDescent="0.3">
      <c r="J41560" s="33"/>
    </row>
    <row r="41561" spans="10:10" x14ac:dyDescent="0.3">
      <c r="J41561" s="33"/>
    </row>
    <row r="41562" spans="10:10" x14ac:dyDescent="0.3">
      <c r="J41562" s="33"/>
    </row>
    <row r="41563" spans="10:10" x14ac:dyDescent="0.3">
      <c r="J41563" s="33"/>
    </row>
    <row r="41564" spans="10:10" x14ac:dyDescent="0.3">
      <c r="J41564" s="33"/>
    </row>
    <row r="41565" spans="10:10" x14ac:dyDescent="0.3">
      <c r="J41565" s="33"/>
    </row>
    <row r="41566" spans="10:10" x14ac:dyDescent="0.3">
      <c r="J41566" s="33"/>
    </row>
    <row r="41567" spans="10:10" x14ac:dyDescent="0.3">
      <c r="J41567" s="33"/>
    </row>
    <row r="41568" spans="10:10" x14ac:dyDescent="0.3">
      <c r="J41568" s="33"/>
    </row>
    <row r="41569" spans="10:10" x14ac:dyDescent="0.3">
      <c r="J41569" s="33"/>
    </row>
    <row r="41570" spans="10:10" x14ac:dyDescent="0.3">
      <c r="J41570" s="33"/>
    </row>
    <row r="41571" spans="10:10" x14ac:dyDescent="0.3">
      <c r="J41571" s="33"/>
    </row>
    <row r="41572" spans="10:10" x14ac:dyDescent="0.3">
      <c r="J41572" s="33"/>
    </row>
    <row r="41573" spans="10:10" x14ac:dyDescent="0.3">
      <c r="J41573" s="33"/>
    </row>
    <row r="41574" spans="10:10" x14ac:dyDescent="0.3">
      <c r="J41574" s="33"/>
    </row>
    <row r="41575" spans="10:10" x14ac:dyDescent="0.3">
      <c r="J41575" s="33"/>
    </row>
    <row r="41576" spans="10:10" x14ac:dyDescent="0.3">
      <c r="J41576" s="33"/>
    </row>
    <row r="41577" spans="10:10" x14ac:dyDescent="0.3">
      <c r="J41577" s="33"/>
    </row>
    <row r="41578" spans="10:10" x14ac:dyDescent="0.3">
      <c r="J41578" s="33"/>
    </row>
    <row r="41579" spans="10:10" x14ac:dyDescent="0.3">
      <c r="J41579" s="33"/>
    </row>
    <row r="41580" spans="10:10" x14ac:dyDescent="0.3">
      <c r="J41580" s="33"/>
    </row>
    <row r="41581" spans="10:10" x14ac:dyDescent="0.3">
      <c r="J41581" s="33"/>
    </row>
    <row r="41582" spans="10:10" x14ac:dyDescent="0.3">
      <c r="J41582" s="33"/>
    </row>
    <row r="41583" spans="10:10" x14ac:dyDescent="0.3">
      <c r="J41583" s="33"/>
    </row>
    <row r="41584" spans="10:10" x14ac:dyDescent="0.3">
      <c r="J41584" s="33"/>
    </row>
    <row r="41585" spans="10:10" x14ac:dyDescent="0.3">
      <c r="J41585" s="33"/>
    </row>
    <row r="41586" spans="10:10" x14ac:dyDescent="0.3">
      <c r="J41586" s="33"/>
    </row>
    <row r="41587" spans="10:10" x14ac:dyDescent="0.3">
      <c r="J41587" s="33"/>
    </row>
    <row r="41588" spans="10:10" x14ac:dyDescent="0.3">
      <c r="J41588" s="33"/>
    </row>
    <row r="41589" spans="10:10" x14ac:dyDescent="0.3">
      <c r="J41589" s="33"/>
    </row>
    <row r="41590" spans="10:10" x14ac:dyDescent="0.3">
      <c r="J41590" s="33"/>
    </row>
    <row r="41591" spans="10:10" x14ac:dyDescent="0.3">
      <c r="J41591" s="33"/>
    </row>
    <row r="41592" spans="10:10" x14ac:dyDescent="0.3">
      <c r="J41592" s="33"/>
    </row>
    <row r="41593" spans="10:10" x14ac:dyDescent="0.3">
      <c r="J41593" s="33"/>
    </row>
    <row r="41594" spans="10:10" x14ac:dyDescent="0.3">
      <c r="J41594" s="33"/>
    </row>
    <row r="41595" spans="10:10" x14ac:dyDescent="0.3">
      <c r="J41595" s="33"/>
    </row>
    <row r="41596" spans="10:10" x14ac:dyDescent="0.3">
      <c r="J41596" s="33"/>
    </row>
    <row r="41597" spans="10:10" x14ac:dyDescent="0.3">
      <c r="J41597" s="33"/>
    </row>
    <row r="41598" spans="10:10" x14ac:dyDescent="0.3">
      <c r="J41598" s="33"/>
    </row>
    <row r="41599" spans="10:10" x14ac:dyDescent="0.3">
      <c r="J41599" s="33"/>
    </row>
    <row r="41600" spans="10:10" x14ac:dyDescent="0.3">
      <c r="J41600" s="33"/>
    </row>
    <row r="41601" spans="10:10" x14ac:dyDescent="0.3">
      <c r="J41601" s="33"/>
    </row>
    <row r="41602" spans="10:10" x14ac:dyDescent="0.3">
      <c r="J41602" s="33"/>
    </row>
    <row r="41603" spans="10:10" x14ac:dyDescent="0.3">
      <c r="J41603" s="33"/>
    </row>
    <row r="41604" spans="10:10" x14ac:dyDescent="0.3">
      <c r="J41604" s="33"/>
    </row>
    <row r="41605" spans="10:10" x14ac:dyDescent="0.3">
      <c r="J41605" s="33"/>
    </row>
    <row r="41606" spans="10:10" x14ac:dyDescent="0.3">
      <c r="J41606" s="33"/>
    </row>
    <row r="41607" spans="10:10" x14ac:dyDescent="0.3">
      <c r="J41607" s="33"/>
    </row>
    <row r="41608" spans="10:10" x14ac:dyDescent="0.3">
      <c r="J41608" s="33"/>
    </row>
    <row r="41609" spans="10:10" x14ac:dyDescent="0.3">
      <c r="J41609" s="33"/>
    </row>
    <row r="41610" spans="10:10" x14ac:dyDescent="0.3">
      <c r="J41610" s="33"/>
    </row>
    <row r="41611" spans="10:10" x14ac:dyDescent="0.3">
      <c r="J41611" s="33"/>
    </row>
    <row r="41612" spans="10:10" x14ac:dyDescent="0.3">
      <c r="J41612" s="33"/>
    </row>
    <row r="41613" spans="10:10" x14ac:dyDescent="0.3">
      <c r="J41613" s="33"/>
    </row>
    <row r="41614" spans="10:10" x14ac:dyDescent="0.3">
      <c r="J41614" s="33"/>
    </row>
    <row r="41615" spans="10:10" x14ac:dyDescent="0.3">
      <c r="J41615" s="33"/>
    </row>
    <row r="41616" spans="10:10" x14ac:dyDescent="0.3">
      <c r="J41616" s="33"/>
    </row>
    <row r="41617" spans="10:10" x14ac:dyDescent="0.3">
      <c r="J41617" s="33"/>
    </row>
    <row r="41618" spans="10:10" x14ac:dyDescent="0.3">
      <c r="J41618" s="33"/>
    </row>
    <row r="41619" spans="10:10" x14ac:dyDescent="0.3">
      <c r="J41619" s="33"/>
    </row>
    <row r="41620" spans="10:10" x14ac:dyDescent="0.3">
      <c r="J41620" s="33"/>
    </row>
    <row r="41621" spans="10:10" x14ac:dyDescent="0.3">
      <c r="J41621" s="33"/>
    </row>
    <row r="41622" spans="10:10" x14ac:dyDescent="0.3">
      <c r="J41622" s="33"/>
    </row>
    <row r="41623" spans="10:10" x14ac:dyDescent="0.3">
      <c r="J41623" s="33"/>
    </row>
    <row r="41624" spans="10:10" x14ac:dyDescent="0.3">
      <c r="J41624" s="33"/>
    </row>
    <row r="41625" spans="10:10" x14ac:dyDescent="0.3">
      <c r="J41625" s="33"/>
    </row>
    <row r="41626" spans="10:10" x14ac:dyDescent="0.3">
      <c r="J41626" s="33"/>
    </row>
    <row r="41627" spans="10:10" x14ac:dyDescent="0.3">
      <c r="J41627" s="33"/>
    </row>
    <row r="41628" spans="10:10" x14ac:dyDescent="0.3">
      <c r="J41628" s="33"/>
    </row>
    <row r="41629" spans="10:10" x14ac:dyDescent="0.3">
      <c r="J41629" s="33"/>
    </row>
    <row r="41630" spans="10:10" x14ac:dyDescent="0.3">
      <c r="J41630" s="33"/>
    </row>
    <row r="41631" spans="10:10" x14ac:dyDescent="0.3">
      <c r="J41631" s="33"/>
    </row>
    <row r="41632" spans="10:10" x14ac:dyDescent="0.3">
      <c r="J41632" s="33"/>
    </row>
    <row r="41633" spans="10:10" x14ac:dyDescent="0.3">
      <c r="J41633" s="33"/>
    </row>
    <row r="41634" spans="10:10" x14ac:dyDescent="0.3">
      <c r="J41634" s="33"/>
    </row>
    <row r="41635" spans="10:10" x14ac:dyDescent="0.3">
      <c r="J41635" s="33"/>
    </row>
    <row r="41636" spans="10:10" x14ac:dyDescent="0.3">
      <c r="J41636" s="33"/>
    </row>
    <row r="41637" spans="10:10" x14ac:dyDescent="0.3">
      <c r="J41637" s="33"/>
    </row>
    <row r="41638" spans="10:10" x14ac:dyDescent="0.3">
      <c r="J41638" s="33"/>
    </row>
    <row r="41639" spans="10:10" x14ac:dyDescent="0.3">
      <c r="J41639" s="33"/>
    </row>
    <row r="41640" spans="10:10" x14ac:dyDescent="0.3">
      <c r="J41640" s="33"/>
    </row>
    <row r="41641" spans="10:10" x14ac:dyDescent="0.3">
      <c r="J41641" s="33"/>
    </row>
    <row r="41642" spans="10:10" x14ac:dyDescent="0.3">
      <c r="J41642" s="33"/>
    </row>
    <row r="41643" spans="10:10" x14ac:dyDescent="0.3">
      <c r="J41643" s="33"/>
    </row>
    <row r="41644" spans="10:10" x14ac:dyDescent="0.3">
      <c r="J41644" s="33"/>
    </row>
    <row r="41645" spans="10:10" x14ac:dyDescent="0.3">
      <c r="J41645" s="33"/>
    </row>
    <row r="41646" spans="10:10" x14ac:dyDescent="0.3">
      <c r="J41646" s="33"/>
    </row>
    <row r="41647" spans="10:10" x14ac:dyDescent="0.3">
      <c r="J41647" s="33"/>
    </row>
    <row r="41648" spans="10:10" x14ac:dyDescent="0.3">
      <c r="J41648" s="33"/>
    </row>
    <row r="41649" spans="10:10" x14ac:dyDescent="0.3">
      <c r="J41649" s="33"/>
    </row>
    <row r="41650" spans="10:10" x14ac:dyDescent="0.3">
      <c r="J41650" s="33"/>
    </row>
    <row r="41651" spans="10:10" x14ac:dyDescent="0.3">
      <c r="J41651" s="33"/>
    </row>
    <row r="41652" spans="10:10" x14ac:dyDescent="0.3">
      <c r="J41652" s="33"/>
    </row>
    <row r="41653" spans="10:10" x14ac:dyDescent="0.3">
      <c r="J41653" s="33"/>
    </row>
    <row r="41654" spans="10:10" x14ac:dyDescent="0.3">
      <c r="J41654" s="33"/>
    </row>
    <row r="41655" spans="10:10" x14ac:dyDescent="0.3">
      <c r="J41655" s="33"/>
    </row>
    <row r="41656" spans="10:10" x14ac:dyDescent="0.3">
      <c r="J41656" s="33"/>
    </row>
    <row r="41657" spans="10:10" x14ac:dyDescent="0.3">
      <c r="J41657" s="33"/>
    </row>
    <row r="41658" spans="10:10" x14ac:dyDescent="0.3">
      <c r="J41658" s="33"/>
    </row>
    <row r="41659" spans="10:10" x14ac:dyDescent="0.3">
      <c r="J41659" s="33"/>
    </row>
    <row r="41660" spans="10:10" x14ac:dyDescent="0.3">
      <c r="J41660" s="33"/>
    </row>
    <row r="41661" spans="10:10" x14ac:dyDescent="0.3">
      <c r="J41661" s="33"/>
    </row>
    <row r="41662" spans="10:10" x14ac:dyDescent="0.3">
      <c r="J41662" s="33"/>
    </row>
    <row r="41663" spans="10:10" x14ac:dyDescent="0.3">
      <c r="J41663" s="33"/>
    </row>
    <row r="41664" spans="10:10" x14ac:dyDescent="0.3">
      <c r="J41664" s="33"/>
    </row>
    <row r="41665" spans="10:10" x14ac:dyDescent="0.3">
      <c r="J41665" s="33"/>
    </row>
    <row r="41666" spans="10:10" x14ac:dyDescent="0.3">
      <c r="J41666" s="33"/>
    </row>
    <row r="41667" spans="10:10" x14ac:dyDescent="0.3">
      <c r="J41667" s="33"/>
    </row>
    <row r="41668" spans="10:10" x14ac:dyDescent="0.3">
      <c r="J41668" s="33"/>
    </row>
    <row r="41669" spans="10:10" x14ac:dyDescent="0.3">
      <c r="J41669" s="33"/>
    </row>
    <row r="41670" spans="10:10" x14ac:dyDescent="0.3">
      <c r="J41670" s="33"/>
    </row>
    <row r="41671" spans="10:10" x14ac:dyDescent="0.3">
      <c r="J41671" s="33"/>
    </row>
    <row r="41672" spans="10:10" x14ac:dyDescent="0.3">
      <c r="J41672" s="33"/>
    </row>
    <row r="41673" spans="10:10" x14ac:dyDescent="0.3">
      <c r="J41673" s="33"/>
    </row>
    <row r="41674" spans="10:10" x14ac:dyDescent="0.3">
      <c r="J41674" s="33"/>
    </row>
    <row r="41675" spans="10:10" x14ac:dyDescent="0.3">
      <c r="J41675" s="33"/>
    </row>
    <row r="41676" spans="10:10" x14ac:dyDescent="0.3">
      <c r="J41676" s="33"/>
    </row>
    <row r="41677" spans="10:10" x14ac:dyDescent="0.3">
      <c r="J41677" s="33"/>
    </row>
    <row r="41678" spans="10:10" x14ac:dyDescent="0.3">
      <c r="J41678" s="33"/>
    </row>
    <row r="41679" spans="10:10" x14ac:dyDescent="0.3">
      <c r="J41679" s="33"/>
    </row>
    <row r="41680" spans="10:10" x14ac:dyDescent="0.3">
      <c r="J41680" s="33"/>
    </row>
    <row r="41681" spans="10:10" x14ac:dyDescent="0.3">
      <c r="J41681" s="33"/>
    </row>
    <row r="41682" spans="10:10" x14ac:dyDescent="0.3">
      <c r="J41682" s="33"/>
    </row>
    <row r="41683" spans="10:10" x14ac:dyDescent="0.3">
      <c r="J41683" s="33"/>
    </row>
    <row r="41684" spans="10:10" x14ac:dyDescent="0.3">
      <c r="J41684" s="33"/>
    </row>
    <row r="41685" spans="10:10" x14ac:dyDescent="0.3">
      <c r="J41685" s="33"/>
    </row>
    <row r="41686" spans="10:10" x14ac:dyDescent="0.3">
      <c r="J41686" s="33"/>
    </row>
    <row r="41687" spans="10:10" x14ac:dyDescent="0.3">
      <c r="J41687" s="33"/>
    </row>
    <row r="41688" spans="10:10" x14ac:dyDescent="0.3">
      <c r="J41688" s="33"/>
    </row>
    <row r="41689" spans="10:10" x14ac:dyDescent="0.3">
      <c r="J41689" s="33"/>
    </row>
    <row r="41690" spans="10:10" x14ac:dyDescent="0.3">
      <c r="J41690" s="33"/>
    </row>
    <row r="41691" spans="10:10" x14ac:dyDescent="0.3">
      <c r="J41691" s="33"/>
    </row>
    <row r="41692" spans="10:10" x14ac:dyDescent="0.3">
      <c r="J41692" s="33"/>
    </row>
    <row r="41693" spans="10:10" x14ac:dyDescent="0.3">
      <c r="J41693" s="33"/>
    </row>
    <row r="41694" spans="10:10" x14ac:dyDescent="0.3">
      <c r="J41694" s="33"/>
    </row>
    <row r="41695" spans="10:10" x14ac:dyDescent="0.3">
      <c r="J41695" s="33"/>
    </row>
    <row r="41696" spans="10:10" x14ac:dyDescent="0.3">
      <c r="J41696" s="33"/>
    </row>
    <row r="41697" spans="10:10" x14ac:dyDescent="0.3">
      <c r="J41697" s="33"/>
    </row>
    <row r="41698" spans="10:10" x14ac:dyDescent="0.3">
      <c r="J41698" s="33"/>
    </row>
    <row r="41699" spans="10:10" x14ac:dyDescent="0.3">
      <c r="J41699" s="33"/>
    </row>
    <row r="41700" spans="10:10" x14ac:dyDescent="0.3">
      <c r="J41700" s="33"/>
    </row>
    <row r="41701" spans="10:10" x14ac:dyDescent="0.3">
      <c r="J41701" s="33"/>
    </row>
    <row r="41702" spans="10:10" x14ac:dyDescent="0.3">
      <c r="J41702" s="33"/>
    </row>
    <row r="41703" spans="10:10" x14ac:dyDescent="0.3">
      <c r="J41703" s="33"/>
    </row>
    <row r="41704" spans="10:10" x14ac:dyDescent="0.3">
      <c r="J41704" s="33"/>
    </row>
    <row r="41705" spans="10:10" x14ac:dyDescent="0.3">
      <c r="J41705" s="33"/>
    </row>
    <row r="41706" spans="10:10" x14ac:dyDescent="0.3">
      <c r="J41706" s="33"/>
    </row>
    <row r="41707" spans="10:10" x14ac:dyDescent="0.3">
      <c r="J41707" s="33"/>
    </row>
    <row r="41708" spans="10:10" x14ac:dyDescent="0.3">
      <c r="J41708" s="33"/>
    </row>
    <row r="41709" spans="10:10" x14ac:dyDescent="0.3">
      <c r="J41709" s="33"/>
    </row>
    <row r="41710" spans="10:10" x14ac:dyDescent="0.3">
      <c r="J41710" s="33"/>
    </row>
    <row r="41711" spans="10:10" x14ac:dyDescent="0.3">
      <c r="J41711" s="33"/>
    </row>
    <row r="41712" spans="10:10" x14ac:dyDescent="0.3">
      <c r="J41712" s="33"/>
    </row>
    <row r="41713" spans="10:10" x14ac:dyDescent="0.3">
      <c r="J41713" s="33"/>
    </row>
    <row r="41714" spans="10:10" x14ac:dyDescent="0.3">
      <c r="J41714" s="33"/>
    </row>
    <row r="41715" spans="10:10" x14ac:dyDescent="0.3">
      <c r="J41715" s="33"/>
    </row>
    <row r="41716" spans="10:10" x14ac:dyDescent="0.3">
      <c r="J41716" s="33"/>
    </row>
    <row r="41717" spans="10:10" x14ac:dyDescent="0.3">
      <c r="J41717" s="33"/>
    </row>
    <row r="41718" spans="10:10" x14ac:dyDescent="0.3">
      <c r="J41718" s="33"/>
    </row>
    <row r="41719" spans="10:10" x14ac:dyDescent="0.3">
      <c r="J41719" s="33"/>
    </row>
    <row r="41720" spans="10:10" x14ac:dyDescent="0.3">
      <c r="J41720" s="33"/>
    </row>
    <row r="41721" spans="10:10" x14ac:dyDescent="0.3">
      <c r="J41721" s="33"/>
    </row>
    <row r="41722" spans="10:10" x14ac:dyDescent="0.3">
      <c r="J41722" s="33"/>
    </row>
    <row r="41723" spans="10:10" x14ac:dyDescent="0.3">
      <c r="J41723" s="33"/>
    </row>
    <row r="41724" spans="10:10" x14ac:dyDescent="0.3">
      <c r="J41724" s="33"/>
    </row>
    <row r="41725" spans="10:10" x14ac:dyDescent="0.3">
      <c r="J41725" s="33"/>
    </row>
    <row r="41726" spans="10:10" x14ac:dyDescent="0.3">
      <c r="J41726" s="33"/>
    </row>
    <row r="41727" spans="10:10" x14ac:dyDescent="0.3">
      <c r="J41727" s="33"/>
    </row>
    <row r="41728" spans="10:10" x14ac:dyDescent="0.3">
      <c r="J41728" s="33"/>
    </row>
    <row r="41729" spans="10:10" x14ac:dyDescent="0.3">
      <c r="J41729" s="33"/>
    </row>
    <row r="41730" spans="10:10" x14ac:dyDescent="0.3">
      <c r="J41730" s="33"/>
    </row>
    <row r="41731" spans="10:10" x14ac:dyDescent="0.3">
      <c r="J41731" s="33"/>
    </row>
    <row r="41732" spans="10:10" x14ac:dyDescent="0.3">
      <c r="J41732" s="33"/>
    </row>
    <row r="41733" spans="10:10" x14ac:dyDescent="0.3">
      <c r="J41733" s="33"/>
    </row>
    <row r="41734" spans="10:10" x14ac:dyDescent="0.3">
      <c r="J41734" s="33"/>
    </row>
    <row r="41735" spans="10:10" x14ac:dyDescent="0.3">
      <c r="J41735" s="33"/>
    </row>
    <row r="41736" spans="10:10" x14ac:dyDescent="0.3">
      <c r="J41736" s="33"/>
    </row>
    <row r="41737" spans="10:10" x14ac:dyDescent="0.3">
      <c r="J41737" s="33"/>
    </row>
    <row r="41738" spans="10:10" x14ac:dyDescent="0.3">
      <c r="J41738" s="33"/>
    </row>
    <row r="41739" spans="10:10" x14ac:dyDescent="0.3">
      <c r="J41739" s="33"/>
    </row>
    <row r="41740" spans="10:10" x14ac:dyDescent="0.3">
      <c r="J41740" s="33"/>
    </row>
    <row r="41741" spans="10:10" x14ac:dyDescent="0.3">
      <c r="J41741" s="33"/>
    </row>
    <row r="41742" spans="10:10" x14ac:dyDescent="0.3">
      <c r="J41742" s="33"/>
    </row>
    <row r="41743" spans="10:10" x14ac:dyDescent="0.3">
      <c r="J41743" s="33"/>
    </row>
    <row r="41744" spans="10:10" x14ac:dyDescent="0.3">
      <c r="J41744" s="33"/>
    </row>
    <row r="41745" spans="10:10" x14ac:dyDescent="0.3">
      <c r="J41745" s="33"/>
    </row>
    <row r="41746" spans="10:10" x14ac:dyDescent="0.3">
      <c r="J41746" s="33"/>
    </row>
    <row r="41747" spans="10:10" x14ac:dyDescent="0.3">
      <c r="J41747" s="33"/>
    </row>
    <row r="41748" spans="10:10" x14ac:dyDescent="0.3">
      <c r="J41748" s="33"/>
    </row>
    <row r="41749" spans="10:10" x14ac:dyDescent="0.3">
      <c r="J41749" s="33"/>
    </row>
    <row r="41750" spans="10:10" x14ac:dyDescent="0.3">
      <c r="J41750" s="33"/>
    </row>
    <row r="41751" spans="10:10" x14ac:dyDescent="0.3">
      <c r="J41751" s="33"/>
    </row>
    <row r="41752" spans="10:10" x14ac:dyDescent="0.3">
      <c r="J41752" s="33"/>
    </row>
    <row r="41753" spans="10:10" x14ac:dyDescent="0.3">
      <c r="J41753" s="33"/>
    </row>
    <row r="41754" spans="10:10" x14ac:dyDescent="0.3">
      <c r="J41754" s="33"/>
    </row>
    <row r="41755" spans="10:10" x14ac:dyDescent="0.3">
      <c r="J41755" s="33"/>
    </row>
    <row r="41756" spans="10:10" x14ac:dyDescent="0.3">
      <c r="J41756" s="33"/>
    </row>
    <row r="41757" spans="10:10" x14ac:dyDescent="0.3">
      <c r="J41757" s="33"/>
    </row>
    <row r="41758" spans="10:10" x14ac:dyDescent="0.3">
      <c r="J41758" s="33"/>
    </row>
    <row r="41759" spans="10:10" x14ac:dyDescent="0.3">
      <c r="J41759" s="33"/>
    </row>
    <row r="41760" spans="10:10" x14ac:dyDescent="0.3">
      <c r="J41760" s="33"/>
    </row>
    <row r="41761" spans="10:10" x14ac:dyDescent="0.3">
      <c r="J41761" s="33"/>
    </row>
    <row r="41762" spans="10:10" x14ac:dyDescent="0.3">
      <c r="J41762" s="33"/>
    </row>
    <row r="41763" spans="10:10" x14ac:dyDescent="0.3">
      <c r="J41763" s="33"/>
    </row>
    <row r="41764" spans="10:10" x14ac:dyDescent="0.3">
      <c r="J41764" s="33"/>
    </row>
    <row r="41765" spans="10:10" x14ac:dyDescent="0.3">
      <c r="J41765" s="33"/>
    </row>
    <row r="41766" spans="10:10" x14ac:dyDescent="0.3">
      <c r="J41766" s="33"/>
    </row>
    <row r="41767" spans="10:10" x14ac:dyDescent="0.3">
      <c r="J41767" s="33"/>
    </row>
    <row r="41768" spans="10:10" x14ac:dyDescent="0.3">
      <c r="J41768" s="33"/>
    </row>
    <row r="41769" spans="10:10" x14ac:dyDescent="0.3">
      <c r="J41769" s="33"/>
    </row>
    <row r="41770" spans="10:10" x14ac:dyDescent="0.3">
      <c r="J41770" s="33"/>
    </row>
    <row r="41771" spans="10:10" x14ac:dyDescent="0.3">
      <c r="J41771" s="33"/>
    </row>
    <row r="41772" spans="10:10" x14ac:dyDescent="0.3">
      <c r="J41772" s="33"/>
    </row>
    <row r="41773" spans="10:10" x14ac:dyDescent="0.3">
      <c r="J41773" s="33"/>
    </row>
    <row r="41774" spans="10:10" x14ac:dyDescent="0.3">
      <c r="J41774" s="33"/>
    </row>
    <row r="41775" spans="10:10" x14ac:dyDescent="0.3">
      <c r="J41775" s="33"/>
    </row>
    <row r="41776" spans="10:10" x14ac:dyDescent="0.3">
      <c r="J41776" s="33"/>
    </row>
    <row r="41777" spans="10:10" x14ac:dyDescent="0.3">
      <c r="J41777" s="33"/>
    </row>
    <row r="41778" spans="10:10" x14ac:dyDescent="0.3">
      <c r="J41778" s="33"/>
    </row>
    <row r="41779" spans="10:10" x14ac:dyDescent="0.3">
      <c r="J41779" s="33"/>
    </row>
    <row r="41780" spans="10:10" x14ac:dyDescent="0.3">
      <c r="J41780" s="33"/>
    </row>
    <row r="41781" spans="10:10" x14ac:dyDescent="0.3">
      <c r="J41781" s="33"/>
    </row>
    <row r="41782" spans="10:10" x14ac:dyDescent="0.3">
      <c r="J41782" s="33"/>
    </row>
    <row r="41783" spans="10:10" x14ac:dyDescent="0.3">
      <c r="J41783" s="33"/>
    </row>
    <row r="41784" spans="10:10" x14ac:dyDescent="0.3">
      <c r="J41784" s="33"/>
    </row>
    <row r="41785" spans="10:10" x14ac:dyDescent="0.3">
      <c r="J41785" s="33"/>
    </row>
    <row r="41786" spans="10:10" x14ac:dyDescent="0.3">
      <c r="J41786" s="33"/>
    </row>
    <row r="41787" spans="10:10" x14ac:dyDescent="0.3">
      <c r="J41787" s="33"/>
    </row>
    <row r="41788" spans="10:10" x14ac:dyDescent="0.3">
      <c r="J41788" s="33"/>
    </row>
    <row r="41789" spans="10:10" x14ac:dyDescent="0.3">
      <c r="J41789" s="33"/>
    </row>
    <row r="41790" spans="10:10" x14ac:dyDescent="0.3">
      <c r="J41790" s="33"/>
    </row>
    <row r="41791" spans="10:10" x14ac:dyDescent="0.3">
      <c r="J41791" s="33"/>
    </row>
    <row r="41792" spans="10:10" x14ac:dyDescent="0.3">
      <c r="J41792" s="33"/>
    </row>
    <row r="41793" spans="10:10" x14ac:dyDescent="0.3">
      <c r="J41793" s="33"/>
    </row>
    <row r="41794" spans="10:10" x14ac:dyDescent="0.3">
      <c r="J41794" s="33"/>
    </row>
    <row r="41795" spans="10:10" x14ac:dyDescent="0.3">
      <c r="J41795" s="33"/>
    </row>
    <row r="41796" spans="10:10" x14ac:dyDescent="0.3">
      <c r="J41796" s="33"/>
    </row>
    <row r="41797" spans="10:10" x14ac:dyDescent="0.3">
      <c r="J41797" s="33"/>
    </row>
    <row r="41798" spans="10:10" x14ac:dyDescent="0.3">
      <c r="J41798" s="33"/>
    </row>
    <row r="41799" spans="10:10" x14ac:dyDescent="0.3">
      <c r="J41799" s="33"/>
    </row>
    <row r="41800" spans="10:10" x14ac:dyDescent="0.3">
      <c r="J41800" s="33"/>
    </row>
    <row r="41801" spans="10:10" x14ac:dyDescent="0.3">
      <c r="J41801" s="33"/>
    </row>
    <row r="41802" spans="10:10" x14ac:dyDescent="0.3">
      <c r="J41802" s="33"/>
    </row>
    <row r="41803" spans="10:10" x14ac:dyDescent="0.3">
      <c r="J41803" s="33"/>
    </row>
    <row r="41804" spans="10:10" x14ac:dyDescent="0.3">
      <c r="J41804" s="33"/>
    </row>
    <row r="41805" spans="10:10" x14ac:dyDescent="0.3">
      <c r="J41805" s="33"/>
    </row>
    <row r="41806" spans="10:10" x14ac:dyDescent="0.3">
      <c r="J41806" s="33"/>
    </row>
    <row r="41807" spans="10:10" x14ac:dyDescent="0.3">
      <c r="J41807" s="33"/>
    </row>
    <row r="41808" spans="10:10" x14ac:dyDescent="0.3">
      <c r="J41808" s="33"/>
    </row>
    <row r="41809" spans="10:10" x14ac:dyDescent="0.3">
      <c r="J41809" s="33"/>
    </row>
    <row r="41810" spans="10:10" x14ac:dyDescent="0.3">
      <c r="J41810" s="33"/>
    </row>
    <row r="41811" spans="10:10" x14ac:dyDescent="0.3">
      <c r="J41811" s="33"/>
    </row>
    <row r="41812" spans="10:10" x14ac:dyDescent="0.3">
      <c r="J41812" s="33"/>
    </row>
    <row r="41813" spans="10:10" x14ac:dyDescent="0.3">
      <c r="J41813" s="33"/>
    </row>
    <row r="41814" spans="10:10" x14ac:dyDescent="0.3">
      <c r="J41814" s="33"/>
    </row>
    <row r="41815" spans="10:10" x14ac:dyDescent="0.3">
      <c r="J41815" s="33"/>
    </row>
    <row r="41816" spans="10:10" x14ac:dyDescent="0.3">
      <c r="J41816" s="33"/>
    </row>
    <row r="41817" spans="10:10" x14ac:dyDescent="0.3">
      <c r="J41817" s="33"/>
    </row>
    <row r="41818" spans="10:10" x14ac:dyDescent="0.3">
      <c r="J41818" s="33"/>
    </row>
    <row r="41819" spans="10:10" x14ac:dyDescent="0.3">
      <c r="J41819" s="33"/>
    </row>
    <row r="41820" spans="10:10" x14ac:dyDescent="0.3">
      <c r="J41820" s="33"/>
    </row>
    <row r="41821" spans="10:10" x14ac:dyDescent="0.3">
      <c r="J41821" s="33"/>
    </row>
    <row r="41822" spans="10:10" x14ac:dyDescent="0.3">
      <c r="J41822" s="33"/>
    </row>
    <row r="41823" spans="10:10" x14ac:dyDescent="0.3">
      <c r="J41823" s="33"/>
    </row>
    <row r="41824" spans="10:10" x14ac:dyDescent="0.3">
      <c r="J41824" s="33"/>
    </row>
    <row r="41825" spans="10:10" x14ac:dyDescent="0.3">
      <c r="J41825" s="33"/>
    </row>
    <row r="41826" spans="10:10" x14ac:dyDescent="0.3">
      <c r="J41826" s="33"/>
    </row>
    <row r="41827" spans="10:10" x14ac:dyDescent="0.3">
      <c r="J41827" s="33"/>
    </row>
    <row r="41828" spans="10:10" x14ac:dyDescent="0.3">
      <c r="J41828" s="33"/>
    </row>
    <row r="41829" spans="10:10" x14ac:dyDescent="0.3">
      <c r="J41829" s="33"/>
    </row>
    <row r="41830" spans="10:10" x14ac:dyDescent="0.3">
      <c r="J41830" s="33"/>
    </row>
    <row r="41831" spans="10:10" x14ac:dyDescent="0.3">
      <c r="J41831" s="33"/>
    </row>
    <row r="41832" spans="10:10" x14ac:dyDescent="0.3">
      <c r="J41832" s="33"/>
    </row>
    <row r="41833" spans="10:10" x14ac:dyDescent="0.3">
      <c r="J41833" s="33"/>
    </row>
    <row r="41834" spans="10:10" x14ac:dyDescent="0.3">
      <c r="J41834" s="33"/>
    </row>
    <row r="41835" spans="10:10" x14ac:dyDescent="0.3">
      <c r="J41835" s="33"/>
    </row>
    <row r="41836" spans="10:10" x14ac:dyDescent="0.3">
      <c r="J41836" s="33"/>
    </row>
    <row r="41837" spans="10:10" x14ac:dyDescent="0.3">
      <c r="J41837" s="33"/>
    </row>
    <row r="41838" spans="10:10" x14ac:dyDescent="0.3">
      <c r="J41838" s="33"/>
    </row>
    <row r="41839" spans="10:10" x14ac:dyDescent="0.3">
      <c r="J41839" s="33"/>
    </row>
    <row r="41840" spans="10:10" x14ac:dyDescent="0.3">
      <c r="J41840" s="33"/>
    </row>
    <row r="41841" spans="10:10" x14ac:dyDescent="0.3">
      <c r="J41841" s="33"/>
    </row>
    <row r="41842" spans="10:10" x14ac:dyDescent="0.3">
      <c r="J41842" s="33"/>
    </row>
    <row r="41843" spans="10:10" x14ac:dyDescent="0.3">
      <c r="J41843" s="33"/>
    </row>
    <row r="41844" spans="10:10" x14ac:dyDescent="0.3">
      <c r="J41844" s="33"/>
    </row>
    <row r="41845" spans="10:10" x14ac:dyDescent="0.3">
      <c r="J41845" s="33"/>
    </row>
    <row r="41846" spans="10:10" x14ac:dyDescent="0.3">
      <c r="J41846" s="33"/>
    </row>
    <row r="41847" spans="10:10" x14ac:dyDescent="0.3">
      <c r="J41847" s="33"/>
    </row>
    <row r="41848" spans="10:10" x14ac:dyDescent="0.3">
      <c r="J41848" s="33"/>
    </row>
    <row r="41849" spans="10:10" x14ac:dyDescent="0.3">
      <c r="J41849" s="33"/>
    </row>
    <row r="41850" spans="10:10" x14ac:dyDescent="0.3">
      <c r="J41850" s="33"/>
    </row>
    <row r="41851" spans="10:10" x14ac:dyDescent="0.3">
      <c r="J41851" s="33"/>
    </row>
    <row r="41852" spans="10:10" x14ac:dyDescent="0.3">
      <c r="J41852" s="33"/>
    </row>
    <row r="41853" spans="10:10" x14ac:dyDescent="0.3">
      <c r="J41853" s="33"/>
    </row>
    <row r="41854" spans="10:10" x14ac:dyDescent="0.3">
      <c r="J41854" s="33"/>
    </row>
    <row r="41855" spans="10:10" x14ac:dyDescent="0.3">
      <c r="J41855" s="33"/>
    </row>
    <row r="41856" spans="10:10" x14ac:dyDescent="0.3">
      <c r="J41856" s="33"/>
    </row>
    <row r="41857" spans="10:10" x14ac:dyDescent="0.3">
      <c r="J41857" s="33"/>
    </row>
    <row r="41858" spans="10:10" x14ac:dyDescent="0.3">
      <c r="J41858" s="33"/>
    </row>
    <row r="41859" spans="10:10" x14ac:dyDescent="0.3">
      <c r="J41859" s="33"/>
    </row>
    <row r="41860" spans="10:10" x14ac:dyDescent="0.3">
      <c r="J41860" s="33"/>
    </row>
    <row r="41861" spans="10:10" x14ac:dyDescent="0.3">
      <c r="J41861" s="33"/>
    </row>
    <row r="41862" spans="10:10" x14ac:dyDescent="0.3">
      <c r="J41862" s="33"/>
    </row>
    <row r="41863" spans="10:10" x14ac:dyDescent="0.3">
      <c r="J41863" s="33"/>
    </row>
    <row r="41864" spans="10:10" x14ac:dyDescent="0.3">
      <c r="J41864" s="33"/>
    </row>
    <row r="41865" spans="10:10" x14ac:dyDescent="0.3">
      <c r="J41865" s="33"/>
    </row>
    <row r="41866" spans="10:10" x14ac:dyDescent="0.3">
      <c r="J41866" s="33"/>
    </row>
    <row r="41867" spans="10:10" x14ac:dyDescent="0.3">
      <c r="J41867" s="33"/>
    </row>
    <row r="41868" spans="10:10" x14ac:dyDescent="0.3">
      <c r="J41868" s="33"/>
    </row>
    <row r="41869" spans="10:10" x14ac:dyDescent="0.3">
      <c r="J41869" s="33"/>
    </row>
    <row r="41870" spans="10:10" x14ac:dyDescent="0.3">
      <c r="J41870" s="33"/>
    </row>
    <row r="41871" spans="10:10" x14ac:dyDescent="0.3">
      <c r="J41871" s="33"/>
    </row>
    <row r="41872" spans="10:10" x14ac:dyDescent="0.3">
      <c r="J41872" s="33"/>
    </row>
    <row r="41873" spans="10:10" x14ac:dyDescent="0.3">
      <c r="J41873" s="33"/>
    </row>
    <row r="41874" spans="10:10" x14ac:dyDescent="0.3">
      <c r="J41874" s="33"/>
    </row>
    <row r="41875" spans="10:10" x14ac:dyDescent="0.3">
      <c r="J41875" s="33"/>
    </row>
    <row r="41876" spans="10:10" x14ac:dyDescent="0.3">
      <c r="J41876" s="33"/>
    </row>
    <row r="41877" spans="10:10" x14ac:dyDescent="0.3">
      <c r="J41877" s="33"/>
    </row>
    <row r="41878" spans="10:10" x14ac:dyDescent="0.3">
      <c r="J41878" s="33"/>
    </row>
    <row r="41879" spans="10:10" x14ac:dyDescent="0.3">
      <c r="J41879" s="33"/>
    </row>
    <row r="41880" spans="10:10" x14ac:dyDescent="0.3">
      <c r="J41880" s="33"/>
    </row>
    <row r="41881" spans="10:10" x14ac:dyDescent="0.3">
      <c r="J41881" s="33"/>
    </row>
    <row r="41882" spans="10:10" x14ac:dyDescent="0.3">
      <c r="J41882" s="33"/>
    </row>
    <row r="41883" spans="10:10" x14ac:dyDescent="0.3">
      <c r="J41883" s="33"/>
    </row>
    <row r="41884" spans="10:10" x14ac:dyDescent="0.3">
      <c r="J41884" s="33"/>
    </row>
    <row r="41885" spans="10:10" x14ac:dyDescent="0.3">
      <c r="J41885" s="33"/>
    </row>
    <row r="41886" spans="10:10" x14ac:dyDescent="0.3">
      <c r="J41886" s="33"/>
    </row>
    <row r="41887" spans="10:10" x14ac:dyDescent="0.3">
      <c r="J41887" s="33"/>
    </row>
    <row r="41888" spans="10:10" x14ac:dyDescent="0.3">
      <c r="J41888" s="33"/>
    </row>
    <row r="41889" spans="10:10" x14ac:dyDescent="0.3">
      <c r="J41889" s="33"/>
    </row>
    <row r="41890" spans="10:10" x14ac:dyDescent="0.3">
      <c r="J41890" s="33"/>
    </row>
    <row r="41891" spans="10:10" x14ac:dyDescent="0.3">
      <c r="J41891" s="33"/>
    </row>
    <row r="41892" spans="10:10" x14ac:dyDescent="0.3">
      <c r="J41892" s="33"/>
    </row>
    <row r="41893" spans="10:10" x14ac:dyDescent="0.3">
      <c r="J41893" s="33"/>
    </row>
    <row r="41894" spans="10:10" x14ac:dyDescent="0.3">
      <c r="J41894" s="33"/>
    </row>
    <row r="41895" spans="10:10" x14ac:dyDescent="0.3">
      <c r="J41895" s="33"/>
    </row>
    <row r="41896" spans="10:10" x14ac:dyDescent="0.3">
      <c r="J41896" s="33"/>
    </row>
    <row r="41897" spans="10:10" x14ac:dyDescent="0.3">
      <c r="J41897" s="33"/>
    </row>
    <row r="41898" spans="10:10" x14ac:dyDescent="0.3">
      <c r="J41898" s="33"/>
    </row>
    <row r="41899" spans="10:10" x14ac:dyDescent="0.3">
      <c r="J41899" s="33"/>
    </row>
    <row r="41900" spans="10:10" x14ac:dyDescent="0.3">
      <c r="J41900" s="33"/>
    </row>
    <row r="41901" spans="10:10" x14ac:dyDescent="0.3">
      <c r="J41901" s="33"/>
    </row>
    <row r="41902" spans="10:10" x14ac:dyDescent="0.3">
      <c r="J41902" s="33"/>
    </row>
    <row r="41903" spans="10:10" x14ac:dyDescent="0.3">
      <c r="J41903" s="33"/>
    </row>
    <row r="41904" spans="10:10" x14ac:dyDescent="0.3">
      <c r="J41904" s="33"/>
    </row>
    <row r="41905" spans="10:10" x14ac:dyDescent="0.3">
      <c r="J41905" s="33"/>
    </row>
    <row r="41906" spans="10:10" x14ac:dyDescent="0.3">
      <c r="J41906" s="33"/>
    </row>
    <row r="41907" spans="10:10" x14ac:dyDescent="0.3">
      <c r="J41907" s="33"/>
    </row>
    <row r="41908" spans="10:10" x14ac:dyDescent="0.3">
      <c r="J41908" s="33"/>
    </row>
    <row r="41909" spans="10:10" x14ac:dyDescent="0.3">
      <c r="J41909" s="33"/>
    </row>
    <row r="41910" spans="10:10" x14ac:dyDescent="0.3">
      <c r="J41910" s="33"/>
    </row>
    <row r="41911" spans="10:10" x14ac:dyDescent="0.3">
      <c r="J41911" s="33"/>
    </row>
    <row r="41912" spans="10:10" x14ac:dyDescent="0.3">
      <c r="J41912" s="33"/>
    </row>
    <row r="41913" spans="10:10" x14ac:dyDescent="0.3">
      <c r="J41913" s="33"/>
    </row>
    <row r="41914" spans="10:10" x14ac:dyDescent="0.3">
      <c r="J41914" s="33"/>
    </row>
    <row r="41915" spans="10:10" x14ac:dyDescent="0.3">
      <c r="J41915" s="33"/>
    </row>
    <row r="41916" spans="10:10" x14ac:dyDescent="0.3">
      <c r="J41916" s="33"/>
    </row>
    <row r="41917" spans="10:10" x14ac:dyDescent="0.3">
      <c r="J41917" s="33"/>
    </row>
    <row r="41918" spans="10:10" x14ac:dyDescent="0.3">
      <c r="J41918" s="33"/>
    </row>
    <row r="41919" spans="10:10" x14ac:dyDescent="0.3">
      <c r="J41919" s="33"/>
    </row>
    <row r="41920" spans="10:10" x14ac:dyDescent="0.3">
      <c r="J41920" s="33"/>
    </row>
    <row r="41921" spans="10:10" x14ac:dyDescent="0.3">
      <c r="J41921" s="33"/>
    </row>
    <row r="41922" spans="10:10" x14ac:dyDescent="0.3">
      <c r="J41922" s="33"/>
    </row>
    <row r="41923" spans="10:10" x14ac:dyDescent="0.3">
      <c r="J41923" s="33"/>
    </row>
    <row r="41924" spans="10:10" x14ac:dyDescent="0.3">
      <c r="J41924" s="33"/>
    </row>
    <row r="41925" spans="10:10" x14ac:dyDescent="0.3">
      <c r="J41925" s="33"/>
    </row>
    <row r="41926" spans="10:10" x14ac:dyDescent="0.3">
      <c r="J41926" s="33"/>
    </row>
    <row r="41927" spans="10:10" x14ac:dyDescent="0.3">
      <c r="J41927" s="33"/>
    </row>
    <row r="41928" spans="10:10" x14ac:dyDescent="0.3">
      <c r="J41928" s="33"/>
    </row>
    <row r="41929" spans="10:10" x14ac:dyDescent="0.3">
      <c r="J41929" s="33"/>
    </row>
    <row r="41930" spans="10:10" x14ac:dyDescent="0.3">
      <c r="J41930" s="33"/>
    </row>
    <row r="41931" spans="10:10" x14ac:dyDescent="0.3">
      <c r="J41931" s="33"/>
    </row>
    <row r="41932" spans="10:10" x14ac:dyDescent="0.3">
      <c r="J41932" s="33"/>
    </row>
    <row r="41933" spans="10:10" x14ac:dyDescent="0.3">
      <c r="J41933" s="33"/>
    </row>
    <row r="41934" spans="10:10" x14ac:dyDescent="0.3">
      <c r="J41934" s="33"/>
    </row>
    <row r="41935" spans="10:10" x14ac:dyDescent="0.3">
      <c r="J41935" s="33"/>
    </row>
    <row r="41936" spans="10:10" x14ac:dyDescent="0.3">
      <c r="J41936" s="33"/>
    </row>
    <row r="41937" spans="10:10" x14ac:dyDescent="0.3">
      <c r="J41937" s="33"/>
    </row>
    <row r="41938" spans="10:10" x14ac:dyDescent="0.3">
      <c r="J41938" s="33"/>
    </row>
    <row r="41939" spans="10:10" x14ac:dyDescent="0.3">
      <c r="J41939" s="33"/>
    </row>
    <row r="41940" spans="10:10" x14ac:dyDescent="0.3">
      <c r="J41940" s="33"/>
    </row>
    <row r="41941" spans="10:10" x14ac:dyDescent="0.3">
      <c r="J41941" s="33"/>
    </row>
    <row r="41942" spans="10:10" x14ac:dyDescent="0.3">
      <c r="J41942" s="33"/>
    </row>
    <row r="41943" spans="10:10" x14ac:dyDescent="0.3">
      <c r="J41943" s="33"/>
    </row>
    <row r="41944" spans="10:10" x14ac:dyDescent="0.3">
      <c r="J41944" s="33"/>
    </row>
    <row r="41945" spans="10:10" x14ac:dyDescent="0.3">
      <c r="J41945" s="33"/>
    </row>
    <row r="41946" spans="10:10" x14ac:dyDescent="0.3">
      <c r="J41946" s="33"/>
    </row>
    <row r="41947" spans="10:10" x14ac:dyDescent="0.3">
      <c r="J41947" s="33"/>
    </row>
    <row r="41948" spans="10:10" x14ac:dyDescent="0.3">
      <c r="J41948" s="33"/>
    </row>
    <row r="41949" spans="10:10" x14ac:dyDescent="0.3">
      <c r="J41949" s="33"/>
    </row>
    <row r="41950" spans="10:10" x14ac:dyDescent="0.3">
      <c r="J41950" s="33"/>
    </row>
    <row r="41951" spans="10:10" x14ac:dyDescent="0.3">
      <c r="J41951" s="33"/>
    </row>
    <row r="41952" spans="10:10" x14ac:dyDescent="0.3">
      <c r="J41952" s="33"/>
    </row>
    <row r="41953" spans="10:10" x14ac:dyDescent="0.3">
      <c r="J41953" s="33"/>
    </row>
    <row r="41954" spans="10:10" x14ac:dyDescent="0.3">
      <c r="J41954" s="33"/>
    </row>
    <row r="41955" spans="10:10" x14ac:dyDescent="0.3">
      <c r="J41955" s="33"/>
    </row>
    <row r="41956" spans="10:10" x14ac:dyDescent="0.3">
      <c r="J41956" s="33"/>
    </row>
    <row r="41957" spans="10:10" x14ac:dyDescent="0.3">
      <c r="J41957" s="33"/>
    </row>
    <row r="41958" spans="10:10" x14ac:dyDescent="0.3">
      <c r="J41958" s="33"/>
    </row>
    <row r="41959" spans="10:10" x14ac:dyDescent="0.3">
      <c r="J41959" s="33"/>
    </row>
    <row r="41960" spans="10:10" x14ac:dyDescent="0.3">
      <c r="J41960" s="33"/>
    </row>
    <row r="41961" spans="10:10" x14ac:dyDescent="0.3">
      <c r="J41961" s="33"/>
    </row>
    <row r="41962" spans="10:10" x14ac:dyDescent="0.3">
      <c r="J41962" s="33"/>
    </row>
    <row r="41963" spans="10:10" x14ac:dyDescent="0.3">
      <c r="J41963" s="33"/>
    </row>
    <row r="41964" spans="10:10" x14ac:dyDescent="0.3">
      <c r="J41964" s="33"/>
    </row>
    <row r="41965" spans="10:10" x14ac:dyDescent="0.3">
      <c r="J41965" s="33"/>
    </row>
    <row r="41966" spans="10:10" x14ac:dyDescent="0.3">
      <c r="J41966" s="33"/>
    </row>
    <row r="41967" spans="10:10" x14ac:dyDescent="0.3">
      <c r="J41967" s="33"/>
    </row>
    <row r="41968" spans="10:10" x14ac:dyDescent="0.3">
      <c r="J41968" s="33"/>
    </row>
    <row r="41969" spans="10:10" x14ac:dyDescent="0.3">
      <c r="J41969" s="33"/>
    </row>
    <row r="41970" spans="10:10" x14ac:dyDescent="0.3">
      <c r="J41970" s="33"/>
    </row>
    <row r="41971" spans="10:10" x14ac:dyDescent="0.3">
      <c r="J41971" s="33"/>
    </row>
    <row r="41972" spans="10:10" x14ac:dyDescent="0.3">
      <c r="J41972" s="33"/>
    </row>
    <row r="41973" spans="10:10" x14ac:dyDescent="0.3">
      <c r="J41973" s="33"/>
    </row>
    <row r="41974" spans="10:10" x14ac:dyDescent="0.3">
      <c r="J41974" s="33"/>
    </row>
    <row r="41975" spans="10:10" x14ac:dyDescent="0.3">
      <c r="J41975" s="33"/>
    </row>
    <row r="41976" spans="10:10" x14ac:dyDescent="0.3">
      <c r="J41976" s="33"/>
    </row>
    <row r="41977" spans="10:10" x14ac:dyDescent="0.3">
      <c r="J41977" s="33"/>
    </row>
    <row r="41978" spans="10:10" x14ac:dyDescent="0.3">
      <c r="J41978" s="33"/>
    </row>
    <row r="41979" spans="10:10" x14ac:dyDescent="0.3">
      <c r="J41979" s="33"/>
    </row>
    <row r="41980" spans="10:10" x14ac:dyDescent="0.3">
      <c r="J41980" s="33"/>
    </row>
    <row r="41981" spans="10:10" x14ac:dyDescent="0.3">
      <c r="J41981" s="33"/>
    </row>
    <row r="41982" spans="10:10" x14ac:dyDescent="0.3">
      <c r="J41982" s="33"/>
    </row>
    <row r="41983" spans="10:10" x14ac:dyDescent="0.3">
      <c r="J41983" s="33"/>
    </row>
    <row r="41984" spans="10:10" x14ac:dyDescent="0.3">
      <c r="J41984" s="33"/>
    </row>
    <row r="41985" spans="10:10" x14ac:dyDescent="0.3">
      <c r="J41985" s="33"/>
    </row>
    <row r="41986" spans="10:10" x14ac:dyDescent="0.3">
      <c r="J41986" s="33"/>
    </row>
    <row r="41987" spans="10:10" x14ac:dyDescent="0.3">
      <c r="J41987" s="33"/>
    </row>
    <row r="41988" spans="10:10" x14ac:dyDescent="0.3">
      <c r="J41988" s="33"/>
    </row>
    <row r="41989" spans="10:10" x14ac:dyDescent="0.3">
      <c r="J41989" s="33"/>
    </row>
    <row r="41990" spans="10:10" x14ac:dyDescent="0.3">
      <c r="J41990" s="33"/>
    </row>
    <row r="41991" spans="10:10" x14ac:dyDescent="0.3">
      <c r="J41991" s="33"/>
    </row>
    <row r="41992" spans="10:10" x14ac:dyDescent="0.3">
      <c r="J41992" s="33"/>
    </row>
    <row r="41993" spans="10:10" x14ac:dyDescent="0.3">
      <c r="J41993" s="33"/>
    </row>
    <row r="41994" spans="10:10" x14ac:dyDescent="0.3">
      <c r="J41994" s="33"/>
    </row>
    <row r="41995" spans="10:10" x14ac:dyDescent="0.3">
      <c r="J41995" s="33"/>
    </row>
    <row r="41996" spans="10:10" x14ac:dyDescent="0.3">
      <c r="J41996" s="33"/>
    </row>
    <row r="41997" spans="10:10" x14ac:dyDescent="0.3">
      <c r="J41997" s="33"/>
    </row>
    <row r="41998" spans="10:10" x14ac:dyDescent="0.3">
      <c r="J41998" s="33"/>
    </row>
    <row r="41999" spans="10:10" x14ac:dyDescent="0.3">
      <c r="J41999" s="33"/>
    </row>
    <row r="42000" spans="10:10" x14ac:dyDescent="0.3">
      <c r="J42000" s="33"/>
    </row>
    <row r="42001" spans="10:10" x14ac:dyDescent="0.3">
      <c r="J42001" s="33"/>
    </row>
    <row r="42002" spans="10:10" x14ac:dyDescent="0.3">
      <c r="J42002" s="33"/>
    </row>
    <row r="42003" spans="10:10" x14ac:dyDescent="0.3">
      <c r="J42003" s="33"/>
    </row>
    <row r="42004" spans="10:10" x14ac:dyDescent="0.3">
      <c r="J42004" s="33"/>
    </row>
    <row r="42005" spans="10:10" x14ac:dyDescent="0.3">
      <c r="J42005" s="33"/>
    </row>
    <row r="42006" spans="10:10" x14ac:dyDescent="0.3">
      <c r="J42006" s="33"/>
    </row>
    <row r="42007" spans="10:10" x14ac:dyDescent="0.3">
      <c r="J42007" s="33"/>
    </row>
    <row r="42008" spans="10:10" x14ac:dyDescent="0.3">
      <c r="J42008" s="33"/>
    </row>
    <row r="42009" spans="10:10" x14ac:dyDescent="0.3">
      <c r="J42009" s="33"/>
    </row>
    <row r="42010" spans="10:10" x14ac:dyDescent="0.3">
      <c r="J42010" s="33"/>
    </row>
    <row r="42011" spans="10:10" x14ac:dyDescent="0.3">
      <c r="J42011" s="33"/>
    </row>
    <row r="42012" spans="10:10" x14ac:dyDescent="0.3">
      <c r="J42012" s="33"/>
    </row>
    <row r="42013" spans="10:10" x14ac:dyDescent="0.3">
      <c r="J42013" s="33"/>
    </row>
    <row r="42014" spans="10:10" x14ac:dyDescent="0.3">
      <c r="J42014" s="33"/>
    </row>
    <row r="42015" spans="10:10" x14ac:dyDescent="0.3">
      <c r="J42015" s="33"/>
    </row>
    <row r="42016" spans="10:10" x14ac:dyDescent="0.3">
      <c r="J42016" s="33"/>
    </row>
    <row r="42017" spans="10:10" x14ac:dyDescent="0.3">
      <c r="J42017" s="33"/>
    </row>
    <row r="42018" spans="10:10" x14ac:dyDescent="0.3">
      <c r="J42018" s="33"/>
    </row>
    <row r="42019" spans="10:10" x14ac:dyDescent="0.3">
      <c r="J42019" s="33"/>
    </row>
    <row r="42020" spans="10:10" x14ac:dyDescent="0.3">
      <c r="J42020" s="33"/>
    </row>
    <row r="42021" spans="10:10" x14ac:dyDescent="0.3">
      <c r="J42021" s="33"/>
    </row>
    <row r="42022" spans="10:10" x14ac:dyDescent="0.3">
      <c r="J42022" s="33"/>
    </row>
    <row r="42023" spans="10:10" x14ac:dyDescent="0.3">
      <c r="J42023" s="33"/>
    </row>
    <row r="42024" spans="10:10" x14ac:dyDescent="0.3">
      <c r="J42024" s="33"/>
    </row>
    <row r="42025" spans="10:10" x14ac:dyDescent="0.3">
      <c r="J42025" s="33"/>
    </row>
    <row r="42026" spans="10:10" x14ac:dyDescent="0.3">
      <c r="J42026" s="33"/>
    </row>
    <row r="42027" spans="10:10" x14ac:dyDescent="0.3">
      <c r="J42027" s="33"/>
    </row>
    <row r="42028" spans="10:10" x14ac:dyDescent="0.3">
      <c r="J42028" s="33"/>
    </row>
    <row r="42029" spans="10:10" x14ac:dyDescent="0.3">
      <c r="J42029" s="33"/>
    </row>
    <row r="42030" spans="10:10" x14ac:dyDescent="0.3">
      <c r="J42030" s="33"/>
    </row>
    <row r="42031" spans="10:10" x14ac:dyDescent="0.3">
      <c r="J42031" s="33"/>
    </row>
    <row r="42032" spans="10:10" x14ac:dyDescent="0.3">
      <c r="J42032" s="33"/>
    </row>
    <row r="42033" spans="10:10" x14ac:dyDescent="0.3">
      <c r="J42033" s="33"/>
    </row>
    <row r="42034" spans="10:10" x14ac:dyDescent="0.3">
      <c r="J42034" s="33"/>
    </row>
    <row r="42035" spans="10:10" x14ac:dyDescent="0.3">
      <c r="J42035" s="33"/>
    </row>
    <row r="42036" spans="10:10" x14ac:dyDescent="0.3">
      <c r="J42036" s="33"/>
    </row>
    <row r="42037" spans="10:10" x14ac:dyDescent="0.3">
      <c r="J42037" s="33"/>
    </row>
    <row r="42038" spans="10:10" x14ac:dyDescent="0.3">
      <c r="J42038" s="33"/>
    </row>
    <row r="42039" spans="10:10" x14ac:dyDescent="0.3">
      <c r="J42039" s="33"/>
    </row>
    <row r="42040" spans="10:10" x14ac:dyDescent="0.3">
      <c r="J42040" s="33"/>
    </row>
    <row r="42041" spans="10:10" x14ac:dyDescent="0.3">
      <c r="J42041" s="33"/>
    </row>
    <row r="42042" spans="10:10" x14ac:dyDescent="0.3">
      <c r="J42042" s="33"/>
    </row>
    <row r="42043" spans="10:10" x14ac:dyDescent="0.3">
      <c r="J42043" s="33"/>
    </row>
    <row r="42044" spans="10:10" x14ac:dyDescent="0.3">
      <c r="J42044" s="33"/>
    </row>
    <row r="42045" spans="10:10" x14ac:dyDescent="0.3">
      <c r="J42045" s="33"/>
    </row>
    <row r="42046" spans="10:10" x14ac:dyDescent="0.3">
      <c r="J42046" s="33"/>
    </row>
    <row r="42047" spans="10:10" x14ac:dyDescent="0.3">
      <c r="J42047" s="33"/>
    </row>
    <row r="42048" spans="10:10" x14ac:dyDescent="0.3">
      <c r="J42048" s="33"/>
    </row>
    <row r="42049" spans="10:10" x14ac:dyDescent="0.3">
      <c r="J42049" s="33"/>
    </row>
    <row r="42050" spans="10:10" x14ac:dyDescent="0.3">
      <c r="J42050" s="33"/>
    </row>
    <row r="42051" spans="10:10" x14ac:dyDescent="0.3">
      <c r="J42051" s="33"/>
    </row>
    <row r="42052" spans="10:10" x14ac:dyDescent="0.3">
      <c r="J42052" s="33"/>
    </row>
    <row r="42053" spans="10:10" x14ac:dyDescent="0.3">
      <c r="J42053" s="33"/>
    </row>
    <row r="42054" spans="10:10" x14ac:dyDescent="0.3">
      <c r="J42054" s="33"/>
    </row>
    <row r="42055" spans="10:10" x14ac:dyDescent="0.3">
      <c r="J42055" s="33"/>
    </row>
    <row r="42056" spans="10:10" x14ac:dyDescent="0.3">
      <c r="J42056" s="33"/>
    </row>
    <row r="42057" spans="10:10" x14ac:dyDescent="0.3">
      <c r="J42057" s="33"/>
    </row>
    <row r="42058" spans="10:10" x14ac:dyDescent="0.3">
      <c r="J42058" s="33"/>
    </row>
    <row r="42059" spans="10:10" x14ac:dyDescent="0.3">
      <c r="J42059" s="33"/>
    </row>
    <row r="42060" spans="10:10" x14ac:dyDescent="0.3">
      <c r="J42060" s="33"/>
    </row>
    <row r="42061" spans="10:10" x14ac:dyDescent="0.3">
      <c r="J42061" s="33"/>
    </row>
    <row r="42062" spans="10:10" x14ac:dyDescent="0.3">
      <c r="J42062" s="33"/>
    </row>
    <row r="42063" spans="10:10" x14ac:dyDescent="0.3">
      <c r="J42063" s="33"/>
    </row>
    <row r="42064" spans="10:10" x14ac:dyDescent="0.3">
      <c r="J42064" s="33"/>
    </row>
    <row r="42065" spans="10:10" x14ac:dyDescent="0.3">
      <c r="J42065" s="33"/>
    </row>
    <row r="42066" spans="10:10" x14ac:dyDescent="0.3">
      <c r="J42066" s="33"/>
    </row>
    <row r="42067" spans="10:10" x14ac:dyDescent="0.3">
      <c r="J42067" s="33"/>
    </row>
    <row r="42068" spans="10:10" x14ac:dyDescent="0.3">
      <c r="J42068" s="33"/>
    </row>
    <row r="42069" spans="10:10" x14ac:dyDescent="0.3">
      <c r="J42069" s="33"/>
    </row>
    <row r="42070" spans="10:10" x14ac:dyDescent="0.3">
      <c r="J42070" s="33"/>
    </row>
    <row r="42071" spans="10:10" x14ac:dyDescent="0.3">
      <c r="J42071" s="33"/>
    </row>
    <row r="42072" spans="10:10" x14ac:dyDescent="0.3">
      <c r="J42072" s="33"/>
    </row>
    <row r="42073" spans="10:10" x14ac:dyDescent="0.3">
      <c r="J42073" s="33"/>
    </row>
    <row r="42074" spans="10:10" x14ac:dyDescent="0.3">
      <c r="J42074" s="33"/>
    </row>
    <row r="42075" spans="10:10" x14ac:dyDescent="0.3">
      <c r="J42075" s="33"/>
    </row>
    <row r="42076" spans="10:10" x14ac:dyDescent="0.3">
      <c r="J42076" s="33"/>
    </row>
    <row r="42077" spans="10:10" x14ac:dyDescent="0.3">
      <c r="J42077" s="33"/>
    </row>
    <row r="42078" spans="10:10" x14ac:dyDescent="0.3">
      <c r="J42078" s="33"/>
    </row>
    <row r="42079" spans="10:10" x14ac:dyDescent="0.3">
      <c r="J42079" s="33"/>
    </row>
    <row r="42080" spans="10:10" x14ac:dyDescent="0.3">
      <c r="J42080" s="33"/>
    </row>
    <row r="42081" spans="10:10" x14ac:dyDescent="0.3">
      <c r="J42081" s="33"/>
    </row>
    <row r="42082" spans="10:10" x14ac:dyDescent="0.3">
      <c r="J42082" s="33"/>
    </row>
    <row r="42083" spans="10:10" x14ac:dyDescent="0.3">
      <c r="J42083" s="33"/>
    </row>
    <row r="42084" spans="10:10" x14ac:dyDescent="0.3">
      <c r="J42084" s="33"/>
    </row>
    <row r="42085" spans="10:10" x14ac:dyDescent="0.3">
      <c r="J42085" s="33"/>
    </row>
    <row r="42086" spans="10:10" x14ac:dyDescent="0.3">
      <c r="J42086" s="33"/>
    </row>
    <row r="42087" spans="10:10" x14ac:dyDescent="0.3">
      <c r="J42087" s="33"/>
    </row>
    <row r="42088" spans="10:10" x14ac:dyDescent="0.3">
      <c r="J42088" s="33"/>
    </row>
    <row r="42089" spans="10:10" x14ac:dyDescent="0.3">
      <c r="J42089" s="33"/>
    </row>
    <row r="42090" spans="10:10" x14ac:dyDescent="0.3">
      <c r="J42090" s="33"/>
    </row>
    <row r="42091" spans="10:10" x14ac:dyDescent="0.3">
      <c r="J42091" s="33"/>
    </row>
    <row r="42092" spans="10:10" x14ac:dyDescent="0.3">
      <c r="J42092" s="33"/>
    </row>
    <row r="42093" spans="10:10" x14ac:dyDescent="0.3">
      <c r="J42093" s="33"/>
    </row>
    <row r="42094" spans="10:10" x14ac:dyDescent="0.3">
      <c r="J42094" s="33"/>
    </row>
    <row r="42095" spans="10:10" x14ac:dyDescent="0.3">
      <c r="J42095" s="33"/>
    </row>
    <row r="42096" spans="10:10" x14ac:dyDescent="0.3">
      <c r="J42096" s="33"/>
    </row>
    <row r="42097" spans="10:10" x14ac:dyDescent="0.3">
      <c r="J42097" s="33"/>
    </row>
    <row r="42098" spans="10:10" x14ac:dyDescent="0.3">
      <c r="J42098" s="33"/>
    </row>
    <row r="42099" spans="10:10" x14ac:dyDescent="0.3">
      <c r="J42099" s="33"/>
    </row>
    <row r="42100" spans="10:10" x14ac:dyDescent="0.3">
      <c r="J42100" s="33"/>
    </row>
    <row r="42101" spans="10:10" x14ac:dyDescent="0.3">
      <c r="J42101" s="33"/>
    </row>
    <row r="42102" spans="10:10" x14ac:dyDescent="0.3">
      <c r="J42102" s="33"/>
    </row>
    <row r="42103" spans="10:10" x14ac:dyDescent="0.3">
      <c r="J42103" s="33"/>
    </row>
    <row r="42104" spans="10:10" x14ac:dyDescent="0.3">
      <c r="J42104" s="33"/>
    </row>
    <row r="42105" spans="10:10" x14ac:dyDescent="0.3">
      <c r="J42105" s="33"/>
    </row>
    <row r="42106" spans="10:10" x14ac:dyDescent="0.3">
      <c r="J42106" s="33"/>
    </row>
    <row r="42107" spans="10:10" x14ac:dyDescent="0.3">
      <c r="J42107" s="33"/>
    </row>
    <row r="42108" spans="10:10" x14ac:dyDescent="0.3">
      <c r="J42108" s="33"/>
    </row>
    <row r="42109" spans="10:10" x14ac:dyDescent="0.3">
      <c r="J42109" s="33"/>
    </row>
    <row r="42110" spans="10:10" x14ac:dyDescent="0.3">
      <c r="J42110" s="33"/>
    </row>
    <row r="42111" spans="10:10" x14ac:dyDescent="0.3">
      <c r="J42111" s="33"/>
    </row>
    <row r="42112" spans="10:10" x14ac:dyDescent="0.3">
      <c r="J42112" s="33"/>
    </row>
    <row r="42113" spans="10:10" x14ac:dyDescent="0.3">
      <c r="J42113" s="33"/>
    </row>
    <row r="42114" spans="10:10" x14ac:dyDescent="0.3">
      <c r="J42114" s="33"/>
    </row>
    <row r="42115" spans="10:10" x14ac:dyDescent="0.3">
      <c r="J42115" s="33"/>
    </row>
    <row r="42116" spans="10:10" x14ac:dyDescent="0.3">
      <c r="J42116" s="33"/>
    </row>
    <row r="42117" spans="10:10" x14ac:dyDescent="0.3">
      <c r="J42117" s="33"/>
    </row>
    <row r="42118" spans="10:10" x14ac:dyDescent="0.3">
      <c r="J42118" s="33"/>
    </row>
    <row r="42119" spans="10:10" x14ac:dyDescent="0.3">
      <c r="J42119" s="33"/>
    </row>
    <row r="42120" spans="10:10" x14ac:dyDescent="0.3">
      <c r="J42120" s="33"/>
    </row>
    <row r="42121" spans="10:10" x14ac:dyDescent="0.3">
      <c r="J42121" s="33"/>
    </row>
    <row r="42122" spans="10:10" x14ac:dyDescent="0.3">
      <c r="J42122" s="33"/>
    </row>
    <row r="42123" spans="10:10" x14ac:dyDescent="0.3">
      <c r="J42123" s="33"/>
    </row>
    <row r="42124" spans="10:10" x14ac:dyDescent="0.3">
      <c r="J42124" s="33"/>
    </row>
    <row r="42125" spans="10:10" x14ac:dyDescent="0.3">
      <c r="J42125" s="33"/>
    </row>
    <row r="42126" spans="10:10" x14ac:dyDescent="0.3">
      <c r="J42126" s="33"/>
    </row>
    <row r="42127" spans="10:10" x14ac:dyDescent="0.3">
      <c r="J42127" s="33"/>
    </row>
    <row r="42128" spans="10:10" x14ac:dyDescent="0.3">
      <c r="J42128" s="33"/>
    </row>
    <row r="42129" spans="10:10" x14ac:dyDescent="0.3">
      <c r="J42129" s="33"/>
    </row>
    <row r="42130" spans="10:10" x14ac:dyDescent="0.3">
      <c r="J42130" s="33"/>
    </row>
    <row r="42131" spans="10:10" x14ac:dyDescent="0.3">
      <c r="J42131" s="33"/>
    </row>
    <row r="42132" spans="10:10" x14ac:dyDescent="0.3">
      <c r="J42132" s="33"/>
    </row>
    <row r="42133" spans="10:10" x14ac:dyDescent="0.3">
      <c r="J42133" s="33"/>
    </row>
    <row r="42134" spans="10:10" x14ac:dyDescent="0.3">
      <c r="J42134" s="33"/>
    </row>
    <row r="42135" spans="10:10" x14ac:dyDescent="0.3">
      <c r="J42135" s="33"/>
    </row>
    <row r="42136" spans="10:10" x14ac:dyDescent="0.3">
      <c r="J42136" s="33"/>
    </row>
    <row r="42137" spans="10:10" x14ac:dyDescent="0.3">
      <c r="J42137" s="33"/>
    </row>
    <row r="42138" spans="10:10" x14ac:dyDescent="0.3">
      <c r="J42138" s="33"/>
    </row>
    <row r="42139" spans="10:10" x14ac:dyDescent="0.3">
      <c r="J42139" s="33"/>
    </row>
    <row r="42140" spans="10:10" x14ac:dyDescent="0.3">
      <c r="J42140" s="33"/>
    </row>
    <row r="42141" spans="10:10" x14ac:dyDescent="0.3">
      <c r="J42141" s="33"/>
    </row>
    <row r="42142" spans="10:10" x14ac:dyDescent="0.3">
      <c r="J42142" s="33"/>
    </row>
    <row r="42143" spans="10:10" x14ac:dyDescent="0.3">
      <c r="J42143" s="33"/>
    </row>
    <row r="42144" spans="10:10" x14ac:dyDescent="0.3">
      <c r="J42144" s="33"/>
    </row>
    <row r="42145" spans="10:10" x14ac:dyDescent="0.3">
      <c r="J42145" s="33"/>
    </row>
    <row r="42146" spans="10:10" x14ac:dyDescent="0.3">
      <c r="J42146" s="33"/>
    </row>
    <row r="42147" spans="10:10" x14ac:dyDescent="0.3">
      <c r="J42147" s="33"/>
    </row>
    <row r="42148" spans="10:10" x14ac:dyDescent="0.3">
      <c r="J42148" s="33"/>
    </row>
    <row r="42149" spans="10:10" x14ac:dyDescent="0.3">
      <c r="J42149" s="33"/>
    </row>
    <row r="42150" spans="10:10" x14ac:dyDescent="0.3">
      <c r="J42150" s="33"/>
    </row>
    <row r="42151" spans="10:10" x14ac:dyDescent="0.3">
      <c r="J42151" s="33"/>
    </row>
    <row r="42152" spans="10:10" x14ac:dyDescent="0.3">
      <c r="J42152" s="33"/>
    </row>
    <row r="42153" spans="10:10" x14ac:dyDescent="0.3">
      <c r="J42153" s="33"/>
    </row>
    <row r="42154" spans="10:10" x14ac:dyDescent="0.3">
      <c r="J42154" s="33"/>
    </row>
    <row r="42155" spans="10:10" x14ac:dyDescent="0.3">
      <c r="J42155" s="33"/>
    </row>
    <row r="42156" spans="10:10" x14ac:dyDescent="0.3">
      <c r="J42156" s="33"/>
    </row>
    <row r="42157" spans="10:10" x14ac:dyDescent="0.3">
      <c r="J42157" s="33"/>
    </row>
    <row r="42158" spans="10:10" x14ac:dyDescent="0.3">
      <c r="J42158" s="33"/>
    </row>
    <row r="42159" spans="10:10" x14ac:dyDescent="0.3">
      <c r="J42159" s="33"/>
    </row>
    <row r="42160" spans="10:10" x14ac:dyDescent="0.3">
      <c r="J42160" s="33"/>
    </row>
    <row r="42161" spans="10:10" x14ac:dyDescent="0.3">
      <c r="J42161" s="33"/>
    </row>
    <row r="42162" spans="10:10" x14ac:dyDescent="0.3">
      <c r="J42162" s="33"/>
    </row>
    <row r="42163" spans="10:10" x14ac:dyDescent="0.3">
      <c r="J42163" s="33"/>
    </row>
    <row r="42164" spans="10:10" x14ac:dyDescent="0.3">
      <c r="J42164" s="33"/>
    </row>
    <row r="42165" spans="10:10" x14ac:dyDescent="0.3">
      <c r="J42165" s="33"/>
    </row>
    <row r="42166" spans="10:10" x14ac:dyDescent="0.3">
      <c r="J42166" s="33"/>
    </row>
    <row r="42167" spans="10:10" x14ac:dyDescent="0.3">
      <c r="J42167" s="33"/>
    </row>
    <row r="42168" spans="10:10" x14ac:dyDescent="0.3">
      <c r="J42168" s="33"/>
    </row>
    <row r="42169" spans="10:10" x14ac:dyDescent="0.3">
      <c r="J42169" s="33"/>
    </row>
    <row r="42170" spans="10:10" x14ac:dyDescent="0.3">
      <c r="J42170" s="33"/>
    </row>
    <row r="42171" spans="10:10" x14ac:dyDescent="0.3">
      <c r="J42171" s="33"/>
    </row>
    <row r="42172" spans="10:10" x14ac:dyDescent="0.3">
      <c r="J42172" s="33"/>
    </row>
    <row r="42173" spans="10:10" x14ac:dyDescent="0.3">
      <c r="J42173" s="33"/>
    </row>
    <row r="42174" spans="10:10" x14ac:dyDescent="0.3">
      <c r="J42174" s="33"/>
    </row>
    <row r="42175" spans="10:10" x14ac:dyDescent="0.3">
      <c r="J42175" s="33"/>
    </row>
    <row r="42176" spans="10:10" x14ac:dyDescent="0.3">
      <c r="J42176" s="33"/>
    </row>
    <row r="42177" spans="10:10" x14ac:dyDescent="0.3">
      <c r="J42177" s="33"/>
    </row>
    <row r="42178" spans="10:10" x14ac:dyDescent="0.3">
      <c r="J42178" s="33"/>
    </row>
    <row r="42179" spans="10:10" x14ac:dyDescent="0.3">
      <c r="J42179" s="33"/>
    </row>
    <row r="42180" spans="10:10" x14ac:dyDescent="0.3">
      <c r="J42180" s="33"/>
    </row>
    <row r="42181" spans="10:10" x14ac:dyDescent="0.3">
      <c r="J42181" s="33"/>
    </row>
    <row r="42182" spans="10:10" x14ac:dyDescent="0.3">
      <c r="J42182" s="33"/>
    </row>
    <row r="42183" spans="10:10" x14ac:dyDescent="0.3">
      <c r="J42183" s="33"/>
    </row>
    <row r="42184" spans="10:10" x14ac:dyDescent="0.3">
      <c r="J42184" s="33"/>
    </row>
    <row r="42185" spans="10:10" x14ac:dyDescent="0.3">
      <c r="J42185" s="33"/>
    </row>
    <row r="42186" spans="10:10" x14ac:dyDescent="0.3">
      <c r="J42186" s="33"/>
    </row>
    <row r="42187" spans="10:10" x14ac:dyDescent="0.3">
      <c r="J42187" s="33"/>
    </row>
    <row r="42188" spans="10:10" x14ac:dyDescent="0.3">
      <c r="J42188" s="33"/>
    </row>
    <row r="42189" spans="10:10" x14ac:dyDescent="0.3">
      <c r="J42189" s="33"/>
    </row>
    <row r="42190" spans="10:10" x14ac:dyDescent="0.3">
      <c r="J42190" s="33"/>
    </row>
    <row r="42191" spans="10:10" x14ac:dyDescent="0.3">
      <c r="J42191" s="33"/>
    </row>
    <row r="42192" spans="10:10" x14ac:dyDescent="0.3">
      <c r="J42192" s="33"/>
    </row>
    <row r="42193" spans="10:10" x14ac:dyDescent="0.3">
      <c r="J42193" s="33"/>
    </row>
    <row r="42194" spans="10:10" x14ac:dyDescent="0.3">
      <c r="J42194" s="33"/>
    </row>
    <row r="42195" spans="10:10" x14ac:dyDescent="0.3">
      <c r="J42195" s="33"/>
    </row>
    <row r="42196" spans="10:10" x14ac:dyDescent="0.3">
      <c r="J42196" s="33"/>
    </row>
    <row r="42197" spans="10:10" x14ac:dyDescent="0.3">
      <c r="J42197" s="33"/>
    </row>
    <row r="42198" spans="10:10" x14ac:dyDescent="0.3">
      <c r="J42198" s="33"/>
    </row>
    <row r="42199" spans="10:10" x14ac:dyDescent="0.3">
      <c r="J42199" s="33"/>
    </row>
    <row r="42200" spans="10:10" x14ac:dyDescent="0.3">
      <c r="J42200" s="33"/>
    </row>
    <row r="42201" spans="10:10" x14ac:dyDescent="0.3">
      <c r="J42201" s="33"/>
    </row>
    <row r="42202" spans="10:10" x14ac:dyDescent="0.3">
      <c r="J42202" s="33"/>
    </row>
    <row r="42203" spans="10:10" x14ac:dyDescent="0.3">
      <c r="J42203" s="33"/>
    </row>
    <row r="42204" spans="10:10" x14ac:dyDescent="0.3">
      <c r="J42204" s="33"/>
    </row>
    <row r="42205" spans="10:10" x14ac:dyDescent="0.3">
      <c r="J42205" s="33"/>
    </row>
    <row r="42206" spans="10:10" x14ac:dyDescent="0.3">
      <c r="J42206" s="33"/>
    </row>
    <row r="42207" spans="10:10" x14ac:dyDescent="0.3">
      <c r="J42207" s="33"/>
    </row>
    <row r="42208" spans="10:10" x14ac:dyDescent="0.3">
      <c r="J42208" s="33"/>
    </row>
    <row r="42209" spans="10:10" x14ac:dyDescent="0.3">
      <c r="J42209" s="33"/>
    </row>
    <row r="42210" spans="10:10" x14ac:dyDescent="0.3">
      <c r="J42210" s="33"/>
    </row>
    <row r="42211" spans="10:10" x14ac:dyDescent="0.3">
      <c r="J42211" s="33"/>
    </row>
    <row r="42212" spans="10:10" x14ac:dyDescent="0.3">
      <c r="J42212" s="33"/>
    </row>
    <row r="42213" spans="10:10" x14ac:dyDescent="0.3">
      <c r="J42213" s="33"/>
    </row>
    <row r="42214" spans="10:10" x14ac:dyDescent="0.3">
      <c r="J42214" s="33"/>
    </row>
    <row r="42215" spans="10:10" x14ac:dyDescent="0.3">
      <c r="J42215" s="33"/>
    </row>
    <row r="42216" spans="10:10" x14ac:dyDescent="0.3">
      <c r="J42216" s="33"/>
    </row>
    <row r="42217" spans="10:10" x14ac:dyDescent="0.3">
      <c r="J42217" s="33"/>
    </row>
    <row r="42218" spans="10:10" x14ac:dyDescent="0.3">
      <c r="J42218" s="33"/>
    </row>
    <row r="42219" spans="10:10" x14ac:dyDescent="0.3">
      <c r="J42219" s="33"/>
    </row>
    <row r="42220" spans="10:10" x14ac:dyDescent="0.3">
      <c r="J42220" s="33"/>
    </row>
    <row r="42221" spans="10:10" x14ac:dyDescent="0.3">
      <c r="J42221" s="33"/>
    </row>
    <row r="42222" spans="10:10" x14ac:dyDescent="0.3">
      <c r="J42222" s="33"/>
    </row>
    <row r="42223" spans="10:10" x14ac:dyDescent="0.3">
      <c r="J42223" s="33"/>
    </row>
    <row r="42224" spans="10:10" x14ac:dyDescent="0.3">
      <c r="J42224" s="33"/>
    </row>
    <row r="42225" spans="10:10" x14ac:dyDescent="0.3">
      <c r="J42225" s="33"/>
    </row>
    <row r="42226" spans="10:10" x14ac:dyDescent="0.3">
      <c r="J42226" s="33"/>
    </row>
    <row r="42227" spans="10:10" x14ac:dyDescent="0.3">
      <c r="J42227" s="33"/>
    </row>
    <row r="42228" spans="10:10" x14ac:dyDescent="0.3">
      <c r="J42228" s="33"/>
    </row>
    <row r="42229" spans="10:10" x14ac:dyDescent="0.3">
      <c r="J42229" s="33"/>
    </row>
    <row r="42230" spans="10:10" x14ac:dyDescent="0.3">
      <c r="J42230" s="33"/>
    </row>
    <row r="42231" spans="10:10" x14ac:dyDescent="0.3">
      <c r="J42231" s="33"/>
    </row>
    <row r="42232" spans="10:10" x14ac:dyDescent="0.3">
      <c r="J42232" s="33"/>
    </row>
    <row r="42233" spans="10:10" x14ac:dyDescent="0.3">
      <c r="J42233" s="33"/>
    </row>
    <row r="42234" spans="10:10" x14ac:dyDescent="0.3">
      <c r="J42234" s="33"/>
    </row>
    <row r="42235" spans="10:10" x14ac:dyDescent="0.3">
      <c r="J42235" s="33"/>
    </row>
    <row r="42236" spans="10:10" x14ac:dyDescent="0.3">
      <c r="J42236" s="33"/>
    </row>
    <row r="42237" spans="10:10" x14ac:dyDescent="0.3">
      <c r="J42237" s="33"/>
    </row>
    <row r="42238" spans="10:10" x14ac:dyDescent="0.3">
      <c r="J42238" s="33"/>
    </row>
    <row r="42239" spans="10:10" x14ac:dyDescent="0.3">
      <c r="J42239" s="33"/>
    </row>
    <row r="42240" spans="10:10" x14ac:dyDescent="0.3">
      <c r="J42240" s="33"/>
    </row>
    <row r="42241" spans="10:10" x14ac:dyDescent="0.3">
      <c r="J42241" s="33"/>
    </row>
    <row r="42242" spans="10:10" x14ac:dyDescent="0.3">
      <c r="J42242" s="33"/>
    </row>
    <row r="42243" spans="10:10" x14ac:dyDescent="0.3">
      <c r="J42243" s="33"/>
    </row>
    <row r="42244" spans="10:10" x14ac:dyDescent="0.3">
      <c r="J42244" s="33"/>
    </row>
    <row r="42245" spans="10:10" x14ac:dyDescent="0.3">
      <c r="J42245" s="33"/>
    </row>
    <row r="42246" spans="10:10" x14ac:dyDescent="0.3">
      <c r="J42246" s="33"/>
    </row>
    <row r="42247" spans="10:10" x14ac:dyDescent="0.3">
      <c r="J42247" s="33"/>
    </row>
    <row r="42248" spans="10:10" x14ac:dyDescent="0.3">
      <c r="J42248" s="33"/>
    </row>
    <row r="42249" spans="10:10" x14ac:dyDescent="0.3">
      <c r="J42249" s="33"/>
    </row>
    <row r="42250" spans="10:10" x14ac:dyDescent="0.3">
      <c r="J42250" s="33"/>
    </row>
    <row r="42251" spans="10:10" x14ac:dyDescent="0.3">
      <c r="J42251" s="33"/>
    </row>
    <row r="42252" spans="10:10" x14ac:dyDescent="0.3">
      <c r="J42252" s="33"/>
    </row>
    <row r="42253" spans="10:10" x14ac:dyDescent="0.3">
      <c r="J42253" s="33"/>
    </row>
    <row r="42254" spans="10:10" x14ac:dyDescent="0.3">
      <c r="J42254" s="33"/>
    </row>
    <row r="42255" spans="10:10" x14ac:dyDescent="0.3">
      <c r="J42255" s="33"/>
    </row>
    <row r="42256" spans="10:10" x14ac:dyDescent="0.3">
      <c r="J42256" s="33"/>
    </row>
    <row r="42257" spans="10:10" x14ac:dyDescent="0.3">
      <c r="J42257" s="33"/>
    </row>
    <row r="42258" spans="10:10" x14ac:dyDescent="0.3">
      <c r="J42258" s="33"/>
    </row>
    <row r="42259" spans="10:10" x14ac:dyDescent="0.3">
      <c r="J42259" s="33"/>
    </row>
    <row r="42260" spans="10:10" x14ac:dyDescent="0.3">
      <c r="J42260" s="33"/>
    </row>
    <row r="42261" spans="10:10" x14ac:dyDescent="0.3">
      <c r="J42261" s="33"/>
    </row>
    <row r="42262" spans="10:10" x14ac:dyDescent="0.3">
      <c r="J42262" s="33"/>
    </row>
    <row r="42263" spans="10:10" x14ac:dyDescent="0.3">
      <c r="J42263" s="33"/>
    </row>
    <row r="42264" spans="10:10" x14ac:dyDescent="0.3">
      <c r="J42264" s="33"/>
    </row>
    <row r="42265" spans="10:10" x14ac:dyDescent="0.3">
      <c r="J42265" s="33"/>
    </row>
    <row r="42266" spans="10:10" x14ac:dyDescent="0.3">
      <c r="J42266" s="33"/>
    </row>
    <row r="42267" spans="10:10" x14ac:dyDescent="0.3">
      <c r="J42267" s="33"/>
    </row>
    <row r="42268" spans="10:10" x14ac:dyDescent="0.3">
      <c r="J42268" s="33"/>
    </row>
    <row r="42269" spans="10:10" x14ac:dyDescent="0.3">
      <c r="J42269" s="33"/>
    </row>
    <row r="42270" spans="10:10" x14ac:dyDescent="0.3">
      <c r="J42270" s="33"/>
    </row>
    <row r="42271" spans="10:10" x14ac:dyDescent="0.3">
      <c r="J42271" s="33"/>
    </row>
    <row r="42272" spans="10:10" x14ac:dyDescent="0.3">
      <c r="J42272" s="33"/>
    </row>
    <row r="42273" spans="10:10" x14ac:dyDescent="0.3">
      <c r="J42273" s="33"/>
    </row>
    <row r="42274" spans="10:10" x14ac:dyDescent="0.3">
      <c r="J42274" s="33"/>
    </row>
    <row r="42275" spans="10:10" x14ac:dyDescent="0.3">
      <c r="J42275" s="33"/>
    </row>
    <row r="42276" spans="10:10" x14ac:dyDescent="0.3">
      <c r="J42276" s="33"/>
    </row>
    <row r="42277" spans="10:10" x14ac:dyDescent="0.3">
      <c r="J42277" s="33"/>
    </row>
    <row r="42278" spans="10:10" x14ac:dyDescent="0.3">
      <c r="J42278" s="33"/>
    </row>
    <row r="42279" spans="10:10" x14ac:dyDescent="0.3">
      <c r="J42279" s="33"/>
    </row>
    <row r="42280" spans="10:10" x14ac:dyDescent="0.3">
      <c r="J42280" s="33"/>
    </row>
    <row r="42281" spans="10:10" x14ac:dyDescent="0.3">
      <c r="J42281" s="33"/>
    </row>
    <row r="42282" spans="10:10" x14ac:dyDescent="0.3">
      <c r="J42282" s="33"/>
    </row>
    <row r="42283" spans="10:10" x14ac:dyDescent="0.3">
      <c r="J42283" s="33"/>
    </row>
    <row r="42284" spans="10:10" x14ac:dyDescent="0.3">
      <c r="J42284" s="33"/>
    </row>
    <row r="42285" spans="10:10" x14ac:dyDescent="0.3">
      <c r="J42285" s="33"/>
    </row>
    <row r="42286" spans="10:10" x14ac:dyDescent="0.3">
      <c r="J42286" s="33"/>
    </row>
    <row r="42287" spans="10:10" x14ac:dyDescent="0.3">
      <c r="J42287" s="33"/>
    </row>
    <row r="42288" spans="10:10" x14ac:dyDescent="0.3">
      <c r="J42288" s="33"/>
    </row>
    <row r="42289" spans="10:10" x14ac:dyDescent="0.3">
      <c r="J42289" s="33"/>
    </row>
    <row r="42290" spans="10:10" x14ac:dyDescent="0.3">
      <c r="J42290" s="33"/>
    </row>
    <row r="42291" spans="10:10" x14ac:dyDescent="0.3">
      <c r="J42291" s="33"/>
    </row>
    <row r="42292" spans="10:10" x14ac:dyDescent="0.3">
      <c r="J42292" s="33"/>
    </row>
    <row r="42293" spans="10:10" x14ac:dyDescent="0.3">
      <c r="J42293" s="33"/>
    </row>
    <row r="42294" spans="10:10" x14ac:dyDescent="0.3">
      <c r="J42294" s="33"/>
    </row>
    <row r="42295" spans="10:10" x14ac:dyDescent="0.3">
      <c r="J42295" s="33"/>
    </row>
    <row r="42296" spans="10:10" x14ac:dyDescent="0.3">
      <c r="J42296" s="33"/>
    </row>
    <row r="42297" spans="10:10" x14ac:dyDescent="0.3">
      <c r="J42297" s="33"/>
    </row>
    <row r="42298" spans="10:10" x14ac:dyDescent="0.3">
      <c r="J42298" s="33"/>
    </row>
    <row r="42299" spans="10:10" x14ac:dyDescent="0.3">
      <c r="J42299" s="33"/>
    </row>
    <row r="42300" spans="10:10" x14ac:dyDescent="0.3">
      <c r="J42300" s="33"/>
    </row>
    <row r="42301" spans="10:10" x14ac:dyDescent="0.3">
      <c r="J42301" s="33"/>
    </row>
    <row r="42302" spans="10:10" x14ac:dyDescent="0.3">
      <c r="J42302" s="33"/>
    </row>
    <row r="42303" spans="10:10" x14ac:dyDescent="0.3">
      <c r="J42303" s="33"/>
    </row>
    <row r="42304" spans="10:10" x14ac:dyDescent="0.3">
      <c r="J42304" s="33"/>
    </row>
    <row r="42305" spans="10:10" x14ac:dyDescent="0.3">
      <c r="J42305" s="33"/>
    </row>
    <row r="42306" spans="10:10" x14ac:dyDescent="0.3">
      <c r="J42306" s="33"/>
    </row>
    <row r="42307" spans="10:10" x14ac:dyDescent="0.3">
      <c r="J42307" s="33"/>
    </row>
    <row r="42308" spans="10:10" x14ac:dyDescent="0.3">
      <c r="J42308" s="33"/>
    </row>
    <row r="42309" spans="10:10" x14ac:dyDescent="0.3">
      <c r="J42309" s="33"/>
    </row>
    <row r="42310" spans="10:10" x14ac:dyDescent="0.3">
      <c r="J42310" s="33"/>
    </row>
    <row r="42311" spans="10:10" x14ac:dyDescent="0.3">
      <c r="J42311" s="33"/>
    </row>
    <row r="42312" spans="10:10" x14ac:dyDescent="0.3">
      <c r="J42312" s="33"/>
    </row>
    <row r="42313" spans="10:10" x14ac:dyDescent="0.3">
      <c r="J42313" s="33"/>
    </row>
    <row r="42314" spans="10:10" x14ac:dyDescent="0.3">
      <c r="J42314" s="33"/>
    </row>
    <row r="42315" spans="10:10" x14ac:dyDescent="0.3">
      <c r="J42315" s="33"/>
    </row>
    <row r="42316" spans="10:10" x14ac:dyDescent="0.3">
      <c r="J42316" s="33"/>
    </row>
    <row r="42317" spans="10:10" x14ac:dyDescent="0.3">
      <c r="J42317" s="33"/>
    </row>
    <row r="42318" spans="10:10" x14ac:dyDescent="0.3">
      <c r="J42318" s="33"/>
    </row>
    <row r="42319" spans="10:10" x14ac:dyDescent="0.3">
      <c r="J42319" s="33"/>
    </row>
    <row r="42320" spans="10:10" x14ac:dyDescent="0.3">
      <c r="J42320" s="33"/>
    </row>
    <row r="42321" spans="10:10" x14ac:dyDescent="0.3">
      <c r="J42321" s="33"/>
    </row>
    <row r="42322" spans="10:10" x14ac:dyDescent="0.3">
      <c r="J42322" s="33"/>
    </row>
    <row r="42323" spans="10:10" x14ac:dyDescent="0.3">
      <c r="J42323" s="33"/>
    </row>
    <row r="42324" spans="10:10" x14ac:dyDescent="0.3">
      <c r="J42324" s="33"/>
    </row>
    <row r="42325" spans="10:10" x14ac:dyDescent="0.3">
      <c r="J42325" s="33"/>
    </row>
    <row r="42326" spans="10:10" x14ac:dyDescent="0.3">
      <c r="J42326" s="33"/>
    </row>
    <row r="42327" spans="10:10" x14ac:dyDescent="0.3">
      <c r="J42327" s="33"/>
    </row>
    <row r="42328" spans="10:10" x14ac:dyDescent="0.3">
      <c r="J42328" s="33"/>
    </row>
    <row r="42329" spans="10:10" x14ac:dyDescent="0.3">
      <c r="J42329" s="33"/>
    </row>
    <row r="42330" spans="10:10" x14ac:dyDescent="0.3">
      <c r="J42330" s="33"/>
    </row>
    <row r="42331" spans="10:10" x14ac:dyDescent="0.3">
      <c r="J42331" s="33"/>
    </row>
    <row r="42332" spans="10:10" x14ac:dyDescent="0.3">
      <c r="J42332" s="33"/>
    </row>
    <row r="42333" spans="10:10" x14ac:dyDescent="0.3">
      <c r="J42333" s="33"/>
    </row>
    <row r="42334" spans="10:10" x14ac:dyDescent="0.3">
      <c r="J42334" s="33"/>
    </row>
    <row r="42335" spans="10:10" x14ac:dyDescent="0.3">
      <c r="J42335" s="33"/>
    </row>
    <row r="42336" spans="10:10" x14ac:dyDescent="0.3">
      <c r="J42336" s="33"/>
    </row>
    <row r="42337" spans="10:10" x14ac:dyDescent="0.3">
      <c r="J42337" s="33"/>
    </row>
    <row r="42338" spans="10:10" x14ac:dyDescent="0.3">
      <c r="J42338" s="33"/>
    </row>
    <row r="42339" spans="10:10" x14ac:dyDescent="0.3">
      <c r="J42339" s="33"/>
    </row>
    <row r="42340" spans="10:10" x14ac:dyDescent="0.3">
      <c r="J42340" s="33"/>
    </row>
    <row r="42341" spans="10:10" x14ac:dyDescent="0.3">
      <c r="J42341" s="33"/>
    </row>
    <row r="42342" spans="10:10" x14ac:dyDescent="0.3">
      <c r="J42342" s="33"/>
    </row>
    <row r="42343" spans="10:10" x14ac:dyDescent="0.3">
      <c r="J42343" s="33"/>
    </row>
    <row r="42344" spans="10:10" x14ac:dyDescent="0.3">
      <c r="J42344" s="33"/>
    </row>
    <row r="42345" spans="10:10" x14ac:dyDescent="0.3">
      <c r="J42345" s="33"/>
    </row>
    <row r="42346" spans="10:10" x14ac:dyDescent="0.3">
      <c r="J42346" s="33"/>
    </row>
    <row r="42347" spans="10:10" x14ac:dyDescent="0.3">
      <c r="J42347" s="33"/>
    </row>
    <row r="42348" spans="10:10" x14ac:dyDescent="0.3">
      <c r="J42348" s="33"/>
    </row>
    <row r="42349" spans="10:10" x14ac:dyDescent="0.3">
      <c r="J42349" s="33"/>
    </row>
    <row r="42350" spans="10:10" x14ac:dyDescent="0.3">
      <c r="J42350" s="33"/>
    </row>
    <row r="42351" spans="10:10" x14ac:dyDescent="0.3">
      <c r="J42351" s="33"/>
    </row>
    <row r="42352" spans="10:10" x14ac:dyDescent="0.3">
      <c r="J42352" s="33"/>
    </row>
    <row r="42353" spans="10:10" x14ac:dyDescent="0.3">
      <c r="J42353" s="33"/>
    </row>
    <row r="42354" spans="10:10" x14ac:dyDescent="0.3">
      <c r="J42354" s="33"/>
    </row>
    <row r="42355" spans="10:10" x14ac:dyDescent="0.3">
      <c r="J42355" s="33"/>
    </row>
    <row r="42356" spans="10:10" x14ac:dyDescent="0.3">
      <c r="J42356" s="33"/>
    </row>
    <row r="42357" spans="10:10" x14ac:dyDescent="0.3">
      <c r="J42357" s="33"/>
    </row>
    <row r="42358" spans="10:10" x14ac:dyDescent="0.3">
      <c r="J42358" s="33"/>
    </row>
    <row r="42359" spans="10:10" x14ac:dyDescent="0.3">
      <c r="J42359" s="33"/>
    </row>
    <row r="42360" spans="10:10" x14ac:dyDescent="0.3">
      <c r="J42360" s="33"/>
    </row>
    <row r="42361" spans="10:10" x14ac:dyDescent="0.3">
      <c r="J42361" s="33"/>
    </row>
    <row r="42362" spans="10:10" x14ac:dyDescent="0.3">
      <c r="J42362" s="33"/>
    </row>
    <row r="42363" spans="10:10" x14ac:dyDescent="0.3">
      <c r="J42363" s="33"/>
    </row>
    <row r="42364" spans="10:10" x14ac:dyDescent="0.3">
      <c r="J42364" s="33"/>
    </row>
    <row r="42365" spans="10:10" x14ac:dyDescent="0.3">
      <c r="J42365" s="33"/>
    </row>
    <row r="42366" spans="10:10" x14ac:dyDescent="0.3">
      <c r="J42366" s="33"/>
    </row>
    <row r="42367" spans="10:10" x14ac:dyDescent="0.3">
      <c r="J42367" s="33"/>
    </row>
    <row r="42368" spans="10:10" x14ac:dyDescent="0.3">
      <c r="J42368" s="33"/>
    </row>
    <row r="42369" spans="10:10" x14ac:dyDescent="0.3">
      <c r="J42369" s="33"/>
    </row>
    <row r="42370" spans="10:10" x14ac:dyDescent="0.3">
      <c r="J42370" s="33"/>
    </row>
    <row r="42371" spans="10:10" x14ac:dyDescent="0.3">
      <c r="J42371" s="33"/>
    </row>
    <row r="42372" spans="10:10" x14ac:dyDescent="0.3">
      <c r="J42372" s="33"/>
    </row>
    <row r="42373" spans="10:10" x14ac:dyDescent="0.3">
      <c r="J42373" s="33"/>
    </row>
    <row r="42374" spans="10:10" x14ac:dyDescent="0.3">
      <c r="J42374" s="33"/>
    </row>
    <row r="42375" spans="10:10" x14ac:dyDescent="0.3">
      <c r="J42375" s="33"/>
    </row>
    <row r="42376" spans="10:10" x14ac:dyDescent="0.3">
      <c r="J42376" s="33"/>
    </row>
    <row r="42377" spans="10:10" x14ac:dyDescent="0.3">
      <c r="J42377" s="33"/>
    </row>
    <row r="42378" spans="10:10" x14ac:dyDescent="0.3">
      <c r="J42378" s="33"/>
    </row>
    <row r="42379" spans="10:10" x14ac:dyDescent="0.3">
      <c r="J42379" s="33"/>
    </row>
    <row r="42380" spans="10:10" x14ac:dyDescent="0.3">
      <c r="J42380" s="33"/>
    </row>
    <row r="42381" spans="10:10" x14ac:dyDescent="0.3">
      <c r="J42381" s="33"/>
    </row>
    <row r="42382" spans="10:10" x14ac:dyDescent="0.3">
      <c r="J42382" s="33"/>
    </row>
    <row r="42383" spans="10:10" x14ac:dyDescent="0.3">
      <c r="J42383" s="33"/>
    </row>
    <row r="42384" spans="10:10" x14ac:dyDescent="0.3">
      <c r="J42384" s="33"/>
    </row>
    <row r="42385" spans="10:10" x14ac:dyDescent="0.3">
      <c r="J42385" s="33"/>
    </row>
    <row r="42386" spans="10:10" x14ac:dyDescent="0.3">
      <c r="J42386" s="33"/>
    </row>
    <row r="42387" spans="10:10" x14ac:dyDescent="0.3">
      <c r="J42387" s="33"/>
    </row>
    <row r="42388" spans="10:10" x14ac:dyDescent="0.3">
      <c r="J42388" s="33"/>
    </row>
    <row r="42389" spans="10:10" x14ac:dyDescent="0.3">
      <c r="J42389" s="33"/>
    </row>
    <row r="42390" spans="10:10" x14ac:dyDescent="0.3">
      <c r="J42390" s="33"/>
    </row>
    <row r="42391" spans="10:10" x14ac:dyDescent="0.3">
      <c r="J42391" s="33"/>
    </row>
    <row r="42392" spans="10:10" x14ac:dyDescent="0.3">
      <c r="J42392" s="33"/>
    </row>
    <row r="42393" spans="10:10" x14ac:dyDescent="0.3">
      <c r="J42393" s="33"/>
    </row>
    <row r="42394" spans="10:10" x14ac:dyDescent="0.3">
      <c r="J42394" s="33"/>
    </row>
    <row r="42395" spans="10:10" x14ac:dyDescent="0.3">
      <c r="J42395" s="33"/>
    </row>
    <row r="42396" spans="10:10" x14ac:dyDescent="0.3">
      <c r="J42396" s="33"/>
    </row>
    <row r="42397" spans="10:10" x14ac:dyDescent="0.3">
      <c r="J42397" s="33"/>
    </row>
    <row r="42398" spans="10:10" x14ac:dyDescent="0.3">
      <c r="J42398" s="33"/>
    </row>
    <row r="42399" spans="10:10" x14ac:dyDescent="0.3">
      <c r="J42399" s="33"/>
    </row>
    <row r="42400" spans="10:10" x14ac:dyDescent="0.3">
      <c r="J42400" s="33"/>
    </row>
    <row r="42401" spans="10:10" x14ac:dyDescent="0.3">
      <c r="J42401" s="33"/>
    </row>
    <row r="42402" spans="10:10" x14ac:dyDescent="0.3">
      <c r="J42402" s="33"/>
    </row>
    <row r="42403" spans="10:10" x14ac:dyDescent="0.3">
      <c r="J42403" s="33"/>
    </row>
    <row r="42404" spans="10:10" x14ac:dyDescent="0.3">
      <c r="J42404" s="33"/>
    </row>
    <row r="42405" spans="10:10" x14ac:dyDescent="0.3">
      <c r="J42405" s="33"/>
    </row>
    <row r="42406" spans="10:10" x14ac:dyDescent="0.3">
      <c r="J42406" s="33"/>
    </row>
    <row r="42407" spans="10:10" x14ac:dyDescent="0.3">
      <c r="J42407" s="33"/>
    </row>
    <row r="42408" spans="10:10" x14ac:dyDescent="0.3">
      <c r="J42408" s="33"/>
    </row>
    <row r="42409" spans="10:10" x14ac:dyDescent="0.3">
      <c r="J42409" s="33"/>
    </row>
    <row r="42410" spans="10:10" x14ac:dyDescent="0.3">
      <c r="J42410" s="33"/>
    </row>
    <row r="42411" spans="10:10" x14ac:dyDescent="0.3">
      <c r="J42411" s="33"/>
    </row>
    <row r="42412" spans="10:10" x14ac:dyDescent="0.3">
      <c r="J42412" s="33"/>
    </row>
    <row r="42413" spans="10:10" x14ac:dyDescent="0.3">
      <c r="J42413" s="33"/>
    </row>
    <row r="42414" spans="10:10" x14ac:dyDescent="0.3">
      <c r="J42414" s="33"/>
    </row>
    <row r="42415" spans="10:10" x14ac:dyDescent="0.3">
      <c r="J42415" s="33"/>
    </row>
    <row r="42416" spans="10:10" x14ac:dyDescent="0.3">
      <c r="J42416" s="33"/>
    </row>
    <row r="42417" spans="10:10" x14ac:dyDescent="0.3">
      <c r="J42417" s="33"/>
    </row>
    <row r="42418" spans="10:10" x14ac:dyDescent="0.3">
      <c r="J42418" s="33"/>
    </row>
    <row r="42419" spans="10:10" x14ac:dyDescent="0.3">
      <c r="J42419" s="33"/>
    </row>
    <row r="42420" spans="10:10" x14ac:dyDescent="0.3">
      <c r="J42420" s="33"/>
    </row>
    <row r="42421" spans="10:10" x14ac:dyDescent="0.3">
      <c r="J42421" s="33"/>
    </row>
    <row r="42422" spans="10:10" x14ac:dyDescent="0.3">
      <c r="J42422" s="33"/>
    </row>
    <row r="42423" spans="10:10" x14ac:dyDescent="0.3">
      <c r="J42423" s="33"/>
    </row>
    <row r="42424" spans="10:10" x14ac:dyDescent="0.3">
      <c r="J42424" s="33"/>
    </row>
    <row r="42425" spans="10:10" x14ac:dyDescent="0.3">
      <c r="J42425" s="33"/>
    </row>
    <row r="42426" spans="10:10" x14ac:dyDescent="0.3">
      <c r="J42426" s="33"/>
    </row>
    <row r="42427" spans="10:10" x14ac:dyDescent="0.3">
      <c r="J42427" s="33"/>
    </row>
    <row r="42428" spans="10:10" x14ac:dyDescent="0.3">
      <c r="J42428" s="33"/>
    </row>
    <row r="42429" spans="10:10" x14ac:dyDescent="0.3">
      <c r="J42429" s="33"/>
    </row>
    <row r="42430" spans="10:10" x14ac:dyDescent="0.3">
      <c r="J42430" s="33"/>
    </row>
    <row r="42431" spans="10:10" x14ac:dyDescent="0.3">
      <c r="J42431" s="33"/>
    </row>
    <row r="42432" spans="10:10" x14ac:dyDescent="0.3">
      <c r="J42432" s="33"/>
    </row>
    <row r="42433" spans="10:10" x14ac:dyDescent="0.3">
      <c r="J42433" s="33"/>
    </row>
    <row r="42434" spans="10:10" x14ac:dyDescent="0.3">
      <c r="J42434" s="33"/>
    </row>
    <row r="42435" spans="10:10" x14ac:dyDescent="0.3">
      <c r="J42435" s="33"/>
    </row>
    <row r="42436" spans="10:10" x14ac:dyDescent="0.3">
      <c r="J42436" s="33"/>
    </row>
    <row r="42437" spans="10:10" x14ac:dyDescent="0.3">
      <c r="J42437" s="33"/>
    </row>
    <row r="42438" spans="10:10" x14ac:dyDescent="0.3">
      <c r="J42438" s="33"/>
    </row>
    <row r="42439" spans="10:10" x14ac:dyDescent="0.3">
      <c r="J42439" s="33"/>
    </row>
    <row r="42440" spans="10:10" x14ac:dyDescent="0.3">
      <c r="J42440" s="33"/>
    </row>
    <row r="42441" spans="10:10" x14ac:dyDescent="0.3">
      <c r="J42441" s="33"/>
    </row>
    <row r="42442" spans="10:10" x14ac:dyDescent="0.3">
      <c r="J42442" s="33"/>
    </row>
    <row r="42443" spans="10:10" x14ac:dyDescent="0.3">
      <c r="J42443" s="33"/>
    </row>
    <row r="42444" spans="10:10" x14ac:dyDescent="0.3">
      <c r="J42444" s="33"/>
    </row>
    <row r="42445" spans="10:10" x14ac:dyDescent="0.3">
      <c r="J42445" s="33"/>
    </row>
    <row r="42446" spans="10:10" x14ac:dyDescent="0.3">
      <c r="J42446" s="33"/>
    </row>
    <row r="42447" spans="10:10" x14ac:dyDescent="0.3">
      <c r="J42447" s="33"/>
    </row>
    <row r="42448" spans="10:10" x14ac:dyDescent="0.3">
      <c r="J42448" s="33"/>
    </row>
    <row r="42449" spans="10:10" x14ac:dyDescent="0.3">
      <c r="J42449" s="33"/>
    </row>
    <row r="42450" spans="10:10" x14ac:dyDescent="0.3">
      <c r="J42450" s="33"/>
    </row>
    <row r="42451" spans="10:10" x14ac:dyDescent="0.3">
      <c r="J42451" s="33"/>
    </row>
    <row r="42452" spans="10:10" x14ac:dyDescent="0.3">
      <c r="J42452" s="33"/>
    </row>
    <row r="42453" spans="10:10" x14ac:dyDescent="0.3">
      <c r="J42453" s="33"/>
    </row>
    <row r="42454" spans="10:10" x14ac:dyDescent="0.3">
      <c r="J42454" s="33"/>
    </row>
    <row r="42455" spans="10:10" x14ac:dyDescent="0.3">
      <c r="J42455" s="33"/>
    </row>
    <row r="42456" spans="10:10" x14ac:dyDescent="0.3">
      <c r="J42456" s="33"/>
    </row>
    <row r="42457" spans="10:10" x14ac:dyDescent="0.3">
      <c r="J42457" s="33"/>
    </row>
    <row r="42458" spans="10:10" x14ac:dyDescent="0.3">
      <c r="J42458" s="33"/>
    </row>
    <row r="42459" spans="10:10" x14ac:dyDescent="0.3">
      <c r="J42459" s="33"/>
    </row>
    <row r="42460" spans="10:10" x14ac:dyDescent="0.3">
      <c r="J42460" s="33"/>
    </row>
    <row r="42461" spans="10:10" x14ac:dyDescent="0.3">
      <c r="J42461" s="33"/>
    </row>
    <row r="42462" spans="10:10" x14ac:dyDescent="0.3">
      <c r="J42462" s="33"/>
    </row>
    <row r="42463" spans="10:10" x14ac:dyDescent="0.3">
      <c r="J42463" s="33"/>
    </row>
    <row r="42464" spans="10:10" x14ac:dyDescent="0.3">
      <c r="J42464" s="33"/>
    </row>
    <row r="42465" spans="10:10" x14ac:dyDescent="0.3">
      <c r="J42465" s="33"/>
    </row>
    <row r="42466" spans="10:10" x14ac:dyDescent="0.3">
      <c r="J42466" s="33"/>
    </row>
    <row r="42467" spans="10:10" x14ac:dyDescent="0.3">
      <c r="J42467" s="33"/>
    </row>
    <row r="42468" spans="10:10" x14ac:dyDescent="0.3">
      <c r="J42468" s="33"/>
    </row>
    <row r="42469" spans="10:10" x14ac:dyDescent="0.3">
      <c r="J42469" s="33"/>
    </row>
    <row r="42470" spans="10:10" x14ac:dyDescent="0.3">
      <c r="J42470" s="33"/>
    </row>
    <row r="42471" spans="10:10" x14ac:dyDescent="0.3">
      <c r="J42471" s="33"/>
    </row>
    <row r="42472" spans="10:10" x14ac:dyDescent="0.3">
      <c r="J42472" s="33"/>
    </row>
    <row r="42473" spans="10:10" x14ac:dyDescent="0.3">
      <c r="J42473" s="33"/>
    </row>
    <row r="42474" spans="10:10" x14ac:dyDescent="0.3">
      <c r="J42474" s="33"/>
    </row>
    <row r="42475" spans="10:10" x14ac:dyDescent="0.3">
      <c r="J42475" s="33"/>
    </row>
    <row r="42476" spans="10:10" x14ac:dyDescent="0.3">
      <c r="J42476" s="33"/>
    </row>
    <row r="42477" spans="10:10" x14ac:dyDescent="0.3">
      <c r="J42477" s="33"/>
    </row>
    <row r="42478" spans="10:10" x14ac:dyDescent="0.3">
      <c r="J42478" s="33"/>
    </row>
    <row r="42479" spans="10:10" x14ac:dyDescent="0.3">
      <c r="J42479" s="33"/>
    </row>
    <row r="42480" spans="10:10" x14ac:dyDescent="0.3">
      <c r="J42480" s="33"/>
    </row>
    <row r="42481" spans="10:10" x14ac:dyDescent="0.3">
      <c r="J42481" s="33"/>
    </row>
    <row r="42482" spans="10:10" x14ac:dyDescent="0.3">
      <c r="J42482" s="33"/>
    </row>
    <row r="42483" spans="10:10" x14ac:dyDescent="0.3">
      <c r="J42483" s="33"/>
    </row>
    <row r="42484" spans="10:10" x14ac:dyDescent="0.3">
      <c r="J42484" s="33"/>
    </row>
    <row r="42485" spans="10:10" x14ac:dyDescent="0.3">
      <c r="J42485" s="33"/>
    </row>
    <row r="42486" spans="10:10" x14ac:dyDescent="0.3">
      <c r="J42486" s="33"/>
    </row>
    <row r="42487" spans="10:10" x14ac:dyDescent="0.3">
      <c r="J42487" s="33"/>
    </row>
    <row r="42488" spans="10:10" x14ac:dyDescent="0.3">
      <c r="J42488" s="33"/>
    </row>
    <row r="42489" spans="10:10" x14ac:dyDescent="0.3">
      <c r="J42489" s="33"/>
    </row>
    <row r="42490" spans="10:10" x14ac:dyDescent="0.3">
      <c r="J42490" s="33"/>
    </row>
    <row r="42491" spans="10:10" x14ac:dyDescent="0.3">
      <c r="J42491" s="33"/>
    </row>
    <row r="42492" spans="10:10" x14ac:dyDescent="0.3">
      <c r="J42492" s="33"/>
    </row>
    <row r="42493" spans="10:10" x14ac:dyDescent="0.3">
      <c r="J42493" s="33"/>
    </row>
    <row r="42494" spans="10:10" x14ac:dyDescent="0.3">
      <c r="J42494" s="33"/>
    </row>
    <row r="42495" spans="10:10" x14ac:dyDescent="0.3">
      <c r="J42495" s="33"/>
    </row>
    <row r="42496" spans="10:10" x14ac:dyDescent="0.3">
      <c r="J42496" s="33"/>
    </row>
    <row r="42497" spans="10:10" x14ac:dyDescent="0.3">
      <c r="J42497" s="33"/>
    </row>
    <row r="42498" spans="10:10" x14ac:dyDescent="0.3">
      <c r="J42498" s="33"/>
    </row>
    <row r="42499" spans="10:10" x14ac:dyDescent="0.3">
      <c r="J42499" s="33"/>
    </row>
    <row r="42500" spans="10:10" x14ac:dyDescent="0.3">
      <c r="J42500" s="33"/>
    </row>
    <row r="42501" spans="10:10" x14ac:dyDescent="0.3">
      <c r="J42501" s="33"/>
    </row>
    <row r="42502" spans="10:10" x14ac:dyDescent="0.3">
      <c r="J42502" s="33"/>
    </row>
    <row r="42503" spans="10:10" x14ac:dyDescent="0.3">
      <c r="J42503" s="33"/>
    </row>
    <row r="42504" spans="10:10" x14ac:dyDescent="0.3">
      <c r="J42504" s="33"/>
    </row>
    <row r="42505" spans="10:10" x14ac:dyDescent="0.3">
      <c r="J42505" s="33"/>
    </row>
    <row r="42506" spans="10:10" x14ac:dyDescent="0.3">
      <c r="J42506" s="33"/>
    </row>
    <row r="42507" spans="10:10" x14ac:dyDescent="0.3">
      <c r="J42507" s="33"/>
    </row>
    <row r="42508" spans="10:10" x14ac:dyDescent="0.3">
      <c r="J42508" s="33"/>
    </row>
    <row r="42509" spans="10:10" x14ac:dyDescent="0.3">
      <c r="J42509" s="33"/>
    </row>
    <row r="42510" spans="10:10" x14ac:dyDescent="0.3">
      <c r="J42510" s="33"/>
    </row>
    <row r="42511" spans="10:10" x14ac:dyDescent="0.3">
      <c r="J42511" s="33"/>
    </row>
    <row r="42512" spans="10:10" x14ac:dyDescent="0.3">
      <c r="J42512" s="33"/>
    </row>
    <row r="42513" spans="10:10" x14ac:dyDescent="0.3">
      <c r="J42513" s="33"/>
    </row>
    <row r="42514" spans="10:10" x14ac:dyDescent="0.3">
      <c r="J42514" s="33"/>
    </row>
    <row r="42515" spans="10:10" x14ac:dyDescent="0.3">
      <c r="J42515" s="33"/>
    </row>
    <row r="42516" spans="10:10" x14ac:dyDescent="0.3">
      <c r="J42516" s="33"/>
    </row>
    <row r="42517" spans="10:10" x14ac:dyDescent="0.3">
      <c r="J42517" s="33"/>
    </row>
    <row r="42518" spans="10:10" x14ac:dyDescent="0.3">
      <c r="J42518" s="33"/>
    </row>
    <row r="42519" spans="10:10" x14ac:dyDescent="0.3">
      <c r="J42519" s="33"/>
    </row>
    <row r="42520" spans="10:10" x14ac:dyDescent="0.3">
      <c r="J42520" s="33"/>
    </row>
    <row r="42521" spans="10:10" x14ac:dyDescent="0.3">
      <c r="J42521" s="33"/>
    </row>
    <row r="42522" spans="10:10" x14ac:dyDescent="0.3">
      <c r="J42522" s="33"/>
    </row>
    <row r="42523" spans="10:10" x14ac:dyDescent="0.3">
      <c r="J42523" s="33"/>
    </row>
    <row r="42524" spans="10:10" x14ac:dyDescent="0.3">
      <c r="J42524" s="33"/>
    </row>
    <row r="42525" spans="10:10" x14ac:dyDescent="0.3">
      <c r="J42525" s="33"/>
    </row>
    <row r="42526" spans="10:10" x14ac:dyDescent="0.3">
      <c r="J42526" s="33"/>
    </row>
    <row r="42527" spans="10:10" x14ac:dyDescent="0.3">
      <c r="J42527" s="33"/>
    </row>
    <row r="42528" spans="10:10" x14ac:dyDescent="0.3">
      <c r="J42528" s="33"/>
    </row>
    <row r="42529" spans="10:10" x14ac:dyDescent="0.3">
      <c r="J42529" s="33"/>
    </row>
    <row r="42530" spans="10:10" x14ac:dyDescent="0.3">
      <c r="J42530" s="33"/>
    </row>
    <row r="42531" spans="10:10" x14ac:dyDescent="0.3">
      <c r="J42531" s="33"/>
    </row>
    <row r="42532" spans="10:10" x14ac:dyDescent="0.3">
      <c r="J42532" s="33"/>
    </row>
    <row r="42533" spans="10:10" x14ac:dyDescent="0.3">
      <c r="J42533" s="33"/>
    </row>
    <row r="42534" spans="10:10" x14ac:dyDescent="0.3">
      <c r="J42534" s="33"/>
    </row>
    <row r="42535" spans="10:10" x14ac:dyDescent="0.3">
      <c r="J42535" s="33"/>
    </row>
    <row r="42536" spans="10:10" x14ac:dyDescent="0.3">
      <c r="J42536" s="33"/>
    </row>
    <row r="42537" spans="10:10" x14ac:dyDescent="0.3">
      <c r="J42537" s="33"/>
    </row>
    <row r="42538" spans="10:10" x14ac:dyDescent="0.3">
      <c r="J42538" s="33"/>
    </row>
    <row r="42539" spans="10:10" x14ac:dyDescent="0.3">
      <c r="J42539" s="33"/>
    </row>
    <row r="42540" spans="10:10" x14ac:dyDescent="0.3">
      <c r="J42540" s="33"/>
    </row>
    <row r="42541" spans="10:10" x14ac:dyDescent="0.3">
      <c r="J42541" s="33"/>
    </row>
    <row r="42542" spans="10:10" x14ac:dyDescent="0.3">
      <c r="J42542" s="33"/>
    </row>
    <row r="42543" spans="10:10" x14ac:dyDescent="0.3">
      <c r="J42543" s="33"/>
    </row>
    <row r="42544" spans="10:10" x14ac:dyDescent="0.3">
      <c r="J42544" s="33"/>
    </row>
    <row r="42545" spans="10:10" x14ac:dyDescent="0.3">
      <c r="J42545" s="33"/>
    </row>
    <row r="42546" spans="10:10" x14ac:dyDescent="0.3">
      <c r="J42546" s="33"/>
    </row>
    <row r="42547" spans="10:10" x14ac:dyDescent="0.3">
      <c r="J42547" s="33"/>
    </row>
    <row r="42548" spans="10:10" x14ac:dyDescent="0.3">
      <c r="J42548" s="33"/>
    </row>
    <row r="42549" spans="10:10" x14ac:dyDescent="0.3">
      <c r="J42549" s="33"/>
    </row>
    <row r="42550" spans="10:10" x14ac:dyDescent="0.3">
      <c r="J42550" s="33"/>
    </row>
    <row r="42551" spans="10:10" x14ac:dyDescent="0.3">
      <c r="J42551" s="33"/>
    </row>
    <row r="42552" spans="10:10" x14ac:dyDescent="0.3">
      <c r="J42552" s="33"/>
    </row>
    <row r="42553" spans="10:10" x14ac:dyDescent="0.3">
      <c r="J42553" s="33"/>
    </row>
    <row r="42554" spans="10:10" x14ac:dyDescent="0.3">
      <c r="J42554" s="33"/>
    </row>
    <row r="42555" spans="10:10" x14ac:dyDescent="0.3">
      <c r="J42555" s="33"/>
    </row>
    <row r="42556" spans="10:10" x14ac:dyDescent="0.3">
      <c r="J42556" s="33"/>
    </row>
    <row r="42557" spans="10:10" x14ac:dyDescent="0.3">
      <c r="J42557" s="33"/>
    </row>
    <row r="42558" spans="10:10" x14ac:dyDescent="0.3">
      <c r="J42558" s="33"/>
    </row>
    <row r="42559" spans="10:10" x14ac:dyDescent="0.3">
      <c r="J42559" s="33"/>
    </row>
    <row r="42560" spans="10:10" x14ac:dyDescent="0.3">
      <c r="J42560" s="33"/>
    </row>
    <row r="42561" spans="10:10" x14ac:dyDescent="0.3">
      <c r="J42561" s="33"/>
    </row>
    <row r="42562" spans="10:10" x14ac:dyDescent="0.3">
      <c r="J42562" s="33"/>
    </row>
    <row r="42563" spans="10:10" x14ac:dyDescent="0.3">
      <c r="J42563" s="33"/>
    </row>
    <row r="42564" spans="10:10" x14ac:dyDescent="0.3">
      <c r="J42564" s="33"/>
    </row>
    <row r="42565" spans="10:10" x14ac:dyDescent="0.3">
      <c r="J42565" s="33"/>
    </row>
    <row r="42566" spans="10:10" x14ac:dyDescent="0.3">
      <c r="J42566" s="33"/>
    </row>
    <row r="42567" spans="10:10" x14ac:dyDescent="0.3">
      <c r="J42567" s="33"/>
    </row>
    <row r="42568" spans="10:10" x14ac:dyDescent="0.3">
      <c r="J42568" s="33"/>
    </row>
    <row r="42569" spans="10:10" x14ac:dyDescent="0.3">
      <c r="J42569" s="33"/>
    </row>
    <row r="42570" spans="10:10" x14ac:dyDescent="0.3">
      <c r="J42570" s="33"/>
    </row>
    <row r="42571" spans="10:10" x14ac:dyDescent="0.3">
      <c r="J42571" s="33"/>
    </row>
    <row r="42572" spans="10:10" x14ac:dyDescent="0.3">
      <c r="J42572" s="33"/>
    </row>
    <row r="42573" spans="10:10" x14ac:dyDescent="0.3">
      <c r="J42573" s="33"/>
    </row>
    <row r="42574" spans="10:10" x14ac:dyDescent="0.3">
      <c r="J42574" s="33"/>
    </row>
    <row r="42575" spans="10:10" x14ac:dyDescent="0.3">
      <c r="J42575" s="33"/>
    </row>
    <row r="42576" spans="10:10" x14ac:dyDescent="0.3">
      <c r="J42576" s="33"/>
    </row>
    <row r="42577" spans="10:10" x14ac:dyDescent="0.3">
      <c r="J42577" s="33"/>
    </row>
    <row r="42578" spans="10:10" x14ac:dyDescent="0.3">
      <c r="J42578" s="33"/>
    </row>
    <row r="42579" spans="10:10" x14ac:dyDescent="0.3">
      <c r="J42579" s="33"/>
    </row>
    <row r="42580" spans="10:10" x14ac:dyDescent="0.3">
      <c r="J42580" s="33"/>
    </row>
    <row r="42581" spans="10:10" x14ac:dyDescent="0.3">
      <c r="J42581" s="33"/>
    </row>
    <row r="42582" spans="10:10" x14ac:dyDescent="0.3">
      <c r="J42582" s="33"/>
    </row>
    <row r="42583" spans="10:10" x14ac:dyDescent="0.3">
      <c r="J42583" s="33"/>
    </row>
    <row r="42584" spans="10:10" x14ac:dyDescent="0.3">
      <c r="J42584" s="33"/>
    </row>
    <row r="42585" spans="10:10" x14ac:dyDescent="0.3">
      <c r="J42585" s="33"/>
    </row>
    <row r="42586" spans="10:10" x14ac:dyDescent="0.3">
      <c r="J42586" s="33"/>
    </row>
    <row r="42587" spans="10:10" x14ac:dyDescent="0.3">
      <c r="J42587" s="33"/>
    </row>
    <row r="42588" spans="10:10" x14ac:dyDescent="0.3">
      <c r="J42588" s="33"/>
    </row>
    <row r="42589" spans="10:10" x14ac:dyDescent="0.3">
      <c r="J42589" s="33"/>
    </row>
    <row r="42590" spans="10:10" x14ac:dyDescent="0.3">
      <c r="J42590" s="33"/>
    </row>
    <row r="42591" spans="10:10" x14ac:dyDescent="0.3">
      <c r="J42591" s="33"/>
    </row>
    <row r="42592" spans="10:10" x14ac:dyDescent="0.3">
      <c r="J42592" s="33"/>
    </row>
    <row r="42593" spans="10:10" x14ac:dyDescent="0.3">
      <c r="J42593" s="33"/>
    </row>
    <row r="42594" spans="10:10" x14ac:dyDescent="0.3">
      <c r="J42594" s="33"/>
    </row>
    <row r="42595" spans="10:10" x14ac:dyDescent="0.3">
      <c r="J42595" s="33"/>
    </row>
    <row r="42596" spans="10:10" x14ac:dyDescent="0.3">
      <c r="J42596" s="33"/>
    </row>
    <row r="42597" spans="10:10" x14ac:dyDescent="0.3">
      <c r="J42597" s="33"/>
    </row>
    <row r="42598" spans="10:10" x14ac:dyDescent="0.3">
      <c r="J42598" s="33"/>
    </row>
    <row r="42599" spans="10:10" x14ac:dyDescent="0.3">
      <c r="J42599" s="33"/>
    </row>
    <row r="42600" spans="10:10" x14ac:dyDescent="0.3">
      <c r="J42600" s="33"/>
    </row>
    <row r="42601" spans="10:10" x14ac:dyDescent="0.3">
      <c r="J42601" s="33"/>
    </row>
    <row r="42602" spans="10:10" x14ac:dyDescent="0.3">
      <c r="J42602" s="33"/>
    </row>
    <row r="42603" spans="10:10" x14ac:dyDescent="0.3">
      <c r="J42603" s="33"/>
    </row>
    <row r="42604" spans="10:10" x14ac:dyDescent="0.3">
      <c r="J42604" s="33"/>
    </row>
    <row r="42605" spans="10:10" x14ac:dyDescent="0.3">
      <c r="J42605" s="33"/>
    </row>
    <row r="42606" spans="10:10" x14ac:dyDescent="0.3">
      <c r="J42606" s="33"/>
    </row>
    <row r="42607" spans="10:10" x14ac:dyDescent="0.3">
      <c r="J42607" s="33"/>
    </row>
    <row r="42608" spans="10:10" x14ac:dyDescent="0.3">
      <c r="J42608" s="33"/>
    </row>
    <row r="42609" spans="10:10" x14ac:dyDescent="0.3">
      <c r="J42609" s="33"/>
    </row>
    <row r="42610" spans="10:10" x14ac:dyDescent="0.3">
      <c r="J42610" s="33"/>
    </row>
    <row r="42611" spans="10:10" x14ac:dyDescent="0.3">
      <c r="J42611" s="33"/>
    </row>
    <row r="42612" spans="10:10" x14ac:dyDescent="0.3">
      <c r="J42612" s="33"/>
    </row>
    <row r="42613" spans="10:10" x14ac:dyDescent="0.3">
      <c r="J42613" s="33"/>
    </row>
    <row r="42614" spans="10:10" x14ac:dyDescent="0.3">
      <c r="J42614" s="33"/>
    </row>
    <row r="42615" spans="10:10" x14ac:dyDescent="0.3">
      <c r="J42615" s="33"/>
    </row>
    <row r="42616" spans="10:10" x14ac:dyDescent="0.3">
      <c r="J42616" s="33"/>
    </row>
    <row r="42617" spans="10:10" x14ac:dyDescent="0.3">
      <c r="J42617" s="33"/>
    </row>
    <row r="42618" spans="10:10" x14ac:dyDescent="0.3">
      <c r="J42618" s="33"/>
    </row>
    <row r="42619" spans="10:10" x14ac:dyDescent="0.3">
      <c r="J42619" s="33"/>
    </row>
    <row r="42620" spans="10:10" x14ac:dyDescent="0.3">
      <c r="J42620" s="33"/>
    </row>
    <row r="42621" spans="10:10" x14ac:dyDescent="0.3">
      <c r="J42621" s="33"/>
    </row>
    <row r="42622" spans="10:10" x14ac:dyDescent="0.3">
      <c r="J42622" s="33"/>
    </row>
    <row r="42623" spans="10:10" x14ac:dyDescent="0.3">
      <c r="J42623" s="33"/>
    </row>
    <row r="42624" spans="10:10" x14ac:dyDescent="0.3">
      <c r="J42624" s="33"/>
    </row>
    <row r="42625" spans="10:10" x14ac:dyDescent="0.3">
      <c r="J42625" s="33"/>
    </row>
    <row r="42626" spans="10:10" x14ac:dyDescent="0.3">
      <c r="J42626" s="33"/>
    </row>
    <row r="42627" spans="10:10" x14ac:dyDescent="0.3">
      <c r="J42627" s="33"/>
    </row>
    <row r="42628" spans="10:10" x14ac:dyDescent="0.3">
      <c r="J42628" s="33"/>
    </row>
    <row r="42629" spans="10:10" x14ac:dyDescent="0.3">
      <c r="J42629" s="33"/>
    </row>
    <row r="42630" spans="10:10" x14ac:dyDescent="0.3">
      <c r="J42630" s="33"/>
    </row>
    <row r="42631" spans="10:10" x14ac:dyDescent="0.3">
      <c r="J42631" s="33"/>
    </row>
    <row r="42632" spans="10:10" x14ac:dyDescent="0.3">
      <c r="J42632" s="33"/>
    </row>
    <row r="42633" spans="10:10" x14ac:dyDescent="0.3">
      <c r="J42633" s="33"/>
    </row>
    <row r="42634" spans="10:10" x14ac:dyDescent="0.3">
      <c r="J42634" s="33"/>
    </row>
    <row r="42635" spans="10:10" x14ac:dyDescent="0.3">
      <c r="J42635" s="33"/>
    </row>
    <row r="42636" spans="10:10" x14ac:dyDescent="0.3">
      <c r="J42636" s="33"/>
    </row>
    <row r="42637" spans="10:10" x14ac:dyDescent="0.3">
      <c r="J42637" s="33"/>
    </row>
    <row r="42638" spans="10:10" x14ac:dyDescent="0.3">
      <c r="J42638" s="33"/>
    </row>
    <row r="42639" spans="10:10" x14ac:dyDescent="0.3">
      <c r="J42639" s="33"/>
    </row>
    <row r="42640" spans="10:10" x14ac:dyDescent="0.3">
      <c r="J42640" s="33"/>
    </row>
    <row r="42641" spans="10:10" x14ac:dyDescent="0.3">
      <c r="J42641" s="33"/>
    </row>
    <row r="42642" spans="10:10" x14ac:dyDescent="0.3">
      <c r="J42642" s="33"/>
    </row>
    <row r="42643" spans="10:10" x14ac:dyDescent="0.3">
      <c r="J42643" s="33"/>
    </row>
    <row r="42644" spans="10:10" x14ac:dyDescent="0.3">
      <c r="J42644" s="33"/>
    </row>
    <row r="42645" spans="10:10" x14ac:dyDescent="0.3">
      <c r="J42645" s="33"/>
    </row>
    <row r="42646" spans="10:10" x14ac:dyDescent="0.3">
      <c r="J42646" s="33"/>
    </row>
    <row r="42647" spans="10:10" x14ac:dyDescent="0.3">
      <c r="J42647" s="33"/>
    </row>
    <row r="42648" spans="10:10" x14ac:dyDescent="0.3">
      <c r="J42648" s="33"/>
    </row>
    <row r="42649" spans="10:10" x14ac:dyDescent="0.3">
      <c r="J42649" s="33"/>
    </row>
    <row r="42650" spans="10:10" x14ac:dyDescent="0.3">
      <c r="J42650" s="33"/>
    </row>
    <row r="42651" spans="10:10" x14ac:dyDescent="0.3">
      <c r="J42651" s="33"/>
    </row>
    <row r="42652" spans="10:10" x14ac:dyDescent="0.3">
      <c r="J42652" s="33"/>
    </row>
    <row r="42653" spans="10:10" x14ac:dyDescent="0.3">
      <c r="J42653" s="33"/>
    </row>
    <row r="42654" spans="10:10" x14ac:dyDescent="0.3">
      <c r="J42654" s="33"/>
    </row>
    <row r="42655" spans="10:10" x14ac:dyDescent="0.3">
      <c r="J42655" s="33"/>
    </row>
    <row r="42656" spans="10:10" x14ac:dyDescent="0.3">
      <c r="J42656" s="33"/>
    </row>
    <row r="42657" spans="10:10" x14ac:dyDescent="0.3">
      <c r="J42657" s="33"/>
    </row>
    <row r="42658" spans="10:10" x14ac:dyDescent="0.3">
      <c r="J42658" s="33"/>
    </row>
    <row r="42659" spans="10:10" x14ac:dyDescent="0.3">
      <c r="J42659" s="33"/>
    </row>
    <row r="42660" spans="10:10" x14ac:dyDescent="0.3">
      <c r="J42660" s="33"/>
    </row>
    <row r="42661" spans="10:10" x14ac:dyDescent="0.3">
      <c r="J42661" s="33"/>
    </row>
    <row r="42662" spans="10:10" x14ac:dyDescent="0.3">
      <c r="J42662" s="33"/>
    </row>
    <row r="42663" spans="10:10" x14ac:dyDescent="0.3">
      <c r="J42663" s="33"/>
    </row>
    <row r="42664" spans="10:10" x14ac:dyDescent="0.3">
      <c r="J42664" s="33"/>
    </row>
    <row r="42665" spans="10:10" x14ac:dyDescent="0.3">
      <c r="J42665" s="33"/>
    </row>
    <row r="42666" spans="10:10" x14ac:dyDescent="0.3">
      <c r="J42666" s="33"/>
    </row>
    <row r="42667" spans="10:10" x14ac:dyDescent="0.3">
      <c r="J42667" s="33"/>
    </row>
    <row r="42668" spans="10:10" x14ac:dyDescent="0.3">
      <c r="J42668" s="33"/>
    </row>
    <row r="42669" spans="10:10" x14ac:dyDescent="0.3">
      <c r="J42669" s="33"/>
    </row>
    <row r="42670" spans="10:10" x14ac:dyDescent="0.3">
      <c r="J42670" s="33"/>
    </row>
    <row r="42671" spans="10:10" x14ac:dyDescent="0.3">
      <c r="J42671" s="33"/>
    </row>
    <row r="42672" spans="10:10" x14ac:dyDescent="0.3">
      <c r="J42672" s="33"/>
    </row>
    <row r="42673" spans="10:10" x14ac:dyDescent="0.3">
      <c r="J42673" s="33"/>
    </row>
    <row r="42674" spans="10:10" x14ac:dyDescent="0.3">
      <c r="J42674" s="33"/>
    </row>
    <row r="42675" spans="10:10" x14ac:dyDescent="0.3">
      <c r="J42675" s="33"/>
    </row>
    <row r="42676" spans="10:10" x14ac:dyDescent="0.3">
      <c r="J42676" s="33"/>
    </row>
    <row r="42677" spans="10:10" x14ac:dyDescent="0.3">
      <c r="J42677" s="33"/>
    </row>
    <row r="42678" spans="10:10" x14ac:dyDescent="0.3">
      <c r="J42678" s="33"/>
    </row>
    <row r="42679" spans="10:10" x14ac:dyDescent="0.3">
      <c r="J42679" s="33"/>
    </row>
    <row r="42680" spans="10:10" x14ac:dyDescent="0.3">
      <c r="J42680" s="33"/>
    </row>
    <row r="42681" spans="10:10" x14ac:dyDescent="0.3">
      <c r="J42681" s="33"/>
    </row>
    <row r="42682" spans="10:10" x14ac:dyDescent="0.3">
      <c r="J42682" s="33"/>
    </row>
    <row r="42683" spans="10:10" x14ac:dyDescent="0.3">
      <c r="J42683" s="33"/>
    </row>
    <row r="42684" spans="10:10" x14ac:dyDescent="0.3">
      <c r="J42684" s="33"/>
    </row>
    <row r="42685" spans="10:10" x14ac:dyDescent="0.3">
      <c r="J42685" s="33"/>
    </row>
    <row r="42686" spans="10:10" x14ac:dyDescent="0.3">
      <c r="J42686" s="33"/>
    </row>
    <row r="42687" spans="10:10" x14ac:dyDescent="0.3">
      <c r="J42687" s="33"/>
    </row>
    <row r="42688" spans="10:10" x14ac:dyDescent="0.3">
      <c r="J42688" s="33"/>
    </row>
    <row r="42689" spans="10:10" x14ac:dyDescent="0.3">
      <c r="J42689" s="33"/>
    </row>
    <row r="42690" spans="10:10" x14ac:dyDescent="0.3">
      <c r="J42690" s="33"/>
    </row>
    <row r="42691" spans="10:10" x14ac:dyDescent="0.3">
      <c r="J42691" s="33"/>
    </row>
    <row r="42692" spans="10:10" x14ac:dyDescent="0.3">
      <c r="J42692" s="33"/>
    </row>
    <row r="42693" spans="10:10" x14ac:dyDescent="0.3">
      <c r="J42693" s="33"/>
    </row>
    <row r="42694" spans="10:10" x14ac:dyDescent="0.3">
      <c r="J42694" s="33"/>
    </row>
    <row r="42695" spans="10:10" x14ac:dyDescent="0.3">
      <c r="J42695" s="33"/>
    </row>
    <row r="42696" spans="10:10" x14ac:dyDescent="0.3">
      <c r="J42696" s="33"/>
    </row>
    <row r="42697" spans="10:10" x14ac:dyDescent="0.3">
      <c r="J42697" s="33"/>
    </row>
    <row r="42698" spans="10:10" x14ac:dyDescent="0.3">
      <c r="J42698" s="33"/>
    </row>
    <row r="42699" spans="10:10" x14ac:dyDescent="0.3">
      <c r="J42699" s="33"/>
    </row>
    <row r="42700" spans="10:10" x14ac:dyDescent="0.3">
      <c r="J42700" s="33"/>
    </row>
    <row r="42701" spans="10:10" x14ac:dyDescent="0.3">
      <c r="J42701" s="33"/>
    </row>
    <row r="42702" spans="10:10" x14ac:dyDescent="0.3">
      <c r="J42702" s="33"/>
    </row>
    <row r="42703" spans="10:10" x14ac:dyDescent="0.3">
      <c r="J42703" s="33"/>
    </row>
    <row r="42704" spans="10:10" x14ac:dyDescent="0.3">
      <c r="J42704" s="33"/>
    </row>
    <row r="42705" spans="10:10" x14ac:dyDescent="0.3">
      <c r="J42705" s="33"/>
    </row>
    <row r="42706" spans="10:10" x14ac:dyDescent="0.3">
      <c r="J42706" s="33"/>
    </row>
    <row r="42707" spans="10:10" x14ac:dyDescent="0.3">
      <c r="J42707" s="33"/>
    </row>
    <row r="42708" spans="10:10" x14ac:dyDescent="0.3">
      <c r="J42708" s="33"/>
    </row>
    <row r="42709" spans="10:10" x14ac:dyDescent="0.3">
      <c r="J42709" s="33"/>
    </row>
    <row r="42710" spans="10:10" x14ac:dyDescent="0.3">
      <c r="J42710" s="33"/>
    </row>
    <row r="42711" spans="10:10" x14ac:dyDescent="0.3">
      <c r="J42711" s="33"/>
    </row>
    <row r="42712" spans="10:10" x14ac:dyDescent="0.3">
      <c r="J42712" s="33"/>
    </row>
    <row r="42713" spans="10:10" x14ac:dyDescent="0.3">
      <c r="J42713" s="33"/>
    </row>
    <row r="42714" spans="10:10" x14ac:dyDescent="0.3">
      <c r="J42714" s="33"/>
    </row>
    <row r="42715" spans="10:10" x14ac:dyDescent="0.3">
      <c r="J42715" s="33"/>
    </row>
    <row r="42716" spans="10:10" x14ac:dyDescent="0.3">
      <c r="J42716" s="33"/>
    </row>
    <row r="42717" spans="10:10" x14ac:dyDescent="0.3">
      <c r="J42717" s="33"/>
    </row>
    <row r="42718" spans="10:10" x14ac:dyDescent="0.3">
      <c r="J42718" s="33"/>
    </row>
    <row r="42719" spans="10:10" x14ac:dyDescent="0.3">
      <c r="J42719" s="33"/>
    </row>
    <row r="42720" spans="10:10" x14ac:dyDescent="0.3">
      <c r="J42720" s="33"/>
    </row>
    <row r="42721" spans="10:10" x14ac:dyDescent="0.3">
      <c r="J42721" s="33"/>
    </row>
    <row r="42722" spans="10:10" x14ac:dyDescent="0.3">
      <c r="J42722" s="33"/>
    </row>
    <row r="42723" spans="10:10" x14ac:dyDescent="0.3">
      <c r="J42723" s="33"/>
    </row>
    <row r="42724" spans="10:10" x14ac:dyDescent="0.3">
      <c r="J42724" s="33"/>
    </row>
    <row r="42725" spans="10:10" x14ac:dyDescent="0.3">
      <c r="J42725" s="33"/>
    </row>
    <row r="42726" spans="10:10" x14ac:dyDescent="0.3">
      <c r="J42726" s="33"/>
    </row>
    <row r="42727" spans="10:10" x14ac:dyDescent="0.3">
      <c r="J42727" s="33"/>
    </row>
    <row r="42728" spans="10:10" x14ac:dyDescent="0.3">
      <c r="J42728" s="33"/>
    </row>
    <row r="42729" spans="10:10" x14ac:dyDescent="0.3">
      <c r="J42729" s="33"/>
    </row>
    <row r="42730" spans="10:10" x14ac:dyDescent="0.3">
      <c r="J42730" s="33"/>
    </row>
    <row r="42731" spans="10:10" x14ac:dyDescent="0.3">
      <c r="J42731" s="33"/>
    </row>
    <row r="42732" spans="10:10" x14ac:dyDescent="0.3">
      <c r="J42732" s="33"/>
    </row>
    <row r="42733" spans="10:10" x14ac:dyDescent="0.3">
      <c r="J42733" s="33"/>
    </row>
    <row r="42734" spans="10:10" x14ac:dyDescent="0.3">
      <c r="J42734" s="33"/>
    </row>
    <row r="42735" spans="10:10" x14ac:dyDescent="0.3">
      <c r="J42735" s="33"/>
    </row>
    <row r="42736" spans="10:10" x14ac:dyDescent="0.3">
      <c r="J42736" s="33"/>
    </row>
    <row r="42737" spans="10:10" x14ac:dyDescent="0.3">
      <c r="J42737" s="33"/>
    </row>
    <row r="42738" spans="10:10" x14ac:dyDescent="0.3">
      <c r="J42738" s="33"/>
    </row>
    <row r="42739" spans="10:10" x14ac:dyDescent="0.3">
      <c r="J42739" s="33"/>
    </row>
    <row r="42740" spans="10:10" x14ac:dyDescent="0.3">
      <c r="J42740" s="33"/>
    </row>
    <row r="42741" spans="10:10" x14ac:dyDescent="0.3">
      <c r="J42741" s="33"/>
    </row>
    <row r="42742" spans="10:10" x14ac:dyDescent="0.3">
      <c r="J42742" s="33"/>
    </row>
    <row r="42743" spans="10:10" x14ac:dyDescent="0.3">
      <c r="J42743" s="33"/>
    </row>
    <row r="42744" spans="10:10" x14ac:dyDescent="0.3">
      <c r="J42744" s="33"/>
    </row>
    <row r="42745" spans="10:10" x14ac:dyDescent="0.3">
      <c r="J42745" s="33"/>
    </row>
    <row r="42746" spans="10:10" x14ac:dyDescent="0.3">
      <c r="J42746" s="33"/>
    </row>
    <row r="42747" spans="10:10" x14ac:dyDescent="0.3">
      <c r="J42747" s="33"/>
    </row>
    <row r="42748" spans="10:10" x14ac:dyDescent="0.3">
      <c r="J42748" s="33"/>
    </row>
    <row r="42749" spans="10:10" x14ac:dyDescent="0.3">
      <c r="J42749" s="33"/>
    </row>
    <row r="42750" spans="10:10" x14ac:dyDescent="0.3">
      <c r="J42750" s="33"/>
    </row>
    <row r="42751" spans="10:10" x14ac:dyDescent="0.3">
      <c r="J42751" s="33"/>
    </row>
    <row r="42752" spans="10:10" x14ac:dyDescent="0.3">
      <c r="J42752" s="33"/>
    </row>
    <row r="42753" spans="10:10" x14ac:dyDescent="0.3">
      <c r="J42753" s="33"/>
    </row>
    <row r="42754" spans="10:10" x14ac:dyDescent="0.3">
      <c r="J42754" s="33"/>
    </row>
    <row r="42755" spans="10:10" x14ac:dyDescent="0.3">
      <c r="J42755" s="33"/>
    </row>
    <row r="42756" spans="10:10" x14ac:dyDescent="0.3">
      <c r="J42756" s="33"/>
    </row>
    <row r="42757" spans="10:10" x14ac:dyDescent="0.3">
      <c r="J42757" s="33"/>
    </row>
    <row r="42758" spans="10:10" x14ac:dyDescent="0.3">
      <c r="J42758" s="33"/>
    </row>
    <row r="42759" spans="10:10" x14ac:dyDescent="0.3">
      <c r="J42759" s="33"/>
    </row>
    <row r="42760" spans="10:10" x14ac:dyDescent="0.3">
      <c r="J42760" s="33"/>
    </row>
    <row r="42761" spans="10:10" x14ac:dyDescent="0.3">
      <c r="J42761" s="33"/>
    </row>
    <row r="42762" spans="10:10" x14ac:dyDescent="0.3">
      <c r="J42762" s="33"/>
    </row>
    <row r="42763" spans="10:10" x14ac:dyDescent="0.3">
      <c r="J42763" s="33"/>
    </row>
    <row r="42764" spans="10:10" x14ac:dyDescent="0.3">
      <c r="J42764" s="33"/>
    </row>
    <row r="42765" spans="10:10" x14ac:dyDescent="0.3">
      <c r="J42765" s="33"/>
    </row>
    <row r="42766" spans="10:10" x14ac:dyDescent="0.3">
      <c r="J42766" s="33"/>
    </row>
    <row r="42767" spans="10:10" x14ac:dyDescent="0.3">
      <c r="J42767" s="33"/>
    </row>
    <row r="42768" spans="10:10" x14ac:dyDescent="0.3">
      <c r="J42768" s="33"/>
    </row>
    <row r="42769" spans="10:10" x14ac:dyDescent="0.3">
      <c r="J42769" s="33"/>
    </row>
    <row r="42770" spans="10:10" x14ac:dyDescent="0.3">
      <c r="J42770" s="33"/>
    </row>
    <row r="42771" spans="10:10" x14ac:dyDescent="0.3">
      <c r="J42771" s="33"/>
    </row>
    <row r="42772" spans="10:10" x14ac:dyDescent="0.3">
      <c r="J42772" s="33"/>
    </row>
    <row r="42773" spans="10:10" x14ac:dyDescent="0.3">
      <c r="J42773" s="33"/>
    </row>
    <row r="42774" spans="10:10" x14ac:dyDescent="0.3">
      <c r="J42774" s="33"/>
    </row>
    <row r="42775" spans="10:10" x14ac:dyDescent="0.3">
      <c r="J42775" s="33"/>
    </row>
    <row r="42776" spans="10:10" x14ac:dyDescent="0.3">
      <c r="J42776" s="33"/>
    </row>
    <row r="42777" spans="10:10" x14ac:dyDescent="0.3">
      <c r="J42777" s="33"/>
    </row>
    <row r="42778" spans="10:10" x14ac:dyDescent="0.3">
      <c r="J42778" s="33"/>
    </row>
    <row r="42779" spans="10:10" x14ac:dyDescent="0.3">
      <c r="J42779" s="33"/>
    </row>
    <row r="42780" spans="10:10" x14ac:dyDescent="0.3">
      <c r="J42780" s="33"/>
    </row>
    <row r="42781" spans="10:10" x14ac:dyDescent="0.3">
      <c r="J42781" s="33"/>
    </row>
    <row r="42782" spans="10:10" x14ac:dyDescent="0.3">
      <c r="J42782" s="33"/>
    </row>
    <row r="42783" spans="10:10" x14ac:dyDescent="0.3">
      <c r="J42783" s="33"/>
    </row>
    <row r="42784" spans="10:10" x14ac:dyDescent="0.3">
      <c r="J42784" s="33"/>
    </row>
    <row r="42785" spans="10:10" x14ac:dyDescent="0.3">
      <c r="J42785" s="33"/>
    </row>
    <row r="42786" spans="10:10" x14ac:dyDescent="0.3">
      <c r="J42786" s="33"/>
    </row>
    <row r="42787" spans="10:10" x14ac:dyDescent="0.3">
      <c r="J42787" s="33"/>
    </row>
    <row r="42788" spans="10:10" x14ac:dyDescent="0.3">
      <c r="J42788" s="33"/>
    </row>
    <row r="42789" spans="10:10" x14ac:dyDescent="0.3">
      <c r="J42789" s="33"/>
    </row>
    <row r="42790" spans="10:10" x14ac:dyDescent="0.3">
      <c r="J42790" s="33"/>
    </row>
    <row r="42791" spans="10:10" x14ac:dyDescent="0.3">
      <c r="J42791" s="33"/>
    </row>
    <row r="42792" spans="10:10" x14ac:dyDescent="0.3">
      <c r="J42792" s="33"/>
    </row>
    <row r="42793" spans="10:10" x14ac:dyDescent="0.3">
      <c r="J42793" s="33"/>
    </row>
    <row r="42794" spans="10:10" x14ac:dyDescent="0.3">
      <c r="J42794" s="33"/>
    </row>
    <row r="42795" spans="10:10" x14ac:dyDescent="0.3">
      <c r="J42795" s="33"/>
    </row>
    <row r="42796" spans="10:10" x14ac:dyDescent="0.3">
      <c r="J42796" s="33"/>
    </row>
    <row r="42797" spans="10:10" x14ac:dyDescent="0.3">
      <c r="J42797" s="33"/>
    </row>
    <row r="42798" spans="10:10" x14ac:dyDescent="0.3">
      <c r="J42798" s="33"/>
    </row>
    <row r="42799" spans="10:10" x14ac:dyDescent="0.3">
      <c r="J42799" s="33"/>
    </row>
    <row r="42800" spans="10:10" x14ac:dyDescent="0.3">
      <c r="J42800" s="33"/>
    </row>
    <row r="42801" spans="10:10" x14ac:dyDescent="0.3">
      <c r="J42801" s="33"/>
    </row>
    <row r="42802" spans="10:10" x14ac:dyDescent="0.3">
      <c r="J42802" s="33"/>
    </row>
    <row r="42803" spans="10:10" x14ac:dyDescent="0.3">
      <c r="J42803" s="33"/>
    </row>
    <row r="42804" spans="10:10" x14ac:dyDescent="0.3">
      <c r="J42804" s="33"/>
    </row>
    <row r="42805" spans="10:10" x14ac:dyDescent="0.3">
      <c r="J42805" s="33"/>
    </row>
    <row r="42806" spans="10:10" x14ac:dyDescent="0.3">
      <c r="J42806" s="33"/>
    </row>
    <row r="42807" spans="10:10" x14ac:dyDescent="0.3">
      <c r="J42807" s="33"/>
    </row>
    <row r="42808" spans="10:10" x14ac:dyDescent="0.3">
      <c r="J42808" s="33"/>
    </row>
    <row r="42809" spans="10:10" x14ac:dyDescent="0.3">
      <c r="J42809" s="33"/>
    </row>
    <row r="42810" spans="10:10" x14ac:dyDescent="0.3">
      <c r="J42810" s="33"/>
    </row>
    <row r="42811" spans="10:10" x14ac:dyDescent="0.3">
      <c r="J42811" s="33"/>
    </row>
    <row r="42812" spans="10:10" x14ac:dyDescent="0.3">
      <c r="J42812" s="33"/>
    </row>
    <row r="42813" spans="10:10" x14ac:dyDescent="0.3">
      <c r="J42813" s="33"/>
    </row>
    <row r="42814" spans="10:10" x14ac:dyDescent="0.3">
      <c r="J42814" s="33"/>
    </row>
    <row r="42815" spans="10:10" x14ac:dyDescent="0.3">
      <c r="J42815" s="33"/>
    </row>
    <row r="42816" spans="10:10" x14ac:dyDescent="0.3">
      <c r="J42816" s="33"/>
    </row>
    <row r="42817" spans="10:10" x14ac:dyDescent="0.3">
      <c r="J42817" s="33"/>
    </row>
    <row r="42818" spans="10:10" x14ac:dyDescent="0.3">
      <c r="J42818" s="33"/>
    </row>
    <row r="42819" spans="10:10" x14ac:dyDescent="0.3">
      <c r="J42819" s="33"/>
    </row>
    <row r="42820" spans="10:10" x14ac:dyDescent="0.3">
      <c r="J42820" s="33"/>
    </row>
    <row r="42821" spans="10:10" x14ac:dyDescent="0.3">
      <c r="J42821" s="33"/>
    </row>
    <row r="42822" spans="10:10" x14ac:dyDescent="0.3">
      <c r="J42822" s="33"/>
    </row>
    <row r="42823" spans="10:10" x14ac:dyDescent="0.3">
      <c r="J42823" s="33"/>
    </row>
    <row r="42824" spans="10:10" x14ac:dyDescent="0.3">
      <c r="J42824" s="33"/>
    </row>
    <row r="42825" spans="10:10" x14ac:dyDescent="0.3">
      <c r="J42825" s="33"/>
    </row>
    <row r="42826" spans="10:10" x14ac:dyDescent="0.3">
      <c r="J42826" s="33"/>
    </row>
    <row r="42827" spans="10:10" x14ac:dyDescent="0.3">
      <c r="J42827" s="33"/>
    </row>
    <row r="42828" spans="10:10" x14ac:dyDescent="0.3">
      <c r="J42828" s="33"/>
    </row>
    <row r="42829" spans="10:10" x14ac:dyDescent="0.3">
      <c r="J42829" s="33"/>
    </row>
    <row r="42830" spans="10:10" x14ac:dyDescent="0.3">
      <c r="J42830" s="33"/>
    </row>
    <row r="42831" spans="10:10" x14ac:dyDescent="0.3">
      <c r="J42831" s="33"/>
    </row>
    <row r="42832" spans="10:10" x14ac:dyDescent="0.3">
      <c r="J42832" s="33"/>
    </row>
    <row r="42833" spans="10:10" x14ac:dyDescent="0.3">
      <c r="J42833" s="33"/>
    </row>
    <row r="42834" spans="10:10" x14ac:dyDescent="0.3">
      <c r="J42834" s="33"/>
    </row>
    <row r="42835" spans="10:10" x14ac:dyDescent="0.3">
      <c r="J42835" s="33"/>
    </row>
    <row r="42836" spans="10:10" x14ac:dyDescent="0.3">
      <c r="J42836" s="33"/>
    </row>
    <row r="42837" spans="10:10" x14ac:dyDescent="0.3">
      <c r="J42837" s="33"/>
    </row>
    <row r="42838" spans="10:10" x14ac:dyDescent="0.3">
      <c r="J42838" s="33"/>
    </row>
    <row r="42839" spans="10:10" x14ac:dyDescent="0.3">
      <c r="J42839" s="33"/>
    </row>
    <row r="42840" spans="10:10" x14ac:dyDescent="0.3">
      <c r="J42840" s="33"/>
    </row>
    <row r="42841" spans="10:10" x14ac:dyDescent="0.3">
      <c r="J42841" s="33"/>
    </row>
    <row r="42842" spans="10:10" x14ac:dyDescent="0.3">
      <c r="J42842" s="33"/>
    </row>
    <row r="42843" spans="10:10" x14ac:dyDescent="0.3">
      <c r="J42843" s="33"/>
    </row>
    <row r="42844" spans="10:10" x14ac:dyDescent="0.3">
      <c r="J42844" s="33"/>
    </row>
    <row r="42845" spans="10:10" x14ac:dyDescent="0.3">
      <c r="J42845" s="33"/>
    </row>
    <row r="42846" spans="10:10" x14ac:dyDescent="0.3">
      <c r="J42846" s="33"/>
    </row>
    <row r="42847" spans="10:10" x14ac:dyDescent="0.3">
      <c r="J42847" s="33"/>
    </row>
    <row r="42848" spans="10:10" x14ac:dyDescent="0.3">
      <c r="J42848" s="33"/>
    </row>
    <row r="42849" spans="10:10" x14ac:dyDescent="0.3">
      <c r="J42849" s="33"/>
    </row>
    <row r="42850" spans="10:10" x14ac:dyDescent="0.3">
      <c r="J42850" s="33"/>
    </row>
    <row r="42851" spans="10:10" x14ac:dyDescent="0.3">
      <c r="J42851" s="33"/>
    </row>
    <row r="42852" spans="10:10" x14ac:dyDescent="0.3">
      <c r="J42852" s="33"/>
    </row>
    <row r="42853" spans="10:10" x14ac:dyDescent="0.3">
      <c r="J42853" s="33"/>
    </row>
    <row r="42854" spans="10:10" x14ac:dyDescent="0.3">
      <c r="J42854" s="33"/>
    </row>
    <row r="42855" spans="10:10" x14ac:dyDescent="0.3">
      <c r="J42855" s="33"/>
    </row>
    <row r="42856" spans="10:10" x14ac:dyDescent="0.3">
      <c r="J42856" s="33"/>
    </row>
    <row r="42857" spans="10:10" x14ac:dyDescent="0.3">
      <c r="J42857" s="33"/>
    </row>
    <row r="42858" spans="10:10" x14ac:dyDescent="0.3">
      <c r="J42858" s="33"/>
    </row>
    <row r="42859" spans="10:10" x14ac:dyDescent="0.3">
      <c r="J42859" s="33"/>
    </row>
    <row r="42860" spans="10:10" x14ac:dyDescent="0.3">
      <c r="J42860" s="33"/>
    </row>
    <row r="42861" spans="10:10" x14ac:dyDescent="0.3">
      <c r="J42861" s="33"/>
    </row>
    <row r="42862" spans="10:10" x14ac:dyDescent="0.3">
      <c r="J42862" s="33"/>
    </row>
    <row r="42863" spans="10:10" x14ac:dyDescent="0.3">
      <c r="J42863" s="33"/>
    </row>
    <row r="42864" spans="10:10" x14ac:dyDescent="0.3">
      <c r="J42864" s="33"/>
    </row>
    <row r="42865" spans="10:10" x14ac:dyDescent="0.3">
      <c r="J42865" s="33"/>
    </row>
    <row r="42866" spans="10:10" x14ac:dyDescent="0.3">
      <c r="J42866" s="33"/>
    </row>
    <row r="42867" spans="10:10" x14ac:dyDescent="0.3">
      <c r="J42867" s="33"/>
    </row>
    <row r="42868" spans="10:10" x14ac:dyDescent="0.3">
      <c r="J42868" s="33"/>
    </row>
    <row r="42869" spans="10:10" x14ac:dyDescent="0.3">
      <c r="J42869" s="33"/>
    </row>
    <row r="42870" spans="10:10" x14ac:dyDescent="0.3">
      <c r="J42870" s="33"/>
    </row>
    <row r="42871" spans="10:10" x14ac:dyDescent="0.3">
      <c r="J42871" s="33"/>
    </row>
    <row r="42872" spans="10:10" x14ac:dyDescent="0.3">
      <c r="J42872" s="33"/>
    </row>
    <row r="42873" spans="10:10" x14ac:dyDescent="0.3">
      <c r="J42873" s="33"/>
    </row>
    <row r="42874" spans="10:10" x14ac:dyDescent="0.3">
      <c r="J42874" s="33"/>
    </row>
    <row r="42875" spans="10:10" x14ac:dyDescent="0.3">
      <c r="J42875" s="33"/>
    </row>
    <row r="42876" spans="10:10" x14ac:dyDescent="0.3">
      <c r="J42876" s="33"/>
    </row>
    <row r="42877" spans="10:10" x14ac:dyDescent="0.3">
      <c r="J42877" s="33"/>
    </row>
    <row r="42878" spans="10:10" x14ac:dyDescent="0.3">
      <c r="J42878" s="33"/>
    </row>
    <row r="42879" spans="10:10" x14ac:dyDescent="0.3">
      <c r="J42879" s="33"/>
    </row>
    <row r="42880" spans="10:10" x14ac:dyDescent="0.3">
      <c r="J42880" s="33"/>
    </row>
    <row r="42881" spans="10:10" x14ac:dyDescent="0.3">
      <c r="J42881" s="33"/>
    </row>
    <row r="42882" spans="10:10" x14ac:dyDescent="0.3">
      <c r="J42882" s="33"/>
    </row>
    <row r="42883" spans="10:10" x14ac:dyDescent="0.3">
      <c r="J42883" s="33"/>
    </row>
    <row r="42884" spans="10:10" x14ac:dyDescent="0.3">
      <c r="J42884" s="33"/>
    </row>
    <row r="42885" spans="10:10" x14ac:dyDescent="0.3">
      <c r="J42885" s="33"/>
    </row>
    <row r="42886" spans="10:10" x14ac:dyDescent="0.3">
      <c r="J42886" s="33"/>
    </row>
    <row r="42887" spans="10:10" x14ac:dyDescent="0.3">
      <c r="J42887" s="33"/>
    </row>
    <row r="42888" spans="10:10" x14ac:dyDescent="0.3">
      <c r="J42888" s="33"/>
    </row>
    <row r="42889" spans="10:10" x14ac:dyDescent="0.3">
      <c r="J42889" s="33"/>
    </row>
    <row r="42890" spans="10:10" x14ac:dyDescent="0.3">
      <c r="J42890" s="33"/>
    </row>
    <row r="42891" spans="10:10" x14ac:dyDescent="0.3">
      <c r="J42891" s="33"/>
    </row>
    <row r="42892" spans="10:10" x14ac:dyDescent="0.3">
      <c r="J42892" s="33"/>
    </row>
    <row r="42893" spans="10:10" x14ac:dyDescent="0.3">
      <c r="J42893" s="33"/>
    </row>
    <row r="42894" spans="10:10" x14ac:dyDescent="0.3">
      <c r="J42894" s="33"/>
    </row>
    <row r="42895" spans="10:10" x14ac:dyDescent="0.3">
      <c r="J42895" s="33"/>
    </row>
    <row r="42896" spans="10:10" x14ac:dyDescent="0.3">
      <c r="J42896" s="33"/>
    </row>
    <row r="42897" spans="10:10" x14ac:dyDescent="0.3">
      <c r="J42897" s="33"/>
    </row>
    <row r="42898" spans="10:10" x14ac:dyDescent="0.3">
      <c r="J42898" s="33"/>
    </row>
    <row r="42899" spans="10:10" x14ac:dyDescent="0.3">
      <c r="J42899" s="33"/>
    </row>
    <row r="42900" spans="10:10" x14ac:dyDescent="0.3">
      <c r="J42900" s="33"/>
    </row>
    <row r="42901" spans="10:10" x14ac:dyDescent="0.3">
      <c r="J42901" s="33"/>
    </row>
    <row r="42902" spans="10:10" x14ac:dyDescent="0.3">
      <c r="J42902" s="33"/>
    </row>
    <row r="42903" spans="10:10" x14ac:dyDescent="0.3">
      <c r="J42903" s="33"/>
    </row>
    <row r="42904" spans="10:10" x14ac:dyDescent="0.3">
      <c r="J42904" s="33"/>
    </row>
    <row r="42905" spans="10:10" x14ac:dyDescent="0.3">
      <c r="J42905" s="33"/>
    </row>
    <row r="42906" spans="10:10" x14ac:dyDescent="0.3">
      <c r="J42906" s="33"/>
    </row>
    <row r="42907" spans="10:10" x14ac:dyDescent="0.3">
      <c r="J42907" s="33"/>
    </row>
    <row r="42908" spans="10:10" x14ac:dyDescent="0.3">
      <c r="J42908" s="33"/>
    </row>
    <row r="42909" spans="10:10" x14ac:dyDescent="0.3">
      <c r="J42909" s="33"/>
    </row>
    <row r="42910" spans="10:10" x14ac:dyDescent="0.3">
      <c r="J42910" s="33"/>
    </row>
    <row r="42911" spans="10:10" x14ac:dyDescent="0.3">
      <c r="J42911" s="33"/>
    </row>
    <row r="42912" spans="10:10" x14ac:dyDescent="0.3">
      <c r="J42912" s="33"/>
    </row>
    <row r="42913" spans="10:10" x14ac:dyDescent="0.3">
      <c r="J42913" s="33"/>
    </row>
    <row r="42914" spans="10:10" x14ac:dyDescent="0.3">
      <c r="J42914" s="33"/>
    </row>
    <row r="42915" spans="10:10" x14ac:dyDescent="0.3">
      <c r="J42915" s="33"/>
    </row>
    <row r="42916" spans="10:10" x14ac:dyDescent="0.3">
      <c r="J42916" s="33"/>
    </row>
    <row r="42917" spans="10:10" x14ac:dyDescent="0.3">
      <c r="J42917" s="33"/>
    </row>
    <row r="42918" spans="10:10" x14ac:dyDescent="0.3">
      <c r="J42918" s="33"/>
    </row>
    <row r="42919" spans="10:10" x14ac:dyDescent="0.3">
      <c r="J42919" s="33"/>
    </row>
    <row r="42920" spans="10:10" x14ac:dyDescent="0.3">
      <c r="J42920" s="33"/>
    </row>
    <row r="42921" spans="10:10" x14ac:dyDescent="0.3">
      <c r="J42921" s="33"/>
    </row>
    <row r="42922" spans="10:10" x14ac:dyDescent="0.3">
      <c r="J42922" s="33"/>
    </row>
    <row r="42923" spans="10:10" x14ac:dyDescent="0.3">
      <c r="J42923" s="33"/>
    </row>
    <row r="42924" spans="10:10" x14ac:dyDescent="0.3">
      <c r="J42924" s="33"/>
    </row>
    <row r="42925" spans="10:10" x14ac:dyDescent="0.3">
      <c r="J42925" s="33"/>
    </row>
    <row r="42926" spans="10:10" x14ac:dyDescent="0.3">
      <c r="J42926" s="33"/>
    </row>
    <row r="42927" spans="10:10" x14ac:dyDescent="0.3">
      <c r="J42927" s="33"/>
    </row>
    <row r="42928" spans="10:10" x14ac:dyDescent="0.3">
      <c r="J42928" s="33"/>
    </row>
    <row r="42929" spans="10:10" x14ac:dyDescent="0.3">
      <c r="J42929" s="33"/>
    </row>
    <row r="42930" spans="10:10" x14ac:dyDescent="0.3">
      <c r="J42930" s="33"/>
    </row>
    <row r="42931" spans="10:10" x14ac:dyDescent="0.3">
      <c r="J42931" s="33"/>
    </row>
    <row r="42932" spans="10:10" x14ac:dyDescent="0.3">
      <c r="J42932" s="33"/>
    </row>
    <row r="42933" spans="10:10" x14ac:dyDescent="0.3">
      <c r="J42933" s="33"/>
    </row>
    <row r="42934" spans="10:10" x14ac:dyDescent="0.3">
      <c r="J42934" s="33"/>
    </row>
    <row r="42935" spans="10:10" x14ac:dyDescent="0.3">
      <c r="J42935" s="33"/>
    </row>
    <row r="42936" spans="10:10" x14ac:dyDescent="0.3">
      <c r="J42936" s="33"/>
    </row>
    <row r="42937" spans="10:10" x14ac:dyDescent="0.3">
      <c r="J42937" s="33"/>
    </row>
    <row r="42938" spans="10:10" x14ac:dyDescent="0.3">
      <c r="J42938" s="33"/>
    </row>
    <row r="42939" spans="10:10" x14ac:dyDescent="0.3">
      <c r="J42939" s="33"/>
    </row>
    <row r="42940" spans="10:10" x14ac:dyDescent="0.3">
      <c r="J42940" s="33"/>
    </row>
    <row r="42941" spans="10:10" x14ac:dyDescent="0.3">
      <c r="J42941" s="33"/>
    </row>
    <row r="42942" spans="10:10" x14ac:dyDescent="0.3">
      <c r="J42942" s="33"/>
    </row>
    <row r="42943" spans="10:10" x14ac:dyDescent="0.3">
      <c r="J42943" s="33"/>
    </row>
    <row r="42944" spans="10:10" x14ac:dyDescent="0.3">
      <c r="J42944" s="33"/>
    </row>
    <row r="42945" spans="10:10" x14ac:dyDescent="0.3">
      <c r="J42945" s="33"/>
    </row>
    <row r="42946" spans="10:10" x14ac:dyDescent="0.3">
      <c r="J42946" s="33"/>
    </row>
    <row r="42947" spans="10:10" x14ac:dyDescent="0.3">
      <c r="J42947" s="33"/>
    </row>
    <row r="42948" spans="10:10" x14ac:dyDescent="0.3">
      <c r="J42948" s="33"/>
    </row>
    <row r="42949" spans="10:10" x14ac:dyDescent="0.3">
      <c r="J42949" s="33"/>
    </row>
    <row r="42950" spans="10:10" x14ac:dyDescent="0.3">
      <c r="J42950" s="33"/>
    </row>
    <row r="42951" spans="10:10" x14ac:dyDescent="0.3">
      <c r="J42951" s="33"/>
    </row>
    <row r="42952" spans="10:10" x14ac:dyDescent="0.3">
      <c r="J42952" s="33"/>
    </row>
    <row r="42953" spans="10:10" x14ac:dyDescent="0.3">
      <c r="J42953" s="33"/>
    </row>
    <row r="42954" spans="10:10" x14ac:dyDescent="0.3">
      <c r="J42954" s="33"/>
    </row>
    <row r="42955" spans="10:10" x14ac:dyDescent="0.3">
      <c r="J42955" s="33"/>
    </row>
    <row r="42956" spans="10:10" x14ac:dyDescent="0.3">
      <c r="J42956" s="33"/>
    </row>
    <row r="42957" spans="10:10" x14ac:dyDescent="0.3">
      <c r="J42957" s="33"/>
    </row>
    <row r="42958" spans="10:10" x14ac:dyDescent="0.3">
      <c r="J42958" s="33"/>
    </row>
    <row r="42959" spans="10:10" x14ac:dyDescent="0.3">
      <c r="J42959" s="33"/>
    </row>
    <row r="42960" spans="10:10" x14ac:dyDescent="0.3">
      <c r="J42960" s="33"/>
    </row>
    <row r="42961" spans="10:10" x14ac:dyDescent="0.3">
      <c r="J42961" s="33"/>
    </row>
    <row r="42962" spans="10:10" x14ac:dyDescent="0.3">
      <c r="J42962" s="33"/>
    </row>
    <row r="42963" spans="10:10" x14ac:dyDescent="0.3">
      <c r="J42963" s="33"/>
    </row>
    <row r="42964" spans="10:10" x14ac:dyDescent="0.3">
      <c r="J42964" s="33"/>
    </row>
    <row r="42965" spans="10:10" x14ac:dyDescent="0.3">
      <c r="J42965" s="33"/>
    </row>
    <row r="42966" spans="10:10" x14ac:dyDescent="0.3">
      <c r="J42966" s="33"/>
    </row>
    <row r="42967" spans="10:10" x14ac:dyDescent="0.3">
      <c r="J42967" s="33"/>
    </row>
    <row r="42968" spans="10:10" x14ac:dyDescent="0.3">
      <c r="J42968" s="33"/>
    </row>
    <row r="42969" spans="10:10" x14ac:dyDescent="0.3">
      <c r="J42969" s="33"/>
    </row>
    <row r="42970" spans="10:10" x14ac:dyDescent="0.3">
      <c r="J42970" s="33"/>
    </row>
    <row r="42971" spans="10:10" x14ac:dyDescent="0.3">
      <c r="J42971" s="33"/>
    </row>
    <row r="42972" spans="10:10" x14ac:dyDescent="0.3">
      <c r="J42972" s="33"/>
    </row>
    <row r="42973" spans="10:10" x14ac:dyDescent="0.3">
      <c r="J42973" s="33"/>
    </row>
    <row r="42974" spans="10:10" x14ac:dyDescent="0.3">
      <c r="J42974" s="33"/>
    </row>
    <row r="42975" spans="10:10" x14ac:dyDescent="0.3">
      <c r="J42975" s="33"/>
    </row>
    <row r="42976" spans="10:10" x14ac:dyDescent="0.3">
      <c r="J42976" s="33"/>
    </row>
    <row r="42977" spans="10:10" x14ac:dyDescent="0.3">
      <c r="J42977" s="33"/>
    </row>
    <row r="42978" spans="10:10" x14ac:dyDescent="0.3">
      <c r="J42978" s="33"/>
    </row>
    <row r="42979" spans="10:10" x14ac:dyDescent="0.3">
      <c r="J42979" s="33"/>
    </row>
    <row r="42980" spans="10:10" x14ac:dyDescent="0.3">
      <c r="J42980" s="33"/>
    </row>
    <row r="42981" spans="10:10" x14ac:dyDescent="0.3">
      <c r="J42981" s="33"/>
    </row>
    <row r="42982" spans="10:10" x14ac:dyDescent="0.3">
      <c r="J42982" s="33"/>
    </row>
    <row r="42983" spans="10:10" x14ac:dyDescent="0.3">
      <c r="J42983" s="33"/>
    </row>
    <row r="42984" spans="10:10" x14ac:dyDescent="0.3">
      <c r="J42984" s="33"/>
    </row>
    <row r="42985" spans="10:10" x14ac:dyDescent="0.3">
      <c r="J42985" s="33"/>
    </row>
    <row r="42986" spans="10:10" x14ac:dyDescent="0.3">
      <c r="J42986" s="33"/>
    </row>
    <row r="42987" spans="10:10" x14ac:dyDescent="0.3">
      <c r="J42987" s="33"/>
    </row>
    <row r="42988" spans="10:10" x14ac:dyDescent="0.3">
      <c r="J42988" s="33"/>
    </row>
    <row r="42989" spans="10:10" x14ac:dyDescent="0.3">
      <c r="J42989" s="33"/>
    </row>
    <row r="42990" spans="10:10" x14ac:dyDescent="0.3">
      <c r="J42990" s="33"/>
    </row>
    <row r="42991" spans="10:10" x14ac:dyDescent="0.3">
      <c r="J42991" s="33"/>
    </row>
    <row r="42992" spans="10:10" x14ac:dyDescent="0.3">
      <c r="J42992" s="33"/>
    </row>
    <row r="42993" spans="10:10" x14ac:dyDescent="0.3">
      <c r="J42993" s="33"/>
    </row>
    <row r="42994" spans="10:10" x14ac:dyDescent="0.3">
      <c r="J42994" s="33"/>
    </row>
    <row r="42995" spans="10:10" x14ac:dyDescent="0.3">
      <c r="J42995" s="33"/>
    </row>
    <row r="42996" spans="10:10" x14ac:dyDescent="0.3">
      <c r="J42996" s="33"/>
    </row>
    <row r="42997" spans="10:10" x14ac:dyDescent="0.3">
      <c r="J42997" s="33"/>
    </row>
    <row r="42998" spans="10:10" x14ac:dyDescent="0.3">
      <c r="J42998" s="33"/>
    </row>
    <row r="42999" spans="10:10" x14ac:dyDescent="0.3">
      <c r="J42999" s="33"/>
    </row>
    <row r="43000" spans="10:10" x14ac:dyDescent="0.3">
      <c r="J43000" s="33"/>
    </row>
    <row r="43001" spans="10:10" x14ac:dyDescent="0.3">
      <c r="J43001" s="33"/>
    </row>
    <row r="43002" spans="10:10" x14ac:dyDescent="0.3">
      <c r="J43002" s="33"/>
    </row>
    <row r="43003" spans="10:10" x14ac:dyDescent="0.3">
      <c r="J43003" s="33"/>
    </row>
    <row r="43004" spans="10:10" x14ac:dyDescent="0.3">
      <c r="J43004" s="33"/>
    </row>
    <row r="43005" spans="10:10" x14ac:dyDescent="0.3">
      <c r="J43005" s="33"/>
    </row>
    <row r="43006" spans="10:10" x14ac:dyDescent="0.3">
      <c r="J43006" s="33"/>
    </row>
    <row r="43007" spans="10:10" x14ac:dyDescent="0.3">
      <c r="J43007" s="33"/>
    </row>
    <row r="43008" spans="10:10" x14ac:dyDescent="0.3">
      <c r="J43008" s="33"/>
    </row>
    <row r="43009" spans="10:10" x14ac:dyDescent="0.3">
      <c r="J43009" s="33"/>
    </row>
    <row r="43010" spans="10:10" x14ac:dyDescent="0.3">
      <c r="J43010" s="33"/>
    </row>
    <row r="43011" spans="10:10" x14ac:dyDescent="0.3">
      <c r="J43011" s="33"/>
    </row>
    <row r="43012" spans="10:10" x14ac:dyDescent="0.3">
      <c r="J43012" s="33"/>
    </row>
    <row r="43013" spans="10:10" x14ac:dyDescent="0.3">
      <c r="J43013" s="33"/>
    </row>
    <row r="43014" spans="10:10" x14ac:dyDescent="0.3">
      <c r="J43014" s="33"/>
    </row>
    <row r="43015" spans="10:10" x14ac:dyDescent="0.3">
      <c r="J43015" s="33"/>
    </row>
    <row r="43016" spans="10:10" x14ac:dyDescent="0.3">
      <c r="J43016" s="33"/>
    </row>
    <row r="43017" spans="10:10" x14ac:dyDescent="0.3">
      <c r="J43017" s="33"/>
    </row>
    <row r="43018" spans="10:10" x14ac:dyDescent="0.3">
      <c r="J43018" s="33"/>
    </row>
    <row r="43019" spans="10:10" x14ac:dyDescent="0.3">
      <c r="J43019" s="33"/>
    </row>
    <row r="43020" spans="10:10" x14ac:dyDescent="0.3">
      <c r="J43020" s="33"/>
    </row>
    <row r="43021" spans="10:10" x14ac:dyDescent="0.3">
      <c r="J43021" s="33"/>
    </row>
    <row r="43022" spans="10:10" x14ac:dyDescent="0.3">
      <c r="J43022" s="33"/>
    </row>
    <row r="43023" spans="10:10" x14ac:dyDescent="0.3">
      <c r="J43023" s="33"/>
    </row>
    <row r="43024" spans="10:10" x14ac:dyDescent="0.3">
      <c r="J43024" s="33"/>
    </row>
    <row r="43025" spans="10:10" x14ac:dyDescent="0.3">
      <c r="J43025" s="33"/>
    </row>
    <row r="43026" spans="10:10" x14ac:dyDescent="0.3">
      <c r="J43026" s="33"/>
    </row>
    <row r="43027" spans="10:10" x14ac:dyDescent="0.3">
      <c r="J43027" s="33"/>
    </row>
    <row r="43028" spans="10:10" x14ac:dyDescent="0.3">
      <c r="J43028" s="33"/>
    </row>
    <row r="43029" spans="10:10" x14ac:dyDescent="0.3">
      <c r="J43029" s="33"/>
    </row>
    <row r="43030" spans="10:10" x14ac:dyDescent="0.3">
      <c r="J43030" s="33"/>
    </row>
    <row r="43031" spans="10:10" x14ac:dyDescent="0.3">
      <c r="J43031" s="33"/>
    </row>
    <row r="43032" spans="10:10" x14ac:dyDescent="0.3">
      <c r="J43032" s="33"/>
    </row>
    <row r="43033" spans="10:10" x14ac:dyDescent="0.3">
      <c r="J43033" s="33"/>
    </row>
    <row r="43034" spans="10:10" x14ac:dyDescent="0.3">
      <c r="J43034" s="33"/>
    </row>
    <row r="43035" spans="10:10" x14ac:dyDescent="0.3">
      <c r="J43035" s="33"/>
    </row>
    <row r="43036" spans="10:10" x14ac:dyDescent="0.3">
      <c r="J43036" s="33"/>
    </row>
    <row r="43037" spans="10:10" x14ac:dyDescent="0.3">
      <c r="J43037" s="33"/>
    </row>
    <row r="43038" spans="10:10" x14ac:dyDescent="0.3">
      <c r="J43038" s="33"/>
    </row>
    <row r="43039" spans="10:10" x14ac:dyDescent="0.3">
      <c r="J43039" s="33"/>
    </row>
    <row r="43040" spans="10:10" x14ac:dyDescent="0.3">
      <c r="J43040" s="33"/>
    </row>
    <row r="43041" spans="10:10" x14ac:dyDescent="0.3">
      <c r="J43041" s="33"/>
    </row>
    <row r="43042" spans="10:10" x14ac:dyDescent="0.3">
      <c r="J43042" s="33"/>
    </row>
    <row r="43043" spans="10:10" x14ac:dyDescent="0.3">
      <c r="J43043" s="33"/>
    </row>
    <row r="43044" spans="10:10" x14ac:dyDescent="0.3">
      <c r="J43044" s="33"/>
    </row>
    <row r="43045" spans="10:10" x14ac:dyDescent="0.3">
      <c r="J43045" s="33"/>
    </row>
    <row r="43046" spans="10:10" x14ac:dyDescent="0.3">
      <c r="J43046" s="33"/>
    </row>
    <row r="43047" spans="10:10" x14ac:dyDescent="0.3">
      <c r="J43047" s="33"/>
    </row>
    <row r="43048" spans="10:10" x14ac:dyDescent="0.3">
      <c r="J43048" s="33"/>
    </row>
    <row r="43049" spans="10:10" x14ac:dyDescent="0.3">
      <c r="J43049" s="33"/>
    </row>
    <row r="43050" spans="10:10" x14ac:dyDescent="0.3">
      <c r="J43050" s="33"/>
    </row>
    <row r="43051" spans="10:10" x14ac:dyDescent="0.3">
      <c r="J43051" s="33"/>
    </row>
    <row r="43052" spans="10:10" x14ac:dyDescent="0.3">
      <c r="J43052" s="33"/>
    </row>
    <row r="43053" spans="10:10" x14ac:dyDescent="0.3">
      <c r="J43053" s="33"/>
    </row>
    <row r="43054" spans="10:10" x14ac:dyDescent="0.3">
      <c r="J43054" s="33"/>
    </row>
    <row r="43055" spans="10:10" x14ac:dyDescent="0.3">
      <c r="J43055" s="33"/>
    </row>
    <row r="43056" spans="10:10" x14ac:dyDescent="0.3">
      <c r="J43056" s="33"/>
    </row>
    <row r="43057" spans="10:10" x14ac:dyDescent="0.3">
      <c r="J43057" s="33"/>
    </row>
    <row r="43058" spans="10:10" x14ac:dyDescent="0.3">
      <c r="J43058" s="33"/>
    </row>
    <row r="43059" spans="10:10" x14ac:dyDescent="0.3">
      <c r="J43059" s="33"/>
    </row>
    <row r="43060" spans="10:10" x14ac:dyDescent="0.3">
      <c r="J43060" s="33"/>
    </row>
    <row r="43061" spans="10:10" x14ac:dyDescent="0.3">
      <c r="J43061" s="33"/>
    </row>
    <row r="43062" spans="10:10" x14ac:dyDescent="0.3">
      <c r="J43062" s="33"/>
    </row>
    <row r="43063" spans="10:10" x14ac:dyDescent="0.3">
      <c r="J43063" s="33"/>
    </row>
    <row r="43064" spans="10:10" x14ac:dyDescent="0.3">
      <c r="J43064" s="33"/>
    </row>
    <row r="43065" spans="10:10" x14ac:dyDescent="0.3">
      <c r="J43065" s="33"/>
    </row>
    <row r="43066" spans="10:10" x14ac:dyDescent="0.3">
      <c r="J43066" s="33"/>
    </row>
    <row r="43067" spans="10:10" x14ac:dyDescent="0.3">
      <c r="J43067" s="33"/>
    </row>
    <row r="43068" spans="10:10" x14ac:dyDescent="0.3">
      <c r="J43068" s="33"/>
    </row>
    <row r="43069" spans="10:10" x14ac:dyDescent="0.3">
      <c r="J43069" s="33"/>
    </row>
    <row r="43070" spans="10:10" x14ac:dyDescent="0.3">
      <c r="J43070" s="33"/>
    </row>
    <row r="43071" spans="10:10" x14ac:dyDescent="0.3">
      <c r="J43071" s="33"/>
    </row>
    <row r="43072" spans="10:10" x14ac:dyDescent="0.3">
      <c r="J43072" s="33"/>
    </row>
    <row r="43073" spans="10:10" x14ac:dyDescent="0.3">
      <c r="J43073" s="33"/>
    </row>
    <row r="43074" spans="10:10" x14ac:dyDescent="0.3">
      <c r="J43074" s="33"/>
    </row>
    <row r="43075" spans="10:10" x14ac:dyDescent="0.3">
      <c r="J43075" s="33"/>
    </row>
    <row r="43076" spans="10:10" x14ac:dyDescent="0.3">
      <c r="J43076" s="33"/>
    </row>
    <row r="43077" spans="10:10" x14ac:dyDescent="0.3">
      <c r="J43077" s="33"/>
    </row>
    <row r="43078" spans="10:10" x14ac:dyDescent="0.3">
      <c r="J43078" s="33"/>
    </row>
    <row r="43079" spans="10:10" x14ac:dyDescent="0.3">
      <c r="J43079" s="33"/>
    </row>
    <row r="43080" spans="10:10" x14ac:dyDescent="0.3">
      <c r="J43080" s="33"/>
    </row>
    <row r="43081" spans="10:10" x14ac:dyDescent="0.3">
      <c r="J43081" s="33"/>
    </row>
    <row r="43082" spans="10:10" x14ac:dyDescent="0.3">
      <c r="J43082" s="33"/>
    </row>
    <row r="43083" spans="10:10" x14ac:dyDescent="0.3">
      <c r="J43083" s="33"/>
    </row>
    <row r="43084" spans="10:10" x14ac:dyDescent="0.3">
      <c r="J43084" s="33"/>
    </row>
    <row r="43085" spans="10:10" x14ac:dyDescent="0.3">
      <c r="J43085" s="33"/>
    </row>
    <row r="43086" spans="10:10" x14ac:dyDescent="0.3">
      <c r="J43086" s="33"/>
    </row>
    <row r="43087" spans="10:10" x14ac:dyDescent="0.3">
      <c r="J43087" s="33"/>
    </row>
    <row r="43088" spans="10:10" x14ac:dyDescent="0.3">
      <c r="J43088" s="33"/>
    </row>
    <row r="43089" spans="10:10" x14ac:dyDescent="0.3">
      <c r="J43089" s="33"/>
    </row>
    <row r="43090" spans="10:10" x14ac:dyDescent="0.3">
      <c r="J43090" s="33"/>
    </row>
    <row r="43091" spans="10:10" x14ac:dyDescent="0.3">
      <c r="J43091" s="33"/>
    </row>
    <row r="43092" spans="10:10" x14ac:dyDescent="0.3">
      <c r="J43092" s="33"/>
    </row>
    <row r="43093" spans="10:10" x14ac:dyDescent="0.3">
      <c r="J43093" s="33"/>
    </row>
    <row r="43094" spans="10:10" x14ac:dyDescent="0.3">
      <c r="J43094" s="33"/>
    </row>
    <row r="43095" spans="10:10" x14ac:dyDescent="0.3">
      <c r="J43095" s="33"/>
    </row>
    <row r="43096" spans="10:10" x14ac:dyDescent="0.3">
      <c r="J43096" s="33"/>
    </row>
    <row r="43097" spans="10:10" x14ac:dyDescent="0.3">
      <c r="J43097" s="33"/>
    </row>
    <row r="43098" spans="10:10" x14ac:dyDescent="0.3">
      <c r="J43098" s="33"/>
    </row>
    <row r="43099" spans="10:10" x14ac:dyDescent="0.3">
      <c r="J43099" s="33"/>
    </row>
    <row r="43100" spans="10:10" x14ac:dyDescent="0.3">
      <c r="J43100" s="33"/>
    </row>
    <row r="43101" spans="10:10" x14ac:dyDescent="0.3">
      <c r="J43101" s="33"/>
    </row>
    <row r="43102" spans="10:10" x14ac:dyDescent="0.3">
      <c r="J43102" s="33"/>
    </row>
    <row r="43103" spans="10:10" x14ac:dyDescent="0.3">
      <c r="J43103" s="33"/>
    </row>
    <row r="43104" spans="10:10" x14ac:dyDescent="0.3">
      <c r="J43104" s="33"/>
    </row>
    <row r="43105" spans="10:10" x14ac:dyDescent="0.3">
      <c r="J43105" s="33"/>
    </row>
    <row r="43106" spans="10:10" x14ac:dyDescent="0.3">
      <c r="J43106" s="33"/>
    </row>
    <row r="43107" spans="10:10" x14ac:dyDescent="0.3">
      <c r="J43107" s="33"/>
    </row>
    <row r="43108" spans="10:10" x14ac:dyDescent="0.3">
      <c r="J43108" s="33"/>
    </row>
    <row r="43109" spans="10:10" x14ac:dyDescent="0.3">
      <c r="J43109" s="33"/>
    </row>
    <row r="43110" spans="10:10" x14ac:dyDescent="0.3">
      <c r="J43110" s="33"/>
    </row>
    <row r="43111" spans="10:10" x14ac:dyDescent="0.3">
      <c r="J43111" s="33"/>
    </row>
    <row r="43112" spans="10:10" x14ac:dyDescent="0.3">
      <c r="J43112" s="33"/>
    </row>
    <row r="43113" spans="10:10" x14ac:dyDescent="0.3">
      <c r="J43113" s="33"/>
    </row>
    <row r="43114" spans="10:10" x14ac:dyDescent="0.3">
      <c r="J43114" s="33"/>
    </row>
    <row r="43115" spans="10:10" x14ac:dyDescent="0.3">
      <c r="J43115" s="33"/>
    </row>
    <row r="43116" spans="10:10" x14ac:dyDescent="0.3">
      <c r="J43116" s="33"/>
    </row>
    <row r="43117" spans="10:10" x14ac:dyDescent="0.3">
      <c r="J43117" s="33"/>
    </row>
    <row r="43118" spans="10:10" x14ac:dyDescent="0.3">
      <c r="J43118" s="33"/>
    </row>
    <row r="43119" spans="10:10" x14ac:dyDescent="0.3">
      <c r="J43119" s="33"/>
    </row>
    <row r="43120" spans="10:10" x14ac:dyDescent="0.3">
      <c r="J43120" s="33"/>
    </row>
    <row r="43121" spans="10:10" x14ac:dyDescent="0.3">
      <c r="J43121" s="33"/>
    </row>
    <row r="43122" spans="10:10" x14ac:dyDescent="0.3">
      <c r="J43122" s="33"/>
    </row>
    <row r="43123" spans="10:10" x14ac:dyDescent="0.3">
      <c r="J43123" s="33"/>
    </row>
    <row r="43124" spans="10:10" x14ac:dyDescent="0.3">
      <c r="J43124" s="33"/>
    </row>
    <row r="43125" spans="10:10" x14ac:dyDescent="0.3">
      <c r="J43125" s="33"/>
    </row>
    <row r="43126" spans="10:10" x14ac:dyDescent="0.3">
      <c r="J43126" s="33"/>
    </row>
    <row r="43127" spans="10:10" x14ac:dyDescent="0.3">
      <c r="J43127" s="33"/>
    </row>
    <row r="43128" spans="10:10" x14ac:dyDescent="0.3">
      <c r="J43128" s="33"/>
    </row>
    <row r="43129" spans="10:10" x14ac:dyDescent="0.3">
      <c r="J43129" s="33"/>
    </row>
    <row r="43130" spans="10:10" x14ac:dyDescent="0.3">
      <c r="J43130" s="33"/>
    </row>
    <row r="43131" spans="10:10" x14ac:dyDescent="0.3">
      <c r="J43131" s="33"/>
    </row>
    <row r="43132" spans="10:10" x14ac:dyDescent="0.3">
      <c r="J43132" s="33"/>
    </row>
    <row r="43133" spans="10:10" x14ac:dyDescent="0.3">
      <c r="J43133" s="33"/>
    </row>
    <row r="43134" spans="10:10" x14ac:dyDescent="0.3">
      <c r="J43134" s="33"/>
    </row>
    <row r="43135" spans="10:10" x14ac:dyDescent="0.3">
      <c r="J43135" s="33"/>
    </row>
    <row r="43136" spans="10:10" x14ac:dyDescent="0.3">
      <c r="J43136" s="33"/>
    </row>
    <row r="43137" spans="10:10" x14ac:dyDescent="0.3">
      <c r="J43137" s="33"/>
    </row>
    <row r="43138" spans="10:10" x14ac:dyDescent="0.3">
      <c r="J43138" s="33"/>
    </row>
    <row r="43139" spans="10:10" x14ac:dyDescent="0.3">
      <c r="J43139" s="33"/>
    </row>
    <row r="43140" spans="10:10" x14ac:dyDescent="0.3">
      <c r="J43140" s="33"/>
    </row>
    <row r="43141" spans="10:10" x14ac:dyDescent="0.3">
      <c r="J43141" s="33"/>
    </row>
    <row r="43142" spans="10:10" x14ac:dyDescent="0.3">
      <c r="J43142" s="33"/>
    </row>
    <row r="43143" spans="10:10" x14ac:dyDescent="0.3">
      <c r="J43143" s="33"/>
    </row>
    <row r="43144" spans="10:10" x14ac:dyDescent="0.3">
      <c r="J43144" s="33"/>
    </row>
    <row r="43145" spans="10:10" x14ac:dyDescent="0.3">
      <c r="J43145" s="33"/>
    </row>
    <row r="43146" spans="10:10" x14ac:dyDescent="0.3">
      <c r="J43146" s="33"/>
    </row>
    <row r="43147" spans="10:10" x14ac:dyDescent="0.3">
      <c r="J43147" s="33"/>
    </row>
    <row r="43148" spans="10:10" x14ac:dyDescent="0.3">
      <c r="J43148" s="33"/>
    </row>
    <row r="43149" spans="10:10" x14ac:dyDescent="0.3">
      <c r="J43149" s="33"/>
    </row>
    <row r="43150" spans="10:10" x14ac:dyDescent="0.3">
      <c r="J43150" s="33"/>
    </row>
    <row r="43151" spans="10:10" x14ac:dyDescent="0.3">
      <c r="J43151" s="33"/>
    </row>
    <row r="43152" spans="10:10" x14ac:dyDescent="0.3">
      <c r="J43152" s="33"/>
    </row>
    <row r="43153" spans="10:10" x14ac:dyDescent="0.3">
      <c r="J43153" s="33"/>
    </row>
    <row r="43154" spans="10:10" x14ac:dyDescent="0.3">
      <c r="J43154" s="33"/>
    </row>
    <row r="43155" spans="10:10" x14ac:dyDescent="0.3">
      <c r="J43155" s="33"/>
    </row>
    <row r="43156" spans="10:10" x14ac:dyDescent="0.3">
      <c r="J43156" s="33"/>
    </row>
    <row r="43157" spans="10:10" x14ac:dyDescent="0.3">
      <c r="J43157" s="33"/>
    </row>
    <row r="43158" spans="10:10" x14ac:dyDescent="0.3">
      <c r="J43158" s="33"/>
    </row>
    <row r="43159" spans="10:10" x14ac:dyDescent="0.3">
      <c r="J43159" s="33"/>
    </row>
    <row r="43160" spans="10:10" x14ac:dyDescent="0.3">
      <c r="J43160" s="33"/>
    </row>
    <row r="43161" spans="10:10" x14ac:dyDescent="0.3">
      <c r="J43161" s="33"/>
    </row>
    <row r="43162" spans="10:10" x14ac:dyDescent="0.3">
      <c r="J43162" s="33"/>
    </row>
    <row r="43163" spans="10:10" x14ac:dyDescent="0.3">
      <c r="J43163" s="33"/>
    </row>
    <row r="43164" spans="10:10" x14ac:dyDescent="0.3">
      <c r="J43164" s="33"/>
    </row>
    <row r="43165" spans="10:10" x14ac:dyDescent="0.3">
      <c r="J43165" s="33"/>
    </row>
    <row r="43166" spans="10:10" x14ac:dyDescent="0.3">
      <c r="J43166" s="33"/>
    </row>
    <row r="43167" spans="10:10" x14ac:dyDescent="0.3">
      <c r="J43167" s="33"/>
    </row>
    <row r="43168" spans="10:10" x14ac:dyDescent="0.3">
      <c r="J43168" s="33"/>
    </row>
    <row r="43169" spans="10:10" x14ac:dyDescent="0.3">
      <c r="J43169" s="33"/>
    </row>
    <row r="43170" spans="10:10" x14ac:dyDescent="0.3">
      <c r="J43170" s="33"/>
    </row>
    <row r="43171" spans="10:10" x14ac:dyDescent="0.3">
      <c r="J43171" s="33"/>
    </row>
    <row r="43172" spans="10:10" x14ac:dyDescent="0.3">
      <c r="J43172" s="33"/>
    </row>
    <row r="43173" spans="10:10" x14ac:dyDescent="0.3">
      <c r="J43173" s="33"/>
    </row>
    <row r="43174" spans="10:10" x14ac:dyDescent="0.3">
      <c r="J43174" s="33"/>
    </row>
    <row r="43175" spans="10:10" x14ac:dyDescent="0.3">
      <c r="J43175" s="33"/>
    </row>
    <row r="43176" spans="10:10" x14ac:dyDescent="0.3">
      <c r="J43176" s="33"/>
    </row>
    <row r="43177" spans="10:10" x14ac:dyDescent="0.3">
      <c r="J43177" s="33"/>
    </row>
    <row r="43178" spans="10:10" x14ac:dyDescent="0.3">
      <c r="J43178" s="33"/>
    </row>
    <row r="43179" spans="10:10" x14ac:dyDescent="0.3">
      <c r="J43179" s="33"/>
    </row>
    <row r="43180" spans="10:10" x14ac:dyDescent="0.3">
      <c r="J43180" s="33"/>
    </row>
    <row r="43181" spans="10:10" x14ac:dyDescent="0.3">
      <c r="J43181" s="33"/>
    </row>
    <row r="43182" spans="10:10" x14ac:dyDescent="0.3">
      <c r="J43182" s="33"/>
    </row>
    <row r="43183" spans="10:10" x14ac:dyDescent="0.3">
      <c r="J43183" s="33"/>
    </row>
    <row r="43184" spans="10:10" x14ac:dyDescent="0.3">
      <c r="J43184" s="33"/>
    </row>
    <row r="43185" spans="10:10" x14ac:dyDescent="0.3">
      <c r="J43185" s="33"/>
    </row>
    <row r="43186" spans="10:10" x14ac:dyDescent="0.3">
      <c r="J43186" s="33"/>
    </row>
    <row r="43187" spans="10:10" x14ac:dyDescent="0.3">
      <c r="J43187" s="33"/>
    </row>
    <row r="43188" spans="10:10" x14ac:dyDescent="0.3">
      <c r="J43188" s="33"/>
    </row>
    <row r="43189" spans="10:10" x14ac:dyDescent="0.3">
      <c r="J43189" s="33"/>
    </row>
    <row r="43190" spans="10:10" x14ac:dyDescent="0.3">
      <c r="J43190" s="33"/>
    </row>
    <row r="43191" spans="10:10" x14ac:dyDescent="0.3">
      <c r="J43191" s="33"/>
    </row>
    <row r="43192" spans="10:10" x14ac:dyDescent="0.3">
      <c r="J43192" s="33"/>
    </row>
    <row r="43193" spans="10:10" x14ac:dyDescent="0.3">
      <c r="J43193" s="33"/>
    </row>
    <row r="43194" spans="10:10" x14ac:dyDescent="0.3">
      <c r="J43194" s="33"/>
    </row>
    <row r="43195" spans="10:10" x14ac:dyDescent="0.3">
      <c r="J43195" s="33"/>
    </row>
    <row r="43196" spans="10:10" x14ac:dyDescent="0.3">
      <c r="J43196" s="33"/>
    </row>
    <row r="43197" spans="10:10" x14ac:dyDescent="0.3">
      <c r="J43197" s="33"/>
    </row>
    <row r="43198" spans="10:10" x14ac:dyDescent="0.3">
      <c r="J43198" s="33"/>
    </row>
    <row r="43199" spans="10:10" x14ac:dyDescent="0.3">
      <c r="J43199" s="33"/>
    </row>
    <row r="43200" spans="10:10" x14ac:dyDescent="0.3">
      <c r="J43200" s="33"/>
    </row>
    <row r="43201" spans="10:10" x14ac:dyDescent="0.3">
      <c r="J43201" s="33"/>
    </row>
    <row r="43202" spans="10:10" x14ac:dyDescent="0.3">
      <c r="J43202" s="33"/>
    </row>
    <row r="43203" spans="10:10" x14ac:dyDescent="0.3">
      <c r="J43203" s="33"/>
    </row>
    <row r="43204" spans="10:10" x14ac:dyDescent="0.3">
      <c r="J43204" s="33"/>
    </row>
    <row r="43205" spans="10:10" x14ac:dyDescent="0.3">
      <c r="J43205" s="33"/>
    </row>
    <row r="43206" spans="10:10" x14ac:dyDescent="0.3">
      <c r="J43206" s="33"/>
    </row>
    <row r="43207" spans="10:10" x14ac:dyDescent="0.3">
      <c r="J43207" s="33"/>
    </row>
    <row r="43208" spans="10:10" x14ac:dyDescent="0.3">
      <c r="J43208" s="33"/>
    </row>
    <row r="43209" spans="10:10" x14ac:dyDescent="0.3">
      <c r="J43209" s="33"/>
    </row>
    <row r="43210" spans="10:10" x14ac:dyDescent="0.3">
      <c r="J43210" s="33"/>
    </row>
    <row r="43211" spans="10:10" x14ac:dyDescent="0.3">
      <c r="J43211" s="33"/>
    </row>
    <row r="43212" spans="10:10" x14ac:dyDescent="0.3">
      <c r="J43212" s="33"/>
    </row>
    <row r="43213" spans="10:10" x14ac:dyDescent="0.3">
      <c r="J43213" s="33"/>
    </row>
    <row r="43214" spans="10:10" x14ac:dyDescent="0.3">
      <c r="J43214" s="33"/>
    </row>
    <row r="43215" spans="10:10" x14ac:dyDescent="0.3">
      <c r="J43215" s="33"/>
    </row>
    <row r="43216" spans="10:10" x14ac:dyDescent="0.3">
      <c r="J43216" s="33"/>
    </row>
    <row r="43217" spans="10:10" x14ac:dyDescent="0.3">
      <c r="J43217" s="33"/>
    </row>
    <row r="43218" spans="10:10" x14ac:dyDescent="0.3">
      <c r="J43218" s="33"/>
    </row>
    <row r="43219" spans="10:10" x14ac:dyDescent="0.3">
      <c r="J43219" s="33"/>
    </row>
    <row r="43220" spans="10:10" x14ac:dyDescent="0.3">
      <c r="J43220" s="33"/>
    </row>
    <row r="43221" spans="10:10" x14ac:dyDescent="0.3">
      <c r="J43221" s="33"/>
    </row>
    <row r="43222" spans="10:10" x14ac:dyDescent="0.3">
      <c r="J43222" s="33"/>
    </row>
    <row r="43223" spans="10:10" x14ac:dyDescent="0.3">
      <c r="J43223" s="33"/>
    </row>
    <row r="43224" spans="10:10" x14ac:dyDescent="0.3">
      <c r="J43224" s="33"/>
    </row>
    <row r="43225" spans="10:10" x14ac:dyDescent="0.3">
      <c r="J43225" s="33"/>
    </row>
    <row r="43226" spans="10:10" x14ac:dyDescent="0.3">
      <c r="J43226" s="33"/>
    </row>
    <row r="43227" spans="10:10" x14ac:dyDescent="0.3">
      <c r="J43227" s="33"/>
    </row>
    <row r="43228" spans="10:10" x14ac:dyDescent="0.3">
      <c r="J43228" s="33"/>
    </row>
    <row r="43229" spans="10:10" x14ac:dyDescent="0.3">
      <c r="J43229" s="33"/>
    </row>
    <row r="43230" spans="10:10" x14ac:dyDescent="0.3">
      <c r="J43230" s="33"/>
    </row>
    <row r="43231" spans="10:10" x14ac:dyDescent="0.3">
      <c r="J43231" s="33"/>
    </row>
    <row r="43232" spans="10:10" x14ac:dyDescent="0.3">
      <c r="J43232" s="33"/>
    </row>
    <row r="43233" spans="10:10" x14ac:dyDescent="0.3">
      <c r="J43233" s="33"/>
    </row>
    <row r="43234" spans="10:10" x14ac:dyDescent="0.3">
      <c r="J43234" s="33"/>
    </row>
    <row r="43235" spans="10:10" x14ac:dyDescent="0.3">
      <c r="J43235" s="33"/>
    </row>
    <row r="43236" spans="10:10" x14ac:dyDescent="0.3">
      <c r="J43236" s="33"/>
    </row>
    <row r="43237" spans="10:10" x14ac:dyDescent="0.3">
      <c r="J43237" s="33"/>
    </row>
    <row r="43238" spans="10:10" x14ac:dyDescent="0.3">
      <c r="J43238" s="33"/>
    </row>
    <row r="43239" spans="10:10" x14ac:dyDescent="0.3">
      <c r="J43239" s="33"/>
    </row>
    <row r="43240" spans="10:10" x14ac:dyDescent="0.3">
      <c r="J43240" s="33"/>
    </row>
    <row r="43241" spans="10:10" x14ac:dyDescent="0.3">
      <c r="J43241" s="33"/>
    </row>
    <row r="43242" spans="10:10" x14ac:dyDescent="0.3">
      <c r="J43242" s="33"/>
    </row>
    <row r="43243" spans="10:10" x14ac:dyDescent="0.3">
      <c r="J43243" s="33"/>
    </row>
    <row r="43244" spans="10:10" x14ac:dyDescent="0.3">
      <c r="J43244" s="33"/>
    </row>
    <row r="43245" spans="10:10" x14ac:dyDescent="0.3">
      <c r="J43245" s="33"/>
    </row>
    <row r="43246" spans="10:10" x14ac:dyDescent="0.3">
      <c r="J43246" s="33"/>
    </row>
    <row r="43247" spans="10:10" x14ac:dyDescent="0.3">
      <c r="J43247" s="33"/>
    </row>
    <row r="43248" spans="10:10" x14ac:dyDescent="0.3">
      <c r="J43248" s="33"/>
    </row>
    <row r="43249" spans="10:10" x14ac:dyDescent="0.3">
      <c r="J43249" s="33"/>
    </row>
    <row r="43250" spans="10:10" x14ac:dyDescent="0.3">
      <c r="J43250" s="33"/>
    </row>
    <row r="43251" spans="10:10" x14ac:dyDescent="0.3">
      <c r="J43251" s="33"/>
    </row>
    <row r="43252" spans="10:10" x14ac:dyDescent="0.3">
      <c r="J43252" s="33"/>
    </row>
    <row r="43253" spans="10:10" x14ac:dyDescent="0.3">
      <c r="J43253" s="33"/>
    </row>
    <row r="43254" spans="10:10" x14ac:dyDescent="0.3">
      <c r="J43254" s="33"/>
    </row>
    <row r="43255" spans="10:10" x14ac:dyDescent="0.3">
      <c r="J43255" s="33"/>
    </row>
    <row r="43256" spans="10:10" x14ac:dyDescent="0.3">
      <c r="J43256" s="33"/>
    </row>
    <row r="43257" spans="10:10" x14ac:dyDescent="0.3">
      <c r="J43257" s="33"/>
    </row>
    <row r="43258" spans="10:10" x14ac:dyDescent="0.3">
      <c r="J43258" s="33"/>
    </row>
    <row r="43259" spans="10:10" x14ac:dyDescent="0.3">
      <c r="J43259" s="33"/>
    </row>
    <row r="43260" spans="10:10" x14ac:dyDescent="0.3">
      <c r="J43260" s="33"/>
    </row>
    <row r="43261" spans="10:10" x14ac:dyDescent="0.3">
      <c r="J43261" s="33"/>
    </row>
    <row r="43262" spans="10:10" x14ac:dyDescent="0.3">
      <c r="J43262" s="33"/>
    </row>
    <row r="43263" spans="10:10" x14ac:dyDescent="0.3">
      <c r="J43263" s="33"/>
    </row>
    <row r="43264" spans="10:10" x14ac:dyDescent="0.3">
      <c r="J43264" s="33"/>
    </row>
    <row r="43265" spans="10:10" x14ac:dyDescent="0.3">
      <c r="J43265" s="33"/>
    </row>
    <row r="43266" spans="10:10" x14ac:dyDescent="0.3">
      <c r="J43266" s="33"/>
    </row>
    <row r="43267" spans="10:10" x14ac:dyDescent="0.3">
      <c r="J43267" s="33"/>
    </row>
    <row r="43268" spans="10:10" x14ac:dyDescent="0.3">
      <c r="J43268" s="33"/>
    </row>
    <row r="43269" spans="10:10" x14ac:dyDescent="0.3">
      <c r="J43269" s="33"/>
    </row>
    <row r="43270" spans="10:10" x14ac:dyDescent="0.3">
      <c r="J43270" s="33"/>
    </row>
    <row r="43271" spans="10:10" x14ac:dyDescent="0.3">
      <c r="J43271" s="33"/>
    </row>
    <row r="43272" spans="10:10" x14ac:dyDescent="0.3">
      <c r="J43272" s="33"/>
    </row>
    <row r="43273" spans="10:10" x14ac:dyDescent="0.3">
      <c r="J43273" s="33"/>
    </row>
    <row r="43274" spans="10:10" x14ac:dyDescent="0.3">
      <c r="J43274" s="33"/>
    </row>
    <row r="43275" spans="10:10" x14ac:dyDescent="0.3">
      <c r="J43275" s="33"/>
    </row>
    <row r="43276" spans="10:10" x14ac:dyDescent="0.3">
      <c r="J43276" s="33"/>
    </row>
    <row r="43277" spans="10:10" x14ac:dyDescent="0.3">
      <c r="J43277" s="33"/>
    </row>
    <row r="43278" spans="10:10" x14ac:dyDescent="0.3">
      <c r="J43278" s="33"/>
    </row>
    <row r="43279" spans="10:10" x14ac:dyDescent="0.3">
      <c r="J43279" s="33"/>
    </row>
    <row r="43280" spans="10:10" x14ac:dyDescent="0.3">
      <c r="J43280" s="33"/>
    </row>
    <row r="43281" spans="10:10" x14ac:dyDescent="0.3">
      <c r="J43281" s="33"/>
    </row>
    <row r="43282" spans="10:10" x14ac:dyDescent="0.3">
      <c r="J43282" s="33"/>
    </row>
    <row r="43283" spans="10:10" x14ac:dyDescent="0.3">
      <c r="J43283" s="33"/>
    </row>
    <row r="43284" spans="10:10" x14ac:dyDescent="0.3">
      <c r="J43284" s="33"/>
    </row>
    <row r="43285" spans="10:10" x14ac:dyDescent="0.3">
      <c r="J43285" s="33"/>
    </row>
    <row r="43286" spans="10:10" x14ac:dyDescent="0.3">
      <c r="J43286" s="33"/>
    </row>
    <row r="43287" spans="10:10" x14ac:dyDescent="0.3">
      <c r="J43287" s="33"/>
    </row>
    <row r="43288" spans="10:10" x14ac:dyDescent="0.3">
      <c r="J43288" s="33"/>
    </row>
    <row r="43289" spans="10:10" x14ac:dyDescent="0.3">
      <c r="J43289" s="33"/>
    </row>
    <row r="43290" spans="10:10" x14ac:dyDescent="0.3">
      <c r="J43290" s="33"/>
    </row>
    <row r="43291" spans="10:10" x14ac:dyDescent="0.3">
      <c r="J43291" s="33"/>
    </row>
    <row r="43292" spans="10:10" x14ac:dyDescent="0.3">
      <c r="J43292" s="33"/>
    </row>
    <row r="43293" spans="10:10" x14ac:dyDescent="0.3">
      <c r="J43293" s="33"/>
    </row>
    <row r="43294" spans="10:10" x14ac:dyDescent="0.3">
      <c r="J43294" s="33"/>
    </row>
    <row r="43295" spans="10:10" x14ac:dyDescent="0.3">
      <c r="J43295" s="33"/>
    </row>
    <row r="43296" spans="10:10" x14ac:dyDescent="0.3">
      <c r="J43296" s="33"/>
    </row>
    <row r="43297" spans="10:10" x14ac:dyDescent="0.3">
      <c r="J43297" s="33"/>
    </row>
    <row r="43298" spans="10:10" x14ac:dyDescent="0.3">
      <c r="J43298" s="33"/>
    </row>
    <row r="43299" spans="10:10" x14ac:dyDescent="0.3">
      <c r="J43299" s="33"/>
    </row>
    <row r="43300" spans="10:10" x14ac:dyDescent="0.3">
      <c r="J43300" s="33"/>
    </row>
    <row r="43301" spans="10:10" x14ac:dyDescent="0.3">
      <c r="J43301" s="33"/>
    </row>
    <row r="43302" spans="10:10" x14ac:dyDescent="0.3">
      <c r="J43302" s="33"/>
    </row>
    <row r="43303" spans="10:10" x14ac:dyDescent="0.3">
      <c r="J43303" s="33"/>
    </row>
    <row r="43304" spans="10:10" x14ac:dyDescent="0.3">
      <c r="J43304" s="33"/>
    </row>
    <row r="43305" spans="10:10" x14ac:dyDescent="0.3">
      <c r="J43305" s="33"/>
    </row>
    <row r="43306" spans="10:10" x14ac:dyDescent="0.3">
      <c r="J43306" s="33"/>
    </row>
    <row r="43307" spans="10:10" x14ac:dyDescent="0.3">
      <c r="J43307" s="33"/>
    </row>
    <row r="43308" spans="10:10" x14ac:dyDescent="0.3">
      <c r="J43308" s="33"/>
    </row>
    <row r="43309" spans="10:10" x14ac:dyDescent="0.3">
      <c r="J43309" s="33"/>
    </row>
    <row r="43310" spans="10:10" x14ac:dyDescent="0.3">
      <c r="J43310" s="33"/>
    </row>
    <row r="43311" spans="10:10" x14ac:dyDescent="0.3">
      <c r="J43311" s="33"/>
    </row>
    <row r="43312" spans="10:10" x14ac:dyDescent="0.3">
      <c r="J43312" s="33"/>
    </row>
    <row r="43313" spans="10:10" x14ac:dyDescent="0.3">
      <c r="J43313" s="33"/>
    </row>
    <row r="43314" spans="10:10" x14ac:dyDescent="0.3">
      <c r="J43314" s="33"/>
    </row>
    <row r="43315" spans="10:10" x14ac:dyDescent="0.3">
      <c r="J43315" s="33"/>
    </row>
    <row r="43316" spans="10:10" x14ac:dyDescent="0.3">
      <c r="J43316" s="33"/>
    </row>
    <row r="43317" spans="10:10" x14ac:dyDescent="0.3">
      <c r="J43317" s="33"/>
    </row>
    <row r="43318" spans="10:10" x14ac:dyDescent="0.3">
      <c r="J43318" s="33"/>
    </row>
    <row r="43319" spans="10:10" x14ac:dyDescent="0.3">
      <c r="J43319" s="33"/>
    </row>
    <row r="43320" spans="10:10" x14ac:dyDescent="0.3">
      <c r="J43320" s="33"/>
    </row>
    <row r="43321" spans="10:10" x14ac:dyDescent="0.3">
      <c r="J43321" s="33"/>
    </row>
    <row r="43322" spans="10:10" x14ac:dyDescent="0.3">
      <c r="J43322" s="33"/>
    </row>
    <row r="43323" spans="10:10" x14ac:dyDescent="0.3">
      <c r="J43323" s="33"/>
    </row>
    <row r="43324" spans="10:10" x14ac:dyDescent="0.3">
      <c r="J43324" s="33"/>
    </row>
    <row r="43325" spans="10:10" x14ac:dyDescent="0.3">
      <c r="J43325" s="33"/>
    </row>
    <row r="43326" spans="10:10" x14ac:dyDescent="0.3">
      <c r="J43326" s="33"/>
    </row>
    <row r="43327" spans="10:10" x14ac:dyDescent="0.3">
      <c r="J43327" s="33"/>
    </row>
    <row r="43328" spans="10:10" x14ac:dyDescent="0.3">
      <c r="J43328" s="33"/>
    </row>
    <row r="43329" spans="10:10" x14ac:dyDescent="0.3">
      <c r="J43329" s="33"/>
    </row>
    <row r="43330" spans="10:10" x14ac:dyDescent="0.3">
      <c r="J43330" s="33"/>
    </row>
    <row r="43331" spans="10:10" x14ac:dyDescent="0.3">
      <c r="J43331" s="33"/>
    </row>
    <row r="43332" spans="10:10" x14ac:dyDescent="0.3">
      <c r="J43332" s="33"/>
    </row>
    <row r="43333" spans="10:10" x14ac:dyDescent="0.3">
      <c r="J43333" s="33"/>
    </row>
    <row r="43334" spans="10:10" x14ac:dyDescent="0.3">
      <c r="J43334" s="33"/>
    </row>
    <row r="43335" spans="10:10" x14ac:dyDescent="0.3">
      <c r="J43335" s="33"/>
    </row>
    <row r="43336" spans="10:10" x14ac:dyDescent="0.3">
      <c r="J43336" s="33"/>
    </row>
    <row r="43337" spans="10:10" x14ac:dyDescent="0.3">
      <c r="J43337" s="33"/>
    </row>
    <row r="43338" spans="10:10" x14ac:dyDescent="0.3">
      <c r="J43338" s="33"/>
    </row>
    <row r="43339" spans="10:10" x14ac:dyDescent="0.3">
      <c r="J43339" s="33"/>
    </row>
    <row r="43340" spans="10:10" x14ac:dyDescent="0.3">
      <c r="J43340" s="33"/>
    </row>
    <row r="43341" spans="10:10" x14ac:dyDescent="0.3">
      <c r="J43341" s="33"/>
    </row>
    <row r="43342" spans="10:10" x14ac:dyDescent="0.3">
      <c r="J43342" s="33"/>
    </row>
    <row r="43343" spans="10:10" x14ac:dyDescent="0.3">
      <c r="J43343" s="33"/>
    </row>
    <row r="43344" spans="10:10" x14ac:dyDescent="0.3">
      <c r="J43344" s="33"/>
    </row>
    <row r="43345" spans="10:10" x14ac:dyDescent="0.3">
      <c r="J43345" s="33"/>
    </row>
    <row r="43346" spans="10:10" x14ac:dyDescent="0.3">
      <c r="J43346" s="33"/>
    </row>
    <row r="43347" spans="10:10" x14ac:dyDescent="0.3">
      <c r="J43347" s="33"/>
    </row>
    <row r="43348" spans="10:10" x14ac:dyDescent="0.3">
      <c r="J43348" s="33"/>
    </row>
    <row r="43349" spans="10:10" x14ac:dyDescent="0.3">
      <c r="J43349" s="33"/>
    </row>
    <row r="43350" spans="10:10" x14ac:dyDescent="0.3">
      <c r="J43350" s="33"/>
    </row>
    <row r="43351" spans="10:10" x14ac:dyDescent="0.3">
      <c r="J43351" s="33"/>
    </row>
    <row r="43352" spans="10:10" x14ac:dyDescent="0.3">
      <c r="J43352" s="33"/>
    </row>
    <row r="43353" spans="10:10" x14ac:dyDescent="0.3">
      <c r="J43353" s="33"/>
    </row>
    <row r="43354" spans="10:10" x14ac:dyDescent="0.3">
      <c r="J43354" s="33"/>
    </row>
    <row r="43355" spans="10:10" x14ac:dyDescent="0.3">
      <c r="J43355" s="33"/>
    </row>
    <row r="43356" spans="10:10" x14ac:dyDescent="0.3">
      <c r="J43356" s="33"/>
    </row>
    <row r="43357" spans="10:10" x14ac:dyDescent="0.3">
      <c r="J43357" s="33"/>
    </row>
    <row r="43358" spans="10:10" x14ac:dyDescent="0.3">
      <c r="J43358" s="33"/>
    </row>
    <row r="43359" spans="10:10" x14ac:dyDescent="0.3">
      <c r="J43359" s="33"/>
    </row>
    <row r="43360" spans="10:10" x14ac:dyDescent="0.3">
      <c r="J43360" s="33"/>
    </row>
    <row r="43361" spans="10:10" x14ac:dyDescent="0.3">
      <c r="J43361" s="33"/>
    </row>
    <row r="43362" spans="10:10" x14ac:dyDescent="0.3">
      <c r="J43362" s="33"/>
    </row>
    <row r="43363" spans="10:10" x14ac:dyDescent="0.3">
      <c r="J43363" s="33"/>
    </row>
    <row r="43364" spans="10:10" x14ac:dyDescent="0.3">
      <c r="J43364" s="33"/>
    </row>
    <row r="43365" spans="10:10" x14ac:dyDescent="0.3">
      <c r="J43365" s="33"/>
    </row>
    <row r="43366" spans="10:10" x14ac:dyDescent="0.3">
      <c r="J43366" s="33"/>
    </row>
    <row r="43367" spans="10:10" x14ac:dyDescent="0.3">
      <c r="J43367" s="33"/>
    </row>
    <row r="43368" spans="10:10" x14ac:dyDescent="0.3">
      <c r="J43368" s="33"/>
    </row>
    <row r="43369" spans="10:10" x14ac:dyDescent="0.3">
      <c r="J43369" s="33"/>
    </row>
    <row r="43370" spans="10:10" x14ac:dyDescent="0.3">
      <c r="J43370" s="33"/>
    </row>
    <row r="43371" spans="10:10" x14ac:dyDescent="0.3">
      <c r="J43371" s="33"/>
    </row>
    <row r="43372" spans="10:10" x14ac:dyDescent="0.3">
      <c r="J43372" s="33"/>
    </row>
    <row r="43373" spans="10:10" x14ac:dyDescent="0.3">
      <c r="J43373" s="33"/>
    </row>
    <row r="43374" spans="10:10" x14ac:dyDescent="0.3">
      <c r="J43374" s="33"/>
    </row>
    <row r="43375" spans="10:10" x14ac:dyDescent="0.3">
      <c r="J43375" s="33"/>
    </row>
    <row r="43376" spans="10:10" x14ac:dyDescent="0.3">
      <c r="J43376" s="33"/>
    </row>
    <row r="43377" spans="10:10" x14ac:dyDescent="0.3">
      <c r="J43377" s="33"/>
    </row>
    <row r="43378" spans="10:10" x14ac:dyDescent="0.3">
      <c r="J43378" s="33"/>
    </row>
    <row r="43379" spans="10:10" x14ac:dyDescent="0.3">
      <c r="J43379" s="33"/>
    </row>
    <row r="43380" spans="10:10" x14ac:dyDescent="0.3">
      <c r="J43380" s="33"/>
    </row>
    <row r="43381" spans="10:10" x14ac:dyDescent="0.3">
      <c r="J43381" s="33"/>
    </row>
    <row r="43382" spans="10:10" x14ac:dyDescent="0.3">
      <c r="J43382" s="33"/>
    </row>
    <row r="43383" spans="10:10" x14ac:dyDescent="0.3">
      <c r="J43383" s="33"/>
    </row>
    <row r="43384" spans="10:10" x14ac:dyDescent="0.3">
      <c r="J43384" s="33"/>
    </row>
    <row r="43385" spans="10:10" x14ac:dyDescent="0.3">
      <c r="J43385" s="33"/>
    </row>
    <row r="43386" spans="10:10" x14ac:dyDescent="0.3">
      <c r="J43386" s="33"/>
    </row>
    <row r="43387" spans="10:10" x14ac:dyDescent="0.3">
      <c r="J43387" s="33"/>
    </row>
    <row r="43388" spans="10:10" x14ac:dyDescent="0.3">
      <c r="J43388" s="33"/>
    </row>
    <row r="43389" spans="10:10" x14ac:dyDescent="0.3">
      <c r="J43389" s="33"/>
    </row>
    <row r="43390" spans="10:10" x14ac:dyDescent="0.3">
      <c r="J43390" s="33"/>
    </row>
    <row r="43391" spans="10:10" x14ac:dyDescent="0.3">
      <c r="J43391" s="33"/>
    </row>
    <row r="43392" spans="10:10" x14ac:dyDescent="0.3">
      <c r="J43392" s="33"/>
    </row>
    <row r="43393" spans="10:10" x14ac:dyDescent="0.3">
      <c r="J43393" s="33"/>
    </row>
    <row r="43394" spans="10:10" x14ac:dyDescent="0.3">
      <c r="J43394" s="33"/>
    </row>
    <row r="43395" spans="10:10" x14ac:dyDescent="0.3">
      <c r="J43395" s="33"/>
    </row>
    <row r="43396" spans="10:10" x14ac:dyDescent="0.3">
      <c r="J43396" s="33"/>
    </row>
    <row r="43397" spans="10:10" x14ac:dyDescent="0.3">
      <c r="J43397" s="33"/>
    </row>
    <row r="43398" spans="10:10" x14ac:dyDescent="0.3">
      <c r="J43398" s="33"/>
    </row>
    <row r="43399" spans="10:10" x14ac:dyDescent="0.3">
      <c r="J43399" s="33"/>
    </row>
    <row r="43400" spans="10:10" x14ac:dyDescent="0.3">
      <c r="J43400" s="33"/>
    </row>
    <row r="43401" spans="10:10" x14ac:dyDescent="0.3">
      <c r="J43401" s="33"/>
    </row>
    <row r="43402" spans="10:10" x14ac:dyDescent="0.3">
      <c r="J43402" s="33"/>
    </row>
    <row r="43403" spans="10:10" x14ac:dyDescent="0.3">
      <c r="J43403" s="33"/>
    </row>
    <row r="43404" spans="10:10" x14ac:dyDescent="0.3">
      <c r="J43404" s="33"/>
    </row>
    <row r="43405" spans="10:10" x14ac:dyDescent="0.3">
      <c r="J43405" s="33"/>
    </row>
    <row r="43406" spans="10:10" x14ac:dyDescent="0.3">
      <c r="J43406" s="33"/>
    </row>
    <row r="43407" spans="10:10" x14ac:dyDescent="0.3">
      <c r="J43407" s="33"/>
    </row>
    <row r="43408" spans="10:10" x14ac:dyDescent="0.3">
      <c r="J43408" s="33"/>
    </row>
    <row r="43409" spans="10:10" x14ac:dyDescent="0.3">
      <c r="J43409" s="33"/>
    </row>
    <row r="43410" spans="10:10" x14ac:dyDescent="0.3">
      <c r="J43410" s="33"/>
    </row>
    <row r="43411" spans="10:10" x14ac:dyDescent="0.3">
      <c r="J43411" s="33"/>
    </row>
    <row r="43412" spans="10:10" x14ac:dyDescent="0.3">
      <c r="J43412" s="33"/>
    </row>
    <row r="43413" spans="10:10" x14ac:dyDescent="0.3">
      <c r="J43413" s="33"/>
    </row>
    <row r="43414" spans="10:10" x14ac:dyDescent="0.3">
      <c r="J43414" s="33"/>
    </row>
    <row r="43415" spans="10:10" x14ac:dyDescent="0.3">
      <c r="J43415" s="33"/>
    </row>
    <row r="43416" spans="10:10" x14ac:dyDescent="0.3">
      <c r="J43416" s="33"/>
    </row>
    <row r="43417" spans="10:10" x14ac:dyDescent="0.3">
      <c r="J43417" s="33"/>
    </row>
    <row r="43418" spans="10:10" x14ac:dyDescent="0.3">
      <c r="J43418" s="33"/>
    </row>
    <row r="43419" spans="10:10" x14ac:dyDescent="0.3">
      <c r="J43419" s="33"/>
    </row>
    <row r="43420" spans="10:10" x14ac:dyDescent="0.3">
      <c r="J43420" s="33"/>
    </row>
    <row r="43421" spans="10:10" x14ac:dyDescent="0.3">
      <c r="J43421" s="33"/>
    </row>
    <row r="43422" spans="10:10" x14ac:dyDescent="0.3">
      <c r="J43422" s="33"/>
    </row>
    <row r="43423" spans="10:10" x14ac:dyDescent="0.3">
      <c r="J43423" s="33"/>
    </row>
    <row r="43424" spans="10:10" x14ac:dyDescent="0.3">
      <c r="J43424" s="33"/>
    </row>
    <row r="43425" spans="10:10" x14ac:dyDescent="0.3">
      <c r="J43425" s="33"/>
    </row>
    <row r="43426" spans="10:10" x14ac:dyDescent="0.3">
      <c r="J43426" s="33"/>
    </row>
    <row r="43427" spans="10:10" x14ac:dyDescent="0.3">
      <c r="J43427" s="33"/>
    </row>
    <row r="43428" spans="10:10" x14ac:dyDescent="0.3">
      <c r="J43428" s="33"/>
    </row>
    <row r="43429" spans="10:10" x14ac:dyDescent="0.3">
      <c r="J43429" s="33"/>
    </row>
    <row r="43430" spans="10:10" x14ac:dyDescent="0.3">
      <c r="J43430" s="33"/>
    </row>
    <row r="43431" spans="10:10" x14ac:dyDescent="0.3">
      <c r="J43431" s="33"/>
    </row>
    <row r="43432" spans="10:10" x14ac:dyDescent="0.3">
      <c r="J43432" s="33"/>
    </row>
    <row r="43433" spans="10:10" x14ac:dyDescent="0.3">
      <c r="J43433" s="33"/>
    </row>
    <row r="43434" spans="10:10" x14ac:dyDescent="0.3">
      <c r="J43434" s="33"/>
    </row>
    <row r="43435" spans="10:10" x14ac:dyDescent="0.3">
      <c r="J43435" s="33"/>
    </row>
    <row r="43436" spans="10:10" x14ac:dyDescent="0.3">
      <c r="J43436" s="33"/>
    </row>
    <row r="43437" spans="10:10" x14ac:dyDescent="0.3">
      <c r="J43437" s="33"/>
    </row>
    <row r="43438" spans="10:10" x14ac:dyDescent="0.3">
      <c r="J43438" s="33"/>
    </row>
    <row r="43439" spans="10:10" x14ac:dyDescent="0.3">
      <c r="J43439" s="33"/>
    </row>
    <row r="43440" spans="10:10" x14ac:dyDescent="0.3">
      <c r="J43440" s="33"/>
    </row>
    <row r="43441" spans="10:10" x14ac:dyDescent="0.3">
      <c r="J43441" s="33"/>
    </row>
    <row r="43442" spans="10:10" x14ac:dyDescent="0.3">
      <c r="J43442" s="33"/>
    </row>
    <row r="43443" spans="10:10" x14ac:dyDescent="0.3">
      <c r="J43443" s="33"/>
    </row>
    <row r="43444" spans="10:10" x14ac:dyDescent="0.3">
      <c r="J43444" s="33"/>
    </row>
    <row r="43445" spans="10:10" x14ac:dyDescent="0.3">
      <c r="J43445" s="33"/>
    </row>
    <row r="43446" spans="10:10" x14ac:dyDescent="0.3">
      <c r="J43446" s="33"/>
    </row>
    <row r="43447" spans="10:10" x14ac:dyDescent="0.3">
      <c r="J43447" s="33"/>
    </row>
    <row r="43448" spans="10:10" x14ac:dyDescent="0.3">
      <c r="J43448" s="33"/>
    </row>
    <row r="43449" spans="10:10" x14ac:dyDescent="0.3">
      <c r="J43449" s="33"/>
    </row>
    <row r="43450" spans="10:10" x14ac:dyDescent="0.3">
      <c r="J43450" s="33"/>
    </row>
    <row r="43451" spans="10:10" x14ac:dyDescent="0.3">
      <c r="J43451" s="33"/>
    </row>
    <row r="43452" spans="10:10" x14ac:dyDescent="0.3">
      <c r="J43452" s="33"/>
    </row>
    <row r="43453" spans="10:10" x14ac:dyDescent="0.3">
      <c r="J43453" s="33"/>
    </row>
    <row r="43454" spans="10:10" x14ac:dyDescent="0.3">
      <c r="J43454" s="33"/>
    </row>
    <row r="43455" spans="10:10" x14ac:dyDescent="0.3">
      <c r="J43455" s="33"/>
    </row>
    <row r="43456" spans="10:10" x14ac:dyDescent="0.3">
      <c r="J43456" s="33"/>
    </row>
    <row r="43457" spans="10:10" x14ac:dyDescent="0.3">
      <c r="J43457" s="33"/>
    </row>
    <row r="43458" spans="10:10" x14ac:dyDescent="0.3">
      <c r="J43458" s="33"/>
    </row>
    <row r="43459" spans="10:10" x14ac:dyDescent="0.3">
      <c r="J43459" s="33"/>
    </row>
    <row r="43460" spans="10:10" x14ac:dyDescent="0.3">
      <c r="J43460" s="33"/>
    </row>
    <row r="43461" spans="10:10" x14ac:dyDescent="0.3">
      <c r="J43461" s="33"/>
    </row>
    <row r="43462" spans="10:10" x14ac:dyDescent="0.3">
      <c r="J43462" s="33"/>
    </row>
    <row r="43463" spans="10:10" x14ac:dyDescent="0.3">
      <c r="J43463" s="33"/>
    </row>
    <row r="43464" spans="10:10" x14ac:dyDescent="0.3">
      <c r="J43464" s="33"/>
    </row>
    <row r="43465" spans="10:10" x14ac:dyDescent="0.3">
      <c r="J43465" s="33"/>
    </row>
    <row r="43466" spans="10:10" x14ac:dyDescent="0.3">
      <c r="J43466" s="33"/>
    </row>
    <row r="43467" spans="10:10" x14ac:dyDescent="0.3">
      <c r="J43467" s="33"/>
    </row>
    <row r="43468" spans="10:10" x14ac:dyDescent="0.3">
      <c r="J43468" s="33"/>
    </row>
    <row r="43469" spans="10:10" x14ac:dyDescent="0.3">
      <c r="J43469" s="33"/>
    </row>
    <row r="43470" spans="10:10" x14ac:dyDescent="0.3">
      <c r="J43470" s="33"/>
    </row>
    <row r="43471" spans="10:10" x14ac:dyDescent="0.3">
      <c r="J43471" s="33"/>
    </row>
    <row r="43472" spans="10:10" x14ac:dyDescent="0.3">
      <c r="J43472" s="33"/>
    </row>
    <row r="43473" spans="10:10" x14ac:dyDescent="0.3">
      <c r="J43473" s="33"/>
    </row>
    <row r="43474" spans="10:10" x14ac:dyDescent="0.3">
      <c r="J43474" s="33"/>
    </row>
    <row r="43475" spans="10:10" x14ac:dyDescent="0.3">
      <c r="J43475" s="33"/>
    </row>
    <row r="43476" spans="10:10" x14ac:dyDescent="0.3">
      <c r="J43476" s="33"/>
    </row>
    <row r="43477" spans="10:10" x14ac:dyDescent="0.3">
      <c r="J43477" s="33"/>
    </row>
    <row r="43478" spans="10:10" x14ac:dyDescent="0.3">
      <c r="J43478" s="33"/>
    </row>
    <row r="43479" spans="10:10" x14ac:dyDescent="0.3">
      <c r="J43479" s="33"/>
    </row>
    <row r="43480" spans="10:10" x14ac:dyDescent="0.3">
      <c r="J43480" s="33"/>
    </row>
    <row r="43481" spans="10:10" x14ac:dyDescent="0.3">
      <c r="J43481" s="33"/>
    </row>
    <row r="43482" spans="10:10" x14ac:dyDescent="0.3">
      <c r="J43482" s="33"/>
    </row>
    <row r="43483" spans="10:10" x14ac:dyDescent="0.3">
      <c r="J43483" s="33"/>
    </row>
    <row r="43484" spans="10:10" x14ac:dyDescent="0.3">
      <c r="J43484" s="33"/>
    </row>
    <row r="43485" spans="10:10" x14ac:dyDescent="0.3">
      <c r="J43485" s="33"/>
    </row>
    <row r="43486" spans="10:10" x14ac:dyDescent="0.3">
      <c r="J43486" s="33"/>
    </row>
    <row r="43487" spans="10:10" x14ac:dyDescent="0.3">
      <c r="J43487" s="33"/>
    </row>
    <row r="43488" spans="10:10" x14ac:dyDescent="0.3">
      <c r="J43488" s="33"/>
    </row>
    <row r="43489" spans="10:10" x14ac:dyDescent="0.3">
      <c r="J43489" s="33"/>
    </row>
    <row r="43490" spans="10:10" x14ac:dyDescent="0.3">
      <c r="J43490" s="33"/>
    </row>
    <row r="43491" spans="10:10" x14ac:dyDescent="0.3">
      <c r="J43491" s="33"/>
    </row>
    <row r="43492" spans="10:10" x14ac:dyDescent="0.3">
      <c r="J43492" s="33"/>
    </row>
    <row r="43493" spans="10:10" x14ac:dyDescent="0.3">
      <c r="J43493" s="33"/>
    </row>
    <row r="43494" spans="10:10" x14ac:dyDescent="0.3">
      <c r="J43494" s="33"/>
    </row>
    <row r="43495" spans="10:10" x14ac:dyDescent="0.3">
      <c r="J43495" s="33"/>
    </row>
    <row r="43496" spans="10:10" x14ac:dyDescent="0.3">
      <c r="J43496" s="33"/>
    </row>
    <row r="43497" spans="10:10" x14ac:dyDescent="0.3">
      <c r="J43497" s="33"/>
    </row>
    <row r="43498" spans="10:10" x14ac:dyDescent="0.3">
      <c r="J43498" s="33"/>
    </row>
    <row r="43499" spans="10:10" x14ac:dyDescent="0.3">
      <c r="J43499" s="33"/>
    </row>
    <row r="43500" spans="10:10" x14ac:dyDescent="0.3">
      <c r="J43500" s="33"/>
    </row>
    <row r="43501" spans="10:10" x14ac:dyDescent="0.3">
      <c r="J43501" s="33"/>
    </row>
    <row r="43502" spans="10:10" x14ac:dyDescent="0.3">
      <c r="J43502" s="33"/>
    </row>
    <row r="43503" spans="10:10" x14ac:dyDescent="0.3">
      <c r="J43503" s="33"/>
    </row>
    <row r="43504" spans="10:10" x14ac:dyDescent="0.3">
      <c r="J43504" s="33"/>
    </row>
    <row r="43505" spans="10:10" x14ac:dyDescent="0.3">
      <c r="J43505" s="33"/>
    </row>
    <row r="43506" spans="10:10" x14ac:dyDescent="0.3">
      <c r="J43506" s="33"/>
    </row>
    <row r="43507" spans="10:10" x14ac:dyDescent="0.3">
      <c r="J43507" s="33"/>
    </row>
    <row r="43508" spans="10:10" x14ac:dyDescent="0.3">
      <c r="J43508" s="33"/>
    </row>
    <row r="43509" spans="10:10" x14ac:dyDescent="0.3">
      <c r="J43509" s="33"/>
    </row>
    <row r="43510" spans="10:10" x14ac:dyDescent="0.3">
      <c r="J43510" s="33"/>
    </row>
    <row r="43511" spans="10:10" x14ac:dyDescent="0.3">
      <c r="J43511" s="33"/>
    </row>
    <row r="43512" spans="10:10" x14ac:dyDescent="0.3">
      <c r="J43512" s="33"/>
    </row>
    <row r="43513" spans="10:10" x14ac:dyDescent="0.3">
      <c r="J43513" s="33"/>
    </row>
    <row r="43514" spans="10:10" x14ac:dyDescent="0.3">
      <c r="J43514" s="33"/>
    </row>
    <row r="43515" spans="10:10" x14ac:dyDescent="0.3">
      <c r="J43515" s="33"/>
    </row>
    <row r="43516" spans="10:10" x14ac:dyDescent="0.3">
      <c r="J43516" s="33"/>
    </row>
    <row r="43517" spans="10:10" x14ac:dyDescent="0.3">
      <c r="J43517" s="33"/>
    </row>
    <row r="43518" spans="10:10" x14ac:dyDescent="0.3">
      <c r="J43518" s="33"/>
    </row>
    <row r="43519" spans="10:10" x14ac:dyDescent="0.3">
      <c r="J43519" s="33"/>
    </row>
    <row r="43520" spans="10:10" x14ac:dyDescent="0.3">
      <c r="J43520" s="33"/>
    </row>
    <row r="43521" spans="10:10" x14ac:dyDescent="0.3">
      <c r="J43521" s="33"/>
    </row>
    <row r="43522" spans="10:10" x14ac:dyDescent="0.3">
      <c r="J43522" s="33"/>
    </row>
    <row r="43523" spans="10:10" x14ac:dyDescent="0.3">
      <c r="J43523" s="33"/>
    </row>
    <row r="43524" spans="10:10" x14ac:dyDescent="0.3">
      <c r="J43524" s="33"/>
    </row>
    <row r="43525" spans="10:10" x14ac:dyDescent="0.3">
      <c r="J43525" s="33"/>
    </row>
    <row r="43526" spans="10:10" x14ac:dyDescent="0.3">
      <c r="J43526" s="33"/>
    </row>
    <row r="43527" spans="10:10" x14ac:dyDescent="0.3">
      <c r="J43527" s="33"/>
    </row>
    <row r="43528" spans="10:10" x14ac:dyDescent="0.3">
      <c r="J43528" s="33"/>
    </row>
    <row r="43529" spans="10:10" x14ac:dyDescent="0.3">
      <c r="J43529" s="33"/>
    </row>
    <row r="43530" spans="10:10" x14ac:dyDescent="0.3">
      <c r="J43530" s="33"/>
    </row>
    <row r="43531" spans="10:10" x14ac:dyDescent="0.3">
      <c r="J43531" s="33"/>
    </row>
    <row r="43532" spans="10:10" x14ac:dyDescent="0.3">
      <c r="J43532" s="33"/>
    </row>
    <row r="43533" spans="10:10" x14ac:dyDescent="0.3">
      <c r="J43533" s="33"/>
    </row>
    <row r="43534" spans="10:10" x14ac:dyDescent="0.3">
      <c r="J43534" s="33"/>
    </row>
    <row r="43535" spans="10:10" x14ac:dyDescent="0.3">
      <c r="J43535" s="33"/>
    </row>
    <row r="43536" spans="10:10" x14ac:dyDescent="0.3">
      <c r="J43536" s="33"/>
    </row>
    <row r="43537" spans="10:10" x14ac:dyDescent="0.3">
      <c r="J43537" s="33"/>
    </row>
    <row r="43538" spans="10:10" x14ac:dyDescent="0.3">
      <c r="J43538" s="33"/>
    </row>
    <row r="43539" spans="10:10" x14ac:dyDescent="0.3">
      <c r="J43539" s="33"/>
    </row>
    <row r="43540" spans="10:10" x14ac:dyDescent="0.3">
      <c r="J43540" s="33"/>
    </row>
    <row r="43541" spans="10:10" x14ac:dyDescent="0.3">
      <c r="J43541" s="33"/>
    </row>
    <row r="43542" spans="10:10" x14ac:dyDescent="0.3">
      <c r="J43542" s="33"/>
    </row>
    <row r="43543" spans="10:10" x14ac:dyDescent="0.3">
      <c r="J43543" s="33"/>
    </row>
    <row r="43544" spans="10:10" x14ac:dyDescent="0.3">
      <c r="J43544" s="33"/>
    </row>
    <row r="43545" spans="10:10" x14ac:dyDescent="0.3">
      <c r="J43545" s="33"/>
    </row>
    <row r="43546" spans="10:10" x14ac:dyDescent="0.3">
      <c r="J43546" s="33"/>
    </row>
    <row r="43547" spans="10:10" x14ac:dyDescent="0.3">
      <c r="J43547" s="33"/>
    </row>
    <row r="43548" spans="10:10" x14ac:dyDescent="0.3">
      <c r="J43548" s="33"/>
    </row>
    <row r="43549" spans="10:10" x14ac:dyDescent="0.3">
      <c r="J43549" s="33"/>
    </row>
    <row r="43550" spans="10:10" x14ac:dyDescent="0.3">
      <c r="J43550" s="33"/>
    </row>
    <row r="43551" spans="10:10" x14ac:dyDescent="0.3">
      <c r="J43551" s="33"/>
    </row>
    <row r="43552" spans="10:10" x14ac:dyDescent="0.3">
      <c r="J43552" s="33"/>
    </row>
    <row r="43553" spans="10:10" x14ac:dyDescent="0.3">
      <c r="J43553" s="33"/>
    </row>
    <row r="43554" spans="10:10" x14ac:dyDescent="0.3">
      <c r="J43554" s="33"/>
    </row>
    <row r="43555" spans="10:10" x14ac:dyDescent="0.3">
      <c r="J43555" s="33"/>
    </row>
    <row r="43556" spans="10:10" x14ac:dyDescent="0.3">
      <c r="J43556" s="33"/>
    </row>
    <row r="43557" spans="10:10" x14ac:dyDescent="0.3">
      <c r="J43557" s="33"/>
    </row>
    <row r="43558" spans="10:10" x14ac:dyDescent="0.3">
      <c r="J43558" s="33"/>
    </row>
    <row r="43559" spans="10:10" x14ac:dyDescent="0.3">
      <c r="J43559" s="33"/>
    </row>
    <row r="43560" spans="10:10" x14ac:dyDescent="0.3">
      <c r="J43560" s="33"/>
    </row>
    <row r="43561" spans="10:10" x14ac:dyDescent="0.3">
      <c r="J43561" s="33"/>
    </row>
    <row r="43562" spans="10:10" x14ac:dyDescent="0.3">
      <c r="J43562" s="33"/>
    </row>
    <row r="43563" spans="10:10" x14ac:dyDescent="0.3">
      <c r="J43563" s="33"/>
    </row>
    <row r="43564" spans="10:10" x14ac:dyDescent="0.3">
      <c r="J43564" s="33"/>
    </row>
    <row r="43565" spans="10:10" x14ac:dyDescent="0.3">
      <c r="J43565" s="33"/>
    </row>
    <row r="43566" spans="10:10" x14ac:dyDescent="0.3">
      <c r="J43566" s="33"/>
    </row>
    <row r="43567" spans="10:10" x14ac:dyDescent="0.3">
      <c r="J43567" s="33"/>
    </row>
    <row r="43568" spans="10:10" x14ac:dyDescent="0.3">
      <c r="J43568" s="33"/>
    </row>
    <row r="43569" spans="10:10" x14ac:dyDescent="0.3">
      <c r="J43569" s="33"/>
    </row>
    <row r="43570" spans="10:10" x14ac:dyDescent="0.3">
      <c r="J43570" s="33"/>
    </row>
    <row r="43571" spans="10:10" x14ac:dyDescent="0.3">
      <c r="J43571" s="33"/>
    </row>
    <row r="43572" spans="10:10" x14ac:dyDescent="0.3">
      <c r="J43572" s="33"/>
    </row>
    <row r="43573" spans="10:10" x14ac:dyDescent="0.3">
      <c r="J43573" s="33"/>
    </row>
    <row r="43574" spans="10:10" x14ac:dyDescent="0.3">
      <c r="J43574" s="33"/>
    </row>
    <row r="43575" spans="10:10" x14ac:dyDescent="0.3">
      <c r="J43575" s="33"/>
    </row>
    <row r="43576" spans="10:10" x14ac:dyDescent="0.3">
      <c r="J43576" s="33"/>
    </row>
    <row r="43577" spans="10:10" x14ac:dyDescent="0.3">
      <c r="J43577" s="33"/>
    </row>
    <row r="43578" spans="10:10" x14ac:dyDescent="0.3">
      <c r="J43578" s="33"/>
    </row>
    <row r="43579" spans="10:10" x14ac:dyDescent="0.3">
      <c r="J43579" s="33"/>
    </row>
    <row r="43580" spans="10:10" x14ac:dyDescent="0.3">
      <c r="J43580" s="33"/>
    </row>
    <row r="43581" spans="10:10" x14ac:dyDescent="0.3">
      <c r="J43581" s="33"/>
    </row>
    <row r="43582" spans="10:10" x14ac:dyDescent="0.3">
      <c r="J43582" s="33"/>
    </row>
    <row r="43583" spans="10:10" x14ac:dyDescent="0.3">
      <c r="J43583" s="33"/>
    </row>
    <row r="43584" spans="10:10" x14ac:dyDescent="0.3">
      <c r="J43584" s="33"/>
    </row>
    <row r="43585" spans="10:10" x14ac:dyDescent="0.3">
      <c r="J43585" s="33"/>
    </row>
    <row r="43586" spans="10:10" x14ac:dyDescent="0.3">
      <c r="J43586" s="33"/>
    </row>
    <row r="43587" spans="10:10" x14ac:dyDescent="0.3">
      <c r="J43587" s="33"/>
    </row>
    <row r="43588" spans="10:10" x14ac:dyDescent="0.3">
      <c r="J43588" s="33"/>
    </row>
    <row r="43589" spans="10:10" x14ac:dyDescent="0.3">
      <c r="J43589" s="33"/>
    </row>
    <row r="43590" spans="10:10" x14ac:dyDescent="0.3">
      <c r="J43590" s="33"/>
    </row>
    <row r="43591" spans="10:10" x14ac:dyDescent="0.3">
      <c r="J43591" s="33"/>
    </row>
    <row r="43592" spans="10:10" x14ac:dyDescent="0.3">
      <c r="J43592" s="33"/>
    </row>
    <row r="43593" spans="10:10" x14ac:dyDescent="0.3">
      <c r="J43593" s="33"/>
    </row>
    <row r="43594" spans="10:10" x14ac:dyDescent="0.3">
      <c r="J43594" s="33"/>
    </row>
    <row r="43595" spans="10:10" x14ac:dyDescent="0.3">
      <c r="J43595" s="33"/>
    </row>
    <row r="43596" spans="10:10" x14ac:dyDescent="0.3">
      <c r="J43596" s="33"/>
    </row>
    <row r="43597" spans="10:10" x14ac:dyDescent="0.3">
      <c r="J43597" s="33"/>
    </row>
    <row r="43598" spans="10:10" x14ac:dyDescent="0.3">
      <c r="J43598" s="33"/>
    </row>
    <row r="43599" spans="10:10" x14ac:dyDescent="0.3">
      <c r="J43599" s="33"/>
    </row>
    <row r="43600" spans="10:10" x14ac:dyDescent="0.3">
      <c r="J43600" s="33"/>
    </row>
    <row r="43601" spans="10:10" x14ac:dyDescent="0.3">
      <c r="J43601" s="33"/>
    </row>
    <row r="43602" spans="10:10" x14ac:dyDescent="0.3">
      <c r="J43602" s="33"/>
    </row>
    <row r="43603" spans="10:10" x14ac:dyDescent="0.3">
      <c r="J43603" s="33"/>
    </row>
    <row r="43604" spans="10:10" x14ac:dyDescent="0.3">
      <c r="J43604" s="33"/>
    </row>
    <row r="43605" spans="10:10" x14ac:dyDescent="0.3">
      <c r="J43605" s="33"/>
    </row>
    <row r="43606" spans="10:10" x14ac:dyDescent="0.3">
      <c r="J43606" s="33"/>
    </row>
    <row r="43607" spans="10:10" x14ac:dyDescent="0.3">
      <c r="J43607" s="33"/>
    </row>
    <row r="43608" spans="10:10" x14ac:dyDescent="0.3">
      <c r="J43608" s="33"/>
    </row>
    <row r="43609" spans="10:10" x14ac:dyDescent="0.3">
      <c r="J43609" s="33"/>
    </row>
    <row r="43610" spans="10:10" x14ac:dyDescent="0.3">
      <c r="J43610" s="33"/>
    </row>
    <row r="43611" spans="10:10" x14ac:dyDescent="0.3">
      <c r="J43611" s="33"/>
    </row>
    <row r="43612" spans="10:10" x14ac:dyDescent="0.3">
      <c r="J43612" s="33"/>
    </row>
    <row r="43613" spans="10:10" x14ac:dyDescent="0.3">
      <c r="J43613" s="33"/>
    </row>
    <row r="43614" spans="10:10" x14ac:dyDescent="0.3">
      <c r="J43614" s="33"/>
    </row>
    <row r="43615" spans="10:10" x14ac:dyDescent="0.3">
      <c r="J43615" s="33"/>
    </row>
    <row r="43616" spans="10:10" x14ac:dyDescent="0.3">
      <c r="J43616" s="33"/>
    </row>
    <row r="43617" spans="10:10" x14ac:dyDescent="0.3">
      <c r="J43617" s="33"/>
    </row>
    <row r="43618" spans="10:10" x14ac:dyDescent="0.3">
      <c r="J43618" s="33"/>
    </row>
    <row r="43619" spans="10:10" x14ac:dyDescent="0.3">
      <c r="J43619" s="33"/>
    </row>
    <row r="43620" spans="10:10" x14ac:dyDescent="0.3">
      <c r="J43620" s="33"/>
    </row>
    <row r="43621" spans="10:10" x14ac:dyDescent="0.3">
      <c r="J43621" s="33"/>
    </row>
    <row r="43622" spans="10:10" x14ac:dyDescent="0.3">
      <c r="J43622" s="33"/>
    </row>
    <row r="43623" spans="10:10" x14ac:dyDescent="0.3">
      <c r="J43623" s="33"/>
    </row>
    <row r="43624" spans="10:10" x14ac:dyDescent="0.3">
      <c r="J43624" s="33"/>
    </row>
    <row r="43625" spans="10:10" x14ac:dyDescent="0.3">
      <c r="J43625" s="33"/>
    </row>
    <row r="43626" spans="10:10" x14ac:dyDescent="0.3">
      <c r="J43626" s="33"/>
    </row>
    <row r="43627" spans="10:10" x14ac:dyDescent="0.3">
      <c r="J43627" s="33"/>
    </row>
    <row r="43628" spans="10:10" x14ac:dyDescent="0.3">
      <c r="J43628" s="33"/>
    </row>
    <row r="43629" spans="10:10" x14ac:dyDescent="0.3">
      <c r="J43629" s="33"/>
    </row>
    <row r="43630" spans="10:10" x14ac:dyDescent="0.3">
      <c r="J43630" s="33"/>
    </row>
    <row r="43631" spans="10:10" x14ac:dyDescent="0.3">
      <c r="J43631" s="33"/>
    </row>
    <row r="43632" spans="10:10" x14ac:dyDescent="0.3">
      <c r="J43632" s="33"/>
    </row>
    <row r="43633" spans="10:10" x14ac:dyDescent="0.3">
      <c r="J43633" s="33"/>
    </row>
    <row r="43634" spans="10:10" x14ac:dyDescent="0.3">
      <c r="J43634" s="33"/>
    </row>
    <row r="43635" spans="10:10" x14ac:dyDescent="0.3">
      <c r="J43635" s="33"/>
    </row>
    <row r="43636" spans="10:10" x14ac:dyDescent="0.3">
      <c r="J43636" s="33"/>
    </row>
    <row r="43637" spans="10:10" x14ac:dyDescent="0.3">
      <c r="J43637" s="33"/>
    </row>
    <row r="43638" spans="10:10" x14ac:dyDescent="0.3">
      <c r="J43638" s="33"/>
    </row>
    <row r="43639" spans="10:10" x14ac:dyDescent="0.3">
      <c r="J43639" s="33"/>
    </row>
    <row r="43640" spans="10:10" x14ac:dyDescent="0.3">
      <c r="J43640" s="33"/>
    </row>
    <row r="43641" spans="10:10" x14ac:dyDescent="0.3">
      <c r="J43641" s="33"/>
    </row>
    <row r="43642" spans="10:10" x14ac:dyDescent="0.3">
      <c r="J43642" s="33"/>
    </row>
    <row r="43643" spans="10:10" x14ac:dyDescent="0.3">
      <c r="J43643" s="33"/>
    </row>
    <row r="43644" spans="10:10" x14ac:dyDescent="0.3">
      <c r="J43644" s="33"/>
    </row>
    <row r="43645" spans="10:10" x14ac:dyDescent="0.3">
      <c r="J43645" s="33"/>
    </row>
    <row r="43646" spans="10:10" x14ac:dyDescent="0.3">
      <c r="J43646" s="33"/>
    </row>
    <row r="43647" spans="10:10" x14ac:dyDescent="0.3">
      <c r="J43647" s="33"/>
    </row>
    <row r="43648" spans="10:10" x14ac:dyDescent="0.3">
      <c r="J43648" s="33"/>
    </row>
    <row r="43649" spans="10:10" x14ac:dyDescent="0.3">
      <c r="J43649" s="33"/>
    </row>
    <row r="43650" spans="10:10" x14ac:dyDescent="0.3">
      <c r="J43650" s="33"/>
    </row>
    <row r="43651" spans="10:10" x14ac:dyDescent="0.3">
      <c r="J43651" s="33"/>
    </row>
    <row r="43652" spans="10:10" x14ac:dyDescent="0.3">
      <c r="J43652" s="33"/>
    </row>
    <row r="43653" spans="10:10" x14ac:dyDescent="0.3">
      <c r="J43653" s="33"/>
    </row>
    <row r="43654" spans="10:10" x14ac:dyDescent="0.3">
      <c r="J43654" s="33"/>
    </row>
    <row r="43655" spans="10:10" x14ac:dyDescent="0.3">
      <c r="J43655" s="33"/>
    </row>
    <row r="43656" spans="10:10" x14ac:dyDescent="0.3">
      <c r="J43656" s="33"/>
    </row>
    <row r="43657" spans="10:10" x14ac:dyDescent="0.3">
      <c r="J43657" s="33"/>
    </row>
    <row r="43658" spans="10:10" x14ac:dyDescent="0.3">
      <c r="J43658" s="33"/>
    </row>
    <row r="43659" spans="10:10" x14ac:dyDescent="0.3">
      <c r="J43659" s="33"/>
    </row>
    <row r="43660" spans="10:10" x14ac:dyDescent="0.3">
      <c r="J43660" s="33"/>
    </row>
    <row r="43661" spans="10:10" x14ac:dyDescent="0.3">
      <c r="J43661" s="33"/>
    </row>
    <row r="43662" spans="10:10" x14ac:dyDescent="0.3">
      <c r="J43662" s="33"/>
    </row>
    <row r="43663" spans="10:10" x14ac:dyDescent="0.3">
      <c r="J43663" s="33"/>
    </row>
    <row r="43664" spans="10:10" x14ac:dyDescent="0.3">
      <c r="J43664" s="33"/>
    </row>
    <row r="43665" spans="10:10" x14ac:dyDescent="0.3">
      <c r="J43665" s="33"/>
    </row>
    <row r="43666" spans="10:10" x14ac:dyDescent="0.3">
      <c r="J43666" s="33"/>
    </row>
    <row r="43667" spans="10:10" x14ac:dyDescent="0.3">
      <c r="J43667" s="33"/>
    </row>
    <row r="43668" spans="10:10" x14ac:dyDescent="0.3">
      <c r="J43668" s="33"/>
    </row>
    <row r="43669" spans="10:10" x14ac:dyDescent="0.3">
      <c r="J43669" s="33"/>
    </row>
    <row r="43670" spans="10:10" x14ac:dyDescent="0.3">
      <c r="J43670" s="33"/>
    </row>
    <row r="43671" spans="10:10" x14ac:dyDescent="0.3">
      <c r="J43671" s="33"/>
    </row>
    <row r="43672" spans="10:10" x14ac:dyDescent="0.3">
      <c r="J43672" s="33"/>
    </row>
    <row r="43673" spans="10:10" x14ac:dyDescent="0.3">
      <c r="J43673" s="33"/>
    </row>
    <row r="43674" spans="10:10" x14ac:dyDescent="0.3">
      <c r="J43674" s="33"/>
    </row>
    <row r="43675" spans="10:10" x14ac:dyDescent="0.3">
      <c r="J43675" s="33"/>
    </row>
    <row r="43676" spans="10:10" x14ac:dyDescent="0.3">
      <c r="J43676" s="33"/>
    </row>
    <row r="43677" spans="10:10" x14ac:dyDescent="0.3">
      <c r="J43677" s="33"/>
    </row>
    <row r="43678" spans="10:10" x14ac:dyDescent="0.3">
      <c r="J43678" s="33"/>
    </row>
    <row r="43679" spans="10:10" x14ac:dyDescent="0.3">
      <c r="J43679" s="33"/>
    </row>
    <row r="43680" spans="10:10" x14ac:dyDescent="0.3">
      <c r="J43680" s="33"/>
    </row>
    <row r="43681" spans="10:10" x14ac:dyDescent="0.3">
      <c r="J43681" s="33"/>
    </row>
    <row r="43682" spans="10:10" x14ac:dyDescent="0.3">
      <c r="J43682" s="33"/>
    </row>
    <row r="43683" spans="10:10" x14ac:dyDescent="0.3">
      <c r="J43683" s="33"/>
    </row>
    <row r="43684" spans="10:10" x14ac:dyDescent="0.3">
      <c r="J43684" s="33"/>
    </row>
    <row r="43685" spans="10:10" x14ac:dyDescent="0.3">
      <c r="J43685" s="33"/>
    </row>
    <row r="43686" spans="10:10" x14ac:dyDescent="0.3">
      <c r="J43686" s="33"/>
    </row>
    <row r="43687" spans="10:10" x14ac:dyDescent="0.3">
      <c r="J43687" s="33"/>
    </row>
    <row r="43688" spans="10:10" x14ac:dyDescent="0.3">
      <c r="J43688" s="33"/>
    </row>
    <row r="43689" spans="10:10" x14ac:dyDescent="0.3">
      <c r="J43689" s="33"/>
    </row>
    <row r="43690" spans="10:10" x14ac:dyDescent="0.3">
      <c r="J43690" s="33"/>
    </row>
    <row r="43691" spans="10:10" x14ac:dyDescent="0.3">
      <c r="J43691" s="33"/>
    </row>
    <row r="43692" spans="10:10" x14ac:dyDescent="0.3">
      <c r="J43692" s="33"/>
    </row>
    <row r="43693" spans="10:10" x14ac:dyDescent="0.3">
      <c r="J43693" s="33"/>
    </row>
    <row r="43694" spans="10:10" x14ac:dyDescent="0.3">
      <c r="J43694" s="33"/>
    </row>
    <row r="43695" spans="10:10" x14ac:dyDescent="0.3">
      <c r="J43695" s="33"/>
    </row>
    <row r="43696" spans="10:10" x14ac:dyDescent="0.3">
      <c r="J43696" s="33"/>
    </row>
    <row r="43697" spans="10:10" x14ac:dyDescent="0.3">
      <c r="J43697" s="33"/>
    </row>
    <row r="43698" spans="10:10" x14ac:dyDescent="0.3">
      <c r="J43698" s="33"/>
    </row>
    <row r="43699" spans="10:10" x14ac:dyDescent="0.3">
      <c r="J43699" s="33"/>
    </row>
    <row r="43700" spans="10:10" x14ac:dyDescent="0.3">
      <c r="J43700" s="33"/>
    </row>
    <row r="43701" spans="10:10" x14ac:dyDescent="0.3">
      <c r="J43701" s="33"/>
    </row>
    <row r="43702" spans="10:10" x14ac:dyDescent="0.3">
      <c r="J43702" s="33"/>
    </row>
    <row r="43703" spans="10:10" x14ac:dyDescent="0.3">
      <c r="J43703" s="33"/>
    </row>
    <row r="43704" spans="10:10" x14ac:dyDescent="0.3">
      <c r="J43704" s="33"/>
    </row>
    <row r="43705" spans="10:10" x14ac:dyDescent="0.3">
      <c r="J43705" s="33"/>
    </row>
    <row r="43706" spans="10:10" x14ac:dyDescent="0.3">
      <c r="J43706" s="33"/>
    </row>
    <row r="43707" spans="10:10" x14ac:dyDescent="0.3">
      <c r="J43707" s="33"/>
    </row>
    <row r="43708" spans="10:10" x14ac:dyDescent="0.3">
      <c r="J43708" s="33"/>
    </row>
    <row r="43709" spans="10:10" x14ac:dyDescent="0.3">
      <c r="J43709" s="33"/>
    </row>
    <row r="43710" spans="10:10" x14ac:dyDescent="0.3">
      <c r="J43710" s="33"/>
    </row>
    <row r="43711" spans="10:10" x14ac:dyDescent="0.3">
      <c r="J43711" s="33"/>
    </row>
    <row r="43712" spans="10:10" x14ac:dyDescent="0.3">
      <c r="J43712" s="33"/>
    </row>
    <row r="43713" spans="10:10" x14ac:dyDescent="0.3">
      <c r="J43713" s="33"/>
    </row>
    <row r="43714" spans="10:10" x14ac:dyDescent="0.3">
      <c r="J43714" s="33"/>
    </row>
    <row r="43715" spans="10:10" x14ac:dyDescent="0.3">
      <c r="J43715" s="33"/>
    </row>
    <row r="43716" spans="10:10" x14ac:dyDescent="0.3">
      <c r="J43716" s="33"/>
    </row>
    <row r="43717" spans="10:10" x14ac:dyDescent="0.3">
      <c r="J43717" s="33"/>
    </row>
    <row r="43718" spans="10:10" x14ac:dyDescent="0.3">
      <c r="J43718" s="33"/>
    </row>
    <row r="43719" spans="10:10" x14ac:dyDescent="0.3">
      <c r="J43719" s="33"/>
    </row>
    <row r="43720" spans="10:10" x14ac:dyDescent="0.3">
      <c r="J43720" s="33"/>
    </row>
    <row r="43721" spans="10:10" x14ac:dyDescent="0.3">
      <c r="J43721" s="33"/>
    </row>
    <row r="43722" spans="10:10" x14ac:dyDescent="0.3">
      <c r="J43722" s="33"/>
    </row>
    <row r="43723" spans="10:10" x14ac:dyDescent="0.3">
      <c r="J43723" s="33"/>
    </row>
    <row r="43724" spans="10:10" x14ac:dyDescent="0.3">
      <c r="J43724" s="33"/>
    </row>
    <row r="43725" spans="10:10" x14ac:dyDescent="0.3">
      <c r="J43725" s="33"/>
    </row>
    <row r="43726" spans="10:10" x14ac:dyDescent="0.3">
      <c r="J43726" s="33"/>
    </row>
    <row r="43727" spans="10:10" x14ac:dyDescent="0.3">
      <c r="J43727" s="33"/>
    </row>
    <row r="43728" spans="10:10" x14ac:dyDescent="0.3">
      <c r="J43728" s="33"/>
    </row>
    <row r="43729" spans="10:10" x14ac:dyDescent="0.3">
      <c r="J43729" s="33"/>
    </row>
    <row r="43730" spans="10:10" x14ac:dyDescent="0.3">
      <c r="J43730" s="33"/>
    </row>
    <row r="43731" spans="10:10" x14ac:dyDescent="0.3">
      <c r="J43731" s="33"/>
    </row>
    <row r="43732" spans="10:10" x14ac:dyDescent="0.3">
      <c r="J43732" s="33"/>
    </row>
    <row r="43733" spans="10:10" x14ac:dyDescent="0.3">
      <c r="J43733" s="33"/>
    </row>
    <row r="43734" spans="10:10" x14ac:dyDescent="0.3">
      <c r="J43734" s="33"/>
    </row>
    <row r="43735" spans="10:10" x14ac:dyDescent="0.3">
      <c r="J43735" s="33"/>
    </row>
    <row r="43736" spans="10:10" x14ac:dyDescent="0.3">
      <c r="J43736" s="33"/>
    </row>
    <row r="43737" spans="10:10" x14ac:dyDescent="0.3">
      <c r="J43737" s="33"/>
    </row>
    <row r="43738" spans="10:10" x14ac:dyDescent="0.3">
      <c r="J43738" s="33"/>
    </row>
    <row r="43739" spans="10:10" x14ac:dyDescent="0.3">
      <c r="J43739" s="33"/>
    </row>
    <row r="43740" spans="10:10" x14ac:dyDescent="0.3">
      <c r="J43740" s="33"/>
    </row>
    <row r="43741" spans="10:10" x14ac:dyDescent="0.3">
      <c r="J43741" s="33"/>
    </row>
    <row r="43742" spans="10:10" x14ac:dyDescent="0.3">
      <c r="J43742" s="33"/>
    </row>
    <row r="43743" spans="10:10" x14ac:dyDescent="0.3">
      <c r="J43743" s="33"/>
    </row>
    <row r="43744" spans="10:10" x14ac:dyDescent="0.3">
      <c r="J43744" s="33"/>
    </row>
    <row r="43745" spans="10:10" x14ac:dyDescent="0.3">
      <c r="J43745" s="33"/>
    </row>
    <row r="43746" spans="10:10" x14ac:dyDescent="0.3">
      <c r="J43746" s="33"/>
    </row>
    <row r="43747" spans="10:10" x14ac:dyDescent="0.3">
      <c r="J43747" s="33"/>
    </row>
    <row r="43748" spans="10:10" x14ac:dyDescent="0.3">
      <c r="J43748" s="33"/>
    </row>
    <row r="43749" spans="10:10" x14ac:dyDescent="0.3">
      <c r="J43749" s="33"/>
    </row>
    <row r="43750" spans="10:10" x14ac:dyDescent="0.3">
      <c r="J43750" s="33"/>
    </row>
    <row r="43751" spans="10:10" x14ac:dyDescent="0.3">
      <c r="J43751" s="33"/>
    </row>
    <row r="43752" spans="10:10" x14ac:dyDescent="0.3">
      <c r="J43752" s="33"/>
    </row>
    <row r="43753" spans="10:10" x14ac:dyDescent="0.3">
      <c r="J43753" s="33"/>
    </row>
    <row r="43754" spans="10:10" x14ac:dyDescent="0.3">
      <c r="J43754" s="33"/>
    </row>
    <row r="43755" spans="10:10" x14ac:dyDescent="0.3">
      <c r="J43755" s="33"/>
    </row>
    <row r="43756" spans="10:10" x14ac:dyDescent="0.3">
      <c r="J43756" s="33"/>
    </row>
    <row r="43757" spans="10:10" x14ac:dyDescent="0.3">
      <c r="J43757" s="33"/>
    </row>
    <row r="43758" spans="10:10" x14ac:dyDescent="0.3">
      <c r="J43758" s="33"/>
    </row>
    <row r="43759" spans="10:10" x14ac:dyDescent="0.3">
      <c r="J43759" s="33"/>
    </row>
    <row r="43760" spans="10:10" x14ac:dyDescent="0.3">
      <c r="J43760" s="33"/>
    </row>
    <row r="43761" spans="10:10" x14ac:dyDescent="0.3">
      <c r="J43761" s="33"/>
    </row>
    <row r="43762" spans="10:10" x14ac:dyDescent="0.3">
      <c r="J43762" s="33"/>
    </row>
    <row r="43763" spans="10:10" x14ac:dyDescent="0.3">
      <c r="J43763" s="33"/>
    </row>
    <row r="43764" spans="10:10" x14ac:dyDescent="0.3">
      <c r="J43764" s="33"/>
    </row>
    <row r="43765" spans="10:10" x14ac:dyDescent="0.3">
      <c r="J43765" s="33"/>
    </row>
    <row r="43766" spans="10:10" x14ac:dyDescent="0.3">
      <c r="J43766" s="33"/>
    </row>
    <row r="43767" spans="10:10" x14ac:dyDescent="0.3">
      <c r="J43767" s="33"/>
    </row>
    <row r="43768" spans="10:10" x14ac:dyDescent="0.3">
      <c r="J43768" s="33"/>
    </row>
    <row r="43769" spans="10:10" x14ac:dyDescent="0.3">
      <c r="J43769" s="33"/>
    </row>
    <row r="43770" spans="10:10" x14ac:dyDescent="0.3">
      <c r="J43770" s="33"/>
    </row>
    <row r="43771" spans="10:10" x14ac:dyDescent="0.3">
      <c r="J43771" s="33"/>
    </row>
    <row r="43772" spans="10:10" x14ac:dyDescent="0.3">
      <c r="J43772" s="33"/>
    </row>
    <row r="43773" spans="10:10" x14ac:dyDescent="0.3">
      <c r="J43773" s="33"/>
    </row>
    <row r="43774" spans="10:10" x14ac:dyDescent="0.3">
      <c r="J43774" s="33"/>
    </row>
    <row r="43775" spans="10:10" x14ac:dyDescent="0.3">
      <c r="J43775" s="33"/>
    </row>
    <row r="43776" spans="10:10" x14ac:dyDescent="0.3">
      <c r="J43776" s="33"/>
    </row>
    <row r="43777" spans="10:10" x14ac:dyDescent="0.3">
      <c r="J43777" s="33"/>
    </row>
    <row r="43778" spans="10:10" x14ac:dyDescent="0.3">
      <c r="J43778" s="33"/>
    </row>
    <row r="43779" spans="10:10" x14ac:dyDescent="0.3">
      <c r="J43779" s="33"/>
    </row>
    <row r="43780" spans="10:10" x14ac:dyDescent="0.3">
      <c r="J43780" s="33"/>
    </row>
    <row r="43781" spans="10:10" x14ac:dyDescent="0.3">
      <c r="J43781" s="33"/>
    </row>
    <row r="43782" spans="10:10" x14ac:dyDescent="0.3">
      <c r="J43782" s="33"/>
    </row>
    <row r="43783" spans="10:10" x14ac:dyDescent="0.3">
      <c r="J43783" s="33"/>
    </row>
    <row r="43784" spans="10:10" x14ac:dyDescent="0.3">
      <c r="J43784" s="33"/>
    </row>
    <row r="43785" spans="10:10" x14ac:dyDescent="0.3">
      <c r="J43785" s="33"/>
    </row>
    <row r="43786" spans="10:10" x14ac:dyDescent="0.3">
      <c r="J43786" s="33"/>
    </row>
    <row r="43787" spans="10:10" x14ac:dyDescent="0.3">
      <c r="J43787" s="33"/>
    </row>
    <row r="43788" spans="10:10" x14ac:dyDescent="0.3">
      <c r="J43788" s="33"/>
    </row>
    <row r="43789" spans="10:10" x14ac:dyDescent="0.3">
      <c r="J43789" s="33"/>
    </row>
    <row r="43790" spans="10:10" x14ac:dyDescent="0.3">
      <c r="J43790" s="33"/>
    </row>
    <row r="43791" spans="10:10" x14ac:dyDescent="0.3">
      <c r="J43791" s="33"/>
    </row>
    <row r="43792" spans="10:10" x14ac:dyDescent="0.3">
      <c r="J43792" s="33"/>
    </row>
    <row r="43793" spans="10:10" x14ac:dyDescent="0.3">
      <c r="J43793" s="33"/>
    </row>
    <row r="43794" spans="10:10" x14ac:dyDescent="0.3">
      <c r="J43794" s="33"/>
    </row>
    <row r="43795" spans="10:10" x14ac:dyDescent="0.3">
      <c r="J43795" s="33"/>
    </row>
    <row r="43796" spans="10:10" x14ac:dyDescent="0.3">
      <c r="J43796" s="33"/>
    </row>
    <row r="43797" spans="10:10" x14ac:dyDescent="0.3">
      <c r="J43797" s="33"/>
    </row>
    <row r="43798" spans="10:10" x14ac:dyDescent="0.3">
      <c r="J43798" s="33"/>
    </row>
    <row r="43799" spans="10:10" x14ac:dyDescent="0.3">
      <c r="J43799" s="33"/>
    </row>
    <row r="43800" spans="10:10" x14ac:dyDescent="0.3">
      <c r="J43800" s="33"/>
    </row>
    <row r="43801" spans="10:10" x14ac:dyDescent="0.3">
      <c r="J43801" s="33"/>
    </row>
    <row r="43802" spans="10:10" x14ac:dyDescent="0.3">
      <c r="J43802" s="33"/>
    </row>
    <row r="43803" spans="10:10" x14ac:dyDescent="0.3">
      <c r="J43803" s="33"/>
    </row>
    <row r="43804" spans="10:10" x14ac:dyDescent="0.3">
      <c r="J43804" s="33"/>
    </row>
    <row r="43805" spans="10:10" x14ac:dyDescent="0.3">
      <c r="J43805" s="33"/>
    </row>
    <row r="43806" spans="10:10" x14ac:dyDescent="0.3">
      <c r="J43806" s="33"/>
    </row>
    <row r="43807" spans="10:10" x14ac:dyDescent="0.3">
      <c r="J43807" s="33"/>
    </row>
    <row r="43808" spans="10:10" x14ac:dyDescent="0.3">
      <c r="J43808" s="33"/>
    </row>
    <row r="43809" spans="10:10" x14ac:dyDescent="0.3">
      <c r="J43809" s="33"/>
    </row>
    <row r="43810" spans="10:10" x14ac:dyDescent="0.3">
      <c r="J43810" s="33"/>
    </row>
    <row r="43811" spans="10:10" x14ac:dyDescent="0.3">
      <c r="J43811" s="33"/>
    </row>
    <row r="43812" spans="10:10" x14ac:dyDescent="0.3">
      <c r="J43812" s="33"/>
    </row>
    <row r="43813" spans="10:10" x14ac:dyDescent="0.3">
      <c r="J43813" s="33"/>
    </row>
    <row r="43814" spans="10:10" x14ac:dyDescent="0.3">
      <c r="J43814" s="33"/>
    </row>
    <row r="43815" spans="10:10" x14ac:dyDescent="0.3">
      <c r="J43815" s="33"/>
    </row>
    <row r="43816" spans="10:10" x14ac:dyDescent="0.3">
      <c r="J43816" s="33"/>
    </row>
    <row r="43817" spans="10:10" x14ac:dyDescent="0.3">
      <c r="J43817" s="33"/>
    </row>
    <row r="43818" spans="10:10" x14ac:dyDescent="0.3">
      <c r="J43818" s="33"/>
    </row>
    <row r="43819" spans="10:10" x14ac:dyDescent="0.3">
      <c r="J43819" s="33"/>
    </row>
    <row r="43820" spans="10:10" x14ac:dyDescent="0.3">
      <c r="J43820" s="33"/>
    </row>
    <row r="43821" spans="10:10" x14ac:dyDescent="0.3">
      <c r="J43821" s="33"/>
    </row>
    <row r="43822" spans="10:10" x14ac:dyDescent="0.3">
      <c r="J43822" s="33"/>
    </row>
    <row r="43823" spans="10:10" x14ac:dyDescent="0.3">
      <c r="J43823" s="33"/>
    </row>
    <row r="43824" spans="10:10" x14ac:dyDescent="0.3">
      <c r="J43824" s="33"/>
    </row>
    <row r="43825" spans="10:10" x14ac:dyDescent="0.3">
      <c r="J43825" s="33"/>
    </row>
    <row r="43826" spans="10:10" x14ac:dyDescent="0.3">
      <c r="J43826" s="33"/>
    </row>
    <row r="43827" spans="10:10" x14ac:dyDescent="0.3">
      <c r="J43827" s="33"/>
    </row>
    <row r="43828" spans="10:10" x14ac:dyDescent="0.3">
      <c r="J43828" s="33"/>
    </row>
    <row r="43829" spans="10:10" x14ac:dyDescent="0.3">
      <c r="J43829" s="33"/>
    </row>
    <row r="43830" spans="10:10" x14ac:dyDescent="0.3">
      <c r="J43830" s="33"/>
    </row>
    <row r="43831" spans="10:10" x14ac:dyDescent="0.3">
      <c r="J43831" s="33"/>
    </row>
    <row r="43832" spans="10:10" x14ac:dyDescent="0.3">
      <c r="J43832" s="33"/>
    </row>
    <row r="43833" spans="10:10" x14ac:dyDescent="0.3">
      <c r="J43833" s="33"/>
    </row>
    <row r="43834" spans="10:10" x14ac:dyDescent="0.3">
      <c r="J43834" s="33"/>
    </row>
    <row r="43835" spans="10:10" x14ac:dyDescent="0.3">
      <c r="J43835" s="33"/>
    </row>
    <row r="43836" spans="10:10" x14ac:dyDescent="0.3">
      <c r="J43836" s="33"/>
    </row>
    <row r="43837" spans="10:10" x14ac:dyDescent="0.3">
      <c r="J43837" s="33"/>
    </row>
    <row r="43838" spans="10:10" x14ac:dyDescent="0.3">
      <c r="J43838" s="33"/>
    </row>
    <row r="43839" spans="10:10" x14ac:dyDescent="0.3">
      <c r="J43839" s="33"/>
    </row>
    <row r="43840" spans="10:10" x14ac:dyDescent="0.3">
      <c r="J43840" s="33"/>
    </row>
    <row r="43841" spans="10:10" x14ac:dyDescent="0.3">
      <c r="J43841" s="33"/>
    </row>
    <row r="43842" spans="10:10" x14ac:dyDescent="0.3">
      <c r="J43842" s="33"/>
    </row>
    <row r="43843" spans="10:10" x14ac:dyDescent="0.3">
      <c r="J43843" s="33"/>
    </row>
    <row r="43844" spans="10:10" x14ac:dyDescent="0.3">
      <c r="J43844" s="33"/>
    </row>
    <row r="43845" spans="10:10" x14ac:dyDescent="0.3">
      <c r="J43845" s="33"/>
    </row>
    <row r="43846" spans="10:10" x14ac:dyDescent="0.3">
      <c r="J43846" s="33"/>
    </row>
    <row r="43847" spans="10:10" x14ac:dyDescent="0.3">
      <c r="J43847" s="33"/>
    </row>
    <row r="43848" spans="10:10" x14ac:dyDescent="0.3">
      <c r="J43848" s="33"/>
    </row>
    <row r="43849" spans="10:10" x14ac:dyDescent="0.3">
      <c r="J43849" s="33"/>
    </row>
    <row r="43850" spans="10:10" x14ac:dyDescent="0.3">
      <c r="J43850" s="33"/>
    </row>
    <row r="43851" spans="10:10" x14ac:dyDescent="0.3">
      <c r="J43851" s="33"/>
    </row>
    <row r="43852" spans="10:10" x14ac:dyDescent="0.3">
      <c r="J43852" s="33"/>
    </row>
    <row r="43853" spans="10:10" x14ac:dyDescent="0.3">
      <c r="J43853" s="33"/>
    </row>
    <row r="43854" spans="10:10" x14ac:dyDescent="0.3">
      <c r="J43854" s="33"/>
    </row>
    <row r="43855" spans="10:10" x14ac:dyDescent="0.3">
      <c r="J43855" s="33"/>
    </row>
    <row r="43856" spans="10:10" x14ac:dyDescent="0.3">
      <c r="J43856" s="33"/>
    </row>
    <row r="43857" spans="10:10" x14ac:dyDescent="0.3">
      <c r="J43857" s="33"/>
    </row>
    <row r="43858" spans="10:10" x14ac:dyDescent="0.3">
      <c r="J43858" s="33"/>
    </row>
    <row r="43859" spans="10:10" x14ac:dyDescent="0.3">
      <c r="J43859" s="33"/>
    </row>
    <row r="43860" spans="10:10" x14ac:dyDescent="0.3">
      <c r="J43860" s="33"/>
    </row>
    <row r="43861" spans="10:10" x14ac:dyDescent="0.3">
      <c r="J43861" s="33"/>
    </row>
    <row r="43862" spans="10:10" x14ac:dyDescent="0.3">
      <c r="J43862" s="33"/>
    </row>
    <row r="43863" spans="10:10" x14ac:dyDescent="0.3">
      <c r="J43863" s="33"/>
    </row>
    <row r="43864" spans="10:10" x14ac:dyDescent="0.3">
      <c r="J43864" s="33"/>
    </row>
    <row r="43865" spans="10:10" x14ac:dyDescent="0.3">
      <c r="J43865" s="33"/>
    </row>
    <row r="43866" spans="10:10" x14ac:dyDescent="0.3">
      <c r="J43866" s="33"/>
    </row>
    <row r="43867" spans="10:10" x14ac:dyDescent="0.3">
      <c r="J43867" s="33"/>
    </row>
    <row r="43868" spans="10:10" x14ac:dyDescent="0.3">
      <c r="J43868" s="33"/>
    </row>
    <row r="43869" spans="10:10" x14ac:dyDescent="0.3">
      <c r="J43869" s="33"/>
    </row>
    <row r="43870" spans="10:10" x14ac:dyDescent="0.3">
      <c r="J43870" s="33"/>
    </row>
    <row r="43871" spans="10:10" x14ac:dyDescent="0.3">
      <c r="J43871" s="33"/>
    </row>
    <row r="43872" spans="10:10" x14ac:dyDescent="0.3">
      <c r="J43872" s="33"/>
    </row>
    <row r="43873" spans="10:10" x14ac:dyDescent="0.3">
      <c r="J43873" s="33"/>
    </row>
    <row r="43874" spans="10:10" x14ac:dyDescent="0.3">
      <c r="J43874" s="33"/>
    </row>
    <row r="43875" spans="10:10" x14ac:dyDescent="0.3">
      <c r="J43875" s="33"/>
    </row>
    <row r="43876" spans="10:10" x14ac:dyDescent="0.3">
      <c r="J43876" s="33"/>
    </row>
    <row r="43877" spans="10:10" x14ac:dyDescent="0.3">
      <c r="J43877" s="33"/>
    </row>
    <row r="43878" spans="10:10" x14ac:dyDescent="0.3">
      <c r="J43878" s="33"/>
    </row>
    <row r="43879" spans="10:10" x14ac:dyDescent="0.3">
      <c r="J43879" s="33"/>
    </row>
    <row r="43880" spans="10:10" x14ac:dyDescent="0.3">
      <c r="J43880" s="33"/>
    </row>
    <row r="43881" spans="10:10" x14ac:dyDescent="0.3">
      <c r="J43881" s="33"/>
    </row>
    <row r="43882" spans="10:10" x14ac:dyDescent="0.3">
      <c r="J43882" s="33"/>
    </row>
    <row r="43883" spans="10:10" x14ac:dyDescent="0.3">
      <c r="J43883" s="33"/>
    </row>
    <row r="43884" spans="10:10" x14ac:dyDescent="0.3">
      <c r="J43884" s="33"/>
    </row>
    <row r="43885" spans="10:10" x14ac:dyDescent="0.3">
      <c r="J43885" s="33"/>
    </row>
    <row r="43886" spans="10:10" x14ac:dyDescent="0.3">
      <c r="J43886" s="33"/>
    </row>
    <row r="43887" spans="10:10" x14ac:dyDescent="0.3">
      <c r="J43887" s="33"/>
    </row>
    <row r="43888" spans="10:10" x14ac:dyDescent="0.3">
      <c r="J43888" s="33"/>
    </row>
    <row r="43889" spans="10:10" x14ac:dyDescent="0.3">
      <c r="J43889" s="33"/>
    </row>
    <row r="43890" spans="10:10" x14ac:dyDescent="0.3">
      <c r="J43890" s="33"/>
    </row>
    <row r="43891" spans="10:10" x14ac:dyDescent="0.3">
      <c r="J43891" s="33"/>
    </row>
    <row r="43892" spans="10:10" x14ac:dyDescent="0.3">
      <c r="J43892" s="33"/>
    </row>
    <row r="43893" spans="10:10" x14ac:dyDescent="0.3">
      <c r="J43893" s="33"/>
    </row>
    <row r="43894" spans="10:10" x14ac:dyDescent="0.3">
      <c r="J43894" s="33"/>
    </row>
    <row r="43895" spans="10:10" x14ac:dyDescent="0.3">
      <c r="J43895" s="33"/>
    </row>
    <row r="43896" spans="10:10" x14ac:dyDescent="0.3">
      <c r="J43896" s="33"/>
    </row>
    <row r="43897" spans="10:10" x14ac:dyDescent="0.3">
      <c r="J43897" s="33"/>
    </row>
    <row r="43898" spans="10:10" x14ac:dyDescent="0.3">
      <c r="J43898" s="33"/>
    </row>
    <row r="43899" spans="10:10" x14ac:dyDescent="0.3">
      <c r="J43899" s="33"/>
    </row>
    <row r="43900" spans="10:10" x14ac:dyDescent="0.3">
      <c r="J43900" s="33"/>
    </row>
    <row r="43901" spans="10:10" x14ac:dyDescent="0.3">
      <c r="J43901" s="33"/>
    </row>
    <row r="43902" spans="10:10" x14ac:dyDescent="0.3">
      <c r="J43902" s="33"/>
    </row>
    <row r="43903" spans="10:10" x14ac:dyDescent="0.3">
      <c r="J43903" s="33"/>
    </row>
    <row r="43904" spans="10:10" x14ac:dyDescent="0.3">
      <c r="J43904" s="33"/>
    </row>
    <row r="43905" spans="10:10" x14ac:dyDescent="0.3">
      <c r="J43905" s="33"/>
    </row>
    <row r="43906" spans="10:10" x14ac:dyDescent="0.3">
      <c r="J43906" s="33"/>
    </row>
    <row r="43907" spans="10:10" x14ac:dyDescent="0.3">
      <c r="J43907" s="33"/>
    </row>
    <row r="43908" spans="10:10" x14ac:dyDescent="0.3">
      <c r="J43908" s="33"/>
    </row>
    <row r="43909" spans="10:10" x14ac:dyDescent="0.3">
      <c r="J43909" s="33"/>
    </row>
    <row r="43910" spans="10:10" x14ac:dyDescent="0.3">
      <c r="J43910" s="33"/>
    </row>
    <row r="43911" spans="10:10" x14ac:dyDescent="0.3">
      <c r="J43911" s="33"/>
    </row>
    <row r="43912" spans="10:10" x14ac:dyDescent="0.3">
      <c r="J43912" s="33"/>
    </row>
    <row r="43913" spans="10:10" x14ac:dyDescent="0.3">
      <c r="J43913" s="33"/>
    </row>
    <row r="43914" spans="10:10" x14ac:dyDescent="0.3">
      <c r="J43914" s="33"/>
    </row>
    <row r="43915" spans="10:10" x14ac:dyDescent="0.3">
      <c r="J43915" s="33"/>
    </row>
    <row r="43916" spans="10:10" x14ac:dyDescent="0.3">
      <c r="J43916" s="33"/>
    </row>
    <row r="43917" spans="10:10" x14ac:dyDescent="0.3">
      <c r="J43917" s="33"/>
    </row>
    <row r="43918" spans="10:10" x14ac:dyDescent="0.3">
      <c r="J43918" s="33"/>
    </row>
    <row r="43919" spans="10:10" x14ac:dyDescent="0.3">
      <c r="J43919" s="33"/>
    </row>
    <row r="43920" spans="10:10" x14ac:dyDescent="0.3">
      <c r="J43920" s="33"/>
    </row>
    <row r="43921" spans="10:10" x14ac:dyDescent="0.3">
      <c r="J43921" s="33"/>
    </row>
    <row r="43922" spans="10:10" x14ac:dyDescent="0.3">
      <c r="J43922" s="33"/>
    </row>
    <row r="43923" spans="10:10" x14ac:dyDescent="0.3">
      <c r="J43923" s="33"/>
    </row>
    <row r="43924" spans="10:10" x14ac:dyDescent="0.3">
      <c r="J43924" s="33"/>
    </row>
    <row r="43925" spans="10:10" x14ac:dyDescent="0.3">
      <c r="J43925" s="33"/>
    </row>
    <row r="43926" spans="10:10" x14ac:dyDescent="0.3">
      <c r="J43926" s="33"/>
    </row>
    <row r="43927" spans="10:10" x14ac:dyDescent="0.3">
      <c r="J43927" s="33"/>
    </row>
    <row r="43928" spans="10:10" x14ac:dyDescent="0.3">
      <c r="J43928" s="33"/>
    </row>
    <row r="43929" spans="10:10" x14ac:dyDescent="0.3">
      <c r="J43929" s="33"/>
    </row>
    <row r="43930" spans="10:10" x14ac:dyDescent="0.3">
      <c r="J43930" s="33"/>
    </row>
    <row r="43931" spans="10:10" x14ac:dyDescent="0.3">
      <c r="J43931" s="33"/>
    </row>
    <row r="43932" spans="10:10" x14ac:dyDescent="0.3">
      <c r="J43932" s="33"/>
    </row>
    <row r="43933" spans="10:10" x14ac:dyDescent="0.3">
      <c r="J43933" s="33"/>
    </row>
    <row r="43934" spans="10:10" x14ac:dyDescent="0.3">
      <c r="J43934" s="33"/>
    </row>
    <row r="43935" spans="10:10" x14ac:dyDescent="0.3">
      <c r="J43935" s="33"/>
    </row>
    <row r="43936" spans="10:10" x14ac:dyDescent="0.3">
      <c r="J43936" s="33"/>
    </row>
    <row r="43937" spans="10:10" x14ac:dyDescent="0.3">
      <c r="J43937" s="33"/>
    </row>
    <row r="43938" spans="10:10" x14ac:dyDescent="0.3">
      <c r="J43938" s="33"/>
    </row>
    <row r="43939" spans="10:10" x14ac:dyDescent="0.3">
      <c r="J43939" s="33"/>
    </row>
    <row r="43940" spans="10:10" x14ac:dyDescent="0.3">
      <c r="J43940" s="33"/>
    </row>
    <row r="43941" spans="10:10" x14ac:dyDescent="0.3">
      <c r="J43941" s="33"/>
    </row>
    <row r="43942" spans="10:10" x14ac:dyDescent="0.3">
      <c r="J43942" s="33"/>
    </row>
    <row r="43943" spans="10:10" x14ac:dyDescent="0.3">
      <c r="J43943" s="33"/>
    </row>
    <row r="43944" spans="10:10" x14ac:dyDescent="0.3">
      <c r="J43944" s="33"/>
    </row>
    <row r="43945" spans="10:10" x14ac:dyDescent="0.3">
      <c r="J43945" s="33"/>
    </row>
    <row r="43946" spans="10:10" x14ac:dyDescent="0.3">
      <c r="J43946" s="33"/>
    </row>
    <row r="43947" spans="10:10" x14ac:dyDescent="0.3">
      <c r="J43947" s="33"/>
    </row>
    <row r="43948" spans="10:10" x14ac:dyDescent="0.3">
      <c r="J43948" s="33"/>
    </row>
    <row r="43949" spans="10:10" x14ac:dyDescent="0.3">
      <c r="J43949" s="33"/>
    </row>
    <row r="43950" spans="10:10" x14ac:dyDescent="0.3">
      <c r="J43950" s="33"/>
    </row>
    <row r="43951" spans="10:10" x14ac:dyDescent="0.3">
      <c r="J43951" s="33"/>
    </row>
    <row r="43952" spans="10:10" x14ac:dyDescent="0.3">
      <c r="J43952" s="33"/>
    </row>
    <row r="43953" spans="10:10" x14ac:dyDescent="0.3">
      <c r="J43953" s="33"/>
    </row>
    <row r="43954" spans="10:10" x14ac:dyDescent="0.3">
      <c r="J43954" s="33"/>
    </row>
    <row r="43955" spans="10:10" x14ac:dyDescent="0.3">
      <c r="J43955" s="33"/>
    </row>
    <row r="43956" spans="10:10" x14ac:dyDescent="0.3">
      <c r="J43956" s="33"/>
    </row>
    <row r="43957" spans="10:10" x14ac:dyDescent="0.3">
      <c r="J43957" s="33"/>
    </row>
    <row r="43958" spans="10:10" x14ac:dyDescent="0.3">
      <c r="J43958" s="33"/>
    </row>
    <row r="43959" spans="10:10" x14ac:dyDescent="0.3">
      <c r="J43959" s="33"/>
    </row>
    <row r="43960" spans="10:10" x14ac:dyDescent="0.3">
      <c r="J43960" s="33"/>
    </row>
    <row r="43961" spans="10:10" x14ac:dyDescent="0.3">
      <c r="J43961" s="33"/>
    </row>
    <row r="43962" spans="10:10" x14ac:dyDescent="0.3">
      <c r="J43962" s="33"/>
    </row>
    <row r="43963" spans="10:10" x14ac:dyDescent="0.3">
      <c r="J43963" s="33"/>
    </row>
    <row r="43964" spans="10:10" x14ac:dyDescent="0.3">
      <c r="J43964" s="33"/>
    </row>
    <row r="43965" spans="10:10" x14ac:dyDescent="0.3">
      <c r="J43965" s="33"/>
    </row>
    <row r="43966" spans="10:10" x14ac:dyDescent="0.3">
      <c r="J43966" s="33"/>
    </row>
    <row r="43967" spans="10:10" x14ac:dyDescent="0.3">
      <c r="J43967" s="33"/>
    </row>
    <row r="43968" spans="10:10" x14ac:dyDescent="0.3">
      <c r="J43968" s="33"/>
    </row>
    <row r="43969" spans="10:10" x14ac:dyDescent="0.3">
      <c r="J43969" s="33"/>
    </row>
    <row r="43970" spans="10:10" x14ac:dyDescent="0.3">
      <c r="J43970" s="33"/>
    </row>
    <row r="43971" spans="10:10" x14ac:dyDescent="0.3">
      <c r="J43971" s="33"/>
    </row>
    <row r="43972" spans="10:10" x14ac:dyDescent="0.3">
      <c r="J43972" s="33"/>
    </row>
    <row r="43973" spans="10:10" x14ac:dyDescent="0.3">
      <c r="J43973" s="33"/>
    </row>
    <row r="43974" spans="10:10" x14ac:dyDescent="0.3">
      <c r="J43974" s="33"/>
    </row>
    <row r="43975" spans="10:10" x14ac:dyDescent="0.3">
      <c r="J43975" s="33"/>
    </row>
    <row r="43976" spans="10:10" x14ac:dyDescent="0.3">
      <c r="J43976" s="33"/>
    </row>
    <row r="43977" spans="10:10" x14ac:dyDescent="0.3">
      <c r="J43977" s="33"/>
    </row>
    <row r="43978" spans="10:10" x14ac:dyDescent="0.3">
      <c r="J43978" s="33"/>
    </row>
    <row r="43979" spans="10:10" x14ac:dyDescent="0.3">
      <c r="J43979" s="33"/>
    </row>
    <row r="43980" spans="10:10" x14ac:dyDescent="0.3">
      <c r="J43980" s="33"/>
    </row>
    <row r="43981" spans="10:10" x14ac:dyDescent="0.3">
      <c r="J43981" s="33"/>
    </row>
    <row r="43982" spans="10:10" x14ac:dyDescent="0.3">
      <c r="J43982" s="33"/>
    </row>
    <row r="43983" spans="10:10" x14ac:dyDescent="0.3">
      <c r="J43983" s="33"/>
    </row>
    <row r="43984" spans="10:10" x14ac:dyDescent="0.3">
      <c r="J43984" s="33"/>
    </row>
    <row r="43985" spans="10:10" x14ac:dyDescent="0.3">
      <c r="J43985" s="33"/>
    </row>
    <row r="43986" spans="10:10" x14ac:dyDescent="0.3">
      <c r="J43986" s="33"/>
    </row>
    <row r="43987" spans="10:10" x14ac:dyDescent="0.3">
      <c r="J43987" s="33"/>
    </row>
    <row r="43988" spans="10:10" x14ac:dyDescent="0.3">
      <c r="J43988" s="33"/>
    </row>
    <row r="43989" spans="10:10" x14ac:dyDescent="0.3">
      <c r="J43989" s="33"/>
    </row>
    <row r="43990" spans="10:10" x14ac:dyDescent="0.3">
      <c r="J43990" s="33"/>
    </row>
    <row r="43991" spans="10:10" x14ac:dyDescent="0.3">
      <c r="J43991" s="33"/>
    </row>
    <row r="43992" spans="10:10" x14ac:dyDescent="0.3">
      <c r="J43992" s="33"/>
    </row>
    <row r="43993" spans="10:10" x14ac:dyDescent="0.3">
      <c r="J43993" s="33"/>
    </row>
    <row r="43994" spans="10:10" x14ac:dyDescent="0.3">
      <c r="J43994" s="33"/>
    </row>
    <row r="43995" spans="10:10" x14ac:dyDescent="0.3">
      <c r="J43995" s="33"/>
    </row>
    <row r="43996" spans="10:10" x14ac:dyDescent="0.3">
      <c r="J43996" s="33"/>
    </row>
    <row r="43997" spans="10:10" x14ac:dyDescent="0.3">
      <c r="J43997" s="33"/>
    </row>
    <row r="43998" spans="10:10" x14ac:dyDescent="0.3">
      <c r="J43998" s="33"/>
    </row>
    <row r="43999" spans="10:10" x14ac:dyDescent="0.3">
      <c r="J43999" s="33"/>
    </row>
    <row r="44000" spans="10:10" x14ac:dyDescent="0.3">
      <c r="J44000" s="33"/>
    </row>
    <row r="44001" spans="10:10" x14ac:dyDescent="0.3">
      <c r="J44001" s="33"/>
    </row>
    <row r="44002" spans="10:10" x14ac:dyDescent="0.3">
      <c r="J44002" s="33"/>
    </row>
    <row r="44003" spans="10:10" x14ac:dyDescent="0.3">
      <c r="J44003" s="33"/>
    </row>
    <row r="44004" spans="10:10" x14ac:dyDescent="0.3">
      <c r="J44004" s="33"/>
    </row>
    <row r="44005" spans="10:10" x14ac:dyDescent="0.3">
      <c r="J44005" s="33"/>
    </row>
    <row r="44006" spans="10:10" x14ac:dyDescent="0.3">
      <c r="J44006" s="33"/>
    </row>
    <row r="44007" spans="10:10" x14ac:dyDescent="0.3">
      <c r="J44007" s="33"/>
    </row>
    <row r="44008" spans="10:10" x14ac:dyDescent="0.3">
      <c r="J44008" s="33"/>
    </row>
    <row r="44009" spans="10:10" x14ac:dyDescent="0.3">
      <c r="J44009" s="33"/>
    </row>
    <row r="44010" spans="10:10" x14ac:dyDescent="0.3">
      <c r="J44010" s="33"/>
    </row>
    <row r="44011" spans="10:10" x14ac:dyDescent="0.3">
      <c r="J44011" s="33"/>
    </row>
    <row r="44012" spans="10:10" x14ac:dyDescent="0.3">
      <c r="J44012" s="33"/>
    </row>
    <row r="44013" spans="10:10" x14ac:dyDescent="0.3">
      <c r="J44013" s="33"/>
    </row>
    <row r="44014" spans="10:10" x14ac:dyDescent="0.3">
      <c r="J44014" s="33"/>
    </row>
    <row r="44015" spans="10:10" x14ac:dyDescent="0.3">
      <c r="J44015" s="33"/>
    </row>
    <row r="44016" spans="10:10" x14ac:dyDescent="0.3">
      <c r="J44016" s="33"/>
    </row>
    <row r="44017" spans="10:10" x14ac:dyDescent="0.3">
      <c r="J44017" s="33"/>
    </row>
    <row r="44018" spans="10:10" x14ac:dyDescent="0.3">
      <c r="J44018" s="33"/>
    </row>
    <row r="44019" spans="10:10" x14ac:dyDescent="0.3">
      <c r="J44019" s="33"/>
    </row>
    <row r="44020" spans="10:10" x14ac:dyDescent="0.3">
      <c r="J44020" s="33"/>
    </row>
    <row r="44021" spans="10:10" x14ac:dyDescent="0.3">
      <c r="J44021" s="33"/>
    </row>
    <row r="44022" spans="10:10" x14ac:dyDescent="0.3">
      <c r="J44022" s="33"/>
    </row>
    <row r="44023" spans="10:10" x14ac:dyDescent="0.3">
      <c r="J44023" s="33"/>
    </row>
    <row r="44024" spans="10:10" x14ac:dyDescent="0.3">
      <c r="J44024" s="33"/>
    </row>
    <row r="44025" spans="10:10" x14ac:dyDescent="0.3">
      <c r="J44025" s="33"/>
    </row>
    <row r="44026" spans="10:10" x14ac:dyDescent="0.3">
      <c r="J44026" s="33"/>
    </row>
    <row r="44027" spans="10:10" x14ac:dyDescent="0.3">
      <c r="J44027" s="33"/>
    </row>
    <row r="44028" spans="10:10" x14ac:dyDescent="0.3">
      <c r="J44028" s="33"/>
    </row>
    <row r="44029" spans="10:10" x14ac:dyDescent="0.3">
      <c r="J44029" s="33"/>
    </row>
    <row r="44030" spans="10:10" x14ac:dyDescent="0.3">
      <c r="J44030" s="33"/>
    </row>
    <row r="44031" spans="10:10" x14ac:dyDescent="0.3">
      <c r="J44031" s="33"/>
    </row>
    <row r="44032" spans="10:10" x14ac:dyDescent="0.3">
      <c r="J44032" s="33"/>
    </row>
    <row r="44033" spans="10:10" x14ac:dyDescent="0.3">
      <c r="J44033" s="33"/>
    </row>
    <row r="44034" spans="10:10" x14ac:dyDescent="0.3">
      <c r="J44034" s="33"/>
    </row>
    <row r="44035" spans="10:10" x14ac:dyDescent="0.3">
      <c r="J44035" s="33"/>
    </row>
    <row r="44036" spans="10:10" x14ac:dyDescent="0.3">
      <c r="J44036" s="33"/>
    </row>
    <row r="44037" spans="10:10" x14ac:dyDescent="0.3">
      <c r="J44037" s="33"/>
    </row>
    <row r="44038" spans="10:10" x14ac:dyDescent="0.3">
      <c r="J44038" s="33"/>
    </row>
    <row r="44039" spans="10:10" x14ac:dyDescent="0.3">
      <c r="J44039" s="33"/>
    </row>
    <row r="44040" spans="10:10" x14ac:dyDescent="0.3">
      <c r="J44040" s="33"/>
    </row>
    <row r="44041" spans="10:10" x14ac:dyDescent="0.3">
      <c r="J44041" s="33"/>
    </row>
    <row r="44042" spans="10:10" x14ac:dyDescent="0.3">
      <c r="J44042" s="33"/>
    </row>
    <row r="44043" spans="10:10" x14ac:dyDescent="0.3">
      <c r="J44043" s="33"/>
    </row>
    <row r="44044" spans="10:10" x14ac:dyDescent="0.3">
      <c r="J44044" s="33"/>
    </row>
    <row r="44045" spans="10:10" x14ac:dyDescent="0.3">
      <c r="J44045" s="33"/>
    </row>
    <row r="44046" spans="10:10" x14ac:dyDescent="0.3">
      <c r="J44046" s="33"/>
    </row>
    <row r="44047" spans="10:10" x14ac:dyDescent="0.3">
      <c r="J44047" s="33"/>
    </row>
    <row r="44048" spans="10:10" x14ac:dyDescent="0.3">
      <c r="J44048" s="33"/>
    </row>
    <row r="44049" spans="10:10" x14ac:dyDescent="0.3">
      <c r="J44049" s="33"/>
    </row>
    <row r="44050" spans="10:10" x14ac:dyDescent="0.3">
      <c r="J44050" s="33"/>
    </row>
    <row r="44051" spans="10:10" x14ac:dyDescent="0.3">
      <c r="J44051" s="33"/>
    </row>
    <row r="44052" spans="10:10" x14ac:dyDescent="0.3">
      <c r="J44052" s="33"/>
    </row>
    <row r="44053" spans="10:10" x14ac:dyDescent="0.3">
      <c r="J44053" s="33"/>
    </row>
    <row r="44054" spans="10:10" x14ac:dyDescent="0.3">
      <c r="J44054" s="33"/>
    </row>
    <row r="44055" spans="10:10" x14ac:dyDescent="0.3">
      <c r="J44055" s="33"/>
    </row>
    <row r="44056" spans="10:10" x14ac:dyDescent="0.3">
      <c r="J44056" s="33"/>
    </row>
    <row r="44057" spans="10:10" x14ac:dyDescent="0.3">
      <c r="J44057" s="33"/>
    </row>
    <row r="44058" spans="10:10" x14ac:dyDescent="0.3">
      <c r="J44058" s="33"/>
    </row>
    <row r="44059" spans="10:10" x14ac:dyDescent="0.3">
      <c r="J44059" s="33"/>
    </row>
    <row r="44060" spans="10:10" x14ac:dyDescent="0.3">
      <c r="J44060" s="33"/>
    </row>
    <row r="44061" spans="10:10" x14ac:dyDescent="0.3">
      <c r="J44061" s="33"/>
    </row>
    <row r="44062" spans="10:10" x14ac:dyDescent="0.3">
      <c r="J44062" s="33"/>
    </row>
    <row r="44063" spans="10:10" x14ac:dyDescent="0.3">
      <c r="J44063" s="33"/>
    </row>
    <row r="44064" spans="10:10" x14ac:dyDescent="0.3">
      <c r="J44064" s="33"/>
    </row>
    <row r="44065" spans="10:10" x14ac:dyDescent="0.3">
      <c r="J44065" s="33"/>
    </row>
    <row r="44066" spans="10:10" x14ac:dyDescent="0.3">
      <c r="J44066" s="33"/>
    </row>
    <row r="44067" spans="10:10" x14ac:dyDescent="0.3">
      <c r="J44067" s="33"/>
    </row>
    <row r="44068" spans="10:10" x14ac:dyDescent="0.3">
      <c r="J44068" s="33"/>
    </row>
    <row r="44069" spans="10:10" x14ac:dyDescent="0.3">
      <c r="J44069" s="33"/>
    </row>
    <row r="44070" spans="10:10" x14ac:dyDescent="0.3">
      <c r="J44070" s="33"/>
    </row>
    <row r="44071" spans="10:10" x14ac:dyDescent="0.3">
      <c r="J44071" s="33"/>
    </row>
    <row r="44072" spans="10:10" x14ac:dyDescent="0.3">
      <c r="J44072" s="33"/>
    </row>
    <row r="44073" spans="10:10" x14ac:dyDescent="0.3">
      <c r="J44073" s="33"/>
    </row>
    <row r="44074" spans="10:10" x14ac:dyDescent="0.3">
      <c r="J44074" s="33"/>
    </row>
    <row r="44075" spans="10:10" x14ac:dyDescent="0.3">
      <c r="J44075" s="33"/>
    </row>
    <row r="44076" spans="10:10" x14ac:dyDescent="0.3">
      <c r="J44076" s="33"/>
    </row>
    <row r="44077" spans="10:10" x14ac:dyDescent="0.3">
      <c r="J44077" s="33"/>
    </row>
    <row r="44078" spans="10:10" x14ac:dyDescent="0.3">
      <c r="J44078" s="33"/>
    </row>
    <row r="44079" spans="10:10" x14ac:dyDescent="0.3">
      <c r="J44079" s="33"/>
    </row>
    <row r="44080" spans="10:10" x14ac:dyDescent="0.3">
      <c r="J44080" s="33"/>
    </row>
    <row r="44081" spans="10:10" x14ac:dyDescent="0.3">
      <c r="J44081" s="33"/>
    </row>
    <row r="44082" spans="10:10" x14ac:dyDescent="0.3">
      <c r="J44082" s="33"/>
    </row>
    <row r="44083" spans="10:10" x14ac:dyDescent="0.3">
      <c r="J44083" s="33"/>
    </row>
    <row r="44084" spans="10:10" x14ac:dyDescent="0.3">
      <c r="J44084" s="33"/>
    </row>
    <row r="44085" spans="10:10" x14ac:dyDescent="0.3">
      <c r="J44085" s="33"/>
    </row>
    <row r="44086" spans="10:10" x14ac:dyDescent="0.3">
      <c r="J44086" s="33"/>
    </row>
    <row r="44087" spans="10:10" x14ac:dyDescent="0.3">
      <c r="J44087" s="33"/>
    </row>
    <row r="44088" spans="10:10" x14ac:dyDescent="0.3">
      <c r="J44088" s="33"/>
    </row>
    <row r="44089" spans="10:10" x14ac:dyDescent="0.3">
      <c r="J44089" s="33"/>
    </row>
    <row r="44090" spans="10:10" x14ac:dyDescent="0.3">
      <c r="J44090" s="33"/>
    </row>
    <row r="44091" spans="10:10" x14ac:dyDescent="0.3">
      <c r="J44091" s="33"/>
    </row>
    <row r="44092" spans="10:10" x14ac:dyDescent="0.3">
      <c r="J44092" s="33"/>
    </row>
    <row r="44093" spans="10:10" x14ac:dyDescent="0.3">
      <c r="J44093" s="33"/>
    </row>
    <row r="44094" spans="10:10" x14ac:dyDescent="0.3">
      <c r="J44094" s="33"/>
    </row>
    <row r="44095" spans="10:10" x14ac:dyDescent="0.3">
      <c r="J44095" s="33"/>
    </row>
    <row r="44096" spans="10:10" x14ac:dyDescent="0.3">
      <c r="J44096" s="33"/>
    </row>
    <row r="44097" spans="10:10" x14ac:dyDescent="0.3">
      <c r="J44097" s="33"/>
    </row>
    <row r="44098" spans="10:10" x14ac:dyDescent="0.3">
      <c r="J44098" s="33"/>
    </row>
    <row r="44099" spans="10:10" x14ac:dyDescent="0.3">
      <c r="J44099" s="33"/>
    </row>
    <row r="44100" spans="10:10" x14ac:dyDescent="0.3">
      <c r="J44100" s="33"/>
    </row>
    <row r="44101" spans="10:10" x14ac:dyDescent="0.3">
      <c r="J44101" s="33"/>
    </row>
    <row r="44102" spans="10:10" x14ac:dyDescent="0.3">
      <c r="J44102" s="33"/>
    </row>
    <row r="44103" spans="10:10" x14ac:dyDescent="0.3">
      <c r="J44103" s="33"/>
    </row>
    <row r="44104" spans="10:10" x14ac:dyDescent="0.3">
      <c r="J44104" s="33"/>
    </row>
    <row r="44105" spans="10:10" x14ac:dyDescent="0.3">
      <c r="J44105" s="33"/>
    </row>
    <row r="44106" spans="10:10" x14ac:dyDescent="0.3">
      <c r="J44106" s="33"/>
    </row>
    <row r="44107" spans="10:10" x14ac:dyDescent="0.3">
      <c r="J44107" s="33"/>
    </row>
    <row r="44108" spans="10:10" x14ac:dyDescent="0.3">
      <c r="J44108" s="33"/>
    </row>
    <row r="44109" spans="10:10" x14ac:dyDescent="0.3">
      <c r="J44109" s="33"/>
    </row>
    <row r="44110" spans="10:10" x14ac:dyDescent="0.3">
      <c r="J44110" s="33"/>
    </row>
    <row r="44111" spans="10:10" x14ac:dyDescent="0.3">
      <c r="J44111" s="33"/>
    </row>
    <row r="44112" spans="10:10" x14ac:dyDescent="0.3">
      <c r="J44112" s="33"/>
    </row>
    <row r="44113" spans="10:10" x14ac:dyDescent="0.3">
      <c r="J44113" s="33"/>
    </row>
    <row r="44114" spans="10:10" x14ac:dyDescent="0.3">
      <c r="J44114" s="33"/>
    </row>
    <row r="44115" spans="10:10" x14ac:dyDescent="0.3">
      <c r="J44115" s="33"/>
    </row>
    <row r="44116" spans="10:10" x14ac:dyDescent="0.3">
      <c r="J44116" s="33"/>
    </row>
    <row r="44117" spans="10:10" x14ac:dyDescent="0.3">
      <c r="J44117" s="33"/>
    </row>
    <row r="44118" spans="10:10" x14ac:dyDescent="0.3">
      <c r="J44118" s="33"/>
    </row>
    <row r="44119" spans="10:10" x14ac:dyDescent="0.3">
      <c r="J44119" s="33"/>
    </row>
    <row r="44120" spans="10:10" x14ac:dyDescent="0.3">
      <c r="J44120" s="33"/>
    </row>
    <row r="44121" spans="10:10" x14ac:dyDescent="0.3">
      <c r="J44121" s="33"/>
    </row>
    <row r="44122" spans="10:10" x14ac:dyDescent="0.3">
      <c r="J44122" s="33"/>
    </row>
    <row r="44123" spans="10:10" x14ac:dyDescent="0.3">
      <c r="J44123" s="33"/>
    </row>
    <row r="44124" spans="10:10" x14ac:dyDescent="0.3">
      <c r="J44124" s="33"/>
    </row>
    <row r="44125" spans="10:10" x14ac:dyDescent="0.3">
      <c r="J44125" s="33"/>
    </row>
    <row r="44126" spans="10:10" x14ac:dyDescent="0.3">
      <c r="J44126" s="33"/>
    </row>
    <row r="44127" spans="10:10" x14ac:dyDescent="0.3">
      <c r="J44127" s="33"/>
    </row>
    <row r="44128" spans="10:10" x14ac:dyDescent="0.3">
      <c r="J44128" s="33"/>
    </row>
    <row r="44129" spans="10:10" x14ac:dyDescent="0.3">
      <c r="J44129" s="33"/>
    </row>
    <row r="44130" spans="10:10" x14ac:dyDescent="0.3">
      <c r="J44130" s="33"/>
    </row>
    <row r="44131" spans="10:10" x14ac:dyDescent="0.3">
      <c r="J44131" s="33"/>
    </row>
    <row r="44132" spans="10:10" x14ac:dyDescent="0.3">
      <c r="J44132" s="33"/>
    </row>
    <row r="44133" spans="10:10" x14ac:dyDescent="0.3">
      <c r="J44133" s="33"/>
    </row>
    <row r="44134" spans="10:10" x14ac:dyDescent="0.3">
      <c r="J44134" s="33"/>
    </row>
    <row r="44135" spans="10:10" x14ac:dyDescent="0.3">
      <c r="J44135" s="33"/>
    </row>
    <row r="44136" spans="10:10" x14ac:dyDescent="0.3">
      <c r="J44136" s="33"/>
    </row>
    <row r="44137" spans="10:10" x14ac:dyDescent="0.3">
      <c r="J44137" s="33"/>
    </row>
    <row r="44138" spans="10:10" x14ac:dyDescent="0.3">
      <c r="J44138" s="33"/>
    </row>
    <row r="44139" spans="10:10" x14ac:dyDescent="0.3">
      <c r="J44139" s="33"/>
    </row>
    <row r="44140" spans="10:10" x14ac:dyDescent="0.3">
      <c r="J44140" s="33"/>
    </row>
    <row r="44141" spans="10:10" x14ac:dyDescent="0.3">
      <c r="J44141" s="33"/>
    </row>
    <row r="44142" spans="10:10" x14ac:dyDescent="0.3">
      <c r="J44142" s="33"/>
    </row>
    <row r="44143" spans="10:10" x14ac:dyDescent="0.3">
      <c r="J44143" s="33"/>
    </row>
    <row r="44144" spans="10:10" x14ac:dyDescent="0.3">
      <c r="J44144" s="33"/>
    </row>
    <row r="44145" spans="10:10" x14ac:dyDescent="0.3">
      <c r="J44145" s="33"/>
    </row>
    <row r="44146" spans="10:10" x14ac:dyDescent="0.3">
      <c r="J44146" s="33"/>
    </row>
    <row r="44147" spans="10:10" x14ac:dyDescent="0.3">
      <c r="J44147" s="33"/>
    </row>
    <row r="44148" spans="10:10" x14ac:dyDescent="0.3">
      <c r="J44148" s="33"/>
    </row>
    <row r="44149" spans="10:10" x14ac:dyDescent="0.3">
      <c r="J44149" s="33"/>
    </row>
    <row r="44150" spans="10:10" x14ac:dyDescent="0.3">
      <c r="J44150" s="33"/>
    </row>
    <row r="44151" spans="10:10" x14ac:dyDescent="0.3">
      <c r="J44151" s="33"/>
    </row>
    <row r="44152" spans="10:10" x14ac:dyDescent="0.3">
      <c r="J44152" s="33"/>
    </row>
    <row r="44153" spans="10:10" x14ac:dyDescent="0.3">
      <c r="J44153" s="33"/>
    </row>
    <row r="44154" spans="10:10" x14ac:dyDescent="0.3">
      <c r="J44154" s="33"/>
    </row>
    <row r="44155" spans="10:10" x14ac:dyDescent="0.3">
      <c r="J44155" s="33"/>
    </row>
    <row r="44156" spans="10:10" x14ac:dyDescent="0.3">
      <c r="J44156" s="33"/>
    </row>
    <row r="44157" spans="10:10" x14ac:dyDescent="0.3">
      <c r="J44157" s="33"/>
    </row>
    <row r="44158" spans="10:10" x14ac:dyDescent="0.3">
      <c r="J44158" s="33"/>
    </row>
    <row r="44159" spans="10:10" x14ac:dyDescent="0.3">
      <c r="J44159" s="33"/>
    </row>
    <row r="44160" spans="10:10" x14ac:dyDescent="0.3">
      <c r="J44160" s="33"/>
    </row>
    <row r="44161" spans="10:10" x14ac:dyDescent="0.3">
      <c r="J44161" s="33"/>
    </row>
    <row r="44162" spans="10:10" x14ac:dyDescent="0.3">
      <c r="J44162" s="33"/>
    </row>
    <row r="44163" spans="10:10" x14ac:dyDescent="0.3">
      <c r="J44163" s="33"/>
    </row>
    <row r="44164" spans="10:10" x14ac:dyDescent="0.3">
      <c r="J44164" s="33"/>
    </row>
    <row r="44165" spans="10:10" x14ac:dyDescent="0.3">
      <c r="J44165" s="33"/>
    </row>
    <row r="44166" spans="10:10" x14ac:dyDescent="0.3">
      <c r="J44166" s="33"/>
    </row>
    <row r="44167" spans="10:10" x14ac:dyDescent="0.3">
      <c r="J44167" s="33"/>
    </row>
    <row r="44168" spans="10:10" x14ac:dyDescent="0.3">
      <c r="J44168" s="33"/>
    </row>
    <row r="44169" spans="10:10" x14ac:dyDescent="0.3">
      <c r="J44169" s="33"/>
    </row>
    <row r="44170" spans="10:10" x14ac:dyDescent="0.3">
      <c r="J44170" s="33"/>
    </row>
    <row r="44171" spans="10:10" x14ac:dyDescent="0.3">
      <c r="J44171" s="33"/>
    </row>
    <row r="44172" spans="10:10" x14ac:dyDescent="0.3">
      <c r="J44172" s="33"/>
    </row>
    <row r="44173" spans="10:10" x14ac:dyDescent="0.3">
      <c r="J44173" s="33"/>
    </row>
    <row r="44174" spans="10:10" x14ac:dyDescent="0.3">
      <c r="J44174" s="33"/>
    </row>
    <row r="44175" spans="10:10" x14ac:dyDescent="0.3">
      <c r="J44175" s="33"/>
    </row>
    <row r="44176" spans="10:10" x14ac:dyDescent="0.3">
      <c r="J44176" s="33"/>
    </row>
    <row r="44177" spans="10:10" x14ac:dyDescent="0.3">
      <c r="J44177" s="33"/>
    </row>
    <row r="44178" spans="10:10" x14ac:dyDescent="0.3">
      <c r="J44178" s="33"/>
    </row>
    <row r="44179" spans="10:10" x14ac:dyDescent="0.3">
      <c r="J44179" s="33"/>
    </row>
    <row r="44180" spans="10:10" x14ac:dyDescent="0.3">
      <c r="J44180" s="33"/>
    </row>
    <row r="44181" spans="10:10" x14ac:dyDescent="0.3">
      <c r="J44181" s="33"/>
    </row>
    <row r="44182" spans="10:10" x14ac:dyDescent="0.3">
      <c r="J44182" s="33"/>
    </row>
    <row r="44183" spans="10:10" x14ac:dyDescent="0.3">
      <c r="J44183" s="33"/>
    </row>
    <row r="44184" spans="10:10" x14ac:dyDescent="0.3">
      <c r="J44184" s="33"/>
    </row>
    <row r="44185" spans="10:10" x14ac:dyDescent="0.3">
      <c r="J44185" s="33"/>
    </row>
    <row r="44186" spans="10:10" x14ac:dyDescent="0.3">
      <c r="J44186" s="33"/>
    </row>
    <row r="44187" spans="10:10" x14ac:dyDescent="0.3">
      <c r="J44187" s="33"/>
    </row>
    <row r="44188" spans="10:10" x14ac:dyDescent="0.3">
      <c r="J44188" s="33"/>
    </row>
    <row r="44189" spans="10:10" x14ac:dyDescent="0.3">
      <c r="J44189" s="33"/>
    </row>
    <row r="44190" spans="10:10" x14ac:dyDescent="0.3">
      <c r="J44190" s="33"/>
    </row>
    <row r="44191" spans="10:10" x14ac:dyDescent="0.3">
      <c r="J44191" s="33"/>
    </row>
    <row r="44192" spans="10:10" x14ac:dyDescent="0.3">
      <c r="J44192" s="33"/>
    </row>
    <row r="44193" spans="10:10" x14ac:dyDescent="0.3">
      <c r="J44193" s="33"/>
    </row>
    <row r="44194" spans="10:10" x14ac:dyDescent="0.3">
      <c r="J44194" s="33"/>
    </row>
    <row r="44195" spans="10:10" x14ac:dyDescent="0.3">
      <c r="J44195" s="33"/>
    </row>
    <row r="44196" spans="10:10" x14ac:dyDescent="0.3">
      <c r="J44196" s="33"/>
    </row>
    <row r="44197" spans="10:10" x14ac:dyDescent="0.3">
      <c r="J44197" s="33"/>
    </row>
    <row r="44198" spans="10:10" x14ac:dyDescent="0.3">
      <c r="J44198" s="33"/>
    </row>
    <row r="44199" spans="10:10" x14ac:dyDescent="0.3">
      <c r="J44199" s="33"/>
    </row>
    <row r="44200" spans="10:10" x14ac:dyDescent="0.3">
      <c r="J44200" s="33"/>
    </row>
    <row r="44201" spans="10:10" x14ac:dyDescent="0.3">
      <c r="J44201" s="33"/>
    </row>
    <row r="44202" spans="10:10" x14ac:dyDescent="0.3">
      <c r="J44202" s="33"/>
    </row>
    <row r="44203" spans="10:10" x14ac:dyDescent="0.3">
      <c r="J44203" s="33"/>
    </row>
    <row r="44204" spans="10:10" x14ac:dyDescent="0.3">
      <c r="J44204" s="33"/>
    </row>
    <row r="44205" spans="10:10" x14ac:dyDescent="0.3">
      <c r="J44205" s="33"/>
    </row>
    <row r="44206" spans="10:10" x14ac:dyDescent="0.3">
      <c r="J44206" s="33"/>
    </row>
    <row r="44207" spans="10:10" x14ac:dyDescent="0.3">
      <c r="J44207" s="33"/>
    </row>
    <row r="44208" spans="10:10" x14ac:dyDescent="0.3">
      <c r="J44208" s="33"/>
    </row>
    <row r="44209" spans="10:10" x14ac:dyDescent="0.3">
      <c r="J44209" s="33"/>
    </row>
    <row r="44210" spans="10:10" x14ac:dyDescent="0.3">
      <c r="J44210" s="33"/>
    </row>
    <row r="44211" spans="10:10" x14ac:dyDescent="0.3">
      <c r="J44211" s="33"/>
    </row>
    <row r="44212" spans="10:10" x14ac:dyDescent="0.3">
      <c r="J44212" s="33"/>
    </row>
    <row r="44213" spans="10:10" x14ac:dyDescent="0.3">
      <c r="J44213" s="33"/>
    </row>
    <row r="44214" spans="10:10" x14ac:dyDescent="0.3">
      <c r="J44214" s="33"/>
    </row>
    <row r="44215" spans="10:10" x14ac:dyDescent="0.3">
      <c r="J44215" s="33"/>
    </row>
    <row r="44216" spans="10:10" x14ac:dyDescent="0.3">
      <c r="J44216" s="33"/>
    </row>
    <row r="44217" spans="10:10" x14ac:dyDescent="0.3">
      <c r="J44217" s="33"/>
    </row>
    <row r="44218" spans="10:10" x14ac:dyDescent="0.3">
      <c r="J44218" s="33"/>
    </row>
    <row r="44219" spans="10:10" x14ac:dyDescent="0.3">
      <c r="J44219" s="33"/>
    </row>
    <row r="44220" spans="10:10" x14ac:dyDescent="0.3">
      <c r="J44220" s="33"/>
    </row>
    <row r="44221" spans="10:10" x14ac:dyDescent="0.3">
      <c r="J44221" s="33"/>
    </row>
    <row r="44222" spans="10:10" x14ac:dyDescent="0.3">
      <c r="J44222" s="33"/>
    </row>
    <row r="44223" spans="10:10" x14ac:dyDescent="0.3">
      <c r="J44223" s="33"/>
    </row>
    <row r="44224" spans="10:10" x14ac:dyDescent="0.3">
      <c r="J44224" s="33"/>
    </row>
    <row r="44225" spans="10:10" x14ac:dyDescent="0.3">
      <c r="J44225" s="33"/>
    </row>
    <row r="44226" spans="10:10" x14ac:dyDescent="0.3">
      <c r="J44226" s="33"/>
    </row>
    <row r="44227" spans="10:10" x14ac:dyDescent="0.3">
      <c r="J44227" s="33"/>
    </row>
    <row r="44228" spans="10:10" x14ac:dyDescent="0.3">
      <c r="J44228" s="33"/>
    </row>
    <row r="44229" spans="10:10" x14ac:dyDescent="0.3">
      <c r="J44229" s="33"/>
    </row>
    <row r="44230" spans="10:10" x14ac:dyDescent="0.3">
      <c r="J44230" s="33"/>
    </row>
    <row r="44231" spans="10:10" x14ac:dyDescent="0.3">
      <c r="J44231" s="33"/>
    </row>
    <row r="44232" spans="10:10" x14ac:dyDescent="0.3">
      <c r="J44232" s="33"/>
    </row>
    <row r="44233" spans="10:10" x14ac:dyDescent="0.3">
      <c r="J44233" s="33"/>
    </row>
    <row r="44234" spans="10:10" x14ac:dyDescent="0.3">
      <c r="J44234" s="33"/>
    </row>
    <row r="44235" spans="10:10" x14ac:dyDescent="0.3">
      <c r="J44235" s="33"/>
    </row>
    <row r="44236" spans="10:10" x14ac:dyDescent="0.3">
      <c r="J44236" s="33"/>
    </row>
    <row r="44237" spans="10:10" x14ac:dyDescent="0.3">
      <c r="J44237" s="33"/>
    </row>
    <row r="44238" spans="10:10" x14ac:dyDescent="0.3">
      <c r="J44238" s="33"/>
    </row>
    <row r="44239" spans="10:10" x14ac:dyDescent="0.3">
      <c r="J44239" s="33"/>
    </row>
    <row r="44240" spans="10:10" x14ac:dyDescent="0.3">
      <c r="J44240" s="33"/>
    </row>
    <row r="44241" spans="10:10" x14ac:dyDescent="0.3">
      <c r="J44241" s="33"/>
    </row>
    <row r="44242" spans="10:10" x14ac:dyDescent="0.3">
      <c r="J44242" s="33"/>
    </row>
    <row r="44243" spans="10:10" x14ac:dyDescent="0.3">
      <c r="J44243" s="33"/>
    </row>
    <row r="44244" spans="10:10" x14ac:dyDescent="0.3">
      <c r="J44244" s="33"/>
    </row>
    <row r="44245" spans="10:10" x14ac:dyDescent="0.3">
      <c r="J44245" s="33"/>
    </row>
    <row r="44246" spans="10:10" x14ac:dyDescent="0.3">
      <c r="J44246" s="33"/>
    </row>
    <row r="44247" spans="10:10" x14ac:dyDescent="0.3">
      <c r="J44247" s="33"/>
    </row>
    <row r="44248" spans="10:10" x14ac:dyDescent="0.3">
      <c r="J44248" s="33"/>
    </row>
    <row r="44249" spans="10:10" x14ac:dyDescent="0.3">
      <c r="J44249" s="33"/>
    </row>
    <row r="44250" spans="10:10" x14ac:dyDescent="0.3">
      <c r="J44250" s="33"/>
    </row>
    <row r="44251" spans="10:10" x14ac:dyDescent="0.3">
      <c r="J44251" s="33"/>
    </row>
    <row r="44252" spans="10:10" x14ac:dyDescent="0.3">
      <c r="J44252" s="33"/>
    </row>
    <row r="44253" spans="10:10" x14ac:dyDescent="0.3">
      <c r="J44253" s="33"/>
    </row>
    <row r="44254" spans="10:10" x14ac:dyDescent="0.3">
      <c r="J44254" s="33"/>
    </row>
    <row r="44255" spans="10:10" x14ac:dyDescent="0.3">
      <c r="J44255" s="33"/>
    </row>
    <row r="44256" spans="10:10" x14ac:dyDescent="0.3">
      <c r="J44256" s="33"/>
    </row>
    <row r="44257" spans="10:10" x14ac:dyDescent="0.3">
      <c r="J44257" s="33"/>
    </row>
    <row r="44258" spans="10:10" x14ac:dyDescent="0.3">
      <c r="J44258" s="33"/>
    </row>
    <row r="44259" spans="10:10" x14ac:dyDescent="0.3">
      <c r="J44259" s="33"/>
    </row>
    <row r="44260" spans="10:10" x14ac:dyDescent="0.3">
      <c r="J44260" s="33"/>
    </row>
    <row r="44261" spans="10:10" x14ac:dyDescent="0.3">
      <c r="J44261" s="33"/>
    </row>
    <row r="44262" spans="10:10" x14ac:dyDescent="0.3">
      <c r="J44262" s="33"/>
    </row>
    <row r="44263" spans="10:10" x14ac:dyDescent="0.3">
      <c r="J44263" s="33"/>
    </row>
    <row r="44264" spans="10:10" x14ac:dyDescent="0.3">
      <c r="J44264" s="33"/>
    </row>
    <row r="44265" spans="10:10" x14ac:dyDescent="0.3">
      <c r="J44265" s="33"/>
    </row>
    <row r="44266" spans="10:10" x14ac:dyDescent="0.3">
      <c r="J44266" s="33"/>
    </row>
    <row r="44267" spans="10:10" x14ac:dyDescent="0.3">
      <c r="J44267" s="33"/>
    </row>
    <row r="44268" spans="10:10" x14ac:dyDescent="0.3">
      <c r="J44268" s="33"/>
    </row>
    <row r="44269" spans="10:10" x14ac:dyDescent="0.3">
      <c r="J44269" s="33"/>
    </row>
    <row r="44270" spans="10:10" x14ac:dyDescent="0.3">
      <c r="J44270" s="33"/>
    </row>
    <row r="44271" spans="10:10" x14ac:dyDescent="0.3">
      <c r="J44271" s="33"/>
    </row>
    <row r="44272" spans="10:10" x14ac:dyDescent="0.3">
      <c r="J44272" s="33"/>
    </row>
    <row r="44273" spans="10:10" x14ac:dyDescent="0.3">
      <c r="J44273" s="33"/>
    </row>
    <row r="44274" spans="10:10" x14ac:dyDescent="0.3">
      <c r="J44274" s="33"/>
    </row>
    <row r="44275" spans="10:10" x14ac:dyDescent="0.3">
      <c r="J44275" s="33"/>
    </row>
    <row r="44276" spans="10:10" x14ac:dyDescent="0.3">
      <c r="J44276" s="33"/>
    </row>
    <row r="44277" spans="10:10" x14ac:dyDescent="0.3">
      <c r="J44277" s="33"/>
    </row>
    <row r="44278" spans="10:10" x14ac:dyDescent="0.3">
      <c r="J44278" s="33"/>
    </row>
    <row r="44279" spans="10:10" x14ac:dyDescent="0.3">
      <c r="J44279" s="33"/>
    </row>
    <row r="44280" spans="10:10" x14ac:dyDescent="0.3">
      <c r="J44280" s="33"/>
    </row>
    <row r="44281" spans="10:10" x14ac:dyDescent="0.3">
      <c r="J44281" s="33"/>
    </row>
    <row r="44282" spans="10:10" x14ac:dyDescent="0.3">
      <c r="J44282" s="33"/>
    </row>
    <row r="44283" spans="10:10" x14ac:dyDescent="0.3">
      <c r="J44283" s="33"/>
    </row>
    <row r="44284" spans="10:10" x14ac:dyDescent="0.3">
      <c r="J44284" s="33"/>
    </row>
    <row r="44285" spans="10:10" x14ac:dyDescent="0.3">
      <c r="J44285" s="33"/>
    </row>
    <row r="44286" spans="10:10" x14ac:dyDescent="0.3">
      <c r="J44286" s="33"/>
    </row>
    <row r="44287" spans="10:10" x14ac:dyDescent="0.3">
      <c r="J44287" s="33"/>
    </row>
    <row r="44288" spans="10:10" x14ac:dyDescent="0.3">
      <c r="J44288" s="33"/>
    </row>
    <row r="44289" spans="10:10" x14ac:dyDescent="0.3">
      <c r="J44289" s="33"/>
    </row>
    <row r="44290" spans="10:10" x14ac:dyDescent="0.3">
      <c r="J44290" s="33"/>
    </row>
    <row r="44291" spans="10:10" x14ac:dyDescent="0.3">
      <c r="J44291" s="33"/>
    </row>
    <row r="44292" spans="10:10" x14ac:dyDescent="0.3">
      <c r="J44292" s="33"/>
    </row>
    <row r="44293" spans="10:10" x14ac:dyDescent="0.3">
      <c r="J44293" s="33"/>
    </row>
    <row r="44294" spans="10:10" x14ac:dyDescent="0.3">
      <c r="J44294" s="33"/>
    </row>
    <row r="44295" spans="10:10" x14ac:dyDescent="0.3">
      <c r="J44295" s="33"/>
    </row>
    <row r="44296" spans="10:10" x14ac:dyDescent="0.3">
      <c r="J44296" s="33"/>
    </row>
    <row r="44297" spans="10:10" x14ac:dyDescent="0.3">
      <c r="J44297" s="33"/>
    </row>
    <row r="44298" spans="10:10" x14ac:dyDescent="0.3">
      <c r="J44298" s="33"/>
    </row>
    <row r="44299" spans="10:10" x14ac:dyDescent="0.3">
      <c r="J44299" s="33"/>
    </row>
    <row r="44300" spans="10:10" x14ac:dyDescent="0.3">
      <c r="J44300" s="33"/>
    </row>
    <row r="44301" spans="10:10" x14ac:dyDescent="0.3">
      <c r="J44301" s="33"/>
    </row>
    <row r="44302" spans="10:10" x14ac:dyDescent="0.3">
      <c r="J44302" s="33"/>
    </row>
    <row r="44303" spans="10:10" x14ac:dyDescent="0.3">
      <c r="J44303" s="33"/>
    </row>
    <row r="44304" spans="10:10" x14ac:dyDescent="0.3">
      <c r="J44304" s="33"/>
    </row>
    <row r="44305" spans="10:10" x14ac:dyDescent="0.3">
      <c r="J44305" s="33"/>
    </row>
    <row r="44306" spans="10:10" x14ac:dyDescent="0.3">
      <c r="J44306" s="33"/>
    </row>
    <row r="44307" spans="10:10" x14ac:dyDescent="0.3">
      <c r="J44307" s="33"/>
    </row>
    <row r="44308" spans="10:10" x14ac:dyDescent="0.3">
      <c r="J44308" s="33"/>
    </row>
    <row r="44309" spans="10:10" x14ac:dyDescent="0.3">
      <c r="J44309" s="33"/>
    </row>
    <row r="44310" spans="10:10" x14ac:dyDescent="0.3">
      <c r="J44310" s="33"/>
    </row>
    <row r="44311" spans="10:10" x14ac:dyDescent="0.3">
      <c r="J44311" s="33"/>
    </row>
    <row r="44312" spans="10:10" x14ac:dyDescent="0.3">
      <c r="J44312" s="33"/>
    </row>
    <row r="44313" spans="10:10" x14ac:dyDescent="0.3">
      <c r="J44313" s="33"/>
    </row>
    <row r="44314" spans="10:10" x14ac:dyDescent="0.3">
      <c r="J44314" s="33"/>
    </row>
    <row r="44315" spans="10:10" x14ac:dyDescent="0.3">
      <c r="J44315" s="33"/>
    </row>
    <row r="44316" spans="10:10" x14ac:dyDescent="0.3">
      <c r="J44316" s="33"/>
    </row>
    <row r="44317" spans="10:10" x14ac:dyDescent="0.3">
      <c r="J44317" s="33"/>
    </row>
    <row r="44318" spans="10:10" x14ac:dyDescent="0.3">
      <c r="J44318" s="33"/>
    </row>
    <row r="44319" spans="10:10" x14ac:dyDescent="0.3">
      <c r="J44319" s="33"/>
    </row>
    <row r="44320" spans="10:10" x14ac:dyDescent="0.3">
      <c r="J44320" s="33"/>
    </row>
    <row r="44321" spans="10:10" x14ac:dyDescent="0.3">
      <c r="J44321" s="33"/>
    </row>
    <row r="44322" spans="10:10" x14ac:dyDescent="0.3">
      <c r="J44322" s="33"/>
    </row>
    <row r="44323" spans="10:10" x14ac:dyDescent="0.3">
      <c r="J44323" s="33"/>
    </row>
    <row r="44324" spans="10:10" x14ac:dyDescent="0.3">
      <c r="J44324" s="33"/>
    </row>
    <row r="44325" spans="10:10" x14ac:dyDescent="0.3">
      <c r="J44325" s="33"/>
    </row>
    <row r="44326" spans="10:10" x14ac:dyDescent="0.3">
      <c r="J44326" s="33"/>
    </row>
    <row r="44327" spans="10:10" x14ac:dyDescent="0.3">
      <c r="J44327" s="33"/>
    </row>
    <row r="44328" spans="10:10" x14ac:dyDescent="0.3">
      <c r="J44328" s="33"/>
    </row>
    <row r="44329" spans="10:10" x14ac:dyDescent="0.3">
      <c r="J44329" s="33"/>
    </row>
    <row r="44330" spans="10:10" x14ac:dyDescent="0.3">
      <c r="J44330" s="33"/>
    </row>
    <row r="44331" spans="10:10" x14ac:dyDescent="0.3">
      <c r="J44331" s="33"/>
    </row>
    <row r="44332" spans="10:10" x14ac:dyDescent="0.3">
      <c r="J44332" s="33"/>
    </row>
    <row r="44333" spans="10:10" x14ac:dyDescent="0.3">
      <c r="J44333" s="33"/>
    </row>
    <row r="44334" spans="10:10" x14ac:dyDescent="0.3">
      <c r="J44334" s="33"/>
    </row>
    <row r="44335" spans="10:10" x14ac:dyDescent="0.3">
      <c r="J44335" s="33"/>
    </row>
    <row r="44336" spans="10:10" x14ac:dyDescent="0.3">
      <c r="J44336" s="33"/>
    </row>
    <row r="44337" spans="10:10" x14ac:dyDescent="0.3">
      <c r="J44337" s="33"/>
    </row>
    <row r="44338" spans="10:10" x14ac:dyDescent="0.3">
      <c r="J44338" s="33"/>
    </row>
    <row r="44339" spans="10:10" x14ac:dyDescent="0.3">
      <c r="J44339" s="33"/>
    </row>
    <row r="44340" spans="10:10" x14ac:dyDescent="0.3">
      <c r="J44340" s="33"/>
    </row>
    <row r="44341" spans="10:10" x14ac:dyDescent="0.3">
      <c r="J44341" s="33"/>
    </row>
    <row r="44342" spans="10:10" x14ac:dyDescent="0.3">
      <c r="J44342" s="33"/>
    </row>
    <row r="44343" spans="10:10" x14ac:dyDescent="0.3">
      <c r="J44343" s="33"/>
    </row>
    <row r="44344" spans="10:10" x14ac:dyDescent="0.3">
      <c r="J44344" s="33"/>
    </row>
    <row r="44345" spans="10:10" x14ac:dyDescent="0.3">
      <c r="J44345" s="33"/>
    </row>
    <row r="44346" spans="10:10" x14ac:dyDescent="0.3">
      <c r="J44346" s="33"/>
    </row>
    <row r="44347" spans="10:10" x14ac:dyDescent="0.3">
      <c r="J44347" s="33"/>
    </row>
    <row r="44348" spans="10:10" x14ac:dyDescent="0.3">
      <c r="J44348" s="33"/>
    </row>
    <row r="44349" spans="10:10" x14ac:dyDescent="0.3">
      <c r="J44349" s="33"/>
    </row>
    <row r="44350" spans="10:10" x14ac:dyDescent="0.3">
      <c r="J44350" s="33"/>
    </row>
    <row r="44351" spans="10:10" x14ac:dyDescent="0.3">
      <c r="J44351" s="33"/>
    </row>
    <row r="44352" spans="10:10" x14ac:dyDescent="0.3">
      <c r="J44352" s="33"/>
    </row>
    <row r="44353" spans="10:10" x14ac:dyDescent="0.3">
      <c r="J44353" s="33"/>
    </row>
    <row r="44354" spans="10:10" x14ac:dyDescent="0.3">
      <c r="J44354" s="33"/>
    </row>
    <row r="44355" spans="10:10" x14ac:dyDescent="0.3">
      <c r="J44355" s="33"/>
    </row>
    <row r="44356" spans="10:10" x14ac:dyDescent="0.3">
      <c r="J44356" s="33"/>
    </row>
    <row r="44357" spans="10:10" x14ac:dyDescent="0.3">
      <c r="J44357" s="33"/>
    </row>
    <row r="44358" spans="10:10" x14ac:dyDescent="0.3">
      <c r="J44358" s="33"/>
    </row>
    <row r="44359" spans="10:10" x14ac:dyDescent="0.3">
      <c r="J44359" s="33"/>
    </row>
    <row r="44360" spans="10:10" x14ac:dyDescent="0.3">
      <c r="J44360" s="33"/>
    </row>
    <row r="44361" spans="10:10" x14ac:dyDescent="0.3">
      <c r="J44361" s="33"/>
    </row>
    <row r="44362" spans="10:10" x14ac:dyDescent="0.3">
      <c r="J44362" s="33"/>
    </row>
    <row r="44363" spans="10:10" x14ac:dyDescent="0.3">
      <c r="J44363" s="33"/>
    </row>
    <row r="44364" spans="10:10" x14ac:dyDescent="0.3">
      <c r="J44364" s="33"/>
    </row>
    <row r="44365" spans="10:10" x14ac:dyDescent="0.3">
      <c r="J44365" s="33"/>
    </row>
    <row r="44366" spans="10:10" x14ac:dyDescent="0.3">
      <c r="J44366" s="33"/>
    </row>
    <row r="44367" spans="10:10" x14ac:dyDescent="0.3">
      <c r="J44367" s="33"/>
    </row>
    <row r="44368" spans="10:10" x14ac:dyDescent="0.3">
      <c r="J44368" s="33"/>
    </row>
    <row r="44369" spans="10:10" x14ac:dyDescent="0.3">
      <c r="J44369" s="33"/>
    </row>
    <row r="44370" spans="10:10" x14ac:dyDescent="0.3">
      <c r="J44370" s="33"/>
    </row>
    <row r="44371" spans="10:10" x14ac:dyDescent="0.3">
      <c r="J44371" s="33"/>
    </row>
    <row r="44372" spans="10:10" x14ac:dyDescent="0.3">
      <c r="J44372" s="33"/>
    </row>
    <row r="44373" spans="10:10" x14ac:dyDescent="0.3">
      <c r="J44373" s="33"/>
    </row>
    <row r="44374" spans="10:10" x14ac:dyDescent="0.3">
      <c r="J44374" s="33"/>
    </row>
    <row r="44375" spans="10:10" x14ac:dyDescent="0.3">
      <c r="J44375" s="33"/>
    </row>
    <row r="44376" spans="10:10" x14ac:dyDescent="0.3">
      <c r="J44376" s="33"/>
    </row>
    <row r="44377" spans="10:10" x14ac:dyDescent="0.3">
      <c r="J44377" s="33"/>
    </row>
    <row r="44378" spans="10:10" x14ac:dyDescent="0.3">
      <c r="J44378" s="33"/>
    </row>
    <row r="44379" spans="10:10" x14ac:dyDescent="0.3">
      <c r="J44379" s="33"/>
    </row>
    <row r="44380" spans="10:10" x14ac:dyDescent="0.3">
      <c r="J44380" s="33"/>
    </row>
    <row r="44381" spans="10:10" x14ac:dyDescent="0.3">
      <c r="J44381" s="33"/>
    </row>
    <row r="44382" spans="10:10" x14ac:dyDescent="0.3">
      <c r="J44382" s="33"/>
    </row>
    <row r="44383" spans="10:10" x14ac:dyDescent="0.3">
      <c r="J44383" s="33"/>
    </row>
    <row r="44384" spans="10:10" x14ac:dyDescent="0.3">
      <c r="J44384" s="33"/>
    </row>
    <row r="44385" spans="10:10" x14ac:dyDescent="0.3">
      <c r="J44385" s="33"/>
    </row>
    <row r="44386" spans="10:10" x14ac:dyDescent="0.3">
      <c r="J44386" s="33"/>
    </row>
    <row r="44387" spans="10:10" x14ac:dyDescent="0.3">
      <c r="J44387" s="33"/>
    </row>
    <row r="44388" spans="10:10" x14ac:dyDescent="0.3">
      <c r="J44388" s="33"/>
    </row>
    <row r="44389" spans="10:10" x14ac:dyDescent="0.3">
      <c r="J44389" s="33"/>
    </row>
    <row r="44390" spans="10:10" x14ac:dyDescent="0.3">
      <c r="J44390" s="33"/>
    </row>
    <row r="44391" spans="10:10" x14ac:dyDescent="0.3">
      <c r="J44391" s="33"/>
    </row>
    <row r="44392" spans="10:10" x14ac:dyDescent="0.3">
      <c r="J44392" s="33"/>
    </row>
    <row r="44393" spans="10:10" x14ac:dyDescent="0.3">
      <c r="J44393" s="33"/>
    </row>
    <row r="44394" spans="10:10" x14ac:dyDescent="0.3">
      <c r="J44394" s="33"/>
    </row>
    <row r="44395" spans="10:10" x14ac:dyDescent="0.3">
      <c r="J44395" s="33"/>
    </row>
    <row r="44396" spans="10:10" x14ac:dyDescent="0.3">
      <c r="J44396" s="33"/>
    </row>
    <row r="44397" spans="10:10" x14ac:dyDescent="0.3">
      <c r="J44397" s="33"/>
    </row>
    <row r="44398" spans="10:10" x14ac:dyDescent="0.3">
      <c r="J44398" s="33"/>
    </row>
    <row r="44399" spans="10:10" x14ac:dyDescent="0.3">
      <c r="J44399" s="33"/>
    </row>
    <row r="44400" spans="10:10" x14ac:dyDescent="0.3">
      <c r="J44400" s="33"/>
    </row>
    <row r="44401" spans="10:10" x14ac:dyDescent="0.3">
      <c r="J44401" s="33"/>
    </row>
    <row r="44402" spans="10:10" x14ac:dyDescent="0.3">
      <c r="J44402" s="33"/>
    </row>
    <row r="44403" spans="10:10" x14ac:dyDescent="0.3">
      <c r="J44403" s="33"/>
    </row>
    <row r="44404" spans="10:10" x14ac:dyDescent="0.3">
      <c r="J44404" s="33"/>
    </row>
    <row r="44405" spans="10:10" x14ac:dyDescent="0.3">
      <c r="J44405" s="33"/>
    </row>
    <row r="44406" spans="10:10" x14ac:dyDescent="0.3">
      <c r="J44406" s="33"/>
    </row>
    <row r="44407" spans="10:10" x14ac:dyDescent="0.3">
      <c r="J44407" s="33"/>
    </row>
    <row r="44408" spans="10:10" x14ac:dyDescent="0.3">
      <c r="J44408" s="33"/>
    </row>
    <row r="44409" spans="10:10" x14ac:dyDescent="0.3">
      <c r="J44409" s="33"/>
    </row>
    <row r="44410" spans="10:10" x14ac:dyDescent="0.3">
      <c r="J44410" s="33"/>
    </row>
    <row r="44411" spans="10:10" x14ac:dyDescent="0.3">
      <c r="J44411" s="33"/>
    </row>
    <row r="44412" spans="10:10" x14ac:dyDescent="0.3">
      <c r="J44412" s="33"/>
    </row>
    <row r="44413" spans="10:10" x14ac:dyDescent="0.3">
      <c r="J44413" s="33"/>
    </row>
    <row r="44414" spans="10:10" x14ac:dyDescent="0.3">
      <c r="J44414" s="33"/>
    </row>
    <row r="44415" spans="10:10" x14ac:dyDescent="0.3">
      <c r="J44415" s="33"/>
    </row>
    <row r="44416" spans="10:10" x14ac:dyDescent="0.3">
      <c r="J44416" s="33"/>
    </row>
    <row r="44417" spans="10:10" x14ac:dyDescent="0.3">
      <c r="J44417" s="33"/>
    </row>
    <row r="44418" spans="10:10" x14ac:dyDescent="0.3">
      <c r="J44418" s="33"/>
    </row>
    <row r="44419" spans="10:10" x14ac:dyDescent="0.3">
      <c r="J44419" s="33"/>
    </row>
    <row r="44420" spans="10:10" x14ac:dyDescent="0.3">
      <c r="J44420" s="33"/>
    </row>
    <row r="44421" spans="10:10" x14ac:dyDescent="0.3">
      <c r="J44421" s="33"/>
    </row>
    <row r="44422" spans="10:10" x14ac:dyDescent="0.3">
      <c r="J44422" s="33"/>
    </row>
    <row r="44423" spans="10:10" x14ac:dyDescent="0.3">
      <c r="J44423" s="33"/>
    </row>
    <row r="44424" spans="10:10" x14ac:dyDescent="0.3">
      <c r="J44424" s="33"/>
    </row>
    <row r="44425" spans="10:10" x14ac:dyDescent="0.3">
      <c r="J44425" s="33"/>
    </row>
    <row r="44426" spans="10:10" x14ac:dyDescent="0.3">
      <c r="J44426" s="33"/>
    </row>
    <row r="44427" spans="10:10" x14ac:dyDescent="0.3">
      <c r="J44427" s="33"/>
    </row>
    <row r="44428" spans="10:10" x14ac:dyDescent="0.3">
      <c r="J44428" s="33"/>
    </row>
    <row r="44429" spans="10:10" x14ac:dyDescent="0.3">
      <c r="J44429" s="33"/>
    </row>
    <row r="44430" spans="10:10" x14ac:dyDescent="0.3">
      <c r="J44430" s="33"/>
    </row>
    <row r="44431" spans="10:10" x14ac:dyDescent="0.3">
      <c r="J44431" s="33"/>
    </row>
    <row r="44432" spans="10:10" x14ac:dyDescent="0.3">
      <c r="J44432" s="33"/>
    </row>
    <row r="44433" spans="10:10" x14ac:dyDescent="0.3">
      <c r="J44433" s="33"/>
    </row>
    <row r="44434" spans="10:10" x14ac:dyDescent="0.3">
      <c r="J44434" s="33"/>
    </row>
    <row r="44435" spans="10:10" x14ac:dyDescent="0.3">
      <c r="J44435" s="33"/>
    </row>
    <row r="44436" spans="10:10" x14ac:dyDescent="0.3">
      <c r="J44436" s="33"/>
    </row>
    <row r="44437" spans="10:10" x14ac:dyDescent="0.3">
      <c r="J44437" s="33"/>
    </row>
    <row r="44438" spans="10:10" x14ac:dyDescent="0.3">
      <c r="J44438" s="33"/>
    </row>
    <row r="44439" spans="10:10" x14ac:dyDescent="0.3">
      <c r="J44439" s="33"/>
    </row>
    <row r="44440" spans="10:10" x14ac:dyDescent="0.3">
      <c r="J44440" s="33"/>
    </row>
    <row r="44441" spans="10:10" x14ac:dyDescent="0.3">
      <c r="J44441" s="33"/>
    </row>
    <row r="44442" spans="10:10" x14ac:dyDescent="0.3">
      <c r="J44442" s="33"/>
    </row>
    <row r="44443" spans="10:10" x14ac:dyDescent="0.3">
      <c r="J44443" s="33"/>
    </row>
    <row r="44444" spans="10:10" x14ac:dyDescent="0.3">
      <c r="J44444" s="33"/>
    </row>
    <row r="44445" spans="10:10" x14ac:dyDescent="0.3">
      <c r="J44445" s="33"/>
    </row>
    <row r="44446" spans="10:10" x14ac:dyDescent="0.3">
      <c r="J44446" s="33"/>
    </row>
    <row r="44447" spans="10:10" x14ac:dyDescent="0.3">
      <c r="J44447" s="33"/>
    </row>
    <row r="44448" spans="10:10" x14ac:dyDescent="0.3">
      <c r="J44448" s="33"/>
    </row>
    <row r="44449" spans="10:10" x14ac:dyDescent="0.3">
      <c r="J44449" s="33"/>
    </row>
    <row r="44450" spans="10:10" x14ac:dyDescent="0.3">
      <c r="J44450" s="33"/>
    </row>
    <row r="44451" spans="10:10" x14ac:dyDescent="0.3">
      <c r="J44451" s="33"/>
    </row>
    <row r="44452" spans="10:10" x14ac:dyDescent="0.3">
      <c r="J44452" s="33"/>
    </row>
    <row r="44453" spans="10:10" x14ac:dyDescent="0.3">
      <c r="J44453" s="33"/>
    </row>
    <row r="44454" spans="10:10" x14ac:dyDescent="0.3">
      <c r="J44454" s="33"/>
    </row>
    <row r="44455" spans="10:10" x14ac:dyDescent="0.3">
      <c r="J44455" s="33"/>
    </row>
    <row r="44456" spans="10:10" x14ac:dyDescent="0.3">
      <c r="J44456" s="33"/>
    </row>
    <row r="44457" spans="10:10" x14ac:dyDescent="0.3">
      <c r="J44457" s="33"/>
    </row>
    <row r="44458" spans="10:10" x14ac:dyDescent="0.3">
      <c r="J44458" s="33"/>
    </row>
    <row r="44459" spans="10:10" x14ac:dyDescent="0.3">
      <c r="J44459" s="33"/>
    </row>
    <row r="44460" spans="10:10" x14ac:dyDescent="0.3">
      <c r="J44460" s="33"/>
    </row>
    <row r="44461" spans="10:10" x14ac:dyDescent="0.3">
      <c r="J44461" s="33"/>
    </row>
    <row r="44462" spans="10:10" x14ac:dyDescent="0.3">
      <c r="J44462" s="33"/>
    </row>
    <row r="44463" spans="10:10" x14ac:dyDescent="0.3">
      <c r="J44463" s="33"/>
    </row>
    <row r="44464" spans="10:10" x14ac:dyDescent="0.3">
      <c r="J44464" s="33"/>
    </row>
    <row r="44465" spans="10:10" x14ac:dyDescent="0.3">
      <c r="J44465" s="33"/>
    </row>
    <row r="44466" spans="10:10" x14ac:dyDescent="0.3">
      <c r="J44466" s="33"/>
    </row>
    <row r="44467" spans="10:10" x14ac:dyDescent="0.3">
      <c r="J44467" s="33"/>
    </row>
    <row r="44468" spans="10:10" x14ac:dyDescent="0.3">
      <c r="J44468" s="33"/>
    </row>
    <row r="44469" spans="10:10" x14ac:dyDescent="0.3">
      <c r="J44469" s="33"/>
    </row>
    <row r="44470" spans="10:10" x14ac:dyDescent="0.3">
      <c r="J44470" s="33"/>
    </row>
    <row r="44471" spans="10:10" x14ac:dyDescent="0.3">
      <c r="J44471" s="33"/>
    </row>
    <row r="44472" spans="10:10" x14ac:dyDescent="0.3">
      <c r="J44472" s="33"/>
    </row>
    <row r="44473" spans="10:10" x14ac:dyDescent="0.3">
      <c r="J44473" s="33"/>
    </row>
    <row r="44474" spans="10:10" x14ac:dyDescent="0.3">
      <c r="J44474" s="33"/>
    </row>
    <row r="44475" spans="10:10" x14ac:dyDescent="0.3">
      <c r="J44475" s="33"/>
    </row>
    <row r="44476" spans="10:10" x14ac:dyDescent="0.3">
      <c r="J44476" s="33"/>
    </row>
    <row r="44477" spans="10:10" x14ac:dyDescent="0.3">
      <c r="J44477" s="33"/>
    </row>
    <row r="44478" spans="10:10" x14ac:dyDescent="0.3">
      <c r="J44478" s="33"/>
    </row>
    <row r="44479" spans="10:10" x14ac:dyDescent="0.3">
      <c r="J44479" s="33"/>
    </row>
    <row r="44480" spans="10:10" x14ac:dyDescent="0.3">
      <c r="J44480" s="33"/>
    </row>
    <row r="44481" spans="10:10" x14ac:dyDescent="0.3">
      <c r="J44481" s="33"/>
    </row>
    <row r="44482" spans="10:10" x14ac:dyDescent="0.3">
      <c r="J44482" s="33"/>
    </row>
    <row r="44483" spans="10:10" x14ac:dyDescent="0.3">
      <c r="J44483" s="33"/>
    </row>
    <row r="44484" spans="10:10" x14ac:dyDescent="0.3">
      <c r="J44484" s="33"/>
    </row>
    <row r="44485" spans="10:10" x14ac:dyDescent="0.3">
      <c r="J44485" s="33"/>
    </row>
    <row r="44486" spans="10:10" x14ac:dyDescent="0.3">
      <c r="J44486" s="33"/>
    </row>
    <row r="44487" spans="10:10" x14ac:dyDescent="0.3">
      <c r="J44487" s="33"/>
    </row>
    <row r="44488" spans="10:10" x14ac:dyDescent="0.3">
      <c r="J44488" s="33"/>
    </row>
    <row r="44489" spans="10:10" x14ac:dyDescent="0.3">
      <c r="J44489" s="33"/>
    </row>
    <row r="44490" spans="10:10" x14ac:dyDescent="0.3">
      <c r="J44490" s="33"/>
    </row>
    <row r="44491" spans="10:10" x14ac:dyDescent="0.3">
      <c r="J44491" s="33"/>
    </row>
    <row r="44492" spans="10:10" x14ac:dyDescent="0.3">
      <c r="J44492" s="33"/>
    </row>
    <row r="44493" spans="10:10" x14ac:dyDescent="0.3">
      <c r="J44493" s="33"/>
    </row>
    <row r="44494" spans="10:10" x14ac:dyDescent="0.3">
      <c r="J44494" s="33"/>
    </row>
    <row r="44495" spans="10:10" x14ac:dyDescent="0.3">
      <c r="J44495" s="33"/>
    </row>
    <row r="44496" spans="10:10" x14ac:dyDescent="0.3">
      <c r="J44496" s="33"/>
    </row>
    <row r="44497" spans="10:10" x14ac:dyDescent="0.3">
      <c r="J44497" s="33"/>
    </row>
    <row r="44498" spans="10:10" x14ac:dyDescent="0.3">
      <c r="J44498" s="33"/>
    </row>
    <row r="44499" spans="10:10" x14ac:dyDescent="0.3">
      <c r="J44499" s="33"/>
    </row>
    <row r="44500" spans="10:10" x14ac:dyDescent="0.3">
      <c r="J44500" s="33"/>
    </row>
    <row r="44501" spans="10:10" x14ac:dyDescent="0.3">
      <c r="J44501" s="33"/>
    </row>
    <row r="44502" spans="10:10" x14ac:dyDescent="0.3">
      <c r="J44502" s="33"/>
    </row>
    <row r="44503" spans="10:10" x14ac:dyDescent="0.3">
      <c r="J44503" s="33"/>
    </row>
    <row r="44504" spans="10:10" x14ac:dyDescent="0.3">
      <c r="J44504" s="33"/>
    </row>
    <row r="44505" spans="10:10" x14ac:dyDescent="0.3">
      <c r="J44505" s="33"/>
    </row>
    <row r="44506" spans="10:10" x14ac:dyDescent="0.3">
      <c r="J44506" s="33"/>
    </row>
    <row r="44507" spans="10:10" x14ac:dyDescent="0.3">
      <c r="J44507" s="33"/>
    </row>
    <row r="44508" spans="10:10" x14ac:dyDescent="0.3">
      <c r="J44508" s="33"/>
    </row>
    <row r="44509" spans="10:10" x14ac:dyDescent="0.3">
      <c r="J44509" s="33"/>
    </row>
    <row r="44510" spans="10:10" x14ac:dyDescent="0.3">
      <c r="J44510" s="33"/>
    </row>
    <row r="44511" spans="10:10" x14ac:dyDescent="0.3">
      <c r="J44511" s="33"/>
    </row>
    <row r="44512" spans="10:10" x14ac:dyDescent="0.3">
      <c r="J44512" s="33"/>
    </row>
    <row r="44513" spans="10:10" x14ac:dyDescent="0.3">
      <c r="J44513" s="33"/>
    </row>
    <row r="44514" spans="10:10" x14ac:dyDescent="0.3">
      <c r="J44514" s="33"/>
    </row>
    <row r="44515" spans="10:10" x14ac:dyDescent="0.3">
      <c r="J44515" s="33"/>
    </row>
    <row r="44516" spans="10:10" x14ac:dyDescent="0.3">
      <c r="J44516" s="33"/>
    </row>
    <row r="44517" spans="10:10" x14ac:dyDescent="0.3">
      <c r="J44517" s="33"/>
    </row>
    <row r="44518" spans="10:10" x14ac:dyDescent="0.3">
      <c r="J44518" s="33"/>
    </row>
    <row r="44519" spans="10:10" x14ac:dyDescent="0.3">
      <c r="J44519" s="33"/>
    </row>
    <row r="44520" spans="10:10" x14ac:dyDescent="0.3">
      <c r="J44520" s="33"/>
    </row>
    <row r="44521" spans="10:10" x14ac:dyDescent="0.3">
      <c r="J44521" s="33"/>
    </row>
    <row r="44522" spans="10:10" x14ac:dyDescent="0.3">
      <c r="J44522" s="33"/>
    </row>
    <row r="44523" spans="10:10" x14ac:dyDescent="0.3">
      <c r="J44523" s="33"/>
    </row>
    <row r="44524" spans="10:10" x14ac:dyDescent="0.3">
      <c r="J44524" s="33"/>
    </row>
    <row r="44525" spans="10:10" x14ac:dyDescent="0.3">
      <c r="J44525" s="33"/>
    </row>
    <row r="44526" spans="10:10" x14ac:dyDescent="0.3">
      <c r="J44526" s="33"/>
    </row>
    <row r="44527" spans="10:10" x14ac:dyDescent="0.3">
      <c r="J44527" s="33"/>
    </row>
    <row r="44528" spans="10:10" x14ac:dyDescent="0.3">
      <c r="J44528" s="33"/>
    </row>
    <row r="44529" spans="10:10" x14ac:dyDescent="0.3">
      <c r="J44529" s="33"/>
    </row>
    <row r="44530" spans="10:10" x14ac:dyDescent="0.3">
      <c r="J44530" s="33"/>
    </row>
    <row r="44531" spans="10:10" x14ac:dyDescent="0.3">
      <c r="J44531" s="33"/>
    </row>
    <row r="44532" spans="10:10" x14ac:dyDescent="0.3">
      <c r="J44532" s="33"/>
    </row>
    <row r="44533" spans="10:10" x14ac:dyDescent="0.3">
      <c r="J44533" s="33"/>
    </row>
    <row r="44534" spans="10:10" x14ac:dyDescent="0.3">
      <c r="J44534" s="33"/>
    </row>
    <row r="44535" spans="10:10" x14ac:dyDescent="0.3">
      <c r="J44535" s="33"/>
    </row>
    <row r="44536" spans="10:10" x14ac:dyDescent="0.3">
      <c r="J44536" s="33"/>
    </row>
    <row r="44537" spans="10:10" x14ac:dyDescent="0.3">
      <c r="J44537" s="33"/>
    </row>
    <row r="44538" spans="10:10" x14ac:dyDescent="0.3">
      <c r="J44538" s="33"/>
    </row>
    <row r="44539" spans="10:10" x14ac:dyDescent="0.3">
      <c r="J44539" s="33"/>
    </row>
    <row r="44540" spans="10:10" x14ac:dyDescent="0.3">
      <c r="J44540" s="33"/>
    </row>
    <row r="44541" spans="10:10" x14ac:dyDescent="0.3">
      <c r="J44541" s="33"/>
    </row>
    <row r="44542" spans="10:10" x14ac:dyDescent="0.3">
      <c r="J44542" s="33"/>
    </row>
    <row r="44543" spans="10:10" x14ac:dyDescent="0.3">
      <c r="J44543" s="33"/>
    </row>
    <row r="44544" spans="10:10" x14ac:dyDescent="0.3">
      <c r="J44544" s="33"/>
    </row>
    <row r="44545" spans="10:10" x14ac:dyDescent="0.3">
      <c r="J44545" s="33"/>
    </row>
    <row r="44546" spans="10:10" x14ac:dyDescent="0.3">
      <c r="J44546" s="33"/>
    </row>
    <row r="44547" spans="10:10" x14ac:dyDescent="0.3">
      <c r="J44547" s="33"/>
    </row>
    <row r="44548" spans="10:10" x14ac:dyDescent="0.3">
      <c r="J44548" s="33"/>
    </row>
    <row r="44549" spans="10:10" x14ac:dyDescent="0.3">
      <c r="J44549" s="33"/>
    </row>
    <row r="44550" spans="10:10" x14ac:dyDescent="0.3">
      <c r="J44550" s="33"/>
    </row>
    <row r="44551" spans="10:10" x14ac:dyDescent="0.3">
      <c r="J44551" s="33"/>
    </row>
    <row r="44552" spans="10:10" x14ac:dyDescent="0.3">
      <c r="J44552" s="33"/>
    </row>
    <row r="44553" spans="10:10" x14ac:dyDescent="0.3">
      <c r="J44553" s="33"/>
    </row>
    <row r="44554" spans="10:10" x14ac:dyDescent="0.3">
      <c r="J44554" s="33"/>
    </row>
    <row r="44555" spans="10:10" x14ac:dyDescent="0.3">
      <c r="J44555" s="33"/>
    </row>
    <row r="44556" spans="10:10" x14ac:dyDescent="0.3">
      <c r="J44556" s="33"/>
    </row>
    <row r="44557" spans="10:10" x14ac:dyDescent="0.3">
      <c r="J44557" s="33"/>
    </row>
    <row r="44558" spans="10:10" x14ac:dyDescent="0.3">
      <c r="J44558" s="33"/>
    </row>
    <row r="44559" spans="10:10" x14ac:dyDescent="0.3">
      <c r="J44559" s="33"/>
    </row>
    <row r="44560" spans="10:10" x14ac:dyDescent="0.3">
      <c r="J44560" s="33"/>
    </row>
    <row r="44561" spans="10:10" x14ac:dyDescent="0.3">
      <c r="J44561" s="33"/>
    </row>
    <row r="44562" spans="10:10" x14ac:dyDescent="0.3">
      <c r="J44562" s="33"/>
    </row>
    <row r="44563" spans="10:10" x14ac:dyDescent="0.3">
      <c r="J44563" s="33"/>
    </row>
    <row r="44564" spans="10:10" x14ac:dyDescent="0.3">
      <c r="J44564" s="33"/>
    </row>
    <row r="44565" spans="10:10" x14ac:dyDescent="0.3">
      <c r="J44565" s="33"/>
    </row>
    <row r="44566" spans="10:10" x14ac:dyDescent="0.3">
      <c r="J44566" s="33"/>
    </row>
    <row r="44567" spans="10:10" x14ac:dyDescent="0.3">
      <c r="J44567" s="33"/>
    </row>
    <row r="44568" spans="10:10" x14ac:dyDescent="0.3">
      <c r="J44568" s="33"/>
    </row>
    <row r="44569" spans="10:10" x14ac:dyDescent="0.3">
      <c r="J44569" s="33"/>
    </row>
    <row r="44570" spans="10:10" x14ac:dyDescent="0.3">
      <c r="J44570" s="33"/>
    </row>
    <row r="44571" spans="10:10" x14ac:dyDescent="0.3">
      <c r="J44571" s="33"/>
    </row>
    <row r="44572" spans="10:10" x14ac:dyDescent="0.3">
      <c r="J44572" s="33"/>
    </row>
    <row r="44573" spans="10:10" x14ac:dyDescent="0.3">
      <c r="J44573" s="33"/>
    </row>
    <row r="44574" spans="10:10" x14ac:dyDescent="0.3">
      <c r="J44574" s="33"/>
    </row>
    <row r="44575" spans="10:10" x14ac:dyDescent="0.3">
      <c r="J44575" s="33"/>
    </row>
    <row r="44576" spans="10:10" x14ac:dyDescent="0.3">
      <c r="J44576" s="33"/>
    </row>
    <row r="44577" spans="10:10" x14ac:dyDescent="0.3">
      <c r="J44577" s="33"/>
    </row>
    <row r="44578" spans="10:10" x14ac:dyDescent="0.3">
      <c r="J44578" s="33"/>
    </row>
    <row r="44579" spans="10:10" x14ac:dyDescent="0.3">
      <c r="J44579" s="33"/>
    </row>
    <row r="44580" spans="10:10" x14ac:dyDescent="0.3">
      <c r="J44580" s="33"/>
    </row>
    <row r="44581" spans="10:10" x14ac:dyDescent="0.3">
      <c r="J44581" s="33"/>
    </row>
    <row r="44582" spans="10:10" x14ac:dyDescent="0.3">
      <c r="J44582" s="33"/>
    </row>
    <row r="44583" spans="10:10" x14ac:dyDescent="0.3">
      <c r="J44583" s="33"/>
    </row>
    <row r="44584" spans="10:10" x14ac:dyDescent="0.3">
      <c r="J44584" s="33"/>
    </row>
    <row r="44585" spans="10:10" x14ac:dyDescent="0.3">
      <c r="J44585" s="33"/>
    </row>
    <row r="44586" spans="10:10" x14ac:dyDescent="0.3">
      <c r="J44586" s="33"/>
    </row>
    <row r="44587" spans="10:10" x14ac:dyDescent="0.3">
      <c r="J44587" s="33"/>
    </row>
    <row r="44588" spans="10:10" x14ac:dyDescent="0.3">
      <c r="J44588" s="33"/>
    </row>
    <row r="44589" spans="10:10" x14ac:dyDescent="0.3">
      <c r="J44589" s="33"/>
    </row>
    <row r="44590" spans="10:10" x14ac:dyDescent="0.3">
      <c r="J44590" s="33"/>
    </row>
    <row r="44591" spans="10:10" x14ac:dyDescent="0.3">
      <c r="J44591" s="33"/>
    </row>
    <row r="44592" spans="10:10" x14ac:dyDescent="0.3">
      <c r="J44592" s="33"/>
    </row>
    <row r="44593" spans="10:10" x14ac:dyDescent="0.3">
      <c r="J44593" s="33"/>
    </row>
    <row r="44594" spans="10:10" x14ac:dyDescent="0.3">
      <c r="J44594" s="33"/>
    </row>
    <row r="44595" spans="10:10" x14ac:dyDescent="0.3">
      <c r="J44595" s="33"/>
    </row>
    <row r="44596" spans="10:10" x14ac:dyDescent="0.3">
      <c r="J44596" s="33"/>
    </row>
    <row r="44597" spans="10:10" x14ac:dyDescent="0.3">
      <c r="J44597" s="33"/>
    </row>
    <row r="44598" spans="10:10" x14ac:dyDescent="0.3">
      <c r="J44598" s="33"/>
    </row>
    <row r="44599" spans="10:10" x14ac:dyDescent="0.3">
      <c r="J44599" s="33"/>
    </row>
    <row r="44600" spans="10:10" x14ac:dyDescent="0.3">
      <c r="J44600" s="33"/>
    </row>
    <row r="44601" spans="10:10" x14ac:dyDescent="0.3">
      <c r="J44601" s="33"/>
    </row>
    <row r="44602" spans="10:10" x14ac:dyDescent="0.3">
      <c r="J44602" s="33"/>
    </row>
    <row r="44603" spans="10:10" x14ac:dyDescent="0.3">
      <c r="J44603" s="33"/>
    </row>
    <row r="44604" spans="10:10" x14ac:dyDescent="0.3">
      <c r="J44604" s="33"/>
    </row>
    <row r="44605" spans="10:10" x14ac:dyDescent="0.3">
      <c r="J44605" s="33"/>
    </row>
    <row r="44606" spans="10:10" x14ac:dyDescent="0.3">
      <c r="J44606" s="33"/>
    </row>
    <row r="44607" spans="10:10" x14ac:dyDescent="0.3">
      <c r="J44607" s="33"/>
    </row>
    <row r="44608" spans="10:10" x14ac:dyDescent="0.3">
      <c r="J44608" s="33"/>
    </row>
    <row r="44609" spans="10:10" x14ac:dyDescent="0.3">
      <c r="J44609" s="33"/>
    </row>
    <row r="44610" spans="10:10" x14ac:dyDescent="0.3">
      <c r="J44610" s="33"/>
    </row>
    <row r="44611" spans="10:10" x14ac:dyDescent="0.3">
      <c r="J44611" s="33"/>
    </row>
    <row r="44612" spans="10:10" x14ac:dyDescent="0.3">
      <c r="J44612" s="33"/>
    </row>
    <row r="44613" spans="10:10" x14ac:dyDescent="0.3">
      <c r="J44613" s="33"/>
    </row>
    <row r="44614" spans="10:10" x14ac:dyDescent="0.3">
      <c r="J44614" s="33"/>
    </row>
    <row r="44615" spans="10:10" x14ac:dyDescent="0.3">
      <c r="J44615" s="33"/>
    </row>
    <row r="44616" spans="10:10" x14ac:dyDescent="0.3">
      <c r="J44616" s="33"/>
    </row>
    <row r="44617" spans="10:10" x14ac:dyDescent="0.3">
      <c r="J44617" s="33"/>
    </row>
    <row r="44618" spans="10:10" x14ac:dyDescent="0.3">
      <c r="J44618" s="33"/>
    </row>
    <row r="44619" spans="10:10" x14ac:dyDescent="0.3">
      <c r="J44619" s="33"/>
    </row>
    <row r="44620" spans="10:10" x14ac:dyDescent="0.3">
      <c r="J44620" s="33"/>
    </row>
    <row r="44621" spans="10:10" x14ac:dyDescent="0.3">
      <c r="J44621" s="33"/>
    </row>
    <row r="44622" spans="10:10" x14ac:dyDescent="0.3">
      <c r="J44622" s="33"/>
    </row>
    <row r="44623" spans="10:10" x14ac:dyDescent="0.3">
      <c r="J44623" s="33"/>
    </row>
    <row r="44624" spans="10:10" x14ac:dyDescent="0.3">
      <c r="J44624" s="33"/>
    </row>
    <row r="44625" spans="10:10" x14ac:dyDescent="0.3">
      <c r="J44625" s="33"/>
    </row>
    <row r="44626" spans="10:10" x14ac:dyDescent="0.3">
      <c r="J44626" s="33"/>
    </row>
    <row r="44627" spans="10:10" x14ac:dyDescent="0.3">
      <c r="J44627" s="33"/>
    </row>
    <row r="44628" spans="10:10" x14ac:dyDescent="0.3">
      <c r="J44628" s="33"/>
    </row>
    <row r="44629" spans="10:10" x14ac:dyDescent="0.3">
      <c r="J44629" s="33"/>
    </row>
    <row r="44630" spans="10:10" x14ac:dyDescent="0.3">
      <c r="J44630" s="33"/>
    </row>
    <row r="44631" spans="10:10" x14ac:dyDescent="0.3">
      <c r="J44631" s="33"/>
    </row>
    <row r="44632" spans="10:10" x14ac:dyDescent="0.3">
      <c r="J44632" s="33"/>
    </row>
    <row r="44633" spans="10:10" x14ac:dyDescent="0.3">
      <c r="J44633" s="33"/>
    </row>
    <row r="44634" spans="10:10" x14ac:dyDescent="0.3">
      <c r="J44634" s="33"/>
    </row>
    <row r="44635" spans="10:10" x14ac:dyDescent="0.3">
      <c r="J44635" s="33"/>
    </row>
    <row r="44636" spans="10:10" x14ac:dyDescent="0.3">
      <c r="J44636" s="33"/>
    </row>
    <row r="44637" spans="10:10" x14ac:dyDescent="0.3">
      <c r="J44637" s="33"/>
    </row>
    <row r="44638" spans="10:10" x14ac:dyDescent="0.3">
      <c r="J44638" s="33"/>
    </row>
    <row r="44639" spans="10:10" x14ac:dyDescent="0.3">
      <c r="J44639" s="33"/>
    </row>
    <row r="44640" spans="10:10" x14ac:dyDescent="0.3">
      <c r="J44640" s="33"/>
    </row>
    <row r="44641" spans="10:10" x14ac:dyDescent="0.3">
      <c r="J44641" s="33"/>
    </row>
    <row r="44642" spans="10:10" x14ac:dyDescent="0.3">
      <c r="J44642" s="33"/>
    </row>
    <row r="44643" spans="10:10" x14ac:dyDescent="0.3">
      <c r="J44643" s="33"/>
    </row>
    <row r="44644" spans="10:10" x14ac:dyDescent="0.3">
      <c r="J44644" s="33"/>
    </row>
    <row r="44645" spans="10:10" x14ac:dyDescent="0.3">
      <c r="J44645" s="33"/>
    </row>
    <row r="44646" spans="10:10" x14ac:dyDescent="0.3">
      <c r="J44646" s="33"/>
    </row>
    <row r="44647" spans="10:10" x14ac:dyDescent="0.3">
      <c r="J44647" s="33"/>
    </row>
    <row r="44648" spans="10:10" x14ac:dyDescent="0.3">
      <c r="J44648" s="33"/>
    </row>
    <row r="44649" spans="10:10" x14ac:dyDescent="0.3">
      <c r="J44649" s="33"/>
    </row>
    <row r="44650" spans="10:10" x14ac:dyDescent="0.3">
      <c r="J44650" s="33"/>
    </row>
    <row r="44651" spans="10:10" x14ac:dyDescent="0.3">
      <c r="J44651" s="33"/>
    </row>
    <row r="44652" spans="10:10" x14ac:dyDescent="0.3">
      <c r="J44652" s="33"/>
    </row>
    <row r="44653" spans="10:10" x14ac:dyDescent="0.3">
      <c r="J44653" s="33"/>
    </row>
    <row r="44654" spans="10:10" x14ac:dyDescent="0.3">
      <c r="J44654" s="33"/>
    </row>
    <row r="44655" spans="10:10" x14ac:dyDescent="0.3">
      <c r="J44655" s="33"/>
    </row>
    <row r="44656" spans="10:10" x14ac:dyDescent="0.3">
      <c r="J44656" s="33"/>
    </row>
    <row r="44657" spans="10:10" x14ac:dyDescent="0.3">
      <c r="J44657" s="33"/>
    </row>
    <row r="44658" spans="10:10" x14ac:dyDescent="0.3">
      <c r="J44658" s="33"/>
    </row>
    <row r="44659" spans="10:10" x14ac:dyDescent="0.3">
      <c r="J44659" s="33"/>
    </row>
    <row r="44660" spans="10:10" x14ac:dyDescent="0.3">
      <c r="J44660" s="33"/>
    </row>
    <row r="44661" spans="10:10" x14ac:dyDescent="0.3">
      <c r="J44661" s="33"/>
    </row>
    <row r="44662" spans="10:10" x14ac:dyDescent="0.3">
      <c r="J44662" s="33"/>
    </row>
    <row r="44663" spans="10:10" x14ac:dyDescent="0.3">
      <c r="J44663" s="33"/>
    </row>
    <row r="44664" spans="10:10" x14ac:dyDescent="0.3">
      <c r="J44664" s="33"/>
    </row>
    <row r="44665" spans="10:10" x14ac:dyDescent="0.3">
      <c r="J44665" s="33"/>
    </row>
    <row r="44666" spans="10:10" x14ac:dyDescent="0.3">
      <c r="J44666" s="33"/>
    </row>
    <row r="44667" spans="10:10" x14ac:dyDescent="0.3">
      <c r="J44667" s="33"/>
    </row>
    <row r="44668" spans="10:10" x14ac:dyDescent="0.3">
      <c r="J44668" s="33"/>
    </row>
    <row r="44669" spans="10:10" x14ac:dyDescent="0.3">
      <c r="J44669" s="33"/>
    </row>
    <row r="44670" spans="10:10" x14ac:dyDescent="0.3">
      <c r="J44670" s="33"/>
    </row>
    <row r="44671" spans="10:10" x14ac:dyDescent="0.3">
      <c r="J44671" s="33"/>
    </row>
    <row r="44672" spans="10:10" x14ac:dyDescent="0.3">
      <c r="J44672" s="33"/>
    </row>
    <row r="44673" spans="10:10" x14ac:dyDescent="0.3">
      <c r="J44673" s="33"/>
    </row>
    <row r="44674" spans="10:10" x14ac:dyDescent="0.3">
      <c r="J44674" s="33"/>
    </row>
    <row r="44675" spans="10:10" x14ac:dyDescent="0.3">
      <c r="J44675" s="33"/>
    </row>
    <row r="44676" spans="10:10" x14ac:dyDescent="0.3">
      <c r="J44676" s="33"/>
    </row>
    <row r="44677" spans="10:10" x14ac:dyDescent="0.3">
      <c r="J44677" s="33"/>
    </row>
    <row r="44678" spans="10:10" x14ac:dyDescent="0.3">
      <c r="J44678" s="33"/>
    </row>
    <row r="44679" spans="10:10" x14ac:dyDescent="0.3">
      <c r="J44679" s="33"/>
    </row>
    <row r="44680" spans="10:10" x14ac:dyDescent="0.3">
      <c r="J44680" s="33"/>
    </row>
    <row r="44681" spans="10:10" x14ac:dyDescent="0.3">
      <c r="J44681" s="33"/>
    </row>
    <row r="44682" spans="10:10" x14ac:dyDescent="0.3">
      <c r="J44682" s="33"/>
    </row>
    <row r="44683" spans="10:10" x14ac:dyDescent="0.3">
      <c r="J44683" s="33"/>
    </row>
    <row r="44684" spans="10:10" x14ac:dyDescent="0.3">
      <c r="J44684" s="33"/>
    </row>
    <row r="44685" spans="10:10" x14ac:dyDescent="0.3">
      <c r="J44685" s="33"/>
    </row>
    <row r="44686" spans="10:10" x14ac:dyDescent="0.3">
      <c r="J44686" s="33"/>
    </row>
    <row r="44687" spans="10:10" x14ac:dyDescent="0.3">
      <c r="J44687" s="33"/>
    </row>
    <row r="44688" spans="10:10" x14ac:dyDescent="0.3">
      <c r="J44688" s="33"/>
    </row>
    <row r="44689" spans="10:10" x14ac:dyDescent="0.3">
      <c r="J44689" s="33"/>
    </row>
    <row r="44690" spans="10:10" x14ac:dyDescent="0.3">
      <c r="J44690" s="33"/>
    </row>
    <row r="44691" spans="10:10" x14ac:dyDescent="0.3">
      <c r="J44691" s="33"/>
    </row>
    <row r="44692" spans="10:10" x14ac:dyDescent="0.3">
      <c r="J44692" s="33"/>
    </row>
    <row r="44693" spans="10:10" x14ac:dyDescent="0.3">
      <c r="J44693" s="33"/>
    </row>
    <row r="44694" spans="10:10" x14ac:dyDescent="0.3">
      <c r="J44694" s="33"/>
    </row>
    <row r="44695" spans="10:10" x14ac:dyDescent="0.3">
      <c r="J44695" s="33"/>
    </row>
    <row r="44696" spans="10:10" x14ac:dyDescent="0.3">
      <c r="J44696" s="33"/>
    </row>
    <row r="44697" spans="10:10" x14ac:dyDescent="0.3">
      <c r="J44697" s="33"/>
    </row>
    <row r="44698" spans="10:10" x14ac:dyDescent="0.3">
      <c r="J44698" s="33"/>
    </row>
    <row r="44699" spans="10:10" x14ac:dyDescent="0.3">
      <c r="J44699" s="33"/>
    </row>
    <row r="44700" spans="10:10" x14ac:dyDescent="0.3">
      <c r="J44700" s="33"/>
    </row>
    <row r="44701" spans="10:10" x14ac:dyDescent="0.3">
      <c r="J44701" s="33"/>
    </row>
    <row r="44702" spans="10:10" x14ac:dyDescent="0.3">
      <c r="J44702" s="33"/>
    </row>
    <row r="44703" spans="10:10" x14ac:dyDescent="0.3">
      <c r="J44703" s="33"/>
    </row>
    <row r="44704" spans="10:10" x14ac:dyDescent="0.3">
      <c r="J44704" s="33"/>
    </row>
    <row r="44705" spans="10:10" x14ac:dyDescent="0.3">
      <c r="J44705" s="33"/>
    </row>
    <row r="44706" spans="10:10" x14ac:dyDescent="0.3">
      <c r="J44706" s="33"/>
    </row>
    <row r="44707" spans="10:10" x14ac:dyDescent="0.3">
      <c r="J44707" s="33"/>
    </row>
    <row r="44708" spans="10:10" x14ac:dyDescent="0.3">
      <c r="J44708" s="33"/>
    </row>
    <row r="44709" spans="10:10" x14ac:dyDescent="0.3">
      <c r="J44709" s="33"/>
    </row>
    <row r="44710" spans="10:10" x14ac:dyDescent="0.3">
      <c r="J44710" s="33"/>
    </row>
    <row r="44711" spans="10:10" x14ac:dyDescent="0.3">
      <c r="J44711" s="33"/>
    </row>
    <row r="44712" spans="10:10" x14ac:dyDescent="0.3">
      <c r="J44712" s="33"/>
    </row>
    <row r="44713" spans="10:10" x14ac:dyDescent="0.3">
      <c r="J44713" s="33"/>
    </row>
    <row r="44714" spans="10:10" x14ac:dyDescent="0.3">
      <c r="J44714" s="33"/>
    </row>
    <row r="44715" spans="10:10" x14ac:dyDescent="0.3">
      <c r="J44715" s="33"/>
    </row>
    <row r="44716" spans="10:10" x14ac:dyDescent="0.3">
      <c r="J44716" s="33"/>
    </row>
    <row r="44717" spans="10:10" x14ac:dyDescent="0.3">
      <c r="J44717" s="33"/>
    </row>
    <row r="44718" spans="10:10" x14ac:dyDescent="0.3">
      <c r="J44718" s="33"/>
    </row>
    <row r="44719" spans="10:10" x14ac:dyDescent="0.3">
      <c r="J44719" s="33"/>
    </row>
    <row r="44720" spans="10:10" x14ac:dyDescent="0.3">
      <c r="J44720" s="33"/>
    </row>
    <row r="44721" spans="10:10" x14ac:dyDescent="0.3">
      <c r="J44721" s="33"/>
    </row>
    <row r="44722" spans="10:10" x14ac:dyDescent="0.3">
      <c r="J44722" s="33"/>
    </row>
    <row r="44723" spans="10:10" x14ac:dyDescent="0.3">
      <c r="J44723" s="33"/>
    </row>
    <row r="44724" spans="10:10" x14ac:dyDescent="0.3">
      <c r="J44724" s="33"/>
    </row>
    <row r="44725" spans="10:10" x14ac:dyDescent="0.3">
      <c r="J44725" s="33"/>
    </row>
    <row r="44726" spans="10:10" x14ac:dyDescent="0.3">
      <c r="J44726" s="33"/>
    </row>
    <row r="44727" spans="10:10" x14ac:dyDescent="0.3">
      <c r="J44727" s="33"/>
    </row>
    <row r="44728" spans="10:10" x14ac:dyDescent="0.3">
      <c r="J44728" s="33"/>
    </row>
    <row r="44729" spans="10:10" x14ac:dyDescent="0.3">
      <c r="J44729" s="33"/>
    </row>
    <row r="44730" spans="10:10" x14ac:dyDescent="0.3">
      <c r="J44730" s="33"/>
    </row>
    <row r="44731" spans="10:10" x14ac:dyDescent="0.3">
      <c r="J44731" s="33"/>
    </row>
    <row r="44732" spans="10:10" x14ac:dyDescent="0.3">
      <c r="J44732" s="33"/>
    </row>
    <row r="44733" spans="10:10" x14ac:dyDescent="0.3">
      <c r="J44733" s="33"/>
    </row>
    <row r="44734" spans="10:10" x14ac:dyDescent="0.3">
      <c r="J44734" s="33"/>
    </row>
    <row r="44735" spans="10:10" x14ac:dyDescent="0.3">
      <c r="J44735" s="33"/>
    </row>
    <row r="44736" spans="10:10" x14ac:dyDescent="0.3">
      <c r="J44736" s="33"/>
    </row>
    <row r="44737" spans="10:10" x14ac:dyDescent="0.3">
      <c r="J44737" s="33"/>
    </row>
    <row r="44738" spans="10:10" x14ac:dyDescent="0.3">
      <c r="J44738" s="33"/>
    </row>
    <row r="44739" spans="10:10" x14ac:dyDescent="0.3">
      <c r="J44739" s="33"/>
    </row>
    <row r="44740" spans="10:10" x14ac:dyDescent="0.3">
      <c r="J44740" s="33"/>
    </row>
    <row r="44741" spans="10:10" x14ac:dyDescent="0.3">
      <c r="J44741" s="33"/>
    </row>
    <row r="44742" spans="10:10" x14ac:dyDescent="0.3">
      <c r="J44742" s="33"/>
    </row>
    <row r="44743" spans="10:10" x14ac:dyDescent="0.3">
      <c r="J44743" s="33"/>
    </row>
    <row r="44744" spans="10:10" x14ac:dyDescent="0.3">
      <c r="J44744" s="33"/>
    </row>
    <row r="44745" spans="10:10" x14ac:dyDescent="0.3">
      <c r="J44745" s="33"/>
    </row>
    <row r="44746" spans="10:10" x14ac:dyDescent="0.3">
      <c r="J44746" s="33"/>
    </row>
    <row r="44747" spans="10:10" x14ac:dyDescent="0.3">
      <c r="J44747" s="33"/>
    </row>
    <row r="44748" spans="10:10" x14ac:dyDescent="0.3">
      <c r="J44748" s="33"/>
    </row>
    <row r="44749" spans="10:10" x14ac:dyDescent="0.3">
      <c r="J44749" s="33"/>
    </row>
    <row r="44750" spans="10:10" x14ac:dyDescent="0.3">
      <c r="J44750" s="33"/>
    </row>
    <row r="44751" spans="10:10" x14ac:dyDescent="0.3">
      <c r="J44751" s="33"/>
    </row>
    <row r="44752" spans="10:10" x14ac:dyDescent="0.3">
      <c r="J44752" s="33"/>
    </row>
    <row r="44753" spans="10:10" x14ac:dyDescent="0.3">
      <c r="J44753" s="33"/>
    </row>
    <row r="44754" spans="10:10" x14ac:dyDescent="0.3">
      <c r="J44754" s="33"/>
    </row>
    <row r="44755" spans="10:10" x14ac:dyDescent="0.3">
      <c r="J44755" s="33"/>
    </row>
    <row r="44756" spans="10:10" x14ac:dyDescent="0.3">
      <c r="J44756" s="33"/>
    </row>
    <row r="44757" spans="10:10" x14ac:dyDescent="0.3">
      <c r="J44757" s="33"/>
    </row>
    <row r="44758" spans="10:10" x14ac:dyDescent="0.3">
      <c r="J44758" s="33"/>
    </row>
    <row r="44759" spans="10:10" x14ac:dyDescent="0.3">
      <c r="J44759" s="33"/>
    </row>
    <row r="44760" spans="10:10" x14ac:dyDescent="0.3">
      <c r="J44760" s="33"/>
    </row>
    <row r="44761" spans="10:10" x14ac:dyDescent="0.3">
      <c r="J44761" s="33"/>
    </row>
    <row r="44762" spans="10:10" x14ac:dyDescent="0.3">
      <c r="J44762" s="33"/>
    </row>
    <row r="44763" spans="10:10" x14ac:dyDescent="0.3">
      <c r="J44763" s="33"/>
    </row>
    <row r="44764" spans="10:10" x14ac:dyDescent="0.3">
      <c r="J44764" s="33"/>
    </row>
    <row r="44765" spans="10:10" x14ac:dyDescent="0.3">
      <c r="J44765" s="33"/>
    </row>
    <row r="44766" spans="10:10" x14ac:dyDescent="0.3">
      <c r="J44766" s="33"/>
    </row>
    <row r="44767" spans="10:10" x14ac:dyDescent="0.3">
      <c r="J44767" s="33"/>
    </row>
    <row r="44768" spans="10:10" x14ac:dyDescent="0.3">
      <c r="J44768" s="33"/>
    </row>
    <row r="44769" spans="10:10" x14ac:dyDescent="0.3">
      <c r="J44769" s="33"/>
    </row>
    <row r="44770" spans="10:10" x14ac:dyDescent="0.3">
      <c r="J44770" s="33"/>
    </row>
    <row r="44771" spans="10:10" x14ac:dyDescent="0.3">
      <c r="J44771" s="33"/>
    </row>
    <row r="44772" spans="10:10" x14ac:dyDescent="0.3">
      <c r="J44772" s="33"/>
    </row>
    <row r="44773" spans="10:10" x14ac:dyDescent="0.3">
      <c r="J44773" s="33"/>
    </row>
    <row r="44774" spans="10:10" x14ac:dyDescent="0.3">
      <c r="J44774" s="33"/>
    </row>
    <row r="44775" spans="10:10" x14ac:dyDescent="0.3">
      <c r="J44775" s="33"/>
    </row>
    <row r="44776" spans="10:10" x14ac:dyDescent="0.3">
      <c r="J44776" s="33"/>
    </row>
    <row r="44777" spans="10:10" x14ac:dyDescent="0.3">
      <c r="J44777" s="33"/>
    </row>
    <row r="44778" spans="10:10" x14ac:dyDescent="0.3">
      <c r="J44778" s="33"/>
    </row>
    <row r="44779" spans="10:10" x14ac:dyDescent="0.3">
      <c r="J44779" s="33"/>
    </row>
    <row r="44780" spans="10:10" x14ac:dyDescent="0.3">
      <c r="J44780" s="33"/>
    </row>
    <row r="44781" spans="10:10" x14ac:dyDescent="0.3">
      <c r="J44781" s="33"/>
    </row>
    <row r="44782" spans="10:10" x14ac:dyDescent="0.3">
      <c r="J44782" s="33"/>
    </row>
    <row r="44783" spans="10:10" x14ac:dyDescent="0.3">
      <c r="J44783" s="33"/>
    </row>
    <row r="44784" spans="10:10" x14ac:dyDescent="0.3">
      <c r="J44784" s="33"/>
    </row>
    <row r="44785" spans="10:10" x14ac:dyDescent="0.3">
      <c r="J44785" s="33"/>
    </row>
    <row r="44786" spans="10:10" x14ac:dyDescent="0.3">
      <c r="J44786" s="33"/>
    </row>
    <row r="44787" spans="10:10" x14ac:dyDescent="0.3">
      <c r="J44787" s="33"/>
    </row>
    <row r="44788" spans="10:10" x14ac:dyDescent="0.3">
      <c r="J44788" s="33"/>
    </row>
    <row r="44789" spans="10:10" x14ac:dyDescent="0.3">
      <c r="J44789" s="33"/>
    </row>
    <row r="44790" spans="10:10" x14ac:dyDescent="0.3">
      <c r="J44790" s="33"/>
    </row>
    <row r="44791" spans="10:10" x14ac:dyDescent="0.3">
      <c r="J44791" s="33"/>
    </row>
    <row r="44792" spans="10:10" x14ac:dyDescent="0.3">
      <c r="J44792" s="33"/>
    </row>
    <row r="44793" spans="10:10" x14ac:dyDescent="0.3">
      <c r="J44793" s="33"/>
    </row>
    <row r="44794" spans="10:10" x14ac:dyDescent="0.3">
      <c r="J44794" s="33"/>
    </row>
    <row r="44795" spans="10:10" x14ac:dyDescent="0.3">
      <c r="J44795" s="33"/>
    </row>
    <row r="44796" spans="10:10" x14ac:dyDescent="0.3">
      <c r="J44796" s="33"/>
    </row>
    <row r="44797" spans="10:10" x14ac:dyDescent="0.3">
      <c r="J44797" s="33"/>
    </row>
    <row r="44798" spans="10:10" x14ac:dyDescent="0.3">
      <c r="J44798" s="33"/>
    </row>
    <row r="44799" spans="10:10" x14ac:dyDescent="0.3">
      <c r="J44799" s="33"/>
    </row>
    <row r="44800" spans="10:10" x14ac:dyDescent="0.3">
      <c r="J44800" s="33"/>
    </row>
    <row r="44801" spans="10:10" x14ac:dyDescent="0.3">
      <c r="J44801" s="33"/>
    </row>
    <row r="44802" spans="10:10" x14ac:dyDescent="0.3">
      <c r="J44802" s="33"/>
    </row>
    <row r="44803" spans="10:10" x14ac:dyDescent="0.3">
      <c r="J44803" s="33"/>
    </row>
    <row r="44804" spans="10:10" x14ac:dyDescent="0.3">
      <c r="J44804" s="33"/>
    </row>
    <row r="44805" spans="10:10" x14ac:dyDescent="0.3">
      <c r="J44805" s="33"/>
    </row>
    <row r="44806" spans="10:10" x14ac:dyDescent="0.3">
      <c r="J44806" s="33"/>
    </row>
    <row r="44807" spans="10:10" x14ac:dyDescent="0.3">
      <c r="J44807" s="33"/>
    </row>
    <row r="44808" spans="10:10" x14ac:dyDescent="0.3">
      <c r="J44808" s="33"/>
    </row>
    <row r="44809" spans="10:10" x14ac:dyDescent="0.3">
      <c r="J44809" s="33"/>
    </row>
    <row r="44810" spans="10:10" x14ac:dyDescent="0.3">
      <c r="J44810" s="33"/>
    </row>
    <row r="44811" spans="10:10" x14ac:dyDescent="0.3">
      <c r="J44811" s="33"/>
    </row>
    <row r="44812" spans="10:10" x14ac:dyDescent="0.3">
      <c r="J44812" s="33"/>
    </row>
    <row r="44813" spans="10:10" x14ac:dyDescent="0.3">
      <c r="J44813" s="33"/>
    </row>
    <row r="44814" spans="10:10" x14ac:dyDescent="0.3">
      <c r="J44814" s="33"/>
    </row>
    <row r="44815" spans="10:10" x14ac:dyDescent="0.3">
      <c r="J44815" s="33"/>
    </row>
    <row r="44816" spans="10:10" x14ac:dyDescent="0.3">
      <c r="J44816" s="33"/>
    </row>
    <row r="44817" spans="10:10" x14ac:dyDescent="0.3">
      <c r="J44817" s="33"/>
    </row>
    <row r="44818" spans="10:10" x14ac:dyDescent="0.3">
      <c r="J44818" s="33"/>
    </row>
    <row r="44819" spans="10:10" x14ac:dyDescent="0.3">
      <c r="J44819" s="33"/>
    </row>
    <row r="44820" spans="10:10" x14ac:dyDescent="0.3">
      <c r="J44820" s="33"/>
    </row>
    <row r="44821" spans="10:10" x14ac:dyDescent="0.3">
      <c r="J44821" s="33"/>
    </row>
    <row r="44822" spans="10:10" x14ac:dyDescent="0.3">
      <c r="J44822" s="33"/>
    </row>
    <row r="44823" spans="10:10" x14ac:dyDescent="0.3">
      <c r="J44823" s="33"/>
    </row>
    <row r="44824" spans="10:10" x14ac:dyDescent="0.3">
      <c r="J44824" s="33"/>
    </row>
    <row r="44825" spans="10:10" x14ac:dyDescent="0.3">
      <c r="J44825" s="33"/>
    </row>
    <row r="44826" spans="10:10" x14ac:dyDescent="0.3">
      <c r="J44826" s="33"/>
    </row>
    <row r="44827" spans="10:10" x14ac:dyDescent="0.3">
      <c r="J44827" s="33"/>
    </row>
    <row r="44828" spans="10:10" x14ac:dyDescent="0.3">
      <c r="J44828" s="33"/>
    </row>
    <row r="44829" spans="10:10" x14ac:dyDescent="0.3">
      <c r="J44829" s="33"/>
    </row>
    <row r="44830" spans="10:10" x14ac:dyDescent="0.3">
      <c r="J44830" s="33"/>
    </row>
    <row r="44831" spans="10:10" x14ac:dyDescent="0.3">
      <c r="J44831" s="33"/>
    </row>
    <row r="44832" spans="10:10" x14ac:dyDescent="0.3">
      <c r="J44832" s="33"/>
    </row>
    <row r="44833" spans="10:10" x14ac:dyDescent="0.3">
      <c r="J44833" s="33"/>
    </row>
    <row r="44834" spans="10:10" x14ac:dyDescent="0.3">
      <c r="J44834" s="33"/>
    </row>
    <row r="44835" spans="10:10" x14ac:dyDescent="0.3">
      <c r="J44835" s="33"/>
    </row>
    <row r="44836" spans="10:10" x14ac:dyDescent="0.3">
      <c r="J44836" s="33"/>
    </row>
    <row r="44837" spans="10:10" x14ac:dyDescent="0.3">
      <c r="J44837" s="33"/>
    </row>
    <row r="44838" spans="10:10" x14ac:dyDescent="0.3">
      <c r="J44838" s="33"/>
    </row>
    <row r="44839" spans="10:10" x14ac:dyDescent="0.3">
      <c r="J44839" s="33"/>
    </row>
    <row r="44840" spans="10:10" x14ac:dyDescent="0.3">
      <c r="J44840" s="33"/>
    </row>
    <row r="44841" spans="10:10" x14ac:dyDescent="0.3">
      <c r="J44841" s="33"/>
    </row>
    <row r="44842" spans="10:10" x14ac:dyDescent="0.3">
      <c r="J44842" s="33"/>
    </row>
    <row r="44843" spans="10:10" x14ac:dyDescent="0.3">
      <c r="J44843" s="33"/>
    </row>
    <row r="44844" spans="10:10" x14ac:dyDescent="0.3">
      <c r="J44844" s="33"/>
    </row>
    <row r="44845" spans="10:10" x14ac:dyDescent="0.3">
      <c r="J44845" s="33"/>
    </row>
    <row r="44846" spans="10:10" x14ac:dyDescent="0.3">
      <c r="J44846" s="33"/>
    </row>
    <row r="44847" spans="10:10" x14ac:dyDescent="0.3">
      <c r="J44847" s="33"/>
    </row>
    <row r="44848" spans="10:10" x14ac:dyDescent="0.3">
      <c r="J44848" s="33"/>
    </row>
    <row r="44849" spans="10:10" x14ac:dyDescent="0.3">
      <c r="J44849" s="33"/>
    </row>
    <row r="44850" spans="10:10" x14ac:dyDescent="0.3">
      <c r="J44850" s="33"/>
    </row>
    <row r="44851" spans="10:10" x14ac:dyDescent="0.3">
      <c r="J44851" s="33"/>
    </row>
    <row r="44852" spans="10:10" x14ac:dyDescent="0.3">
      <c r="J44852" s="33"/>
    </row>
    <row r="44853" spans="10:10" x14ac:dyDescent="0.3">
      <c r="J44853" s="33"/>
    </row>
    <row r="44854" spans="10:10" x14ac:dyDescent="0.3">
      <c r="J44854" s="33"/>
    </row>
    <row r="44855" spans="10:10" x14ac:dyDescent="0.3">
      <c r="J44855" s="33"/>
    </row>
    <row r="44856" spans="10:10" x14ac:dyDescent="0.3">
      <c r="J44856" s="33"/>
    </row>
    <row r="44857" spans="10:10" x14ac:dyDescent="0.3">
      <c r="J44857" s="33"/>
    </row>
    <row r="44858" spans="10:10" x14ac:dyDescent="0.3">
      <c r="J44858" s="33"/>
    </row>
    <row r="44859" spans="10:10" x14ac:dyDescent="0.3">
      <c r="J44859" s="33"/>
    </row>
    <row r="44860" spans="10:10" x14ac:dyDescent="0.3">
      <c r="J44860" s="33"/>
    </row>
    <row r="44861" spans="10:10" x14ac:dyDescent="0.3">
      <c r="J44861" s="33"/>
    </row>
    <row r="44862" spans="10:10" x14ac:dyDescent="0.3">
      <c r="J44862" s="33"/>
    </row>
    <row r="44863" spans="10:10" x14ac:dyDescent="0.3">
      <c r="J44863" s="33"/>
    </row>
    <row r="44864" spans="10:10" x14ac:dyDescent="0.3">
      <c r="J44864" s="33"/>
    </row>
    <row r="44865" spans="10:10" x14ac:dyDescent="0.3">
      <c r="J44865" s="33"/>
    </row>
    <row r="44866" spans="10:10" x14ac:dyDescent="0.3">
      <c r="J44866" s="33"/>
    </row>
    <row r="44867" spans="10:10" x14ac:dyDescent="0.3">
      <c r="J44867" s="33"/>
    </row>
    <row r="44868" spans="10:10" x14ac:dyDescent="0.3">
      <c r="J44868" s="33"/>
    </row>
    <row r="44869" spans="10:10" x14ac:dyDescent="0.3">
      <c r="J44869" s="33"/>
    </row>
    <row r="44870" spans="10:10" x14ac:dyDescent="0.3">
      <c r="J44870" s="33"/>
    </row>
    <row r="44871" spans="10:10" x14ac:dyDescent="0.3">
      <c r="J44871" s="33"/>
    </row>
    <row r="44872" spans="10:10" x14ac:dyDescent="0.3">
      <c r="J44872" s="33"/>
    </row>
    <row r="44873" spans="10:10" x14ac:dyDescent="0.3">
      <c r="J44873" s="33"/>
    </row>
    <row r="44874" spans="10:10" x14ac:dyDescent="0.3">
      <c r="J44874" s="33"/>
    </row>
    <row r="44875" spans="10:10" x14ac:dyDescent="0.3">
      <c r="J44875" s="33"/>
    </row>
    <row r="44876" spans="10:10" x14ac:dyDescent="0.3">
      <c r="J44876" s="33"/>
    </row>
    <row r="44877" spans="10:10" x14ac:dyDescent="0.3">
      <c r="J44877" s="33"/>
    </row>
    <row r="44878" spans="10:10" x14ac:dyDescent="0.3">
      <c r="J44878" s="33"/>
    </row>
    <row r="44879" spans="10:10" x14ac:dyDescent="0.3">
      <c r="J44879" s="33"/>
    </row>
    <row r="44880" spans="10:10" x14ac:dyDescent="0.3">
      <c r="J44880" s="33"/>
    </row>
    <row r="44881" spans="10:10" x14ac:dyDescent="0.3">
      <c r="J44881" s="33"/>
    </row>
    <row r="44882" spans="10:10" x14ac:dyDescent="0.3">
      <c r="J44882" s="33"/>
    </row>
    <row r="44883" spans="10:10" x14ac:dyDescent="0.3">
      <c r="J44883" s="33"/>
    </row>
    <row r="44884" spans="10:10" x14ac:dyDescent="0.3">
      <c r="J44884" s="33"/>
    </row>
    <row r="44885" spans="10:10" x14ac:dyDescent="0.3">
      <c r="J44885" s="33"/>
    </row>
    <row r="44886" spans="10:10" x14ac:dyDescent="0.3">
      <c r="J44886" s="33"/>
    </row>
    <row r="44887" spans="10:10" x14ac:dyDescent="0.3">
      <c r="J44887" s="33"/>
    </row>
    <row r="44888" spans="10:10" x14ac:dyDescent="0.3">
      <c r="J44888" s="33"/>
    </row>
    <row r="44889" spans="10:10" x14ac:dyDescent="0.3">
      <c r="J44889" s="33"/>
    </row>
    <row r="44890" spans="10:10" x14ac:dyDescent="0.3">
      <c r="J44890" s="33"/>
    </row>
    <row r="44891" spans="10:10" x14ac:dyDescent="0.3">
      <c r="J44891" s="33"/>
    </row>
    <row r="44892" spans="10:10" x14ac:dyDescent="0.3">
      <c r="J44892" s="33"/>
    </row>
    <row r="44893" spans="10:10" x14ac:dyDescent="0.3">
      <c r="J44893" s="33"/>
    </row>
    <row r="44894" spans="10:10" x14ac:dyDescent="0.3">
      <c r="J44894" s="33"/>
    </row>
    <row r="44895" spans="10:10" x14ac:dyDescent="0.3">
      <c r="J44895" s="33"/>
    </row>
    <row r="44896" spans="10:10" x14ac:dyDescent="0.3">
      <c r="J44896" s="33"/>
    </row>
    <row r="44897" spans="10:10" x14ac:dyDescent="0.3">
      <c r="J44897" s="33"/>
    </row>
    <row r="44898" spans="10:10" x14ac:dyDescent="0.3">
      <c r="J44898" s="33"/>
    </row>
    <row r="44899" spans="10:10" x14ac:dyDescent="0.3">
      <c r="J44899" s="33"/>
    </row>
    <row r="44900" spans="10:10" x14ac:dyDescent="0.3">
      <c r="J44900" s="33"/>
    </row>
    <row r="44901" spans="10:10" x14ac:dyDescent="0.3">
      <c r="J44901" s="33"/>
    </row>
    <row r="44902" spans="10:10" x14ac:dyDescent="0.3">
      <c r="J44902" s="33"/>
    </row>
    <row r="44903" spans="10:10" x14ac:dyDescent="0.3">
      <c r="J44903" s="33"/>
    </row>
    <row r="44904" spans="10:10" x14ac:dyDescent="0.3">
      <c r="J44904" s="33"/>
    </row>
    <row r="44905" spans="10:10" x14ac:dyDescent="0.3">
      <c r="J44905" s="33"/>
    </row>
    <row r="44906" spans="10:10" x14ac:dyDescent="0.3">
      <c r="J44906" s="33"/>
    </row>
    <row r="44907" spans="10:10" x14ac:dyDescent="0.3">
      <c r="J44907" s="33"/>
    </row>
    <row r="44908" spans="10:10" x14ac:dyDescent="0.3">
      <c r="J44908" s="33"/>
    </row>
    <row r="44909" spans="10:10" x14ac:dyDescent="0.3">
      <c r="J44909" s="33"/>
    </row>
    <row r="44910" spans="10:10" x14ac:dyDescent="0.3">
      <c r="J44910" s="33"/>
    </row>
    <row r="44911" spans="10:10" x14ac:dyDescent="0.3">
      <c r="J44911" s="33"/>
    </row>
    <row r="44912" spans="10:10" x14ac:dyDescent="0.3">
      <c r="J44912" s="33"/>
    </row>
    <row r="44913" spans="10:10" x14ac:dyDescent="0.3">
      <c r="J44913" s="33"/>
    </row>
    <row r="44914" spans="10:10" x14ac:dyDescent="0.3">
      <c r="J44914" s="33"/>
    </row>
    <row r="44915" spans="10:10" x14ac:dyDescent="0.3">
      <c r="J44915" s="33"/>
    </row>
    <row r="44916" spans="10:10" x14ac:dyDescent="0.3">
      <c r="J44916" s="33"/>
    </row>
    <row r="44917" spans="10:10" x14ac:dyDescent="0.3">
      <c r="J44917" s="33"/>
    </row>
    <row r="44918" spans="10:10" x14ac:dyDescent="0.3">
      <c r="J44918" s="33"/>
    </row>
    <row r="44919" spans="10:10" x14ac:dyDescent="0.3">
      <c r="J44919" s="33"/>
    </row>
    <row r="44920" spans="10:10" x14ac:dyDescent="0.3">
      <c r="J44920" s="33"/>
    </row>
    <row r="44921" spans="10:10" x14ac:dyDescent="0.3">
      <c r="J44921" s="33"/>
    </row>
    <row r="44922" spans="10:10" x14ac:dyDescent="0.3">
      <c r="J44922" s="33"/>
    </row>
    <row r="44923" spans="10:10" x14ac:dyDescent="0.3">
      <c r="J44923" s="33"/>
    </row>
    <row r="44924" spans="10:10" x14ac:dyDescent="0.3">
      <c r="J44924" s="33"/>
    </row>
    <row r="44925" spans="10:10" x14ac:dyDescent="0.3">
      <c r="J44925" s="33"/>
    </row>
    <row r="44926" spans="10:10" x14ac:dyDescent="0.3">
      <c r="J44926" s="33"/>
    </row>
    <row r="44927" spans="10:10" x14ac:dyDescent="0.3">
      <c r="J44927" s="33"/>
    </row>
    <row r="44928" spans="10:10" x14ac:dyDescent="0.3">
      <c r="J44928" s="33"/>
    </row>
    <row r="44929" spans="10:10" x14ac:dyDescent="0.3">
      <c r="J44929" s="33"/>
    </row>
    <row r="44930" spans="10:10" x14ac:dyDescent="0.3">
      <c r="J44930" s="33"/>
    </row>
    <row r="44931" spans="10:10" x14ac:dyDescent="0.3">
      <c r="J44931" s="33"/>
    </row>
    <row r="44932" spans="10:10" x14ac:dyDescent="0.3">
      <c r="J44932" s="33"/>
    </row>
    <row r="44933" spans="10:10" x14ac:dyDescent="0.3">
      <c r="J44933" s="33"/>
    </row>
    <row r="44934" spans="10:10" x14ac:dyDescent="0.3">
      <c r="J44934" s="33"/>
    </row>
    <row r="44935" spans="10:10" x14ac:dyDescent="0.3">
      <c r="J44935" s="33"/>
    </row>
    <row r="44936" spans="10:10" x14ac:dyDescent="0.3">
      <c r="J44936" s="33"/>
    </row>
    <row r="44937" spans="10:10" x14ac:dyDescent="0.3">
      <c r="J44937" s="33"/>
    </row>
    <row r="44938" spans="10:10" x14ac:dyDescent="0.3">
      <c r="J44938" s="33"/>
    </row>
    <row r="44939" spans="10:10" x14ac:dyDescent="0.3">
      <c r="J44939" s="33"/>
    </row>
    <row r="44940" spans="10:10" x14ac:dyDescent="0.3">
      <c r="J44940" s="33"/>
    </row>
    <row r="44941" spans="10:10" x14ac:dyDescent="0.3">
      <c r="J44941" s="33"/>
    </row>
    <row r="44942" spans="10:10" x14ac:dyDescent="0.3">
      <c r="J44942" s="33"/>
    </row>
    <row r="44943" spans="10:10" x14ac:dyDescent="0.3">
      <c r="J44943" s="33"/>
    </row>
    <row r="44944" spans="10:10" x14ac:dyDescent="0.3">
      <c r="J44944" s="33"/>
    </row>
    <row r="44945" spans="10:10" x14ac:dyDescent="0.3">
      <c r="J44945" s="33"/>
    </row>
    <row r="44946" spans="10:10" x14ac:dyDescent="0.3">
      <c r="J44946" s="33"/>
    </row>
    <row r="44947" spans="10:10" x14ac:dyDescent="0.3">
      <c r="J44947" s="33"/>
    </row>
    <row r="44948" spans="10:10" x14ac:dyDescent="0.3">
      <c r="J44948" s="33"/>
    </row>
    <row r="44949" spans="10:10" x14ac:dyDescent="0.3">
      <c r="J44949" s="33"/>
    </row>
    <row r="44950" spans="10:10" x14ac:dyDescent="0.3">
      <c r="J44950" s="33"/>
    </row>
    <row r="44951" spans="10:10" x14ac:dyDescent="0.3">
      <c r="J44951" s="33"/>
    </row>
    <row r="44952" spans="10:10" x14ac:dyDescent="0.3">
      <c r="J44952" s="33"/>
    </row>
    <row r="44953" spans="10:10" x14ac:dyDescent="0.3">
      <c r="J44953" s="33"/>
    </row>
    <row r="44954" spans="10:10" x14ac:dyDescent="0.3">
      <c r="J44954" s="33"/>
    </row>
    <row r="44955" spans="10:10" x14ac:dyDescent="0.3">
      <c r="J44955" s="33"/>
    </row>
    <row r="44956" spans="10:10" x14ac:dyDescent="0.3">
      <c r="J44956" s="33"/>
    </row>
    <row r="44957" spans="10:10" x14ac:dyDescent="0.3">
      <c r="J44957" s="33"/>
    </row>
    <row r="44958" spans="10:10" x14ac:dyDescent="0.3">
      <c r="J44958" s="33"/>
    </row>
    <row r="44959" spans="10:10" x14ac:dyDescent="0.3">
      <c r="J44959" s="33"/>
    </row>
    <row r="44960" spans="10:10" x14ac:dyDescent="0.3">
      <c r="J44960" s="33"/>
    </row>
    <row r="44961" spans="10:10" x14ac:dyDescent="0.3">
      <c r="J44961" s="33"/>
    </row>
    <row r="44962" spans="10:10" x14ac:dyDescent="0.3">
      <c r="J44962" s="33"/>
    </row>
    <row r="44963" spans="10:10" x14ac:dyDescent="0.3">
      <c r="J44963" s="33"/>
    </row>
    <row r="44964" spans="10:10" x14ac:dyDescent="0.3">
      <c r="J44964" s="33"/>
    </row>
    <row r="44965" spans="10:10" x14ac:dyDescent="0.3">
      <c r="J44965" s="33"/>
    </row>
    <row r="44966" spans="10:10" x14ac:dyDescent="0.3">
      <c r="J44966" s="33"/>
    </row>
    <row r="44967" spans="10:10" x14ac:dyDescent="0.3">
      <c r="J44967" s="33"/>
    </row>
    <row r="44968" spans="10:10" x14ac:dyDescent="0.3">
      <c r="J44968" s="33"/>
    </row>
    <row r="44969" spans="10:10" x14ac:dyDescent="0.3">
      <c r="J44969" s="33"/>
    </row>
    <row r="44970" spans="10:10" x14ac:dyDescent="0.3">
      <c r="J44970" s="33"/>
    </row>
    <row r="44971" spans="10:10" x14ac:dyDescent="0.3">
      <c r="J44971" s="33"/>
    </row>
    <row r="44972" spans="10:10" x14ac:dyDescent="0.3">
      <c r="J44972" s="33"/>
    </row>
    <row r="44973" spans="10:10" x14ac:dyDescent="0.3">
      <c r="J44973" s="33"/>
    </row>
    <row r="44974" spans="10:10" x14ac:dyDescent="0.3">
      <c r="J44974" s="33"/>
    </row>
    <row r="44975" spans="10:10" x14ac:dyDescent="0.3">
      <c r="J44975" s="33"/>
    </row>
    <row r="44976" spans="10:10" x14ac:dyDescent="0.3">
      <c r="J44976" s="33"/>
    </row>
    <row r="44977" spans="10:10" x14ac:dyDescent="0.3">
      <c r="J44977" s="33"/>
    </row>
    <row r="44978" spans="10:10" x14ac:dyDescent="0.3">
      <c r="J44978" s="33"/>
    </row>
    <row r="44979" spans="10:10" x14ac:dyDescent="0.3">
      <c r="J44979" s="33"/>
    </row>
    <row r="44980" spans="10:10" x14ac:dyDescent="0.3">
      <c r="J44980" s="33"/>
    </row>
    <row r="44981" spans="10:10" x14ac:dyDescent="0.3">
      <c r="J44981" s="33"/>
    </row>
    <row r="44982" spans="10:10" x14ac:dyDescent="0.3">
      <c r="J44982" s="33"/>
    </row>
    <row r="44983" spans="10:10" x14ac:dyDescent="0.3">
      <c r="J44983" s="33"/>
    </row>
    <row r="44984" spans="10:10" x14ac:dyDescent="0.3">
      <c r="J44984" s="33"/>
    </row>
    <row r="44985" spans="10:10" x14ac:dyDescent="0.3">
      <c r="J44985" s="33"/>
    </row>
    <row r="44986" spans="10:10" x14ac:dyDescent="0.3">
      <c r="J44986" s="33"/>
    </row>
    <row r="44987" spans="10:10" x14ac:dyDescent="0.3">
      <c r="J44987" s="33"/>
    </row>
    <row r="44988" spans="10:10" x14ac:dyDescent="0.3">
      <c r="J44988" s="33"/>
    </row>
    <row r="44989" spans="10:10" x14ac:dyDescent="0.3">
      <c r="J44989" s="33"/>
    </row>
    <row r="44990" spans="10:10" x14ac:dyDescent="0.3">
      <c r="J44990" s="33"/>
    </row>
    <row r="44991" spans="10:10" x14ac:dyDescent="0.3">
      <c r="J44991" s="33"/>
    </row>
    <row r="44992" spans="10:10" x14ac:dyDescent="0.3">
      <c r="J44992" s="33"/>
    </row>
    <row r="44993" spans="10:10" x14ac:dyDescent="0.3">
      <c r="J44993" s="33"/>
    </row>
    <row r="44994" spans="10:10" x14ac:dyDescent="0.3">
      <c r="J44994" s="33"/>
    </row>
    <row r="44995" spans="10:10" x14ac:dyDescent="0.3">
      <c r="J44995" s="33"/>
    </row>
    <row r="44996" spans="10:10" x14ac:dyDescent="0.3">
      <c r="J44996" s="33"/>
    </row>
    <row r="44997" spans="10:10" x14ac:dyDescent="0.3">
      <c r="J44997" s="33"/>
    </row>
    <row r="44998" spans="10:10" x14ac:dyDescent="0.3">
      <c r="J44998" s="33"/>
    </row>
    <row r="44999" spans="10:10" x14ac:dyDescent="0.3">
      <c r="J44999" s="33"/>
    </row>
    <row r="45000" spans="10:10" x14ac:dyDescent="0.3">
      <c r="J45000" s="33"/>
    </row>
    <row r="45001" spans="10:10" x14ac:dyDescent="0.3">
      <c r="J45001" s="33"/>
    </row>
    <row r="45002" spans="10:10" x14ac:dyDescent="0.3">
      <c r="J45002" s="33"/>
    </row>
    <row r="45003" spans="10:10" x14ac:dyDescent="0.3">
      <c r="J45003" s="33"/>
    </row>
    <row r="45004" spans="10:10" x14ac:dyDescent="0.3">
      <c r="J45004" s="33"/>
    </row>
    <row r="45005" spans="10:10" x14ac:dyDescent="0.3">
      <c r="J45005" s="33"/>
    </row>
    <row r="45006" spans="10:10" x14ac:dyDescent="0.3">
      <c r="J45006" s="33"/>
    </row>
    <row r="45007" spans="10:10" x14ac:dyDescent="0.3">
      <c r="J45007" s="33"/>
    </row>
    <row r="45008" spans="10:10" x14ac:dyDescent="0.3">
      <c r="J45008" s="33"/>
    </row>
    <row r="45009" spans="10:10" x14ac:dyDescent="0.3">
      <c r="J45009" s="33"/>
    </row>
    <row r="45010" spans="10:10" x14ac:dyDescent="0.3">
      <c r="J45010" s="33"/>
    </row>
    <row r="45011" spans="10:10" x14ac:dyDescent="0.3">
      <c r="J45011" s="33"/>
    </row>
    <row r="45012" spans="10:10" x14ac:dyDescent="0.3">
      <c r="J45012" s="33"/>
    </row>
    <row r="45013" spans="10:10" x14ac:dyDescent="0.3">
      <c r="J45013" s="33"/>
    </row>
    <row r="45014" spans="10:10" x14ac:dyDescent="0.3">
      <c r="J45014" s="33"/>
    </row>
    <row r="45015" spans="10:10" x14ac:dyDescent="0.3">
      <c r="J45015" s="33"/>
    </row>
    <row r="45016" spans="10:10" x14ac:dyDescent="0.3">
      <c r="J45016" s="33"/>
    </row>
    <row r="45017" spans="10:10" x14ac:dyDescent="0.3">
      <c r="J45017" s="33"/>
    </row>
    <row r="45018" spans="10:10" x14ac:dyDescent="0.3">
      <c r="J45018" s="33"/>
    </row>
    <row r="45019" spans="10:10" x14ac:dyDescent="0.3">
      <c r="J45019" s="33"/>
    </row>
    <row r="45020" spans="10:10" x14ac:dyDescent="0.3">
      <c r="J45020" s="33"/>
    </row>
    <row r="45021" spans="10:10" x14ac:dyDescent="0.3">
      <c r="J45021" s="33"/>
    </row>
    <row r="45022" spans="10:10" x14ac:dyDescent="0.3">
      <c r="J45022" s="33"/>
    </row>
    <row r="45023" spans="10:10" x14ac:dyDescent="0.3">
      <c r="J45023" s="33"/>
    </row>
    <row r="45024" spans="10:10" x14ac:dyDescent="0.3">
      <c r="J45024" s="33"/>
    </row>
    <row r="45025" spans="10:10" x14ac:dyDescent="0.3">
      <c r="J45025" s="33"/>
    </row>
    <row r="45026" spans="10:10" x14ac:dyDescent="0.3">
      <c r="J45026" s="33"/>
    </row>
    <row r="45027" spans="10:10" x14ac:dyDescent="0.3">
      <c r="J45027" s="33"/>
    </row>
    <row r="45028" spans="10:10" x14ac:dyDescent="0.3">
      <c r="J45028" s="33"/>
    </row>
    <row r="45029" spans="10:10" x14ac:dyDescent="0.3">
      <c r="J45029" s="33"/>
    </row>
    <row r="45030" spans="10:10" x14ac:dyDescent="0.3">
      <c r="J45030" s="33"/>
    </row>
    <row r="45031" spans="10:10" x14ac:dyDescent="0.3">
      <c r="J45031" s="33"/>
    </row>
    <row r="45032" spans="10:10" x14ac:dyDescent="0.3">
      <c r="J45032" s="33"/>
    </row>
    <row r="45033" spans="10:10" x14ac:dyDescent="0.3">
      <c r="J45033" s="33"/>
    </row>
    <row r="45034" spans="10:10" x14ac:dyDescent="0.3">
      <c r="J45034" s="33"/>
    </row>
    <row r="45035" spans="10:10" x14ac:dyDescent="0.3">
      <c r="J45035" s="33"/>
    </row>
    <row r="45036" spans="10:10" x14ac:dyDescent="0.3">
      <c r="J45036" s="33"/>
    </row>
    <row r="45037" spans="10:10" x14ac:dyDescent="0.3">
      <c r="J45037" s="33"/>
    </row>
    <row r="45038" spans="10:10" x14ac:dyDescent="0.3">
      <c r="J45038" s="33"/>
    </row>
    <row r="45039" spans="10:10" x14ac:dyDescent="0.3">
      <c r="J45039" s="33"/>
    </row>
    <row r="45040" spans="10:10" x14ac:dyDescent="0.3">
      <c r="J45040" s="33"/>
    </row>
    <row r="45041" spans="10:10" x14ac:dyDescent="0.3">
      <c r="J45041" s="33"/>
    </row>
    <row r="45042" spans="10:10" x14ac:dyDescent="0.3">
      <c r="J45042" s="33"/>
    </row>
    <row r="45043" spans="10:10" x14ac:dyDescent="0.3">
      <c r="J45043" s="33"/>
    </row>
    <row r="45044" spans="10:10" x14ac:dyDescent="0.3">
      <c r="J45044" s="33"/>
    </row>
    <row r="45045" spans="10:10" x14ac:dyDescent="0.3">
      <c r="J45045" s="33"/>
    </row>
    <row r="45046" spans="10:10" x14ac:dyDescent="0.3">
      <c r="J45046" s="33"/>
    </row>
    <row r="45047" spans="10:10" x14ac:dyDescent="0.3">
      <c r="J45047" s="33"/>
    </row>
    <row r="45048" spans="10:10" x14ac:dyDescent="0.3">
      <c r="J45048" s="33"/>
    </row>
    <row r="45049" spans="10:10" x14ac:dyDescent="0.3">
      <c r="J45049" s="33"/>
    </row>
    <row r="45050" spans="10:10" x14ac:dyDescent="0.3">
      <c r="J45050" s="33"/>
    </row>
    <row r="45051" spans="10:10" x14ac:dyDescent="0.3">
      <c r="J45051" s="33"/>
    </row>
    <row r="45052" spans="10:10" x14ac:dyDescent="0.3">
      <c r="J45052" s="33"/>
    </row>
    <row r="45053" spans="10:10" x14ac:dyDescent="0.3">
      <c r="J45053" s="33"/>
    </row>
    <row r="45054" spans="10:10" x14ac:dyDescent="0.3">
      <c r="J45054" s="33"/>
    </row>
    <row r="45055" spans="10:10" x14ac:dyDescent="0.3">
      <c r="J45055" s="33"/>
    </row>
    <row r="45056" spans="10:10" x14ac:dyDescent="0.3">
      <c r="J45056" s="33"/>
    </row>
    <row r="45057" spans="10:10" x14ac:dyDescent="0.3">
      <c r="J45057" s="33"/>
    </row>
    <row r="45058" spans="10:10" x14ac:dyDescent="0.3">
      <c r="J45058" s="33"/>
    </row>
    <row r="45059" spans="10:10" x14ac:dyDescent="0.3">
      <c r="J45059" s="33"/>
    </row>
    <row r="45060" spans="10:10" x14ac:dyDescent="0.3">
      <c r="J45060" s="33"/>
    </row>
    <row r="45061" spans="10:10" x14ac:dyDescent="0.3">
      <c r="J45061" s="33"/>
    </row>
    <row r="45062" spans="10:10" x14ac:dyDescent="0.3">
      <c r="J45062" s="33"/>
    </row>
    <row r="45063" spans="10:10" x14ac:dyDescent="0.3">
      <c r="J45063" s="33"/>
    </row>
    <row r="45064" spans="10:10" x14ac:dyDescent="0.3">
      <c r="J45064" s="33"/>
    </row>
    <row r="45065" spans="10:10" x14ac:dyDescent="0.3">
      <c r="J45065" s="33"/>
    </row>
    <row r="45066" spans="10:10" x14ac:dyDescent="0.3">
      <c r="J45066" s="33"/>
    </row>
    <row r="45067" spans="10:10" x14ac:dyDescent="0.3">
      <c r="J45067" s="33"/>
    </row>
    <row r="45068" spans="10:10" x14ac:dyDescent="0.3">
      <c r="J45068" s="33"/>
    </row>
    <row r="45069" spans="10:10" x14ac:dyDescent="0.3">
      <c r="J45069" s="33"/>
    </row>
    <row r="45070" spans="10:10" x14ac:dyDescent="0.3">
      <c r="J45070" s="33"/>
    </row>
    <row r="45071" spans="10:10" x14ac:dyDescent="0.3">
      <c r="J45071" s="33"/>
    </row>
    <row r="45072" spans="10:10" x14ac:dyDescent="0.3">
      <c r="J45072" s="33"/>
    </row>
    <row r="45073" spans="10:10" x14ac:dyDescent="0.3">
      <c r="J45073" s="33"/>
    </row>
    <row r="45074" spans="10:10" x14ac:dyDescent="0.3">
      <c r="J45074" s="33"/>
    </row>
    <row r="45075" spans="10:10" x14ac:dyDescent="0.3">
      <c r="J45075" s="33"/>
    </row>
    <row r="45076" spans="10:10" x14ac:dyDescent="0.3">
      <c r="J45076" s="33"/>
    </row>
    <row r="45077" spans="10:10" x14ac:dyDescent="0.3">
      <c r="J45077" s="33"/>
    </row>
    <row r="45078" spans="10:10" x14ac:dyDescent="0.3">
      <c r="J45078" s="33"/>
    </row>
    <row r="45079" spans="10:10" x14ac:dyDescent="0.3">
      <c r="J45079" s="33"/>
    </row>
    <row r="45080" spans="10:10" x14ac:dyDescent="0.3">
      <c r="J45080" s="33"/>
    </row>
    <row r="45081" spans="10:10" x14ac:dyDescent="0.3">
      <c r="J45081" s="33"/>
    </row>
    <row r="45082" spans="10:10" x14ac:dyDescent="0.3">
      <c r="J45082" s="33"/>
    </row>
    <row r="45083" spans="10:10" x14ac:dyDescent="0.3">
      <c r="J45083" s="33"/>
    </row>
    <row r="45084" spans="10:10" x14ac:dyDescent="0.3">
      <c r="J45084" s="33"/>
    </row>
    <row r="45085" spans="10:10" x14ac:dyDescent="0.3">
      <c r="J45085" s="33"/>
    </row>
    <row r="45086" spans="10:10" x14ac:dyDescent="0.3">
      <c r="J45086" s="33"/>
    </row>
    <row r="45087" spans="10:10" x14ac:dyDescent="0.3">
      <c r="J45087" s="33"/>
    </row>
    <row r="45088" spans="10:10" x14ac:dyDescent="0.3">
      <c r="J45088" s="33"/>
    </row>
    <row r="45089" spans="10:10" x14ac:dyDescent="0.3">
      <c r="J45089" s="33"/>
    </row>
    <row r="45090" spans="10:10" x14ac:dyDescent="0.3">
      <c r="J45090" s="33"/>
    </row>
    <row r="45091" spans="10:10" x14ac:dyDescent="0.3">
      <c r="J45091" s="33"/>
    </row>
    <row r="45092" spans="10:10" x14ac:dyDescent="0.3">
      <c r="J45092" s="33"/>
    </row>
    <row r="45093" spans="10:10" x14ac:dyDescent="0.3">
      <c r="J45093" s="33"/>
    </row>
    <row r="45094" spans="10:10" x14ac:dyDescent="0.3">
      <c r="J45094" s="33"/>
    </row>
    <row r="45095" spans="10:10" x14ac:dyDescent="0.3">
      <c r="J45095" s="33"/>
    </row>
    <row r="45096" spans="10:10" x14ac:dyDescent="0.3">
      <c r="J45096" s="33"/>
    </row>
    <row r="45097" spans="10:10" x14ac:dyDescent="0.3">
      <c r="J45097" s="33"/>
    </row>
    <row r="45098" spans="10:10" x14ac:dyDescent="0.3">
      <c r="J45098" s="33"/>
    </row>
    <row r="45099" spans="10:10" x14ac:dyDescent="0.3">
      <c r="J45099" s="33"/>
    </row>
    <row r="45100" spans="10:10" x14ac:dyDescent="0.3">
      <c r="J45100" s="33"/>
    </row>
    <row r="45101" spans="10:10" x14ac:dyDescent="0.3">
      <c r="J45101" s="33"/>
    </row>
    <row r="45102" spans="10:10" x14ac:dyDescent="0.3">
      <c r="J45102" s="33"/>
    </row>
    <row r="45103" spans="10:10" x14ac:dyDescent="0.3">
      <c r="J45103" s="33"/>
    </row>
    <row r="45104" spans="10:10" x14ac:dyDescent="0.3">
      <c r="J45104" s="33"/>
    </row>
    <row r="45105" spans="10:10" x14ac:dyDescent="0.3">
      <c r="J45105" s="33"/>
    </row>
    <row r="45106" spans="10:10" x14ac:dyDescent="0.3">
      <c r="J45106" s="33"/>
    </row>
    <row r="45107" spans="10:10" x14ac:dyDescent="0.3">
      <c r="J45107" s="33"/>
    </row>
    <row r="45108" spans="10:10" x14ac:dyDescent="0.3">
      <c r="J45108" s="33"/>
    </row>
    <row r="45109" spans="10:10" x14ac:dyDescent="0.3">
      <c r="J45109" s="33"/>
    </row>
    <row r="45110" spans="10:10" x14ac:dyDescent="0.3">
      <c r="J45110" s="33"/>
    </row>
    <row r="45111" spans="10:10" x14ac:dyDescent="0.3">
      <c r="J45111" s="33"/>
    </row>
    <row r="45112" spans="10:10" x14ac:dyDescent="0.3">
      <c r="J45112" s="33"/>
    </row>
    <row r="45113" spans="10:10" x14ac:dyDescent="0.3">
      <c r="J45113" s="33"/>
    </row>
    <row r="45114" spans="10:10" x14ac:dyDescent="0.3">
      <c r="J45114" s="33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54"/>
  <sheetViews>
    <sheetView showGridLines="0" tabSelected="1" zoomScaleNormal="100" workbookViewId="0"/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42" t="s">
        <v>67</v>
      </c>
      <c r="D5" s="45" t="s">
        <v>68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9" ht="32.25" customHeight="1" x14ac:dyDescent="0.3">
      <c r="C6" s="43"/>
      <c r="D6" s="6"/>
      <c r="E6" s="48" t="s">
        <v>69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9" ht="52.5" customHeight="1" x14ac:dyDescent="0.3">
      <c r="C7" s="43"/>
      <c r="D7" s="6"/>
      <c r="E7" s="48" t="s">
        <v>70</v>
      </c>
      <c r="F7" s="49"/>
      <c r="G7" s="49"/>
      <c r="H7" s="49"/>
      <c r="I7" s="50"/>
      <c r="J7" s="51" t="s">
        <v>71</v>
      </c>
      <c r="K7" s="51" t="s">
        <v>72</v>
      </c>
      <c r="L7" s="53" t="s">
        <v>73</v>
      </c>
      <c r="M7" s="42" t="s">
        <v>74</v>
      </c>
      <c r="N7" s="42" t="s">
        <v>75</v>
      </c>
      <c r="O7" s="55" t="s">
        <v>76</v>
      </c>
      <c r="P7" s="56"/>
      <c r="Q7" s="57"/>
    </row>
    <row r="8" spans="1:19" ht="41.4" x14ac:dyDescent="0.3">
      <c r="A8" s="34"/>
      <c r="C8" s="44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52"/>
      <c r="K8" s="52"/>
      <c r="L8" s="54"/>
      <c r="M8" s="44"/>
      <c r="N8" s="44"/>
      <c r="O8" s="9"/>
      <c r="P8" s="10" t="s">
        <v>82</v>
      </c>
      <c r="Q8" s="10" t="s">
        <v>75</v>
      </c>
      <c r="S8" s="24"/>
    </row>
    <row r="9" spans="1:19" x14ac:dyDescent="0.3">
      <c r="A9" s="28" t="s">
        <v>33</v>
      </c>
      <c r="B9" s="11">
        <v>1</v>
      </c>
      <c r="C9" s="12" t="s">
        <v>83</v>
      </c>
      <c r="D9" s="31">
        <f>(SUMIFS('Input Hue'!$J:$J,'Input Hue'!$C:$C,'5.CC Physical risk'!$D$24,'Input Hue'!$F:$F,'5.CC Physical risk'!$A9&amp;"*",'Input Hue'!$B:$B,"outras empresas nao financeiras"))/1000000</f>
        <v>331.599627</v>
      </c>
      <c r="E9" s="31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18.782903999999998</v>
      </c>
      <c r="F9" s="31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29.995381999999999</v>
      </c>
      <c r="G9" s="31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51.553634000000002</v>
      </c>
      <c r="H9" s="31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31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10</v>
      </c>
      <c r="J9" s="31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99.654561999999999</v>
      </c>
      <c r="K9" s="31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</v>
      </c>
      <c r="L9" s="31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0.67735800000000002</v>
      </c>
      <c r="M9" s="31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4.3650080000000004</v>
      </c>
      <c r="N9" s="31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1.0167759999999999</v>
      </c>
      <c r="O9" s="31">
        <f>(SUMIFS('Input Hue'!$J:$J,
'Input Hue'!$I:$I,"1",
'Input Hue'!$C:$C,'5.CC Physical risk'!$O$24,
'Input Hue'!$B:$B,"outras empresas nao financeiras",
'Input Hue'!$F:$F,'5.CC Physical risk'!$A9&amp;"*"))/1000000</f>
        <v>-0.68246399999999996</v>
      </c>
      <c r="P9" s="31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-0.21757000000000001</v>
      </c>
      <c r="Q9" s="31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-0.314496</v>
      </c>
      <c r="S9" s="25"/>
    </row>
    <row r="10" spans="1:19" x14ac:dyDescent="0.3">
      <c r="A10" s="28" t="s">
        <v>41</v>
      </c>
      <c r="B10" s="11">
        <v>2</v>
      </c>
      <c r="C10" s="12" t="s">
        <v>84</v>
      </c>
      <c r="D10" s="31">
        <f>(SUMIFS('Input Hue'!$J:$J,'Input Hue'!$C:$C,'5.CC Physical risk'!$D$24,'Input Hue'!$F:$F,'5.CC Physical risk'!$A10&amp;"*",'Input Hue'!$B:$B,"outras empresas nao financeiras"))/1000000</f>
        <v>14.172404999999999</v>
      </c>
      <c r="E10" s="31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0.77974200000000005</v>
      </c>
      <c r="F10" s="31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0.57605399999999995</v>
      </c>
      <c r="G10" s="31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31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31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4</v>
      </c>
      <c r="J10" s="31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1.355796</v>
      </c>
      <c r="K10" s="31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31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31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9.9999999999999995E-7</v>
      </c>
      <c r="N10" s="31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0.77019700000000002</v>
      </c>
      <c r="O10" s="31">
        <f>(SUMIFS('Input Hue'!$J:$J,
'Input Hue'!$I:$I,"1",
'Input Hue'!$C:$C,'5.CC Physical risk'!$O$24,
'Input Hue'!$B:$B,"outras empresas nao financeiras",
'Input Hue'!$F:$F,'5.CC Physical risk'!$A10&amp;"*"))/1000000</f>
        <v>-0.19980200000000001</v>
      </c>
      <c r="P10" s="31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0</v>
      </c>
      <c r="Q10" s="31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-0.198244</v>
      </c>
      <c r="S10" s="25"/>
    </row>
    <row r="11" spans="1:19" x14ac:dyDescent="0.3">
      <c r="A11" s="28" t="s">
        <v>29</v>
      </c>
      <c r="B11" s="11">
        <v>3</v>
      </c>
      <c r="C11" s="12" t="s">
        <v>85</v>
      </c>
      <c r="D11" s="31">
        <f>(SUMIFS('Input Hue'!$J:$J,'Input Hue'!$C:$C,'5.CC Physical risk'!$D$24,'Input Hue'!$F:$F,'5.CC Physical risk'!$A11&amp;"*",'Input Hue'!$B:$B,"outras empresas nao financeiras"))/1000000</f>
        <v>2168.5504329999999</v>
      </c>
      <c r="E11" s="31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21.799776999999999</v>
      </c>
      <c r="F11" s="31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38.700755000000001</v>
      </c>
      <c r="G11" s="31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18.556920999999999</v>
      </c>
      <c r="H11" s="31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31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8</v>
      </c>
      <c r="J11" s="31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74.807576999999995</v>
      </c>
      <c r="K11" s="31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1.5936669999999999</v>
      </c>
      <c r="L11" s="31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2.656209</v>
      </c>
      <c r="M11" s="31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13.923206</v>
      </c>
      <c r="N11" s="31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5.4356580000000001</v>
      </c>
      <c r="O11" s="31">
        <f>(SUMIFS('Input Hue'!$J:$J,
'Input Hue'!$I:$I,"1",
'Input Hue'!$C:$C,'5.CC Physical risk'!$O$24,
'Input Hue'!$B:$B,"outras empresas nao financeiras",
'Input Hue'!$F:$F,'5.CC Physical risk'!$A11&amp;"*"))/1000000</f>
        <v>-3.7303470000000001</v>
      </c>
      <c r="P11" s="31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-0.74670700000000001</v>
      </c>
      <c r="Q11" s="31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-2.8424659999999999</v>
      </c>
      <c r="S11" s="25"/>
    </row>
    <row r="12" spans="1:19" x14ac:dyDescent="0.3">
      <c r="A12" s="28" t="s">
        <v>36</v>
      </c>
      <c r="B12" s="11">
        <v>4</v>
      </c>
      <c r="C12" s="12" t="s">
        <v>86</v>
      </c>
      <c r="D12" s="31">
        <f>(SUMIFS('Input Hue'!$J:$J,'Input Hue'!$C:$C,'5.CC Physical risk'!$D$24,'Input Hue'!$F:$F,'5.CC Physical risk'!$A12&amp;"*",'Input Hue'!$B:$B,"outras empresas nao financeiras"))/1000000</f>
        <v>656.90807700000005</v>
      </c>
      <c r="E12" s="31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0.84249700000000005</v>
      </c>
      <c r="F12" s="31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0</v>
      </c>
      <c r="G12" s="31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0</v>
      </c>
      <c r="H12" s="31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31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31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0</v>
      </c>
      <c r="K12" s="31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0.84249700000000005</v>
      </c>
      <c r="L12" s="31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0</v>
      </c>
      <c r="M12" s="31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</v>
      </c>
      <c r="N12" s="31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0</v>
      </c>
      <c r="O12" s="31">
        <f>(SUMIFS('Input Hue'!$J:$J,
'Input Hue'!$I:$I,"1",
'Input Hue'!$C:$C,'5.CC Physical risk'!$O$24,
'Input Hue'!$B:$B,"outras empresas nao financeiras",
'Input Hue'!$F:$F,'5.CC Physical risk'!$A12&amp;"*"))/1000000</f>
        <v>-5.313E-3</v>
      </c>
      <c r="P12" s="31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0</v>
      </c>
      <c r="Q12" s="31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0</v>
      </c>
      <c r="S12" s="25"/>
    </row>
    <row r="13" spans="1:19" x14ac:dyDescent="0.3">
      <c r="A13" s="28" t="s">
        <v>45</v>
      </c>
      <c r="B13" s="11">
        <v>5</v>
      </c>
      <c r="C13" s="12" t="s">
        <v>87</v>
      </c>
      <c r="D13" s="31">
        <f>(SUMIFS('Input Hue'!$J:$J,'Input Hue'!$C:$C,'5.CC Physical risk'!$D$24,'Input Hue'!$F:$F,'5.CC Physical risk'!$A13&amp;"*",'Input Hue'!$B:$B,"outras empresas nao financeiras"))/1000000</f>
        <v>33.931317</v>
      </c>
      <c r="E13" s="31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</v>
      </c>
      <c r="F13" s="31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31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31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31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0</v>
      </c>
      <c r="J13" s="31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31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</v>
      </c>
      <c r="L13" s="31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31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</v>
      </c>
      <c r="N13" s="31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31">
        <f>(SUMIFS('Input Hue'!$J:$J,
'Input Hue'!$I:$I,"1",
'Input Hue'!$C:$C,'5.CC Physical risk'!$O$24,
'Input Hue'!$B:$B,"outras empresas nao financeiras",
'Input Hue'!$F:$F,'5.CC Physical risk'!$A13&amp;"*"))/1000000</f>
        <v>0</v>
      </c>
      <c r="P13" s="31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0</v>
      </c>
      <c r="Q13" s="31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25"/>
    </row>
    <row r="14" spans="1:19" x14ac:dyDescent="0.3">
      <c r="A14" s="28" t="s">
        <v>21</v>
      </c>
      <c r="B14" s="11">
        <v>6</v>
      </c>
      <c r="C14" s="12" t="s">
        <v>88</v>
      </c>
      <c r="D14" s="31">
        <f>(SUMIFS('Input Hue'!$J:$J,'Input Hue'!$C:$C,'5.CC Physical risk'!$D$24,'Input Hue'!$F:$F,'5.CC Physical risk'!$A14&amp;"*",'Input Hue'!$B:$B,"outras empresas nao financeiras"))/1000000</f>
        <v>995.02563399999997</v>
      </c>
      <c r="E14" s="31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4.2438029999999998</v>
      </c>
      <c r="F14" s="31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1.7418929999999999</v>
      </c>
      <c r="G14" s="31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0.46617500000000001</v>
      </c>
      <c r="H14" s="31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31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6</v>
      </c>
      <c r="J14" s="31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1.969824</v>
      </c>
      <c r="K14" s="31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3.573172</v>
      </c>
      <c r="L14" s="31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0.90887499999999999</v>
      </c>
      <c r="M14" s="31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1.26474</v>
      </c>
      <c r="N14" s="31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2.4662459999999999</v>
      </c>
      <c r="O14" s="31">
        <f>(SUMIFS('Input Hue'!$J:$J,
'Input Hue'!$I:$I,"1",
'Input Hue'!$C:$C,'5.CC Physical risk'!$O$24,
'Input Hue'!$B:$B,"outras empresas nao financeiras",
'Input Hue'!$F:$F,'5.CC Physical risk'!$A14&amp;"*"))/1000000</f>
        <v>-2.49776</v>
      </c>
      <c r="P14" s="31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-3.9010000000000003E-2</v>
      </c>
      <c r="Q14" s="31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-2.4537260000000001</v>
      </c>
      <c r="S14" s="25"/>
    </row>
    <row r="15" spans="1:19" x14ac:dyDescent="0.3">
      <c r="A15" s="28" t="s">
        <v>34</v>
      </c>
      <c r="B15" s="11">
        <v>7</v>
      </c>
      <c r="C15" s="12" t="s">
        <v>89</v>
      </c>
      <c r="D15" s="31">
        <f>(SUMIFS('Input Hue'!$J:$J,'Input Hue'!$C:$C,'5.CC Physical risk'!$D$24,'Input Hue'!$F:$F,'5.CC Physical risk'!$A15&amp;"*",'Input Hue'!$B:$B,"outras empresas nao financeiras"))/1000000</f>
        <v>2070.113503</v>
      </c>
      <c r="E15" s="31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3.987269</v>
      </c>
      <c r="F15" s="31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6.5117859999999999</v>
      </c>
      <c r="G15" s="31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3.4101789999999998</v>
      </c>
      <c r="H15" s="31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31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8</v>
      </c>
      <c r="J15" s="31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12.534431</v>
      </c>
      <c r="K15" s="31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1.374803</v>
      </c>
      <c r="L15" s="31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31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2.342851</v>
      </c>
      <c r="N15" s="31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0.47717100000000001</v>
      </c>
      <c r="O15" s="31">
        <f>(SUMIFS('Input Hue'!$J:$J,
'Input Hue'!$I:$I,"1",
'Input Hue'!$C:$C,'5.CC Physical risk'!$O$24,
'Input Hue'!$B:$B,"outras empresas nao financeiras",
'Input Hue'!$F:$F,'5.CC Physical risk'!$A15&amp;"*"))/1000000</f>
        <v>-0.53525500000000004</v>
      </c>
      <c r="P15" s="31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-7.0458000000000007E-2</v>
      </c>
      <c r="Q15" s="31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-0.44338899999999998</v>
      </c>
      <c r="S15" s="25"/>
    </row>
    <row r="16" spans="1:19" x14ac:dyDescent="0.3">
      <c r="A16" s="28" t="s">
        <v>40</v>
      </c>
      <c r="B16" s="11">
        <v>8</v>
      </c>
      <c r="C16" s="12" t="s">
        <v>90</v>
      </c>
      <c r="D16" s="31">
        <f>(SUMIFS('Input Hue'!$J:$J,'Input Hue'!$C:$C,'5.CC Physical risk'!$D$24,'Input Hue'!$F:$F,'5.CC Physical risk'!$A16&amp;"*",'Input Hue'!$B:$B,"outras empresas nao financeiras"))/1000000</f>
        <v>774.15980100000002</v>
      </c>
      <c r="E16" s="31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2.8513E-2</v>
      </c>
      <c r="F16" s="31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7.4909000000000003E-2</v>
      </c>
      <c r="G16" s="31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0</v>
      </c>
      <c r="H16" s="31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31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31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0</v>
      </c>
      <c r="K16" s="31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0.103422</v>
      </c>
      <c r="L16" s="31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31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0</v>
      </c>
      <c r="N16" s="31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</v>
      </c>
      <c r="O16" s="31">
        <f>(SUMIFS('Input Hue'!$J:$J,
'Input Hue'!$I:$I,"1",
'Input Hue'!$C:$C,'5.CC Physical risk'!$O$24,
'Input Hue'!$B:$B,"outras empresas nao financeiras",
'Input Hue'!$F:$F,'5.CC Physical risk'!$A16&amp;"*"))/1000000</f>
        <v>-1.5200000000000001E-4</v>
      </c>
      <c r="P16" s="31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0</v>
      </c>
      <c r="Q16" s="31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0</v>
      </c>
      <c r="S16" s="25"/>
    </row>
    <row r="17" spans="1:19" x14ac:dyDescent="0.3">
      <c r="A17" s="28" t="s">
        <v>26</v>
      </c>
      <c r="B17" s="11">
        <v>9</v>
      </c>
      <c r="C17" s="12" t="s">
        <v>91</v>
      </c>
      <c r="D17" s="31">
        <f>(SUMIFS('Input Hue'!$J:$J,'Input Hue'!$C:$C,'5.CC Physical risk'!$D$24,'Input Hue'!$F:$F,'5.CC Physical risk'!$A17&amp;"*",'Input Hue'!$B:$B,"outras empresas nao financeiras"))/1000000</f>
        <v>1252.5448040000001</v>
      </c>
      <c r="E17" s="31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15.361594999999999</v>
      </c>
      <c r="F17" s="31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31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31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31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31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31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17.651606999999998</v>
      </c>
      <c r="L17" s="31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31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6.7062999999999998E-2</v>
      </c>
      <c r="N17" s="31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12.449707999999999</v>
      </c>
      <c r="O17" s="31">
        <f>(SUMIFS('Input Hue'!$J:$J,
'Input Hue'!$I:$I,"1",
'Input Hue'!$C:$C,'5.CC Physical risk'!$O$24,
'Input Hue'!$B:$B,"outras empresas nao financeiras",
'Input Hue'!$F:$F,'5.CC Physical risk'!$A17&amp;"*"))/1000000</f>
        <v>-12.416869</v>
      </c>
      <c r="P17" s="31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-8.5920000000000007E-3</v>
      </c>
      <c r="Q17" s="31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-12.400323</v>
      </c>
      <c r="S17" s="25"/>
    </row>
    <row r="18" spans="1:19" x14ac:dyDescent="0.3">
      <c r="A18" s="28" t="s">
        <v>20</v>
      </c>
      <c r="B18" s="11">
        <v>10</v>
      </c>
      <c r="C18" s="12" t="s">
        <v>92</v>
      </c>
      <c r="D18" s="31">
        <f>(SUMIFS('Input Hue'!$J:$J,
'Input Hue'!$C:$C,'5.CC Physical risk'!$D$24,
'Input Hue'!$D:$D,'5.CC Physical risk'!$A18&amp;"*"))/1000000</f>
        <v>23291.747265000002</v>
      </c>
      <c r="E18" s="31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6.0529760000000001</v>
      </c>
      <c r="F18" s="31">
        <f>(SUMIFS('Input Hue'!$J:$J,'Input Hue'!$I:$I,"1",'Input Hue'!$C:$C,'5.CC Physical risk'!$D$24,'Input Hue'!$D:$D,'5.CC Physical risk'!$A18,'Input Hue'!$E:$E,"&gt;5",'Input Hue'!$E:$E,"&lt;=10"))/1000000</f>
        <v>18.426414999999999</v>
      </c>
      <c r="G18" s="31">
        <f>(SUMIFS('Input Hue'!$J:$J,'Input Hue'!$I:$I,"1",'Input Hue'!$C:$C,'5.CC Physical risk'!$D$24,'Input Hue'!$D:$D,'5.CC Physical risk'!$A18,'Input Hue'!$E:$E,"&gt;10",'Input Hue'!$E:$E,"&lt;=20"))/1000000</f>
        <v>61.651434999999999</v>
      </c>
      <c r="H18" s="31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324.73495700000001</v>
      </c>
      <c r="I18" s="31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31">
        <f>(SUMIFS('Input Hue'!$J:$J,'Input Hue'!$I:$I,"1",'Input Hue'!$C:$C,'5.CC Physical risk'!$D$24,'Input Hue'!$D:$D,'5.CC Physical risk'!$A18&amp;"*",'Input Hue'!$H:$H,"CHRO1",'Input Hue'!$G:$G,"ACUT2"))/1000000</f>
        <v>65.239099999999993</v>
      </c>
      <c r="K18" s="31">
        <f>(SUMIFS('Input Hue'!$J:$J,'Input Hue'!$I:$I,"1",'Input Hue'!$C:$C,'5.CC Physical risk'!$D$24,'Input Hue'!$D:$D,'5.CC Physical risk'!$A18&amp;"*",'Input Hue'!$H:$H,"CHRO2",'Input Hue'!$G:$G,"ACUT1"))/1000000</f>
        <v>337.67818399999999</v>
      </c>
      <c r="L18" s="31">
        <f>(SUMIFS('Input Hue'!$J:$J,'Input Hue'!$I:$I,"1",'Input Hue'!$C:$C,'5.CC Physical risk'!$D$24,'Input Hue'!$D:$D,'5.CC Physical risk'!$A18&amp;"*",'Input Hue'!$H:$H,"CHRO1",'Input Hue'!$G:$G,"ACUT1"))/1000000</f>
        <v>7.948499</v>
      </c>
      <c r="M18" s="31">
        <f>SUM(SUMIFS('Input Hue'!$J:$J,
'Input Hue'!$I:$I,"1",
'Input Hue'!$C:$C,'5.CC Physical risk'!$D$24,
'Input Hue'!$D:$D,'5.CC Physical risk'!$A18&amp;"*",
'Input Hue'!$A:$A,'5.CC Physical risk'!$M$24))/1000000</f>
        <v>36.087415</v>
      </c>
      <c r="N18" s="31">
        <f>SUM(SUMIFS('Input Hue'!$J:$J,
'Input Hue'!$I:$I,"1",
'Input Hue'!$C:$C,'5.CC Physical risk'!$D$24,
'Input Hue'!$D:$D,'5.CC Physical risk'!$A18&amp;"*",
'Input Hue'!$A:$A,'5.CC Physical risk'!$N$24))/1000000</f>
        <v>6.3680130000000004</v>
      </c>
      <c r="O18" s="31">
        <f>SUM(SUMIFS('Input Hue'!$J:$J,
'Input Hue'!$I:$I,"1",
'Input Hue'!$C:$C,'5.CC Physical risk'!$O$24,
'Input Hue'!$D:$D,'5.CC Physical risk'!$A18))/1000000</f>
        <v>-3.3054939999999999</v>
      </c>
      <c r="P18" s="31">
        <f>SUM(SUMIFS('Input Hue'!$J:$J,
'Input Hue'!$I:$I,"1",
'Input Hue'!$C:$C,'5.CC Physical risk'!$O$24,
'Input Hue'!$D:$D,'5.CC Physical risk'!$A18&amp;"*",
'Input Hue'!$A:$A,'5.CC Physical risk'!$M$24))/1000000</f>
        <v>-1.076484</v>
      </c>
      <c r="Q18" s="31">
        <f>SUM(SUMIFS('Input Hue'!$J:$J,
'Input Hue'!$I:$I,"1",
'Input Hue'!$C:$C,'5.CC Physical risk'!$O$24,
'Input Hue'!$D:$D,'5.CC Physical risk'!$A18&amp;"*",
'Input Hue'!$A:$A,'5.CC Physical risk'!$N$24))/1000000</f>
        <v>-2.021061</v>
      </c>
      <c r="S18" s="25"/>
    </row>
    <row r="19" spans="1:19" x14ac:dyDescent="0.3">
      <c r="A19" s="28" t="s">
        <v>28</v>
      </c>
      <c r="B19" s="11">
        <v>11</v>
      </c>
      <c r="C19" s="12" t="s">
        <v>93</v>
      </c>
      <c r="D19" s="31">
        <f>(SUMIFS('Input Hue'!$J:$J,'Input Hue'!$C:$C,'5.CC Physical risk'!$D$24,'Input Hue'!$D:$D,'5.CC Physical risk'!$A19&amp;"*"))/1000000</f>
        <v>3579.2885900000001</v>
      </c>
      <c r="E19" s="31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67.448936000000003</v>
      </c>
      <c r="F19" s="31">
        <f>(SUMIFS('Input Hue'!$J:$J,'Input Hue'!$I:$I,"1",'Input Hue'!$C:$C,'5.CC Physical risk'!$D$24,'Input Hue'!$D:$D,'5.CC Physical risk'!$A19,'Input Hue'!$E:$E,"&gt;5",'Input Hue'!$E:$E,"&lt;=10"))/1000000</f>
        <v>89.380075000000005</v>
      </c>
      <c r="G19" s="31">
        <f>(SUMIFS('Input Hue'!$J:$J,'Input Hue'!$I:$I,"1",'Input Hue'!$C:$C,'5.CC Physical risk'!$D$24,'Input Hue'!$D:$D,'5.CC Physical risk'!$A19,'Input Hue'!$E:$E,"&gt;10",'Input Hue'!$E:$E,"&lt;=20"))/1000000</f>
        <v>81.473979999999997</v>
      </c>
      <c r="H19" s="31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31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31">
        <f>(SUMIFS('Input Hue'!$J:$J,'Input Hue'!$I:$I,"1",'Input Hue'!$C:$C,'5.CC Physical risk'!$D$24,'Input Hue'!$D:$D,'5.CC Physical risk'!$A19&amp;"*",'Input Hue'!$H:$H,"CHRO1",'Input Hue'!$G:$G,"ACUT2"))/1000000</f>
        <v>195.251285</v>
      </c>
      <c r="K19" s="31">
        <f>(SUMIFS('Input Hue'!$J:$J,'Input Hue'!$I:$I,"1",'Input Hue'!$C:$C,'5.CC Physical risk'!$D$24,'Input Hue'!$D:$D,'5.CC Physical risk'!$A19&amp;"*",'Input Hue'!$H:$H,"CHRO2",'Input Hue'!$G:$G,"ACUT1"))/1000000</f>
        <v>38.848984999999999</v>
      </c>
      <c r="L19" s="31">
        <f>(SUMIFS('Input Hue'!$J:$J,'Input Hue'!$I:$I,"1",'Input Hue'!$C:$C,'5.CC Physical risk'!$D$24,'Input Hue'!$D:$D,'5.CC Physical risk'!$A19&amp;"*",'Input Hue'!$H:$H,"CHRO1",'Input Hue'!$G:$G,"ACUT1"))/1000000</f>
        <v>4.2850229999999998</v>
      </c>
      <c r="M19" s="31">
        <f>(SUMIFS('Input Hue'!$J:$J,'Input Hue'!$I:$I,"1",'Input Hue'!$C:$C,'5.CC Physical risk'!$D$24,'Input Hue'!$D:$D,'5.CC Physical risk'!$A19&amp;"*",'Input Hue'!$A:$A,'5.CC Physical risk'!$M$24))/1000000</f>
        <v>22.779489999999999</v>
      </c>
      <c r="N19" s="31">
        <f>(SUMIFS('Input Hue'!$J:$J,'Input Hue'!$I:$I,"1",'Input Hue'!$C:$C,'5.CC Physical risk'!$D$24,'Input Hue'!$D:$D,'5.CC Physical risk'!$A19&amp;"*",'Input Hue'!$A:$A,'5.CC Physical risk'!$N$24))/1000000</f>
        <v>22.656877000000001</v>
      </c>
      <c r="O19" s="31">
        <f>(SUMIFS('Input Hue'!$J:$J,'Input Hue'!$I:$I,"1",'Input Hue'!$C:$C,'5.CC Physical risk'!$O$24,'Input Hue'!$D:$D,'5.CC Physical risk'!$A19))/1000000</f>
        <v>-20.160018000000001</v>
      </c>
      <c r="P19" s="31">
        <f>(SUMIFS('Input Hue'!$J:$J,'Input Hue'!$I:$I,"1",'Input Hue'!$C:$C,'5.CC Physical risk'!$O$24,'Input Hue'!$D:$D,'5.CC Physical risk'!$A19&amp;"*",'Input Hue'!$A:$A,'5.CC Physical risk'!$M$24))/1000000</f>
        <v>-1.123027</v>
      </c>
      <c r="Q19" s="31">
        <f>(SUMIFS('Input Hue'!$J:$J,'Input Hue'!$I:$I,"1",'Input Hue'!$C:$C,'5.CC Physical risk'!$O$24,'Input Hue'!$D:$D,'5.CC Physical risk'!$A19&amp;"*",'Input Hue'!$A:$A,'5.CC Physical risk'!$N$24))/1000000</f>
        <v>-18.672039000000002</v>
      </c>
      <c r="S19" s="25"/>
    </row>
    <row r="20" spans="1:19" x14ac:dyDescent="0.3">
      <c r="A20" s="28" t="s">
        <v>50</v>
      </c>
      <c r="B20" s="11">
        <v>12</v>
      </c>
      <c r="C20" s="12" t="s">
        <v>94</v>
      </c>
      <c r="D20" s="31">
        <f>(SUMIFS('Input Hue'!$J:$J,'Input Hue'!$C:$C,'5.CC Physical risk'!$D$24,'Input Hue'!$D:$D,'5.CC Physical risk'!$A20&amp;"*"))/1000000</f>
        <v>0</v>
      </c>
      <c r="E20" s="31">
        <f>(SUMIFS('Input Hue'!$J:$J,'Input Hue'!$I:$I,"1",'Input Hue'!$C:$C,'5.CC Physical risk'!$D$24,'Input Hue'!$D:$D,'5.CC Physical risk'!$A20&amp;"*",'Input Hue'!$E:$E,"&gt;=0",'Input Hue'!$E:$E,"&lt;=5"))/1000000</f>
        <v>0</v>
      </c>
      <c r="F20" s="31">
        <f>(SUMIFS('Input Hue'!$J:$J,'Input Hue'!$I:$I,"1",'Input Hue'!$C:$C,'5.CC Physical risk'!$D$24,'Input Hue'!$D:$D,'5.CC Physical risk'!$A20&amp;"*",'Input Hue'!$E:$E,"&gt;5",'Input Hue'!$E:$E,"&lt;=10"))/1000000</f>
        <v>0</v>
      </c>
      <c r="G20" s="31">
        <f>(SUMIFS('Input Hue'!$J:$J,'Input Hue'!$I:$I,"1",'Input Hue'!$C:$C,'5.CC Physical risk'!$D$24,'Input Hue'!$D:$D,'5.CC Physical risk'!$A20&amp;"*",'Input Hue'!$E:$E,"&gt;10",'Input Hue'!$E:$E,"&lt;=20"))/1000000</f>
        <v>0</v>
      </c>
      <c r="H20" s="31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31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31">
        <f>(SUMIFS('Input Hue'!$J:$J,'Input Hue'!$I:$I,"1",'Input Hue'!$C:$C,'5.CC Physical risk'!$D$24,'Input Hue'!$D:$D,'5.CC Physical risk'!$A20&amp;"*",'Input Hue'!$H:$H,"CHRO1",'Input Hue'!$G:$G,"ACUT2"))/1000000</f>
        <v>0</v>
      </c>
      <c r="K20" s="31">
        <f>(SUMIFS('Input Hue'!$J:$J,'Input Hue'!$I:$I,"1",'Input Hue'!$C:$C,'5.CC Physical risk'!$D$24,'Input Hue'!$D:$D,'5.CC Physical risk'!$A20&amp;"*",'Input Hue'!$H:$H,"CHRO2",'Input Hue'!$G:$G,"ACUT1"))/1000000</f>
        <v>0</v>
      </c>
      <c r="L20" s="31">
        <f>(SUMIFS('Input Hue'!$J:$J,'Input Hue'!$I:$I,"1",'Input Hue'!$C:$C,'5.CC Physical risk'!$D$24,'Input Hue'!$D:$D,'5.CC Physical risk'!$A20&amp;"*",'Input Hue'!$H:$H,"CHRO1",'Input Hue'!$G:$G,"ACUT1"))/1000000</f>
        <v>0</v>
      </c>
      <c r="M20" s="31">
        <f>(SUMIFS('Input Hue'!$J:$J,'Input Hue'!$C:$C,'5.CC Physical risk'!$D$24,'Input Hue'!$I:$I,"1",'Input Hue'!$D:$D,'5.CC Physical risk'!$A20,'Input Hue'!$A:$A,'5.CC Physical risk'!$M$24))/1000000</f>
        <v>0</v>
      </c>
      <c r="N20" s="31">
        <f>(SUMIFS('Input Hue'!$J:$J,'Input Hue'!$C:$C,'5.CC Physical risk'!$D$24,'Input Hue'!$I:$I,"1",'Input Hue'!$I:$I,'5.CC Physical risk'!$A20,'Input Hue'!$A:$A,'5.CC Physical risk'!$N$24))/1000000</f>
        <v>0</v>
      </c>
      <c r="O20" s="31">
        <f>(SUMIFS('Input Hue'!$J:$J,'Input Hue'!$I:$I,"1",'Input Hue'!$C:$C,'5.CC Physical risk'!$O$24,'Input Hue'!$D:$D,'5.CC Physical risk'!$A20))/1000000</f>
        <v>0</v>
      </c>
      <c r="P20" s="31">
        <f>(SUMIFS('Input Hue'!$J:$J,'Input Hue'!$C:$C,'5.CC Physical risk'!$O$24,'Input Hue'!$I:$I,"1",'Input Hue'!$D:$D,'5.CC Physical risk'!$A20,'Input Hue'!$A:$A,'5.CC Physical risk'!$M$24))/1000000</f>
        <v>0</v>
      </c>
      <c r="Q20" s="31">
        <f>(SUMIFS('Input Hue'!$J:$J,'Input Hue'!$C:$C,'5.CC Physical risk'!$O$24,'Input Hue'!$I:$I,"1",'Input Hue'!$D:$D,'5.CC Physical risk'!$A20,'Input Hue'!$A:$A,'5.CC Physical risk'!$N$24))/1000000</f>
        <v>0</v>
      </c>
      <c r="S20" s="25"/>
    </row>
    <row r="21" spans="1:19" x14ac:dyDescent="0.3">
      <c r="A21" s="28" t="s">
        <v>23</v>
      </c>
      <c r="B21" s="11">
        <v>13</v>
      </c>
      <c r="C21" s="13" t="s">
        <v>95</v>
      </c>
      <c r="D21" s="31">
        <f>(SUMIFS('Input Hue'!$J:$J,'Input Hue'!$C:$C,'5.CC Physical risk'!$D$24,'Input Hue'!$F:$F,'5.CC Physical risk'!$A21&amp;"*",'Input Hue'!$B:$B,"outras empresas nao financeiras"))/1000000</f>
        <v>1110.460511</v>
      </c>
      <c r="E21" s="31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31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31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0.70479899999999995</v>
      </c>
      <c r="H21" s="31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31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31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31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7.4395340000000001</v>
      </c>
      <c r="L21" s="31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31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31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31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31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31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25"/>
    </row>
    <row r="22" spans="1:19" x14ac:dyDescent="0.3">
      <c r="A22" s="28" t="s">
        <v>38</v>
      </c>
      <c r="B22" s="11">
        <v>13</v>
      </c>
      <c r="C22" s="12" t="s">
        <v>96</v>
      </c>
      <c r="D22" s="31">
        <f>(SUMIFS('Input Hue'!$J:$J,'Input Hue'!$C:$C,'5.CC Physical risk'!$D$24,'Input Hue'!$F:$F,'5.CC Physical risk'!$A22&amp;"*",'Input Hue'!$B:$B,"outras empresas nao financeiras"))/1000000</f>
        <v>8.7186579999999996</v>
      </c>
      <c r="E22" s="31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31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31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31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31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31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31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31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31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31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31">
        <f>(SUMIFS('Input Hue'!$J:$J,
'Input Hue'!$I:$I,"1",
'Input Hue'!$C:$C,'5.CC Physical risk'!$O$24,
'Input Hue'!$B:$B,"outras empresas nao financeiras",
'Input Hue'!$F:$F,'5.CC Physical risk'!$A22&amp;"*"))/1000000</f>
        <v>0</v>
      </c>
      <c r="P22" s="31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31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25"/>
    </row>
    <row r="23" spans="1:19" x14ac:dyDescent="0.3">
      <c r="A23" s="28" t="s">
        <v>97</v>
      </c>
      <c r="B23" s="11">
        <v>13</v>
      </c>
      <c r="C23" s="12" t="s">
        <v>98</v>
      </c>
      <c r="D23" s="31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2873.6468869999999</v>
      </c>
      <c r="E23" s="31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31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31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31">
        <f>SUM(B26:B35)</f>
        <v>0</v>
      </c>
      <c r="I23" s="31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31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31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31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31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31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31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31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31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25"/>
    </row>
    <row r="24" spans="1:19" s="19" customFormat="1" x14ac:dyDescent="0.3">
      <c r="A24" s="35"/>
      <c r="B24" s="1"/>
      <c r="C24" s="35"/>
      <c r="D24" s="28" t="s">
        <v>24</v>
      </c>
      <c r="E24" s="28">
        <v>1</v>
      </c>
      <c r="F24" s="28"/>
      <c r="G24" s="28"/>
      <c r="H24" s="29"/>
      <c r="I24" s="28"/>
      <c r="J24" s="28" t="s">
        <v>32</v>
      </c>
      <c r="K24" s="28" t="s">
        <v>31</v>
      </c>
      <c r="L24" s="28"/>
      <c r="M24" s="28" t="s">
        <v>10</v>
      </c>
      <c r="N24" s="28" t="s">
        <v>22</v>
      </c>
      <c r="O24" s="28" t="s">
        <v>12</v>
      </c>
      <c r="P24" s="14"/>
      <c r="Q24" s="14"/>
      <c r="S24" s="26"/>
    </row>
    <row r="25" spans="1:19" x14ac:dyDescent="0.3">
      <c r="C25" s="35"/>
      <c r="D25" s="30"/>
      <c r="E25" s="30">
        <v>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41"/>
      <c r="Q25" s="41"/>
    </row>
    <row r="26" spans="1:19" x14ac:dyDescent="0.3">
      <c r="A26" s="40" t="s">
        <v>35</v>
      </c>
      <c r="B26" s="40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3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9" x14ac:dyDescent="0.3">
      <c r="A27" s="40" t="s">
        <v>39</v>
      </c>
      <c r="B27" s="40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37"/>
      <c r="D27" s="38"/>
      <c r="E27" s="27"/>
      <c r="F27" s="27"/>
      <c r="G27" s="27"/>
      <c r="H27" s="38"/>
      <c r="I27" s="38"/>
      <c r="J27" s="27"/>
      <c r="K27" s="27"/>
      <c r="L27" s="27"/>
      <c r="M27" s="38"/>
      <c r="N27" s="27"/>
      <c r="O27" s="38"/>
      <c r="P27" s="36"/>
      <c r="Q27" s="36"/>
    </row>
    <row r="28" spans="1:19" x14ac:dyDescent="0.3">
      <c r="A28" s="40" t="s">
        <v>46</v>
      </c>
      <c r="B28" s="40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37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9" x14ac:dyDescent="0.3">
      <c r="A29" s="40" t="s">
        <v>42</v>
      </c>
      <c r="B29" s="40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37"/>
      <c r="D29" s="36"/>
      <c r="E29" s="36"/>
      <c r="F29" s="36"/>
      <c r="G29" s="36"/>
      <c r="H29" s="36"/>
      <c r="I29" s="36"/>
      <c r="J29" s="39"/>
      <c r="K29" s="36"/>
      <c r="L29" s="36"/>
      <c r="M29" s="36"/>
      <c r="N29" s="36"/>
      <c r="O29" s="36"/>
      <c r="P29" s="36"/>
      <c r="Q29" s="36"/>
    </row>
    <row r="30" spans="1:19" x14ac:dyDescent="0.3">
      <c r="A30" s="40" t="s">
        <v>14</v>
      </c>
      <c r="B30" s="40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9" x14ac:dyDescent="0.3">
      <c r="A31" s="40" t="s">
        <v>37</v>
      </c>
      <c r="B31" s="40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40" t="s">
        <v>27</v>
      </c>
      <c r="B32" s="40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40" t="s">
        <v>48</v>
      </c>
      <c r="B33" s="40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40" t="s">
        <v>49</v>
      </c>
      <c r="B34" s="40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40" t="s">
        <v>30</v>
      </c>
      <c r="B35" s="40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28"/>
      <c r="B36" s="2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F8AFC1-CEEB-4198-9ACF-F491CB5EF63A}"/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DB3F9-03AD-4E65-801D-03C93745EADD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572bdb13-c576-4166-8827-65186753b8b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2025-05-13T13:40:00Z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