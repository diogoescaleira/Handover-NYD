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-120" yWindow="-120" windowWidth="23160" windowHeight="7092"/>
  </bookViews>
  <sheets>
    <sheet name="Comparativos granulares" sheetId="16" r:id="rId1"/>
    <sheet name="Variação Absoluta" sheetId="1" r:id="rId2"/>
    <sheet name="Variação Percentual (pp)" sheetId="12" r:id="rId3"/>
    <sheet name="Input &gt;&gt;" sheetId="15" r:id="rId4"/>
    <sheet name="Paralelo" sheetId="6" r:id="rId5"/>
    <sheet name="Dez24" sheetId="5" r:id="rId6"/>
  </sheets>
  <definedNames>
    <definedName name="_xlnm._FilterDatabase" localSheetId="0" hidden="1">'Comparativos granulares'!$B$8:$E$15</definedName>
    <definedName name="_xlnm._FilterDatabase" localSheetId="2" hidden="1">'Variação Percentual (pp)'!$AH$9:$BR$9</definedName>
    <definedName name="BM" localSheetId="0">#REF!</definedName>
    <definedName name="BM">#REF!</definedName>
    <definedName name="CIQWBGuid" hidden="1">"03f4930e-b33c-4382-a597-a94ab15a402c"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"11/23/2015 09:51:03"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24" i="1" l="1"/>
  <c r="O24" i="12"/>
  <c r="J23" i="12"/>
  <c r="Y11" i="1"/>
  <c r="Y15" i="1"/>
  <c r="Y22" i="1"/>
  <c r="Y23" i="1"/>
  <c r="Y10" i="1"/>
  <c r="O14" i="12"/>
  <c r="C24" i="12"/>
  <c r="O21" i="12"/>
  <c r="O20" i="12"/>
  <c r="O19" i="12"/>
  <c r="O18" i="12"/>
  <c r="O17" i="12"/>
  <c r="O16" i="12"/>
  <c r="O13" i="12"/>
  <c r="O12" i="12"/>
  <c r="J22" i="12"/>
  <c r="J21" i="12"/>
  <c r="J20" i="12"/>
  <c r="J19" i="12"/>
  <c r="J18" i="12"/>
  <c r="J17" i="12"/>
  <c r="J16" i="12"/>
  <c r="J15" i="12"/>
  <c r="J14" i="12"/>
  <c r="J13" i="12"/>
  <c r="J12" i="12"/>
  <c r="J11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T24" i="12"/>
  <c r="T23" i="12"/>
  <c r="T22" i="12"/>
  <c r="T21" i="12"/>
  <c r="T20" i="12"/>
  <c r="T19" i="12"/>
  <c r="T18" i="12"/>
  <c r="T17" i="12"/>
  <c r="T16" i="12"/>
  <c r="T15" i="12"/>
  <c r="T14" i="12"/>
  <c r="T13" i="12"/>
  <c r="T12" i="12"/>
  <c r="T11" i="12"/>
  <c r="Y24" i="12"/>
  <c r="Y23" i="12"/>
  <c r="Y22" i="12"/>
  <c r="Y21" i="12"/>
  <c r="Y20" i="12"/>
  <c r="Y19" i="12"/>
  <c r="Y18" i="12"/>
  <c r="Y17" i="12"/>
  <c r="Y16" i="12"/>
  <c r="Y15" i="12"/>
  <c r="Y14" i="12"/>
  <c r="Y13" i="12"/>
  <c r="Y12" i="12"/>
  <c r="Y11" i="12"/>
  <c r="AD24" i="12"/>
  <c r="AD23" i="12"/>
  <c r="AD22" i="12"/>
  <c r="AD21" i="12"/>
  <c r="AD20" i="12"/>
  <c r="AD19" i="12"/>
  <c r="AD18" i="12"/>
  <c r="AD17" i="12"/>
  <c r="AD16" i="12"/>
  <c r="AD15" i="12"/>
  <c r="AD14" i="12"/>
  <c r="AD13" i="12"/>
  <c r="AD12" i="12"/>
  <c r="AD11" i="12"/>
  <c r="AI24" i="12"/>
  <c r="AI23" i="12"/>
  <c r="AI22" i="12"/>
  <c r="AI21" i="12"/>
  <c r="AI20" i="12"/>
  <c r="AI19" i="12"/>
  <c r="AI18" i="12"/>
  <c r="AI17" i="12"/>
  <c r="AI16" i="12"/>
  <c r="AI15" i="12"/>
  <c r="AI14" i="12"/>
  <c r="AI13" i="12"/>
  <c r="AI12" i="12"/>
  <c r="AI11" i="12"/>
  <c r="AN24" i="12"/>
  <c r="AN23" i="12"/>
  <c r="AN22" i="12"/>
  <c r="AN21" i="12"/>
  <c r="AN20" i="12"/>
  <c r="AN19" i="12"/>
  <c r="AN18" i="12"/>
  <c r="AN17" i="12"/>
  <c r="AN16" i="12"/>
  <c r="AN15" i="12"/>
  <c r="AN14" i="12"/>
  <c r="AN13" i="12"/>
  <c r="AN12" i="12"/>
  <c r="AN11" i="12"/>
  <c r="AN10" i="12"/>
  <c r="AS24" i="12"/>
  <c r="AS23" i="12"/>
  <c r="AS22" i="12"/>
  <c r="AS21" i="12"/>
  <c r="AS20" i="12"/>
  <c r="AS19" i="12"/>
  <c r="AS18" i="12"/>
  <c r="AS17" i="12"/>
  <c r="AS16" i="12"/>
  <c r="AS15" i="12"/>
  <c r="AS14" i="12"/>
  <c r="AS13" i="12"/>
  <c r="AS12" i="12"/>
  <c r="AS11" i="12"/>
  <c r="AS10" i="12"/>
  <c r="AI10" i="12"/>
  <c r="AD10" i="12"/>
  <c r="Y10" i="12"/>
  <c r="T10" i="12"/>
  <c r="J10" i="12"/>
  <c r="E10" i="12"/>
  <c r="AG24" i="12"/>
  <c r="AG23" i="12"/>
  <c r="AG22" i="12"/>
  <c r="AG21" i="12"/>
  <c r="AG20" i="12"/>
  <c r="AG19" i="12"/>
  <c r="AG18" i="12"/>
  <c r="AG17" i="12"/>
  <c r="AG16" i="12"/>
  <c r="AG15" i="12"/>
  <c r="AG14" i="12"/>
  <c r="AG13" i="12"/>
  <c r="AG12" i="12"/>
  <c r="AG11" i="12"/>
  <c r="AL24" i="12"/>
  <c r="AL23" i="12"/>
  <c r="AL22" i="12"/>
  <c r="AL21" i="12"/>
  <c r="AL20" i="12"/>
  <c r="AL19" i="12"/>
  <c r="AL18" i="12"/>
  <c r="AL17" i="12"/>
  <c r="AL16" i="12"/>
  <c r="AL15" i="12"/>
  <c r="AL14" i="12"/>
  <c r="AL13" i="12"/>
  <c r="AL12" i="12"/>
  <c r="AL11" i="12"/>
  <c r="AQ24" i="12"/>
  <c r="AQ23" i="12"/>
  <c r="AQ22" i="12"/>
  <c r="AQ21" i="12"/>
  <c r="AQ20" i="12"/>
  <c r="AQ19" i="12"/>
  <c r="AQ18" i="12"/>
  <c r="AQ17" i="12"/>
  <c r="AQ16" i="12"/>
  <c r="AQ15" i="12"/>
  <c r="AQ14" i="12"/>
  <c r="AQ13" i="12"/>
  <c r="AQ12" i="12"/>
  <c r="AQ11" i="12"/>
  <c r="AB24" i="12"/>
  <c r="AB23" i="12"/>
  <c r="AB22" i="12"/>
  <c r="AB21" i="12"/>
  <c r="AB20" i="12"/>
  <c r="AB19" i="12"/>
  <c r="AB18" i="12"/>
  <c r="AB17" i="12"/>
  <c r="AB16" i="12"/>
  <c r="AB15" i="12"/>
  <c r="AB14" i="12"/>
  <c r="AB13" i="12"/>
  <c r="AB12" i="12"/>
  <c r="AB11" i="12"/>
  <c r="W24" i="12"/>
  <c r="W23" i="12"/>
  <c r="W22" i="12"/>
  <c r="W21" i="12"/>
  <c r="W20" i="12"/>
  <c r="W19" i="12"/>
  <c r="W18" i="12"/>
  <c r="W17" i="12"/>
  <c r="W16" i="12"/>
  <c r="W15" i="12"/>
  <c r="W14" i="12"/>
  <c r="W13" i="12"/>
  <c r="W12" i="12"/>
  <c r="W11" i="12"/>
  <c r="R24" i="12"/>
  <c r="R23" i="12"/>
  <c r="R22" i="12"/>
  <c r="R21" i="12"/>
  <c r="R20" i="12"/>
  <c r="R19" i="12"/>
  <c r="R18" i="12"/>
  <c r="R17" i="12"/>
  <c r="R16" i="12"/>
  <c r="R15" i="12"/>
  <c r="R14" i="12"/>
  <c r="R13" i="12"/>
  <c r="R12" i="12"/>
  <c r="R11" i="12"/>
  <c r="M24" i="12"/>
  <c r="M23" i="12"/>
  <c r="M22" i="12"/>
  <c r="M21" i="12"/>
  <c r="M20" i="12"/>
  <c r="M19" i="12"/>
  <c r="M18" i="12"/>
  <c r="M17" i="12"/>
  <c r="M16" i="12"/>
  <c r="M15" i="12"/>
  <c r="M14" i="12"/>
  <c r="M13" i="12"/>
  <c r="M12" i="12"/>
  <c r="M11" i="12"/>
  <c r="H24" i="12"/>
  <c r="H23" i="12"/>
  <c r="H22" i="12"/>
  <c r="H21" i="12"/>
  <c r="H20" i="12"/>
  <c r="H19" i="12"/>
  <c r="H18" i="12"/>
  <c r="H17" i="12"/>
  <c r="H16" i="12"/>
  <c r="H15" i="12"/>
  <c r="H14" i="12"/>
  <c r="H13" i="12"/>
  <c r="H12" i="12"/>
  <c r="H11" i="12"/>
  <c r="C23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AQ10" i="12"/>
  <c r="AL10" i="12"/>
  <c r="AG10" i="12"/>
  <c r="AB10" i="12"/>
  <c r="W10" i="12"/>
  <c r="R10" i="12"/>
  <c r="M10" i="12"/>
  <c r="H10" i="12"/>
  <c r="C10" i="12"/>
  <c r="AK24" i="1"/>
  <c r="AK23" i="1"/>
  <c r="AK22" i="1"/>
  <c r="AK21" i="1"/>
  <c r="AK20" i="1"/>
  <c r="AK19" i="1"/>
  <c r="AK18" i="1"/>
  <c r="AK17" i="1"/>
  <c r="AK16" i="1"/>
  <c r="AK15" i="1"/>
  <c r="AK14" i="1"/>
  <c r="AK13" i="1"/>
  <c r="AK12" i="1"/>
  <c r="AK11" i="1"/>
  <c r="AN24" i="1"/>
  <c r="AN23" i="1"/>
  <c r="AN22" i="1"/>
  <c r="AN21" i="1"/>
  <c r="AN20" i="1"/>
  <c r="AN19" i="1"/>
  <c r="AN18" i="1"/>
  <c r="AN17" i="1"/>
  <c r="AN16" i="1"/>
  <c r="AN15" i="1"/>
  <c r="AN14" i="1"/>
  <c r="AN13" i="1"/>
  <c r="AN12" i="1"/>
  <c r="AN11" i="1"/>
  <c r="AQ24" i="1"/>
  <c r="AQ23" i="1"/>
  <c r="AQ22" i="1"/>
  <c r="AQ21" i="1"/>
  <c r="AQ20" i="1"/>
  <c r="AQ19" i="1"/>
  <c r="AQ18" i="1"/>
  <c r="AQ17" i="1"/>
  <c r="AQ16" i="1"/>
  <c r="AQ15" i="1"/>
  <c r="AQ14" i="1"/>
  <c r="AQ13" i="1"/>
  <c r="AQ12" i="1"/>
  <c r="AQ11" i="1"/>
  <c r="AQ10" i="1"/>
  <c r="AN10" i="1"/>
  <c r="AK10" i="1"/>
  <c r="AE24" i="1"/>
  <c r="AE23" i="1"/>
  <c r="AE22" i="1"/>
  <c r="AE21" i="1"/>
  <c r="AE20" i="1"/>
  <c r="AE19" i="1"/>
  <c r="AE18" i="1"/>
  <c r="AE17" i="1"/>
  <c r="AE16" i="1"/>
  <c r="AE15" i="1"/>
  <c r="AE14" i="1"/>
  <c r="AE13" i="1"/>
  <c r="AE12" i="1"/>
  <c r="AE11" i="1"/>
  <c r="AH24" i="1"/>
  <c r="AH23" i="1"/>
  <c r="AH22" i="1"/>
  <c r="AH21" i="1"/>
  <c r="AH20" i="1"/>
  <c r="AH19" i="1"/>
  <c r="AH18" i="1"/>
  <c r="AH17" i="1"/>
  <c r="AH16" i="1"/>
  <c r="AH15" i="1"/>
  <c r="AH14" i="1"/>
  <c r="AH13" i="1"/>
  <c r="AH12" i="1"/>
  <c r="AH11" i="1"/>
  <c r="AH10" i="1"/>
  <c r="AE10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Y21" i="1"/>
  <c r="Y20" i="1"/>
  <c r="Y19" i="1"/>
  <c r="Y18" i="1"/>
  <c r="Y17" i="1"/>
  <c r="Y16" i="1"/>
  <c r="Y13" i="1"/>
  <c r="Y12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V10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P10" i="1"/>
  <c r="M10" i="1"/>
  <c r="J10" i="1"/>
  <c r="G10" i="1"/>
  <c r="D10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M24" i="1"/>
  <c r="AM23" i="1"/>
  <c r="AM22" i="1"/>
  <c r="AM21" i="1"/>
  <c r="AM20" i="1"/>
  <c r="AM19" i="1"/>
  <c r="AM18" i="1"/>
  <c r="AM17" i="1"/>
  <c r="AM16" i="1"/>
  <c r="AM15" i="1"/>
  <c r="AM14" i="1"/>
  <c r="AM13" i="1"/>
  <c r="AM12" i="1"/>
  <c r="AM11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P10" i="1"/>
  <c r="AM10" i="1"/>
  <c r="AJ10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Y24" i="1" l="1"/>
  <c r="Z24" i="1" s="1"/>
  <c r="J24" i="12"/>
  <c r="J25" i="12" s="1"/>
  <c r="O11" i="12"/>
  <c r="O10" i="12"/>
  <c r="O22" i="12"/>
  <c r="O15" i="12"/>
  <c r="Y14" i="1"/>
  <c r="Z14" i="1" s="1"/>
  <c r="O23" i="12"/>
  <c r="AF11" i="1"/>
  <c r="AF19" i="1"/>
  <c r="H25" i="12"/>
  <c r="I25" i="12" s="1"/>
  <c r="AO11" i="1"/>
  <c r="AR10" i="1"/>
  <c r="Q22" i="1"/>
  <c r="AF10" i="1"/>
  <c r="AO12" i="1"/>
  <c r="AI15" i="1"/>
  <c r="K12" i="1"/>
  <c r="K20" i="1"/>
  <c r="AI11" i="1"/>
  <c r="AO20" i="1"/>
  <c r="Z13" i="1"/>
  <c r="Z21" i="1"/>
  <c r="T15" i="1"/>
  <c r="T23" i="1"/>
  <c r="AI12" i="1"/>
  <c r="AI20" i="1"/>
  <c r="AO15" i="1"/>
  <c r="AO23" i="1"/>
  <c r="AL17" i="1"/>
  <c r="H20" i="1"/>
  <c r="AR18" i="1"/>
  <c r="Z15" i="1"/>
  <c r="Q12" i="1"/>
  <c r="N15" i="1"/>
  <c r="H12" i="1"/>
  <c r="K11" i="1"/>
  <c r="Z23" i="1"/>
  <c r="K18" i="1"/>
  <c r="N14" i="1"/>
  <c r="W20" i="1"/>
  <c r="H23" i="1"/>
  <c r="H15" i="1"/>
  <c r="Q14" i="1"/>
  <c r="N16" i="1"/>
  <c r="N24" i="1"/>
  <c r="AP25" i="1"/>
  <c r="N10" i="1"/>
  <c r="T16" i="1"/>
  <c r="T24" i="1"/>
  <c r="Q18" i="1"/>
  <c r="K14" i="1"/>
  <c r="K22" i="1"/>
  <c r="H16" i="1"/>
  <c r="H24" i="1"/>
  <c r="AR14" i="1"/>
  <c r="AR22" i="1"/>
  <c r="AO16" i="1"/>
  <c r="AO24" i="1"/>
  <c r="AL18" i="1"/>
  <c r="I10" i="12"/>
  <c r="I12" i="12"/>
  <c r="I20" i="12"/>
  <c r="K10" i="1"/>
  <c r="AQ25" i="12"/>
  <c r="AR14" i="12" s="1"/>
  <c r="Q10" i="1"/>
  <c r="I13" i="12"/>
  <c r="I21" i="12"/>
  <c r="Q20" i="1"/>
  <c r="I14" i="12"/>
  <c r="I22" i="12"/>
  <c r="N19" i="1"/>
  <c r="T11" i="1"/>
  <c r="T19" i="1"/>
  <c r="N23" i="1"/>
  <c r="H11" i="1"/>
  <c r="H19" i="1"/>
  <c r="AC20" i="1"/>
  <c r="AI16" i="1"/>
  <c r="AO10" i="1"/>
  <c r="AO19" i="1"/>
  <c r="AL13" i="1"/>
  <c r="AL21" i="1"/>
  <c r="I15" i="12"/>
  <c r="I23" i="12"/>
  <c r="I18" i="12"/>
  <c r="N11" i="1"/>
  <c r="I11" i="12"/>
  <c r="I16" i="12"/>
  <c r="I24" i="12"/>
  <c r="I19" i="12"/>
  <c r="AI18" i="1"/>
  <c r="AL15" i="1"/>
  <c r="I17" i="12"/>
  <c r="Z18" i="1"/>
  <c r="T22" i="1"/>
  <c r="AC24" i="1"/>
  <c r="AR20" i="1"/>
  <c r="AR12" i="1"/>
  <c r="Z10" i="1"/>
  <c r="T12" i="1"/>
  <c r="N12" i="1"/>
  <c r="N20" i="1"/>
  <c r="W11" i="1"/>
  <c r="Z17" i="1"/>
  <c r="AF15" i="1"/>
  <c r="AF23" i="1"/>
  <c r="H22" i="1"/>
  <c r="Z19" i="1"/>
  <c r="N18" i="1"/>
  <c r="AC23" i="1"/>
  <c r="AC10" i="1"/>
  <c r="AI14" i="1"/>
  <c r="AI22" i="1"/>
  <c r="W10" i="1"/>
  <c r="AC16" i="1"/>
  <c r="K17" i="1"/>
  <c r="AR17" i="1"/>
  <c r="AC14" i="1"/>
  <c r="AC22" i="1"/>
  <c r="Z16" i="1"/>
  <c r="W18" i="1"/>
  <c r="AQ25" i="1"/>
  <c r="AR19" i="1"/>
  <c r="AL23" i="1"/>
  <c r="AF14" i="1"/>
  <c r="AF22" i="1"/>
  <c r="Q16" i="1"/>
  <c r="Q24" i="1"/>
  <c r="AC15" i="1"/>
  <c r="AI19" i="1"/>
  <c r="AF21" i="1"/>
  <c r="AO14" i="1"/>
  <c r="AO22" i="1"/>
  <c r="AL16" i="1"/>
  <c r="AL24" i="1"/>
  <c r="C25" i="12"/>
  <c r="D13" i="12" s="1"/>
  <c r="AG25" i="12"/>
  <c r="AH17" i="12" s="1"/>
  <c r="AD25" i="12"/>
  <c r="W12" i="1"/>
  <c r="W25" i="12"/>
  <c r="X21" i="12" s="1"/>
  <c r="R25" i="12"/>
  <c r="S13" i="12" s="1"/>
  <c r="AI25" i="12"/>
  <c r="AJ23" i="12" s="1"/>
  <c r="Z22" i="1"/>
  <c r="K13" i="1"/>
  <c r="K21" i="1"/>
  <c r="AD25" i="1"/>
  <c r="AR13" i="1"/>
  <c r="AR21" i="1"/>
  <c r="AC18" i="1"/>
  <c r="W14" i="1"/>
  <c r="W22" i="1"/>
  <c r="AR15" i="1"/>
  <c r="AR23" i="1"/>
  <c r="AL11" i="1"/>
  <c r="AL19" i="1"/>
  <c r="AL25" i="12"/>
  <c r="AM22" i="12" s="1"/>
  <c r="W24" i="1"/>
  <c r="AF18" i="1"/>
  <c r="N22" i="1"/>
  <c r="K16" i="1"/>
  <c r="K24" i="1"/>
  <c r="AC11" i="1"/>
  <c r="AC19" i="1"/>
  <c r="AI23" i="1"/>
  <c r="AF17" i="1"/>
  <c r="AL10" i="1"/>
  <c r="AR16" i="1"/>
  <c r="AR24" i="1"/>
  <c r="AO18" i="1"/>
  <c r="AL12" i="1"/>
  <c r="AL20" i="1"/>
  <c r="M25" i="12"/>
  <c r="N18" i="12" s="1"/>
  <c r="W16" i="1"/>
  <c r="AI24" i="1"/>
  <c r="Z11" i="1"/>
  <c r="AC12" i="1"/>
  <c r="AI13" i="1"/>
  <c r="AI21" i="1"/>
  <c r="T20" i="1"/>
  <c r="AI17" i="1"/>
  <c r="AL14" i="1"/>
  <c r="AL22" i="1"/>
  <c r="AB25" i="12"/>
  <c r="AC12" i="12" s="1"/>
  <c r="Q11" i="1"/>
  <c r="Q15" i="1"/>
  <c r="Q19" i="1"/>
  <c r="Q23" i="1"/>
  <c r="AE25" i="1"/>
  <c r="AN25" i="12"/>
  <c r="AO15" i="12" s="1"/>
  <c r="T13" i="1"/>
  <c r="T17" i="1"/>
  <c r="T21" i="1"/>
  <c r="AR11" i="1"/>
  <c r="H10" i="1"/>
  <c r="H14" i="1"/>
  <c r="H18" i="1"/>
  <c r="K15" i="1"/>
  <c r="K19" i="1"/>
  <c r="K23" i="1"/>
  <c r="Q13" i="1"/>
  <c r="Q17" i="1"/>
  <c r="Q21" i="1"/>
  <c r="T10" i="1"/>
  <c r="T14" i="1"/>
  <c r="T18" i="1"/>
  <c r="W15" i="1"/>
  <c r="W19" i="1"/>
  <c r="W23" i="1"/>
  <c r="Z12" i="1"/>
  <c r="Z20" i="1"/>
  <c r="AF12" i="1"/>
  <c r="AF16" i="1"/>
  <c r="AF20" i="1"/>
  <c r="AF24" i="1"/>
  <c r="AH25" i="1"/>
  <c r="E25" i="12"/>
  <c r="T25" i="12"/>
  <c r="Y25" i="12"/>
  <c r="AS25" i="12"/>
  <c r="AT14" i="12" s="1"/>
  <c r="AO13" i="1"/>
  <c r="AO17" i="1"/>
  <c r="AO21" i="1"/>
  <c r="AF13" i="1"/>
  <c r="W13" i="1"/>
  <c r="W17" i="1"/>
  <c r="W21" i="1"/>
  <c r="AC13" i="1"/>
  <c r="AC17" i="1"/>
  <c r="AC21" i="1"/>
  <c r="H13" i="1"/>
  <c r="H17" i="1"/>
  <c r="H21" i="1"/>
  <c r="N13" i="1"/>
  <c r="N17" i="1"/>
  <c r="N21" i="1"/>
  <c r="AG25" i="1"/>
  <c r="AI10" i="1"/>
  <c r="O25" i="12" l="1"/>
  <c r="AR12" i="12"/>
  <c r="AR16" i="12"/>
  <c r="AR19" i="12"/>
  <c r="AR13" i="12"/>
  <c r="AR11" i="12"/>
  <c r="AR21" i="12"/>
  <c r="AR15" i="12"/>
  <c r="AR24" i="12"/>
  <c r="AR18" i="12"/>
  <c r="AR10" i="12"/>
  <c r="AR17" i="12"/>
  <c r="AR20" i="12"/>
  <c r="S21" i="12"/>
  <c r="S19" i="12"/>
  <c r="AO12" i="12"/>
  <c r="AJ14" i="12"/>
  <c r="AJ16" i="12"/>
  <c r="AM12" i="12"/>
  <c r="D15" i="12"/>
  <c r="N14" i="12"/>
  <c r="D19" i="12"/>
  <c r="S10" i="12"/>
  <c r="AR22" i="12"/>
  <c r="AJ20" i="12"/>
  <c r="AO22" i="12"/>
  <c r="AP22" i="12" s="1"/>
  <c r="AO11" i="12"/>
  <c r="AF25" i="1"/>
  <c r="AJ10" i="12"/>
  <c r="AO18" i="12"/>
  <c r="AJ11" i="12"/>
  <c r="AO23" i="12"/>
  <c r="AO20" i="12"/>
  <c r="AJ13" i="12"/>
  <c r="AO10" i="12"/>
  <c r="AC16" i="12"/>
  <c r="X22" i="12"/>
  <c r="S11" i="12"/>
  <c r="S18" i="12"/>
  <c r="S23" i="12"/>
  <c r="AM10" i="12"/>
  <c r="AU14" i="12"/>
  <c r="X13" i="12"/>
  <c r="AC22" i="12"/>
  <c r="AC11" i="12"/>
  <c r="AR25" i="1"/>
  <c r="X14" i="12"/>
  <c r="X10" i="12"/>
  <c r="D21" i="12"/>
  <c r="S15" i="12"/>
  <c r="AC24" i="12"/>
  <c r="AC19" i="12"/>
  <c r="X23" i="12"/>
  <c r="S20" i="12"/>
  <c r="X19" i="12"/>
  <c r="X15" i="12"/>
  <c r="X11" i="12"/>
  <c r="X18" i="12"/>
  <c r="AR23" i="12"/>
  <c r="AJ21" i="12"/>
  <c r="AO14" i="12"/>
  <c r="AO19" i="12"/>
  <c r="AO21" i="12"/>
  <c r="AO24" i="12"/>
  <c r="AJ17" i="12"/>
  <c r="AK17" i="12" s="1"/>
  <c r="AJ18" i="12"/>
  <c r="AO17" i="12"/>
  <c r="AJ24" i="12"/>
  <c r="AO13" i="12"/>
  <c r="AO16" i="12"/>
  <c r="AJ15" i="12"/>
  <c r="AH21" i="12"/>
  <c r="AH13" i="12"/>
  <c r="AH10" i="12"/>
  <c r="AH19" i="12"/>
  <c r="AH11" i="12"/>
  <c r="AH24" i="12"/>
  <c r="AH16" i="12"/>
  <c r="AH18" i="12"/>
  <c r="N20" i="12"/>
  <c r="N12" i="12"/>
  <c r="N24" i="12"/>
  <c r="N25" i="12"/>
  <c r="N17" i="12"/>
  <c r="N16" i="12"/>
  <c r="D20" i="12"/>
  <c r="D12" i="12"/>
  <c r="D24" i="12"/>
  <c r="D25" i="12"/>
  <c r="D17" i="12"/>
  <c r="D16" i="12"/>
  <c r="N11" i="12"/>
  <c r="N15" i="12"/>
  <c r="N13" i="12"/>
  <c r="AH22" i="12"/>
  <c r="N10" i="12"/>
  <c r="N21" i="12"/>
  <c r="AH14" i="12"/>
  <c r="D22" i="12"/>
  <c r="AM24" i="12"/>
  <c r="D18" i="12"/>
  <c r="AH23" i="12"/>
  <c r="AK23" i="12" s="1"/>
  <c r="AH15" i="12"/>
  <c r="N19" i="12"/>
  <c r="N23" i="12"/>
  <c r="AH20" i="12"/>
  <c r="AM23" i="12"/>
  <c r="AM15" i="12"/>
  <c r="AP15" i="12" s="1"/>
  <c r="AM11" i="12"/>
  <c r="AM17" i="12"/>
  <c r="AM19" i="12"/>
  <c r="AM21" i="12"/>
  <c r="AH12" i="12"/>
  <c r="AM16" i="12"/>
  <c r="AM13" i="12"/>
  <c r="AM18" i="12"/>
  <c r="D10" i="12"/>
  <c r="AJ22" i="12"/>
  <c r="AJ12" i="12"/>
  <c r="S24" i="12"/>
  <c r="S25" i="12"/>
  <c r="S17" i="12"/>
  <c r="S22" i="12"/>
  <c r="S14" i="12"/>
  <c r="S16" i="12"/>
  <c r="S12" i="12"/>
  <c r="N22" i="12"/>
  <c r="AI25" i="1"/>
  <c r="AJ19" i="12"/>
  <c r="AC21" i="12"/>
  <c r="AC13" i="12"/>
  <c r="AC18" i="12"/>
  <c r="AC10" i="12"/>
  <c r="AC23" i="12"/>
  <c r="AC15" i="12"/>
  <c r="AC17" i="12"/>
  <c r="X20" i="12"/>
  <c r="X12" i="12"/>
  <c r="X24" i="12"/>
  <c r="X17" i="12"/>
  <c r="X16" i="12"/>
  <c r="AM20" i="12"/>
  <c r="D23" i="12"/>
  <c r="D14" i="12"/>
  <c r="AC20" i="12"/>
  <c r="AC14" i="12"/>
  <c r="D11" i="12"/>
  <c r="AM14" i="12"/>
  <c r="AT19" i="12"/>
  <c r="AU19" i="12" s="1"/>
  <c r="AT17" i="12"/>
  <c r="AU17" i="12" s="1"/>
  <c r="AT11" i="12"/>
  <c r="AU11" i="12" s="1"/>
  <c r="AT18" i="12"/>
  <c r="AT15" i="12"/>
  <c r="AU15" i="12" s="1"/>
  <c r="AT22" i="12"/>
  <c r="AT23" i="12"/>
  <c r="AT20" i="12"/>
  <c r="AU20" i="12" s="1"/>
  <c r="AT24" i="12"/>
  <c r="AT12" i="12"/>
  <c r="AU12" i="12" s="1"/>
  <c r="AT16" i="12"/>
  <c r="AU16" i="12" s="1"/>
  <c r="AT10" i="12"/>
  <c r="AT21" i="12"/>
  <c r="AT13" i="12"/>
  <c r="AU13" i="12" s="1"/>
  <c r="AU24" i="12" l="1"/>
  <c r="AR25" i="12"/>
  <c r="AU22" i="12"/>
  <c r="AP14" i="12"/>
  <c r="AP12" i="12"/>
  <c r="AU21" i="12"/>
  <c r="AU10" i="12"/>
  <c r="AU18" i="12"/>
  <c r="AP19" i="12"/>
  <c r="AK21" i="12"/>
  <c r="AP11" i="12"/>
  <c r="AK14" i="12"/>
  <c r="AK19" i="12"/>
  <c r="AP13" i="12"/>
  <c r="AP20" i="12"/>
  <c r="AK16" i="12"/>
  <c r="AK24" i="12"/>
  <c r="AP18" i="12"/>
  <c r="AP16" i="12"/>
  <c r="AK20" i="12"/>
  <c r="AK18" i="12"/>
  <c r="AK13" i="12"/>
  <c r="X25" i="12"/>
  <c r="AK11" i="12"/>
  <c r="AK15" i="12"/>
  <c r="AO25" i="12"/>
  <c r="AP23" i="12"/>
  <c r="AP10" i="12"/>
  <c r="AM25" i="12"/>
  <c r="AU23" i="12"/>
  <c r="AP21" i="12"/>
  <c r="AP24" i="12"/>
  <c r="AJ25" i="12"/>
  <c r="AH25" i="12"/>
  <c r="AK12" i="12"/>
  <c r="AC25" i="12"/>
  <c r="AK22" i="12"/>
  <c r="AP17" i="12"/>
  <c r="AK10" i="12"/>
  <c r="AT25" i="12"/>
  <c r="P19" i="12"/>
  <c r="AN25" i="1"/>
  <c r="Y25" i="1"/>
  <c r="M25" i="1"/>
  <c r="I25" i="1"/>
  <c r="G25" i="1"/>
  <c r="J25" i="1"/>
  <c r="L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25" i="1" l="1"/>
  <c r="U25" i="1"/>
  <c r="AM25" i="1"/>
  <c r="AO25" i="1" s="1"/>
  <c r="V25" i="1"/>
  <c r="F25" i="1"/>
  <c r="H25" i="1" s="1"/>
  <c r="X25" i="1"/>
  <c r="Z25" i="1" s="1"/>
  <c r="AJ25" i="1"/>
  <c r="AK25" i="1"/>
  <c r="N25" i="1"/>
  <c r="K25" i="1"/>
  <c r="O25" i="1"/>
  <c r="AA25" i="1"/>
  <c r="D25" i="1"/>
  <c r="P25" i="1"/>
  <c r="AB25" i="1"/>
  <c r="P13" i="12"/>
  <c r="Q13" i="12" s="1"/>
  <c r="P17" i="12"/>
  <c r="U17" i="12"/>
  <c r="P21" i="12"/>
  <c r="P12" i="12"/>
  <c r="P15" i="12"/>
  <c r="U23" i="12"/>
  <c r="P23" i="12"/>
  <c r="P10" i="12"/>
  <c r="P24" i="12"/>
  <c r="P22" i="12"/>
  <c r="P20" i="12"/>
  <c r="P18" i="12"/>
  <c r="P16" i="12"/>
  <c r="P14" i="12"/>
  <c r="P11" i="12"/>
  <c r="F13" i="12"/>
  <c r="G13" i="12" s="1"/>
  <c r="K24" i="12"/>
  <c r="U11" i="12"/>
  <c r="AE14" i="12"/>
  <c r="K14" i="12"/>
  <c r="U15" i="12"/>
  <c r="U19" i="12"/>
  <c r="W25" i="1" l="1"/>
  <c r="Q25" i="1"/>
  <c r="AC25" i="1"/>
  <c r="AL25" i="1"/>
  <c r="Q18" i="12"/>
  <c r="Q11" i="12"/>
  <c r="F12" i="12"/>
  <c r="G12" i="12" s="1"/>
  <c r="K20" i="12"/>
  <c r="L20" i="12" s="1"/>
  <c r="K22" i="12"/>
  <c r="L22" i="12" s="1"/>
  <c r="K18" i="12"/>
  <c r="F24" i="12"/>
  <c r="G24" i="12" s="1"/>
  <c r="P25" i="12"/>
  <c r="AE22" i="12"/>
  <c r="AF22" i="12" s="1"/>
  <c r="K12" i="12"/>
  <c r="Z10" i="12"/>
  <c r="Z23" i="12"/>
  <c r="Z21" i="12"/>
  <c r="Z19" i="12"/>
  <c r="AA19" i="12" s="1"/>
  <c r="Z17" i="12"/>
  <c r="AA17" i="12" s="1"/>
  <c r="Z15" i="12"/>
  <c r="Z12" i="12"/>
  <c r="AA12" i="12" s="1"/>
  <c r="Z16" i="12"/>
  <c r="AA16" i="12" s="1"/>
  <c r="V23" i="12"/>
  <c r="V17" i="12"/>
  <c r="V19" i="12"/>
  <c r="V15" i="12"/>
  <c r="Z24" i="12"/>
  <c r="AE24" i="12"/>
  <c r="AF14" i="12"/>
  <c r="F11" i="12"/>
  <c r="G11" i="12" s="1"/>
  <c r="Q20" i="12"/>
  <c r="F22" i="12"/>
  <c r="G22" i="12" s="1"/>
  <c r="K16" i="12"/>
  <c r="Q23" i="12"/>
  <c r="Q21" i="12"/>
  <c r="Q19" i="12"/>
  <c r="Q17" i="12"/>
  <c r="L24" i="12"/>
  <c r="L14" i="12"/>
  <c r="U21" i="12"/>
  <c r="V21" i="12" s="1"/>
  <c r="Q12" i="12"/>
  <c r="AE20" i="12"/>
  <c r="Z13" i="12"/>
  <c r="AA13" i="12" s="1"/>
  <c r="Z14" i="12"/>
  <c r="AA14" i="12" s="1"/>
  <c r="Q14" i="12"/>
  <c r="Z18" i="12"/>
  <c r="AA18" i="12" s="1"/>
  <c r="Q15" i="12"/>
  <c r="AE10" i="12"/>
  <c r="AE23" i="12"/>
  <c r="AF23" i="12" s="1"/>
  <c r="AE21" i="12"/>
  <c r="AE15" i="12"/>
  <c r="AE11" i="12"/>
  <c r="AE17" i="12"/>
  <c r="AF17" i="12" s="1"/>
  <c r="AE13" i="12"/>
  <c r="AF13" i="12" s="1"/>
  <c r="AE19" i="12"/>
  <c r="V11" i="12"/>
  <c r="F23" i="12"/>
  <c r="G23" i="12" s="1"/>
  <c r="F21" i="12"/>
  <c r="G21" i="12" s="1"/>
  <c r="F19" i="12"/>
  <c r="G19" i="12" s="1"/>
  <c r="F17" i="12"/>
  <c r="G17" i="12" s="1"/>
  <c r="F15" i="12"/>
  <c r="G15" i="12" s="1"/>
  <c r="F10" i="12"/>
  <c r="F18" i="12"/>
  <c r="G18" i="12" s="1"/>
  <c r="F14" i="12"/>
  <c r="G14" i="12" s="1"/>
  <c r="Q22" i="12"/>
  <c r="Z20" i="12"/>
  <c r="AA20" i="12" s="1"/>
  <c r="Z22" i="12"/>
  <c r="AA22" i="12" s="1"/>
  <c r="F20" i="12"/>
  <c r="G20" i="12" s="1"/>
  <c r="AE16" i="12"/>
  <c r="AE12" i="12"/>
  <c r="K10" i="12"/>
  <c r="K21" i="12"/>
  <c r="L21" i="12" s="1"/>
  <c r="K15" i="12"/>
  <c r="L15" i="12" s="1"/>
  <c r="K17" i="12"/>
  <c r="K13" i="12"/>
  <c r="K23" i="12"/>
  <c r="K11" i="12"/>
  <c r="L11" i="12" s="1"/>
  <c r="K19" i="12"/>
  <c r="L19" i="12" s="1"/>
  <c r="Q16" i="12"/>
  <c r="Z11" i="12"/>
  <c r="U10" i="12"/>
  <c r="U16" i="12"/>
  <c r="U12" i="12"/>
  <c r="V12" i="12" s="1"/>
  <c r="U24" i="12"/>
  <c r="U18" i="12"/>
  <c r="U14" i="12"/>
  <c r="U22" i="12"/>
  <c r="V22" i="12" s="1"/>
  <c r="U20" i="12"/>
  <c r="V20" i="12" s="1"/>
  <c r="Q24" i="12"/>
  <c r="AE18" i="12"/>
  <c r="AF18" i="12" s="1"/>
  <c r="U13" i="12"/>
  <c r="V13" i="12" s="1"/>
  <c r="F16" i="12"/>
  <c r="G16" i="12" s="1"/>
  <c r="AA11" i="12" l="1"/>
  <c r="AA21" i="12"/>
  <c r="AF16" i="12"/>
  <c r="AF19" i="12"/>
  <c r="V14" i="12"/>
  <c r="AF24" i="12"/>
  <c r="AA15" i="12"/>
  <c r="AA23" i="12"/>
  <c r="L23" i="12"/>
  <c r="AF15" i="12"/>
  <c r="AA24" i="12"/>
  <c r="AF21" i="12"/>
  <c r="L12" i="12"/>
  <c r="L18" i="12"/>
  <c r="L13" i="12"/>
  <c r="F25" i="12"/>
  <c r="G10" i="12"/>
  <c r="V16" i="12"/>
  <c r="L17" i="12"/>
  <c r="AF12" i="12"/>
  <c r="L16" i="12"/>
  <c r="K25" i="12"/>
  <c r="L10" i="12"/>
  <c r="Z25" i="12"/>
  <c r="AA10" i="12"/>
  <c r="V18" i="12"/>
  <c r="U25" i="12"/>
  <c r="V10" i="12"/>
  <c r="AF11" i="12"/>
  <c r="AE25" i="12"/>
  <c r="AF10" i="12"/>
  <c r="AF20" i="12"/>
  <c r="V24" i="12"/>
  <c r="Q10" i="12"/>
  <c r="E12" i="1" l="1"/>
  <c r="E16" i="1"/>
  <c r="E20" i="1"/>
  <c r="E24" i="1"/>
  <c r="E13" i="1"/>
  <c r="E17" i="1"/>
  <c r="E21" i="1"/>
  <c r="E14" i="1"/>
  <c r="E22" i="1"/>
  <c r="E10" i="1"/>
  <c r="E18" i="1"/>
  <c r="E11" i="1"/>
  <c r="E15" i="1"/>
  <c r="E19" i="1"/>
  <c r="E23" i="1"/>
  <c r="E25" i="1" l="1"/>
</calcChain>
</file>

<file path=xl/comments1.xml><?xml version="1.0" encoding="utf-8"?>
<comments xmlns="http://schemas.openxmlformats.org/spreadsheetml/2006/main">
  <authors>
    <author>Author</author>
  </authors>
  <commentList>
    <comment ref="D9" authorId="0" shapeId="0">
      <text>
        <r>
          <rPr>
            <sz val="9"/>
            <color indexed="81"/>
            <rFont val="Tahoma"/>
            <family val="2"/>
          </rPr>
          <t>1. Diferença justificada por correção no código do tático;
2. Ajuste necessário nas tabelas do ESTR (em correção por IT);
3. SPV'S;
4. zcliente manual não está no ESTR (em correção  por IT);
5. correção efetuada no âmbito do ESTR: bens estão a olhar para o cpais residencia dos bens.</t>
        </r>
      </text>
    </comment>
    <comment ref="D12" authorId="0" shapeId="0">
      <text>
        <r>
          <rPr>
            <sz val="9"/>
            <color indexed="81"/>
            <rFont val="Tahoma"/>
            <family val="2"/>
          </rPr>
          <t>1. Diferença justificada por correção no código do tático;
2. Ajuste necessário nas tabelas do ESTR (em correção por IT);
3. SPV'S;
4. zcliente manual não está no ESTR (em correção  por IT);
5. correção efetuada no âmbito do ESTR: bens estão a olhar para o cpais residencia dos bens.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E12" authorId="0" shapeId="0">
      <text>
        <r>
          <rPr>
            <sz val="9"/>
            <color indexed="81"/>
            <rFont val="Tahoma"/>
            <family val="2"/>
          </rPr>
          <t>Alteração na marcação dos SPV's;
Erro no estrutural que vai ser corrigido (estávamos a exlcuir clientes com origem manual).</t>
        </r>
      </text>
    </comment>
    <comment ref="E13" authorId="0" shapeId="0">
      <text>
        <r>
          <rPr>
            <sz val="9"/>
            <color indexed="81"/>
            <rFont val="Tahoma"/>
            <family val="2"/>
          </rPr>
          <t xml:space="preserve">Alteração na marcação dos SPV's.
</t>
        </r>
      </text>
    </comment>
    <comment ref="E15" authorId="0" shapeId="0">
      <text>
        <r>
          <rPr>
            <sz val="9"/>
            <color indexed="81"/>
            <rFont val="Tahoma"/>
            <family val="2"/>
          </rPr>
          <t xml:space="preserve">Alteração na marcação dos SPV's.
</t>
        </r>
      </text>
    </comment>
    <comment ref="E16" authorId="0" shapeId="0">
      <text>
        <r>
          <rPr>
            <sz val="9"/>
            <color indexed="81"/>
            <rFont val="Tahoma"/>
            <family val="2"/>
          </rPr>
          <t>Alteração na marcação dos SPV's;
Erro no estrutural que vai ser corrigido (estávamos a exlcuir clientes com origem manual).</t>
        </r>
      </text>
    </comment>
    <comment ref="E17" authorId="0" shapeId="0">
      <text>
        <r>
          <rPr>
            <sz val="9"/>
            <color indexed="81"/>
            <rFont val="Tahoma"/>
            <family val="2"/>
          </rPr>
          <t>Alteração na marcação dos SPV's;
Erro no estrutural que vai ser corrigido (estávamos a exlcuir clientes com origem manual).</t>
        </r>
      </text>
    </comment>
    <comment ref="E18" authorId="0" shapeId="0">
      <text>
        <r>
          <rPr>
            <sz val="9"/>
            <color indexed="81"/>
            <rFont val="Tahoma"/>
            <family val="2"/>
          </rPr>
          <t>Alteração na marcação dos SPV's.</t>
        </r>
      </text>
    </comment>
    <comment ref="E21" authorId="0" shapeId="0">
      <text>
        <r>
          <rPr>
            <sz val="9"/>
            <color indexed="81"/>
            <rFont val="Tahoma"/>
            <family val="2"/>
          </rPr>
          <t>não está a ser considerado o universo de adjudicados</t>
        </r>
      </text>
    </comment>
    <comment ref="E22" authorId="0" shapeId="0">
      <text>
        <r>
          <rPr>
            <sz val="9"/>
            <color indexed="81"/>
            <rFont val="Tahoma"/>
            <family val="2"/>
          </rPr>
          <t>Alteração na marcação dos SPV's;
Erro no estrutural que vai ser corrigido (estávamos a exlcuir clientes com origem manual).</t>
        </r>
      </text>
    </comment>
    <comment ref="E23" authorId="0" shapeId="0">
      <text>
        <r>
          <rPr>
            <sz val="9"/>
            <color indexed="81"/>
            <rFont val="Tahoma"/>
            <family val="2"/>
          </rPr>
          <t xml:space="preserve">Alteração na marcação dos SPV's.
</t>
        </r>
      </text>
    </comment>
    <comment ref="E24" authorId="0" shapeId="0">
      <text>
        <r>
          <rPr>
            <sz val="9"/>
            <color indexed="81"/>
            <rFont val="Tahoma"/>
            <family val="2"/>
          </rPr>
          <t>Alteração na marcação dos SPV's;
Erro no estrutural que vai ser corrigido (estávamos a exlcuir clientes com origem manual).</t>
        </r>
      </text>
    </comment>
  </commentList>
</comments>
</file>

<file path=xl/sharedStrings.xml><?xml version="1.0" encoding="utf-8"?>
<sst xmlns="http://schemas.openxmlformats.org/spreadsheetml/2006/main" count="284" uniqueCount="109">
  <si>
    <t>∆</t>
  </si>
  <si>
    <t xml:space="preserve">Exposição </t>
  </si>
  <si>
    <t>of which exposures sensitive to impact from chronic climate change events</t>
  </si>
  <si>
    <t>of which exposures sensitive to impact from acute climate change events</t>
  </si>
  <si>
    <t>of which exposures sensitive to impact both from chronic and acute climate change events</t>
  </si>
  <si>
    <t>Stage 2</t>
  </si>
  <si>
    <t>Non-Performing</t>
  </si>
  <si>
    <t>Accumulated impairment</t>
  </si>
  <si>
    <t>Accumulated impairment
Stage 2</t>
  </si>
  <si>
    <t>Accumulated impairment
Non-Performing</t>
  </si>
  <si>
    <t>NACEs</t>
  </si>
  <si>
    <t>∆ (pp)</t>
  </si>
  <si>
    <t>A - Agriculture, forestry and fishing</t>
  </si>
  <si>
    <t>B - Mining and quarrying</t>
  </si>
  <si>
    <t>C - Manufacturing</t>
  </si>
  <si>
    <t>D - Electricity, gas, steam and air conditioning supply</t>
  </si>
  <si>
    <t>E - Water supply; sewerage, waste management and remediation activities</t>
  </si>
  <si>
    <t>F - Construction</t>
  </si>
  <si>
    <t>G - Wholesale and retail trade; repair of motor vehicles and motorcycles</t>
  </si>
  <si>
    <t>H - Transportation and storage</t>
  </si>
  <si>
    <t>L - Real estate activities</t>
  </si>
  <si>
    <t>Loans collateralised by residential immovable property</t>
  </si>
  <si>
    <t>Loans collateralised by commercial immovable property</t>
  </si>
  <si>
    <t>Repossessed colalterals</t>
  </si>
  <si>
    <t>I - Accommodation and food service activities</t>
  </si>
  <si>
    <t>K - Financial and insurance activities</t>
  </si>
  <si>
    <t>Exposures to other sectors (NACE codes J, M - U)</t>
  </si>
  <si>
    <t>TOTAL</t>
  </si>
  <si>
    <t>&lt;= 5 anos</t>
  </si>
  <si>
    <t>&gt; 5 anos &amp; &lt;= 10 anos</t>
  </si>
  <si>
    <t>&gt; 10 anos &amp; &lt;= 20 anos</t>
  </si>
  <si>
    <t>&gt; 20 anos</t>
  </si>
  <si>
    <t>Average weighted maturity</t>
  </si>
  <si>
    <t>Template 5: Banking book - Climate change physical risk: Exposures subject to physical risk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</si>
  <si>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</si>
  <si>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</si>
  <si>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</si>
  <si>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</si>
  <si>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</si>
  <si>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</si>
  <si>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</si>
  <si>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</si>
  <si>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</si>
  <si>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</si>
  <si>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</si>
  <si>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</si>
  <si>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</si>
  <si>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</si>
  <si>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 xml:space="preserve">o </t>
  </si>
  <si>
    <t>Variable: Geographical area subject to climate change physical risk - acute and chronic events</t>
  </si>
  <si>
    <t>Gross carrying amount (Mln EUR)</t>
  </si>
  <si>
    <t>of which exposures sensitive to impact from climate change physical events</t>
  </si>
  <si>
    <t>Breakdown by maturity bucket</t>
  </si>
  <si>
    <t>Of which Stage 2 exposures</t>
  </si>
  <si>
    <t>Of which non-performing exposures</t>
  </si>
  <si>
    <t>Accumulated impairment, accumulated negative changes in fair value due to credit risk and provisions</t>
  </si>
  <si>
    <t xml:space="preserve"> &lt;= 5 years</t>
  </si>
  <si>
    <t>&gt; 5 year &lt;= 10 years</t>
  </si>
  <si>
    <t>&gt; 10 year &lt;= 20 years</t>
  </si>
  <si>
    <t>&gt; 20 years</t>
  </si>
  <si>
    <t>of which Stage 2 exposures</t>
  </si>
  <si>
    <t>Métrica</t>
  </si>
  <si>
    <t>Casuística</t>
  </si>
  <si>
    <t>Montante</t>
  </si>
  <si>
    <t xml:space="preserve"> </t>
  </si>
  <si>
    <t>Acute_changes</t>
  </si>
  <si>
    <t>Chronic_changes</t>
  </si>
  <si>
    <t>ACUT1</t>
  </si>
  <si>
    <t>Antes era ACUT2 agora é ACUT1</t>
  </si>
  <si>
    <t>ACUT2</t>
  </si>
  <si>
    <t>Antes era ACUT1 agora é ACUT2</t>
  </si>
  <si>
    <t>CHRO1</t>
  </si>
  <si>
    <t>CHRO2</t>
  </si>
  <si>
    <t>Antes era CHRO2 agora é CHRO1</t>
  </si>
  <si>
    <t>Antes era CHRO1 agora é CHRO2</t>
  </si>
  <si>
    <t>Alteração da marcação de Chronic changes</t>
  </si>
  <si>
    <t>Alteração da marcação de Acute changes</t>
  </si>
  <si>
    <t>Cod_nace_esg</t>
  </si>
  <si>
    <t>Antes era S agora é D</t>
  </si>
  <si>
    <t>Antes era M agora é D</t>
  </si>
  <si>
    <t>Antes era F agora é D</t>
  </si>
  <si>
    <t>Antes era I agora é F</t>
  </si>
  <si>
    <t>Antes era M agora é H</t>
  </si>
  <si>
    <t>Antes era C agora é H</t>
  </si>
  <si>
    <t>Antes era F agora é K</t>
  </si>
  <si>
    <t>Antes era I agora é L</t>
  </si>
  <si>
    <t>Antes era S agora é M</t>
  </si>
  <si>
    <t>Alteração da reclassificação do código NACE</t>
  </si>
  <si>
    <t>D</t>
  </si>
  <si>
    <t>F</t>
  </si>
  <si>
    <t>H</t>
  </si>
  <si>
    <t>K</t>
  </si>
  <si>
    <t>L</t>
  </si>
  <si>
    <t>M</t>
  </si>
  <si>
    <t>Dez24 Estrutural</t>
  </si>
  <si>
    <t>Dez24 Tático</t>
  </si>
  <si>
    <t>peso dez/24 Tático</t>
  </si>
  <si>
    <t>peso dez/24 Estrutural</t>
  </si>
  <si>
    <t>NULL</t>
  </si>
  <si>
    <t>Antes era C agora é NULL</t>
  </si>
  <si>
    <t>Antes era G agora é NULL</t>
  </si>
  <si>
    <t>Antes era M agora é NULL</t>
  </si>
  <si>
    <t>Antes era N agora é NULL</t>
  </si>
  <si>
    <t>Antes era J agora é NULL</t>
  </si>
  <si>
    <t>Antes era L agora é NULL</t>
  </si>
  <si>
    <t>Antes era I agora é NULL</t>
  </si>
  <si>
    <t>Antes era F agora é NULL</t>
  </si>
  <si>
    <t>Antes era H agora é NULL</t>
  </si>
  <si>
    <t>Antes era S agora é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</si>
</sst>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#,##0.0"/>
    <numFmt numFmtId="165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rebuchet MS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/>
      <name val="Calibri"/>
      <family val="2"/>
    </font>
    <font>
      <b/>
      <i/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11"/>
      <color theme="0" tint="-0.499984740745262"/>
      <name val="Calibri"/>
      <family val="2"/>
      <scheme val="minor"/>
    </font>
    <font>
      <b/>
      <sz val="9"/>
      <color theme="0" tint="-0.499984740745262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BEBE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29">
    <border>
      <left/>
      <right/>
      <top/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theme="0" tint="-0.24994659260841701"/>
      </right>
      <top style="thin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thin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indexed="64"/>
      </right>
      <top style="thin">
        <color indexed="64"/>
      </top>
      <bottom style="hair">
        <color theme="0" tint="-0.24994659260841701"/>
      </bottom>
      <diagonal/>
    </border>
    <border>
      <left style="thin">
        <color indexed="64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indexed="64"/>
      </left>
      <right style="hair">
        <color theme="0" tint="-0.24994659260841701"/>
      </right>
      <top style="hair">
        <color theme="0" tint="-0.24994659260841701"/>
      </top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thin">
        <color indexed="64"/>
      </bottom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 style="thin">
        <color indexed="64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/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/>
      <diagonal/>
    </border>
    <border>
      <left style="thin">
        <color indexed="64"/>
      </left>
      <right style="hair">
        <color theme="0" tint="-0.24994659260841701"/>
      </right>
      <top/>
      <bottom/>
      <diagonal/>
    </border>
    <border>
      <left style="thin">
        <color indexed="64"/>
      </left>
      <right style="hair">
        <color theme="0" tint="-0.24994659260841701"/>
      </right>
      <top/>
      <bottom style="hair">
        <color theme="0" tint="-0.24994659260841701"/>
      </bottom>
      <diagonal/>
    </border>
    <border>
      <left style="thin">
        <color indexed="64"/>
      </left>
      <right style="hair">
        <color theme="0" tint="-0.24994659260841701"/>
      </right>
      <top/>
      <bottom style="thin">
        <color indexed="64"/>
      </bottom>
      <diagonal/>
    </border>
    <border>
      <left style="hair">
        <color theme="0" tint="-0.24994659260841701"/>
      </left>
      <right style="hair">
        <color theme="0" tint="-0.24994659260841701"/>
      </right>
      <top/>
      <bottom/>
      <diagonal/>
    </border>
    <border>
      <left style="thin">
        <color indexed="64"/>
      </left>
      <right style="hair">
        <color theme="0" tint="-0.24994659260841701"/>
      </right>
      <top style="hair">
        <color theme="2" tint="-9.9948118533890809E-2"/>
      </top>
      <bottom style="hair">
        <color theme="0" tint="-0.24994659260841701"/>
      </bottom>
      <diagonal/>
    </border>
    <border>
      <left style="thin">
        <color indexed="64"/>
      </left>
      <right style="hair">
        <color theme="0" tint="-0.24994659260841701"/>
      </right>
      <top style="hair">
        <color theme="2" tint="-9.9948118533890809E-2"/>
      </top>
      <bottom/>
      <diagonal/>
    </border>
  </borders>
  <cellStyleXfs count="3">
    <xf numFmtId="0" fontId="0" fillId="0" borderId="0"/>
    <xf numFmtId="0" fontId="5" fillId="0" borderId="0"/>
    <xf numFmtId="43" fontId="1" fillId="0" borderId="0" applyFont="0" applyFill="0" applyBorder="0" applyAlignment="0" applyProtection="0"/>
  </cellStyleXfs>
  <cellXfs count="86">
    <xf numFmtId="0" fontId="0" fillId="0" borderId="0" xfId="0"/>
    <xf numFmtId="0" fontId="6" fillId="2" borderId="0" xfId="1" applyFont="1" applyFill="1" applyAlignment="1">
      <alignment vertical="center"/>
    </xf>
    <xf numFmtId="0" fontId="7" fillId="2" borderId="0" xfId="1" applyFont="1" applyFill="1" applyAlignment="1">
      <alignment horizontal="centerContinuous" vertical="center"/>
    </xf>
    <xf numFmtId="0" fontId="6" fillId="2" borderId="0" xfId="1" applyFont="1" applyFill="1" applyAlignment="1">
      <alignment horizontal="centerContinuous" vertical="center"/>
    </xf>
    <xf numFmtId="0" fontId="6" fillId="3" borderId="0" xfId="1" applyFont="1" applyFill="1" applyAlignment="1">
      <alignment vertical="center"/>
    </xf>
    <xf numFmtId="0" fontId="3" fillId="0" borderId="0" xfId="0" applyFont="1"/>
    <xf numFmtId="0" fontId="4" fillId="3" borderId="1" xfId="0" applyFont="1" applyFill="1" applyBorder="1" applyAlignment="1">
      <alignment horizontal="centerContinuous"/>
    </xf>
    <xf numFmtId="0" fontId="8" fillId="6" borderId="0" xfId="0" applyFont="1" applyFill="1"/>
    <xf numFmtId="0" fontId="9" fillId="6" borderId="0" xfId="0" applyFont="1" applyFill="1" applyAlignment="1">
      <alignment horizontal="left"/>
    </xf>
    <xf numFmtId="0" fontId="8" fillId="6" borderId="2" xfId="0" applyFont="1" applyFill="1" applyBorder="1" applyAlignment="1">
      <alignment vertical="center" wrapText="1"/>
    </xf>
    <xf numFmtId="0" fontId="10" fillId="6" borderId="0" xfId="0" applyFont="1" applyFill="1"/>
    <xf numFmtId="4" fontId="0" fillId="0" borderId="0" xfId="0" applyNumberFormat="1"/>
    <xf numFmtId="17" fontId="12" fillId="5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4" fontId="3" fillId="0" borderId="1" xfId="0" applyNumberFormat="1" applyFont="1" applyBorder="1"/>
    <xf numFmtId="4" fontId="0" fillId="0" borderId="1" xfId="0" applyNumberFormat="1" applyBorder="1"/>
    <xf numFmtId="0" fontId="13" fillId="3" borderId="1" xfId="0" applyFont="1" applyFill="1" applyBorder="1" applyAlignment="1">
      <alignment horizontal="centerContinuous"/>
    </xf>
    <xf numFmtId="164" fontId="0" fillId="0" borderId="1" xfId="0" applyNumberFormat="1" applyBorder="1"/>
    <xf numFmtId="0" fontId="10" fillId="6" borderId="3" xfId="0" applyFont="1" applyFill="1" applyBorder="1"/>
    <xf numFmtId="0" fontId="10" fillId="6" borderId="3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6" borderId="4" xfId="0" applyFont="1" applyFill="1" applyBorder="1" applyAlignment="1">
      <alignment vertical="center" wrapText="1"/>
    </xf>
    <xf numFmtId="0" fontId="10" fillId="6" borderId="0" xfId="0" applyFont="1" applyFill="1" applyAlignment="1">
      <alignment horizontal="left"/>
    </xf>
    <xf numFmtId="0" fontId="8" fillId="0" borderId="9" xfId="0" applyFont="1" applyBorder="1" applyAlignment="1">
      <alignment horizontal="center" vertical="center" wrapText="1"/>
    </xf>
    <xf numFmtId="0" fontId="11" fillId="6" borderId="8" xfId="0" applyFont="1" applyFill="1" applyBorder="1"/>
    <xf numFmtId="0" fontId="8" fillId="0" borderId="3" xfId="0" applyFont="1" applyBorder="1" applyAlignment="1">
      <alignment vertical="center" wrapText="1"/>
    </xf>
    <xf numFmtId="0" fontId="14" fillId="6" borderId="0" xfId="0" applyFont="1" applyFill="1"/>
    <xf numFmtId="0" fontId="10" fillId="6" borderId="3" xfId="0" applyFont="1" applyFill="1" applyBorder="1" applyAlignment="1">
      <alignment vertical="center"/>
    </xf>
    <xf numFmtId="43" fontId="10" fillId="6" borderId="3" xfId="2" applyFont="1" applyFill="1" applyBorder="1" applyAlignment="1">
      <alignment vertical="center"/>
    </xf>
    <xf numFmtId="165" fontId="10" fillId="6" borderId="3" xfId="2" applyNumberFormat="1" applyFont="1" applyFill="1" applyBorder="1" applyAlignment="1">
      <alignment vertical="center"/>
    </xf>
    <xf numFmtId="0" fontId="10" fillId="6" borderId="3" xfId="0" applyFont="1" applyFill="1" applyBorder="1" applyAlignment="1">
      <alignment vertical="top"/>
    </xf>
    <xf numFmtId="0" fontId="4" fillId="3" borderId="1" xfId="0" applyFont="1" applyFill="1" applyBorder="1" applyAlignment="1">
      <alignment horizontal="centerContinuous" wrapText="1"/>
    </xf>
    <xf numFmtId="0" fontId="2" fillId="3" borderId="1" xfId="0" applyFont="1" applyFill="1" applyBorder="1" applyAlignment="1">
      <alignment horizontal="centerContinuous" vertical="center"/>
    </xf>
    <xf numFmtId="0" fontId="4" fillId="3" borderId="1" xfId="0" applyFont="1" applyFill="1" applyBorder="1" applyAlignment="1">
      <alignment horizontal="centerContinuous" vertical="center"/>
    </xf>
    <xf numFmtId="0" fontId="13" fillId="3" borderId="1" xfId="0" applyFont="1" applyFill="1" applyBorder="1" applyAlignment="1">
      <alignment horizontal="centerContinuous" vertical="center"/>
    </xf>
    <xf numFmtId="0" fontId="2" fillId="3" borderId="1" xfId="0" applyFont="1" applyFill="1" applyBorder="1" applyAlignment="1">
      <alignment horizontal="centerContinuous" vertical="center" wrapText="1"/>
    </xf>
    <xf numFmtId="0" fontId="4" fillId="3" borderId="1" xfId="0" applyFont="1" applyFill="1" applyBorder="1" applyAlignment="1">
      <alignment horizontal="centerContinuous" vertical="center" wrapText="1"/>
    </xf>
    <xf numFmtId="0" fontId="13" fillId="3" borderId="1" xfId="0" applyFont="1" applyFill="1" applyBorder="1" applyAlignment="1">
      <alignment horizontal="centerContinuous" vertical="center" wrapText="1"/>
    </xf>
    <xf numFmtId="0" fontId="13" fillId="3" borderId="1" xfId="0" applyFont="1" applyFill="1" applyBorder="1" applyAlignment="1">
      <alignment horizontal="centerContinuous" wrapText="1"/>
    </xf>
    <xf numFmtId="4" fontId="0" fillId="0" borderId="1" xfId="0" applyNumberFormat="1" applyFill="1" applyBorder="1"/>
    <xf numFmtId="4" fontId="0" fillId="7" borderId="1" xfId="0" applyNumberFormat="1" applyFill="1" applyBorder="1"/>
    <xf numFmtId="43" fontId="8" fillId="6" borderId="0" xfId="0" applyNumberFormat="1" applyFont="1" applyFill="1"/>
    <xf numFmtId="0" fontId="0" fillId="0" borderId="0" xfId="0" applyFont="1"/>
    <xf numFmtId="0" fontId="4" fillId="0" borderId="0" xfId="0" applyFont="1"/>
    <xf numFmtId="0" fontId="16" fillId="4" borderId="12" xfId="0" applyFont="1" applyFill="1" applyBorder="1" applyAlignment="1">
      <alignment horizontal="center"/>
    </xf>
    <xf numFmtId="0" fontId="16" fillId="4" borderId="13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7" fillId="0" borderId="15" xfId="0" applyFont="1" applyBorder="1"/>
    <xf numFmtId="0" fontId="18" fillId="0" borderId="16" xfId="0" applyFont="1" applyBorder="1"/>
    <xf numFmtId="4" fontId="18" fillId="0" borderId="17" xfId="0" applyNumberFormat="1" applyFont="1" applyBorder="1"/>
    <xf numFmtId="0" fontId="18" fillId="0" borderId="16" xfId="0" applyFont="1" applyBorder="1" applyAlignment="1">
      <alignment horizontal="left" indent="1"/>
    </xf>
    <xf numFmtId="4" fontId="4" fillId="0" borderId="0" xfId="0" applyNumberFormat="1" applyFont="1"/>
    <xf numFmtId="4" fontId="18" fillId="0" borderId="20" xfId="0" applyNumberFormat="1" applyFont="1" applyBorder="1"/>
    <xf numFmtId="0" fontId="17" fillId="0" borderId="18" xfId="0" applyFont="1" applyBorder="1" applyAlignment="1">
      <alignment vertical="center"/>
    </xf>
    <xf numFmtId="0" fontId="18" fillId="0" borderId="21" xfId="0" applyFont="1" applyBorder="1" applyAlignment="1">
      <alignment horizontal="left" indent="1"/>
    </xf>
    <xf numFmtId="4" fontId="18" fillId="0" borderId="22" xfId="0" applyNumberFormat="1" applyFont="1" applyBorder="1"/>
    <xf numFmtId="0" fontId="17" fillId="0" borderId="18" xfId="0" applyFont="1" applyBorder="1" applyAlignment="1">
      <alignment horizontal="center" vertical="center"/>
    </xf>
    <xf numFmtId="17" fontId="3" fillId="5" borderId="1" xfId="0" applyNumberFormat="1" applyFont="1" applyFill="1" applyBorder="1" applyAlignment="1">
      <alignment horizontal="left" vertical="center"/>
    </xf>
    <xf numFmtId="0" fontId="18" fillId="0" borderId="19" xfId="0" applyFont="1" applyBorder="1" applyAlignment="1">
      <alignment horizontal="left" indent="1"/>
    </xf>
    <xf numFmtId="0" fontId="17" fillId="0" borderId="18" xfId="0" applyFont="1" applyBorder="1" applyAlignment="1">
      <alignment horizontal="center" vertical="center"/>
    </xf>
    <xf numFmtId="0" fontId="18" fillId="0" borderId="26" xfId="0" applyFont="1" applyBorder="1" applyAlignment="1">
      <alignment horizontal="left" indent="1"/>
    </xf>
    <xf numFmtId="0" fontId="17" fillId="0" borderId="2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10" fillId="6" borderId="8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/>
    </xf>
    <xf numFmtId="0" fontId="10" fillId="6" borderId="9" xfId="0" applyFont="1" applyFill="1" applyBorder="1" applyAlignment="1">
      <alignment horizontal="center" vertical="center" wrapText="1"/>
    </xf>
    <xf numFmtId="0" fontId="10" fillId="6" borderId="10" xfId="0" applyFont="1" applyFill="1" applyBorder="1" applyAlignment="1">
      <alignment horizontal="center" vertical="center" wrapText="1"/>
    </xf>
    <xf numFmtId="0" fontId="10" fillId="6" borderId="11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wrapText="1"/>
    </xf>
    <xf numFmtId="0" fontId="8" fillId="0" borderId="6" xfId="0" applyFont="1" applyBorder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4" fontId="19" fillId="0" borderId="0" xfId="0" applyNumberFormat="1" applyFont="1"/>
    <xf numFmtId="0" fontId="19" fillId="0" borderId="0" xfId="0" applyFont="1"/>
  </cellXfs>
  <cellStyles count="3">
    <cellStyle name="Comma" xfId="2" builtinId="3"/>
    <cellStyle name="Normal" xfId="0" builtinId="0"/>
    <cellStyle name="Normal 3 5 4" xfId="1"/>
  </cellStyles>
  <dxfs count="0"/>
  <tableStyles count="0" defaultTableStyle="TableStyleMedium2" defaultPivotStyle="PivotStyleLight16"/>
  <colors>
    <mruColors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518117</xdr:colOff>
      <xdr:row>3</xdr:row>
      <xdr:rowOff>87707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pSpPr/>
      </xdr:nvGrpSpPr>
      <xdr:grpSpPr>
        <a:xfrm>
          <a:off x="251460" y="91440"/>
          <a:ext cx="1996397" cy="339167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2023067</xdr:colOff>
      <xdr:row>3</xdr:row>
      <xdr:rowOff>87707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pSpPr/>
      </xdr:nvGrpSpPr>
      <xdr:grpSpPr>
        <a:xfrm>
          <a:off x="254000" y="93133"/>
          <a:ext cx="2023067" cy="341707"/>
          <a:chOff x="247650" y="95250"/>
          <a:chExt cx="2062033" cy="344882"/>
        </a:xfrm>
      </xdr:grpSpPr>
      <xdr:pic>
        <xdr:nvPicPr>
          <xdr:cNvPr id="9" name="Picture 8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4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0" name="Graphic 17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2023067</xdr:colOff>
      <xdr:row>3</xdr:row>
      <xdr:rowOff>90305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pSpPr/>
      </xdr:nvGrpSpPr>
      <xdr:grpSpPr>
        <a:xfrm>
          <a:off x="254000" y="93133"/>
          <a:ext cx="2023067" cy="344305"/>
          <a:chOff x="247650" y="95250"/>
          <a:chExt cx="2062033" cy="344882"/>
        </a:xfrm>
      </xdr:grpSpPr>
      <xdr:pic>
        <xdr:nvPicPr>
          <xdr:cNvPr id="6" name="Picture 5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Graphic 17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1818960</xdr:colOff>
      <xdr:row>3</xdr:row>
      <xdr:rowOff>88944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247650" y="95250"/>
          <a:ext cx="2028510" cy="346119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1818960</xdr:colOff>
      <xdr:row>3</xdr:row>
      <xdr:rowOff>88944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pSpPr/>
      </xdr:nvGrpSpPr>
      <xdr:grpSpPr>
        <a:xfrm>
          <a:off x="247650" y="95250"/>
          <a:ext cx="2028510" cy="346119"/>
          <a:chOff x="247650" y="95250"/>
          <a:chExt cx="2062033" cy="344882"/>
        </a:xfrm>
      </xdr:grpSpPr>
      <xdr:pic>
        <xdr:nvPicPr>
          <xdr:cNvPr id="6" name="Picture 5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Graphic 17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F167"/>
  <sheetViews>
    <sheetView showGridLines="0" tabSelected="1" workbookViewId="0"/>
  </sheetViews>
  <sheetFormatPr defaultColWidth="0" defaultRowHeight="0" customHeight="1" zeroHeight="1" x14ac:dyDescent="0.3"/>
  <cols>
    <col min="1" max="1" width="3.6640625" customWidth="1"/>
    <col min="2" max="2" width="21.5546875" bestFit="1" customWidth="1"/>
    <col min="3" max="3" width="40" bestFit="1" customWidth="1"/>
    <col min="4" max="4" width="21.5546875" customWidth="1"/>
    <col min="5" max="5" width="3.6640625" style="44" customWidth="1"/>
    <col min="6" max="6" width="3.6640625" hidden="1" customWidth="1"/>
    <col min="7" max="16384" width="8.88671875" hidden="1"/>
  </cols>
  <sheetData>
    <row r="1" spans="1:5" ht="7.5" customHeight="1" x14ac:dyDescent="0.3">
      <c r="A1" s="1"/>
      <c r="B1" s="1"/>
      <c r="C1" s="1"/>
      <c r="D1" s="1"/>
      <c r="E1" s="1"/>
    </row>
    <row r="2" spans="1:5" ht="7.5" customHeight="1" x14ac:dyDescent="0.3">
      <c r="A2" s="2"/>
      <c r="B2" s="2"/>
      <c r="C2" s="2"/>
      <c r="D2" s="2"/>
      <c r="E2" s="2"/>
    </row>
    <row r="3" spans="1:5" ht="12.75" customHeight="1" x14ac:dyDescent="0.3">
      <c r="A3" s="3"/>
      <c r="B3" s="3"/>
      <c r="C3" s="3"/>
      <c r="D3" s="3"/>
      <c r="E3" s="3"/>
    </row>
    <row r="4" spans="1:5" ht="7.5" customHeight="1" x14ac:dyDescent="0.3">
      <c r="A4" s="1"/>
      <c r="B4" s="1"/>
      <c r="C4" s="1"/>
      <c r="D4" s="1"/>
      <c r="E4" s="1"/>
    </row>
    <row r="5" spans="1:5" ht="7.5" customHeight="1" x14ac:dyDescent="0.3">
      <c r="A5" s="1"/>
      <c r="B5" s="1"/>
      <c r="C5" s="1"/>
      <c r="D5" s="1"/>
      <c r="E5" s="1"/>
    </row>
    <row r="6" spans="1:5" ht="3" customHeight="1" x14ac:dyDescent="0.3">
      <c r="A6" s="4"/>
      <c r="B6" s="4"/>
      <c r="C6" s="4"/>
      <c r="D6" s="4"/>
      <c r="E6" s="4"/>
    </row>
    <row r="7" spans="1:5" s="43" customFormat="1" ht="14.4" x14ac:dyDescent="0.3">
      <c r="E7" s="44"/>
    </row>
    <row r="8" spans="1:5" s="43" customFormat="1" ht="14.4" x14ac:dyDescent="0.3">
      <c r="B8" s="45" t="s">
        <v>61</v>
      </c>
      <c r="C8" s="46" t="s">
        <v>62</v>
      </c>
      <c r="D8" s="47" t="s">
        <v>63</v>
      </c>
      <c r="E8" s="44"/>
    </row>
    <row r="9" spans="1:5" s="43" customFormat="1" ht="14.4" x14ac:dyDescent="0.3">
      <c r="B9" s="48" t="s">
        <v>65</v>
      </c>
      <c r="C9" s="49" t="s">
        <v>76</v>
      </c>
      <c r="D9" s="50">
        <v>52685575.341371298</v>
      </c>
      <c r="E9" s="44"/>
    </row>
    <row r="10" spans="1:5" s="43" customFormat="1" ht="14.4" x14ac:dyDescent="0.3">
      <c r="B10" s="60" t="s">
        <v>67</v>
      </c>
      <c r="C10" s="51" t="s">
        <v>68</v>
      </c>
      <c r="D10" s="50">
        <v>52552077.231371298</v>
      </c>
      <c r="E10" s="84"/>
    </row>
    <row r="11" spans="1:5" s="43" customFormat="1" ht="14.4" x14ac:dyDescent="0.3">
      <c r="B11" s="60" t="s">
        <v>69</v>
      </c>
      <c r="C11" s="51" t="s">
        <v>70</v>
      </c>
      <c r="D11" s="50">
        <v>133498.10999999999</v>
      </c>
      <c r="E11" s="52"/>
    </row>
    <row r="12" spans="1:5" s="43" customFormat="1" ht="14.4" collapsed="1" x14ac:dyDescent="0.3">
      <c r="B12" s="48" t="s">
        <v>66</v>
      </c>
      <c r="C12" s="49" t="s">
        <v>75</v>
      </c>
      <c r="D12" s="50">
        <v>244599363.6643129</v>
      </c>
      <c r="E12" s="44"/>
    </row>
    <row r="13" spans="1:5" s="43" customFormat="1" ht="14.4" x14ac:dyDescent="0.3">
      <c r="B13" s="60" t="s">
        <v>71</v>
      </c>
      <c r="C13" s="51" t="s">
        <v>73</v>
      </c>
      <c r="D13" s="50">
        <v>16312019.393681901</v>
      </c>
      <c r="E13" s="44"/>
    </row>
    <row r="14" spans="1:5" s="43" customFormat="1" ht="14.4" x14ac:dyDescent="0.3">
      <c r="B14" s="60" t="s">
        <v>72</v>
      </c>
      <c r="C14" s="51" t="s">
        <v>74</v>
      </c>
      <c r="D14" s="50">
        <v>228287344.27063099</v>
      </c>
      <c r="E14" s="44"/>
    </row>
    <row r="15" spans="1:5" s="43" customFormat="1" ht="14.4" collapsed="1" x14ac:dyDescent="0.3">
      <c r="B15" s="54" t="s">
        <v>77</v>
      </c>
      <c r="C15" s="51" t="s">
        <v>87</v>
      </c>
      <c r="D15" s="50">
        <v>266580631.84000003</v>
      </c>
      <c r="E15" s="85"/>
    </row>
    <row r="16" spans="1:5" s="43" customFormat="1" ht="14.4" x14ac:dyDescent="0.3">
      <c r="B16" s="66" t="s">
        <v>88</v>
      </c>
      <c r="C16" s="61" t="s">
        <v>78</v>
      </c>
      <c r="D16" s="50">
        <v>327524.36</v>
      </c>
      <c r="E16" s="84"/>
    </row>
    <row r="17" spans="2:5" s="43" customFormat="1" ht="14.4" x14ac:dyDescent="0.3">
      <c r="B17" s="64"/>
      <c r="C17" s="55" t="s">
        <v>79</v>
      </c>
      <c r="D17" s="56">
        <v>141154579.71000001</v>
      </c>
      <c r="E17" s="44"/>
    </row>
    <row r="18" spans="2:5" s="43" customFormat="1" ht="14.4" x14ac:dyDescent="0.3">
      <c r="B18" s="67"/>
      <c r="C18" s="55" t="s">
        <v>80</v>
      </c>
      <c r="D18" s="56">
        <v>3110665.82</v>
      </c>
      <c r="E18" s="44"/>
    </row>
    <row r="19" spans="2:5" s="43" customFormat="1" ht="14.4" x14ac:dyDescent="0.3">
      <c r="B19" s="57" t="s">
        <v>89</v>
      </c>
      <c r="C19" s="55" t="s">
        <v>81</v>
      </c>
      <c r="D19" s="56">
        <v>31981119.59</v>
      </c>
      <c r="E19" s="84"/>
    </row>
    <row r="20" spans="2:5" s="43" customFormat="1" ht="14.4" x14ac:dyDescent="0.3">
      <c r="B20" s="63" t="s">
        <v>90</v>
      </c>
      <c r="C20" s="55" t="s">
        <v>82</v>
      </c>
      <c r="D20" s="56">
        <v>7520134.0899999999</v>
      </c>
      <c r="E20" s="44"/>
    </row>
    <row r="21" spans="2:5" s="43" customFormat="1" ht="14.4" x14ac:dyDescent="0.3">
      <c r="B21" s="67"/>
      <c r="C21" s="55" t="s">
        <v>83</v>
      </c>
      <c r="D21" s="56">
        <v>57552818.229999997</v>
      </c>
      <c r="E21" s="44"/>
    </row>
    <row r="22" spans="2:5" s="43" customFormat="1" ht="14.4" x14ac:dyDescent="0.3">
      <c r="B22" s="60" t="s">
        <v>91</v>
      </c>
      <c r="C22" s="55" t="s">
        <v>84</v>
      </c>
      <c r="D22" s="56">
        <v>4602070</v>
      </c>
      <c r="E22" s="44"/>
    </row>
    <row r="23" spans="2:5" s="43" customFormat="1" ht="14.4" x14ac:dyDescent="0.3">
      <c r="B23" s="62" t="s">
        <v>92</v>
      </c>
      <c r="C23" s="55" t="s">
        <v>85</v>
      </c>
      <c r="D23" s="56">
        <v>50213242.57</v>
      </c>
      <c r="E23" s="84"/>
    </row>
    <row r="24" spans="2:5" s="43" customFormat="1" ht="14.4" x14ac:dyDescent="0.3">
      <c r="B24" s="62" t="s">
        <v>93</v>
      </c>
      <c r="C24" s="55" t="s">
        <v>86</v>
      </c>
      <c r="D24" s="56">
        <v>612.75</v>
      </c>
      <c r="E24" s="44"/>
    </row>
    <row r="25" spans="2:5" s="43" customFormat="1" ht="14.4" x14ac:dyDescent="0.3">
      <c r="B25" s="63" t="s">
        <v>98</v>
      </c>
      <c r="C25" s="55" t="s">
        <v>99</v>
      </c>
      <c r="D25" s="56">
        <v>1038.81</v>
      </c>
      <c r="E25" s="44"/>
    </row>
    <row r="26" spans="2:5" s="43" customFormat="1" ht="14.4" x14ac:dyDescent="0.3">
      <c r="B26" s="64"/>
      <c r="C26" s="55" t="s">
        <v>100</v>
      </c>
      <c r="D26" s="56">
        <v>109462.39</v>
      </c>
      <c r="E26" s="44"/>
    </row>
    <row r="27" spans="2:5" s="43" customFormat="1" ht="14.4" x14ac:dyDescent="0.3">
      <c r="B27" s="64"/>
      <c r="C27" s="55" t="s">
        <v>101</v>
      </c>
      <c r="D27" s="56">
        <v>13792.91</v>
      </c>
      <c r="E27" s="44"/>
    </row>
    <row r="28" spans="2:5" s="43" customFormat="1" ht="14.4" x14ac:dyDescent="0.3">
      <c r="B28" s="64"/>
      <c r="C28" s="55" t="s">
        <v>102</v>
      </c>
      <c r="D28" s="56">
        <v>1424.48</v>
      </c>
      <c r="E28" s="44"/>
    </row>
    <row r="29" spans="2:5" s="43" customFormat="1" ht="14.4" x14ac:dyDescent="0.3">
      <c r="B29" s="64"/>
      <c r="C29" s="55" t="s">
        <v>103</v>
      </c>
      <c r="D29" s="56">
        <v>22629.16</v>
      </c>
      <c r="E29" s="44"/>
    </row>
    <row r="30" spans="2:5" s="43" customFormat="1" ht="14.4" x14ac:dyDescent="0.3">
      <c r="B30" s="64"/>
      <c r="C30" s="55" t="s">
        <v>104</v>
      </c>
      <c r="D30" s="56">
        <v>207598.21</v>
      </c>
      <c r="E30" s="44"/>
    </row>
    <row r="31" spans="2:5" s="43" customFormat="1" ht="14.4" x14ac:dyDescent="0.3">
      <c r="B31" s="64"/>
      <c r="C31" s="55" t="s">
        <v>105</v>
      </c>
      <c r="D31" s="56">
        <v>62330.239999999998</v>
      </c>
      <c r="E31" s="44"/>
    </row>
    <row r="32" spans="2:5" s="43" customFormat="1" ht="14.4" x14ac:dyDescent="0.3">
      <c r="B32" s="64"/>
      <c r="C32" s="55" t="s">
        <v>106</v>
      </c>
      <c r="D32" s="56">
        <v>263.3</v>
      </c>
      <c r="E32" s="44"/>
    </row>
    <row r="33" spans="2:5" s="43" customFormat="1" ht="14.4" x14ac:dyDescent="0.3">
      <c r="B33" s="64"/>
      <c r="C33" s="55" t="s">
        <v>107</v>
      </c>
      <c r="D33" s="56">
        <v>8087.27</v>
      </c>
      <c r="E33" s="44"/>
    </row>
    <row r="34" spans="2:5" s="43" customFormat="1" ht="14.4" x14ac:dyDescent="0.3">
      <c r="B34" s="65"/>
      <c r="C34" s="59" t="s">
        <v>108</v>
      </c>
      <c r="D34" s="53">
        <v>-30308762.050000001</v>
      </c>
      <c r="E34" s="44"/>
    </row>
    <row r="35" spans="2:5" s="43" customFormat="1" ht="14.4" x14ac:dyDescent="0.3">
      <c r="E35" s="44"/>
    </row>
    <row r="36" spans="2:5" s="43" customFormat="1" ht="14.4" hidden="1" x14ac:dyDescent="0.3">
      <c r="B36"/>
      <c r="C36"/>
      <c r="D36"/>
      <c r="E36" s="44"/>
    </row>
    <row r="37" spans="2:5" s="43" customFormat="1" ht="14.4" hidden="1" x14ac:dyDescent="0.3">
      <c r="B37"/>
      <c r="C37"/>
      <c r="D37"/>
      <c r="E37" s="44"/>
    </row>
    <row r="38" spans="2:5" s="43" customFormat="1" ht="14.4" hidden="1" x14ac:dyDescent="0.3">
      <c r="B38"/>
      <c r="C38"/>
      <c r="D38"/>
      <c r="E38" s="44"/>
    </row>
    <row r="39" spans="2:5" s="43" customFormat="1" ht="14.4" hidden="1" x14ac:dyDescent="0.3">
      <c r="B39"/>
      <c r="C39"/>
      <c r="D39"/>
      <c r="E39" s="44"/>
    </row>
    <row r="40" spans="2:5" s="43" customFormat="1" ht="14.4" hidden="1" x14ac:dyDescent="0.3">
      <c r="B40"/>
      <c r="C40"/>
      <c r="D40"/>
      <c r="E40" s="44"/>
    </row>
    <row r="41" spans="2:5" s="43" customFormat="1" ht="14.4" hidden="1" x14ac:dyDescent="0.3">
      <c r="B41"/>
      <c r="C41"/>
      <c r="D41"/>
      <c r="E41" s="44"/>
    </row>
    <row r="42" spans="2:5" s="43" customFormat="1" ht="14.4" hidden="1" x14ac:dyDescent="0.3">
      <c r="B42"/>
      <c r="C42"/>
      <c r="D42"/>
      <c r="E42" s="44"/>
    </row>
    <row r="43" spans="2:5" s="43" customFormat="1" ht="14.4" hidden="1" x14ac:dyDescent="0.3">
      <c r="B43"/>
      <c r="C43"/>
      <c r="D43"/>
      <c r="E43" s="44"/>
    </row>
    <row r="44" spans="2:5" s="43" customFormat="1" ht="14.4" hidden="1" x14ac:dyDescent="0.3">
      <c r="B44"/>
      <c r="C44"/>
      <c r="D44"/>
      <c r="E44" s="44"/>
    </row>
    <row r="45" spans="2:5" s="43" customFormat="1" ht="14.4" hidden="1" x14ac:dyDescent="0.3">
      <c r="B45"/>
      <c r="C45"/>
      <c r="D45"/>
      <c r="E45" s="44"/>
    </row>
    <row r="46" spans="2:5" s="43" customFormat="1" ht="14.4" hidden="1" x14ac:dyDescent="0.3">
      <c r="B46"/>
      <c r="C46"/>
      <c r="D46"/>
      <c r="E46" s="44"/>
    </row>
    <row r="47" spans="2:5" s="43" customFormat="1" ht="14.4" hidden="1" x14ac:dyDescent="0.3">
      <c r="B47"/>
      <c r="C47"/>
      <c r="D47"/>
      <c r="E47" s="44"/>
    </row>
    <row r="48" spans="2:5" s="43" customFormat="1" ht="14.4" hidden="1" x14ac:dyDescent="0.3">
      <c r="B48"/>
      <c r="C48"/>
      <c r="D48"/>
      <c r="E48" s="44"/>
    </row>
    <row r="49" spans="1:5" s="43" customFormat="1" ht="14.4" hidden="1" x14ac:dyDescent="0.3">
      <c r="B49"/>
      <c r="C49"/>
      <c r="D49"/>
      <c r="E49" s="44"/>
    </row>
    <row r="50" spans="1:5" s="43" customFormat="1" ht="14.4" hidden="1" x14ac:dyDescent="0.3">
      <c r="B50"/>
      <c r="C50"/>
      <c r="D50"/>
      <c r="E50" s="44"/>
    </row>
    <row r="51" spans="1:5" s="43" customFormat="1" ht="14.4" hidden="1" x14ac:dyDescent="0.3">
      <c r="B51"/>
      <c r="C51"/>
      <c r="D51"/>
      <c r="E51" s="44"/>
    </row>
    <row r="52" spans="1:5" s="43" customFormat="1" ht="14.4" hidden="1" x14ac:dyDescent="0.3">
      <c r="B52"/>
      <c r="C52"/>
      <c r="D52"/>
      <c r="E52" s="44"/>
    </row>
    <row r="53" spans="1:5" s="43" customFormat="1" ht="14.4" hidden="1" x14ac:dyDescent="0.3">
      <c r="B53"/>
      <c r="C53"/>
      <c r="D53"/>
      <c r="E53" s="44"/>
    </row>
    <row r="54" spans="1:5" s="43" customFormat="1" ht="14.4" hidden="1" x14ac:dyDescent="0.3">
      <c r="B54"/>
      <c r="C54"/>
      <c r="D54"/>
      <c r="E54" s="44"/>
    </row>
    <row r="55" spans="1:5" s="43" customFormat="1" ht="14.4" hidden="1" x14ac:dyDescent="0.3">
      <c r="B55"/>
      <c r="C55"/>
      <c r="D55"/>
      <c r="E55" s="44"/>
    </row>
    <row r="56" spans="1:5" s="43" customFormat="1" ht="14.4" hidden="1" x14ac:dyDescent="0.3">
      <c r="B56"/>
      <c r="C56"/>
      <c r="D56"/>
      <c r="E56" s="44"/>
    </row>
    <row r="57" spans="1:5" s="43" customFormat="1" ht="14.4" hidden="1" x14ac:dyDescent="0.3">
      <c r="B57"/>
      <c r="C57"/>
      <c r="D57"/>
      <c r="E57" s="44"/>
    </row>
    <row r="58" spans="1:5" s="43" customFormat="1" ht="14.4" hidden="1" x14ac:dyDescent="0.3">
      <c r="B58"/>
      <c r="C58"/>
      <c r="D58"/>
      <c r="E58" s="44"/>
    </row>
    <row r="59" spans="1:5" s="43" customFormat="1" ht="14.4" hidden="1" x14ac:dyDescent="0.3">
      <c r="B59"/>
      <c r="C59"/>
      <c r="D59"/>
      <c r="E59" s="44"/>
    </row>
    <row r="60" spans="1:5" s="43" customFormat="1" ht="14.4" hidden="1" x14ac:dyDescent="0.3">
      <c r="B60"/>
      <c r="C60"/>
      <c r="D60"/>
      <c r="E60" s="44"/>
    </row>
    <row r="61" spans="1:5" s="43" customFormat="1" ht="14.4" hidden="1" x14ac:dyDescent="0.3">
      <c r="B61"/>
      <c r="C61"/>
      <c r="D61"/>
      <c r="E61" s="44"/>
    </row>
    <row r="62" spans="1:5" ht="14.4" hidden="1" x14ac:dyDescent="0.3">
      <c r="A62" t="s">
        <v>64</v>
      </c>
    </row>
    <row r="63" spans="1:5" ht="14.4" hidden="1" x14ac:dyDescent="0.3"/>
    <row r="64" spans="1:5" ht="14.4" hidden="1" x14ac:dyDescent="0.3"/>
    <row r="65" ht="14.4" hidden="1" customHeight="1" x14ac:dyDescent="0.3"/>
    <row r="66" ht="14.4" hidden="1" customHeight="1" x14ac:dyDescent="0.3"/>
    <row r="67" ht="14.4" hidden="1" customHeight="1" x14ac:dyDescent="0.3"/>
    <row r="68" ht="14.4" hidden="1" x14ac:dyDescent="0.3"/>
    <row r="69" ht="14.4" hidden="1" customHeight="1" x14ac:dyDescent="0.3"/>
    <row r="70" ht="14.4" hidden="1" customHeight="1" x14ac:dyDescent="0.3"/>
    <row r="71" ht="14.4" hidden="1" customHeight="1" x14ac:dyDescent="0.3"/>
    <row r="72" ht="14.4" hidden="1" customHeight="1" x14ac:dyDescent="0.3"/>
    <row r="73" ht="14.4" hidden="1" customHeight="1" x14ac:dyDescent="0.3"/>
    <row r="74" ht="14.4" hidden="1" customHeight="1" x14ac:dyDescent="0.3"/>
    <row r="75" ht="14.4" hidden="1" customHeight="1" x14ac:dyDescent="0.3"/>
    <row r="76" ht="14.4" hidden="1" customHeight="1" x14ac:dyDescent="0.3"/>
    <row r="77" ht="14.4" hidden="1" customHeight="1" x14ac:dyDescent="0.3"/>
    <row r="78" ht="14.4" hidden="1" customHeight="1" x14ac:dyDescent="0.3"/>
    <row r="79" ht="14.4" hidden="1" customHeight="1" x14ac:dyDescent="0.3"/>
    <row r="80" ht="14.4" hidden="1" customHeight="1" x14ac:dyDescent="0.3"/>
    <row r="81" ht="14.4" hidden="1" customHeight="1" x14ac:dyDescent="0.3"/>
    <row r="82" ht="14.4" hidden="1" customHeight="1" x14ac:dyDescent="0.3"/>
    <row r="83" ht="14.4" hidden="1" customHeight="1" x14ac:dyDescent="0.3"/>
    <row r="84" ht="14.4" hidden="1" customHeight="1" x14ac:dyDescent="0.3"/>
    <row r="85" ht="14.4" hidden="1" customHeight="1" x14ac:dyDescent="0.3"/>
    <row r="86" ht="14.4" hidden="1" customHeight="1" x14ac:dyDescent="0.3"/>
    <row r="87" ht="14.4" hidden="1" customHeight="1" x14ac:dyDescent="0.3"/>
    <row r="88" ht="14.4" hidden="1" customHeight="1" x14ac:dyDescent="0.3"/>
    <row r="89" ht="14.4" hidden="1" customHeight="1" x14ac:dyDescent="0.3"/>
    <row r="90" ht="14.4" hidden="1" customHeight="1" x14ac:dyDescent="0.3"/>
    <row r="91" ht="14.4" hidden="1" customHeight="1" x14ac:dyDescent="0.3"/>
    <row r="92" ht="14.4" hidden="1" customHeight="1" x14ac:dyDescent="0.3"/>
    <row r="93" ht="14.4" hidden="1" customHeight="1" x14ac:dyDescent="0.3"/>
    <row r="94" ht="14.4" hidden="1" customHeight="1" x14ac:dyDescent="0.3"/>
    <row r="95" ht="14.4" hidden="1" customHeight="1" x14ac:dyDescent="0.3"/>
    <row r="96" ht="14.4" hidden="1" customHeight="1" x14ac:dyDescent="0.3"/>
    <row r="97" ht="14.4" hidden="1" customHeight="1" x14ac:dyDescent="0.3"/>
    <row r="98" ht="14.4" hidden="1" customHeight="1" x14ac:dyDescent="0.3"/>
    <row r="99" ht="14.4" hidden="1" customHeight="1" x14ac:dyDescent="0.3"/>
    <row r="100" ht="14.4" hidden="1" customHeight="1" x14ac:dyDescent="0.3"/>
    <row r="101" ht="14.4" hidden="1" customHeight="1" x14ac:dyDescent="0.3"/>
    <row r="102" ht="14.4" hidden="1" customHeight="1" x14ac:dyDescent="0.3"/>
    <row r="103" ht="14.4" hidden="1" customHeight="1" x14ac:dyDescent="0.3"/>
    <row r="104" ht="14.4" hidden="1" customHeight="1" x14ac:dyDescent="0.3"/>
    <row r="105" ht="14.4" hidden="1" customHeight="1" x14ac:dyDescent="0.3"/>
    <row r="106" ht="14.4" hidden="1" customHeight="1" x14ac:dyDescent="0.3"/>
    <row r="107" ht="14.4" hidden="1" customHeight="1" x14ac:dyDescent="0.3"/>
    <row r="108" ht="14.4" hidden="1" customHeight="1" x14ac:dyDescent="0.3"/>
    <row r="109" ht="14.4" hidden="1" customHeight="1" x14ac:dyDescent="0.3"/>
    <row r="110" ht="14.4" hidden="1" customHeight="1" x14ac:dyDescent="0.3"/>
    <row r="111" ht="14.4" hidden="1" customHeight="1" x14ac:dyDescent="0.3"/>
    <row r="112" ht="14.4" hidden="1" customHeight="1" x14ac:dyDescent="0.3"/>
    <row r="113" ht="14.4" hidden="1" customHeight="1" x14ac:dyDescent="0.3"/>
    <row r="114" ht="14.4" hidden="1" customHeight="1" x14ac:dyDescent="0.3"/>
    <row r="115" ht="14.4" hidden="1" customHeight="1" x14ac:dyDescent="0.3"/>
    <row r="116" ht="14.4" hidden="1" customHeight="1" x14ac:dyDescent="0.3"/>
    <row r="117" ht="14.4" hidden="1" customHeight="1" x14ac:dyDescent="0.3"/>
    <row r="118" ht="14.4" hidden="1" customHeight="1" x14ac:dyDescent="0.3"/>
    <row r="119" ht="14.4" hidden="1" customHeight="1" x14ac:dyDescent="0.3"/>
    <row r="120" ht="14.4" hidden="1" customHeight="1" x14ac:dyDescent="0.3"/>
    <row r="121" ht="14.4" hidden="1" customHeight="1" x14ac:dyDescent="0.3"/>
    <row r="122" ht="14.4" hidden="1" customHeight="1" x14ac:dyDescent="0.3"/>
    <row r="123" ht="14.4" hidden="1" customHeight="1" x14ac:dyDescent="0.3"/>
    <row r="124" ht="14.4" hidden="1" customHeight="1" x14ac:dyDescent="0.3"/>
    <row r="125" ht="14.4" hidden="1" customHeight="1" x14ac:dyDescent="0.3"/>
    <row r="126" ht="14.4" hidden="1" customHeight="1" x14ac:dyDescent="0.3"/>
    <row r="127" ht="14.4" hidden="1" customHeight="1" x14ac:dyDescent="0.3"/>
    <row r="128" ht="14.4" hidden="1" customHeight="1" x14ac:dyDescent="0.3"/>
    <row r="129" ht="14.4" hidden="1" customHeight="1" x14ac:dyDescent="0.3"/>
    <row r="130" ht="14.4" hidden="1" customHeight="1" x14ac:dyDescent="0.3"/>
    <row r="131" ht="14.4" hidden="1" customHeight="1" x14ac:dyDescent="0.3"/>
    <row r="132" ht="14.4" hidden="1" customHeight="1" x14ac:dyDescent="0.3"/>
    <row r="133" ht="14.4" hidden="1" customHeight="1" x14ac:dyDescent="0.3"/>
    <row r="134" ht="14.4" hidden="1" customHeight="1" x14ac:dyDescent="0.3"/>
    <row r="135" ht="14.4" hidden="1" customHeight="1" x14ac:dyDescent="0.3"/>
    <row r="136" ht="14.4" hidden="1" customHeight="1" x14ac:dyDescent="0.3"/>
    <row r="137" ht="14.4" hidden="1" customHeight="1" x14ac:dyDescent="0.3"/>
    <row r="138" ht="14.4" hidden="1" customHeight="1" x14ac:dyDescent="0.3"/>
    <row r="139" ht="14.4" hidden="1" customHeight="1" x14ac:dyDescent="0.3"/>
    <row r="140" ht="14.4" hidden="1" customHeight="1" x14ac:dyDescent="0.3"/>
    <row r="141" ht="14.4" hidden="1" customHeight="1" x14ac:dyDescent="0.3"/>
    <row r="142" ht="14.4" hidden="1" customHeight="1" x14ac:dyDescent="0.3"/>
    <row r="143" ht="14.4" hidden="1" customHeight="1" x14ac:dyDescent="0.3"/>
    <row r="144" ht="14.4" hidden="1" customHeight="1" x14ac:dyDescent="0.3"/>
    <row r="145" ht="14.4" hidden="1" customHeight="1" x14ac:dyDescent="0.3"/>
    <row r="146" ht="14.4" hidden="1" customHeight="1" x14ac:dyDescent="0.3"/>
    <row r="147" ht="14.4" hidden="1" customHeight="1" x14ac:dyDescent="0.3"/>
    <row r="148" ht="14.4" hidden="1" customHeight="1" x14ac:dyDescent="0.3"/>
    <row r="149" ht="14.4" hidden="1" customHeight="1" x14ac:dyDescent="0.3"/>
    <row r="150" ht="14.4" hidden="1" customHeight="1" x14ac:dyDescent="0.3"/>
    <row r="151" ht="14.4" hidden="1" customHeight="1" x14ac:dyDescent="0.3"/>
    <row r="152" ht="14.4" hidden="1" customHeight="1" x14ac:dyDescent="0.3"/>
    <row r="153" ht="14.4" hidden="1" customHeight="1" x14ac:dyDescent="0.3"/>
    <row r="154" ht="14.4" hidden="1" customHeight="1" x14ac:dyDescent="0.3"/>
    <row r="155" ht="14.4" hidden="1" customHeight="1" x14ac:dyDescent="0.3"/>
    <row r="156" ht="14.4" hidden="1" customHeight="1" x14ac:dyDescent="0.3"/>
    <row r="157" ht="14.4" hidden="1" customHeight="1" x14ac:dyDescent="0.3"/>
    <row r="158" ht="14.4" hidden="1" customHeight="1" x14ac:dyDescent="0.3"/>
    <row r="159" ht="14.4" hidden="1" customHeight="1" x14ac:dyDescent="0.3"/>
    <row r="160" ht="14.4" hidden="1" customHeight="1" x14ac:dyDescent="0.3"/>
    <row r="161" ht="14.4" hidden="1" customHeight="1" x14ac:dyDescent="0.3"/>
    <row r="162" ht="14.4" hidden="1" customHeight="1" x14ac:dyDescent="0.3"/>
    <row r="163" ht="14.4" hidden="1" customHeight="1" x14ac:dyDescent="0.3"/>
    <row r="164" ht="0" hidden="1" customHeight="1" x14ac:dyDescent="0.3"/>
    <row r="165" ht="0" hidden="1" customHeight="1" x14ac:dyDescent="0.3"/>
    <row r="166" ht="0" hidden="1" customHeight="1" x14ac:dyDescent="0.3"/>
    <row r="167" ht="0" hidden="1" customHeight="1" x14ac:dyDescent="0.3"/>
  </sheetData>
  <mergeCells count="3">
    <mergeCell ref="B16:B18"/>
    <mergeCell ref="B20:B21"/>
    <mergeCell ref="B25:B34"/>
  </mergeCells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AY27"/>
  <sheetViews>
    <sheetView showGridLines="0" zoomScale="90" zoomScaleNormal="90" workbookViewId="0">
      <pane xSplit="2" topLeftCell="C1" activePane="topRight" state="frozen"/>
      <selection pane="topRight"/>
    </sheetView>
  </sheetViews>
  <sheetFormatPr defaultColWidth="0" defaultRowHeight="14.4" zeroHeight="1" x14ac:dyDescent="0.3"/>
  <cols>
    <col min="1" max="1" width="3.6640625" customWidth="1"/>
    <col min="2" max="2" width="83.33203125" customWidth="1"/>
    <col min="3" max="4" width="9.88671875" bestFit="1" customWidth="1"/>
    <col min="5" max="5" width="9.44140625" bestFit="1" customWidth="1"/>
    <col min="6" max="7" width="8.6640625" bestFit="1" customWidth="1"/>
    <col min="8" max="8" width="9.33203125" bestFit="1" customWidth="1"/>
    <col min="9" max="10" width="8.6640625" bestFit="1" customWidth="1"/>
    <col min="11" max="11" width="7.77734375" bestFit="1" customWidth="1"/>
    <col min="12" max="17" width="8.6640625" bestFit="1" customWidth="1"/>
    <col min="18" max="20" width="8.6640625" customWidth="1"/>
    <col min="21" max="22" width="8.6640625" bestFit="1" customWidth="1"/>
    <col min="23" max="23" width="9.33203125" bestFit="1" customWidth="1"/>
    <col min="24" max="25" width="9.88671875" bestFit="1" customWidth="1"/>
    <col min="26" max="26" width="9.6640625" bestFit="1" customWidth="1"/>
    <col min="27" max="44" width="8.6640625" customWidth="1"/>
    <col min="45" max="45" width="3.6640625" customWidth="1"/>
    <col min="46" max="51" width="0" hidden="1" customWidth="1"/>
    <col min="52" max="16384" width="9.109375" hidden="1"/>
  </cols>
  <sheetData>
    <row r="1" spans="1:45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spans="1:45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45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5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5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</row>
    <row r="7" spans="1:45" x14ac:dyDescent="0.3"/>
    <row r="8" spans="1:45" ht="57.6" x14ac:dyDescent="0.3">
      <c r="C8" s="33" t="s">
        <v>1</v>
      </c>
      <c r="D8" s="34"/>
      <c r="E8" s="34"/>
      <c r="F8" s="33" t="s">
        <v>28</v>
      </c>
      <c r="G8" s="34"/>
      <c r="H8" s="34"/>
      <c r="I8" s="33" t="s">
        <v>29</v>
      </c>
      <c r="J8" s="34"/>
      <c r="K8" s="34"/>
      <c r="L8" s="33" t="s">
        <v>30</v>
      </c>
      <c r="M8" s="34"/>
      <c r="N8" s="34"/>
      <c r="O8" s="33" t="s">
        <v>31</v>
      </c>
      <c r="P8" s="34"/>
      <c r="Q8" s="34"/>
      <c r="R8" s="38" t="s">
        <v>32</v>
      </c>
      <c r="S8" s="37"/>
      <c r="T8" s="37"/>
      <c r="U8" s="36" t="s">
        <v>2</v>
      </c>
      <c r="V8" s="37"/>
      <c r="W8" s="37"/>
      <c r="X8" s="36" t="s">
        <v>3</v>
      </c>
      <c r="Y8" s="37"/>
      <c r="Z8" s="37"/>
      <c r="AA8" s="36" t="s">
        <v>4</v>
      </c>
      <c r="AB8" s="34"/>
      <c r="AC8" s="34"/>
      <c r="AD8" s="38" t="s">
        <v>5</v>
      </c>
      <c r="AE8" s="38"/>
      <c r="AF8" s="37"/>
      <c r="AG8" s="38" t="s">
        <v>6</v>
      </c>
      <c r="AH8" s="38"/>
      <c r="AI8" s="37"/>
      <c r="AJ8" s="35" t="s">
        <v>7</v>
      </c>
      <c r="AK8" s="35"/>
      <c r="AL8" s="34"/>
      <c r="AM8" s="38" t="s">
        <v>8</v>
      </c>
      <c r="AN8" s="38"/>
      <c r="AO8" s="37"/>
      <c r="AP8" s="38" t="s">
        <v>9</v>
      </c>
      <c r="AQ8" s="38"/>
      <c r="AR8" s="37"/>
    </row>
    <row r="9" spans="1:45" x14ac:dyDescent="0.3">
      <c r="B9" s="5" t="s">
        <v>10</v>
      </c>
      <c r="C9" s="58" t="s">
        <v>95</v>
      </c>
      <c r="D9" s="58" t="s">
        <v>94</v>
      </c>
      <c r="E9" s="12" t="s">
        <v>0</v>
      </c>
      <c r="F9" s="58" t="s">
        <v>95</v>
      </c>
      <c r="G9" s="58" t="s">
        <v>94</v>
      </c>
      <c r="H9" s="12" t="s">
        <v>0</v>
      </c>
      <c r="I9" s="58" t="s">
        <v>95</v>
      </c>
      <c r="J9" s="58" t="s">
        <v>94</v>
      </c>
      <c r="K9" s="12" t="s">
        <v>0</v>
      </c>
      <c r="L9" s="58" t="s">
        <v>95</v>
      </c>
      <c r="M9" s="58" t="s">
        <v>94</v>
      </c>
      <c r="N9" s="12" t="s">
        <v>0</v>
      </c>
      <c r="O9" s="58" t="s">
        <v>95</v>
      </c>
      <c r="P9" s="58" t="s">
        <v>94</v>
      </c>
      <c r="Q9" s="12" t="s">
        <v>0</v>
      </c>
      <c r="R9" s="58" t="s">
        <v>95</v>
      </c>
      <c r="S9" s="58" t="s">
        <v>94</v>
      </c>
      <c r="T9" s="12" t="s">
        <v>0</v>
      </c>
      <c r="U9" s="58" t="s">
        <v>95</v>
      </c>
      <c r="V9" s="58" t="s">
        <v>94</v>
      </c>
      <c r="W9" s="12" t="s">
        <v>0</v>
      </c>
      <c r="X9" s="58" t="s">
        <v>95</v>
      </c>
      <c r="Y9" s="58" t="s">
        <v>94</v>
      </c>
      <c r="Z9" s="12" t="s">
        <v>0</v>
      </c>
      <c r="AA9" s="58" t="s">
        <v>95</v>
      </c>
      <c r="AB9" s="58" t="s">
        <v>94</v>
      </c>
      <c r="AC9" s="12" t="s">
        <v>0</v>
      </c>
      <c r="AD9" s="58" t="s">
        <v>95</v>
      </c>
      <c r="AE9" s="58" t="s">
        <v>94</v>
      </c>
      <c r="AF9" s="12" t="s">
        <v>0</v>
      </c>
      <c r="AG9" s="58" t="s">
        <v>95</v>
      </c>
      <c r="AH9" s="58" t="s">
        <v>94</v>
      </c>
      <c r="AI9" s="12" t="s">
        <v>0</v>
      </c>
      <c r="AJ9" s="58" t="s">
        <v>95</v>
      </c>
      <c r="AK9" s="58" t="s">
        <v>94</v>
      </c>
      <c r="AL9" s="12" t="s">
        <v>0</v>
      </c>
      <c r="AM9" s="58" t="s">
        <v>95</v>
      </c>
      <c r="AN9" s="58" t="s">
        <v>94</v>
      </c>
      <c r="AO9" s="12" t="s">
        <v>0</v>
      </c>
      <c r="AP9" s="58" t="s">
        <v>95</v>
      </c>
      <c r="AQ9" s="58" t="s">
        <v>94</v>
      </c>
      <c r="AR9" s="12" t="s">
        <v>0</v>
      </c>
    </row>
    <row r="10" spans="1:45" x14ac:dyDescent="0.3">
      <c r="B10" s="13" t="s">
        <v>12</v>
      </c>
      <c r="C10" s="15">
        <f>+'Dez24'!D15</f>
        <v>331.59960899999999</v>
      </c>
      <c r="D10" s="15">
        <f>Paralelo!D15</f>
        <v>331.599605</v>
      </c>
      <c r="E10" s="15">
        <f t="shared" ref="E10:E24" si="0">D10-C10</f>
        <v>-3.9999999899009708E-6</v>
      </c>
      <c r="F10" s="15">
        <f>'Dez24'!E15</f>
        <v>155.16153299999999</v>
      </c>
      <c r="G10" s="15">
        <f>Paralelo!E15</f>
        <v>170.16738000000001</v>
      </c>
      <c r="H10" s="15">
        <f>G10-F10</f>
        <v>15.005847000000017</v>
      </c>
      <c r="I10" s="15">
        <f>'Dez24'!F15</f>
        <v>24.189874</v>
      </c>
      <c r="J10" s="15">
        <f>Paralelo!F15</f>
        <v>54.185248999999999</v>
      </c>
      <c r="K10" s="15">
        <f>J10-I10</f>
        <v>29.995374999999999</v>
      </c>
      <c r="L10" s="15">
        <f>'Dez24'!G15</f>
        <v>4.6835000000000004</v>
      </c>
      <c r="M10" s="15">
        <f>Paralelo!G15</f>
        <v>56.237119999999997</v>
      </c>
      <c r="N10" s="15">
        <f>M10-L10</f>
        <v>51.553619999999995</v>
      </c>
      <c r="O10" s="15">
        <f>'Dez24'!H15</f>
        <v>0</v>
      </c>
      <c r="P10" s="15">
        <f>Paralelo!H15</f>
        <v>0</v>
      </c>
      <c r="Q10" s="15">
        <f>P10-O10</f>
        <v>0</v>
      </c>
      <c r="R10" s="15">
        <f>'Dez24'!I15</f>
        <v>4</v>
      </c>
      <c r="S10" s="15">
        <f>Paralelo!I15</f>
        <v>7</v>
      </c>
      <c r="T10" s="15">
        <f>S10-R10</f>
        <v>3</v>
      </c>
      <c r="U10" s="15">
        <f>'Dez24'!J15</f>
        <v>177.514757</v>
      </c>
      <c r="V10" s="15">
        <f>Paralelo!J15</f>
        <v>173.753849</v>
      </c>
      <c r="W10" s="15">
        <f t="shared" ref="W10:W25" si="1">V10-U10</f>
        <v>-3.7609080000000006</v>
      </c>
      <c r="X10" s="15">
        <f>'Dez24'!K15</f>
        <v>0.102603</v>
      </c>
      <c r="Y10" s="15">
        <f>Paralelo!K15</f>
        <v>0.102603</v>
      </c>
      <c r="Z10" s="15">
        <f t="shared" ref="Z10:Z25" si="2">Y10-X10</f>
        <v>0</v>
      </c>
      <c r="AA10" s="15">
        <f>'Dez24'!L15</f>
        <v>6.4175469999999999</v>
      </c>
      <c r="AB10" s="15">
        <f>Paralelo!L15</f>
        <v>6.4175449999999996</v>
      </c>
      <c r="AC10" s="15">
        <f>AB10-AA10</f>
        <v>-2.0000000002795559E-6</v>
      </c>
      <c r="AD10" s="17">
        <f>'Dez24'!M15</f>
        <v>25.000008999999999</v>
      </c>
      <c r="AE10" s="17">
        <f>Paralelo!M15</f>
        <v>29.344605000000001</v>
      </c>
      <c r="AF10" s="15">
        <f t="shared" ref="AF10:AF25" si="3">AE10-AD10</f>
        <v>4.3445960000000028</v>
      </c>
      <c r="AG10" s="17">
        <f>'Dez24'!N15</f>
        <v>22.63617</v>
      </c>
      <c r="AH10" s="17">
        <f>Paralelo!N15</f>
        <v>23.653092000000001</v>
      </c>
      <c r="AI10" s="15">
        <f>AH10-AG10</f>
        <v>1.016922000000001</v>
      </c>
      <c r="AJ10" s="15">
        <f>'Dez24'!O15</f>
        <v>-4.7927090000000003</v>
      </c>
      <c r="AK10" s="15">
        <f>Paralelo!O15</f>
        <v>-5.4615520000000002</v>
      </c>
      <c r="AL10" s="15">
        <f t="shared" ref="AL10:AL25" si="4">AK10-AJ10</f>
        <v>-0.66884299999999985</v>
      </c>
      <c r="AM10" s="17">
        <f>'Dez24'!P15</f>
        <v>-1.2576830000000001</v>
      </c>
      <c r="AN10" s="17">
        <f>Paralelo!P15</f>
        <v>-1.4739930000000001</v>
      </c>
      <c r="AO10" s="15">
        <f>AN10-AM10</f>
        <v>-0.21631</v>
      </c>
      <c r="AP10" s="17">
        <f>'Dez24'!Q15</f>
        <v>-3.0220790000000002</v>
      </c>
      <c r="AQ10" s="17">
        <f>Paralelo!Q15</f>
        <v>-3.3363100000000001</v>
      </c>
      <c r="AR10" s="15">
        <f>AQ10-AP10</f>
        <v>-0.31423099999999993</v>
      </c>
    </row>
    <row r="11" spans="1:45" x14ac:dyDescent="0.3">
      <c r="B11" s="13" t="s">
        <v>13</v>
      </c>
      <c r="C11" s="15">
        <f>+'Dez24'!D16</f>
        <v>14.172371</v>
      </c>
      <c r="D11" s="15">
        <f>Paralelo!D16</f>
        <v>14.172374</v>
      </c>
      <c r="E11" s="15">
        <f t="shared" si="0"/>
        <v>2.9999999995311555E-6</v>
      </c>
      <c r="F11" s="15">
        <f>'Dez24'!E16</f>
        <v>11.577541999999999</v>
      </c>
      <c r="G11" s="15">
        <f>Paralelo!E16</f>
        <v>11.024570000000001</v>
      </c>
      <c r="H11" s="15">
        <f t="shared" ref="H11:H24" si="5">G11-F11</f>
        <v>-0.55297199999999869</v>
      </c>
      <c r="I11" s="15">
        <f>'Dez24'!F16</f>
        <v>0.52364699999999997</v>
      </c>
      <c r="J11" s="15">
        <f>Paralelo!F16</f>
        <v>1.099701</v>
      </c>
      <c r="K11" s="15">
        <f t="shared" ref="K11:K24" si="6">J11-I11</f>
        <v>0.57605400000000007</v>
      </c>
      <c r="L11" s="15">
        <f>'Dez24'!G16</f>
        <v>0</v>
      </c>
      <c r="M11" s="15">
        <f>Paralelo!G16</f>
        <v>0</v>
      </c>
      <c r="N11" s="15">
        <f t="shared" ref="N11:N24" si="7">M11-L11</f>
        <v>0</v>
      </c>
      <c r="O11" s="15">
        <f>'Dez24'!H16</f>
        <v>0</v>
      </c>
      <c r="P11" s="15">
        <f>Paralelo!H16</f>
        <v>0</v>
      </c>
      <c r="Q11" s="15">
        <f t="shared" ref="Q11:Q24" si="8">P11-O11</f>
        <v>0</v>
      </c>
      <c r="R11" s="15">
        <f>'Dez24'!I16</f>
        <v>3</v>
      </c>
      <c r="S11" s="15">
        <f>Paralelo!I16</f>
        <v>3</v>
      </c>
      <c r="T11" s="15">
        <f t="shared" ref="T11:T24" si="9">S11-R11</f>
        <v>0</v>
      </c>
      <c r="U11" s="15">
        <f>'Dez24'!J16</f>
        <v>12.101189</v>
      </c>
      <c r="V11" s="15">
        <f>Paralelo!J16</f>
        <v>10.768507</v>
      </c>
      <c r="W11" s="40">
        <f t="shared" si="1"/>
        <v>-1.3326820000000001</v>
      </c>
      <c r="X11" s="15">
        <f>'Dez24'!K16</f>
        <v>0</v>
      </c>
      <c r="Y11" s="15">
        <f>Paralelo!K16</f>
        <v>0</v>
      </c>
      <c r="Z11" s="15">
        <f t="shared" si="2"/>
        <v>0</v>
      </c>
      <c r="AA11" s="15">
        <f>'Dez24'!L16</f>
        <v>0</v>
      </c>
      <c r="AB11" s="15">
        <f>Paralelo!L16</f>
        <v>0</v>
      </c>
      <c r="AC11" s="15">
        <f t="shared" ref="AC11:AC24" si="10">AB11-AA11</f>
        <v>0</v>
      </c>
      <c r="AD11" s="17">
        <f>'Dez24'!M16</f>
        <v>1.9282250000000001</v>
      </c>
      <c r="AE11" s="17">
        <f>Paralelo!M16</f>
        <v>1.5316939999999999</v>
      </c>
      <c r="AF11" s="15">
        <f t="shared" si="3"/>
        <v>-0.39653100000000019</v>
      </c>
      <c r="AG11" s="17">
        <f>'Dez24'!N16</f>
        <v>1.5924640000000001</v>
      </c>
      <c r="AH11" s="17">
        <f>Paralelo!N16</f>
        <v>2.3624239999999999</v>
      </c>
      <c r="AI11" s="15">
        <f t="shared" ref="AI11:AI25" si="11">AH11-AG11</f>
        <v>0.76995999999999976</v>
      </c>
      <c r="AJ11" s="15">
        <f>'Dez24'!O16</f>
        <v>-1.2004140000000001</v>
      </c>
      <c r="AK11" s="15">
        <f>Paralelo!O16</f>
        <v>-1.3866970000000001</v>
      </c>
      <c r="AL11" s="15">
        <f t="shared" si="4"/>
        <v>-0.18628299999999998</v>
      </c>
      <c r="AM11" s="17">
        <f>'Dez24'!P16</f>
        <v>-0.101775</v>
      </c>
      <c r="AN11" s="17">
        <f>Paralelo!P16</f>
        <v>-8.9892E-2</v>
      </c>
      <c r="AO11" s="15">
        <f t="shared" ref="AO11:AO24" si="12">AN11-AM11</f>
        <v>1.1883000000000005E-2</v>
      </c>
      <c r="AP11" s="17">
        <f>'Dez24'!Q16</f>
        <v>-1.068163</v>
      </c>
      <c r="AQ11" s="17">
        <f>Paralelo!Q16</f>
        <v>-1.2662180000000001</v>
      </c>
      <c r="AR11" s="15">
        <f t="shared" ref="AR11:AR24" si="13">AQ11-AP11</f>
        <v>-0.19805500000000009</v>
      </c>
    </row>
    <row r="12" spans="1:45" x14ac:dyDescent="0.3">
      <c r="B12" s="13" t="s">
        <v>14</v>
      </c>
      <c r="C12" s="40">
        <f>+'Dez24'!D17</f>
        <v>2226.1042400000001</v>
      </c>
      <c r="D12" s="40">
        <f>Paralelo!D17</f>
        <v>2168.5503920000001</v>
      </c>
      <c r="E12" s="41">
        <f t="shared" si="0"/>
        <v>-57.553848000000016</v>
      </c>
      <c r="F12" s="40">
        <f>'Dez24'!E17</f>
        <v>1042.574801</v>
      </c>
      <c r="G12" s="40">
        <f>Paralelo!E17</f>
        <v>910.48430299999995</v>
      </c>
      <c r="H12" s="40">
        <f t="shared" si="5"/>
        <v>-132.09049800000003</v>
      </c>
      <c r="I12" s="40">
        <f>'Dez24'!F17</f>
        <v>44.035376999999997</v>
      </c>
      <c r="J12" s="40">
        <f>Paralelo!F17</f>
        <v>80.043717999999998</v>
      </c>
      <c r="K12" s="40">
        <f t="shared" si="6"/>
        <v>36.008341000000001</v>
      </c>
      <c r="L12" s="40">
        <f>'Dez24'!G17</f>
        <v>15.754056</v>
      </c>
      <c r="M12" s="40">
        <f>Paralelo!G17</f>
        <v>20.001139999999999</v>
      </c>
      <c r="N12" s="40">
        <f t="shared" si="7"/>
        <v>4.2470839999999992</v>
      </c>
      <c r="O12" s="40">
        <f>'Dez24'!H17</f>
        <v>0</v>
      </c>
      <c r="P12" s="40">
        <f>Paralelo!H17</f>
        <v>0</v>
      </c>
      <c r="Q12" s="40">
        <f t="shared" si="8"/>
        <v>0</v>
      </c>
      <c r="R12" s="40">
        <f>'Dez24'!I17</f>
        <v>3</v>
      </c>
      <c r="S12" s="40">
        <f>Paralelo!I17</f>
        <v>4</v>
      </c>
      <c r="T12" s="40">
        <f t="shared" si="9"/>
        <v>1</v>
      </c>
      <c r="U12" s="40">
        <f>'Dez24'!J17</f>
        <v>1080.7706639999999</v>
      </c>
      <c r="V12" s="40">
        <f>Paralelo!J17</f>
        <v>914.28030200000001</v>
      </c>
      <c r="W12" s="40">
        <f t="shared" si="1"/>
        <v>-166.49036199999989</v>
      </c>
      <c r="X12" s="40">
        <f>'Dez24'!K17</f>
        <v>5.7703810000000004</v>
      </c>
      <c r="Y12" s="15">
        <f>Paralelo!K17</f>
        <v>5.7688670000000002</v>
      </c>
      <c r="Z12" s="15">
        <f t="shared" si="2"/>
        <v>-1.5140000000002374E-3</v>
      </c>
      <c r="AA12" s="15">
        <f>'Dez24'!L17</f>
        <v>15.823188999999999</v>
      </c>
      <c r="AB12" s="15">
        <f>Paralelo!L17</f>
        <v>15.78035</v>
      </c>
      <c r="AC12" s="15">
        <f t="shared" si="10"/>
        <v>-4.2838999999998961E-2</v>
      </c>
      <c r="AD12" s="17">
        <f>'Dez24'!M17</f>
        <v>129.84300999999999</v>
      </c>
      <c r="AE12" s="17">
        <f>Paralelo!M17</f>
        <v>123.32843800000001</v>
      </c>
      <c r="AF12" s="15">
        <f t="shared" si="3"/>
        <v>-6.5145719999999869</v>
      </c>
      <c r="AG12" s="17">
        <f>'Dez24'!N17</f>
        <v>36.092692999999997</v>
      </c>
      <c r="AH12" s="17">
        <f>Paralelo!N17</f>
        <v>37.396585000000002</v>
      </c>
      <c r="AI12" s="15">
        <f t="shared" si="11"/>
        <v>1.3038920000000047</v>
      </c>
      <c r="AJ12" s="15">
        <f>'Dez24'!O17</f>
        <v>-34.118223</v>
      </c>
      <c r="AK12" s="15">
        <f>Paralelo!O17</f>
        <v>-34.055529</v>
      </c>
      <c r="AL12" s="15">
        <f t="shared" si="4"/>
        <v>6.2694000000000472E-2</v>
      </c>
      <c r="AM12" s="17">
        <f>'Dez24'!P17</f>
        <v>-6.3283339999999999</v>
      </c>
      <c r="AN12" s="17">
        <f>Paralelo!P17</f>
        <v>-6.6068949999999997</v>
      </c>
      <c r="AO12" s="15">
        <f t="shared" si="12"/>
        <v>-0.27856099999999984</v>
      </c>
      <c r="AP12" s="17">
        <f>'Dez24'!Q17</f>
        <v>-24.740666000000001</v>
      </c>
      <c r="AQ12" s="17">
        <f>Paralelo!Q17</f>
        <v>-24.7121</v>
      </c>
      <c r="AR12" s="15">
        <f t="shared" si="13"/>
        <v>2.8566000000001424E-2</v>
      </c>
    </row>
    <row r="13" spans="1:45" x14ac:dyDescent="0.3">
      <c r="B13" s="13" t="s">
        <v>15</v>
      </c>
      <c r="C13" s="40">
        <f>+'Dez24'!D18</f>
        <v>526.82284200000004</v>
      </c>
      <c r="D13" s="40">
        <f>Paralelo!D18</f>
        <v>671.415616</v>
      </c>
      <c r="E13" s="41">
        <f t="shared" si="0"/>
        <v>144.59277399999996</v>
      </c>
      <c r="F13" s="40">
        <f>'Dez24'!E18</f>
        <v>277.05861700000003</v>
      </c>
      <c r="G13" s="40">
        <f>Paralelo!E18</f>
        <v>276.74951399999998</v>
      </c>
      <c r="H13" s="40">
        <f t="shared" si="5"/>
        <v>-0.30910300000005009</v>
      </c>
      <c r="I13" s="40">
        <f>'Dez24'!F18</f>
        <v>139.37534400000001</v>
      </c>
      <c r="J13" s="40">
        <f>Paralelo!F18</f>
        <v>139.37534400000001</v>
      </c>
      <c r="K13" s="40">
        <f t="shared" si="6"/>
        <v>0</v>
      </c>
      <c r="L13" s="40">
        <f>'Dez24'!G18</f>
        <v>34.989387000000001</v>
      </c>
      <c r="M13" s="40">
        <f>Paralelo!G18</f>
        <v>34.989387000000001</v>
      </c>
      <c r="N13" s="40">
        <f t="shared" si="7"/>
        <v>0</v>
      </c>
      <c r="O13" s="40">
        <f>'Dez24'!H18</f>
        <v>0</v>
      </c>
      <c r="P13" s="40">
        <f>Paralelo!H18</f>
        <v>0</v>
      </c>
      <c r="Q13" s="40">
        <f t="shared" si="8"/>
        <v>0</v>
      </c>
      <c r="R13" s="40">
        <f>'Dez24'!I18</f>
        <v>4</v>
      </c>
      <c r="S13" s="40">
        <f>Paralelo!I18</f>
        <v>4</v>
      </c>
      <c r="T13" s="40">
        <f t="shared" si="9"/>
        <v>0</v>
      </c>
      <c r="U13" s="40">
        <f>'Dez24'!J18</f>
        <v>406.41287899999998</v>
      </c>
      <c r="V13" s="40">
        <f>Paralelo!J18</f>
        <v>405.18078200000002</v>
      </c>
      <c r="W13" s="40">
        <f t="shared" si="1"/>
        <v>-1.2320969999999534</v>
      </c>
      <c r="X13" s="40">
        <f>'Dez24'!K18</f>
        <v>45.010469000000001</v>
      </c>
      <c r="Y13" s="15">
        <f>Paralelo!K18</f>
        <v>45.010469000000001</v>
      </c>
      <c r="Z13" s="15">
        <f t="shared" si="2"/>
        <v>0</v>
      </c>
      <c r="AA13" s="15">
        <f>'Dez24'!L18</f>
        <v>0</v>
      </c>
      <c r="AB13" s="15">
        <f>Paralelo!L18</f>
        <v>8.0496999999999999E-2</v>
      </c>
      <c r="AC13" s="15">
        <f t="shared" si="10"/>
        <v>8.0496999999999999E-2</v>
      </c>
      <c r="AD13" s="17">
        <f>'Dez24'!M18</f>
        <v>0.55489999999999995</v>
      </c>
      <c r="AE13" s="17">
        <f>Paralelo!M18</f>
        <v>0.52984200000000004</v>
      </c>
      <c r="AF13" s="15">
        <f t="shared" si="3"/>
        <v>-2.5057999999999914E-2</v>
      </c>
      <c r="AG13" s="17">
        <f>'Dez24'!N18</f>
        <v>4.725E-3</v>
      </c>
      <c r="AH13" s="17">
        <f>Paralelo!N18</f>
        <v>4.548E-3</v>
      </c>
      <c r="AI13" s="15">
        <f t="shared" si="11"/>
        <v>-1.7700000000000007E-4</v>
      </c>
      <c r="AJ13" s="15">
        <f>'Dez24'!O18</f>
        <v>-0.32982099999999998</v>
      </c>
      <c r="AK13" s="15">
        <f>Paralelo!O18</f>
        <v>-0.34236100000000003</v>
      </c>
      <c r="AL13" s="15">
        <f t="shared" si="4"/>
        <v>-1.2540000000000051E-2</v>
      </c>
      <c r="AM13" s="17">
        <f>'Dez24'!P18</f>
        <v>-4.4110999999999997E-2</v>
      </c>
      <c r="AN13" s="17">
        <f>Paralelo!P18</f>
        <v>-4.2562000000000003E-2</v>
      </c>
      <c r="AO13" s="15">
        <f t="shared" si="12"/>
        <v>1.5489999999999948E-3</v>
      </c>
      <c r="AP13" s="17">
        <f>'Dez24'!Q18</f>
        <v>-3.712E-3</v>
      </c>
      <c r="AQ13" s="17">
        <f>Paralelo!Q18</f>
        <v>-3.565E-3</v>
      </c>
      <c r="AR13" s="15">
        <f t="shared" si="13"/>
        <v>1.47E-4</v>
      </c>
    </row>
    <row r="14" spans="1:45" x14ac:dyDescent="0.3">
      <c r="B14" s="13" t="s">
        <v>16</v>
      </c>
      <c r="C14" s="40">
        <f>+'Dez24'!D19</f>
        <v>33.931311999999998</v>
      </c>
      <c r="D14" s="40">
        <f>Paralelo!D19</f>
        <v>33.931316000000002</v>
      </c>
      <c r="E14" s="40">
        <f t="shared" si="0"/>
        <v>4.0000000041118255E-6</v>
      </c>
      <c r="F14" s="40">
        <f>'Dez24'!E19</f>
        <v>0.50970000000000004</v>
      </c>
      <c r="G14" s="40">
        <f>Paralelo!E19</f>
        <v>0.50970000000000004</v>
      </c>
      <c r="H14" s="40">
        <f t="shared" si="5"/>
        <v>0</v>
      </c>
      <c r="I14" s="40">
        <f>'Dez24'!F19</f>
        <v>0</v>
      </c>
      <c r="J14" s="40">
        <f>Paralelo!F19</f>
        <v>0</v>
      </c>
      <c r="K14" s="40">
        <f t="shared" si="6"/>
        <v>0</v>
      </c>
      <c r="L14" s="40">
        <f>'Dez24'!G19</f>
        <v>0</v>
      </c>
      <c r="M14" s="40">
        <f>Paralelo!G19</f>
        <v>0</v>
      </c>
      <c r="N14" s="40">
        <f t="shared" si="7"/>
        <v>0</v>
      </c>
      <c r="O14" s="40">
        <f>'Dez24'!H19</f>
        <v>0</v>
      </c>
      <c r="P14" s="40">
        <f>Paralelo!H19</f>
        <v>0</v>
      </c>
      <c r="Q14" s="40">
        <f t="shared" si="8"/>
        <v>0</v>
      </c>
      <c r="R14" s="40">
        <f>'Dez24'!I19</f>
        <v>4</v>
      </c>
      <c r="S14" s="40">
        <f>Paralelo!I19</f>
        <v>4</v>
      </c>
      <c r="T14" s="40">
        <f t="shared" si="9"/>
        <v>0</v>
      </c>
      <c r="U14" s="40">
        <f>'Dez24'!J19</f>
        <v>0</v>
      </c>
      <c r="V14" s="40">
        <f>Paralelo!J19</f>
        <v>0</v>
      </c>
      <c r="W14" s="40">
        <f t="shared" si="1"/>
        <v>0</v>
      </c>
      <c r="X14" s="40">
        <f>'Dez24'!K19</f>
        <v>0.50970000000000004</v>
      </c>
      <c r="Y14" s="15">
        <f>Paralelo!K19</f>
        <v>0.50970000000000004</v>
      </c>
      <c r="Z14" s="15">
        <f t="shared" si="2"/>
        <v>0</v>
      </c>
      <c r="AA14" s="15">
        <f>'Dez24'!L19</f>
        <v>0</v>
      </c>
      <c r="AB14" s="15">
        <f>Paralelo!L19</f>
        <v>0</v>
      </c>
      <c r="AC14" s="15">
        <f t="shared" si="10"/>
        <v>0</v>
      </c>
      <c r="AD14" s="17">
        <f>'Dez24'!M19</f>
        <v>0.25844499999999998</v>
      </c>
      <c r="AE14" s="17">
        <f>Paralelo!M19</f>
        <v>0.25844499999999998</v>
      </c>
      <c r="AF14" s="15">
        <f t="shared" si="3"/>
        <v>0</v>
      </c>
      <c r="AG14" s="17">
        <f>'Dez24'!N19</f>
        <v>0</v>
      </c>
      <c r="AH14" s="17">
        <f>Paralelo!N19</f>
        <v>0</v>
      </c>
      <c r="AI14" s="15">
        <f t="shared" si="11"/>
        <v>0</v>
      </c>
      <c r="AJ14" s="15">
        <f>'Dez24'!O19</f>
        <v>-1.2884E-2</v>
      </c>
      <c r="AK14" s="15">
        <f>Paralelo!O19</f>
        <v>-1.2884E-2</v>
      </c>
      <c r="AL14" s="15">
        <f t="shared" si="4"/>
        <v>0</v>
      </c>
      <c r="AM14" s="17">
        <f>'Dez24'!P19</f>
        <v>-1.1192000000000001E-2</v>
      </c>
      <c r="AN14" s="17">
        <f>Paralelo!P19</f>
        <v>-1.1192000000000001E-2</v>
      </c>
      <c r="AO14" s="15">
        <f t="shared" si="12"/>
        <v>0</v>
      </c>
      <c r="AP14" s="17">
        <f>'Dez24'!Q19</f>
        <v>0</v>
      </c>
      <c r="AQ14" s="17">
        <f>Paralelo!Q19</f>
        <v>0</v>
      </c>
      <c r="AR14" s="15">
        <f t="shared" si="13"/>
        <v>0</v>
      </c>
    </row>
    <row r="15" spans="1:45" x14ac:dyDescent="0.3">
      <c r="B15" s="13" t="s">
        <v>17</v>
      </c>
      <c r="C15" s="40">
        <f>+'Dez24'!D20</f>
        <v>1044.253283</v>
      </c>
      <c r="D15" s="40">
        <f>Paralelo!D20</f>
        <v>1068.5213960000001</v>
      </c>
      <c r="E15" s="41">
        <f t="shared" si="0"/>
        <v>24.268113000000085</v>
      </c>
      <c r="F15" s="40">
        <f>'Dez24'!E20</f>
        <v>40.05545</v>
      </c>
      <c r="G15" s="40">
        <f>Paralelo!E20</f>
        <v>42.649811999999997</v>
      </c>
      <c r="H15" s="40">
        <f t="shared" si="5"/>
        <v>2.5943619999999967</v>
      </c>
      <c r="I15" s="40">
        <f>'Dez24'!F20</f>
        <v>0.44309700000000002</v>
      </c>
      <c r="J15" s="40">
        <f>Paralelo!F20</f>
        <v>2.18499</v>
      </c>
      <c r="K15" s="40">
        <f t="shared" si="6"/>
        <v>1.7418929999999999</v>
      </c>
      <c r="L15" s="40">
        <f>'Dez24'!G20</f>
        <v>0.18199000000000001</v>
      </c>
      <c r="M15" s="40">
        <f>Paralelo!G20</f>
        <v>0.64816499999999999</v>
      </c>
      <c r="N15" s="40">
        <f t="shared" si="7"/>
        <v>0.46617500000000001</v>
      </c>
      <c r="O15" s="40">
        <f>'Dez24'!H20</f>
        <v>0</v>
      </c>
      <c r="P15" s="40">
        <f>Paralelo!H20</f>
        <v>0</v>
      </c>
      <c r="Q15" s="40">
        <f t="shared" si="8"/>
        <v>0</v>
      </c>
      <c r="R15" s="40">
        <f>'Dez24'!I20</f>
        <v>3</v>
      </c>
      <c r="S15" s="40">
        <f>Paralelo!I20</f>
        <v>4</v>
      </c>
      <c r="T15" s="40">
        <f t="shared" si="9"/>
        <v>1</v>
      </c>
      <c r="U15" s="40">
        <f>'Dez24'!J20</f>
        <v>15.442708</v>
      </c>
      <c r="V15" s="40">
        <f>Paralelo!J20</f>
        <v>14.805013000000001</v>
      </c>
      <c r="W15" s="40">
        <f t="shared" si="1"/>
        <v>-0.63769499999999901</v>
      </c>
      <c r="X15" s="40">
        <f>'Dez24'!K20</f>
        <v>6.6006010000000002</v>
      </c>
      <c r="Y15" s="15">
        <f>Paralelo!K20</f>
        <v>6.6006020000000003</v>
      </c>
      <c r="Z15" s="15">
        <f t="shared" si="2"/>
        <v>1.000000000139778E-6</v>
      </c>
      <c r="AA15" s="15">
        <f>'Dez24'!L20</f>
        <v>18.637228</v>
      </c>
      <c r="AB15" s="15">
        <f>Paralelo!L20</f>
        <v>18.546925999999999</v>
      </c>
      <c r="AC15" s="15">
        <f t="shared" si="10"/>
        <v>-9.0302000000001215E-2</v>
      </c>
      <c r="AD15" s="17">
        <f>'Dez24'!M20</f>
        <v>6.8473490000000004</v>
      </c>
      <c r="AE15" s="17">
        <f>Paralelo!M20</f>
        <v>8.0378209999999992</v>
      </c>
      <c r="AF15" s="15">
        <f t="shared" si="3"/>
        <v>1.1904719999999989</v>
      </c>
      <c r="AG15" s="17">
        <f>'Dez24'!N20</f>
        <v>6.4774649999999996</v>
      </c>
      <c r="AH15" s="17">
        <f>Paralelo!N20</f>
        <v>8.9174059999999997</v>
      </c>
      <c r="AI15" s="15">
        <f t="shared" si="11"/>
        <v>2.4399410000000001</v>
      </c>
      <c r="AJ15" s="15">
        <f>'Dez24'!O20</f>
        <v>-2.9862510000000002</v>
      </c>
      <c r="AK15" s="15">
        <f>Paralelo!O20</f>
        <v>-5.4539200000000001</v>
      </c>
      <c r="AL15" s="15">
        <f t="shared" si="4"/>
        <v>-2.4676689999999999</v>
      </c>
      <c r="AM15" s="17">
        <f>'Dez24'!P20</f>
        <v>-0.53382300000000005</v>
      </c>
      <c r="AN15" s="17">
        <f>Paralelo!P20</f>
        <v>-0.56874800000000003</v>
      </c>
      <c r="AO15" s="15">
        <f t="shared" si="12"/>
        <v>-3.4924999999999984E-2</v>
      </c>
      <c r="AP15" s="17">
        <f>'Dez24'!Q20</f>
        <v>-2.3306770000000001</v>
      </c>
      <c r="AQ15" s="17">
        <f>Paralelo!Q20</f>
        <v>-4.7665319999999998</v>
      </c>
      <c r="AR15" s="15">
        <f t="shared" si="13"/>
        <v>-2.4358549999999997</v>
      </c>
    </row>
    <row r="16" spans="1:45" x14ac:dyDescent="0.3">
      <c r="B16" s="13" t="s">
        <v>18</v>
      </c>
      <c r="C16" s="40">
        <f>+'Dez24'!D21</f>
        <v>2070.2228909999999</v>
      </c>
      <c r="D16" s="40">
        <f>Paralelo!D21</f>
        <v>2070.1134310000002</v>
      </c>
      <c r="E16" s="41">
        <f t="shared" si="0"/>
        <v>-0.10945999999967171</v>
      </c>
      <c r="F16" s="40">
        <f>'Dez24'!E21</f>
        <v>257.43969700000002</v>
      </c>
      <c r="G16" s="40">
        <f>Paralelo!E21</f>
        <v>223.269488</v>
      </c>
      <c r="H16" s="40">
        <f t="shared" si="5"/>
        <v>-34.170209000000028</v>
      </c>
      <c r="I16" s="40">
        <f>'Dez24'!F21</f>
        <v>13.605418999999999</v>
      </c>
      <c r="J16" s="40">
        <f>Paralelo!F21</f>
        <v>13.657583000000001</v>
      </c>
      <c r="K16" s="40">
        <f t="shared" si="6"/>
        <v>5.2164000000001209E-2</v>
      </c>
      <c r="L16" s="40">
        <f>'Dez24'!G21</f>
        <v>0.40101100000000001</v>
      </c>
      <c r="M16" s="40">
        <f>Paralelo!G21</f>
        <v>3.4101780000000002</v>
      </c>
      <c r="N16" s="40">
        <f t="shared" si="7"/>
        <v>3.0091670000000001</v>
      </c>
      <c r="O16" s="40">
        <f>'Dez24'!H21</f>
        <v>0</v>
      </c>
      <c r="P16" s="40">
        <f>Paralelo!H21</f>
        <v>0</v>
      </c>
      <c r="Q16" s="40">
        <f t="shared" si="8"/>
        <v>0</v>
      </c>
      <c r="R16" s="40">
        <f>'Dez24'!I21</f>
        <v>3</v>
      </c>
      <c r="S16" s="40">
        <f>Paralelo!I21</f>
        <v>4</v>
      </c>
      <c r="T16" s="40">
        <f t="shared" si="9"/>
        <v>1</v>
      </c>
      <c r="U16" s="40">
        <f>'Dez24'!J21</f>
        <v>267.75638900000001</v>
      </c>
      <c r="V16" s="40">
        <f>Paralelo!J21</f>
        <v>223.86176399999999</v>
      </c>
      <c r="W16" s="40">
        <f t="shared" si="1"/>
        <v>-43.894625000000019</v>
      </c>
      <c r="X16" s="40">
        <f>'Dez24'!K21</f>
        <v>3.6897380000000002</v>
      </c>
      <c r="Y16" s="15">
        <f>Paralelo!K21</f>
        <v>3.6897350000000002</v>
      </c>
      <c r="Z16" s="15">
        <f t="shared" si="2"/>
        <v>-2.9999999999752447E-6</v>
      </c>
      <c r="AA16" s="15">
        <f>'Dez24'!L21</f>
        <v>0</v>
      </c>
      <c r="AB16" s="15">
        <f>Paralelo!L21</f>
        <v>0</v>
      </c>
      <c r="AC16" s="15">
        <f t="shared" si="10"/>
        <v>0</v>
      </c>
      <c r="AD16" s="17">
        <f>'Dez24'!M21</f>
        <v>26.927717999999999</v>
      </c>
      <c r="AE16" s="17">
        <f>Paralelo!M21</f>
        <v>20.756485000000001</v>
      </c>
      <c r="AF16" s="15">
        <f t="shared" si="3"/>
        <v>-6.1712329999999973</v>
      </c>
      <c r="AG16" s="17">
        <f>'Dez24'!N21</f>
        <v>4.8817899999999996</v>
      </c>
      <c r="AH16" s="17">
        <f>Paralelo!N21</f>
        <v>2.6153219999999999</v>
      </c>
      <c r="AI16" s="15">
        <f t="shared" si="11"/>
        <v>-2.2664679999999997</v>
      </c>
      <c r="AJ16" s="15">
        <f>'Dez24'!O21</f>
        <v>-4.7908220000000004</v>
      </c>
      <c r="AK16" s="15">
        <f>Paralelo!O21</f>
        <v>-3.4143439999999998</v>
      </c>
      <c r="AL16" s="15">
        <f t="shared" si="4"/>
        <v>1.3764780000000005</v>
      </c>
      <c r="AM16" s="17">
        <f>'Dez24'!P21</f>
        <v>-1.520948</v>
      </c>
      <c r="AN16" s="17">
        <f>Paralelo!P21</f>
        <v>-1.1264160000000001</v>
      </c>
      <c r="AO16" s="15">
        <f t="shared" si="12"/>
        <v>0.39453199999999988</v>
      </c>
      <c r="AP16" s="17">
        <f>'Dez24'!Q21</f>
        <v>-2.776656</v>
      </c>
      <c r="AQ16" s="17">
        <f>Paralelo!Q21</f>
        <v>-1.921017</v>
      </c>
      <c r="AR16" s="15">
        <f t="shared" si="13"/>
        <v>0.85563900000000004</v>
      </c>
    </row>
    <row r="17" spans="2:44" x14ac:dyDescent="0.3">
      <c r="B17" s="13" t="s">
        <v>19</v>
      </c>
      <c r="C17" s="40">
        <f>+'Dez24'!D22</f>
        <v>721.84642899999994</v>
      </c>
      <c r="D17" s="40">
        <f>Paralelo!D22</f>
        <v>786.91127600000004</v>
      </c>
      <c r="E17" s="41">
        <f t="shared" si="0"/>
        <v>65.0648470000001</v>
      </c>
      <c r="F17" s="40">
        <f>'Dez24'!E22</f>
        <v>44.182478000000003</v>
      </c>
      <c r="G17" s="40">
        <f>Paralelo!E22</f>
        <v>44.210984000000003</v>
      </c>
      <c r="H17" s="40">
        <f t="shared" si="5"/>
        <v>2.8506000000000142E-2</v>
      </c>
      <c r="I17" s="40">
        <f>'Dez24'!F22</f>
        <v>1.0499E-2</v>
      </c>
      <c r="J17" s="40">
        <f>Paralelo!F22</f>
        <v>44.886743000000003</v>
      </c>
      <c r="K17" s="40">
        <f t="shared" si="6"/>
        <v>44.876244</v>
      </c>
      <c r="L17" s="40">
        <f>'Dez24'!G22</f>
        <v>4.5513079999999997</v>
      </c>
      <c r="M17" s="40">
        <f>Paralelo!G22</f>
        <v>4.5513079999999997</v>
      </c>
      <c r="N17" s="40">
        <f t="shared" si="7"/>
        <v>0</v>
      </c>
      <c r="O17" s="40">
        <f>'Dez24'!H22</f>
        <v>0</v>
      </c>
      <c r="P17" s="40">
        <f>Paralelo!H22</f>
        <v>0</v>
      </c>
      <c r="Q17" s="40">
        <f t="shared" si="8"/>
        <v>0</v>
      </c>
      <c r="R17" s="40">
        <f>'Dez24'!I22</f>
        <v>4</v>
      </c>
      <c r="S17" s="40">
        <f>Paralelo!I22</f>
        <v>6</v>
      </c>
      <c r="T17" s="40">
        <f t="shared" si="9"/>
        <v>2</v>
      </c>
      <c r="U17" s="40">
        <f>'Dez24'!J22</f>
        <v>2.6096020000000002</v>
      </c>
      <c r="V17" s="40">
        <f>Paralelo!J22</f>
        <v>2.6096020000000002</v>
      </c>
      <c r="W17" s="40">
        <f t="shared" si="1"/>
        <v>0</v>
      </c>
      <c r="X17" s="40">
        <f>'Dez24'!K22</f>
        <v>46.134683000000003</v>
      </c>
      <c r="Y17" s="15">
        <f>Paralelo!K22</f>
        <v>90.936010999999993</v>
      </c>
      <c r="Z17" s="15">
        <f t="shared" si="2"/>
        <v>44.801327999999991</v>
      </c>
      <c r="AA17" s="15">
        <f>'Dez24'!L22</f>
        <v>0</v>
      </c>
      <c r="AB17" s="15">
        <f>Paralelo!L22</f>
        <v>0</v>
      </c>
      <c r="AC17" s="15">
        <f t="shared" si="10"/>
        <v>0</v>
      </c>
      <c r="AD17" s="17">
        <f>'Dez24'!M22</f>
        <v>4.8612820000000001</v>
      </c>
      <c r="AE17" s="17">
        <f>Paralelo!M22</f>
        <v>4.8612789999999997</v>
      </c>
      <c r="AF17" s="15">
        <f t="shared" si="3"/>
        <v>-3.0000000004193339E-6</v>
      </c>
      <c r="AG17" s="17">
        <f>'Dez24'!N22</f>
        <v>0.44950400000000001</v>
      </c>
      <c r="AH17" s="17">
        <f>Paralelo!N22</f>
        <v>0.44950299999999999</v>
      </c>
      <c r="AI17" s="15">
        <f t="shared" si="11"/>
        <v>-1.0000000000287557E-6</v>
      </c>
      <c r="AJ17" s="15">
        <f>'Dez24'!O22</f>
        <v>-1.1988030000000001</v>
      </c>
      <c r="AK17" s="15">
        <f>Paralelo!O22</f>
        <v>-1.358762</v>
      </c>
      <c r="AL17" s="15">
        <f t="shared" si="4"/>
        <v>-0.15995899999999996</v>
      </c>
      <c r="AM17" s="17">
        <f>'Dez24'!P22</f>
        <v>-0.689855</v>
      </c>
      <c r="AN17" s="17">
        <f>Paralelo!P22</f>
        <v>-0.68985700000000005</v>
      </c>
      <c r="AO17" s="15">
        <f t="shared" si="12"/>
        <v>-2.0000000000575113E-6</v>
      </c>
      <c r="AP17" s="17">
        <f>'Dez24'!Q22</f>
        <v>-0.26210699999999998</v>
      </c>
      <c r="AQ17" s="17">
        <f>Paralelo!Q22</f>
        <v>-0.26210600000000001</v>
      </c>
      <c r="AR17" s="15">
        <f t="shared" si="13"/>
        <v>9.9999999997324451E-7</v>
      </c>
    </row>
    <row r="18" spans="2:44" x14ac:dyDescent="0.3">
      <c r="B18" s="13" t="s">
        <v>20</v>
      </c>
      <c r="C18" s="40">
        <f>+'Dez24'!D23</f>
        <v>1116.2909010000001</v>
      </c>
      <c r="D18" s="40">
        <f>Paralelo!D23</f>
        <v>1166.2965469999999</v>
      </c>
      <c r="E18" s="41">
        <f t="shared" si="0"/>
        <v>50.005645999999842</v>
      </c>
      <c r="F18" s="40">
        <f>'Dez24'!E23</f>
        <v>2.0018790000000002</v>
      </c>
      <c r="G18" s="40">
        <f>Paralelo!E23</f>
        <v>16.357664</v>
      </c>
      <c r="H18" s="40">
        <f t="shared" si="5"/>
        <v>14.355784999999999</v>
      </c>
      <c r="I18" s="40">
        <f>'Dez24'!F23</f>
        <v>2.079564</v>
      </c>
      <c r="J18" s="40">
        <f>Paralelo!F23</f>
        <v>2.1466280000000002</v>
      </c>
      <c r="K18" s="40">
        <f t="shared" si="6"/>
        <v>6.7064000000000235E-2</v>
      </c>
      <c r="L18" s="40">
        <f>'Dez24'!G23</f>
        <v>0.14338400000000001</v>
      </c>
      <c r="M18" s="40">
        <f>Paralelo!G23</f>
        <v>0.14338400000000001</v>
      </c>
      <c r="N18" s="40">
        <f t="shared" si="7"/>
        <v>0</v>
      </c>
      <c r="O18" s="40">
        <f>'Dez24'!H23</f>
        <v>0</v>
      </c>
      <c r="P18" s="40">
        <f>Paralelo!H23</f>
        <v>0</v>
      </c>
      <c r="Q18" s="40">
        <f t="shared" si="8"/>
        <v>0</v>
      </c>
      <c r="R18" s="40">
        <f>'Dez24'!I23</f>
        <v>7</v>
      </c>
      <c r="S18" s="40">
        <f>Paralelo!I23</f>
        <v>5</v>
      </c>
      <c r="T18" s="40">
        <f t="shared" si="9"/>
        <v>-2</v>
      </c>
      <c r="U18" s="40">
        <f>'Dez24'!J23</f>
        <v>0</v>
      </c>
      <c r="V18" s="40">
        <f>Paralelo!J23</f>
        <v>0</v>
      </c>
      <c r="W18" s="40">
        <f t="shared" si="1"/>
        <v>0</v>
      </c>
      <c r="X18" s="40">
        <f>'Dez24'!K23</f>
        <v>4.2248270000000003</v>
      </c>
      <c r="Y18" s="15">
        <f>Paralelo!K23</f>
        <v>4.2248270000000003</v>
      </c>
      <c r="Z18" s="15">
        <f t="shared" si="2"/>
        <v>0</v>
      </c>
      <c r="AA18" s="15">
        <f>'Dez24'!L23</f>
        <v>0</v>
      </c>
      <c r="AB18" s="15">
        <f>Paralelo!L23</f>
        <v>0</v>
      </c>
      <c r="AC18" s="15">
        <f t="shared" si="10"/>
        <v>0</v>
      </c>
      <c r="AD18" s="17">
        <f>'Dez24'!M23</f>
        <v>0.40316000000000002</v>
      </c>
      <c r="AE18" s="17">
        <f>Paralelo!M23</f>
        <v>0.47022399999999998</v>
      </c>
      <c r="AF18" s="15">
        <f t="shared" si="3"/>
        <v>6.7063999999999957E-2</v>
      </c>
      <c r="AG18" s="17">
        <f>'Dez24'!N23</f>
        <v>0.56559700000000002</v>
      </c>
      <c r="AH18" s="17">
        <f>Paralelo!N23</f>
        <v>12.487506</v>
      </c>
      <c r="AI18" s="15">
        <f t="shared" si="11"/>
        <v>11.921908999999999</v>
      </c>
      <c r="AJ18" s="15">
        <f>'Dez24'!O23</f>
        <v>-0.51734899999999995</v>
      </c>
      <c r="AK18" s="15">
        <f>Paralelo!O23</f>
        <v>-12.450239</v>
      </c>
      <c r="AL18" s="15">
        <f t="shared" si="4"/>
        <v>-11.93289</v>
      </c>
      <c r="AM18" s="17">
        <f>'Dez24'!P23</f>
        <v>-4.0769999999999999E-3</v>
      </c>
      <c r="AN18" s="17">
        <f>Paralelo!P23</f>
        <v>-1.2669E-2</v>
      </c>
      <c r="AO18" s="15">
        <f t="shared" si="12"/>
        <v>-8.5919999999999989E-3</v>
      </c>
      <c r="AP18" s="17">
        <f>'Dez24'!Q23</f>
        <v>-0.50478900000000004</v>
      </c>
      <c r="AQ18" s="17">
        <f>Paralelo!Q23</f>
        <v>-12.426698</v>
      </c>
      <c r="AR18" s="15">
        <f t="shared" si="13"/>
        <v>-11.921908999999999</v>
      </c>
    </row>
    <row r="19" spans="2:44" x14ac:dyDescent="0.3">
      <c r="B19" s="13" t="s">
        <v>21</v>
      </c>
      <c r="C19" s="40">
        <f>+'Dez24'!D24</f>
        <v>23291.746958</v>
      </c>
      <c r="D19" s="40">
        <f>Paralelo!D24</f>
        <v>23291.746937</v>
      </c>
      <c r="E19" s="40">
        <f t="shared" si="0"/>
        <v>-2.0999999833293259E-5</v>
      </c>
      <c r="F19" s="40">
        <f>'Dez24'!E24</f>
        <v>3.4864600000000001</v>
      </c>
      <c r="G19" s="40">
        <f>Paralelo!E24</f>
        <v>6.052975</v>
      </c>
      <c r="H19" s="40">
        <f t="shared" si="5"/>
        <v>2.5665149999999999</v>
      </c>
      <c r="I19" s="40">
        <f>'Dez24'!F24</f>
        <v>12.663439</v>
      </c>
      <c r="J19" s="40">
        <f>Paralelo!F24</f>
        <v>18.331364000000001</v>
      </c>
      <c r="K19" s="40">
        <f t="shared" si="6"/>
        <v>5.6679250000000003</v>
      </c>
      <c r="L19" s="40">
        <f>'Dez24'!G24</f>
        <v>43.480873000000003</v>
      </c>
      <c r="M19" s="40">
        <f>Paralelo!G24</f>
        <v>61.481515999999999</v>
      </c>
      <c r="N19" s="40">
        <f t="shared" si="7"/>
        <v>18.000642999999997</v>
      </c>
      <c r="O19" s="40">
        <f>'Dez24'!H24</f>
        <v>268.86395299999998</v>
      </c>
      <c r="P19" s="40">
        <f>Paralelo!H24</f>
        <v>323.90603800000002</v>
      </c>
      <c r="Q19" s="40">
        <f t="shared" si="8"/>
        <v>55.042085000000043</v>
      </c>
      <c r="R19" s="40">
        <f>'Dez24'!I24</f>
        <v>28</v>
      </c>
      <c r="S19" s="40">
        <f>Paralelo!I24</f>
        <v>27</v>
      </c>
      <c r="T19" s="40">
        <f t="shared" si="9"/>
        <v>-1</v>
      </c>
      <c r="U19" s="40">
        <f>'Dez24'!J24</f>
        <v>0</v>
      </c>
      <c r="V19" s="40">
        <f>Paralelo!J24</f>
        <v>6.1156000000000002E-2</v>
      </c>
      <c r="W19" s="40">
        <f t="shared" si="1"/>
        <v>6.1156000000000002E-2</v>
      </c>
      <c r="X19" s="40">
        <f>'Dez24'!K24</f>
        <v>328.49472500000002</v>
      </c>
      <c r="Y19" s="15">
        <f>Paralelo!K24</f>
        <v>336.34974899999997</v>
      </c>
      <c r="Z19" s="15">
        <f t="shared" si="2"/>
        <v>7.8550239999999576</v>
      </c>
      <c r="AA19" s="15">
        <f>'Dez24'!L24</f>
        <v>0</v>
      </c>
      <c r="AB19" s="15">
        <f>Paralelo!L24</f>
        <v>1.2799E-2</v>
      </c>
      <c r="AC19" s="15">
        <f t="shared" si="10"/>
        <v>1.2799E-2</v>
      </c>
      <c r="AD19" s="17">
        <f>'Dez24'!M24</f>
        <v>24.062124000000001</v>
      </c>
      <c r="AE19" s="17">
        <f>Paralelo!M24</f>
        <v>35.968049000000001</v>
      </c>
      <c r="AF19" s="15">
        <f t="shared" si="3"/>
        <v>11.905925</v>
      </c>
      <c r="AG19" s="17">
        <f>'Dez24'!N24</f>
        <v>3.9326829999999999</v>
      </c>
      <c r="AH19" s="17">
        <f>Paralelo!N24</f>
        <v>6.3520250000000003</v>
      </c>
      <c r="AI19" s="15">
        <f t="shared" si="11"/>
        <v>2.4193420000000003</v>
      </c>
      <c r="AJ19" s="15">
        <f>'Dez24'!O24</f>
        <v>-2.0841400000000001</v>
      </c>
      <c r="AK19" s="15">
        <f>Paralelo!O24</f>
        <v>-3.295766</v>
      </c>
      <c r="AL19" s="15">
        <f t="shared" si="4"/>
        <v>-1.2116259999999999</v>
      </c>
      <c r="AM19" s="17">
        <f>'Dez24'!P24</f>
        <v>-0.77513399999999999</v>
      </c>
      <c r="AN19" s="17">
        <f>Paralelo!P24</f>
        <v>-1.073332</v>
      </c>
      <c r="AO19" s="15">
        <f t="shared" si="12"/>
        <v>-0.29819799999999996</v>
      </c>
      <c r="AP19" s="17">
        <f>'Dez24'!Q24</f>
        <v>-1.151627</v>
      </c>
      <c r="AQ19" s="17">
        <f>Paralelo!Q24</f>
        <v>-2.015361</v>
      </c>
      <c r="AR19" s="15">
        <f t="shared" si="13"/>
        <v>-0.863734</v>
      </c>
    </row>
    <row r="20" spans="2:44" x14ac:dyDescent="0.3">
      <c r="B20" s="13" t="s">
        <v>22</v>
      </c>
      <c r="C20" s="40">
        <f>+'Dez24'!D25</f>
        <v>3579.2865569999999</v>
      </c>
      <c r="D20" s="40">
        <f>Paralelo!D25</f>
        <v>3579.2865459999998</v>
      </c>
      <c r="E20" s="40">
        <f t="shared" si="0"/>
        <v>-1.1000000085914508E-5</v>
      </c>
      <c r="F20" s="40">
        <f>'Dez24'!E25</f>
        <v>4.062157</v>
      </c>
      <c r="G20" s="40">
        <f>Paralelo!E25</f>
        <v>77.027153999999996</v>
      </c>
      <c r="H20" s="40">
        <f t="shared" si="5"/>
        <v>72.964996999999997</v>
      </c>
      <c r="I20" s="40">
        <f>'Dez24'!F25</f>
        <v>9.9740099999999998</v>
      </c>
      <c r="J20" s="40">
        <f>Paralelo!F25</f>
        <v>89.380049</v>
      </c>
      <c r="K20" s="40">
        <f t="shared" si="6"/>
        <v>79.406038999999993</v>
      </c>
      <c r="L20" s="40">
        <f>'Dez24'!G25</f>
        <v>4.5497030000000001</v>
      </c>
      <c r="M20" s="40">
        <f>Paralelo!G25</f>
        <v>77.848314999999999</v>
      </c>
      <c r="N20" s="40">
        <f t="shared" si="7"/>
        <v>73.298612000000006</v>
      </c>
      <c r="O20" s="40">
        <f>'Dez24'!H25</f>
        <v>8.2302E-2</v>
      </c>
      <c r="P20" s="40">
        <f>Paralelo!H25</f>
        <v>8.2302E-2</v>
      </c>
      <c r="Q20" s="40">
        <f t="shared" si="8"/>
        <v>0</v>
      </c>
      <c r="R20" s="40">
        <f>'Dez24'!I25</f>
        <v>9</v>
      </c>
      <c r="S20" s="40">
        <f>Paralelo!I25</f>
        <v>9</v>
      </c>
      <c r="T20" s="40">
        <f t="shared" si="9"/>
        <v>0</v>
      </c>
      <c r="U20" s="40">
        <f>'Dez24'!J25</f>
        <v>0</v>
      </c>
      <c r="V20" s="40">
        <f>Paralelo!J25</f>
        <v>10.635138</v>
      </c>
      <c r="W20" s="40">
        <f t="shared" si="1"/>
        <v>10.635138</v>
      </c>
      <c r="X20" s="40">
        <f>'Dez24'!K25</f>
        <v>18.668171999999998</v>
      </c>
      <c r="Y20" s="15">
        <f>Paralelo!K25</f>
        <v>18.668171999999998</v>
      </c>
      <c r="Z20" s="15">
        <f t="shared" si="2"/>
        <v>0</v>
      </c>
      <c r="AA20" s="15">
        <f>'Dez24'!L25</f>
        <v>0</v>
      </c>
      <c r="AB20" s="15">
        <f>Paralelo!L25</f>
        <v>0</v>
      </c>
      <c r="AC20" s="15">
        <f t="shared" si="10"/>
        <v>0</v>
      </c>
      <c r="AD20" s="17">
        <f>'Dez24'!M25</f>
        <v>0.28519299999999997</v>
      </c>
      <c r="AE20" s="17">
        <f>Paralelo!M25</f>
        <v>22.779485999999999</v>
      </c>
      <c r="AF20" s="15">
        <f t="shared" si="3"/>
        <v>22.494292999999999</v>
      </c>
      <c r="AG20" s="17">
        <f>'Dez24'!N25</f>
        <v>0.59055899999999995</v>
      </c>
      <c r="AH20" s="17">
        <f>Paralelo!N25</f>
        <v>22.656621000000001</v>
      </c>
      <c r="AI20" s="15">
        <f t="shared" si="11"/>
        <v>22.066062000000002</v>
      </c>
      <c r="AJ20" s="15">
        <f>'Dez24'!O25</f>
        <v>-0.562083</v>
      </c>
      <c r="AK20" s="15">
        <f>Paralelo!O25</f>
        <v>-20.166706000000001</v>
      </c>
      <c r="AL20" s="15">
        <f t="shared" si="4"/>
        <v>-19.604623</v>
      </c>
      <c r="AM20" s="17">
        <f>'Dez24'!P25</f>
        <v>-1.3804E-2</v>
      </c>
      <c r="AN20" s="17">
        <f>Paralelo!P25</f>
        <v>-1.1230249999999999</v>
      </c>
      <c r="AO20" s="15">
        <f t="shared" si="12"/>
        <v>-1.109221</v>
      </c>
      <c r="AP20" s="17">
        <f>'Dez24'!Q25</f>
        <v>-0.51229100000000005</v>
      </c>
      <c r="AQ20" s="17">
        <f>Paralelo!Q25</f>
        <v>-18.671807000000001</v>
      </c>
      <c r="AR20" s="15">
        <f t="shared" si="13"/>
        <v>-18.159516</v>
      </c>
    </row>
    <row r="21" spans="2:44" x14ac:dyDescent="0.3">
      <c r="B21" s="13" t="s">
        <v>23</v>
      </c>
      <c r="C21" s="40">
        <f>+'Dez24'!D26</f>
        <v>48.451569999999997</v>
      </c>
      <c r="D21" s="40">
        <f>Paralelo!D26</f>
        <v>0</v>
      </c>
      <c r="E21" s="41">
        <f t="shared" si="0"/>
        <v>-48.451569999999997</v>
      </c>
      <c r="F21" s="40">
        <f>'Dez24'!E26</f>
        <v>0</v>
      </c>
      <c r="G21" s="40">
        <f>Paralelo!E26</f>
        <v>0</v>
      </c>
      <c r="H21" s="40">
        <f t="shared" si="5"/>
        <v>0</v>
      </c>
      <c r="I21" s="40">
        <f>'Dez24'!F26</f>
        <v>0</v>
      </c>
      <c r="J21" s="40">
        <f>Paralelo!F26</f>
        <v>0</v>
      </c>
      <c r="K21" s="40">
        <f t="shared" si="6"/>
        <v>0</v>
      </c>
      <c r="L21" s="40">
        <f>'Dez24'!G26</f>
        <v>0</v>
      </c>
      <c r="M21" s="40">
        <f>Paralelo!G26</f>
        <v>0</v>
      </c>
      <c r="N21" s="40">
        <f t="shared" si="7"/>
        <v>0</v>
      </c>
      <c r="O21" s="40">
        <f>'Dez24'!H26</f>
        <v>0</v>
      </c>
      <c r="P21" s="40">
        <f>Paralelo!H26</f>
        <v>0</v>
      </c>
      <c r="Q21" s="40">
        <f t="shared" si="8"/>
        <v>0</v>
      </c>
      <c r="R21" s="40">
        <f>'Dez24'!I26</f>
        <v>0</v>
      </c>
      <c r="S21" s="40">
        <f>Paralelo!I26</f>
        <v>0</v>
      </c>
      <c r="T21" s="40">
        <f t="shared" si="9"/>
        <v>0</v>
      </c>
      <c r="U21" s="40">
        <f>'Dez24'!J26</f>
        <v>0</v>
      </c>
      <c r="V21" s="40">
        <f>Paralelo!J26</f>
        <v>0</v>
      </c>
      <c r="W21" s="40">
        <f t="shared" si="1"/>
        <v>0</v>
      </c>
      <c r="X21" s="40">
        <f>'Dez24'!K26</f>
        <v>0</v>
      </c>
      <c r="Y21" s="15">
        <f>Paralelo!K26</f>
        <v>0</v>
      </c>
      <c r="Z21" s="15">
        <f t="shared" si="2"/>
        <v>0</v>
      </c>
      <c r="AA21" s="15">
        <f>'Dez24'!L26</f>
        <v>0</v>
      </c>
      <c r="AB21" s="15">
        <f>Paralelo!L26</f>
        <v>0</v>
      </c>
      <c r="AC21" s="15">
        <f t="shared" si="10"/>
        <v>0</v>
      </c>
      <c r="AD21" s="17">
        <f>'Dez24'!M26</f>
        <v>0</v>
      </c>
      <c r="AE21" s="17">
        <f>Paralelo!M26</f>
        <v>0</v>
      </c>
      <c r="AF21" s="15">
        <f t="shared" si="3"/>
        <v>0</v>
      </c>
      <c r="AG21" s="17">
        <f>'Dez24'!N26</f>
        <v>0</v>
      </c>
      <c r="AH21" s="17">
        <f>Paralelo!N26</f>
        <v>0</v>
      </c>
      <c r="AI21" s="15">
        <f t="shared" si="11"/>
        <v>0</v>
      </c>
      <c r="AJ21" s="15">
        <f>'Dez24'!O26</f>
        <v>0</v>
      </c>
      <c r="AK21" s="15">
        <f>Paralelo!O26</f>
        <v>0</v>
      </c>
      <c r="AL21" s="15">
        <f t="shared" si="4"/>
        <v>0</v>
      </c>
      <c r="AM21" s="17">
        <f>'Dez24'!P26</f>
        <v>0</v>
      </c>
      <c r="AN21" s="17">
        <f>Paralelo!P26</f>
        <v>0</v>
      </c>
      <c r="AO21" s="15">
        <f t="shared" si="12"/>
        <v>0</v>
      </c>
      <c r="AP21" s="17">
        <f>'Dez24'!Q26</f>
        <v>0</v>
      </c>
      <c r="AQ21" s="17">
        <f>Paralelo!Q26</f>
        <v>0</v>
      </c>
      <c r="AR21" s="15">
        <f t="shared" si="13"/>
        <v>0</v>
      </c>
    </row>
    <row r="22" spans="2:44" x14ac:dyDescent="0.3">
      <c r="B22" s="13" t="s">
        <v>24</v>
      </c>
      <c r="C22" s="40">
        <f>+'Dez24'!D27</f>
        <v>1192.7168340000001</v>
      </c>
      <c r="D22" s="40">
        <f>Paralelo!D27</f>
        <v>1110.460141</v>
      </c>
      <c r="E22" s="41">
        <f t="shared" si="0"/>
        <v>-82.256693000000041</v>
      </c>
      <c r="F22" s="40">
        <f>'Dez24'!E27</f>
        <v>0.22211700000000001</v>
      </c>
      <c r="G22" s="40">
        <f>Paralelo!E27</f>
        <v>0.22211700000000001</v>
      </c>
      <c r="H22" s="40">
        <f t="shared" si="5"/>
        <v>0</v>
      </c>
      <c r="I22" s="40">
        <f>'Dez24'!F27</f>
        <v>6.5126179999999998</v>
      </c>
      <c r="J22" s="40">
        <f>Paralelo!F27</f>
        <v>6.5126179999999998</v>
      </c>
      <c r="K22" s="40">
        <f t="shared" si="6"/>
        <v>0</v>
      </c>
      <c r="L22" s="40">
        <f>'Dez24'!G27</f>
        <v>0.70479800000000004</v>
      </c>
      <c r="M22" s="40">
        <f>Paralelo!G27</f>
        <v>0.70479800000000004</v>
      </c>
      <c r="N22" s="40">
        <f t="shared" si="7"/>
        <v>0</v>
      </c>
      <c r="O22" s="40">
        <f>'Dez24'!H27</f>
        <v>0</v>
      </c>
      <c r="P22" s="40">
        <f>Paralelo!H27</f>
        <v>0</v>
      </c>
      <c r="Q22" s="40">
        <f t="shared" si="8"/>
        <v>0</v>
      </c>
      <c r="R22" s="40">
        <f>'Dez24'!I27</f>
        <v>10</v>
      </c>
      <c r="S22" s="40">
        <f>Paralelo!I27</f>
        <v>10</v>
      </c>
      <c r="T22" s="40">
        <f t="shared" si="9"/>
        <v>0</v>
      </c>
      <c r="U22" s="40">
        <f>'Dez24'!J27</f>
        <v>0</v>
      </c>
      <c r="V22" s="40">
        <f>Paralelo!J27</f>
        <v>0</v>
      </c>
      <c r="W22" s="40">
        <f t="shared" si="1"/>
        <v>0</v>
      </c>
      <c r="X22" s="40">
        <f>'Dez24'!K27</f>
        <v>7.439533</v>
      </c>
      <c r="Y22" s="15">
        <f>Paralelo!K27</f>
        <v>7.439533</v>
      </c>
      <c r="Z22" s="15">
        <f t="shared" si="2"/>
        <v>0</v>
      </c>
      <c r="AA22" s="15">
        <f>'Dez24'!L27</f>
        <v>0</v>
      </c>
      <c r="AB22" s="15">
        <f>Paralelo!L27</f>
        <v>0</v>
      </c>
      <c r="AC22" s="15">
        <f t="shared" si="10"/>
        <v>0</v>
      </c>
      <c r="AD22" s="17">
        <f>'Dez24'!M27</f>
        <v>0</v>
      </c>
      <c r="AE22" s="17">
        <f>Paralelo!M27</f>
        <v>0</v>
      </c>
      <c r="AF22" s="15">
        <f t="shared" si="3"/>
        <v>0</v>
      </c>
      <c r="AG22" s="17">
        <f>'Dez24'!N27</f>
        <v>3.0584E-2</v>
      </c>
      <c r="AH22" s="17">
        <f>Paralelo!N27</f>
        <v>3.0584E-2</v>
      </c>
      <c r="AI22" s="15">
        <f t="shared" si="11"/>
        <v>0</v>
      </c>
      <c r="AJ22" s="15">
        <f>'Dez24'!O27</f>
        <v>-2.7449000000000001E-2</v>
      </c>
      <c r="AK22" s="15">
        <f>Paralelo!O27</f>
        <v>-2.7449000000000001E-2</v>
      </c>
      <c r="AL22" s="15">
        <f t="shared" si="4"/>
        <v>0</v>
      </c>
      <c r="AM22" s="17">
        <f>'Dez24'!P27</f>
        <v>0</v>
      </c>
      <c r="AN22" s="17">
        <f>Paralelo!P27</f>
        <v>0</v>
      </c>
      <c r="AO22" s="15">
        <f t="shared" si="12"/>
        <v>0</v>
      </c>
      <c r="AP22" s="17">
        <f>'Dez24'!Q27</f>
        <v>-1.3414000000000001E-2</v>
      </c>
      <c r="AQ22" s="17">
        <f>Paralelo!Q27</f>
        <v>-1.3414000000000001E-2</v>
      </c>
      <c r="AR22" s="15">
        <f t="shared" si="13"/>
        <v>0</v>
      </c>
    </row>
    <row r="23" spans="2:44" x14ac:dyDescent="0.3">
      <c r="B23" s="13" t="s">
        <v>25</v>
      </c>
      <c r="C23" s="40">
        <f>+'Dez24'!D28</f>
        <v>4.1165900000000004</v>
      </c>
      <c r="D23" s="40">
        <f>Paralelo!D28</f>
        <v>8.7186570000000003</v>
      </c>
      <c r="E23" s="41">
        <f t="shared" si="0"/>
        <v>4.6020669999999999</v>
      </c>
      <c r="F23" s="40">
        <f>'Dez24'!E28</f>
        <v>0</v>
      </c>
      <c r="G23" s="40">
        <f>Paralelo!E28</f>
        <v>0</v>
      </c>
      <c r="H23" s="40">
        <f t="shared" si="5"/>
        <v>0</v>
      </c>
      <c r="I23" s="40">
        <f>'Dez24'!F28</f>
        <v>0</v>
      </c>
      <c r="J23" s="40">
        <f>Paralelo!F28</f>
        <v>0</v>
      </c>
      <c r="K23" s="40">
        <f t="shared" si="6"/>
        <v>0</v>
      </c>
      <c r="L23" s="40">
        <f>'Dez24'!G28</f>
        <v>0</v>
      </c>
      <c r="M23" s="40">
        <f>Paralelo!G28</f>
        <v>0</v>
      </c>
      <c r="N23" s="40">
        <f t="shared" si="7"/>
        <v>0</v>
      </c>
      <c r="O23" s="40">
        <f>'Dez24'!H28</f>
        <v>0</v>
      </c>
      <c r="P23" s="40">
        <f>Paralelo!H28</f>
        <v>0</v>
      </c>
      <c r="Q23" s="40">
        <f t="shared" si="8"/>
        <v>0</v>
      </c>
      <c r="R23" s="40">
        <f>'Dez24'!I28</f>
        <v>0</v>
      </c>
      <c r="S23" s="40">
        <f>Paralelo!I28</f>
        <v>0</v>
      </c>
      <c r="T23" s="40">
        <f t="shared" si="9"/>
        <v>0</v>
      </c>
      <c r="U23" s="40">
        <f>'Dez24'!J28</f>
        <v>0</v>
      </c>
      <c r="V23" s="40">
        <f>Paralelo!J28</f>
        <v>0</v>
      </c>
      <c r="W23" s="40">
        <f t="shared" si="1"/>
        <v>0</v>
      </c>
      <c r="X23" s="40">
        <f>'Dez24'!K28</f>
        <v>0</v>
      </c>
      <c r="Y23" s="15">
        <f>Paralelo!K28</f>
        <v>0</v>
      </c>
      <c r="Z23" s="15">
        <f t="shared" si="2"/>
        <v>0</v>
      </c>
      <c r="AA23" s="15">
        <f>'Dez24'!L28</f>
        <v>0</v>
      </c>
      <c r="AB23" s="15">
        <f>Paralelo!L28</f>
        <v>0</v>
      </c>
      <c r="AC23" s="15">
        <f t="shared" si="10"/>
        <v>0</v>
      </c>
      <c r="AD23" s="17">
        <f>'Dez24'!M28</f>
        <v>0</v>
      </c>
      <c r="AE23" s="17">
        <f>Paralelo!M28</f>
        <v>0</v>
      </c>
      <c r="AF23" s="15">
        <f t="shared" si="3"/>
        <v>0</v>
      </c>
      <c r="AG23" s="17">
        <f>'Dez24'!N28</f>
        <v>0</v>
      </c>
      <c r="AH23" s="17">
        <f>Paralelo!N28</f>
        <v>0</v>
      </c>
      <c r="AI23" s="15">
        <f t="shared" si="11"/>
        <v>0</v>
      </c>
      <c r="AJ23" s="15">
        <f>'Dez24'!O28</f>
        <v>0</v>
      </c>
      <c r="AK23" s="15">
        <f>Paralelo!O28</f>
        <v>0</v>
      </c>
      <c r="AL23" s="15">
        <f t="shared" si="4"/>
        <v>0</v>
      </c>
      <c r="AM23" s="17">
        <f>'Dez24'!P28</f>
        <v>0</v>
      </c>
      <c r="AN23" s="17">
        <f>Paralelo!P28</f>
        <v>0</v>
      </c>
      <c r="AO23" s="15">
        <f t="shared" si="12"/>
        <v>0</v>
      </c>
      <c r="AP23" s="17">
        <f>'Dez24'!Q28</f>
        <v>0</v>
      </c>
      <c r="AQ23" s="17">
        <f>Paralelo!Q28</f>
        <v>0</v>
      </c>
      <c r="AR23" s="15">
        <f t="shared" si="13"/>
        <v>0</v>
      </c>
    </row>
    <row r="24" spans="2:44" x14ac:dyDescent="0.3">
      <c r="B24" s="13" t="s">
        <v>26</v>
      </c>
      <c r="C24" s="40">
        <f>+'Dez24'!D29</f>
        <v>3007.7490640000001</v>
      </c>
      <c r="D24" s="40">
        <f>Paralelo!D29</f>
        <v>2859.1391629999998</v>
      </c>
      <c r="E24" s="41">
        <f t="shared" si="0"/>
        <v>-148.60990100000026</v>
      </c>
      <c r="F24" s="40">
        <f>'Dez24'!E29</f>
        <v>8.1796999999999995E-2</v>
      </c>
      <c r="G24" s="40">
        <f>Paralelo!E29</f>
        <v>8.1796999999999995E-2</v>
      </c>
      <c r="H24" s="40">
        <f t="shared" si="5"/>
        <v>0</v>
      </c>
      <c r="I24" s="40">
        <f>'Dez24'!F29</f>
        <v>0.26802100000000001</v>
      </c>
      <c r="J24" s="40">
        <f>Paralelo!F29</f>
        <v>0.26802100000000001</v>
      </c>
      <c r="K24" s="40">
        <f t="shared" si="6"/>
        <v>0</v>
      </c>
      <c r="L24" s="40">
        <f>'Dez24'!G29</f>
        <v>0.26789800000000003</v>
      </c>
      <c r="M24" s="40">
        <f>Paralelo!G29</f>
        <v>0.26789800000000003</v>
      </c>
      <c r="N24" s="40">
        <f t="shared" si="7"/>
        <v>0</v>
      </c>
      <c r="O24" s="40">
        <f>'Dez24'!H29</f>
        <v>0</v>
      </c>
      <c r="P24" s="40">
        <f>Paralelo!H29</f>
        <v>0</v>
      </c>
      <c r="Q24" s="40">
        <f t="shared" si="8"/>
        <v>0</v>
      </c>
      <c r="R24" s="40">
        <f>'Dez24'!I29</f>
        <v>9.2468708440581278</v>
      </c>
      <c r="S24" s="40">
        <f>Paralelo!I29</f>
        <v>9.2468708440581278</v>
      </c>
      <c r="T24" s="40">
        <f t="shared" si="9"/>
        <v>0</v>
      </c>
      <c r="U24" s="40">
        <f>'Dez24'!J29</f>
        <v>0</v>
      </c>
      <c r="V24" s="40">
        <f>Paralelo!J29</f>
        <v>0</v>
      </c>
      <c r="W24" s="40">
        <f t="shared" si="1"/>
        <v>0</v>
      </c>
      <c r="X24" s="40">
        <f>'Dez24'!K29</f>
        <v>0.61771600000000004</v>
      </c>
      <c r="Y24" s="15">
        <f>Paralelo!K29</f>
        <v>0.61771600000000004</v>
      </c>
      <c r="Z24" s="15">
        <f t="shared" si="2"/>
        <v>0</v>
      </c>
      <c r="AA24" s="15">
        <f>'Dez24'!L29</f>
        <v>0</v>
      </c>
      <c r="AB24" s="15">
        <f>Paralelo!L29</f>
        <v>0</v>
      </c>
      <c r="AC24" s="15">
        <f t="shared" si="10"/>
        <v>0</v>
      </c>
      <c r="AD24" s="17">
        <f>'Dez24'!M29</f>
        <v>6.8651000000000004E-2</v>
      </c>
      <c r="AE24" s="17">
        <f>Paralelo!M29</f>
        <v>6.8651000000000004E-2</v>
      </c>
      <c r="AF24" s="15">
        <f t="shared" si="3"/>
        <v>0</v>
      </c>
      <c r="AG24" s="17">
        <f>'Dez24'!N29</f>
        <v>0</v>
      </c>
      <c r="AH24" s="17">
        <f>Paralelo!N29</f>
        <v>0</v>
      </c>
      <c r="AI24" s="15">
        <f t="shared" si="11"/>
        <v>0</v>
      </c>
      <c r="AJ24" s="15">
        <f>'Dez24'!O29</f>
        <v>-2.8839999999999998E-3</v>
      </c>
      <c r="AK24" s="15">
        <f>Paralelo!O29</f>
        <v>-2.8839999999999998E-3</v>
      </c>
      <c r="AL24" s="15">
        <f t="shared" si="4"/>
        <v>0</v>
      </c>
      <c r="AM24" s="17">
        <f>'Dez24'!P29</f>
        <v>-2.2910000000000001E-3</v>
      </c>
      <c r="AN24" s="17">
        <f>Paralelo!P29</f>
        <v>-2.2910000000000001E-3</v>
      </c>
      <c r="AO24" s="15">
        <f t="shared" si="12"/>
        <v>0</v>
      </c>
      <c r="AP24" s="17">
        <f>'Dez24'!Q29</f>
        <v>0</v>
      </c>
      <c r="AQ24" s="17">
        <f>Paralelo!Q29</f>
        <v>0</v>
      </c>
      <c r="AR24" s="15">
        <f t="shared" si="13"/>
        <v>0</v>
      </c>
    </row>
    <row r="25" spans="2:44" s="5" customFormat="1" x14ac:dyDescent="0.3">
      <c r="B25" s="13" t="s">
        <v>27</v>
      </c>
      <c r="C25" s="14">
        <f>+SUM(C10:C24)</f>
        <v>39209.311451000001</v>
      </c>
      <c r="D25" s="14">
        <f>+SUM(D10:D24)</f>
        <v>39160.863397000001</v>
      </c>
      <c r="E25" s="14">
        <f>+SUM(E10:E24)</f>
        <v>-48.448053999999928</v>
      </c>
      <c r="F25" s="14">
        <f>+SUM(F10:F24)</f>
        <v>1838.4142280000001</v>
      </c>
      <c r="G25" s="14">
        <f>+SUM(G10:G24)</f>
        <v>1778.8074580000002</v>
      </c>
      <c r="H25" s="14">
        <f>G25-F25</f>
        <v>-59.606769999999869</v>
      </c>
      <c r="I25" s="14">
        <f>+SUM(I10:I24)</f>
        <v>253.68090900000004</v>
      </c>
      <c r="J25" s="14">
        <f>+SUM(J10:J24)</f>
        <v>452.07200800000004</v>
      </c>
      <c r="K25" s="14">
        <f>J25-I25</f>
        <v>198.391099</v>
      </c>
      <c r="L25" s="14">
        <f>+SUM(L10:L24)</f>
        <v>109.70790799999999</v>
      </c>
      <c r="M25" s="14">
        <f>+SUM(M10:M24)</f>
        <v>260.283209</v>
      </c>
      <c r="N25" s="14">
        <f>M25-L25</f>
        <v>150.57530100000002</v>
      </c>
      <c r="O25" s="14">
        <f>+SUM(O10:O24)</f>
        <v>268.94625500000001</v>
      </c>
      <c r="P25" s="14">
        <f>+SUM(P10:P24)</f>
        <v>323.98834000000005</v>
      </c>
      <c r="Q25" s="14">
        <f>P25-O25</f>
        <v>55.042085000000043</v>
      </c>
      <c r="R25"/>
      <c r="S25"/>
      <c r="T25"/>
      <c r="U25" s="14">
        <f>+SUM(U10:U24)</f>
        <v>1962.6081880000002</v>
      </c>
      <c r="V25" s="14">
        <f>+SUM(V10:V24)</f>
        <v>1755.956113</v>
      </c>
      <c r="W25" s="14">
        <f t="shared" si="1"/>
        <v>-206.6520750000002</v>
      </c>
      <c r="X25" s="14">
        <f>+SUM(X10:X24)</f>
        <v>467.263148</v>
      </c>
      <c r="Y25" s="14">
        <f>+SUM(Y10:Y24)</f>
        <v>519.91798399999993</v>
      </c>
      <c r="Z25" s="14">
        <f t="shared" si="2"/>
        <v>52.654835999999932</v>
      </c>
      <c r="AA25" s="14">
        <f>+SUM(AA10:AA24)</f>
        <v>40.877963999999999</v>
      </c>
      <c r="AB25" s="14">
        <f>+SUM(AB10:AB24)</f>
        <v>40.838116999999997</v>
      </c>
      <c r="AC25" s="14">
        <f>AB25-AA25</f>
        <v>-3.9847000000001742E-2</v>
      </c>
      <c r="AD25" s="14">
        <f>+SUM(AD10:AD24)</f>
        <v>221.040066</v>
      </c>
      <c r="AE25" s="14">
        <f>+SUM(AE10:AE24)</f>
        <v>247.93501900000001</v>
      </c>
      <c r="AF25" s="14">
        <f t="shared" si="3"/>
        <v>26.894953000000015</v>
      </c>
      <c r="AG25" s="14">
        <f>+SUM(AG10:AG24)</f>
        <v>77.254233999999997</v>
      </c>
      <c r="AH25" s="14">
        <f>+SUM(AH10:AH24)</f>
        <v>116.92561600000002</v>
      </c>
      <c r="AI25" s="14">
        <f t="shared" si="11"/>
        <v>39.671382000000023</v>
      </c>
      <c r="AJ25" s="14">
        <f>+SUM(AJ10:AJ24)</f>
        <v>-52.623832</v>
      </c>
      <c r="AK25" s="14">
        <f>+SUM(AK10:AK24)</f>
        <v>-87.429092999999995</v>
      </c>
      <c r="AL25" s="14">
        <f t="shared" si="4"/>
        <v>-34.805260999999994</v>
      </c>
      <c r="AM25" s="14">
        <f>+SUM(AM10:AM24)</f>
        <v>-11.283027000000001</v>
      </c>
      <c r="AN25" s="14">
        <f>+SUM(AN10:AN24)</f>
        <v>-12.820872000000001</v>
      </c>
      <c r="AO25" s="14">
        <f>AN25-AM25</f>
        <v>-1.5378450000000008</v>
      </c>
      <c r="AP25" s="14">
        <f>+SUM(AP10:AP24)</f>
        <v>-36.386181000000001</v>
      </c>
      <c r="AQ25" s="14">
        <f>+SUM(AQ10:AQ24)</f>
        <v>-69.395128</v>
      </c>
      <c r="AR25" s="14">
        <f>AQ25-AP25</f>
        <v>-33.008946999999999</v>
      </c>
    </row>
    <row r="26" spans="2:44" x14ac:dyDescent="0.3"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J26" s="11"/>
      <c r="AK26" s="11"/>
      <c r="AL26" s="11"/>
      <c r="AM26" s="11"/>
      <c r="AN26" s="11"/>
      <c r="AO26" s="11"/>
    </row>
    <row r="27" spans="2:44" hidden="1" x14ac:dyDescent="0.3"/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V65"/>
  <sheetViews>
    <sheetView showGridLines="0" zoomScale="90" zoomScaleNormal="90" workbookViewId="0">
      <pane ySplit="6" topLeftCell="A7" activePane="bottomLeft" state="frozen"/>
      <selection pane="bottomLeft"/>
    </sheetView>
  </sheetViews>
  <sheetFormatPr defaultColWidth="0" defaultRowHeight="0" customHeight="1" zeroHeight="1" outlineLevelRow="1" x14ac:dyDescent="0.3"/>
  <cols>
    <col min="1" max="1" width="3.6640625" customWidth="1"/>
    <col min="2" max="2" width="83.33203125" customWidth="1"/>
    <col min="3" max="3" width="12.33203125" bestFit="1" customWidth="1"/>
    <col min="4" max="4" width="11.6640625" bestFit="1" customWidth="1"/>
    <col min="5" max="5" width="15.77734375" bestFit="1" customWidth="1"/>
    <col min="6" max="6" width="11.44140625" bestFit="1" customWidth="1"/>
    <col min="7" max="7" width="6.44140625" bestFit="1" customWidth="1"/>
    <col min="8" max="8" width="12.33203125" bestFit="1" customWidth="1"/>
    <col min="9" max="9" width="11.6640625" bestFit="1" customWidth="1"/>
    <col min="10" max="10" width="15.77734375" bestFit="1" customWidth="1"/>
    <col min="11" max="11" width="11.44140625" bestFit="1" customWidth="1"/>
    <col min="12" max="12" width="6.44140625" bestFit="1" customWidth="1"/>
    <col min="13" max="13" width="9" bestFit="1" customWidth="1"/>
    <col min="14" max="14" width="11.6640625" bestFit="1" customWidth="1"/>
    <col min="15" max="15" width="9" bestFit="1" customWidth="1"/>
    <col min="16" max="16" width="11.44140625" bestFit="1" customWidth="1"/>
    <col min="17" max="17" width="6.44140625" bestFit="1" customWidth="1"/>
    <col min="18" max="18" width="7" bestFit="1" customWidth="1"/>
    <col min="19" max="19" width="11.6640625" bestFit="1" customWidth="1"/>
    <col min="20" max="20" width="7" bestFit="1" customWidth="1"/>
    <col min="21" max="21" width="11.44140625" bestFit="1" customWidth="1"/>
    <col min="22" max="22" width="6.44140625" bestFit="1" customWidth="1"/>
    <col min="23" max="23" width="8" bestFit="1" customWidth="1"/>
    <col min="24" max="24" width="11.6640625" bestFit="1" customWidth="1"/>
    <col min="25" max="25" width="8" bestFit="1" customWidth="1"/>
    <col min="26" max="26" width="11.44140625" bestFit="1" customWidth="1"/>
    <col min="27" max="27" width="6.44140625" bestFit="1" customWidth="1"/>
    <col min="28" max="28" width="7" bestFit="1" customWidth="1"/>
    <col min="29" max="29" width="11.6640625" bestFit="1" customWidth="1"/>
    <col min="30" max="30" width="7" bestFit="1" customWidth="1"/>
    <col min="31" max="31" width="11.44140625" bestFit="1" customWidth="1"/>
    <col min="32" max="32" width="6.44140625" bestFit="1" customWidth="1"/>
    <col min="33" max="33" width="7.33203125" bestFit="1" customWidth="1"/>
    <col min="34" max="34" width="11.6640625" bestFit="1" customWidth="1"/>
    <col min="35" max="35" width="7.33203125" bestFit="1" customWidth="1"/>
    <col min="36" max="36" width="11.44140625" bestFit="1" customWidth="1"/>
    <col min="37" max="37" width="6.44140625" bestFit="1" customWidth="1"/>
    <col min="38" max="38" width="7" bestFit="1" customWidth="1"/>
    <col min="39" max="39" width="11.6640625" bestFit="1" customWidth="1"/>
    <col min="40" max="40" width="7.33203125" bestFit="1" customWidth="1"/>
    <col min="41" max="41" width="11.44140625" bestFit="1" customWidth="1"/>
    <col min="42" max="42" width="6.44140625" bestFit="1" customWidth="1"/>
    <col min="43" max="43" width="7.33203125" bestFit="1" customWidth="1"/>
    <col min="44" max="44" width="11.6640625" bestFit="1" customWidth="1"/>
    <col min="45" max="45" width="7.33203125" bestFit="1" customWidth="1"/>
    <col min="46" max="46" width="11.44140625" bestFit="1" customWidth="1"/>
    <col min="47" max="47" width="6.44140625" bestFit="1" customWidth="1"/>
    <col min="48" max="48" width="3.6640625" customWidth="1"/>
    <col min="49" max="16384" width="9.109375" hidden="1"/>
  </cols>
  <sheetData>
    <row r="1" spans="1:48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</row>
    <row r="3" spans="1:48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</row>
    <row r="4" spans="1:48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8" ht="15" customHeight="1" x14ac:dyDescent="0.3"/>
    <row r="8" spans="1:48" ht="28.8" x14ac:dyDescent="0.3">
      <c r="C8" s="33" t="s">
        <v>1</v>
      </c>
      <c r="D8" s="33"/>
      <c r="E8" s="34"/>
      <c r="F8" s="34"/>
      <c r="G8" s="34"/>
      <c r="H8" s="39" t="s">
        <v>2</v>
      </c>
      <c r="I8" s="39"/>
      <c r="J8" s="32"/>
      <c r="K8" s="32"/>
      <c r="L8" s="32"/>
      <c r="M8" s="39" t="s">
        <v>3</v>
      </c>
      <c r="N8" s="39"/>
      <c r="O8" s="32"/>
      <c r="P8" s="32"/>
      <c r="Q8" s="32"/>
      <c r="R8" s="39" t="s">
        <v>4</v>
      </c>
      <c r="S8" s="16"/>
      <c r="T8" s="6"/>
      <c r="U8" s="6"/>
      <c r="V8" s="6"/>
      <c r="W8" s="38" t="s">
        <v>5</v>
      </c>
      <c r="X8" s="38"/>
      <c r="Y8" s="37"/>
      <c r="Z8" s="37"/>
      <c r="AA8" s="37"/>
      <c r="AB8" s="35" t="s">
        <v>6</v>
      </c>
      <c r="AC8" s="35"/>
      <c r="AD8" s="34"/>
      <c r="AE8" s="34"/>
      <c r="AF8" s="34"/>
      <c r="AG8" s="35" t="s">
        <v>7</v>
      </c>
      <c r="AH8" s="35"/>
      <c r="AI8" s="34"/>
      <c r="AJ8" s="34"/>
      <c r="AK8" s="34"/>
      <c r="AL8" s="38" t="s">
        <v>8</v>
      </c>
      <c r="AM8" s="35"/>
      <c r="AN8" s="34"/>
      <c r="AO8" s="34"/>
      <c r="AP8" s="34"/>
      <c r="AQ8" s="38" t="s">
        <v>9</v>
      </c>
      <c r="AR8" s="35"/>
      <c r="AS8" s="34"/>
      <c r="AT8" s="34"/>
      <c r="AU8" s="34"/>
    </row>
    <row r="9" spans="1:48" ht="14.4" x14ac:dyDescent="0.3">
      <c r="B9" s="5" t="s">
        <v>10</v>
      </c>
      <c r="C9" s="58" t="s">
        <v>95</v>
      </c>
      <c r="D9" s="58" t="s">
        <v>96</v>
      </c>
      <c r="E9" s="58" t="s">
        <v>94</v>
      </c>
      <c r="F9" s="58" t="s">
        <v>97</v>
      </c>
      <c r="G9" s="12" t="s">
        <v>11</v>
      </c>
      <c r="H9" s="58" t="s">
        <v>95</v>
      </c>
      <c r="I9" s="58" t="s">
        <v>96</v>
      </c>
      <c r="J9" s="58" t="s">
        <v>94</v>
      </c>
      <c r="K9" s="58" t="s">
        <v>97</v>
      </c>
      <c r="L9" s="12" t="s">
        <v>11</v>
      </c>
      <c r="M9" s="58" t="s">
        <v>95</v>
      </c>
      <c r="N9" s="58" t="s">
        <v>96</v>
      </c>
      <c r="O9" s="58" t="s">
        <v>94</v>
      </c>
      <c r="P9" s="58" t="s">
        <v>97</v>
      </c>
      <c r="Q9" s="12" t="s">
        <v>11</v>
      </c>
      <c r="R9" s="58" t="s">
        <v>95</v>
      </c>
      <c r="S9" s="58" t="s">
        <v>96</v>
      </c>
      <c r="T9" s="58" t="s">
        <v>94</v>
      </c>
      <c r="U9" s="58" t="s">
        <v>97</v>
      </c>
      <c r="V9" s="12" t="s">
        <v>11</v>
      </c>
      <c r="W9" s="58" t="s">
        <v>95</v>
      </c>
      <c r="X9" s="58" t="s">
        <v>96</v>
      </c>
      <c r="Y9" s="58" t="s">
        <v>94</v>
      </c>
      <c r="Z9" s="58" t="s">
        <v>97</v>
      </c>
      <c r="AA9" s="12" t="s">
        <v>11</v>
      </c>
      <c r="AB9" s="58" t="s">
        <v>95</v>
      </c>
      <c r="AC9" s="58" t="s">
        <v>96</v>
      </c>
      <c r="AD9" s="58" t="s">
        <v>94</v>
      </c>
      <c r="AE9" s="58" t="s">
        <v>97</v>
      </c>
      <c r="AF9" s="12" t="s">
        <v>11</v>
      </c>
      <c r="AG9" s="58" t="s">
        <v>95</v>
      </c>
      <c r="AH9" s="58" t="s">
        <v>96</v>
      </c>
      <c r="AI9" s="58" t="s">
        <v>94</v>
      </c>
      <c r="AJ9" s="58" t="s">
        <v>97</v>
      </c>
      <c r="AK9" s="12" t="s">
        <v>11</v>
      </c>
      <c r="AL9" s="58" t="s">
        <v>95</v>
      </c>
      <c r="AM9" s="58" t="s">
        <v>96</v>
      </c>
      <c r="AN9" s="58" t="s">
        <v>94</v>
      </c>
      <c r="AO9" s="58" t="s">
        <v>97</v>
      </c>
      <c r="AP9" s="12" t="s">
        <v>11</v>
      </c>
      <c r="AQ9" s="58" t="s">
        <v>95</v>
      </c>
      <c r="AR9" s="58" t="s">
        <v>96</v>
      </c>
      <c r="AS9" s="58" t="s">
        <v>94</v>
      </c>
      <c r="AT9" s="58" t="s">
        <v>97</v>
      </c>
      <c r="AU9" s="12" t="s">
        <v>11</v>
      </c>
    </row>
    <row r="10" spans="1:48" ht="14.4" x14ac:dyDescent="0.3">
      <c r="B10" s="13" t="s">
        <v>12</v>
      </c>
      <c r="C10" s="15">
        <f>'Dez24'!D15</f>
        <v>331.59960899999999</v>
      </c>
      <c r="D10" s="15">
        <f>+C10/C$25</f>
        <v>8.457164809292839E-3</v>
      </c>
      <c r="E10" s="15">
        <f>Paralelo!D15</f>
        <v>331.599605</v>
      </c>
      <c r="F10" s="15">
        <f>+E10/E$25</f>
        <v>8.4676275300253692E-3</v>
      </c>
      <c r="G10" s="15">
        <f>+F10-D10</f>
        <v>1.0462720732530226E-5</v>
      </c>
      <c r="H10" s="15">
        <f>'Dez24'!J15</f>
        <v>177.514757</v>
      </c>
      <c r="I10" s="15">
        <f>+H10/H$25</f>
        <v>9.0448393156301252E-2</v>
      </c>
      <c r="J10" s="15">
        <f>Paralelo!J15</f>
        <v>173.753849</v>
      </c>
      <c r="K10" s="15">
        <f>+J10/J$25</f>
        <v>9.8951134207532446E-2</v>
      </c>
      <c r="L10" s="15">
        <f>+K10-I10</f>
        <v>8.5027410512311941E-3</v>
      </c>
      <c r="M10" s="15">
        <f>'Dez24'!K15</f>
        <v>0.102603</v>
      </c>
      <c r="N10" s="15">
        <f t="shared" ref="N10:N25" si="0">+M10/M$25</f>
        <v>2.195829062042787E-4</v>
      </c>
      <c r="O10" s="15">
        <f>Paralelo!K15</f>
        <v>0.102603</v>
      </c>
      <c r="P10" s="15">
        <f>+O10/O$25</f>
        <v>1.9734458733399E-4</v>
      </c>
      <c r="Q10" s="15">
        <f>+P10-N10</f>
        <v>-2.2238318870288707E-5</v>
      </c>
      <c r="R10" s="15">
        <f>'Dez24'!L15</f>
        <v>6.4175469999999999</v>
      </c>
      <c r="S10" s="15">
        <f t="shared" ref="S10:S25" si="1">+R10/R$25</f>
        <v>0.15699282381089236</v>
      </c>
      <c r="T10" s="15">
        <f>Paralelo!L15</f>
        <v>6.4175449999999996</v>
      </c>
      <c r="U10" s="15">
        <f>+T10/T$25</f>
        <v>0.15714595753766022</v>
      </c>
      <c r="V10" s="15">
        <f>+U10-S10</f>
        <v>1.5313372676786785E-4</v>
      </c>
      <c r="W10" s="15">
        <f>'Dez24'!M15</f>
        <v>25.000008999999999</v>
      </c>
      <c r="X10" s="15">
        <f>+W10/W$25</f>
        <v>0.11310170799532787</v>
      </c>
      <c r="Y10" s="15">
        <f>Paralelo!M15</f>
        <v>29.344605000000001</v>
      </c>
      <c r="Z10" s="15">
        <f>+Y10/Y$25</f>
        <v>0.11835603182783953</v>
      </c>
      <c r="AA10" s="15">
        <f>+Z10-X10</f>
        <v>5.254323832511662E-3</v>
      </c>
      <c r="AB10" s="15">
        <f>'Dez24'!N15</f>
        <v>22.63617</v>
      </c>
      <c r="AC10" s="15">
        <f>+AB10/AB$25</f>
        <v>0.29300879483187936</v>
      </c>
      <c r="AD10" s="15">
        <f>Paralelo!N15</f>
        <v>23.653092000000001</v>
      </c>
      <c r="AE10" s="15">
        <f>+AD10/AD$25</f>
        <v>0.2022917886530527</v>
      </c>
      <c r="AF10" s="15">
        <f>+AE10-AC10</f>
        <v>-9.0717006178826665E-2</v>
      </c>
      <c r="AG10" s="15">
        <f>'Dez24'!O15</f>
        <v>-4.7927090000000003</v>
      </c>
      <c r="AH10" s="15">
        <f>+AG10/AG$25</f>
        <v>9.1074876493220797E-2</v>
      </c>
      <c r="AI10" s="15">
        <f>Paralelo!O15</f>
        <v>-5.4615520000000002</v>
      </c>
      <c r="AJ10" s="15">
        <f>+AI10/AI$25</f>
        <v>6.2468359359509777E-2</v>
      </c>
      <c r="AK10" s="15">
        <f>+AJ10-AH10</f>
        <v>-2.8606517133711019E-2</v>
      </c>
      <c r="AL10" s="15">
        <f>'Dez24'!P15</f>
        <v>-1.2576830000000001</v>
      </c>
      <c r="AM10" s="15">
        <f>+AL10/AL$25</f>
        <v>0.11146680762174903</v>
      </c>
      <c r="AN10" s="15">
        <f>Paralelo!P15</f>
        <v>-1.4739930000000001</v>
      </c>
      <c r="AO10" s="15">
        <f>+AN10/AN$25</f>
        <v>0.11496823304998287</v>
      </c>
      <c r="AP10" s="15">
        <f>+AO10-AM10</f>
        <v>3.5014254282338397E-3</v>
      </c>
      <c r="AQ10" s="15">
        <f>'Dez24'!Q15</f>
        <v>-3.0220790000000002</v>
      </c>
      <c r="AR10" s="15">
        <f>+AQ10/AQ$25</f>
        <v>8.3055679847247502E-2</v>
      </c>
      <c r="AS10" s="15">
        <f>Paralelo!Q15</f>
        <v>-3.3363100000000001</v>
      </c>
      <c r="AT10" s="15">
        <f>+AS10/AS$25</f>
        <v>4.8077006212885721E-2</v>
      </c>
      <c r="AU10" s="15">
        <f>+AT10-AR10</f>
        <v>-3.497867363436178E-2</v>
      </c>
    </row>
    <row r="11" spans="1:48" ht="14.4" x14ac:dyDescent="0.3">
      <c r="B11" s="13" t="s">
        <v>13</v>
      </c>
      <c r="C11" s="15">
        <f>'Dez24'!D16</f>
        <v>14.172371</v>
      </c>
      <c r="D11" s="15">
        <f t="shared" ref="D11:D25" si="2">+C11/C$25</f>
        <v>3.6145421777455228E-4</v>
      </c>
      <c r="E11" s="15">
        <f>Paralelo!D16</f>
        <v>14.172374</v>
      </c>
      <c r="F11" s="15">
        <f t="shared" ref="F11:F24" si="3">+E11/E$25</f>
        <v>3.6190146923792551E-4</v>
      </c>
      <c r="G11" s="15">
        <f t="shared" ref="G11:G24" si="4">+F11-D11</f>
        <v>4.4725146337322701E-7</v>
      </c>
      <c r="H11" s="15">
        <f>'Dez24'!J16</f>
        <v>12.101189</v>
      </c>
      <c r="I11" s="15">
        <f t="shared" ref="I11:I25" si="5">+H11/H$25</f>
        <v>6.1658710454743091E-3</v>
      </c>
      <c r="J11" s="15">
        <f>Paralelo!J16</f>
        <v>10.768507</v>
      </c>
      <c r="K11" s="15">
        <f t="shared" ref="K11:K24" si="6">+J11/J$25</f>
        <v>6.1325604440092291E-3</v>
      </c>
      <c r="L11" s="15">
        <f t="shared" ref="L11:L24" si="7">+K11-I11</f>
        <v>-3.3310601465079935E-5</v>
      </c>
      <c r="M11" s="15">
        <f>'Dez24'!K16</f>
        <v>0</v>
      </c>
      <c r="N11" s="15">
        <f t="shared" si="0"/>
        <v>0</v>
      </c>
      <c r="O11" s="15">
        <f>Paralelo!K16</f>
        <v>0</v>
      </c>
      <c r="P11" s="15">
        <f t="shared" ref="P11:P24" si="8">+O11/O$25</f>
        <v>0</v>
      </c>
      <c r="Q11" s="15">
        <f t="shared" ref="Q11:Q24" si="9">+P11-N11</f>
        <v>0</v>
      </c>
      <c r="R11" s="15">
        <f>'Dez24'!L16</f>
        <v>0</v>
      </c>
      <c r="S11" s="15">
        <f t="shared" si="1"/>
        <v>0</v>
      </c>
      <c r="T11" s="15">
        <f>Paralelo!L16</f>
        <v>0</v>
      </c>
      <c r="U11" s="15">
        <f t="shared" ref="U11:U24" si="10">+T11/T$25</f>
        <v>0</v>
      </c>
      <c r="V11" s="15">
        <f t="shared" ref="V11:V24" si="11">+U11-S11</f>
        <v>0</v>
      </c>
      <c r="W11" s="15">
        <f>'Dez24'!M16</f>
        <v>1.9282250000000001</v>
      </c>
      <c r="X11" s="15">
        <f t="shared" ref="X11:Z24" si="12">+W11/W$25</f>
        <v>8.7234184955409851E-3</v>
      </c>
      <c r="Y11" s="15">
        <f>Paralelo!M16</f>
        <v>1.5316939999999999</v>
      </c>
      <c r="Z11" s="15">
        <f t="shared" si="12"/>
        <v>6.177804193122069E-3</v>
      </c>
      <c r="AA11" s="15">
        <f t="shared" ref="AA11:AA24" si="13">+Z11-X11</f>
        <v>-2.5456143024189162E-3</v>
      </c>
      <c r="AB11" s="15">
        <f>'Dez24'!N16</f>
        <v>1.5924640000000001</v>
      </c>
      <c r="AC11" s="15">
        <f t="shared" ref="AC11:AE24" si="14">+AB11/AB$25</f>
        <v>2.0613290916844766E-2</v>
      </c>
      <c r="AD11" s="15">
        <f>Paralelo!N16</f>
        <v>2.3624239999999999</v>
      </c>
      <c r="AE11" s="15">
        <f t="shared" si="14"/>
        <v>2.0204503348522015E-2</v>
      </c>
      <c r="AF11" s="15">
        <f t="shared" ref="AF11:AF24" si="15">+AE11-AC11</f>
        <v>-4.0878756832275071E-4</v>
      </c>
      <c r="AG11" s="15">
        <f>'Dez24'!O16</f>
        <v>-1.2004140000000001</v>
      </c>
      <c r="AH11" s="15">
        <f t="shared" ref="AH11:AJ24" si="16">+AG11/AG$25</f>
        <v>2.2811223629628494E-2</v>
      </c>
      <c r="AI11" s="15">
        <f>Paralelo!O16</f>
        <v>-1.3866970000000001</v>
      </c>
      <c r="AJ11" s="15">
        <f t="shared" si="16"/>
        <v>1.5860818778023925E-2</v>
      </c>
      <c r="AK11" s="15">
        <f t="shared" ref="AK11:AK24" si="17">+AJ11-AH11</f>
        <v>-6.9504048516045684E-3</v>
      </c>
      <c r="AL11" s="15">
        <f>'Dez24'!P16</f>
        <v>-0.101775</v>
      </c>
      <c r="AM11" s="15">
        <f t="shared" ref="AM11:AO24" si="18">+AL11/AL$25</f>
        <v>9.0201858065216012E-3</v>
      </c>
      <c r="AN11" s="15">
        <f>Paralelo!P16</f>
        <v>-8.9892E-2</v>
      </c>
      <c r="AO11" s="15">
        <f t="shared" si="18"/>
        <v>7.0113795691899884E-3</v>
      </c>
      <c r="AP11" s="15">
        <f t="shared" ref="AP11:AP24" si="19">+AO11-AM11</f>
        <v>-2.0088062373316128E-3</v>
      </c>
      <c r="AQ11" s="15">
        <f>'Dez24'!Q16</f>
        <v>-1.068163</v>
      </c>
      <c r="AR11" s="15">
        <f t="shared" ref="AR11:AT24" si="20">+AQ11/AQ$25</f>
        <v>2.9356282265511732E-2</v>
      </c>
      <c r="AS11" s="15">
        <f>Paralelo!Q16</f>
        <v>-1.2662180000000001</v>
      </c>
      <c r="AT11" s="15">
        <f t="shared" si="20"/>
        <v>1.8246497073973262E-2</v>
      </c>
      <c r="AU11" s="15">
        <f t="shared" ref="AU11:AU24" si="21">+AT11-AR11</f>
        <v>-1.110978519153847E-2</v>
      </c>
    </row>
    <row r="12" spans="1:48" ht="14.4" outlineLevel="1" x14ac:dyDescent="0.3">
      <c r="B12" s="13" t="s">
        <v>14</v>
      </c>
      <c r="C12" s="15">
        <f>'Dez24'!D17</f>
        <v>2226.1042400000001</v>
      </c>
      <c r="D12" s="15">
        <f t="shared" si="2"/>
        <v>5.6774887332106547E-2</v>
      </c>
      <c r="E12" s="15">
        <f>Paralelo!D17</f>
        <v>2168.5503920000001</v>
      </c>
      <c r="F12" s="15">
        <f t="shared" si="3"/>
        <v>5.537544895310266E-2</v>
      </c>
      <c r="G12" s="15">
        <f t="shared" si="4"/>
        <v>-1.3994383790038867E-3</v>
      </c>
      <c r="H12" s="15">
        <f>'Dez24'!J17</f>
        <v>1080.7706639999999</v>
      </c>
      <c r="I12" s="15">
        <f t="shared" si="5"/>
        <v>0.55068080863422941</v>
      </c>
      <c r="J12" s="15">
        <f>Paralelo!J17</f>
        <v>914.28030200000001</v>
      </c>
      <c r="K12" s="15">
        <f t="shared" si="6"/>
        <v>0.52067377722668629</v>
      </c>
      <c r="L12" s="15">
        <f t="shared" si="7"/>
        <v>-3.0007031407543128E-2</v>
      </c>
      <c r="M12" s="15">
        <f>'Dez24'!K17</f>
        <v>5.7703810000000004</v>
      </c>
      <c r="N12" s="15">
        <f t="shared" si="0"/>
        <v>1.2349317562702378E-2</v>
      </c>
      <c r="O12" s="15">
        <f>Paralelo!K17</f>
        <v>5.7688670000000002</v>
      </c>
      <c r="P12" s="15">
        <f t="shared" si="8"/>
        <v>1.1095725051895879E-2</v>
      </c>
      <c r="Q12" s="15">
        <f t="shared" si="9"/>
        <v>-1.2535925108064991E-3</v>
      </c>
      <c r="R12" s="15">
        <f>'Dez24'!L17</f>
        <v>15.823188999999999</v>
      </c>
      <c r="S12" s="15">
        <f t="shared" si="1"/>
        <v>0.38708358860534248</v>
      </c>
      <c r="T12" s="15">
        <f>Paralelo!L17</f>
        <v>15.78035</v>
      </c>
      <c r="U12" s="15">
        <f t="shared" si="10"/>
        <v>0.38641228242722359</v>
      </c>
      <c r="V12" s="15">
        <f t="shared" si="11"/>
        <v>-6.7130617811889115E-4</v>
      </c>
      <c r="W12" s="15">
        <f>'Dez24'!M17</f>
        <v>129.84300999999999</v>
      </c>
      <c r="X12" s="15">
        <f t="shared" si="12"/>
        <v>0.5874184366195403</v>
      </c>
      <c r="Y12" s="15">
        <f>Paralelo!M17</f>
        <v>123.32843800000001</v>
      </c>
      <c r="Z12" s="15">
        <f t="shared" si="12"/>
        <v>0.49742242341328957</v>
      </c>
      <c r="AA12" s="15">
        <f t="shared" si="13"/>
        <v>-8.9996013206250725E-2</v>
      </c>
      <c r="AB12" s="15">
        <f>'Dez24'!N17</f>
        <v>36.092692999999997</v>
      </c>
      <c r="AC12" s="15">
        <f t="shared" si="14"/>
        <v>0.46719372041149226</v>
      </c>
      <c r="AD12" s="15">
        <f>Paralelo!N17</f>
        <v>37.396585000000002</v>
      </c>
      <c r="AE12" s="15">
        <f t="shared" si="14"/>
        <v>0.31983226840558188</v>
      </c>
      <c r="AF12" s="15">
        <f t="shared" si="15"/>
        <v>-0.14736145200591039</v>
      </c>
      <c r="AG12" s="15">
        <f>'Dez24'!O17</f>
        <v>-34.118223</v>
      </c>
      <c r="AH12" s="15">
        <f t="shared" si="16"/>
        <v>0.64834166770675306</v>
      </c>
      <c r="AI12" s="15">
        <f>Paralelo!O17</f>
        <v>-34.055529</v>
      </c>
      <c r="AJ12" s="15">
        <f t="shared" si="16"/>
        <v>0.38952170074554016</v>
      </c>
      <c r="AK12" s="15">
        <f t="shared" si="17"/>
        <v>-0.2588199669612129</v>
      </c>
      <c r="AL12" s="15">
        <f>'Dez24'!P17</f>
        <v>-6.3283339999999999</v>
      </c>
      <c r="AM12" s="15">
        <f t="shared" si="18"/>
        <v>0.5608720071307105</v>
      </c>
      <c r="AN12" s="15">
        <f>Paralelo!P17</f>
        <v>-6.6068949999999997</v>
      </c>
      <c r="AO12" s="15">
        <f t="shared" si="18"/>
        <v>0.5153233727003903</v>
      </c>
      <c r="AP12" s="15">
        <f t="shared" si="19"/>
        <v>-4.5548634430320201E-2</v>
      </c>
      <c r="AQ12" s="15">
        <f>'Dez24'!Q17</f>
        <v>-24.740666000000001</v>
      </c>
      <c r="AR12" s="15">
        <f t="shared" si="20"/>
        <v>0.6799467633055527</v>
      </c>
      <c r="AS12" s="15">
        <f>Paralelo!Q17</f>
        <v>-24.7121</v>
      </c>
      <c r="AT12" s="15">
        <f t="shared" si="20"/>
        <v>0.35610713190124815</v>
      </c>
      <c r="AU12" s="15">
        <f t="shared" si="21"/>
        <v>-0.32383963140430455</v>
      </c>
    </row>
    <row r="13" spans="1:48" ht="14.4" outlineLevel="1" x14ac:dyDescent="0.3">
      <c r="B13" s="13" t="s">
        <v>15</v>
      </c>
      <c r="C13" s="15">
        <f>'Dez24'!D18</f>
        <v>526.82284200000004</v>
      </c>
      <c r="D13" s="15">
        <f t="shared" si="2"/>
        <v>1.3436166627367895E-2</v>
      </c>
      <c r="E13" s="15">
        <f>Paralelo!D18</f>
        <v>671.415616</v>
      </c>
      <c r="F13" s="15">
        <f t="shared" si="3"/>
        <v>1.714506672627231E-2</v>
      </c>
      <c r="G13" s="15">
        <f t="shared" si="4"/>
        <v>3.7089000989044153E-3</v>
      </c>
      <c r="H13" s="15">
        <f>'Dez24'!J18</f>
        <v>406.41287899999998</v>
      </c>
      <c r="I13" s="15">
        <f t="shared" si="5"/>
        <v>0.20707794937621035</v>
      </c>
      <c r="J13" s="15">
        <f>Paralelo!J18</f>
        <v>405.18078200000002</v>
      </c>
      <c r="K13" s="15">
        <f t="shared" si="6"/>
        <v>0.23074653119192168</v>
      </c>
      <c r="L13" s="15">
        <f t="shared" si="7"/>
        <v>2.3668581815711326E-2</v>
      </c>
      <c r="M13" s="15">
        <f>'Dez24'!K18</f>
        <v>45.010469000000001</v>
      </c>
      <c r="N13" s="15">
        <f t="shared" si="0"/>
        <v>9.6327881179279304E-2</v>
      </c>
      <c r="O13" s="15">
        <f>Paralelo!K18</f>
        <v>45.010469000000001</v>
      </c>
      <c r="P13" s="15">
        <f t="shared" si="8"/>
        <v>8.6572248672205976E-2</v>
      </c>
      <c r="Q13" s="15">
        <f t="shared" si="9"/>
        <v>-9.755632507073328E-3</v>
      </c>
      <c r="R13" s="15">
        <f>'Dez24'!L18</f>
        <v>0</v>
      </c>
      <c r="S13" s="15">
        <f t="shared" si="1"/>
        <v>0</v>
      </c>
      <c r="T13" s="15">
        <f>Paralelo!L18</f>
        <v>8.0496999999999999E-2</v>
      </c>
      <c r="U13" s="15">
        <f t="shared" si="10"/>
        <v>1.9711241828314465E-3</v>
      </c>
      <c r="V13" s="15">
        <f t="shared" si="11"/>
        <v>1.9711241828314465E-3</v>
      </c>
      <c r="W13" s="15">
        <f>'Dez24'!M18</f>
        <v>0.55489999999999995</v>
      </c>
      <c r="X13" s="15">
        <f t="shared" si="12"/>
        <v>2.5104046069186385E-3</v>
      </c>
      <c r="Y13" s="15">
        <f>Paralelo!M18</f>
        <v>0.52984200000000004</v>
      </c>
      <c r="Z13" s="15">
        <f t="shared" si="12"/>
        <v>2.1370196196447747E-3</v>
      </c>
      <c r="AA13" s="15">
        <f t="shared" si="13"/>
        <v>-3.7338498727386383E-4</v>
      </c>
      <c r="AB13" s="15">
        <f>'Dez24'!N18</f>
        <v>4.725E-3</v>
      </c>
      <c r="AC13" s="15">
        <f t="shared" si="14"/>
        <v>6.1161696328514508E-5</v>
      </c>
      <c r="AD13" s="15">
        <f>Paralelo!N18</f>
        <v>4.548E-3</v>
      </c>
      <c r="AE13" s="15">
        <f t="shared" si="14"/>
        <v>3.8896523752331559E-5</v>
      </c>
      <c r="AF13" s="15">
        <f t="shared" si="15"/>
        <v>-2.2265172576182949E-5</v>
      </c>
      <c r="AG13" s="15">
        <f>'Dez24'!O18</f>
        <v>-0.32982099999999998</v>
      </c>
      <c r="AH13" s="15">
        <f t="shared" si="16"/>
        <v>6.2675215290289004E-3</v>
      </c>
      <c r="AI13" s="15">
        <f>Paralelo!O18</f>
        <v>-0.34236100000000003</v>
      </c>
      <c r="AJ13" s="15">
        <f t="shared" si="16"/>
        <v>3.9158704299951967E-3</v>
      </c>
      <c r="AK13" s="15">
        <f t="shared" si="17"/>
        <v>-2.3516510990337037E-3</v>
      </c>
      <c r="AL13" s="15">
        <f>'Dez24'!P18</f>
        <v>-4.4110999999999997E-2</v>
      </c>
      <c r="AM13" s="15">
        <f t="shared" si="18"/>
        <v>3.9095005267646699E-3</v>
      </c>
      <c r="AN13" s="15">
        <f>Paralelo!P18</f>
        <v>-4.2562000000000003E-2</v>
      </c>
      <c r="AO13" s="15">
        <f t="shared" si="18"/>
        <v>3.3197429940802778E-3</v>
      </c>
      <c r="AP13" s="15">
        <f t="shared" si="19"/>
        <v>-5.8975753268439204E-4</v>
      </c>
      <c r="AQ13" s="15">
        <f>'Dez24'!Q18</f>
        <v>-3.712E-3</v>
      </c>
      <c r="AR13" s="15">
        <f t="shared" si="20"/>
        <v>1.0201675190919321E-4</v>
      </c>
      <c r="AS13" s="15">
        <f>Paralelo!Q18</f>
        <v>-3.565E-3</v>
      </c>
      <c r="AT13" s="15">
        <f t="shared" si="20"/>
        <v>5.1372482517792895E-5</v>
      </c>
      <c r="AU13" s="15">
        <f t="shared" si="21"/>
        <v>-5.0644269391400319E-5</v>
      </c>
    </row>
    <row r="14" spans="1:48" ht="14.4" outlineLevel="1" x14ac:dyDescent="0.3">
      <c r="B14" s="13" t="s">
        <v>16</v>
      </c>
      <c r="C14" s="15">
        <f>'Dez24'!D19</f>
        <v>33.931311999999998</v>
      </c>
      <c r="D14" s="15">
        <f t="shared" si="2"/>
        <v>8.6538913192607482E-4</v>
      </c>
      <c r="E14" s="15">
        <f>Paralelo!D19</f>
        <v>33.931316000000002</v>
      </c>
      <c r="F14" s="15">
        <f t="shared" si="3"/>
        <v>8.6645985447295786E-4</v>
      </c>
      <c r="G14" s="15">
        <f t="shared" si="4"/>
        <v>1.0707225468830446E-6</v>
      </c>
      <c r="H14" s="15">
        <f>'Dez24'!J19</f>
        <v>0</v>
      </c>
      <c r="I14" s="15">
        <f t="shared" si="5"/>
        <v>0</v>
      </c>
      <c r="J14" s="15">
        <f>Paralelo!J19</f>
        <v>0</v>
      </c>
      <c r="K14" s="15">
        <f t="shared" si="6"/>
        <v>0</v>
      </c>
      <c r="L14" s="15">
        <f t="shared" si="7"/>
        <v>0</v>
      </c>
      <c r="M14" s="15">
        <f>'Dez24'!K19</f>
        <v>0.50970000000000004</v>
      </c>
      <c r="N14" s="15">
        <f t="shared" si="0"/>
        <v>1.0908200276046594E-3</v>
      </c>
      <c r="O14" s="15">
        <f>Paralelo!K19</f>
        <v>0.50970000000000004</v>
      </c>
      <c r="P14" s="15">
        <f t="shared" si="8"/>
        <v>9.8034693102672142E-4</v>
      </c>
      <c r="Q14" s="15">
        <f t="shared" si="9"/>
        <v>-1.1047309657793796E-4</v>
      </c>
      <c r="R14" s="15">
        <f>'Dez24'!L19</f>
        <v>0</v>
      </c>
      <c r="S14" s="15">
        <f t="shared" si="1"/>
        <v>0</v>
      </c>
      <c r="T14" s="15">
        <f>Paralelo!L19</f>
        <v>0</v>
      </c>
      <c r="U14" s="15">
        <f t="shared" si="10"/>
        <v>0</v>
      </c>
      <c r="V14" s="15">
        <f t="shared" si="11"/>
        <v>0</v>
      </c>
      <c r="W14" s="15">
        <f>'Dez24'!M19</f>
        <v>0.25844499999999998</v>
      </c>
      <c r="X14" s="15">
        <f t="shared" si="12"/>
        <v>1.1692224159940306E-3</v>
      </c>
      <c r="Y14" s="15">
        <f>Paralelo!M19</f>
        <v>0.25844499999999998</v>
      </c>
      <c r="Z14" s="15">
        <f t="shared" si="12"/>
        <v>1.0423900626962258E-3</v>
      </c>
      <c r="AA14" s="15">
        <f t="shared" si="13"/>
        <v>-1.2683235329780476E-4</v>
      </c>
      <c r="AB14" s="15">
        <f>'Dez24'!N19</f>
        <v>0</v>
      </c>
      <c r="AC14" s="15">
        <f t="shared" si="14"/>
        <v>0</v>
      </c>
      <c r="AD14" s="15">
        <f>Paralelo!N19</f>
        <v>0</v>
      </c>
      <c r="AE14" s="15">
        <f t="shared" si="14"/>
        <v>0</v>
      </c>
      <c r="AF14" s="15">
        <f t="shared" si="15"/>
        <v>0</v>
      </c>
      <c r="AG14" s="15">
        <f>'Dez24'!O19</f>
        <v>-1.2884E-2</v>
      </c>
      <c r="AH14" s="15">
        <f t="shared" si="16"/>
        <v>2.4483203731723681E-4</v>
      </c>
      <c r="AI14" s="15">
        <f>Paralelo!O19</f>
        <v>-1.2884E-2</v>
      </c>
      <c r="AJ14" s="15">
        <f t="shared" si="16"/>
        <v>1.4736513393773855E-4</v>
      </c>
      <c r="AK14" s="15">
        <f t="shared" si="17"/>
        <v>-9.746690337949826E-5</v>
      </c>
      <c r="AL14" s="15">
        <f>'Dez24'!P19</f>
        <v>-1.1192000000000001E-2</v>
      </c>
      <c r="AM14" s="15">
        <f t="shared" si="18"/>
        <v>9.919323954467184E-4</v>
      </c>
      <c r="AN14" s="15">
        <f>Paralelo!P19</f>
        <v>-1.1192000000000001E-2</v>
      </c>
      <c r="AO14" s="15">
        <f t="shared" si="18"/>
        <v>8.729515433895603E-4</v>
      </c>
      <c r="AP14" s="15">
        <f t="shared" si="19"/>
        <v>-1.1898085205715809E-4</v>
      </c>
      <c r="AQ14" s="15">
        <f>'Dez24'!Q19</f>
        <v>0</v>
      </c>
      <c r="AR14" s="15">
        <f t="shared" si="20"/>
        <v>0</v>
      </c>
      <c r="AS14" s="15">
        <f>Paralelo!Q19</f>
        <v>0</v>
      </c>
      <c r="AT14" s="15">
        <f t="shared" si="20"/>
        <v>0</v>
      </c>
      <c r="AU14" s="15">
        <f t="shared" si="21"/>
        <v>0</v>
      </c>
    </row>
    <row r="15" spans="1:48" ht="14.4" outlineLevel="1" x14ac:dyDescent="0.3">
      <c r="B15" s="13" t="s">
        <v>17</v>
      </c>
      <c r="C15" s="15">
        <f>'Dez24'!D20</f>
        <v>1044.253283</v>
      </c>
      <c r="D15" s="15">
        <f t="shared" si="2"/>
        <v>2.6632788089252894E-2</v>
      </c>
      <c r="E15" s="15">
        <f>Paralelo!D20</f>
        <v>1068.5213960000001</v>
      </c>
      <c r="F15" s="15">
        <f t="shared" si="3"/>
        <v>2.7285440189805835E-2</v>
      </c>
      <c r="G15" s="15">
        <f t="shared" si="4"/>
        <v>6.5265210055294107E-4</v>
      </c>
      <c r="H15" s="15">
        <f>'Dez24'!J20</f>
        <v>15.442708</v>
      </c>
      <c r="I15" s="15">
        <f t="shared" si="5"/>
        <v>7.8684620264103371E-3</v>
      </c>
      <c r="J15" s="15">
        <f>Paralelo!J20</f>
        <v>14.805013000000001</v>
      </c>
      <c r="K15" s="15">
        <f t="shared" si="6"/>
        <v>8.4313115176358634E-3</v>
      </c>
      <c r="L15" s="15">
        <f t="shared" si="7"/>
        <v>5.6284949122552622E-4</v>
      </c>
      <c r="M15" s="15">
        <f>'Dez24'!K20</f>
        <v>6.6006010000000002</v>
      </c>
      <c r="N15" s="15">
        <f t="shared" si="0"/>
        <v>1.4126089395776618E-2</v>
      </c>
      <c r="O15" s="15">
        <f>Paralelo!K20</f>
        <v>6.6006020000000003</v>
      </c>
      <c r="P15" s="15">
        <f t="shared" si="8"/>
        <v>1.2695467752852345E-2</v>
      </c>
      <c r="Q15" s="15">
        <f t="shared" si="9"/>
        <v>-1.4306216429242728E-3</v>
      </c>
      <c r="R15" s="15">
        <f>'Dez24'!L20</f>
        <v>18.637228</v>
      </c>
      <c r="S15" s="15">
        <f t="shared" si="1"/>
        <v>0.45592358758376522</v>
      </c>
      <c r="T15" s="15">
        <f>Paralelo!L20</f>
        <v>18.546925999999999</v>
      </c>
      <c r="U15" s="15">
        <f t="shared" si="10"/>
        <v>0.45415722767041389</v>
      </c>
      <c r="V15" s="15">
        <f t="shared" si="11"/>
        <v>-1.7663599133513341E-3</v>
      </c>
      <c r="W15" s="15">
        <f>'Dez24'!M20</f>
        <v>6.8473490000000004</v>
      </c>
      <c r="X15" s="15">
        <f t="shared" si="12"/>
        <v>3.0977863533573142E-2</v>
      </c>
      <c r="Y15" s="15">
        <f>Paralelo!M20</f>
        <v>8.0378209999999992</v>
      </c>
      <c r="Z15" s="15">
        <f t="shared" si="12"/>
        <v>3.2419062996502317E-2</v>
      </c>
      <c r="AA15" s="15">
        <f t="shared" si="13"/>
        <v>1.4411994629291748E-3</v>
      </c>
      <c r="AB15" s="15">
        <f>'Dez24'!N20</f>
        <v>6.4774649999999996</v>
      </c>
      <c r="AC15" s="15">
        <f t="shared" si="14"/>
        <v>8.3846084086472206E-2</v>
      </c>
      <c r="AD15" s="15">
        <f>Paralelo!N20</f>
        <v>8.9174059999999997</v>
      </c>
      <c r="AE15" s="15">
        <f t="shared" si="14"/>
        <v>7.6265631989486354E-2</v>
      </c>
      <c r="AF15" s="15">
        <f t="shared" si="15"/>
        <v>-7.5804520969858513E-3</v>
      </c>
      <c r="AG15" s="15">
        <f>'Dez24'!O20</f>
        <v>-2.9862510000000002</v>
      </c>
      <c r="AH15" s="15">
        <f t="shared" si="16"/>
        <v>5.674712172234056E-2</v>
      </c>
      <c r="AI15" s="15">
        <f>Paralelo!O20</f>
        <v>-5.4539200000000001</v>
      </c>
      <c r="AJ15" s="15">
        <f t="shared" si="16"/>
        <v>6.2381065762628925E-2</v>
      </c>
      <c r="AK15" s="15">
        <f t="shared" si="17"/>
        <v>5.6339440402883648E-3</v>
      </c>
      <c r="AL15" s="15">
        <f>'Dez24'!P20</f>
        <v>-0.53382300000000005</v>
      </c>
      <c r="AM15" s="15">
        <f t="shared" si="18"/>
        <v>4.7312037806875762E-2</v>
      </c>
      <c r="AN15" s="15">
        <f>Paralelo!P20</f>
        <v>-0.56874800000000003</v>
      </c>
      <c r="AO15" s="15">
        <f t="shared" si="18"/>
        <v>4.4361101179389358E-2</v>
      </c>
      <c r="AP15" s="15">
        <f t="shared" si="19"/>
        <v>-2.9509366274864043E-3</v>
      </c>
      <c r="AQ15" s="15">
        <f>'Dez24'!Q20</f>
        <v>-2.3306770000000001</v>
      </c>
      <c r="AR15" s="15">
        <f t="shared" si="20"/>
        <v>6.4053905519790608E-2</v>
      </c>
      <c r="AS15" s="15">
        <f>Paralelo!Q20</f>
        <v>-4.7665319999999998</v>
      </c>
      <c r="AT15" s="15">
        <f t="shared" si="20"/>
        <v>6.8686839225946816E-2</v>
      </c>
      <c r="AU15" s="15">
        <f t="shared" si="21"/>
        <v>4.6329337061562087E-3</v>
      </c>
    </row>
    <row r="16" spans="1:48" ht="14.4" outlineLevel="1" x14ac:dyDescent="0.3">
      <c r="B16" s="13" t="s">
        <v>18</v>
      </c>
      <c r="C16" s="15">
        <f>'Dez24'!D21</f>
        <v>2070.2228909999999</v>
      </c>
      <c r="D16" s="15">
        <f t="shared" si="2"/>
        <v>5.2799266663663906E-2</v>
      </c>
      <c r="E16" s="15">
        <f>Paralelo!D21</f>
        <v>2070.1134310000002</v>
      </c>
      <c r="F16" s="15">
        <f t="shared" si="3"/>
        <v>5.2861792397523734E-2</v>
      </c>
      <c r="G16" s="15">
        <f t="shared" si="4"/>
        <v>6.2525733859827848E-5</v>
      </c>
      <c r="H16" s="15">
        <f>'Dez24'!J21</f>
        <v>267.75638900000001</v>
      </c>
      <c r="I16" s="15">
        <f t="shared" si="5"/>
        <v>0.13642885555922279</v>
      </c>
      <c r="J16" s="15">
        <f>Paralelo!J21</f>
        <v>223.86176399999999</v>
      </c>
      <c r="K16" s="15">
        <f t="shared" si="6"/>
        <v>0.12748710650720005</v>
      </c>
      <c r="L16" s="15">
        <f t="shared" si="7"/>
        <v>-8.9417490520227461E-3</v>
      </c>
      <c r="M16" s="15">
        <f>'Dez24'!K21</f>
        <v>3.6897380000000002</v>
      </c>
      <c r="N16" s="15">
        <f t="shared" si="0"/>
        <v>7.8964883402275077E-3</v>
      </c>
      <c r="O16" s="15">
        <f>Paralelo!K21</f>
        <v>3.6897350000000002</v>
      </c>
      <c r="P16" s="15">
        <f t="shared" si="8"/>
        <v>7.0967635541531885E-3</v>
      </c>
      <c r="Q16" s="15">
        <f t="shared" si="9"/>
        <v>-7.9972478607431927E-4</v>
      </c>
      <c r="R16" s="15">
        <f>'Dez24'!L21</f>
        <v>0</v>
      </c>
      <c r="S16" s="15">
        <f t="shared" si="1"/>
        <v>0</v>
      </c>
      <c r="T16" s="15">
        <f>Paralelo!L21</f>
        <v>0</v>
      </c>
      <c r="U16" s="15">
        <f t="shared" si="10"/>
        <v>0</v>
      </c>
      <c r="V16" s="15">
        <f t="shared" si="11"/>
        <v>0</v>
      </c>
      <c r="W16" s="15">
        <f>'Dez24'!M21</f>
        <v>26.927717999999999</v>
      </c>
      <c r="X16" s="15">
        <f t="shared" si="12"/>
        <v>0.12182279207245622</v>
      </c>
      <c r="Y16" s="15">
        <f>Paralelo!M21</f>
        <v>20.756485000000001</v>
      </c>
      <c r="Z16" s="15">
        <f t="shared" si="12"/>
        <v>8.3717439689308268E-2</v>
      </c>
      <c r="AA16" s="15">
        <f t="shared" si="13"/>
        <v>-3.8105352383147953E-2</v>
      </c>
      <c r="AB16" s="15">
        <f>'Dez24'!N21</f>
        <v>4.8817899999999996</v>
      </c>
      <c r="AC16" s="15">
        <f t="shared" si="14"/>
        <v>6.3191229104672758E-2</v>
      </c>
      <c r="AD16" s="15">
        <f>Paralelo!N21</f>
        <v>2.6153219999999999</v>
      </c>
      <c r="AE16" s="15">
        <f t="shared" si="14"/>
        <v>2.2367399800570641E-2</v>
      </c>
      <c r="AF16" s="15">
        <f t="shared" si="15"/>
        <v>-4.0823829304102117E-2</v>
      </c>
      <c r="AG16" s="15">
        <f>'Dez24'!O21</f>
        <v>-4.7908220000000004</v>
      </c>
      <c r="AH16" s="15">
        <f t="shared" si="16"/>
        <v>9.1039018215169132E-2</v>
      </c>
      <c r="AI16" s="15">
        <f>Paralelo!O21</f>
        <v>-3.4143439999999998</v>
      </c>
      <c r="AJ16" s="15">
        <f t="shared" si="16"/>
        <v>3.9052721272082737E-2</v>
      </c>
      <c r="AK16" s="15">
        <f t="shared" si="17"/>
        <v>-5.1986296943086395E-2</v>
      </c>
      <c r="AL16" s="15">
        <f>'Dez24'!P21</f>
        <v>-1.520948</v>
      </c>
      <c r="AM16" s="15">
        <f t="shared" si="18"/>
        <v>0.13479964197550887</v>
      </c>
      <c r="AN16" s="15">
        <f>Paralelo!P21</f>
        <v>-1.1264160000000001</v>
      </c>
      <c r="AO16" s="15">
        <f t="shared" si="18"/>
        <v>8.7857986570648236E-2</v>
      </c>
      <c r="AP16" s="15">
        <f t="shared" si="19"/>
        <v>-4.694165540486063E-2</v>
      </c>
      <c r="AQ16" s="15">
        <f>'Dez24'!Q21</f>
        <v>-2.776656</v>
      </c>
      <c r="AR16" s="15">
        <f t="shared" si="20"/>
        <v>7.631072906497112E-2</v>
      </c>
      <c r="AS16" s="15">
        <f>Paralelo!Q21</f>
        <v>-1.921017</v>
      </c>
      <c r="AT16" s="15">
        <f t="shared" si="20"/>
        <v>2.7682303576124247E-2</v>
      </c>
      <c r="AU16" s="15">
        <f t="shared" si="21"/>
        <v>-4.8628425488846869E-2</v>
      </c>
    </row>
    <row r="17" spans="2:47" ht="14.4" x14ac:dyDescent="0.3">
      <c r="B17" s="13" t="s">
        <v>19</v>
      </c>
      <c r="C17" s="15">
        <f>'Dez24'!D22</f>
        <v>721.84642899999994</v>
      </c>
      <c r="D17" s="15">
        <f t="shared" si="2"/>
        <v>1.8410076644730006E-2</v>
      </c>
      <c r="E17" s="15">
        <f>Paralelo!D22</f>
        <v>786.91127600000004</v>
      </c>
      <c r="F17" s="15">
        <f t="shared" si="3"/>
        <v>2.0094329076010182E-2</v>
      </c>
      <c r="G17" s="15">
        <f t="shared" si="4"/>
        <v>1.6842524312801754E-3</v>
      </c>
      <c r="H17" s="15">
        <f>'Dez24'!J22</f>
        <v>2.6096020000000002</v>
      </c>
      <c r="I17" s="15">
        <f t="shared" si="5"/>
        <v>1.3296602021513628E-3</v>
      </c>
      <c r="J17" s="15">
        <f>Paralelo!J22</f>
        <v>2.6096020000000002</v>
      </c>
      <c r="K17" s="15">
        <f t="shared" si="6"/>
        <v>1.4861430651256829E-3</v>
      </c>
      <c r="L17" s="15">
        <f t="shared" si="7"/>
        <v>1.5648286297432015E-4</v>
      </c>
      <c r="M17" s="15">
        <f>'Dez24'!K22</f>
        <v>46.134683000000003</v>
      </c>
      <c r="N17" s="15">
        <f t="shared" si="0"/>
        <v>9.8733835949759097E-2</v>
      </c>
      <c r="O17" s="15">
        <f>Paralelo!K22</f>
        <v>90.936010999999993</v>
      </c>
      <c r="P17" s="15">
        <f t="shared" si="8"/>
        <v>0.17490453071152084</v>
      </c>
      <c r="Q17" s="15">
        <f t="shared" si="9"/>
        <v>7.6170694761761748E-2</v>
      </c>
      <c r="R17" s="15">
        <f>'Dez24'!L22</f>
        <v>0</v>
      </c>
      <c r="S17" s="15">
        <f t="shared" si="1"/>
        <v>0</v>
      </c>
      <c r="T17" s="15">
        <f>Paralelo!L22</f>
        <v>0</v>
      </c>
      <c r="U17" s="15">
        <f t="shared" si="10"/>
        <v>0</v>
      </c>
      <c r="V17" s="15">
        <f t="shared" si="11"/>
        <v>0</v>
      </c>
      <c r="W17" s="15">
        <f>'Dez24'!M22</f>
        <v>4.8612820000000001</v>
      </c>
      <c r="X17" s="15">
        <f t="shared" si="12"/>
        <v>2.1992763972482707E-2</v>
      </c>
      <c r="Y17" s="15">
        <f>Paralelo!M22</f>
        <v>4.8612789999999997</v>
      </c>
      <c r="Z17" s="15">
        <f t="shared" si="12"/>
        <v>1.9607068898968238E-2</v>
      </c>
      <c r="AA17" s="15">
        <f t="shared" si="13"/>
        <v>-2.385695073514469E-3</v>
      </c>
      <c r="AB17" s="15">
        <f>'Dez24'!N22</f>
        <v>0.44950400000000001</v>
      </c>
      <c r="AC17" s="15">
        <f t="shared" si="14"/>
        <v>5.8185030997783245E-3</v>
      </c>
      <c r="AD17" s="15">
        <f>Paralelo!N22</f>
        <v>0.44950299999999999</v>
      </c>
      <c r="AE17" s="15">
        <f t="shared" si="14"/>
        <v>3.8443500695348048E-3</v>
      </c>
      <c r="AF17" s="15">
        <f t="shared" si="15"/>
        <v>-1.9741530302435197E-3</v>
      </c>
      <c r="AG17" s="15">
        <f>'Dez24'!O22</f>
        <v>-1.1988030000000001</v>
      </c>
      <c r="AH17" s="15">
        <f t="shared" si="16"/>
        <v>2.2780610123565311E-2</v>
      </c>
      <c r="AI17" s="15">
        <f>Paralelo!O22</f>
        <v>-1.358762</v>
      </c>
      <c r="AJ17" s="15">
        <f t="shared" si="16"/>
        <v>1.5541302710300336E-2</v>
      </c>
      <c r="AK17" s="15">
        <f t="shared" si="17"/>
        <v>-7.2393074132649747E-3</v>
      </c>
      <c r="AL17" s="15">
        <f>'Dez24'!P22</f>
        <v>-0.689855</v>
      </c>
      <c r="AM17" s="15">
        <f t="shared" si="18"/>
        <v>6.1140950916806276E-2</v>
      </c>
      <c r="AN17" s="15">
        <f>Paralelo!P22</f>
        <v>-0.68985700000000005</v>
      </c>
      <c r="AO17" s="15">
        <f t="shared" si="18"/>
        <v>5.3807338533603644E-2</v>
      </c>
      <c r="AP17" s="15">
        <f t="shared" si="19"/>
        <v>-7.3336123832026326E-3</v>
      </c>
      <c r="AQ17" s="15">
        <f>'Dez24'!Q22</f>
        <v>-0.26210699999999998</v>
      </c>
      <c r="AR17" s="15">
        <f t="shared" si="20"/>
        <v>7.2034765066441011E-3</v>
      </c>
      <c r="AS17" s="15">
        <f>Paralelo!Q22</f>
        <v>-0.26210600000000001</v>
      </c>
      <c r="AT17" s="15">
        <f t="shared" si="20"/>
        <v>3.7770086683895157E-3</v>
      </c>
      <c r="AU17" s="15">
        <f t="shared" si="21"/>
        <v>-3.4264678382545854E-3</v>
      </c>
    </row>
    <row r="18" spans="2:47" ht="14.4" outlineLevel="1" x14ac:dyDescent="0.3">
      <c r="B18" s="13" t="s">
        <v>20</v>
      </c>
      <c r="C18" s="15">
        <f>'Dez24'!D23</f>
        <v>1116.2909010000001</v>
      </c>
      <c r="D18" s="15">
        <f t="shared" si="2"/>
        <v>2.8470046009224932E-2</v>
      </c>
      <c r="E18" s="15">
        <f>Paralelo!D23</f>
        <v>1166.2965469999999</v>
      </c>
      <c r="F18" s="15">
        <f t="shared" si="3"/>
        <v>2.9782196964772398E-2</v>
      </c>
      <c r="G18" s="15">
        <f t="shared" si="4"/>
        <v>1.3121509555474656E-3</v>
      </c>
      <c r="H18" s="15">
        <f>'Dez24'!J23</f>
        <v>0</v>
      </c>
      <c r="I18" s="15">
        <f t="shared" si="5"/>
        <v>0</v>
      </c>
      <c r="J18" s="15">
        <f>Paralelo!J23</f>
        <v>0</v>
      </c>
      <c r="K18" s="15">
        <f t="shared" si="6"/>
        <v>0</v>
      </c>
      <c r="L18" s="15">
        <f t="shared" si="7"/>
        <v>0</v>
      </c>
      <c r="M18" s="15">
        <f>'Dez24'!K23</f>
        <v>4.2248270000000003</v>
      </c>
      <c r="N18" s="15">
        <f t="shared" si="0"/>
        <v>9.0416439175297434E-3</v>
      </c>
      <c r="O18" s="15">
        <f>Paralelo!K23</f>
        <v>4.2248270000000003</v>
      </c>
      <c r="P18" s="15">
        <f t="shared" si="8"/>
        <v>8.1259489573647856E-3</v>
      </c>
      <c r="Q18" s="15">
        <f t="shared" si="9"/>
        <v>-9.1569496016495784E-4</v>
      </c>
      <c r="R18" s="15">
        <f>'Dez24'!L23</f>
        <v>0</v>
      </c>
      <c r="S18" s="15">
        <f t="shared" si="1"/>
        <v>0</v>
      </c>
      <c r="T18" s="15">
        <f>Paralelo!L23</f>
        <v>0</v>
      </c>
      <c r="U18" s="15">
        <f t="shared" si="10"/>
        <v>0</v>
      </c>
      <c r="V18" s="15">
        <f t="shared" si="11"/>
        <v>0</v>
      </c>
      <c r="W18" s="15">
        <f>'Dez24'!M23</f>
        <v>0.40316000000000002</v>
      </c>
      <c r="X18" s="15">
        <f t="shared" si="12"/>
        <v>1.8239227272036738E-3</v>
      </c>
      <c r="Y18" s="15">
        <f>Paralelo!M23</f>
        <v>0.47022399999999998</v>
      </c>
      <c r="Z18" s="15">
        <f t="shared" si="12"/>
        <v>1.8965614534669664E-3</v>
      </c>
      <c r="AA18" s="15">
        <f t="shared" si="13"/>
        <v>7.2638726263292647E-5</v>
      </c>
      <c r="AB18" s="15">
        <f>'Dez24'!N23</f>
        <v>0.56559700000000002</v>
      </c>
      <c r="AC18" s="15">
        <f t="shared" si="14"/>
        <v>7.3212427425013368E-3</v>
      </c>
      <c r="AD18" s="15">
        <f>Paralelo!N23</f>
        <v>12.487506</v>
      </c>
      <c r="AE18" s="15">
        <f t="shared" si="14"/>
        <v>0.10679871893939817</v>
      </c>
      <c r="AF18" s="15">
        <f t="shared" si="15"/>
        <v>9.9477476196896841E-2</v>
      </c>
      <c r="AG18" s="15">
        <f>'Dez24'!O23</f>
        <v>-0.51734899999999995</v>
      </c>
      <c r="AH18" s="15">
        <f t="shared" si="16"/>
        <v>9.8310780560412238E-3</v>
      </c>
      <c r="AI18" s="15">
        <f>Paralelo!O23</f>
        <v>-12.450239</v>
      </c>
      <c r="AJ18" s="15">
        <f t="shared" si="16"/>
        <v>0.14240384490778144</v>
      </c>
      <c r="AK18" s="15">
        <f t="shared" si="17"/>
        <v>0.13257276685174021</v>
      </c>
      <c r="AL18" s="15">
        <f>'Dez24'!P23</f>
        <v>-4.0769999999999999E-3</v>
      </c>
      <c r="AM18" s="15">
        <f t="shared" si="18"/>
        <v>3.6133920445284757E-4</v>
      </c>
      <c r="AN18" s="15">
        <f>Paralelo!P23</f>
        <v>-1.2669E-2</v>
      </c>
      <c r="AO18" s="15">
        <f t="shared" si="18"/>
        <v>9.8815431586868644E-4</v>
      </c>
      <c r="AP18" s="15">
        <f t="shared" si="19"/>
        <v>6.2681511141583887E-4</v>
      </c>
      <c r="AQ18" s="15">
        <f>'Dez24'!Q23</f>
        <v>-0.50478900000000004</v>
      </c>
      <c r="AR18" s="15">
        <f t="shared" si="20"/>
        <v>1.3873096492319433E-2</v>
      </c>
      <c r="AS18" s="15">
        <f>Paralelo!Q23</f>
        <v>-12.426698</v>
      </c>
      <c r="AT18" s="15">
        <f t="shared" si="20"/>
        <v>0.17907162012872144</v>
      </c>
      <c r="AU18" s="15">
        <f t="shared" si="21"/>
        <v>0.165198523636402</v>
      </c>
    </row>
    <row r="19" spans="2:47" ht="14.4" outlineLevel="1" x14ac:dyDescent="0.3">
      <c r="B19" s="13" t="s">
        <v>21</v>
      </c>
      <c r="C19" s="15">
        <f>'Dez24'!D24</f>
        <v>23291.746958</v>
      </c>
      <c r="D19" s="15">
        <f t="shared" si="2"/>
        <v>0.59403611275111956</v>
      </c>
      <c r="E19" s="15">
        <f>Paralelo!D24</f>
        <v>23291.746937</v>
      </c>
      <c r="F19" s="15">
        <f t="shared" si="3"/>
        <v>0.59477102690193273</v>
      </c>
      <c r="G19" s="15">
        <f t="shared" si="4"/>
        <v>7.3491415081317069E-4</v>
      </c>
      <c r="H19" s="15">
        <f>'Dez24'!J24</f>
        <v>0</v>
      </c>
      <c r="I19" s="15">
        <f t="shared" si="5"/>
        <v>0</v>
      </c>
      <c r="J19" s="15">
        <f>Paralelo!J24</f>
        <v>6.1156000000000002E-2</v>
      </c>
      <c r="K19" s="15">
        <f t="shared" si="6"/>
        <v>3.4827749706976875E-5</v>
      </c>
      <c r="L19" s="15">
        <f t="shared" si="7"/>
        <v>3.4827749706976875E-5</v>
      </c>
      <c r="M19" s="15">
        <f>'Dez24'!K24</f>
        <v>328.49472500000002</v>
      </c>
      <c r="N19" s="15">
        <f t="shared" si="0"/>
        <v>0.70301868744846963</v>
      </c>
      <c r="O19" s="15">
        <f>Paralelo!K24</f>
        <v>336.34974899999997</v>
      </c>
      <c r="P19" s="15">
        <f t="shared" si="8"/>
        <v>0.64692847593438896</v>
      </c>
      <c r="Q19" s="15">
        <f t="shared" si="9"/>
        <v>-5.6090211514080668E-2</v>
      </c>
      <c r="R19" s="15">
        <f>'Dez24'!L24</f>
        <v>0</v>
      </c>
      <c r="S19" s="15">
        <f t="shared" si="1"/>
        <v>0</v>
      </c>
      <c r="T19" s="15">
        <f>Paralelo!L24</f>
        <v>1.2799E-2</v>
      </c>
      <c r="U19" s="15">
        <f t="shared" si="10"/>
        <v>3.1340818187087323E-4</v>
      </c>
      <c r="V19" s="15">
        <f t="shared" si="11"/>
        <v>3.1340818187087323E-4</v>
      </c>
      <c r="W19" s="15">
        <f>'Dez24'!M24</f>
        <v>24.062124000000001</v>
      </c>
      <c r="X19" s="15">
        <f t="shared" si="12"/>
        <v>0.10885865370669949</v>
      </c>
      <c r="Y19" s="15">
        <f>Paralelo!M24</f>
        <v>35.968049000000001</v>
      </c>
      <c r="Z19" s="15">
        <f t="shared" si="12"/>
        <v>0.14507046703233156</v>
      </c>
      <c r="AA19" s="15">
        <f t="shared" si="13"/>
        <v>3.6211813325632072E-2</v>
      </c>
      <c r="AB19" s="15">
        <f>'Dez24'!N24</f>
        <v>3.9326829999999999</v>
      </c>
      <c r="AC19" s="15">
        <f t="shared" si="14"/>
        <v>5.0905727704192889E-2</v>
      </c>
      <c r="AD19" s="15">
        <f>Paralelo!N24</f>
        <v>6.3520250000000003</v>
      </c>
      <c r="AE19" s="15">
        <f t="shared" si="14"/>
        <v>5.4325349887401911E-2</v>
      </c>
      <c r="AF19" s="15">
        <f t="shared" si="15"/>
        <v>3.4196221832090215E-3</v>
      </c>
      <c r="AG19" s="15">
        <f>'Dez24'!O24</f>
        <v>-2.0841400000000001</v>
      </c>
      <c r="AH19" s="15">
        <f t="shared" si="16"/>
        <v>3.9604489464013189E-2</v>
      </c>
      <c r="AI19" s="15">
        <f>Paralelo!O24</f>
        <v>-3.295766</v>
      </c>
      <c r="AJ19" s="15">
        <f t="shared" si="16"/>
        <v>3.7696445049475696E-2</v>
      </c>
      <c r="AK19" s="15">
        <f t="shared" si="17"/>
        <v>-1.9080444145374922E-3</v>
      </c>
      <c r="AL19" s="15">
        <f>'Dez24'!P24</f>
        <v>-0.77513399999999999</v>
      </c>
      <c r="AM19" s="15">
        <f t="shared" si="18"/>
        <v>6.8699117710167665E-2</v>
      </c>
      <c r="AN19" s="15">
        <f>Paralelo!P24</f>
        <v>-1.073332</v>
      </c>
      <c r="AO19" s="15">
        <f t="shared" si="18"/>
        <v>8.3717550569103238E-2</v>
      </c>
      <c r="AP19" s="15">
        <f t="shared" si="19"/>
        <v>1.5018432858935574E-2</v>
      </c>
      <c r="AQ19" s="15">
        <f>'Dez24'!Q24</f>
        <v>-1.151627</v>
      </c>
      <c r="AR19" s="15">
        <f t="shared" si="20"/>
        <v>3.1650120137642367E-2</v>
      </c>
      <c r="AS19" s="15">
        <f>Paralelo!Q24</f>
        <v>-2.015361</v>
      </c>
      <c r="AT19" s="15">
        <f t="shared" si="20"/>
        <v>2.9041822647837754E-2</v>
      </c>
      <c r="AU19" s="15">
        <f t="shared" si="21"/>
        <v>-2.6082974898046125E-3</v>
      </c>
    </row>
    <row r="20" spans="2:47" ht="14.4" outlineLevel="1" x14ac:dyDescent="0.3">
      <c r="B20" s="13" t="s">
        <v>22</v>
      </c>
      <c r="C20" s="15">
        <f>'Dez24'!D25</f>
        <v>3579.2865569999999</v>
      </c>
      <c r="D20" s="15">
        <f t="shared" si="2"/>
        <v>9.1286646578148806E-2</v>
      </c>
      <c r="E20" s="15">
        <f>Paralelo!D25</f>
        <v>3579.2865459999998</v>
      </c>
      <c r="F20" s="15">
        <f t="shared" si="3"/>
        <v>9.1399582019282E-2</v>
      </c>
      <c r="G20" s="15">
        <f t="shared" si="4"/>
        <v>1.1293544113319398E-4</v>
      </c>
      <c r="H20" s="15">
        <f>'Dez24'!J25</f>
        <v>0</v>
      </c>
      <c r="I20" s="15">
        <f t="shared" si="5"/>
        <v>0</v>
      </c>
      <c r="J20" s="15">
        <f>Paralelo!J25</f>
        <v>10.635138</v>
      </c>
      <c r="K20" s="15">
        <f t="shared" si="6"/>
        <v>6.0566080901818071E-3</v>
      </c>
      <c r="L20" s="15">
        <f t="shared" si="7"/>
        <v>6.0566080901818071E-3</v>
      </c>
      <c r="M20" s="15">
        <f>'Dez24'!K25</f>
        <v>18.668171999999998</v>
      </c>
      <c r="N20" s="15">
        <f t="shared" si="0"/>
        <v>3.9952159890854474E-2</v>
      </c>
      <c r="O20" s="15">
        <f>Paralelo!K25</f>
        <v>18.668171999999998</v>
      </c>
      <c r="P20" s="15">
        <f t="shared" si="8"/>
        <v>3.5905993973080183E-2</v>
      </c>
      <c r="Q20" s="15">
        <f t="shared" si="9"/>
        <v>-4.0461659177742915E-3</v>
      </c>
      <c r="R20" s="15">
        <f>'Dez24'!L25</f>
        <v>0</v>
      </c>
      <c r="S20" s="15">
        <f t="shared" si="1"/>
        <v>0</v>
      </c>
      <c r="T20" s="15">
        <f>Paralelo!L25</f>
        <v>0</v>
      </c>
      <c r="U20" s="15">
        <f t="shared" si="10"/>
        <v>0</v>
      </c>
      <c r="V20" s="15">
        <f t="shared" si="11"/>
        <v>0</v>
      </c>
      <c r="W20" s="15">
        <f>'Dez24'!M25</f>
        <v>0.28519299999999997</v>
      </c>
      <c r="X20" s="15">
        <f t="shared" si="12"/>
        <v>1.2902321518488869E-3</v>
      </c>
      <c r="Y20" s="15">
        <f>Paralelo!M25</f>
        <v>22.779485999999999</v>
      </c>
      <c r="Z20" s="15">
        <f t="shared" si="12"/>
        <v>9.1876839713392791E-2</v>
      </c>
      <c r="AA20" s="15">
        <f t="shared" si="13"/>
        <v>9.0586607561543908E-2</v>
      </c>
      <c r="AB20" s="15">
        <f>'Dez24'!N25</f>
        <v>0.59055899999999995</v>
      </c>
      <c r="AC20" s="15">
        <f t="shared" si="14"/>
        <v>7.6443577189568663E-3</v>
      </c>
      <c r="AD20" s="15">
        <f>Paralelo!N25</f>
        <v>22.656621000000001</v>
      </c>
      <c r="AE20" s="15">
        <f t="shared" si="14"/>
        <v>0.19376952437864425</v>
      </c>
      <c r="AF20" s="15">
        <f t="shared" si="15"/>
        <v>0.1861251666596874</v>
      </c>
      <c r="AG20" s="15">
        <f>'Dez24'!O25</f>
        <v>-0.562083</v>
      </c>
      <c r="AH20" s="15">
        <f t="shared" si="16"/>
        <v>1.068114917971006E-2</v>
      </c>
      <c r="AI20" s="15">
        <f>Paralelo!O25</f>
        <v>-20.166706000000001</v>
      </c>
      <c r="AJ20" s="15">
        <f t="shared" si="16"/>
        <v>0.23066356184205186</v>
      </c>
      <c r="AK20" s="15">
        <f t="shared" si="17"/>
        <v>0.21998241266234181</v>
      </c>
      <c r="AL20" s="15">
        <f>'Dez24'!P25</f>
        <v>-1.3804E-2</v>
      </c>
      <c r="AM20" s="15">
        <f t="shared" si="18"/>
        <v>1.2234305563569067E-3</v>
      </c>
      <c r="AN20" s="15">
        <f>Paralelo!P25</f>
        <v>-1.1230249999999999</v>
      </c>
      <c r="AO20" s="15">
        <f t="shared" si="18"/>
        <v>8.7593495980616595E-2</v>
      </c>
      <c r="AP20" s="15">
        <f t="shared" si="19"/>
        <v>8.6370065424259693E-2</v>
      </c>
      <c r="AQ20" s="15">
        <f>'Dez24'!Q25</f>
        <v>-0.51229100000000005</v>
      </c>
      <c r="AR20" s="15">
        <f t="shared" si="20"/>
        <v>1.4079273667110051E-2</v>
      </c>
      <c r="AS20" s="15">
        <f>Paralelo!Q25</f>
        <v>-18.671807000000001</v>
      </c>
      <c r="AT20" s="15">
        <f t="shared" si="20"/>
        <v>0.26906509920984656</v>
      </c>
      <c r="AU20" s="15">
        <f t="shared" si="21"/>
        <v>0.25498582554273652</v>
      </c>
    </row>
    <row r="21" spans="2:47" ht="14.4" outlineLevel="1" x14ac:dyDescent="0.3">
      <c r="B21" s="13" t="s">
        <v>23</v>
      </c>
      <c r="C21" s="15">
        <f>'Dez24'!D26</f>
        <v>48.451569999999997</v>
      </c>
      <c r="D21" s="15">
        <f t="shared" si="2"/>
        <v>1.235715910506362E-3</v>
      </c>
      <c r="E21" s="15">
        <f>Paralelo!D26</f>
        <v>0</v>
      </c>
      <c r="F21" s="15">
        <f t="shared" si="3"/>
        <v>0</v>
      </c>
      <c r="G21" s="15">
        <f t="shared" si="4"/>
        <v>-1.235715910506362E-3</v>
      </c>
      <c r="H21" s="15">
        <f>'Dez24'!J26</f>
        <v>0</v>
      </c>
      <c r="I21" s="15">
        <f t="shared" si="5"/>
        <v>0</v>
      </c>
      <c r="J21" s="15">
        <f>Paralelo!J26</f>
        <v>0</v>
      </c>
      <c r="K21" s="15">
        <f t="shared" si="6"/>
        <v>0</v>
      </c>
      <c r="L21" s="15">
        <f t="shared" si="7"/>
        <v>0</v>
      </c>
      <c r="M21" s="15">
        <f>'Dez24'!K26</f>
        <v>0</v>
      </c>
      <c r="N21" s="15">
        <f t="shared" si="0"/>
        <v>0</v>
      </c>
      <c r="O21" s="15">
        <f>Paralelo!K26</f>
        <v>0</v>
      </c>
      <c r="P21" s="15">
        <f t="shared" si="8"/>
        <v>0</v>
      </c>
      <c r="Q21" s="15">
        <f t="shared" si="9"/>
        <v>0</v>
      </c>
      <c r="R21" s="15">
        <f>'Dez24'!L26</f>
        <v>0</v>
      </c>
      <c r="S21" s="15">
        <f t="shared" si="1"/>
        <v>0</v>
      </c>
      <c r="T21" s="15">
        <f>Paralelo!L26</f>
        <v>0</v>
      </c>
      <c r="U21" s="15">
        <f t="shared" si="10"/>
        <v>0</v>
      </c>
      <c r="V21" s="15">
        <f t="shared" si="11"/>
        <v>0</v>
      </c>
      <c r="W21" s="15">
        <f>'Dez24'!M26</f>
        <v>0</v>
      </c>
      <c r="X21" s="15">
        <f t="shared" si="12"/>
        <v>0</v>
      </c>
      <c r="Y21" s="15">
        <f>Paralelo!M26</f>
        <v>0</v>
      </c>
      <c r="Z21" s="15">
        <f t="shared" si="12"/>
        <v>0</v>
      </c>
      <c r="AA21" s="15">
        <f t="shared" si="13"/>
        <v>0</v>
      </c>
      <c r="AB21" s="15">
        <f>'Dez24'!N26</f>
        <v>0</v>
      </c>
      <c r="AC21" s="15">
        <f t="shared" si="14"/>
        <v>0</v>
      </c>
      <c r="AD21" s="15">
        <f>Paralelo!N26</f>
        <v>0</v>
      </c>
      <c r="AE21" s="15">
        <f t="shared" si="14"/>
        <v>0</v>
      </c>
      <c r="AF21" s="15">
        <f t="shared" si="15"/>
        <v>0</v>
      </c>
      <c r="AG21" s="15">
        <f>'Dez24'!O26</f>
        <v>0</v>
      </c>
      <c r="AH21" s="15">
        <f t="shared" si="16"/>
        <v>0</v>
      </c>
      <c r="AI21" s="15">
        <f>Paralelo!O26</f>
        <v>0</v>
      </c>
      <c r="AJ21" s="15">
        <f t="shared" si="16"/>
        <v>0</v>
      </c>
      <c r="AK21" s="15">
        <f t="shared" si="17"/>
        <v>0</v>
      </c>
      <c r="AL21" s="15">
        <f>'Dez24'!P26</f>
        <v>0</v>
      </c>
      <c r="AM21" s="15">
        <f t="shared" si="18"/>
        <v>0</v>
      </c>
      <c r="AN21" s="15">
        <f>Paralelo!P26</f>
        <v>0</v>
      </c>
      <c r="AO21" s="15">
        <f t="shared" si="18"/>
        <v>0</v>
      </c>
      <c r="AP21" s="15">
        <f t="shared" si="19"/>
        <v>0</v>
      </c>
      <c r="AQ21" s="15">
        <f>'Dez24'!Q26</f>
        <v>0</v>
      </c>
      <c r="AR21" s="15">
        <f t="shared" si="20"/>
        <v>0</v>
      </c>
      <c r="AS21" s="15">
        <f>Paralelo!Q26</f>
        <v>0</v>
      </c>
      <c r="AT21" s="15">
        <f t="shared" si="20"/>
        <v>0</v>
      </c>
      <c r="AU21" s="15">
        <f t="shared" si="21"/>
        <v>0</v>
      </c>
    </row>
    <row r="22" spans="2:47" ht="14.4" outlineLevel="1" x14ac:dyDescent="0.3">
      <c r="B22" s="13" t="s">
        <v>24</v>
      </c>
      <c r="C22" s="15">
        <f>'Dez24'!D27</f>
        <v>1192.7168340000001</v>
      </c>
      <c r="D22" s="15">
        <f t="shared" si="2"/>
        <v>3.0419224155225015E-2</v>
      </c>
      <c r="E22" s="15">
        <f>Paralelo!D27</f>
        <v>1110.460141</v>
      </c>
      <c r="F22" s="15">
        <f t="shared" si="3"/>
        <v>2.8356375336838695E-2</v>
      </c>
      <c r="G22" s="15">
        <f t="shared" si="4"/>
        <v>-2.0628488183863196E-3</v>
      </c>
      <c r="H22" s="15">
        <f>'Dez24'!J27</f>
        <v>0</v>
      </c>
      <c r="I22" s="15">
        <f t="shared" si="5"/>
        <v>0</v>
      </c>
      <c r="J22" s="15">
        <f>Paralelo!J27</f>
        <v>0</v>
      </c>
      <c r="K22" s="15">
        <f t="shared" si="6"/>
        <v>0</v>
      </c>
      <c r="L22" s="15">
        <f t="shared" si="7"/>
        <v>0</v>
      </c>
      <c r="M22" s="15">
        <f>'Dez24'!K27</f>
        <v>7.439533</v>
      </c>
      <c r="N22" s="15">
        <f t="shared" si="0"/>
        <v>1.5921505969051938E-2</v>
      </c>
      <c r="O22" s="15">
        <f>Paralelo!K27</f>
        <v>7.439533</v>
      </c>
      <c r="P22" s="15">
        <f t="shared" si="8"/>
        <v>1.4309051098336311E-2</v>
      </c>
      <c r="Q22" s="15">
        <f t="shared" si="9"/>
        <v>-1.6124548707156273E-3</v>
      </c>
      <c r="R22" s="15">
        <f>'Dez24'!L27</f>
        <v>0</v>
      </c>
      <c r="S22" s="15">
        <f t="shared" si="1"/>
        <v>0</v>
      </c>
      <c r="T22" s="15">
        <f>Paralelo!L27</f>
        <v>0</v>
      </c>
      <c r="U22" s="15">
        <f t="shared" si="10"/>
        <v>0</v>
      </c>
      <c r="V22" s="15">
        <f t="shared" si="11"/>
        <v>0</v>
      </c>
      <c r="W22" s="15">
        <f>'Dez24'!M27</f>
        <v>0</v>
      </c>
      <c r="X22" s="15">
        <f t="shared" si="12"/>
        <v>0</v>
      </c>
      <c r="Y22" s="15">
        <f>Paralelo!M27</f>
        <v>0</v>
      </c>
      <c r="Z22" s="15">
        <f t="shared" si="12"/>
        <v>0</v>
      </c>
      <c r="AA22" s="15">
        <f t="shared" si="13"/>
        <v>0</v>
      </c>
      <c r="AB22" s="15">
        <f>'Dez24'!N27</f>
        <v>3.0584E-2</v>
      </c>
      <c r="AC22" s="15">
        <f t="shared" si="14"/>
        <v>3.9588768688069575E-4</v>
      </c>
      <c r="AD22" s="15">
        <f>Paralelo!N27</f>
        <v>3.0584E-2</v>
      </c>
      <c r="AE22" s="15">
        <f t="shared" si="14"/>
        <v>2.6156800405481719E-4</v>
      </c>
      <c r="AF22" s="15">
        <f t="shared" si="15"/>
        <v>-1.3431968282587856E-4</v>
      </c>
      <c r="AG22" s="15">
        <f>'Dez24'!O27</f>
        <v>-2.7449000000000001E-2</v>
      </c>
      <c r="AH22" s="15">
        <f t="shared" si="16"/>
        <v>5.216077764918374E-4</v>
      </c>
      <c r="AI22" s="15">
        <f>Paralelo!O27</f>
        <v>-2.7449000000000001E-2</v>
      </c>
      <c r="AJ22" s="15">
        <f t="shared" si="16"/>
        <v>3.139572773561771E-4</v>
      </c>
      <c r="AK22" s="15">
        <f t="shared" si="17"/>
        <v>-2.076504991356603E-4</v>
      </c>
      <c r="AL22" s="15">
        <f>'Dez24'!P27</f>
        <v>0</v>
      </c>
      <c r="AM22" s="15">
        <f t="shared" si="18"/>
        <v>0</v>
      </c>
      <c r="AN22" s="15">
        <f>Paralelo!P27</f>
        <v>0</v>
      </c>
      <c r="AO22" s="15">
        <f t="shared" si="18"/>
        <v>0</v>
      </c>
      <c r="AP22" s="15">
        <f t="shared" si="19"/>
        <v>0</v>
      </c>
      <c r="AQ22" s="15">
        <f>'Dez24'!Q27</f>
        <v>-1.3414000000000001E-2</v>
      </c>
      <c r="AR22" s="15">
        <f t="shared" si="20"/>
        <v>3.6865644130116323E-4</v>
      </c>
      <c r="AS22" s="15">
        <f>Paralelo!Q27</f>
        <v>-1.3414000000000001E-2</v>
      </c>
      <c r="AT22" s="15">
        <f t="shared" si="20"/>
        <v>1.9329887250874443E-4</v>
      </c>
      <c r="AU22" s="15">
        <f t="shared" si="21"/>
        <v>-1.753575687924188E-4</v>
      </c>
    </row>
    <row r="23" spans="2:47" ht="14.4" outlineLevel="1" x14ac:dyDescent="0.3">
      <c r="B23" s="13" t="s">
        <v>25</v>
      </c>
      <c r="C23" s="15">
        <f>'Dez24'!D28</f>
        <v>4.1165900000000004</v>
      </c>
      <c r="D23" s="15">
        <f t="shared" si="2"/>
        <v>1.0499011198257117E-4</v>
      </c>
      <c r="E23" s="15">
        <f>Paralelo!D28</f>
        <v>8.7186570000000003</v>
      </c>
      <c r="F23" s="15">
        <f t="shared" si="3"/>
        <v>2.2263699631984904E-4</v>
      </c>
      <c r="G23" s="15">
        <f t="shared" si="4"/>
        <v>1.1764688433727786E-4</v>
      </c>
      <c r="H23" s="15">
        <f>'Dez24'!J28</f>
        <v>0</v>
      </c>
      <c r="I23" s="15">
        <f t="shared" si="5"/>
        <v>0</v>
      </c>
      <c r="J23" s="15">
        <f>Paralelo!J28</f>
        <v>0</v>
      </c>
      <c r="K23" s="15">
        <f t="shared" si="6"/>
        <v>0</v>
      </c>
      <c r="L23" s="15">
        <f t="shared" si="7"/>
        <v>0</v>
      </c>
      <c r="M23" s="15">
        <f>'Dez24'!K28</f>
        <v>0</v>
      </c>
      <c r="N23" s="15">
        <f t="shared" si="0"/>
        <v>0</v>
      </c>
      <c r="O23" s="15">
        <f>Paralelo!K28</f>
        <v>0</v>
      </c>
      <c r="P23" s="15">
        <f t="shared" si="8"/>
        <v>0</v>
      </c>
      <c r="Q23" s="15">
        <f t="shared" si="9"/>
        <v>0</v>
      </c>
      <c r="R23" s="15">
        <f>'Dez24'!L28</f>
        <v>0</v>
      </c>
      <c r="S23" s="15">
        <f t="shared" si="1"/>
        <v>0</v>
      </c>
      <c r="T23" s="15">
        <f>Paralelo!L28</f>
        <v>0</v>
      </c>
      <c r="U23" s="15">
        <f t="shared" si="10"/>
        <v>0</v>
      </c>
      <c r="V23" s="15">
        <f t="shared" si="11"/>
        <v>0</v>
      </c>
      <c r="W23" s="15">
        <f>'Dez24'!M28</f>
        <v>0</v>
      </c>
      <c r="X23" s="15">
        <f t="shared" si="12"/>
        <v>0</v>
      </c>
      <c r="Y23" s="15">
        <f>Paralelo!M28</f>
        <v>0</v>
      </c>
      <c r="Z23" s="15">
        <f t="shared" si="12"/>
        <v>0</v>
      </c>
      <c r="AA23" s="15">
        <f t="shared" si="13"/>
        <v>0</v>
      </c>
      <c r="AB23" s="15">
        <f>'Dez24'!N28</f>
        <v>0</v>
      </c>
      <c r="AC23" s="15">
        <f t="shared" si="14"/>
        <v>0</v>
      </c>
      <c r="AD23" s="15">
        <f>Paralelo!N28</f>
        <v>0</v>
      </c>
      <c r="AE23" s="15">
        <f t="shared" si="14"/>
        <v>0</v>
      </c>
      <c r="AF23" s="15">
        <f t="shared" si="15"/>
        <v>0</v>
      </c>
      <c r="AG23" s="15">
        <f>'Dez24'!O28</f>
        <v>0</v>
      </c>
      <c r="AH23" s="15">
        <f t="shared" si="16"/>
        <v>0</v>
      </c>
      <c r="AI23" s="15">
        <f>Paralelo!O28</f>
        <v>0</v>
      </c>
      <c r="AJ23" s="15">
        <f t="shared" si="16"/>
        <v>0</v>
      </c>
      <c r="AK23" s="15">
        <f t="shared" si="17"/>
        <v>0</v>
      </c>
      <c r="AL23" s="15">
        <f>'Dez24'!P28</f>
        <v>0</v>
      </c>
      <c r="AM23" s="15">
        <f t="shared" si="18"/>
        <v>0</v>
      </c>
      <c r="AN23" s="15">
        <f>Paralelo!P28</f>
        <v>0</v>
      </c>
      <c r="AO23" s="15">
        <f t="shared" si="18"/>
        <v>0</v>
      </c>
      <c r="AP23" s="15">
        <f t="shared" si="19"/>
        <v>0</v>
      </c>
      <c r="AQ23" s="15">
        <f>'Dez24'!Q28</f>
        <v>0</v>
      </c>
      <c r="AR23" s="15">
        <f t="shared" si="20"/>
        <v>0</v>
      </c>
      <c r="AS23" s="15">
        <f>Paralelo!Q28</f>
        <v>0</v>
      </c>
      <c r="AT23" s="15">
        <f t="shared" si="20"/>
        <v>0</v>
      </c>
      <c r="AU23" s="15">
        <f t="shared" si="21"/>
        <v>0</v>
      </c>
    </row>
    <row r="24" spans="2:47" ht="14.4" outlineLevel="1" x14ac:dyDescent="0.3">
      <c r="B24" s="13" t="s">
        <v>26</v>
      </c>
      <c r="C24" s="15">
        <f>'Dez24'!D29</f>
        <v>3007.7490640000001</v>
      </c>
      <c r="D24" s="15">
        <f t="shared" si="2"/>
        <v>7.6710070967678012E-2</v>
      </c>
      <c r="E24" s="15">
        <f>Paralelo!D29</f>
        <v>2859.1391629999998</v>
      </c>
      <c r="F24" s="15">
        <f t="shared" si="3"/>
        <v>7.3010115584403332E-2</v>
      </c>
      <c r="G24" s="15">
        <f t="shared" si="4"/>
        <v>-3.6999553832746807E-3</v>
      </c>
      <c r="H24" s="15">
        <f>'Dez24'!J29</f>
        <v>0</v>
      </c>
      <c r="I24" s="15">
        <f t="shared" si="5"/>
        <v>0</v>
      </c>
      <c r="J24" s="15">
        <f>Paralelo!J29</f>
        <v>0</v>
      </c>
      <c r="K24" s="15">
        <f t="shared" si="6"/>
        <v>0</v>
      </c>
      <c r="L24" s="15">
        <f t="shared" si="7"/>
        <v>0</v>
      </c>
      <c r="M24" s="15">
        <f>'Dez24'!K29</f>
        <v>0.61771600000000004</v>
      </c>
      <c r="N24" s="15">
        <f t="shared" si="0"/>
        <v>1.3219874125403959E-3</v>
      </c>
      <c r="O24" s="15">
        <f>Paralelo!K29</f>
        <v>0.61771600000000004</v>
      </c>
      <c r="P24" s="15">
        <f t="shared" si="8"/>
        <v>1.1881027758408912E-3</v>
      </c>
      <c r="Q24" s="15">
        <f t="shared" si="9"/>
        <v>-1.3388463669950466E-4</v>
      </c>
      <c r="R24" s="15">
        <f>'Dez24'!L29</f>
        <v>0</v>
      </c>
      <c r="S24" s="15">
        <f t="shared" si="1"/>
        <v>0</v>
      </c>
      <c r="T24" s="15">
        <f>Paralelo!L29</f>
        <v>0</v>
      </c>
      <c r="U24" s="15">
        <f t="shared" si="10"/>
        <v>0</v>
      </c>
      <c r="V24" s="15">
        <f t="shared" si="11"/>
        <v>0</v>
      </c>
      <c r="W24" s="15">
        <f>'Dez24'!M29</f>
        <v>6.8651000000000004E-2</v>
      </c>
      <c r="X24" s="15">
        <f t="shared" si="12"/>
        <v>3.105817024140773E-4</v>
      </c>
      <c r="Y24" s="15">
        <f>Paralelo!M29</f>
        <v>6.8651000000000004E-2</v>
      </c>
      <c r="Z24" s="15">
        <f t="shared" si="12"/>
        <v>2.7689109943763128E-4</v>
      </c>
      <c r="AA24" s="15">
        <f t="shared" si="13"/>
        <v>-3.369060297644602E-5</v>
      </c>
      <c r="AB24" s="15">
        <f>'Dez24'!N29</f>
        <v>0</v>
      </c>
      <c r="AC24" s="15">
        <f t="shared" si="14"/>
        <v>0</v>
      </c>
      <c r="AD24" s="15">
        <f>Paralelo!N29</f>
        <v>0</v>
      </c>
      <c r="AE24" s="15">
        <f t="shared" si="14"/>
        <v>0</v>
      </c>
      <c r="AF24" s="15">
        <f t="shared" si="15"/>
        <v>0</v>
      </c>
      <c r="AG24" s="15">
        <f>'Dez24'!O29</f>
        <v>-2.8839999999999998E-3</v>
      </c>
      <c r="AH24" s="15">
        <f t="shared" si="16"/>
        <v>5.4804066720188672E-5</v>
      </c>
      <c r="AI24" s="15">
        <f>Paralelo!O29</f>
        <v>-2.8839999999999998E-3</v>
      </c>
      <c r="AJ24" s="15">
        <f t="shared" si="16"/>
        <v>3.2986731316084912E-5</v>
      </c>
      <c r="AK24" s="15">
        <f t="shared" si="17"/>
        <v>-2.181733540410376E-5</v>
      </c>
      <c r="AL24" s="15">
        <f>'Dez24'!P29</f>
        <v>-2.2910000000000001E-3</v>
      </c>
      <c r="AM24" s="15">
        <f t="shared" si="18"/>
        <v>2.0304834863906645E-4</v>
      </c>
      <c r="AN24" s="15">
        <f>Paralelo!P29</f>
        <v>-2.2910000000000001E-3</v>
      </c>
      <c r="AO24" s="15">
        <f t="shared" si="18"/>
        <v>1.7869299373708745E-4</v>
      </c>
      <c r="AP24" s="15">
        <f t="shared" si="19"/>
        <v>-2.4355354901979E-5</v>
      </c>
      <c r="AQ24" s="15">
        <f>'Dez24'!Q29</f>
        <v>0</v>
      </c>
      <c r="AR24" s="15">
        <f t="shared" si="20"/>
        <v>0</v>
      </c>
      <c r="AS24" s="15">
        <f>Paralelo!Q29</f>
        <v>0</v>
      </c>
      <c r="AT24" s="15">
        <f t="shared" si="20"/>
        <v>0</v>
      </c>
      <c r="AU24" s="15">
        <f t="shared" si="21"/>
        <v>0</v>
      </c>
    </row>
    <row r="25" spans="2:47" s="5" customFormat="1" ht="14.4" outlineLevel="1" x14ac:dyDescent="0.3">
      <c r="B25" s="13" t="s">
        <v>27</v>
      </c>
      <c r="C25" s="14">
        <f>SUM(C10:C24)</f>
        <v>39209.311451000001</v>
      </c>
      <c r="D25" s="14">
        <f t="shared" si="2"/>
        <v>1</v>
      </c>
      <c r="E25" s="14">
        <f>SUM(E10:E24)</f>
        <v>39160.863397000001</v>
      </c>
      <c r="F25" s="14">
        <f>+SUM(F10:F24)</f>
        <v>0.99999999999999989</v>
      </c>
      <c r="H25" s="14">
        <f>SUM(H10:H24)</f>
        <v>1962.6081880000002</v>
      </c>
      <c r="I25" s="15">
        <f t="shared" si="5"/>
        <v>1</v>
      </c>
      <c r="J25" s="14">
        <f>SUM(J10:J24)</f>
        <v>1755.956113</v>
      </c>
      <c r="K25" s="14">
        <f>+SUM(K10:K24)</f>
        <v>1</v>
      </c>
      <c r="M25" s="14">
        <f>SUM(M10:M24)</f>
        <v>467.263148</v>
      </c>
      <c r="N25" s="15">
        <f t="shared" si="0"/>
        <v>1</v>
      </c>
      <c r="O25" s="14">
        <f>SUM(O10:O24)</f>
        <v>519.91798399999993</v>
      </c>
      <c r="P25" s="14">
        <f>+SUM(P10:P24)</f>
        <v>1</v>
      </c>
      <c r="R25" s="14">
        <f>SUM(R10:R24)</f>
        <v>40.877963999999999</v>
      </c>
      <c r="S25" s="15">
        <f t="shared" si="1"/>
        <v>1</v>
      </c>
      <c r="T25" s="14">
        <f>SUM(T10:T24)</f>
        <v>40.838116999999997</v>
      </c>
      <c r="U25" s="14">
        <f>+SUM(U10:U24)</f>
        <v>1</v>
      </c>
      <c r="W25" s="14">
        <f>SUM(W10:W24)</f>
        <v>221.040066</v>
      </c>
      <c r="X25" s="14">
        <f>+SUM(X10:X24)</f>
        <v>1</v>
      </c>
      <c r="Y25" s="14">
        <f>SUM(Y10:Y24)</f>
        <v>247.93501900000001</v>
      </c>
      <c r="Z25" s="14">
        <f>+SUM(Z10:Z24)</f>
        <v>0.99999999999999978</v>
      </c>
      <c r="AB25" s="14">
        <f>SUM(AB10:AB24)</f>
        <v>77.254233999999997</v>
      </c>
      <c r="AC25" s="14">
        <f>+SUM(AC10:AC24)</f>
        <v>1</v>
      </c>
      <c r="AD25" s="14">
        <f>SUM(AD10:AD24)</f>
        <v>116.92561600000002</v>
      </c>
      <c r="AE25" s="14">
        <f>+SUM(AE10:AE24)</f>
        <v>0.99999999999999989</v>
      </c>
      <c r="AG25" s="14">
        <f>SUM(AG10:AG24)</f>
        <v>-52.623832</v>
      </c>
      <c r="AH25" s="14">
        <f>+SUM(AH10:AH24)</f>
        <v>1</v>
      </c>
      <c r="AI25" s="14">
        <f>SUM(AI10:AI24)</f>
        <v>-87.429092999999995</v>
      </c>
      <c r="AJ25" s="14">
        <f>+SUM(AJ10:AJ24)</f>
        <v>1</v>
      </c>
      <c r="AL25" s="14">
        <f>SUM(AL10:AL24)</f>
        <v>-11.283027000000001</v>
      </c>
      <c r="AM25" s="14">
        <f>+SUM(AM10:AM24)</f>
        <v>0.99999999999999978</v>
      </c>
      <c r="AN25" s="14">
        <f>SUM(AN10:AN24)</f>
        <v>-12.820872000000001</v>
      </c>
      <c r="AO25" s="14">
        <f>+SUM(AO10:AO24)</f>
        <v>1</v>
      </c>
      <c r="AQ25" s="14">
        <f>SUM(AQ10:AQ24)</f>
        <v>-36.386181000000001</v>
      </c>
      <c r="AR25" s="14">
        <f>+SUM(AR10:AR24)</f>
        <v>1</v>
      </c>
      <c r="AS25" s="14">
        <f>SUM(AS10:AS24)</f>
        <v>-69.395128</v>
      </c>
      <c r="AT25" s="14">
        <f>+SUM(AT10:AT24)</f>
        <v>1</v>
      </c>
    </row>
    <row r="26" spans="2:47" ht="15" customHeight="1" x14ac:dyDescent="0.3"/>
    <row r="27" spans="2:47" ht="15" hidden="1" customHeight="1" x14ac:dyDescent="0.3"/>
    <row r="28" spans="2:47" ht="15" hidden="1" customHeight="1" x14ac:dyDescent="0.3"/>
    <row r="29" spans="2:47" ht="15" hidden="1" customHeight="1" x14ac:dyDescent="0.3"/>
    <row r="30" spans="2:47" ht="15" hidden="1" customHeight="1" x14ac:dyDescent="0.3"/>
    <row r="31" spans="2:47" ht="15" hidden="1" customHeight="1" x14ac:dyDescent="0.3"/>
    <row r="32" spans="2:47" ht="15" hidden="1" customHeight="1" x14ac:dyDescent="0.3"/>
    <row r="33" ht="15" hidden="1" customHeight="1" x14ac:dyDescent="0.3"/>
    <row r="34" ht="15" hidden="1" customHeight="1" x14ac:dyDescent="0.3"/>
    <row r="35" ht="15" hidden="1" customHeight="1" x14ac:dyDescent="0.3"/>
    <row r="36" ht="15" hidden="1" customHeight="1" x14ac:dyDescent="0.3"/>
    <row r="37" ht="15" hidden="1" customHeight="1" x14ac:dyDescent="0.3"/>
    <row r="38" ht="15" hidden="1" customHeight="1" x14ac:dyDescent="0.3"/>
    <row r="39" ht="15" hidden="1" customHeight="1" x14ac:dyDescent="0.3"/>
    <row r="40" ht="15" hidden="1" customHeight="1" x14ac:dyDescent="0.3"/>
    <row r="41" ht="15" hidden="1" customHeight="1" x14ac:dyDescent="0.3"/>
    <row r="42" ht="15" hidden="1" customHeight="1" x14ac:dyDescent="0.3"/>
    <row r="43" ht="15" hidden="1" customHeight="1" x14ac:dyDescent="0.3"/>
    <row r="44" ht="15" hidden="1" customHeight="1" x14ac:dyDescent="0.3"/>
    <row r="45" ht="15" hidden="1" customHeight="1" x14ac:dyDescent="0.3"/>
    <row r="46" ht="15" hidden="1" customHeight="1" x14ac:dyDescent="0.3"/>
    <row r="47" ht="15" hidden="1" customHeight="1" x14ac:dyDescent="0.3"/>
    <row r="48" ht="15" hidden="1" customHeight="1" x14ac:dyDescent="0.3"/>
    <row r="49" ht="15" hidden="1" customHeight="1" x14ac:dyDescent="0.3"/>
    <row r="50" ht="15" hidden="1" customHeight="1" x14ac:dyDescent="0.3"/>
    <row r="51" ht="15" hidden="1" customHeight="1" x14ac:dyDescent="0.3"/>
    <row r="52" ht="15" hidden="1" customHeight="1" x14ac:dyDescent="0.3"/>
    <row r="53" ht="15" hidden="1" customHeight="1" x14ac:dyDescent="0.3"/>
    <row r="54" ht="15" hidden="1" customHeight="1" x14ac:dyDescent="0.3"/>
    <row r="55" ht="15" hidden="1" customHeight="1" x14ac:dyDescent="0.3"/>
    <row r="56" ht="15" hidden="1" customHeight="1" x14ac:dyDescent="0.3"/>
    <row r="57" ht="15" hidden="1" customHeight="1" x14ac:dyDescent="0.3"/>
    <row r="58" ht="15" hidden="1" customHeight="1" x14ac:dyDescent="0.3"/>
    <row r="59" ht="15" hidden="1" customHeight="1" x14ac:dyDescent="0.3"/>
    <row r="60" ht="15" hidden="1" customHeight="1" x14ac:dyDescent="0.3"/>
    <row r="61" ht="15" hidden="1" customHeight="1" x14ac:dyDescent="0.3"/>
    <row r="62" ht="15" hidden="1" customHeight="1" x14ac:dyDescent="0.3"/>
    <row r="63" ht="15" hidden="1" customHeight="1" x14ac:dyDescent="0.3"/>
    <row r="64" ht="15" hidden="1" customHeight="1" x14ac:dyDescent="0.3"/>
    <row r="65" ht="15" hidden="1" customHeight="1" x14ac:dyDescent="0.3"/>
  </sheetData>
  <pageMargins left="0.7" right="0.7" top="0.75" bottom="0.75" header="0.3" footer="0.3"/>
  <pageSetup paperSize="9" orientation="portrait" r:id="rId1"/>
  <ignoredErrors>
    <ignoredError sqref="E10 E11:E24 J10:J24 D25 I25 O10:O25 N25 T10:T24 S25 Y10:Y24 X25 AD10:AD24 AC25 AI10:AI24 AH25 AN10:AN24 AM25 AS10:AS24 AR25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0" tint="-0.499984740745262"/>
  </sheetPr>
  <dimension ref="A1"/>
  <sheetViews>
    <sheetView showGridLines="0" topLeftCell="A1048576" workbookViewId="0"/>
  </sheetViews>
  <sheetFormatPr defaultRowHeight="14.4" customHeight="1" zeroHeight="1" x14ac:dyDescent="0.3"/>
  <sheetData>
    <row r="1" hidden="1" x14ac:dyDescent="0.3"/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Z30"/>
  <sheetViews>
    <sheetView zoomScale="80" zoomScaleNormal="80" workbookViewId="0">
      <pane ySplit="6" topLeftCell="A7" activePane="bottomLeft" state="frozen"/>
      <selection activeCell="F23" sqref="F23"/>
      <selection pane="bottomLeft"/>
    </sheetView>
  </sheetViews>
  <sheetFormatPr defaultColWidth="0" defaultRowHeight="14.4" zeroHeight="1" x14ac:dyDescent="0.3"/>
  <cols>
    <col min="1" max="1" width="3.6640625" style="7" customWidth="1"/>
    <col min="2" max="2" width="3.109375" style="7" customWidth="1"/>
    <col min="3" max="3" width="72.5546875" style="7" customWidth="1"/>
    <col min="4" max="4" width="21.5546875" style="7" customWidth="1"/>
    <col min="5" max="5" width="27" style="7" bestFit="1" customWidth="1"/>
    <col min="6" max="13" width="21.5546875" style="7" customWidth="1"/>
    <col min="14" max="14" width="23.5546875" style="7" customWidth="1"/>
    <col min="15" max="17" width="21" style="7" customWidth="1"/>
    <col min="18" max="18" width="3.6640625" style="7" customWidth="1"/>
    <col min="19" max="26" width="0" hidden="1" customWidth="1"/>
    <col min="27" max="16384" width="8.88671875" hidden="1"/>
  </cols>
  <sheetData>
    <row r="1" spans="1:18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x14ac:dyDescent="0.3"/>
    <row r="8" spans="1:18" x14ac:dyDescent="0.3">
      <c r="C8" s="8" t="s">
        <v>33</v>
      </c>
    </row>
    <row r="9" spans="1:18" x14ac:dyDescent="0.3"/>
    <row r="10" spans="1:18" s="10" customFormat="1" ht="13.8" x14ac:dyDescent="0.3">
      <c r="C10" s="19" t="s">
        <v>34</v>
      </c>
      <c r="D10" s="20" t="s">
        <v>35</v>
      </c>
      <c r="E10" s="20" t="s">
        <v>36</v>
      </c>
      <c r="F10" s="20" t="s">
        <v>37</v>
      </c>
      <c r="G10" s="20" t="s">
        <v>38</v>
      </c>
      <c r="H10" s="20" t="s">
        <v>39</v>
      </c>
      <c r="I10" s="20" t="s">
        <v>40</v>
      </c>
      <c r="J10" s="20" t="s">
        <v>41</v>
      </c>
      <c r="K10" s="20" t="s">
        <v>42</v>
      </c>
      <c r="L10" s="20" t="s">
        <v>43</v>
      </c>
      <c r="M10" s="20" t="s">
        <v>44</v>
      </c>
      <c r="N10" s="21" t="s">
        <v>45</v>
      </c>
      <c r="O10" s="21" t="s">
        <v>46</v>
      </c>
      <c r="P10" s="21" t="s">
        <v>47</v>
      </c>
      <c r="Q10" s="21" t="s">
        <v>48</v>
      </c>
    </row>
    <row r="11" spans="1:18" s="10" customFormat="1" ht="13.8" x14ac:dyDescent="0.3">
      <c r="C11" s="68" t="s">
        <v>49</v>
      </c>
      <c r="D11" s="71" t="s">
        <v>50</v>
      </c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3"/>
    </row>
    <row r="12" spans="1:18" s="10" customFormat="1" ht="32.25" customHeight="1" x14ac:dyDescent="0.3">
      <c r="C12" s="69"/>
      <c r="D12" s="22"/>
      <c r="E12" s="74" t="s">
        <v>51</v>
      </c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6"/>
    </row>
    <row r="13" spans="1:18" s="10" customFormat="1" ht="52.5" customHeight="1" x14ac:dyDescent="0.3">
      <c r="C13" s="69"/>
      <c r="D13" s="22"/>
      <c r="E13" s="74" t="s">
        <v>52</v>
      </c>
      <c r="F13" s="75"/>
      <c r="G13" s="75"/>
      <c r="H13" s="75"/>
      <c r="I13" s="76"/>
      <c r="J13" s="77" t="s">
        <v>2</v>
      </c>
      <c r="K13" s="77" t="s">
        <v>3</v>
      </c>
      <c r="L13" s="79" t="s">
        <v>4</v>
      </c>
      <c r="M13" s="68" t="s">
        <v>53</v>
      </c>
      <c r="N13" s="68" t="s">
        <v>54</v>
      </c>
      <c r="O13" s="81" t="s">
        <v>55</v>
      </c>
      <c r="P13" s="82"/>
      <c r="Q13" s="83"/>
    </row>
    <row r="14" spans="1:18" s="10" customFormat="1" ht="27.6" x14ac:dyDescent="0.3">
      <c r="A14" s="23"/>
      <c r="C14" s="70"/>
      <c r="D14" s="22"/>
      <c r="E14" s="24" t="s">
        <v>56</v>
      </c>
      <c r="F14" s="24" t="s">
        <v>57</v>
      </c>
      <c r="G14" s="24" t="s">
        <v>58</v>
      </c>
      <c r="H14" s="24" t="s">
        <v>59</v>
      </c>
      <c r="I14" s="9" t="s">
        <v>32</v>
      </c>
      <c r="J14" s="78"/>
      <c r="K14" s="78"/>
      <c r="L14" s="80"/>
      <c r="M14" s="70"/>
      <c r="N14" s="70"/>
      <c r="O14" s="25"/>
      <c r="P14" s="26" t="s">
        <v>60</v>
      </c>
      <c r="Q14" s="26" t="s">
        <v>54</v>
      </c>
    </row>
    <row r="15" spans="1:18" s="10" customFormat="1" ht="13.8" x14ac:dyDescent="0.3">
      <c r="A15" s="27">
        <v>1000000</v>
      </c>
      <c r="B15" s="18">
        <v>1</v>
      </c>
      <c r="C15" s="28" t="s">
        <v>12</v>
      </c>
      <c r="D15" s="29">
        <v>331.599605</v>
      </c>
      <c r="E15" s="29">
        <v>170.16738000000001</v>
      </c>
      <c r="F15" s="29">
        <v>54.185248999999999</v>
      </c>
      <c r="G15" s="29">
        <v>56.237119999999997</v>
      </c>
      <c r="H15" s="29">
        <v>0</v>
      </c>
      <c r="I15" s="30">
        <v>7</v>
      </c>
      <c r="J15" s="29">
        <v>173.753849</v>
      </c>
      <c r="K15" s="29">
        <v>0.102603</v>
      </c>
      <c r="L15" s="29">
        <v>6.4175449999999996</v>
      </c>
      <c r="M15" s="29">
        <v>29.344605000000001</v>
      </c>
      <c r="N15" s="29">
        <v>23.653092000000001</v>
      </c>
      <c r="O15" s="29">
        <v>-5.4615520000000002</v>
      </c>
      <c r="P15" s="29">
        <v>-1.4739930000000001</v>
      </c>
      <c r="Q15" s="29">
        <v>-3.3363100000000001</v>
      </c>
    </row>
    <row r="16" spans="1:18" s="10" customFormat="1" ht="13.8" x14ac:dyDescent="0.3">
      <c r="A16" s="27"/>
      <c r="B16" s="18">
        <v>2</v>
      </c>
      <c r="C16" s="28" t="s">
        <v>13</v>
      </c>
      <c r="D16" s="29">
        <v>14.172374</v>
      </c>
      <c r="E16" s="29">
        <v>11.024570000000001</v>
      </c>
      <c r="F16" s="29">
        <v>1.099701</v>
      </c>
      <c r="G16" s="29">
        <v>0</v>
      </c>
      <c r="H16" s="29">
        <v>0</v>
      </c>
      <c r="I16" s="30">
        <v>3</v>
      </c>
      <c r="J16" s="29">
        <v>10.768507</v>
      </c>
      <c r="K16" s="29">
        <v>0</v>
      </c>
      <c r="L16" s="29">
        <v>0</v>
      </c>
      <c r="M16" s="29">
        <v>1.5316939999999999</v>
      </c>
      <c r="N16" s="29">
        <v>2.3624239999999999</v>
      </c>
      <c r="O16" s="29">
        <v>-1.3866970000000001</v>
      </c>
      <c r="P16" s="29">
        <v>-8.9892E-2</v>
      </c>
      <c r="Q16" s="29">
        <v>-1.2662180000000001</v>
      </c>
    </row>
    <row r="17" spans="1:17" s="10" customFormat="1" ht="13.8" x14ac:dyDescent="0.3">
      <c r="A17" s="27"/>
      <c r="B17" s="18">
        <v>3</v>
      </c>
      <c r="C17" s="28" t="s">
        <v>14</v>
      </c>
      <c r="D17" s="29">
        <v>2168.5503920000001</v>
      </c>
      <c r="E17" s="29">
        <v>910.48430299999995</v>
      </c>
      <c r="F17" s="29">
        <v>80.043717999999998</v>
      </c>
      <c r="G17" s="29">
        <v>20.001139999999999</v>
      </c>
      <c r="H17" s="29">
        <v>0</v>
      </c>
      <c r="I17" s="30">
        <v>4</v>
      </c>
      <c r="J17" s="29">
        <v>914.28030200000001</v>
      </c>
      <c r="K17" s="29">
        <v>5.7688670000000002</v>
      </c>
      <c r="L17" s="29">
        <v>15.78035</v>
      </c>
      <c r="M17" s="29">
        <v>123.32843800000001</v>
      </c>
      <c r="N17" s="29">
        <v>37.396585000000002</v>
      </c>
      <c r="O17" s="29">
        <v>-34.055529</v>
      </c>
      <c r="P17" s="29">
        <v>-6.6068949999999997</v>
      </c>
      <c r="Q17" s="29">
        <v>-24.7121</v>
      </c>
    </row>
    <row r="18" spans="1:17" s="10" customFormat="1" ht="13.8" x14ac:dyDescent="0.3">
      <c r="A18" s="27"/>
      <c r="B18" s="18">
        <v>4</v>
      </c>
      <c r="C18" s="28" t="s">
        <v>15</v>
      </c>
      <c r="D18" s="29">
        <v>671.415616</v>
      </c>
      <c r="E18" s="29">
        <v>276.74951399999998</v>
      </c>
      <c r="F18" s="29">
        <v>139.37534400000001</v>
      </c>
      <c r="G18" s="29">
        <v>34.989387000000001</v>
      </c>
      <c r="H18" s="29">
        <v>0</v>
      </c>
      <c r="I18" s="30">
        <v>4</v>
      </c>
      <c r="J18" s="29">
        <v>405.18078200000002</v>
      </c>
      <c r="K18" s="29">
        <v>45.010469000000001</v>
      </c>
      <c r="L18" s="29">
        <v>8.0496999999999999E-2</v>
      </c>
      <c r="M18" s="29">
        <v>0.52984200000000004</v>
      </c>
      <c r="N18" s="29">
        <v>4.548E-3</v>
      </c>
      <c r="O18" s="29">
        <v>-0.34236100000000003</v>
      </c>
      <c r="P18" s="29">
        <v>-4.2562000000000003E-2</v>
      </c>
      <c r="Q18" s="29">
        <v>-3.565E-3</v>
      </c>
    </row>
    <row r="19" spans="1:17" s="10" customFormat="1" ht="13.8" x14ac:dyDescent="0.3">
      <c r="A19" s="27"/>
      <c r="B19" s="18">
        <v>5</v>
      </c>
      <c r="C19" s="28" t="s">
        <v>16</v>
      </c>
      <c r="D19" s="29">
        <v>33.931316000000002</v>
      </c>
      <c r="E19" s="29">
        <v>0.50970000000000004</v>
      </c>
      <c r="F19" s="29">
        <v>0</v>
      </c>
      <c r="G19" s="29">
        <v>0</v>
      </c>
      <c r="H19" s="29">
        <v>0</v>
      </c>
      <c r="I19" s="30">
        <v>4</v>
      </c>
      <c r="J19" s="29">
        <v>0</v>
      </c>
      <c r="K19" s="29">
        <v>0.50970000000000004</v>
      </c>
      <c r="L19" s="29">
        <v>0</v>
      </c>
      <c r="M19" s="29">
        <v>0.25844499999999998</v>
      </c>
      <c r="N19" s="29">
        <v>0</v>
      </c>
      <c r="O19" s="29">
        <v>-1.2884E-2</v>
      </c>
      <c r="P19" s="29">
        <v>-1.1192000000000001E-2</v>
      </c>
      <c r="Q19" s="29">
        <v>0</v>
      </c>
    </row>
    <row r="20" spans="1:17" s="10" customFormat="1" ht="13.8" x14ac:dyDescent="0.3">
      <c r="A20" s="27"/>
      <c r="B20" s="18">
        <v>6</v>
      </c>
      <c r="C20" s="28" t="s">
        <v>17</v>
      </c>
      <c r="D20" s="29">
        <v>1068.5213960000001</v>
      </c>
      <c r="E20" s="29">
        <v>42.649811999999997</v>
      </c>
      <c r="F20" s="29">
        <v>2.18499</v>
      </c>
      <c r="G20" s="29">
        <v>0.64816499999999999</v>
      </c>
      <c r="H20" s="29">
        <v>0</v>
      </c>
      <c r="I20" s="30">
        <v>4</v>
      </c>
      <c r="J20" s="29">
        <v>14.805013000000001</v>
      </c>
      <c r="K20" s="29">
        <v>6.6006020000000003</v>
      </c>
      <c r="L20" s="29">
        <v>18.546925999999999</v>
      </c>
      <c r="M20" s="29">
        <v>8.0378209999999992</v>
      </c>
      <c r="N20" s="29">
        <v>8.9174059999999997</v>
      </c>
      <c r="O20" s="29">
        <v>-5.4539200000000001</v>
      </c>
      <c r="P20" s="29">
        <v>-0.56874800000000003</v>
      </c>
      <c r="Q20" s="29">
        <v>-4.7665319999999998</v>
      </c>
    </row>
    <row r="21" spans="1:17" s="10" customFormat="1" ht="13.8" x14ac:dyDescent="0.3">
      <c r="A21" s="27"/>
      <c r="B21" s="18">
        <v>7</v>
      </c>
      <c r="C21" s="28" t="s">
        <v>18</v>
      </c>
      <c r="D21" s="29">
        <v>2070.1134310000002</v>
      </c>
      <c r="E21" s="29">
        <v>223.269488</v>
      </c>
      <c r="F21" s="29">
        <v>13.657583000000001</v>
      </c>
      <c r="G21" s="29">
        <v>3.4101780000000002</v>
      </c>
      <c r="H21" s="29">
        <v>0</v>
      </c>
      <c r="I21" s="30">
        <v>4</v>
      </c>
      <c r="J21" s="29">
        <v>223.86176399999999</v>
      </c>
      <c r="K21" s="29">
        <v>3.6897350000000002</v>
      </c>
      <c r="L21" s="29">
        <v>0</v>
      </c>
      <c r="M21" s="29">
        <v>20.756485000000001</v>
      </c>
      <c r="N21" s="29">
        <v>2.6153219999999999</v>
      </c>
      <c r="O21" s="29">
        <v>-3.4143439999999998</v>
      </c>
      <c r="P21" s="29">
        <v>-1.1264160000000001</v>
      </c>
      <c r="Q21" s="29">
        <v>-1.921017</v>
      </c>
    </row>
    <row r="22" spans="1:17" s="10" customFormat="1" ht="13.8" x14ac:dyDescent="0.3">
      <c r="A22" s="27"/>
      <c r="B22" s="18">
        <v>8</v>
      </c>
      <c r="C22" s="28" t="s">
        <v>19</v>
      </c>
      <c r="D22" s="29">
        <v>786.91127600000004</v>
      </c>
      <c r="E22" s="29">
        <v>44.210984000000003</v>
      </c>
      <c r="F22" s="29">
        <v>44.886743000000003</v>
      </c>
      <c r="G22" s="29">
        <v>4.5513079999999997</v>
      </c>
      <c r="H22" s="29">
        <v>0</v>
      </c>
      <c r="I22" s="30">
        <v>6</v>
      </c>
      <c r="J22" s="29">
        <v>2.6096020000000002</v>
      </c>
      <c r="K22" s="29">
        <v>90.936010999999993</v>
      </c>
      <c r="L22" s="29">
        <v>0</v>
      </c>
      <c r="M22" s="29">
        <v>4.8612789999999997</v>
      </c>
      <c r="N22" s="29">
        <v>0.44950299999999999</v>
      </c>
      <c r="O22" s="29">
        <v>-1.358762</v>
      </c>
      <c r="P22" s="29">
        <v>-0.68985700000000005</v>
      </c>
      <c r="Q22" s="29">
        <v>-0.26210600000000001</v>
      </c>
    </row>
    <row r="23" spans="1:17" s="10" customFormat="1" ht="13.8" x14ac:dyDescent="0.3">
      <c r="A23" s="27"/>
      <c r="B23" s="18">
        <v>9</v>
      </c>
      <c r="C23" s="28" t="s">
        <v>20</v>
      </c>
      <c r="D23" s="29">
        <v>1166.2965469999999</v>
      </c>
      <c r="E23" s="29">
        <v>16.357664</v>
      </c>
      <c r="F23" s="29">
        <v>2.1466280000000002</v>
      </c>
      <c r="G23" s="29">
        <v>0.14338400000000001</v>
      </c>
      <c r="H23" s="29">
        <v>0</v>
      </c>
      <c r="I23" s="30">
        <v>5</v>
      </c>
      <c r="J23" s="29">
        <v>0</v>
      </c>
      <c r="K23" s="29">
        <v>4.2248270000000003</v>
      </c>
      <c r="L23" s="29">
        <v>0</v>
      </c>
      <c r="M23" s="29">
        <v>0.47022399999999998</v>
      </c>
      <c r="N23" s="29">
        <v>12.487506</v>
      </c>
      <c r="O23" s="29">
        <v>-12.450239</v>
      </c>
      <c r="P23" s="29">
        <v>-1.2669E-2</v>
      </c>
      <c r="Q23" s="29">
        <v>-12.426698</v>
      </c>
    </row>
    <row r="24" spans="1:17" s="10" customFormat="1" ht="13.8" x14ac:dyDescent="0.3">
      <c r="A24" s="27"/>
      <c r="B24" s="18">
        <v>10</v>
      </c>
      <c r="C24" s="28" t="s">
        <v>21</v>
      </c>
      <c r="D24" s="29">
        <v>23291.746937</v>
      </c>
      <c r="E24" s="29">
        <v>6.052975</v>
      </c>
      <c r="F24" s="29">
        <v>18.331364000000001</v>
      </c>
      <c r="G24" s="29">
        <v>61.481515999999999</v>
      </c>
      <c r="H24" s="29">
        <v>323.90603800000002</v>
      </c>
      <c r="I24" s="30">
        <v>27</v>
      </c>
      <c r="J24" s="29">
        <v>6.1156000000000002E-2</v>
      </c>
      <c r="K24" s="29">
        <v>336.34974899999997</v>
      </c>
      <c r="L24" s="29">
        <v>1.2799E-2</v>
      </c>
      <c r="M24" s="29">
        <v>35.968049000000001</v>
      </c>
      <c r="N24" s="29">
        <v>6.3520250000000003</v>
      </c>
      <c r="O24" s="29">
        <v>-3.295766</v>
      </c>
      <c r="P24" s="29">
        <v>-1.073332</v>
      </c>
      <c r="Q24" s="29">
        <v>-2.015361</v>
      </c>
    </row>
    <row r="25" spans="1:17" s="10" customFormat="1" ht="13.8" x14ac:dyDescent="0.3">
      <c r="A25" s="27"/>
      <c r="B25" s="18">
        <v>11</v>
      </c>
      <c r="C25" s="28" t="s">
        <v>22</v>
      </c>
      <c r="D25" s="29">
        <v>3579.2865459999998</v>
      </c>
      <c r="E25" s="29">
        <v>77.027153999999996</v>
      </c>
      <c r="F25" s="29">
        <v>89.380049</v>
      </c>
      <c r="G25" s="29">
        <v>77.848314999999999</v>
      </c>
      <c r="H25" s="29">
        <v>8.2302E-2</v>
      </c>
      <c r="I25" s="30">
        <v>9</v>
      </c>
      <c r="J25" s="29">
        <v>10.635138</v>
      </c>
      <c r="K25" s="29">
        <v>18.668171999999998</v>
      </c>
      <c r="L25" s="29">
        <v>0</v>
      </c>
      <c r="M25" s="29">
        <v>22.779485999999999</v>
      </c>
      <c r="N25" s="29">
        <v>22.656621000000001</v>
      </c>
      <c r="O25" s="29">
        <v>-20.166706000000001</v>
      </c>
      <c r="P25" s="29">
        <v>-1.1230249999999999</v>
      </c>
      <c r="Q25" s="29">
        <v>-18.671807000000001</v>
      </c>
    </row>
    <row r="26" spans="1:17" s="10" customFormat="1" ht="13.8" x14ac:dyDescent="0.3">
      <c r="A26" s="27"/>
      <c r="B26" s="18">
        <v>12</v>
      </c>
      <c r="C26" s="28" t="s">
        <v>23</v>
      </c>
      <c r="D26" s="29">
        <v>0</v>
      </c>
      <c r="E26" s="29">
        <v>0</v>
      </c>
      <c r="F26" s="29">
        <v>0</v>
      </c>
      <c r="G26" s="29">
        <v>0</v>
      </c>
      <c r="H26" s="29">
        <v>0</v>
      </c>
      <c r="I26" s="30">
        <v>0</v>
      </c>
      <c r="J26" s="29">
        <v>0</v>
      </c>
      <c r="K26" s="29">
        <v>0</v>
      </c>
      <c r="L26" s="29">
        <v>0</v>
      </c>
      <c r="M26" s="29">
        <v>0</v>
      </c>
      <c r="N26" s="29">
        <v>0</v>
      </c>
      <c r="O26" s="29">
        <v>0</v>
      </c>
      <c r="P26" s="29">
        <v>0</v>
      </c>
      <c r="Q26" s="29">
        <v>0</v>
      </c>
    </row>
    <row r="27" spans="1:17" s="10" customFormat="1" ht="13.8" x14ac:dyDescent="0.3">
      <c r="A27" s="27"/>
      <c r="B27" s="18">
        <v>13</v>
      </c>
      <c r="C27" s="31" t="s">
        <v>24</v>
      </c>
      <c r="D27" s="29">
        <v>1110.460141</v>
      </c>
      <c r="E27" s="29">
        <v>0.22211700000000001</v>
      </c>
      <c r="F27" s="29">
        <v>6.5126179999999998</v>
      </c>
      <c r="G27" s="29">
        <v>0.70479800000000004</v>
      </c>
      <c r="H27" s="29">
        <v>0</v>
      </c>
      <c r="I27" s="30">
        <v>10</v>
      </c>
      <c r="J27" s="29">
        <v>0</v>
      </c>
      <c r="K27" s="29">
        <v>7.439533</v>
      </c>
      <c r="L27" s="29">
        <v>0</v>
      </c>
      <c r="M27" s="29">
        <v>0</v>
      </c>
      <c r="N27" s="29">
        <v>3.0584E-2</v>
      </c>
      <c r="O27" s="29">
        <v>-2.7449000000000001E-2</v>
      </c>
      <c r="P27" s="29">
        <v>0</v>
      </c>
      <c r="Q27" s="29">
        <v>-1.3414000000000001E-2</v>
      </c>
    </row>
    <row r="28" spans="1:17" s="10" customFormat="1" ht="13.8" x14ac:dyDescent="0.3">
      <c r="A28" s="27"/>
      <c r="B28" s="18">
        <v>13</v>
      </c>
      <c r="C28" s="28" t="s">
        <v>25</v>
      </c>
      <c r="D28" s="29">
        <v>8.7186570000000003</v>
      </c>
      <c r="E28" s="29">
        <v>0</v>
      </c>
      <c r="F28" s="29">
        <v>0</v>
      </c>
      <c r="G28" s="29">
        <v>0</v>
      </c>
      <c r="H28" s="29">
        <v>0</v>
      </c>
      <c r="I28" s="30">
        <v>0</v>
      </c>
      <c r="J28" s="29">
        <v>0</v>
      </c>
      <c r="K28" s="29">
        <v>0</v>
      </c>
      <c r="L28" s="29">
        <v>0</v>
      </c>
      <c r="M28" s="29">
        <v>0</v>
      </c>
      <c r="N28" s="29">
        <v>0</v>
      </c>
      <c r="O28" s="29">
        <v>0</v>
      </c>
      <c r="P28" s="29">
        <v>0</v>
      </c>
      <c r="Q28" s="29">
        <v>0</v>
      </c>
    </row>
    <row r="29" spans="1:17" s="10" customFormat="1" ht="13.8" x14ac:dyDescent="0.3">
      <c r="A29" s="27"/>
      <c r="B29" s="18">
        <v>13</v>
      </c>
      <c r="C29" s="28" t="s">
        <v>26</v>
      </c>
      <c r="D29" s="29">
        <v>2859.1391629999998</v>
      </c>
      <c r="E29" s="29">
        <v>8.1796999999999995E-2</v>
      </c>
      <c r="F29" s="29">
        <v>0.26802100000000001</v>
      </c>
      <c r="G29" s="29">
        <v>0.26789800000000003</v>
      </c>
      <c r="H29" s="29">
        <v>0</v>
      </c>
      <c r="I29" s="30">
        <v>9.2468708440581278</v>
      </c>
      <c r="J29" s="29">
        <v>0</v>
      </c>
      <c r="K29" s="29">
        <v>0.61771600000000004</v>
      </c>
      <c r="L29" s="29">
        <v>0</v>
      </c>
      <c r="M29" s="29">
        <v>6.8651000000000004E-2</v>
      </c>
      <c r="N29" s="29">
        <v>0</v>
      </c>
      <c r="O29" s="29">
        <v>-2.8839999999999998E-3</v>
      </c>
      <c r="P29" s="29">
        <v>-2.2910000000000001E-3</v>
      </c>
      <c r="Q29" s="29">
        <v>0</v>
      </c>
    </row>
    <row r="30" spans="1:17" x14ac:dyDescent="0.3">
      <c r="D30" s="42"/>
    </row>
  </sheetData>
  <mergeCells count="10">
    <mergeCell ref="C11:C14"/>
    <mergeCell ref="D11:Q11"/>
    <mergeCell ref="E12:Q12"/>
    <mergeCell ref="E13:I13"/>
    <mergeCell ref="J13:J14"/>
    <mergeCell ref="K13:K14"/>
    <mergeCell ref="L13:L14"/>
    <mergeCell ref="M13:M14"/>
    <mergeCell ref="N13:N14"/>
    <mergeCell ref="O13:Q13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Z30"/>
  <sheetViews>
    <sheetView zoomScale="80" zoomScaleNormal="80" workbookViewId="0">
      <pane ySplit="6" topLeftCell="A7" activePane="bottomLeft" state="frozen"/>
      <selection activeCell="E17" sqref="E17"/>
      <selection pane="bottomLeft"/>
    </sheetView>
  </sheetViews>
  <sheetFormatPr defaultColWidth="0" defaultRowHeight="14.4" zeroHeight="1" x14ac:dyDescent="0.3"/>
  <cols>
    <col min="1" max="1" width="3.6640625" style="7" customWidth="1"/>
    <col min="2" max="2" width="3.109375" style="7" customWidth="1"/>
    <col min="3" max="3" width="72.5546875" style="7" customWidth="1"/>
    <col min="4" max="4" width="21.5546875" style="7" customWidth="1"/>
    <col min="5" max="5" width="27" style="7" bestFit="1" customWidth="1"/>
    <col min="6" max="13" width="21.5546875" style="7" customWidth="1"/>
    <col min="14" max="14" width="23.5546875" style="7" customWidth="1"/>
    <col min="15" max="17" width="21" style="7" customWidth="1"/>
    <col min="18" max="18" width="3.6640625" style="7" customWidth="1"/>
    <col min="19" max="26" width="0" hidden="1" customWidth="1"/>
    <col min="27" max="16384" width="8.88671875" hidden="1"/>
  </cols>
  <sheetData>
    <row r="1" spans="1:18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7.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12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3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x14ac:dyDescent="0.3"/>
    <row r="8" spans="1:18" x14ac:dyDescent="0.3">
      <c r="C8" s="8" t="s">
        <v>33</v>
      </c>
    </row>
    <row r="9" spans="1:18" x14ac:dyDescent="0.3"/>
    <row r="10" spans="1:18" s="10" customFormat="1" ht="13.8" x14ac:dyDescent="0.3">
      <c r="C10" s="19" t="s">
        <v>34</v>
      </c>
      <c r="D10" s="20" t="s">
        <v>35</v>
      </c>
      <c r="E10" s="20" t="s">
        <v>36</v>
      </c>
      <c r="F10" s="20" t="s">
        <v>37</v>
      </c>
      <c r="G10" s="20" t="s">
        <v>38</v>
      </c>
      <c r="H10" s="20" t="s">
        <v>39</v>
      </c>
      <c r="I10" s="20" t="s">
        <v>40</v>
      </c>
      <c r="J10" s="20" t="s">
        <v>41</v>
      </c>
      <c r="K10" s="20" t="s">
        <v>42</v>
      </c>
      <c r="L10" s="20" t="s">
        <v>43</v>
      </c>
      <c r="M10" s="20" t="s">
        <v>44</v>
      </c>
      <c r="N10" s="21" t="s">
        <v>45</v>
      </c>
      <c r="O10" s="21" t="s">
        <v>46</v>
      </c>
      <c r="P10" s="21" t="s">
        <v>47</v>
      </c>
      <c r="Q10" s="21" t="s">
        <v>48</v>
      </c>
    </row>
    <row r="11" spans="1:18" s="10" customFormat="1" ht="13.8" x14ac:dyDescent="0.3">
      <c r="C11" s="68" t="s">
        <v>49</v>
      </c>
      <c r="D11" s="71" t="s">
        <v>50</v>
      </c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3"/>
    </row>
    <row r="12" spans="1:18" s="10" customFormat="1" ht="32.25" customHeight="1" x14ac:dyDescent="0.3">
      <c r="C12" s="69"/>
      <c r="D12" s="22"/>
      <c r="E12" s="74" t="s">
        <v>51</v>
      </c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6"/>
    </row>
    <row r="13" spans="1:18" s="10" customFormat="1" ht="52.5" customHeight="1" x14ac:dyDescent="0.3">
      <c r="C13" s="69"/>
      <c r="D13" s="22"/>
      <c r="E13" s="74" t="s">
        <v>52</v>
      </c>
      <c r="F13" s="75"/>
      <c r="G13" s="75"/>
      <c r="H13" s="75"/>
      <c r="I13" s="76"/>
      <c r="J13" s="77" t="s">
        <v>2</v>
      </c>
      <c r="K13" s="77" t="s">
        <v>3</v>
      </c>
      <c r="L13" s="79" t="s">
        <v>4</v>
      </c>
      <c r="M13" s="68" t="s">
        <v>53</v>
      </c>
      <c r="N13" s="68" t="s">
        <v>54</v>
      </c>
      <c r="O13" s="81" t="s">
        <v>55</v>
      </c>
      <c r="P13" s="82"/>
      <c r="Q13" s="83"/>
    </row>
    <row r="14" spans="1:18" s="10" customFormat="1" ht="27.6" x14ac:dyDescent="0.3">
      <c r="A14" s="23"/>
      <c r="C14" s="70"/>
      <c r="D14" s="22"/>
      <c r="E14" s="24" t="s">
        <v>56</v>
      </c>
      <c r="F14" s="24" t="s">
        <v>57</v>
      </c>
      <c r="G14" s="24" t="s">
        <v>58</v>
      </c>
      <c r="H14" s="24" t="s">
        <v>59</v>
      </c>
      <c r="I14" s="9" t="s">
        <v>32</v>
      </c>
      <c r="J14" s="78"/>
      <c r="K14" s="78"/>
      <c r="L14" s="80"/>
      <c r="M14" s="70"/>
      <c r="N14" s="70"/>
      <c r="O14" s="25"/>
      <c r="P14" s="26" t="s">
        <v>60</v>
      </c>
      <c r="Q14" s="26" t="s">
        <v>54</v>
      </c>
    </row>
    <row r="15" spans="1:18" s="10" customFormat="1" ht="13.8" x14ac:dyDescent="0.3">
      <c r="A15" s="27">
        <v>1000000</v>
      </c>
      <c r="B15" s="18">
        <v>1</v>
      </c>
      <c r="C15" s="28" t="s">
        <v>12</v>
      </c>
      <c r="D15" s="29">
        <v>331.59960899999999</v>
      </c>
      <c r="E15" s="29">
        <v>155.16153299999999</v>
      </c>
      <c r="F15" s="29">
        <v>24.189874</v>
      </c>
      <c r="G15" s="29">
        <v>4.6835000000000004</v>
      </c>
      <c r="H15" s="29">
        <v>0</v>
      </c>
      <c r="I15" s="30">
        <v>4</v>
      </c>
      <c r="J15" s="29">
        <v>177.514757</v>
      </c>
      <c r="K15" s="29">
        <v>0.102603</v>
      </c>
      <c r="L15" s="29">
        <v>6.4175469999999999</v>
      </c>
      <c r="M15" s="29">
        <v>25.000008999999999</v>
      </c>
      <c r="N15" s="29">
        <v>22.63617</v>
      </c>
      <c r="O15" s="29">
        <v>-4.7927090000000003</v>
      </c>
      <c r="P15" s="29">
        <v>-1.2576830000000001</v>
      </c>
      <c r="Q15" s="29">
        <v>-3.0220790000000002</v>
      </c>
    </row>
    <row r="16" spans="1:18" s="10" customFormat="1" ht="13.8" x14ac:dyDescent="0.3">
      <c r="A16" s="27"/>
      <c r="B16" s="18">
        <v>2</v>
      </c>
      <c r="C16" s="28" t="s">
        <v>13</v>
      </c>
      <c r="D16" s="29">
        <v>14.172371</v>
      </c>
      <c r="E16" s="29">
        <v>11.577541999999999</v>
      </c>
      <c r="F16" s="29">
        <v>0.52364699999999997</v>
      </c>
      <c r="G16" s="29">
        <v>0</v>
      </c>
      <c r="H16" s="29">
        <v>0</v>
      </c>
      <c r="I16" s="30">
        <v>3</v>
      </c>
      <c r="J16" s="29">
        <v>12.101189</v>
      </c>
      <c r="K16" s="29">
        <v>0</v>
      </c>
      <c r="L16" s="29">
        <v>0</v>
      </c>
      <c r="M16" s="29">
        <v>1.9282250000000001</v>
      </c>
      <c r="N16" s="29">
        <v>1.5924640000000001</v>
      </c>
      <c r="O16" s="29">
        <v>-1.2004140000000001</v>
      </c>
      <c r="P16" s="29">
        <v>-0.101775</v>
      </c>
      <c r="Q16" s="29">
        <v>-1.068163</v>
      </c>
    </row>
    <row r="17" spans="1:17" s="10" customFormat="1" ht="13.8" x14ac:dyDescent="0.3">
      <c r="A17" s="27"/>
      <c r="B17" s="18">
        <v>3</v>
      </c>
      <c r="C17" s="28" t="s">
        <v>14</v>
      </c>
      <c r="D17" s="29">
        <v>2226.1042400000001</v>
      </c>
      <c r="E17" s="29">
        <v>1042.574801</v>
      </c>
      <c r="F17" s="29">
        <v>44.035376999999997</v>
      </c>
      <c r="G17" s="29">
        <v>15.754056</v>
      </c>
      <c r="H17" s="29">
        <v>0</v>
      </c>
      <c r="I17" s="30">
        <v>3</v>
      </c>
      <c r="J17" s="29">
        <v>1080.7706639999999</v>
      </c>
      <c r="K17" s="29">
        <v>5.7703810000000004</v>
      </c>
      <c r="L17" s="29">
        <v>15.823188999999999</v>
      </c>
      <c r="M17" s="29">
        <v>129.84300999999999</v>
      </c>
      <c r="N17" s="29">
        <v>36.092692999999997</v>
      </c>
      <c r="O17" s="29">
        <v>-34.118223</v>
      </c>
      <c r="P17" s="29">
        <v>-6.3283339999999999</v>
      </c>
      <c r="Q17" s="29">
        <v>-24.740666000000001</v>
      </c>
    </row>
    <row r="18" spans="1:17" s="10" customFormat="1" ht="13.8" x14ac:dyDescent="0.3">
      <c r="A18" s="27"/>
      <c r="B18" s="18">
        <v>4</v>
      </c>
      <c r="C18" s="28" t="s">
        <v>15</v>
      </c>
      <c r="D18" s="29">
        <v>526.82284200000004</v>
      </c>
      <c r="E18" s="29">
        <v>277.05861700000003</v>
      </c>
      <c r="F18" s="29">
        <v>139.37534400000001</v>
      </c>
      <c r="G18" s="29">
        <v>34.989387000000001</v>
      </c>
      <c r="H18" s="29">
        <v>0</v>
      </c>
      <c r="I18" s="30">
        <v>4</v>
      </c>
      <c r="J18" s="29">
        <v>406.41287899999998</v>
      </c>
      <c r="K18" s="29">
        <v>45.010469000000001</v>
      </c>
      <c r="L18" s="29">
        <v>0</v>
      </c>
      <c r="M18" s="29">
        <v>0.55489999999999995</v>
      </c>
      <c r="N18" s="29">
        <v>4.725E-3</v>
      </c>
      <c r="O18" s="29">
        <v>-0.32982099999999998</v>
      </c>
      <c r="P18" s="29">
        <v>-4.4110999999999997E-2</v>
      </c>
      <c r="Q18" s="29">
        <v>-3.712E-3</v>
      </c>
    </row>
    <row r="19" spans="1:17" s="10" customFormat="1" ht="13.8" x14ac:dyDescent="0.3">
      <c r="A19" s="27"/>
      <c r="B19" s="18">
        <v>5</v>
      </c>
      <c r="C19" s="28" t="s">
        <v>16</v>
      </c>
      <c r="D19" s="29">
        <v>33.931311999999998</v>
      </c>
      <c r="E19" s="29">
        <v>0.50970000000000004</v>
      </c>
      <c r="F19" s="29">
        <v>0</v>
      </c>
      <c r="G19" s="29">
        <v>0</v>
      </c>
      <c r="H19" s="29">
        <v>0</v>
      </c>
      <c r="I19" s="30">
        <v>4</v>
      </c>
      <c r="J19" s="29">
        <v>0</v>
      </c>
      <c r="K19" s="29">
        <v>0.50970000000000004</v>
      </c>
      <c r="L19" s="29">
        <v>0</v>
      </c>
      <c r="M19" s="29">
        <v>0.25844499999999998</v>
      </c>
      <c r="N19" s="29">
        <v>0</v>
      </c>
      <c r="O19" s="29">
        <v>-1.2884E-2</v>
      </c>
      <c r="P19" s="29">
        <v>-1.1192000000000001E-2</v>
      </c>
      <c r="Q19" s="29">
        <v>0</v>
      </c>
    </row>
    <row r="20" spans="1:17" s="10" customFormat="1" ht="13.8" x14ac:dyDescent="0.3">
      <c r="A20" s="27"/>
      <c r="B20" s="18">
        <v>6</v>
      </c>
      <c r="C20" s="28" t="s">
        <v>17</v>
      </c>
      <c r="D20" s="29">
        <v>1044.253283</v>
      </c>
      <c r="E20" s="29">
        <v>40.05545</v>
      </c>
      <c r="F20" s="29">
        <v>0.44309700000000002</v>
      </c>
      <c r="G20" s="29">
        <v>0.18199000000000001</v>
      </c>
      <c r="H20" s="29">
        <v>0</v>
      </c>
      <c r="I20" s="30">
        <v>3</v>
      </c>
      <c r="J20" s="29">
        <v>15.442708</v>
      </c>
      <c r="K20" s="29">
        <v>6.6006010000000002</v>
      </c>
      <c r="L20" s="29">
        <v>18.637228</v>
      </c>
      <c r="M20" s="29">
        <v>6.8473490000000004</v>
      </c>
      <c r="N20" s="29">
        <v>6.4774649999999996</v>
      </c>
      <c r="O20" s="29">
        <v>-2.9862510000000002</v>
      </c>
      <c r="P20" s="29">
        <v>-0.53382300000000005</v>
      </c>
      <c r="Q20" s="29">
        <v>-2.3306770000000001</v>
      </c>
    </row>
    <row r="21" spans="1:17" s="10" customFormat="1" ht="13.8" x14ac:dyDescent="0.3">
      <c r="A21" s="27"/>
      <c r="B21" s="18">
        <v>7</v>
      </c>
      <c r="C21" s="28" t="s">
        <v>18</v>
      </c>
      <c r="D21" s="29">
        <v>2070.2228909999999</v>
      </c>
      <c r="E21" s="29">
        <v>257.43969700000002</v>
      </c>
      <c r="F21" s="29">
        <v>13.605418999999999</v>
      </c>
      <c r="G21" s="29">
        <v>0.40101100000000001</v>
      </c>
      <c r="H21" s="29">
        <v>0</v>
      </c>
      <c r="I21" s="30">
        <v>3</v>
      </c>
      <c r="J21" s="29">
        <v>267.75638900000001</v>
      </c>
      <c r="K21" s="29">
        <v>3.6897380000000002</v>
      </c>
      <c r="L21" s="29">
        <v>0</v>
      </c>
      <c r="M21" s="29">
        <v>26.927717999999999</v>
      </c>
      <c r="N21" s="29">
        <v>4.8817899999999996</v>
      </c>
      <c r="O21" s="29">
        <v>-4.7908220000000004</v>
      </c>
      <c r="P21" s="29">
        <v>-1.520948</v>
      </c>
      <c r="Q21" s="29">
        <v>-2.776656</v>
      </c>
    </row>
    <row r="22" spans="1:17" s="10" customFormat="1" ht="13.8" x14ac:dyDescent="0.3">
      <c r="A22" s="27"/>
      <c r="B22" s="18">
        <v>8</v>
      </c>
      <c r="C22" s="28" t="s">
        <v>19</v>
      </c>
      <c r="D22" s="29">
        <v>721.84642899999994</v>
      </c>
      <c r="E22" s="29">
        <v>44.182478000000003</v>
      </c>
      <c r="F22" s="29">
        <v>1.0499E-2</v>
      </c>
      <c r="G22" s="29">
        <v>4.5513079999999997</v>
      </c>
      <c r="H22" s="29">
        <v>0</v>
      </c>
      <c r="I22" s="30">
        <v>4</v>
      </c>
      <c r="J22" s="29">
        <v>2.6096020000000002</v>
      </c>
      <c r="K22" s="29">
        <v>46.134683000000003</v>
      </c>
      <c r="L22" s="29">
        <v>0</v>
      </c>
      <c r="M22" s="29">
        <v>4.8612820000000001</v>
      </c>
      <c r="N22" s="29">
        <v>0.44950400000000001</v>
      </c>
      <c r="O22" s="29">
        <v>-1.1988030000000001</v>
      </c>
      <c r="P22" s="29">
        <v>-0.689855</v>
      </c>
      <c r="Q22" s="29">
        <v>-0.26210699999999998</v>
      </c>
    </row>
    <row r="23" spans="1:17" s="10" customFormat="1" ht="13.8" x14ac:dyDescent="0.3">
      <c r="A23" s="27"/>
      <c r="B23" s="18">
        <v>9</v>
      </c>
      <c r="C23" s="28" t="s">
        <v>20</v>
      </c>
      <c r="D23" s="29">
        <v>1116.2909010000001</v>
      </c>
      <c r="E23" s="29">
        <v>2.0018790000000002</v>
      </c>
      <c r="F23" s="29">
        <v>2.079564</v>
      </c>
      <c r="G23" s="29">
        <v>0.14338400000000001</v>
      </c>
      <c r="H23" s="29">
        <v>0</v>
      </c>
      <c r="I23" s="30">
        <v>7</v>
      </c>
      <c r="J23" s="29">
        <v>0</v>
      </c>
      <c r="K23" s="29">
        <v>4.2248270000000003</v>
      </c>
      <c r="L23" s="29">
        <v>0</v>
      </c>
      <c r="M23" s="29">
        <v>0.40316000000000002</v>
      </c>
      <c r="N23" s="29">
        <v>0.56559700000000002</v>
      </c>
      <c r="O23" s="29">
        <v>-0.51734899999999995</v>
      </c>
      <c r="P23" s="29">
        <v>-4.0769999999999999E-3</v>
      </c>
      <c r="Q23" s="29">
        <v>-0.50478900000000004</v>
      </c>
    </row>
    <row r="24" spans="1:17" s="10" customFormat="1" ht="13.8" x14ac:dyDescent="0.3">
      <c r="A24" s="27"/>
      <c r="B24" s="18">
        <v>10</v>
      </c>
      <c r="C24" s="28" t="s">
        <v>21</v>
      </c>
      <c r="D24" s="29">
        <v>23291.746958</v>
      </c>
      <c r="E24" s="29">
        <v>3.4864600000000001</v>
      </c>
      <c r="F24" s="29">
        <v>12.663439</v>
      </c>
      <c r="G24" s="29">
        <v>43.480873000000003</v>
      </c>
      <c r="H24" s="29">
        <v>268.86395299999998</v>
      </c>
      <c r="I24" s="30">
        <v>28</v>
      </c>
      <c r="J24" s="29">
        <v>0</v>
      </c>
      <c r="K24" s="29">
        <v>328.49472500000002</v>
      </c>
      <c r="L24" s="29">
        <v>0</v>
      </c>
      <c r="M24" s="29">
        <v>24.062124000000001</v>
      </c>
      <c r="N24" s="29">
        <v>3.9326829999999999</v>
      </c>
      <c r="O24" s="29">
        <v>-2.0841400000000001</v>
      </c>
      <c r="P24" s="29">
        <v>-0.77513399999999999</v>
      </c>
      <c r="Q24" s="29">
        <v>-1.151627</v>
      </c>
    </row>
    <row r="25" spans="1:17" s="10" customFormat="1" ht="13.8" x14ac:dyDescent="0.3">
      <c r="A25" s="27"/>
      <c r="B25" s="18">
        <v>11</v>
      </c>
      <c r="C25" s="28" t="s">
        <v>22</v>
      </c>
      <c r="D25" s="29">
        <v>3579.2865569999999</v>
      </c>
      <c r="E25" s="29">
        <v>4.062157</v>
      </c>
      <c r="F25" s="29">
        <v>9.9740099999999998</v>
      </c>
      <c r="G25" s="29">
        <v>4.5497030000000001</v>
      </c>
      <c r="H25" s="29">
        <v>8.2302E-2</v>
      </c>
      <c r="I25" s="30">
        <v>9</v>
      </c>
      <c r="J25" s="29">
        <v>0</v>
      </c>
      <c r="K25" s="29">
        <v>18.668171999999998</v>
      </c>
      <c r="L25" s="29">
        <v>0</v>
      </c>
      <c r="M25" s="29">
        <v>0.28519299999999997</v>
      </c>
      <c r="N25" s="29">
        <v>0.59055899999999995</v>
      </c>
      <c r="O25" s="29">
        <v>-0.562083</v>
      </c>
      <c r="P25" s="29">
        <v>-1.3804E-2</v>
      </c>
      <c r="Q25" s="29">
        <v>-0.51229100000000005</v>
      </c>
    </row>
    <row r="26" spans="1:17" s="10" customFormat="1" ht="13.8" x14ac:dyDescent="0.3">
      <c r="A26" s="27"/>
      <c r="B26" s="18">
        <v>12</v>
      </c>
      <c r="C26" s="28" t="s">
        <v>23</v>
      </c>
      <c r="D26" s="29">
        <v>48.451569999999997</v>
      </c>
      <c r="E26" s="29">
        <v>0</v>
      </c>
      <c r="F26" s="29">
        <v>0</v>
      </c>
      <c r="G26" s="29">
        <v>0</v>
      </c>
      <c r="H26" s="29">
        <v>0</v>
      </c>
      <c r="I26" s="30">
        <v>0</v>
      </c>
      <c r="J26" s="29">
        <v>0</v>
      </c>
      <c r="K26" s="29">
        <v>0</v>
      </c>
      <c r="L26" s="29">
        <v>0</v>
      </c>
      <c r="M26" s="29">
        <v>0</v>
      </c>
      <c r="N26" s="29">
        <v>0</v>
      </c>
      <c r="O26" s="29">
        <v>0</v>
      </c>
      <c r="P26" s="29">
        <v>0</v>
      </c>
      <c r="Q26" s="29">
        <v>0</v>
      </c>
    </row>
    <row r="27" spans="1:17" s="10" customFormat="1" ht="13.8" x14ac:dyDescent="0.3">
      <c r="A27" s="27"/>
      <c r="B27" s="18">
        <v>13</v>
      </c>
      <c r="C27" s="31" t="s">
        <v>24</v>
      </c>
      <c r="D27" s="29">
        <v>1192.7168340000001</v>
      </c>
      <c r="E27" s="29">
        <v>0.22211700000000001</v>
      </c>
      <c r="F27" s="29">
        <v>6.5126179999999998</v>
      </c>
      <c r="G27" s="29">
        <v>0.70479800000000004</v>
      </c>
      <c r="H27" s="29">
        <v>0</v>
      </c>
      <c r="I27" s="30">
        <v>10</v>
      </c>
      <c r="J27" s="29">
        <v>0</v>
      </c>
      <c r="K27" s="29">
        <v>7.439533</v>
      </c>
      <c r="L27" s="29">
        <v>0</v>
      </c>
      <c r="M27" s="29">
        <v>0</v>
      </c>
      <c r="N27" s="29">
        <v>3.0584E-2</v>
      </c>
      <c r="O27" s="29">
        <v>-2.7449000000000001E-2</v>
      </c>
      <c r="P27" s="29">
        <v>0</v>
      </c>
      <c r="Q27" s="29">
        <v>-1.3414000000000001E-2</v>
      </c>
    </row>
    <row r="28" spans="1:17" s="10" customFormat="1" ht="13.8" x14ac:dyDescent="0.3">
      <c r="A28" s="27"/>
      <c r="B28" s="18">
        <v>13</v>
      </c>
      <c r="C28" s="28" t="s">
        <v>25</v>
      </c>
      <c r="D28" s="29">
        <v>4.1165900000000004</v>
      </c>
      <c r="E28" s="29">
        <v>0</v>
      </c>
      <c r="F28" s="29">
        <v>0</v>
      </c>
      <c r="G28" s="29">
        <v>0</v>
      </c>
      <c r="H28" s="29">
        <v>0</v>
      </c>
      <c r="I28" s="30">
        <v>0</v>
      </c>
      <c r="J28" s="29">
        <v>0</v>
      </c>
      <c r="K28" s="29">
        <v>0</v>
      </c>
      <c r="L28" s="29">
        <v>0</v>
      </c>
      <c r="M28" s="29">
        <v>0</v>
      </c>
      <c r="N28" s="29">
        <v>0</v>
      </c>
      <c r="O28" s="29">
        <v>0</v>
      </c>
      <c r="P28" s="29">
        <v>0</v>
      </c>
      <c r="Q28" s="29">
        <v>0</v>
      </c>
    </row>
    <row r="29" spans="1:17" s="10" customFormat="1" ht="13.8" x14ac:dyDescent="0.3">
      <c r="A29" s="27"/>
      <c r="B29" s="18">
        <v>13</v>
      </c>
      <c r="C29" s="28" t="s">
        <v>26</v>
      </c>
      <c r="D29" s="29">
        <v>3007.7490640000001</v>
      </c>
      <c r="E29" s="29">
        <v>8.1796999999999995E-2</v>
      </c>
      <c r="F29" s="29">
        <v>0.26802100000000001</v>
      </c>
      <c r="G29" s="29">
        <v>0.26789800000000003</v>
      </c>
      <c r="H29" s="29">
        <v>0</v>
      </c>
      <c r="I29" s="30">
        <v>9.2468708440581278</v>
      </c>
      <c r="J29" s="29">
        <v>0</v>
      </c>
      <c r="K29" s="29">
        <v>0.61771600000000004</v>
      </c>
      <c r="L29" s="29">
        <v>0</v>
      </c>
      <c r="M29" s="29">
        <v>6.8651000000000004E-2</v>
      </c>
      <c r="N29" s="29">
        <v>0</v>
      </c>
      <c r="O29" s="29">
        <v>-2.8839999999999998E-3</v>
      </c>
      <c r="P29" s="29">
        <v>-2.2910000000000001E-3</v>
      </c>
      <c r="Q29" s="29">
        <v>0</v>
      </c>
    </row>
    <row r="30" spans="1:17" x14ac:dyDescent="0.3">
      <c r="D30" s="42"/>
    </row>
  </sheetData>
  <mergeCells count="10">
    <mergeCell ref="C11:C14"/>
    <mergeCell ref="D11:Q11"/>
    <mergeCell ref="E12:Q12"/>
    <mergeCell ref="E13:I13"/>
    <mergeCell ref="J13:J14"/>
    <mergeCell ref="K13:K14"/>
    <mergeCell ref="L13:L14"/>
    <mergeCell ref="M13:M14"/>
    <mergeCell ref="N13:N14"/>
    <mergeCell ref="O13:Q13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B2EC0B2B90E8438FD7BC14926F993E" ma:contentTypeVersion="3" ma:contentTypeDescription="Create a new document." ma:contentTypeScope="" ma:versionID="e65a530e0ace798461accd7d31aa03a4">
  <xsd:schema xmlns:xsd="http://www.w3.org/2001/XMLSchema" xmlns:xs="http://www.w3.org/2001/XMLSchema" xmlns:p="http://schemas.microsoft.com/office/2006/metadata/properties" xmlns:ns2="572bdb13-c576-4166-8827-65186753b8b5" targetNamespace="http://schemas.microsoft.com/office/2006/metadata/properties" ma:root="true" ma:fieldsID="793c969891b4ec9d48a1cd8748ac20e8" ns2:_="">
    <xsd:import namespace="572bdb13-c576-4166-8827-65186753b8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bdb13-c576-4166-8827-65186753b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1471D5-CC2D-4085-BB26-EAB9433414A6}">
  <ds:schemaRefs>
    <ds:schemaRef ds:uri="http://purl.org/dc/elements/1.1/"/>
    <ds:schemaRef ds:uri="572bdb13-c576-4166-8827-65186753b8b5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6E9BD6C-4560-4D4B-97FA-B669D8126F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DFB5B0-E790-4259-A49B-590502CC4A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2bdb13-c576-4166-8827-65186753b8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Comparativos granulares</vt:lpstr>
      <vt:lpstr>Variação Absoluta</vt:lpstr>
      <vt:lpstr>Variação Percentual (pp)</vt:lpstr>
      <vt:lpstr>Input &gt;&gt;</vt:lpstr>
      <vt:lpstr>Paralelo</vt:lpstr>
      <vt:lpstr>Dez24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2025-05-28T15:07:45Z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2023-08-23T23:04:14Z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1819b6ad-dd38-420c-aeb5-a14a6e99a9be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0x010100FCB2EC0B2B90E8438FD7BC14926F993E</vt:lpwstr>
  </property>
  <property fmtid="{D5CDD505-2E9C-101B-9397-08002B2CF9AE}" pid="10" name="MediaServiceImageTags">
    <vt:lpwstr/>
  </property>
</Properties>
</file>