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8920" windowHeight="10908" activeTab="1"/>
  </bookViews>
  <sheets>
    <sheet name="Comparativos granulares" sheetId="16" r:id="rId1"/>
    <sheet name="Variação Absoluta" sheetId="1" r:id="rId2"/>
    <sheet name="Variação Percentual (pp)" sheetId="12" r:id="rId3"/>
    <sheet name="Input &gt;&gt;" sheetId="15" r:id="rId4"/>
    <sheet name="Paralelo" sheetId="6" r:id="rId5"/>
    <sheet name="Dez24" sheetId="5" r:id="rId6"/>
  </sheets>
  <externalReferences>
    <externalReference r:id="rId7"/>
  </externalReferences>
  <definedNames>
    <definedName name="_xlnm._FilterDatabase" localSheetId="0" hidden="1">'Comparativos granulares'!$B$8:$E$15</definedName>
    <definedName name="_xlnm._FilterDatabase" localSheetId="2" hidden="1">'Variação Percentual (pp)'!$AH$9:$BR$9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4" i="1" l="1"/>
  <c r="O24" i="12"/>
  <c r="J23" i="12"/>
  <c r="Y11" i="1"/>
  <c r="Y15" i="1"/>
  <c r="Y22" i="1"/>
  <c r="Y23" i="1"/>
  <c r="Y10" i="1"/>
  <c r="O14" i="12"/>
  <c r="C24" i="12"/>
  <c r="O21" i="12"/>
  <c r="O20" i="12"/>
  <c r="O19" i="12"/>
  <c r="O18" i="12"/>
  <c r="O17" i="12"/>
  <c r="O16" i="12"/>
  <c r="O13" i="12"/>
  <c r="O12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S24" i="12"/>
  <c r="AS23" i="12"/>
  <c r="AS22" i="12"/>
  <c r="AS21" i="12"/>
  <c r="AS20" i="12"/>
  <c r="AS19" i="12"/>
  <c r="AS18" i="12"/>
  <c r="AS17" i="12"/>
  <c r="AS16" i="12"/>
  <c r="AS15" i="12"/>
  <c r="AS14" i="12"/>
  <c r="AS13" i="12"/>
  <c r="AS12" i="12"/>
  <c r="AS11" i="12"/>
  <c r="AS10" i="12"/>
  <c r="AI10" i="12"/>
  <c r="AD10" i="12"/>
  <c r="Y10" i="12"/>
  <c r="T10" i="12"/>
  <c r="J10" i="12"/>
  <c r="E10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L24" i="12"/>
  <c r="AL23" i="12"/>
  <c r="AL22" i="12"/>
  <c r="AL21" i="12"/>
  <c r="AL20" i="12"/>
  <c r="AL19" i="12"/>
  <c r="AL18" i="12"/>
  <c r="AL17" i="12"/>
  <c r="AL16" i="12"/>
  <c r="AL15" i="12"/>
  <c r="AL14" i="12"/>
  <c r="AL13" i="12"/>
  <c r="AL12" i="12"/>
  <c r="AL11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B24" i="12"/>
  <c r="AB23" i="12"/>
  <c r="AB22" i="12"/>
  <c r="AB21" i="12"/>
  <c r="AB20" i="12"/>
  <c r="AB19" i="12"/>
  <c r="AB18" i="12"/>
  <c r="AB17" i="12"/>
  <c r="AB16" i="12"/>
  <c r="AB15" i="12"/>
  <c r="AB14" i="12"/>
  <c r="AB13" i="12"/>
  <c r="AB12" i="12"/>
  <c r="AB11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AQ10" i="12"/>
  <c r="AL10" i="12"/>
  <c r="AG10" i="12"/>
  <c r="AB10" i="12"/>
  <c r="W10" i="12"/>
  <c r="R10" i="12"/>
  <c r="M10" i="12"/>
  <c r="H10" i="12"/>
  <c r="C10" i="12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N10" i="1"/>
  <c r="AK10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E10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Y21" i="1"/>
  <c r="Y20" i="1"/>
  <c r="Y19" i="1"/>
  <c r="Y18" i="1"/>
  <c r="Y17" i="1"/>
  <c r="Y16" i="1"/>
  <c r="Y13" i="1"/>
  <c r="Y12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V10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P10" i="1"/>
  <c r="M10" i="1"/>
  <c r="J10" i="1"/>
  <c r="G10" i="1"/>
  <c r="D10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P10" i="1"/>
  <c r="AM10" i="1"/>
  <c r="AJ10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Y24" i="1" l="1"/>
  <c r="Z24" i="1" s="1"/>
  <c r="J24" i="12"/>
  <c r="J25" i="12" s="1"/>
  <c r="O11" i="12"/>
  <c r="O10" i="12"/>
  <c r="O22" i="12"/>
  <c r="O15" i="12"/>
  <c r="Y14" i="1"/>
  <c r="Z14" i="1" s="1"/>
  <c r="O23" i="12"/>
  <c r="AF11" i="1"/>
  <c r="AF19" i="1"/>
  <c r="H25" i="12"/>
  <c r="I25" i="12" s="1"/>
  <c r="AO11" i="1"/>
  <c r="AR10" i="1"/>
  <c r="Q22" i="1"/>
  <c r="AF10" i="1"/>
  <c r="AO12" i="1"/>
  <c r="AI15" i="1"/>
  <c r="K12" i="1"/>
  <c r="K20" i="1"/>
  <c r="AI11" i="1"/>
  <c r="AO20" i="1"/>
  <c r="Z13" i="1"/>
  <c r="Z21" i="1"/>
  <c r="T15" i="1"/>
  <c r="T23" i="1"/>
  <c r="AI12" i="1"/>
  <c r="AI20" i="1"/>
  <c r="AO15" i="1"/>
  <c r="AO23" i="1"/>
  <c r="AL17" i="1"/>
  <c r="H20" i="1"/>
  <c r="AR18" i="1"/>
  <c r="Z15" i="1"/>
  <c r="Q12" i="1"/>
  <c r="N15" i="1"/>
  <c r="H12" i="1"/>
  <c r="K11" i="1"/>
  <c r="Z23" i="1"/>
  <c r="K18" i="1"/>
  <c r="N14" i="1"/>
  <c r="W20" i="1"/>
  <c r="H23" i="1"/>
  <c r="H15" i="1"/>
  <c r="Q14" i="1"/>
  <c r="N16" i="1"/>
  <c r="N24" i="1"/>
  <c r="AP25" i="1"/>
  <c r="N10" i="1"/>
  <c r="T16" i="1"/>
  <c r="T24" i="1"/>
  <c r="Q18" i="1"/>
  <c r="K14" i="1"/>
  <c r="K22" i="1"/>
  <c r="H16" i="1"/>
  <c r="H24" i="1"/>
  <c r="AR14" i="1"/>
  <c r="AR22" i="1"/>
  <c r="AO16" i="1"/>
  <c r="AO24" i="1"/>
  <c r="AL18" i="1"/>
  <c r="I10" i="12"/>
  <c r="I12" i="12"/>
  <c r="I20" i="12"/>
  <c r="K10" i="1"/>
  <c r="AQ25" i="12"/>
  <c r="AR14" i="12" s="1"/>
  <c r="Q10" i="1"/>
  <c r="I13" i="12"/>
  <c r="I21" i="12"/>
  <c r="Q20" i="1"/>
  <c r="I14" i="12"/>
  <c r="I22" i="12"/>
  <c r="N19" i="1"/>
  <c r="T11" i="1"/>
  <c r="T19" i="1"/>
  <c r="N23" i="1"/>
  <c r="H11" i="1"/>
  <c r="H19" i="1"/>
  <c r="AC20" i="1"/>
  <c r="AI16" i="1"/>
  <c r="AO10" i="1"/>
  <c r="AO19" i="1"/>
  <c r="AL13" i="1"/>
  <c r="AL21" i="1"/>
  <c r="I15" i="12"/>
  <c r="I23" i="12"/>
  <c r="I18" i="12"/>
  <c r="N11" i="1"/>
  <c r="I11" i="12"/>
  <c r="I16" i="12"/>
  <c r="I24" i="12"/>
  <c r="I19" i="12"/>
  <c r="AI18" i="1"/>
  <c r="AL15" i="1"/>
  <c r="I17" i="12"/>
  <c r="Z18" i="1"/>
  <c r="T22" i="1"/>
  <c r="AC24" i="1"/>
  <c r="AR20" i="1"/>
  <c r="AR12" i="1"/>
  <c r="Z10" i="1"/>
  <c r="T12" i="1"/>
  <c r="N12" i="1"/>
  <c r="N20" i="1"/>
  <c r="W11" i="1"/>
  <c r="Z17" i="1"/>
  <c r="AF15" i="1"/>
  <c r="AF23" i="1"/>
  <c r="H22" i="1"/>
  <c r="Z19" i="1"/>
  <c r="N18" i="1"/>
  <c r="AC23" i="1"/>
  <c r="AC10" i="1"/>
  <c r="AI14" i="1"/>
  <c r="AI22" i="1"/>
  <c r="W10" i="1"/>
  <c r="AC16" i="1"/>
  <c r="K17" i="1"/>
  <c r="AR17" i="1"/>
  <c r="AC14" i="1"/>
  <c r="AC22" i="1"/>
  <c r="Z16" i="1"/>
  <c r="W18" i="1"/>
  <c r="AQ25" i="1"/>
  <c r="AR19" i="1"/>
  <c r="AL23" i="1"/>
  <c r="AF14" i="1"/>
  <c r="AF22" i="1"/>
  <c r="Q16" i="1"/>
  <c r="Q24" i="1"/>
  <c r="AC15" i="1"/>
  <c r="AI19" i="1"/>
  <c r="AF21" i="1"/>
  <c r="AO14" i="1"/>
  <c r="AO22" i="1"/>
  <c r="AL16" i="1"/>
  <c r="AL24" i="1"/>
  <c r="C25" i="12"/>
  <c r="D13" i="12" s="1"/>
  <c r="AG25" i="12"/>
  <c r="AH17" i="12" s="1"/>
  <c r="AD25" i="12"/>
  <c r="W12" i="1"/>
  <c r="W25" i="12"/>
  <c r="X21" i="12" s="1"/>
  <c r="R25" i="12"/>
  <c r="S13" i="12" s="1"/>
  <c r="AI25" i="12"/>
  <c r="AJ23" i="12" s="1"/>
  <c r="Z22" i="1"/>
  <c r="K13" i="1"/>
  <c r="K21" i="1"/>
  <c r="AD25" i="1"/>
  <c r="AR13" i="1"/>
  <c r="AR21" i="1"/>
  <c r="AC18" i="1"/>
  <c r="W14" i="1"/>
  <c r="W22" i="1"/>
  <c r="AR15" i="1"/>
  <c r="AR23" i="1"/>
  <c r="AL11" i="1"/>
  <c r="AL19" i="1"/>
  <c r="AL25" i="12"/>
  <c r="AM22" i="12" s="1"/>
  <c r="W24" i="1"/>
  <c r="AF18" i="1"/>
  <c r="N22" i="1"/>
  <c r="K16" i="1"/>
  <c r="K24" i="1"/>
  <c r="AC11" i="1"/>
  <c r="AC19" i="1"/>
  <c r="AI23" i="1"/>
  <c r="AF17" i="1"/>
  <c r="AL10" i="1"/>
  <c r="AR16" i="1"/>
  <c r="AR24" i="1"/>
  <c r="AO18" i="1"/>
  <c r="AL12" i="1"/>
  <c r="AL20" i="1"/>
  <c r="M25" i="12"/>
  <c r="N18" i="12" s="1"/>
  <c r="W16" i="1"/>
  <c r="AI24" i="1"/>
  <c r="Z11" i="1"/>
  <c r="AC12" i="1"/>
  <c r="AI13" i="1"/>
  <c r="AI21" i="1"/>
  <c r="T20" i="1"/>
  <c r="AI17" i="1"/>
  <c r="AL14" i="1"/>
  <c r="AL22" i="1"/>
  <c r="AB25" i="12"/>
  <c r="AC12" i="12" s="1"/>
  <c r="Q11" i="1"/>
  <c r="Q15" i="1"/>
  <c r="Q19" i="1"/>
  <c r="Q23" i="1"/>
  <c r="AE25" i="1"/>
  <c r="AN25" i="12"/>
  <c r="AO15" i="12" s="1"/>
  <c r="T13" i="1"/>
  <c r="T17" i="1"/>
  <c r="T21" i="1"/>
  <c r="AR11" i="1"/>
  <c r="H10" i="1"/>
  <c r="H14" i="1"/>
  <c r="H18" i="1"/>
  <c r="K15" i="1"/>
  <c r="K19" i="1"/>
  <c r="K23" i="1"/>
  <c r="Q13" i="1"/>
  <c r="Q17" i="1"/>
  <c r="Q21" i="1"/>
  <c r="T10" i="1"/>
  <c r="T14" i="1"/>
  <c r="T18" i="1"/>
  <c r="W15" i="1"/>
  <c r="W19" i="1"/>
  <c r="W23" i="1"/>
  <c r="Z12" i="1"/>
  <c r="Z20" i="1"/>
  <c r="AF12" i="1"/>
  <c r="AF16" i="1"/>
  <c r="AF20" i="1"/>
  <c r="AF24" i="1"/>
  <c r="AH25" i="1"/>
  <c r="E25" i="12"/>
  <c r="T25" i="12"/>
  <c r="Y25" i="12"/>
  <c r="AS25" i="12"/>
  <c r="AT14" i="12" s="1"/>
  <c r="AO13" i="1"/>
  <c r="AO17" i="1"/>
  <c r="AO21" i="1"/>
  <c r="AF13" i="1"/>
  <c r="W13" i="1"/>
  <c r="W17" i="1"/>
  <c r="W21" i="1"/>
  <c r="AC13" i="1"/>
  <c r="AC17" i="1"/>
  <c r="AC21" i="1"/>
  <c r="H13" i="1"/>
  <c r="H17" i="1"/>
  <c r="H21" i="1"/>
  <c r="N13" i="1"/>
  <c r="N17" i="1"/>
  <c r="N21" i="1"/>
  <c r="AG25" i="1"/>
  <c r="AI10" i="1"/>
  <c r="O25" i="12" l="1"/>
  <c r="AR12" i="12"/>
  <c r="AR16" i="12"/>
  <c r="AR19" i="12"/>
  <c r="AR13" i="12"/>
  <c r="AR11" i="12"/>
  <c r="AR21" i="12"/>
  <c r="AR15" i="12"/>
  <c r="AR24" i="12"/>
  <c r="AR18" i="12"/>
  <c r="AR10" i="12"/>
  <c r="AR17" i="12"/>
  <c r="AR20" i="12"/>
  <c r="S21" i="12"/>
  <c r="S19" i="12"/>
  <c r="AO12" i="12"/>
  <c r="AJ14" i="12"/>
  <c r="AJ16" i="12"/>
  <c r="AM12" i="12"/>
  <c r="D15" i="12"/>
  <c r="N14" i="12"/>
  <c r="D19" i="12"/>
  <c r="S10" i="12"/>
  <c r="AR22" i="12"/>
  <c r="AJ20" i="12"/>
  <c r="AO22" i="12"/>
  <c r="AP22" i="12" s="1"/>
  <c r="AO11" i="12"/>
  <c r="AF25" i="1"/>
  <c r="AJ10" i="12"/>
  <c r="AO18" i="12"/>
  <c r="AJ11" i="12"/>
  <c r="AO23" i="12"/>
  <c r="AO20" i="12"/>
  <c r="AJ13" i="12"/>
  <c r="AO10" i="12"/>
  <c r="AC16" i="12"/>
  <c r="X22" i="12"/>
  <c r="S11" i="12"/>
  <c r="S18" i="12"/>
  <c r="S23" i="12"/>
  <c r="AM10" i="12"/>
  <c r="AU14" i="12"/>
  <c r="X13" i="12"/>
  <c r="AC22" i="12"/>
  <c r="AC11" i="12"/>
  <c r="AR25" i="1"/>
  <c r="X14" i="12"/>
  <c r="X10" i="12"/>
  <c r="D21" i="12"/>
  <c r="S15" i="12"/>
  <c r="AC24" i="12"/>
  <c r="AC19" i="12"/>
  <c r="X23" i="12"/>
  <c r="S20" i="12"/>
  <c r="X19" i="12"/>
  <c r="X15" i="12"/>
  <c r="X11" i="12"/>
  <c r="X18" i="12"/>
  <c r="AR23" i="12"/>
  <c r="AJ21" i="12"/>
  <c r="AO14" i="12"/>
  <c r="AO19" i="12"/>
  <c r="AO21" i="12"/>
  <c r="AO24" i="12"/>
  <c r="AJ17" i="12"/>
  <c r="AK17" i="12" s="1"/>
  <c r="AJ18" i="12"/>
  <c r="AO17" i="12"/>
  <c r="AJ24" i="12"/>
  <c r="AO13" i="12"/>
  <c r="AO16" i="12"/>
  <c r="AJ15" i="12"/>
  <c r="AH21" i="12"/>
  <c r="AH13" i="12"/>
  <c r="AH10" i="12"/>
  <c r="AH19" i="12"/>
  <c r="AH11" i="12"/>
  <c r="AH24" i="12"/>
  <c r="AH16" i="12"/>
  <c r="AH18" i="12"/>
  <c r="N20" i="12"/>
  <c r="N12" i="12"/>
  <c r="N24" i="12"/>
  <c r="N25" i="12"/>
  <c r="N17" i="12"/>
  <c r="N16" i="12"/>
  <c r="D20" i="12"/>
  <c r="D12" i="12"/>
  <c r="D24" i="12"/>
  <c r="D25" i="12"/>
  <c r="D17" i="12"/>
  <c r="D16" i="12"/>
  <c r="N11" i="12"/>
  <c r="N15" i="12"/>
  <c r="N13" i="12"/>
  <c r="AH22" i="12"/>
  <c r="N10" i="12"/>
  <c r="N21" i="12"/>
  <c r="AH14" i="12"/>
  <c r="D22" i="12"/>
  <c r="AM24" i="12"/>
  <c r="D18" i="12"/>
  <c r="AH23" i="12"/>
  <c r="AK23" i="12" s="1"/>
  <c r="AH15" i="12"/>
  <c r="N19" i="12"/>
  <c r="N23" i="12"/>
  <c r="AH20" i="12"/>
  <c r="AM23" i="12"/>
  <c r="AM15" i="12"/>
  <c r="AP15" i="12" s="1"/>
  <c r="AM11" i="12"/>
  <c r="AM17" i="12"/>
  <c r="AM19" i="12"/>
  <c r="AM21" i="12"/>
  <c r="AH12" i="12"/>
  <c r="AM16" i="12"/>
  <c r="AM13" i="12"/>
  <c r="AM18" i="12"/>
  <c r="D10" i="12"/>
  <c r="AJ22" i="12"/>
  <c r="AJ12" i="12"/>
  <c r="S24" i="12"/>
  <c r="S25" i="12"/>
  <c r="S17" i="12"/>
  <c r="S22" i="12"/>
  <c r="S14" i="12"/>
  <c r="S16" i="12"/>
  <c r="S12" i="12"/>
  <c r="N22" i="12"/>
  <c r="AI25" i="1"/>
  <c r="AJ19" i="12"/>
  <c r="AC21" i="12"/>
  <c r="AC13" i="12"/>
  <c r="AC18" i="12"/>
  <c r="AC10" i="12"/>
  <c r="AC23" i="12"/>
  <c r="AC15" i="12"/>
  <c r="AC17" i="12"/>
  <c r="X20" i="12"/>
  <c r="X12" i="12"/>
  <c r="X24" i="12"/>
  <c r="X17" i="12"/>
  <c r="X16" i="12"/>
  <c r="AM20" i="12"/>
  <c r="D23" i="12"/>
  <c r="D14" i="12"/>
  <c r="AC20" i="12"/>
  <c r="AC14" i="12"/>
  <c r="D11" i="12"/>
  <c r="AM14" i="12"/>
  <c r="AT19" i="12"/>
  <c r="AU19" i="12" s="1"/>
  <c r="AT17" i="12"/>
  <c r="AU17" i="12" s="1"/>
  <c r="AT11" i="12"/>
  <c r="AU11" i="12" s="1"/>
  <c r="AT18" i="12"/>
  <c r="AT15" i="12"/>
  <c r="AU15" i="12" s="1"/>
  <c r="AT22" i="12"/>
  <c r="AT23" i="12"/>
  <c r="AT20" i="12"/>
  <c r="AU20" i="12" s="1"/>
  <c r="AT24" i="12"/>
  <c r="AT12" i="12"/>
  <c r="AU12" i="12" s="1"/>
  <c r="AT16" i="12"/>
  <c r="AU16" i="12" s="1"/>
  <c r="AT10" i="12"/>
  <c r="AT21" i="12"/>
  <c r="AT13" i="12"/>
  <c r="AU13" i="12" s="1"/>
  <c r="AU24" i="12" l="1"/>
  <c r="AR25" i="12"/>
  <c r="AU22" i="12"/>
  <c r="AP14" i="12"/>
  <c r="AP12" i="12"/>
  <c r="AU21" i="12"/>
  <c r="AU10" i="12"/>
  <c r="AU18" i="12"/>
  <c r="AP19" i="12"/>
  <c r="AK21" i="12"/>
  <c r="AP11" i="12"/>
  <c r="AK14" i="12"/>
  <c r="AK19" i="12"/>
  <c r="AP13" i="12"/>
  <c r="AP20" i="12"/>
  <c r="AK16" i="12"/>
  <c r="AK24" i="12"/>
  <c r="AP18" i="12"/>
  <c r="AP16" i="12"/>
  <c r="AK20" i="12"/>
  <c r="AK18" i="12"/>
  <c r="AK13" i="12"/>
  <c r="X25" i="12"/>
  <c r="AK11" i="12"/>
  <c r="AK15" i="12"/>
  <c r="AO25" i="12"/>
  <c r="AP23" i="12"/>
  <c r="AP10" i="12"/>
  <c r="AM25" i="12"/>
  <c r="AU23" i="12"/>
  <c r="AP21" i="12"/>
  <c r="AP24" i="12"/>
  <c r="AJ25" i="12"/>
  <c r="AH25" i="12"/>
  <c r="AK12" i="12"/>
  <c r="AC25" i="12"/>
  <c r="AK22" i="12"/>
  <c r="AP17" i="12"/>
  <c r="AK10" i="12"/>
  <c r="AT25" i="12"/>
  <c r="P19" i="12"/>
  <c r="AN25" i="1"/>
  <c r="Y25" i="1"/>
  <c r="M25" i="1"/>
  <c r="I25" i="1"/>
  <c r="G25" i="1"/>
  <c r="J25" i="1"/>
  <c r="L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25" i="1" l="1"/>
  <c r="U25" i="1"/>
  <c r="AM25" i="1"/>
  <c r="AO25" i="1" s="1"/>
  <c r="V25" i="1"/>
  <c r="F25" i="1"/>
  <c r="H25" i="1" s="1"/>
  <c r="X25" i="1"/>
  <c r="Z25" i="1" s="1"/>
  <c r="AJ25" i="1"/>
  <c r="AK25" i="1"/>
  <c r="N25" i="1"/>
  <c r="K25" i="1"/>
  <c r="O25" i="1"/>
  <c r="AA25" i="1"/>
  <c r="D25" i="1"/>
  <c r="P25" i="1"/>
  <c r="AB25" i="1"/>
  <c r="P13" i="12"/>
  <c r="Q13" i="12" s="1"/>
  <c r="P17" i="12"/>
  <c r="U17" i="12"/>
  <c r="P21" i="12"/>
  <c r="P12" i="12"/>
  <c r="P15" i="12"/>
  <c r="U23" i="12"/>
  <c r="P23" i="12"/>
  <c r="P10" i="12"/>
  <c r="P24" i="12"/>
  <c r="P22" i="12"/>
  <c r="P20" i="12"/>
  <c r="P18" i="12"/>
  <c r="P16" i="12"/>
  <c r="P14" i="12"/>
  <c r="P11" i="12"/>
  <c r="F13" i="12"/>
  <c r="G13" i="12" s="1"/>
  <c r="K24" i="12"/>
  <c r="U11" i="12"/>
  <c r="AE14" i="12"/>
  <c r="K14" i="12"/>
  <c r="U15" i="12"/>
  <c r="U19" i="12"/>
  <c r="W25" i="1" l="1"/>
  <c r="Q25" i="1"/>
  <c r="AC25" i="1"/>
  <c r="AL25" i="1"/>
  <c r="Q18" i="12"/>
  <c r="Q11" i="12"/>
  <c r="F12" i="12"/>
  <c r="G12" i="12" s="1"/>
  <c r="K20" i="12"/>
  <c r="L20" i="12" s="1"/>
  <c r="K22" i="12"/>
  <c r="L22" i="12" s="1"/>
  <c r="K18" i="12"/>
  <c r="F24" i="12"/>
  <c r="G24" i="12" s="1"/>
  <c r="P25" i="12"/>
  <c r="AE22" i="12"/>
  <c r="AF22" i="12" s="1"/>
  <c r="K12" i="12"/>
  <c r="Z10" i="12"/>
  <c r="Z23" i="12"/>
  <c r="Z21" i="12"/>
  <c r="Z19" i="12"/>
  <c r="AA19" i="12" s="1"/>
  <c r="Z17" i="12"/>
  <c r="AA17" i="12" s="1"/>
  <c r="Z15" i="12"/>
  <c r="Z12" i="12"/>
  <c r="AA12" i="12" s="1"/>
  <c r="Z16" i="12"/>
  <c r="AA16" i="12" s="1"/>
  <c r="V23" i="12"/>
  <c r="V17" i="12"/>
  <c r="V19" i="12"/>
  <c r="V15" i="12"/>
  <c r="Z24" i="12"/>
  <c r="AE24" i="12"/>
  <c r="AF14" i="12"/>
  <c r="F11" i="12"/>
  <c r="G11" i="12" s="1"/>
  <c r="Q20" i="12"/>
  <c r="F22" i="12"/>
  <c r="G22" i="12" s="1"/>
  <c r="K16" i="12"/>
  <c r="Q23" i="12"/>
  <c r="Q21" i="12"/>
  <c r="Q19" i="12"/>
  <c r="Q17" i="12"/>
  <c r="L24" i="12"/>
  <c r="L14" i="12"/>
  <c r="U21" i="12"/>
  <c r="V21" i="12" s="1"/>
  <c r="Q12" i="12"/>
  <c r="AE20" i="12"/>
  <c r="Z13" i="12"/>
  <c r="AA13" i="12" s="1"/>
  <c r="Z14" i="12"/>
  <c r="AA14" i="12" s="1"/>
  <c r="Q14" i="12"/>
  <c r="Z18" i="12"/>
  <c r="AA18" i="12" s="1"/>
  <c r="Q15" i="12"/>
  <c r="AE10" i="12"/>
  <c r="AE23" i="12"/>
  <c r="AF23" i="12" s="1"/>
  <c r="AE21" i="12"/>
  <c r="AE15" i="12"/>
  <c r="AE11" i="12"/>
  <c r="AE17" i="12"/>
  <c r="AF17" i="12" s="1"/>
  <c r="AE13" i="12"/>
  <c r="AF13" i="12" s="1"/>
  <c r="AE19" i="12"/>
  <c r="V11" i="12"/>
  <c r="F23" i="12"/>
  <c r="G23" i="12" s="1"/>
  <c r="F21" i="12"/>
  <c r="G21" i="12" s="1"/>
  <c r="F19" i="12"/>
  <c r="G19" i="12" s="1"/>
  <c r="F17" i="12"/>
  <c r="G17" i="12" s="1"/>
  <c r="F15" i="12"/>
  <c r="G15" i="12" s="1"/>
  <c r="F10" i="12"/>
  <c r="F18" i="12"/>
  <c r="G18" i="12" s="1"/>
  <c r="F14" i="12"/>
  <c r="G14" i="12" s="1"/>
  <c r="Q22" i="12"/>
  <c r="Z20" i="12"/>
  <c r="AA20" i="12" s="1"/>
  <c r="Z22" i="12"/>
  <c r="AA22" i="12" s="1"/>
  <c r="F20" i="12"/>
  <c r="G20" i="12" s="1"/>
  <c r="AE16" i="12"/>
  <c r="AE12" i="12"/>
  <c r="K10" i="12"/>
  <c r="K21" i="12"/>
  <c r="L21" i="12" s="1"/>
  <c r="K15" i="12"/>
  <c r="L15" i="12" s="1"/>
  <c r="K17" i="12"/>
  <c r="K13" i="12"/>
  <c r="K23" i="12"/>
  <c r="K11" i="12"/>
  <c r="L11" i="12" s="1"/>
  <c r="K19" i="12"/>
  <c r="L19" i="12" s="1"/>
  <c r="Q16" i="12"/>
  <c r="Z11" i="12"/>
  <c r="U10" i="12"/>
  <c r="U16" i="12"/>
  <c r="U12" i="12"/>
  <c r="V12" i="12" s="1"/>
  <c r="U24" i="12"/>
  <c r="U18" i="12"/>
  <c r="U14" i="12"/>
  <c r="U22" i="12"/>
  <c r="V22" i="12" s="1"/>
  <c r="U20" i="12"/>
  <c r="V20" i="12" s="1"/>
  <c r="Q24" i="12"/>
  <c r="AE18" i="12"/>
  <c r="AF18" i="12" s="1"/>
  <c r="U13" i="12"/>
  <c r="V13" i="12" s="1"/>
  <c r="F16" i="12"/>
  <c r="G16" i="12" s="1"/>
  <c r="AA11" i="12" l="1"/>
  <c r="AA21" i="12"/>
  <c r="AF16" i="12"/>
  <c r="AF19" i="12"/>
  <c r="V14" i="12"/>
  <c r="AF24" i="12"/>
  <c r="AA15" i="12"/>
  <c r="AA23" i="12"/>
  <c r="L23" i="12"/>
  <c r="AF15" i="12"/>
  <c r="AA24" i="12"/>
  <c r="AF21" i="12"/>
  <c r="L12" i="12"/>
  <c r="L18" i="12"/>
  <c r="L13" i="12"/>
  <c r="F25" i="12"/>
  <c r="G10" i="12"/>
  <c r="V16" i="12"/>
  <c r="L17" i="12"/>
  <c r="AF12" i="12"/>
  <c r="L16" i="12"/>
  <c r="K25" i="12"/>
  <c r="L10" i="12"/>
  <c r="Z25" i="12"/>
  <c r="AA10" i="12"/>
  <c r="V18" i="12"/>
  <c r="U25" i="12"/>
  <c r="V10" i="12"/>
  <c r="AF11" i="12"/>
  <c r="AE25" i="12"/>
  <c r="AF10" i="12"/>
  <c r="AF20" i="12"/>
  <c r="V24" i="12"/>
  <c r="Q10" i="12"/>
  <c r="E12" i="1" l="1"/>
  <c r="E16" i="1"/>
  <c r="E20" i="1"/>
  <c r="E24" i="1"/>
  <c r="E13" i="1"/>
  <c r="E17" i="1"/>
  <c r="E21" i="1"/>
  <c r="E14" i="1"/>
  <c r="E22" i="1"/>
  <c r="E10" i="1"/>
  <c r="E18" i="1"/>
  <c r="E11" i="1"/>
  <c r="E15" i="1"/>
  <c r="E19" i="1"/>
  <c r="E23" i="1"/>
  <c r="E25" i="1" l="1"/>
</calcChain>
</file>

<file path=xl/comments1.xml><?xml version="1.0" encoding="utf-8"?>
<comments xmlns="http://schemas.openxmlformats.org/spreadsheetml/2006/main">
  <authors>
    <author>Author</author>
  </authors>
  <commentList>
    <comment ref="H12" authorId="0" shapeId="0">
      <text>
        <r>
          <rPr>
            <sz val="9"/>
            <color indexed="81"/>
            <rFont val="Tahoma"/>
            <family val="2"/>
          </rPr>
          <t>Com a alteração na marcação dos riscos físicos, 1.9B passaram a marcar a CHRO2 e 140M passaram a ACUT2  (diminuindo a exposição)</t>
        </r>
      </text>
    </comment>
    <comment ref="W12" authorId="0" shapeId="0">
      <text>
        <r>
          <rPr>
            <sz val="9"/>
            <color indexed="81"/>
            <rFont val="Tahoma"/>
            <family val="2"/>
          </rPr>
          <t>Com a alteração na marcação dos riscos crónico, 1.9B passaram a marcar a CHRO2 (diminuindo a exposição)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Não está a ser considerado o universo de adjudicados</t>
        </r>
      </text>
    </comment>
  </commentList>
</comments>
</file>

<file path=xl/sharedStrings.xml><?xml version="1.0" encoding="utf-8"?>
<sst xmlns="http://schemas.openxmlformats.org/spreadsheetml/2006/main" count="211" uniqueCount="80">
  <si>
    <t>∆</t>
  </si>
  <si>
    <t xml:space="preserve">Exposição 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</si>
  <si>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</si>
  <si>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</si>
  <si>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</si>
  <si>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Stage 2</t>
  </si>
  <si>
    <t>Non-Performing</t>
  </si>
  <si>
    <t>Accumulated impairment</t>
  </si>
  <si>
    <t>Accumulated impairment
Stage 2</t>
  </si>
  <si>
    <t>Accumulated impairment
Non-Performing</t>
  </si>
  <si>
    <t>NACEs</t>
  </si>
  <si>
    <t>∆ (pp)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</si>
  <si>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</si>
  <si>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</si>
  <si>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</si>
  <si>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</si>
  <si>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</si>
  <si>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</si>
  <si>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</si>
  <si>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</si>
  <si>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</si>
  <si>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</si>
  <si>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</si>
  <si>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</si>
  <si>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</si>
  <si>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</si>
  <si>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Exposures to other sectors (NACE codes J, M - U)</t>
  </si>
  <si>
    <t>TOTAL</t>
  </si>
  <si>
    <t>&lt;= 5 anos</t>
  </si>
  <si>
    <t>&gt; 5 anos &amp; &lt;= 10 anos</t>
  </si>
  <si>
    <t>&gt; 10 anos &amp; &lt;= 20 anos</t>
  </si>
  <si>
    <t>&gt; 20 anos</t>
  </si>
  <si>
    <t>Average weighted maturity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</si>
  <si>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</si>
  <si>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</si>
  <si>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</si>
  <si>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</si>
  <si>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</si>
  <si>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</si>
  <si>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</si>
  <si>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</si>
  <si>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</si>
  <si>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</si>
  <si>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</si>
  <si>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</si>
  <si>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</si>
  <si>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</si>
  <si>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</si>
  <si>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</si>
  <si>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</si>
  <si>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</si>
  <si>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</si>
  <si>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</si>
  <si>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</si>
  <si>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</si>
  <si>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</si>
  <si>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</si>
  <si>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</si>
  <si>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</si>
  <si>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</si>
  <si>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of which Stage 2 exposures</t>
  </si>
  <si>
    <t>peso dez/24</t>
  </si>
  <si>
    <t>peso mai/25</t>
  </si>
  <si>
    <t>Métrica</t>
  </si>
  <si>
    <t>Casuística</t>
  </si>
  <si>
    <t>Montante</t>
  </si>
  <si>
    <t xml:space="preserve"> </t>
  </si>
  <si>
    <t>Acute_changes</t>
  </si>
  <si>
    <t>Chronic_changes</t>
  </si>
  <si>
    <t>ACUT1</t>
  </si>
  <si>
    <t>Antes era ACUT2 agora é ACUT1</t>
  </si>
  <si>
    <t>ACUT2</t>
  </si>
  <si>
    <t>Antes era ACUT1 agora é ACUT2</t>
  </si>
  <si>
    <t>CHRO1</t>
  </si>
  <si>
    <t>CHRO2</t>
  </si>
  <si>
    <t>Antes era CHRO2 agora é CHRO1</t>
  </si>
  <si>
    <t>Antes era CHRO1 agora é CHRO2</t>
  </si>
  <si>
    <t>Alteração da marcação de Chronic changes</t>
  </si>
  <si>
    <t>Alteração da marcação de Acute changes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</si>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</sst>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</borders>
  <cellStyleXfs count="3">
    <xf numFmtId="0" fontId="0" fillId="0" borderId="0"/>
    <xf numFmtId="0" fontId="5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centerContinuous" vertical="center"/>
    </xf>
    <xf numFmtId="0" fontId="6" fillId="2" borderId="0" xfId="1" applyFont="1" applyFill="1" applyAlignment="1">
      <alignment horizontal="centerContinuous" vertical="center"/>
    </xf>
    <xf numFmtId="0" fontId="6" fillId="3" borderId="0" xfId="1" applyFont="1" applyFill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2" xfId="0" applyFont="1" applyFill="1" applyBorder="1" applyAlignment="1">
      <alignment vertical="center" wrapText="1"/>
    </xf>
    <xf numFmtId="0" fontId="10" fillId="6" borderId="0" xfId="0" applyFont="1" applyFill="1"/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4" fontId="0" fillId="0" borderId="1" xfId="0" applyNumberFormat="1" applyBorder="1"/>
    <xf numFmtId="0" fontId="13" fillId="3" borderId="1" xfId="0" applyFont="1" applyFill="1" applyBorder="1" applyAlignment="1">
      <alignment horizontal="centerContinuous"/>
    </xf>
    <xf numFmtId="164" fontId="0" fillId="0" borderId="1" xfId="0" applyNumberFormat="1" applyBorder="1"/>
    <xf numFmtId="0" fontId="10" fillId="6" borderId="3" xfId="0" applyFont="1" applyFill="1" applyBorder="1"/>
    <xf numFmtId="0" fontId="10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4" xfId="0" applyFont="1" applyFill="1" applyBorder="1" applyAlignment="1">
      <alignment vertical="center" wrapText="1"/>
    </xf>
    <xf numFmtId="0" fontId="10" fillId="6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11" fillId="6" borderId="8" xfId="0" applyFont="1" applyFill="1" applyBorder="1"/>
    <xf numFmtId="0" fontId="8" fillId="0" borderId="3" xfId="0" applyFont="1" applyBorder="1" applyAlignment="1">
      <alignment vertical="center" wrapText="1"/>
    </xf>
    <xf numFmtId="0" fontId="14" fillId="6" borderId="0" xfId="0" applyFont="1" applyFill="1"/>
    <xf numFmtId="0" fontId="10" fillId="6" borderId="3" xfId="0" applyFont="1" applyFill="1" applyBorder="1" applyAlignment="1">
      <alignment vertical="center"/>
    </xf>
    <xf numFmtId="43" fontId="10" fillId="6" borderId="3" xfId="2" applyFont="1" applyFill="1" applyBorder="1" applyAlignment="1">
      <alignment vertical="center"/>
    </xf>
    <xf numFmtId="165" fontId="10" fillId="6" borderId="3" xfId="2" applyNumberFormat="1" applyFont="1" applyFill="1" applyBorder="1" applyAlignment="1">
      <alignment vertical="center"/>
    </xf>
    <xf numFmtId="0" fontId="10" fillId="6" borderId="3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Continuous" wrapText="1"/>
    </xf>
    <xf numFmtId="0" fontId="2" fillId="3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13" fillId="3" borderId="1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Continuous" vertical="center" wrapText="1"/>
    </xf>
    <xf numFmtId="0" fontId="4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wrapText="1"/>
    </xf>
    <xf numFmtId="4" fontId="0" fillId="0" borderId="1" xfId="0" applyNumberFormat="1" applyFill="1" applyBorder="1"/>
    <xf numFmtId="4" fontId="0" fillId="7" borderId="1" xfId="0" applyNumberFormat="1" applyFill="1" applyBorder="1"/>
    <xf numFmtId="43" fontId="8" fillId="6" borderId="0" xfId="0" applyNumberFormat="1" applyFont="1" applyFill="1"/>
    <xf numFmtId="0" fontId="0" fillId="0" borderId="0" xfId="0" applyFont="1"/>
    <xf numFmtId="0" fontId="4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0" fontId="17" fillId="0" borderId="19" xfId="0" applyFont="1" applyBorder="1" applyAlignment="1">
      <alignment horizontal="left" vertical="center"/>
    </xf>
    <xf numFmtId="0" fontId="18" fillId="0" borderId="20" xfId="0" applyFont="1" applyBorder="1"/>
    <xf numFmtId="4" fontId="18" fillId="0" borderId="21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0" fontId="17" fillId="0" borderId="18" xfId="0" applyFont="1" applyBorder="1" applyAlignment="1">
      <alignment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8" fillId="0" borderId="22" xfId="0" applyFont="1" applyBorder="1" applyAlignment="1">
      <alignment horizontal="left" indent="1"/>
    </xf>
    <xf numFmtId="4" fontId="18" fillId="0" borderId="23" xfId="0" applyNumberFormat="1" applyFont="1" applyBorder="1"/>
  </cellXfs>
  <cellStyles count="3">
    <cellStyle name="Comma" xfId="2" builtinId="3"/>
    <cellStyle name="Normal" xfId="0" builtinId="0"/>
    <cellStyle name="Normal 3 5 4" xfId="1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51460" y="91440"/>
          <a:ext cx="2023067" cy="34176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8828\Downloads\BS%20-%20Paralelos%20Template2%20Dez24_v1.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s granulares"/>
      <sheetName val="Variação Absoluta"/>
      <sheetName val="Variação Percentual (pp)"/>
      <sheetName val="Input &gt;&gt;"/>
      <sheetName val="Paralelo"/>
      <sheetName val="Dez2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showGridLines="0" topLeftCell="A8" workbookViewId="0">
      <selection activeCell="D14" sqref="D14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1.5546875" customWidth="1"/>
    <col min="5" max="5" width="3.6640625" style="45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4" customFormat="1" x14ac:dyDescent="0.3">
      <c r="E7" s="45"/>
    </row>
    <row r="8" spans="1:5" s="44" customFormat="1" x14ac:dyDescent="0.3">
      <c r="B8" s="46" t="s">
        <v>63</v>
      </c>
      <c r="C8" s="47" t="s">
        <v>64</v>
      </c>
      <c r="D8" s="48" t="s">
        <v>65</v>
      </c>
      <c r="E8" s="45"/>
    </row>
    <row r="9" spans="1:5" s="44" customFormat="1" x14ac:dyDescent="0.3">
      <c r="B9" s="49" t="s">
        <v>67</v>
      </c>
      <c r="C9" s="50" t="s">
        <v>78</v>
      </c>
      <c r="D9" s="51">
        <v>176678005.43104899</v>
      </c>
      <c r="E9" s="45"/>
    </row>
    <row r="10" spans="1:5" s="44" customFormat="1" x14ac:dyDescent="0.3">
      <c r="B10" s="59" t="s">
        <v>69</v>
      </c>
      <c r="C10" s="52" t="s">
        <v>70</v>
      </c>
      <c r="D10" s="51">
        <v>36330105.700000003</v>
      </c>
      <c r="E10" s="53"/>
    </row>
    <row r="11" spans="1:5" s="44" customFormat="1" x14ac:dyDescent="0.3">
      <c r="B11" s="59" t="s">
        <v>71</v>
      </c>
      <c r="C11" s="52" t="s">
        <v>72</v>
      </c>
      <c r="D11" s="51">
        <v>140347899.731049</v>
      </c>
      <c r="E11" s="53"/>
    </row>
    <row r="12" spans="1:5" s="44" customFormat="1" collapsed="1" x14ac:dyDescent="0.3">
      <c r="B12" s="49" t="s">
        <v>68</v>
      </c>
      <c r="C12" s="50" t="s">
        <v>77</v>
      </c>
      <c r="D12" s="51">
        <v>2346766252.4295998</v>
      </c>
      <c r="E12" s="45"/>
    </row>
    <row r="13" spans="1:5" s="44" customFormat="1" x14ac:dyDescent="0.3">
      <c r="B13" s="59" t="s">
        <v>73</v>
      </c>
      <c r="C13" s="52" t="s">
        <v>75</v>
      </c>
      <c r="D13" s="51">
        <v>390249376.63</v>
      </c>
      <c r="E13" s="45"/>
    </row>
    <row r="14" spans="1:5" s="44" customFormat="1" x14ac:dyDescent="0.3">
      <c r="B14" s="59" t="s">
        <v>74</v>
      </c>
      <c r="C14" s="52" t="s">
        <v>76</v>
      </c>
      <c r="D14" s="51">
        <v>1956516875.7995999</v>
      </c>
      <c r="E14" s="45"/>
    </row>
    <row r="15" spans="1:5" s="44" customFormat="1" collapsed="1" x14ac:dyDescent="0.3">
      <c r="B15" s="59" t="s">
        <v>79</v>
      </c>
      <c r="C15" s="76"/>
      <c r="D15" s="77"/>
      <c r="E15" s="45"/>
    </row>
    <row r="16" spans="1:5" s="44" customFormat="1" x14ac:dyDescent="0.3">
      <c r="B16" s="59"/>
      <c r="C16" s="76"/>
      <c r="D16" s="77"/>
      <c r="E16" s="45"/>
    </row>
    <row r="17" spans="2:5" s="44" customFormat="1" x14ac:dyDescent="0.3">
      <c r="B17" s="59"/>
      <c r="C17" s="76"/>
      <c r="D17" s="77"/>
      <c r="E17" s="45"/>
    </row>
    <row r="18" spans="2:5" s="44" customFormat="1" x14ac:dyDescent="0.3">
      <c r="B18" s="59"/>
      <c r="C18" s="76"/>
      <c r="D18" s="77"/>
      <c r="E18" s="45"/>
    </row>
    <row r="19" spans="2:5" s="44" customFormat="1" x14ac:dyDescent="0.3">
      <c r="B19" s="59"/>
      <c r="C19" s="76"/>
      <c r="D19" s="77"/>
      <c r="E19" s="45"/>
    </row>
    <row r="20" spans="2:5" s="44" customFormat="1" x14ac:dyDescent="0.3">
      <c r="B20" s="59"/>
      <c r="C20" s="76"/>
      <c r="D20" s="77"/>
      <c r="E20" s="45"/>
    </row>
    <row r="21" spans="2:5" s="44" customFormat="1" x14ac:dyDescent="0.3">
      <c r="B21" s="59"/>
      <c r="C21" s="76"/>
      <c r="D21" s="77"/>
      <c r="E21" s="45"/>
    </row>
    <row r="22" spans="2:5" s="44" customFormat="1" x14ac:dyDescent="0.3">
      <c r="B22" s="59"/>
      <c r="C22" s="76"/>
      <c r="D22" s="77"/>
      <c r="E22" s="45"/>
    </row>
    <row r="23" spans="2:5" s="44" customFormat="1" x14ac:dyDescent="0.3">
      <c r="B23" s="59"/>
      <c r="C23" s="76"/>
      <c r="D23" s="77"/>
      <c r="E23" s="45"/>
    </row>
    <row r="24" spans="2:5" s="44" customFormat="1" x14ac:dyDescent="0.3">
      <c r="B24" s="59"/>
      <c r="C24" s="76"/>
      <c r="D24" s="77"/>
      <c r="E24" s="45"/>
    </row>
    <row r="25" spans="2:5" s="44" customFormat="1" x14ac:dyDescent="0.3">
      <c r="B25" s="59"/>
      <c r="C25" s="76"/>
      <c r="D25" s="77"/>
      <c r="E25" s="45"/>
    </row>
    <row r="26" spans="2:5" s="44" customFormat="1" x14ac:dyDescent="0.3">
      <c r="B26" s="59"/>
      <c r="C26" s="76"/>
      <c r="D26" s="77"/>
      <c r="E26" s="45"/>
    </row>
    <row r="27" spans="2:5" s="44" customFormat="1" x14ac:dyDescent="0.3">
      <c r="B27" s="59"/>
      <c r="C27" s="76"/>
      <c r="D27" s="77"/>
      <c r="E27" s="45"/>
    </row>
    <row r="28" spans="2:5" s="44" customFormat="1" x14ac:dyDescent="0.3">
      <c r="B28" s="59"/>
      <c r="C28" s="76"/>
      <c r="D28" s="77"/>
      <c r="E28" s="45"/>
    </row>
    <row r="29" spans="2:5" s="44" customFormat="1" x14ac:dyDescent="0.3">
      <c r="B29" s="59"/>
      <c r="C29" s="76"/>
      <c r="D29" s="77"/>
      <c r="E29" s="45"/>
    </row>
    <row r="30" spans="2:5" s="44" customFormat="1" x14ac:dyDescent="0.3">
      <c r="B30" s="59"/>
      <c r="C30" s="76"/>
      <c r="D30" s="77"/>
      <c r="E30" s="45"/>
    </row>
    <row r="31" spans="2:5" s="44" customFormat="1" x14ac:dyDescent="0.3">
      <c r="B31" s="59"/>
      <c r="C31" s="76"/>
      <c r="D31" s="77"/>
      <c r="E31" s="45"/>
    </row>
    <row r="32" spans="2:5" s="44" customFormat="1" x14ac:dyDescent="0.3">
      <c r="B32" s="59"/>
      <c r="C32" s="76"/>
      <c r="D32" s="77"/>
      <c r="E32" s="45"/>
    </row>
    <row r="33" spans="1:5" s="44" customFormat="1" x14ac:dyDescent="0.3">
      <c r="B33" s="59"/>
      <c r="C33" s="76"/>
      <c r="D33" s="77"/>
      <c r="E33" s="45"/>
    </row>
    <row r="34" spans="1:5" s="44" customFormat="1" x14ac:dyDescent="0.3">
      <c r="B34" s="59"/>
      <c r="C34" s="76"/>
      <c r="D34" s="77"/>
      <c r="E34" s="45"/>
    </row>
    <row r="35" spans="1:5" s="44" customFormat="1" x14ac:dyDescent="0.3">
      <c r="B35" s="59"/>
      <c r="C35" s="76"/>
      <c r="D35" s="77"/>
      <c r="E35" s="45"/>
    </row>
    <row r="36" spans="1:5" s="44" customFormat="1" x14ac:dyDescent="0.3">
      <c r="B36" s="59"/>
      <c r="C36" s="76"/>
      <c r="D36" s="77"/>
      <c r="E36" s="45"/>
    </row>
    <row r="37" spans="1:5" s="44" customFormat="1" x14ac:dyDescent="0.3">
      <c r="B37" s="59"/>
      <c r="C37" s="76"/>
      <c r="D37" s="77"/>
      <c r="E37" s="45"/>
    </row>
    <row r="38" spans="1:5" s="44" customFormat="1" x14ac:dyDescent="0.3">
      <c r="B38" s="59"/>
      <c r="C38" s="76"/>
      <c r="D38" s="77"/>
      <c r="E38" s="45"/>
    </row>
    <row r="39" spans="1:5" s="44" customFormat="1" x14ac:dyDescent="0.3">
      <c r="B39" s="59"/>
      <c r="C39" s="76"/>
      <c r="D39" s="77"/>
      <c r="E39" s="45"/>
    </row>
    <row r="40" spans="1:5" s="44" customFormat="1" x14ac:dyDescent="0.3">
      <c r="B40" s="59"/>
      <c r="C40" s="76"/>
      <c r="D40" s="77"/>
      <c r="E40" s="45"/>
    </row>
    <row r="41" spans="1:5" s="44" customFormat="1" x14ac:dyDescent="0.3">
      <c r="B41" s="59"/>
      <c r="C41" s="76"/>
      <c r="D41" s="77"/>
      <c r="E41" s="45"/>
    </row>
    <row r="42" spans="1:5" s="44" customFormat="1" x14ac:dyDescent="0.3">
      <c r="B42" s="59"/>
      <c r="C42" s="76"/>
      <c r="D42" s="77"/>
      <c r="E42" s="45"/>
    </row>
    <row r="43" spans="1:5" s="44" customFormat="1" x14ac:dyDescent="0.3">
      <c r="B43" s="54"/>
      <c r="C43" s="55"/>
      <c r="D43" s="56"/>
      <c r="E43" s="45"/>
    </row>
    <row r="44" spans="1:5" hidden="1" x14ac:dyDescent="0.3">
      <c r="A44" t="s">
        <v>66</v>
      </c>
      <c r="B44" s="57"/>
      <c r="C44" s="57"/>
      <c r="D44" s="58"/>
    </row>
    <row r="45" spans="1:5" hidden="1" x14ac:dyDescent="0.3"/>
    <row r="46" spans="1:5" hidden="1" x14ac:dyDescent="0.3"/>
    <row r="47" spans="1:5" ht="14.4" hidden="1" customHeight="1" x14ac:dyDescent="0.3"/>
    <row r="48" spans="1:5" ht="14.4" hidden="1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customHeight="1" x14ac:dyDescent="0.3"/>
    <row r="101" ht="14.4" customHeight="1" x14ac:dyDescent="0.3"/>
    <row r="102" ht="14.4" customHeight="1" x14ac:dyDescent="0.3"/>
    <row r="103" ht="14.4" customHeight="1" x14ac:dyDescent="0.3"/>
    <row r="104" ht="14.4" customHeight="1" x14ac:dyDescent="0.3"/>
    <row r="105" ht="14.4" customHeight="1" x14ac:dyDescent="0.3"/>
    <row r="106" ht="14.4" customHeight="1" x14ac:dyDescent="0.3"/>
    <row r="107" ht="14.4" customHeight="1" x14ac:dyDescent="0.3"/>
    <row r="108" ht="14.4" customHeight="1" x14ac:dyDescent="0.3"/>
    <row r="109" ht="14.4" customHeight="1" x14ac:dyDescent="0.3"/>
    <row r="110" ht="14.4" customHeight="1" x14ac:dyDescent="0.3"/>
    <row r="111" ht="14.4" customHeight="1" x14ac:dyDescent="0.3"/>
    <row r="112" ht="14.4" customHeight="1" x14ac:dyDescent="0.3"/>
    <row r="113" ht="14.4" customHeight="1" x14ac:dyDescent="0.3"/>
    <row r="114" ht="14.4" customHeight="1" x14ac:dyDescent="0.3"/>
    <row r="115" ht="14.4" customHeight="1" x14ac:dyDescent="0.3"/>
    <row r="116" ht="14.4" customHeight="1" x14ac:dyDescent="0.3"/>
    <row r="117" ht="14.4" customHeight="1" x14ac:dyDescent="0.3"/>
    <row r="118" ht="14.4" customHeight="1" x14ac:dyDescent="0.3"/>
    <row r="119" ht="14.4" customHeight="1" x14ac:dyDescent="0.3"/>
    <row r="120" ht="14.4" customHeight="1" x14ac:dyDescent="0.3"/>
    <row r="121" ht="14.4" customHeight="1" x14ac:dyDescent="0.3"/>
    <row r="122" ht="14.4" customHeight="1" x14ac:dyDescent="0.3"/>
    <row r="123" ht="14.4" customHeight="1" x14ac:dyDescent="0.3"/>
    <row r="124" ht="14.4" customHeight="1" x14ac:dyDescent="0.3"/>
    <row r="125" ht="14.4" customHeight="1" x14ac:dyDescent="0.3"/>
    <row r="126" ht="14.4" customHeight="1" x14ac:dyDescent="0.3"/>
    <row r="127" ht="14.4" customHeight="1" x14ac:dyDescent="0.3"/>
    <row r="128" ht="14.4" customHeight="1" x14ac:dyDescent="0.3"/>
    <row r="129" ht="14.4" customHeight="1" x14ac:dyDescent="0.3"/>
    <row r="130" ht="14.4" customHeight="1" x14ac:dyDescent="0.3"/>
    <row r="131" ht="14.4" customHeight="1" x14ac:dyDescent="0.3"/>
    <row r="132" ht="14.4" hidden="1" customHeight="1" x14ac:dyDescent="0.3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26"/>
  <sheetViews>
    <sheetView showGridLines="0" tabSelected="1" topLeftCell="A7" zoomScale="90" zoomScaleNormal="90" workbookViewId="0">
      <pane xSplit="2" topLeftCell="E1" activePane="topRight" state="frozen"/>
      <selection pane="topRight" activeCell="G16" sqref="G16"/>
    </sheetView>
  </sheetViews>
  <sheetFormatPr defaultColWidth="0" defaultRowHeight="14.4" zeroHeight="1" outlineLevelRow="1" x14ac:dyDescent="0.3"/>
  <cols>
    <col min="1" max="1" width="3.6640625" customWidth="1"/>
    <col min="2" max="2" width="83.33203125" customWidth="1"/>
    <col min="3" max="4" width="9.88671875" bestFit="1" customWidth="1"/>
    <col min="5" max="5" width="9.44140625" bestFit="1" customWidth="1"/>
    <col min="6" max="7" width="8.6640625" bestFit="1" customWidth="1"/>
    <col min="8" max="8" width="9.33203125" bestFit="1" customWidth="1"/>
    <col min="9" max="10" width="8.6640625" bestFit="1" customWidth="1"/>
    <col min="11" max="11" width="7.77734375" bestFit="1" customWidth="1"/>
    <col min="12" max="17" width="8.6640625" bestFit="1" customWidth="1"/>
    <col min="18" max="20" width="8.6640625" customWidth="1"/>
    <col min="21" max="22" width="8.6640625" bestFit="1" customWidth="1"/>
    <col min="23" max="23" width="9.33203125" bestFit="1" customWidth="1"/>
    <col min="24" max="25" width="9.88671875" bestFit="1" customWidth="1"/>
    <col min="26" max="26" width="9.6640625" bestFit="1" customWidth="1"/>
    <col min="27" max="44" width="8.6640625" customWidth="1"/>
    <col min="45" max="45" width="3.6640625" customWidth="1"/>
    <col min="46" max="51" width="0" hidden="1" customWidth="1"/>
    <col min="52" max="16384" width="9.109375" hidden="1"/>
  </cols>
  <sheetData>
    <row r="1" spans="1:45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3"/>
    <row r="8" spans="1:45" ht="57.6" x14ac:dyDescent="0.3">
      <c r="C8" s="34" t="s">
        <v>1</v>
      </c>
      <c r="D8" s="35"/>
      <c r="E8" s="35"/>
      <c r="F8" s="34" t="s">
        <v>28</v>
      </c>
      <c r="G8" s="35"/>
      <c r="H8" s="35"/>
      <c r="I8" s="34" t="s">
        <v>29</v>
      </c>
      <c r="J8" s="35"/>
      <c r="K8" s="35"/>
      <c r="L8" s="34" t="s">
        <v>30</v>
      </c>
      <c r="M8" s="35"/>
      <c r="N8" s="35"/>
      <c r="O8" s="34" t="s">
        <v>31</v>
      </c>
      <c r="P8" s="35"/>
      <c r="Q8" s="35"/>
      <c r="R8" s="39" t="s">
        <v>32</v>
      </c>
      <c r="S8" s="38"/>
      <c r="T8" s="38"/>
      <c r="U8" s="37" t="s">
        <v>2</v>
      </c>
      <c r="V8" s="38"/>
      <c r="W8" s="38"/>
      <c r="X8" s="37" t="s">
        <v>3</v>
      </c>
      <c r="Y8" s="38"/>
      <c r="Z8" s="38"/>
      <c r="AA8" s="37" t="s">
        <v>4</v>
      </c>
      <c r="AB8" s="35"/>
      <c r="AC8" s="35"/>
      <c r="AD8" s="39" t="s">
        <v>5</v>
      </c>
      <c r="AE8" s="39"/>
      <c r="AF8" s="38"/>
      <c r="AG8" s="39" t="s">
        <v>6</v>
      </c>
      <c r="AH8" s="39"/>
      <c r="AI8" s="38"/>
      <c r="AJ8" s="36" t="s">
        <v>7</v>
      </c>
      <c r="AK8" s="36"/>
      <c r="AL8" s="35"/>
      <c r="AM8" s="39" t="s">
        <v>8</v>
      </c>
      <c r="AN8" s="39"/>
      <c r="AO8" s="38"/>
      <c r="AP8" s="39" t="s">
        <v>9</v>
      </c>
      <c r="AQ8" s="39"/>
      <c r="AR8" s="38"/>
    </row>
    <row r="9" spans="1:45" x14ac:dyDescent="0.3">
      <c r="B9" s="5" t="s">
        <v>10</v>
      </c>
      <c r="C9" s="13">
        <v>45627</v>
      </c>
      <c r="D9" s="13">
        <v>45778</v>
      </c>
      <c r="E9" s="12" t="s">
        <v>0</v>
      </c>
      <c r="F9" s="13">
        <v>45627</v>
      </c>
      <c r="G9" s="13">
        <v>45778</v>
      </c>
      <c r="H9" s="12" t="s">
        <v>0</v>
      </c>
      <c r="I9" s="13">
        <v>45627</v>
      </c>
      <c r="J9" s="13">
        <v>45778</v>
      </c>
      <c r="K9" s="12" t="s">
        <v>0</v>
      </c>
      <c r="L9" s="13">
        <v>45627</v>
      </c>
      <c r="M9" s="13">
        <v>45778</v>
      </c>
      <c r="N9" s="12" t="s">
        <v>0</v>
      </c>
      <c r="O9" s="13">
        <v>45627</v>
      </c>
      <c r="P9" s="13">
        <v>45778</v>
      </c>
      <c r="Q9" s="12" t="s">
        <v>0</v>
      </c>
      <c r="R9" s="13">
        <v>45627</v>
      </c>
      <c r="S9" s="13">
        <v>45778</v>
      </c>
      <c r="T9" s="12" t="s">
        <v>0</v>
      </c>
      <c r="U9" s="13">
        <v>45627</v>
      </c>
      <c r="V9" s="13">
        <v>45778</v>
      </c>
      <c r="W9" s="12" t="s">
        <v>0</v>
      </c>
      <c r="X9" s="13">
        <v>45627</v>
      </c>
      <c r="Y9" s="13">
        <v>45778</v>
      </c>
      <c r="Z9" s="12" t="s">
        <v>0</v>
      </c>
      <c r="AA9" s="13">
        <v>45627</v>
      </c>
      <c r="AB9" s="13">
        <v>45778</v>
      </c>
      <c r="AC9" s="12" t="s">
        <v>0</v>
      </c>
      <c r="AD9" s="13">
        <v>45627</v>
      </c>
      <c r="AE9" s="13">
        <v>45778</v>
      </c>
      <c r="AF9" s="12" t="s">
        <v>0</v>
      </c>
      <c r="AG9" s="13">
        <v>45627</v>
      </c>
      <c r="AH9" s="13">
        <v>45778</v>
      </c>
      <c r="AI9" s="12" t="s">
        <v>0</v>
      </c>
      <c r="AJ9" s="13">
        <v>45627</v>
      </c>
      <c r="AK9" s="13">
        <v>45778</v>
      </c>
      <c r="AL9" s="12" t="s">
        <v>0</v>
      </c>
      <c r="AM9" s="13">
        <v>45627</v>
      </c>
      <c r="AN9" s="13">
        <v>45778</v>
      </c>
      <c r="AO9" s="12" t="s">
        <v>0</v>
      </c>
      <c r="AP9" s="13">
        <v>45627</v>
      </c>
      <c r="AQ9" s="13">
        <v>45778</v>
      </c>
      <c r="AR9" s="12" t="s">
        <v>0</v>
      </c>
    </row>
    <row r="10" spans="1:45" x14ac:dyDescent="0.3">
      <c r="B10" s="14" t="s">
        <v>12</v>
      </c>
      <c r="C10" s="16">
        <f>+'Dez24'!D15</f>
        <v>331.59960899999999</v>
      </c>
      <c r="D10" s="16">
        <f>Paralelo!D15</f>
        <v>331.599627</v>
      </c>
      <c r="E10" s="16">
        <f t="shared" ref="E10:E24" si="0">D10-C10</f>
        <v>1.8000000011397788E-5</v>
      </c>
      <c r="F10" s="16">
        <f>'Dez24'!E15</f>
        <v>155.16153299999999</v>
      </c>
      <c r="G10" s="16">
        <f>Paralelo!E15</f>
        <v>18.782903999999998</v>
      </c>
      <c r="H10" s="16">
        <f>G10-F10</f>
        <v>-136.37862899999999</v>
      </c>
      <c r="I10" s="16">
        <f>'Dez24'!F15</f>
        <v>24.189874</v>
      </c>
      <c r="J10" s="16">
        <f>Paralelo!F15</f>
        <v>29.995381999999999</v>
      </c>
      <c r="K10" s="16">
        <f>J10-I10</f>
        <v>5.8055079999999997</v>
      </c>
      <c r="L10" s="16">
        <f>'Dez24'!G15</f>
        <v>4.6835000000000004</v>
      </c>
      <c r="M10" s="16">
        <f>Paralelo!G15</f>
        <v>51.553634000000002</v>
      </c>
      <c r="N10" s="16">
        <f>M10-L10</f>
        <v>46.870134</v>
      </c>
      <c r="O10" s="16">
        <f>'Dez24'!H15</f>
        <v>0</v>
      </c>
      <c r="P10" s="16">
        <f>Paralelo!H15</f>
        <v>0</v>
      </c>
      <c r="Q10" s="16">
        <f>P10-O10</f>
        <v>0</v>
      </c>
      <c r="R10" s="16">
        <f>'Dez24'!I15</f>
        <v>4</v>
      </c>
      <c r="S10" s="16">
        <f>Paralelo!I15</f>
        <v>10</v>
      </c>
      <c r="T10" s="16">
        <f>S10-R10</f>
        <v>6</v>
      </c>
      <c r="U10" s="16">
        <f>'Dez24'!J15</f>
        <v>177.514757</v>
      </c>
      <c r="V10" s="16">
        <f>Paralelo!J15</f>
        <v>99.654561999999999</v>
      </c>
      <c r="W10" s="16">
        <f t="shared" ref="W10:W25" si="1">V10-U10</f>
        <v>-77.860195000000004</v>
      </c>
      <c r="X10" s="16">
        <f>'Dez24'!K15</f>
        <v>0.102603</v>
      </c>
      <c r="Y10" s="16">
        <f>Paralelo!K15</f>
        <v>0</v>
      </c>
      <c r="Z10" s="16">
        <f t="shared" ref="Z10:Z25" si="2">Y10-X10</f>
        <v>-0.102603</v>
      </c>
      <c r="AA10" s="16">
        <f>'Dez24'!L15</f>
        <v>6.4175469999999999</v>
      </c>
      <c r="AB10" s="16">
        <f>Paralelo!L15</f>
        <v>0.67735800000000002</v>
      </c>
      <c r="AC10" s="16">
        <f>AB10-AA10</f>
        <v>-5.740189</v>
      </c>
      <c r="AD10" s="18">
        <f>'Dez24'!M15</f>
        <v>25.000008999999999</v>
      </c>
      <c r="AE10" s="18">
        <f>Paralelo!M15</f>
        <v>4.3650080000000004</v>
      </c>
      <c r="AF10" s="16">
        <f t="shared" ref="AF10:AF25" si="3">AE10-AD10</f>
        <v>-20.635000999999999</v>
      </c>
      <c r="AG10" s="18">
        <f>'Dez24'!N15</f>
        <v>22.63617</v>
      </c>
      <c r="AH10" s="18">
        <f>Paralelo!N15</f>
        <v>1.0167759999999999</v>
      </c>
      <c r="AI10" s="16">
        <f>AH10-AG10</f>
        <v>-21.619394</v>
      </c>
      <c r="AJ10" s="16">
        <f>'Dez24'!O15</f>
        <v>-4.7927090000000003</v>
      </c>
      <c r="AK10" s="16">
        <f>Paralelo!O15</f>
        <v>-0.68246399999999996</v>
      </c>
      <c r="AL10" s="16">
        <f t="shared" ref="AL10:AL25" si="4">AK10-AJ10</f>
        <v>4.1102450000000008</v>
      </c>
      <c r="AM10" s="18">
        <f>'Dez24'!P15</f>
        <v>-1.2576830000000001</v>
      </c>
      <c r="AN10" s="18">
        <f>Paralelo!P15</f>
        <v>-0.21757000000000001</v>
      </c>
      <c r="AO10" s="16">
        <f>AN10-AM10</f>
        <v>1.0401130000000001</v>
      </c>
      <c r="AP10" s="18">
        <f>'Dez24'!Q15</f>
        <v>-3.0220790000000002</v>
      </c>
      <c r="AQ10" s="18">
        <f>Paralelo!Q15</f>
        <v>-0.314496</v>
      </c>
      <c r="AR10" s="16">
        <f>AQ10-AP10</f>
        <v>2.7075830000000001</v>
      </c>
    </row>
    <row r="11" spans="1:45" x14ac:dyDescent="0.3">
      <c r="B11" s="14" t="s">
        <v>13</v>
      </c>
      <c r="C11" s="16">
        <f>+'Dez24'!D16</f>
        <v>14.172371</v>
      </c>
      <c r="D11" s="16">
        <f>Paralelo!D16</f>
        <v>14.172404999999999</v>
      </c>
      <c r="E11" s="16">
        <f t="shared" si="0"/>
        <v>3.399999999942338E-5</v>
      </c>
      <c r="F11" s="16">
        <f>'Dez24'!E16</f>
        <v>11.577541999999999</v>
      </c>
      <c r="G11" s="16">
        <f>Paralelo!E16</f>
        <v>0.77974200000000005</v>
      </c>
      <c r="H11" s="16">
        <f t="shared" ref="H11:H24" si="5">G11-F11</f>
        <v>-10.797799999999999</v>
      </c>
      <c r="I11" s="16">
        <f>'Dez24'!F16</f>
        <v>0.52364699999999997</v>
      </c>
      <c r="J11" s="16">
        <f>Paralelo!F16</f>
        <v>0.57605399999999995</v>
      </c>
      <c r="K11" s="16">
        <f t="shared" ref="K11:K24" si="6">J11-I11</f>
        <v>5.2406999999999981E-2</v>
      </c>
      <c r="L11" s="16">
        <f>'Dez24'!G16</f>
        <v>0</v>
      </c>
      <c r="M11" s="16">
        <f>Paralelo!G16</f>
        <v>0</v>
      </c>
      <c r="N11" s="16">
        <f t="shared" ref="N11:N24" si="7">M11-L11</f>
        <v>0</v>
      </c>
      <c r="O11" s="16">
        <f>'Dez24'!H16</f>
        <v>0</v>
      </c>
      <c r="P11" s="16">
        <f>Paralelo!H16</f>
        <v>0</v>
      </c>
      <c r="Q11" s="16">
        <f t="shared" ref="Q11:Q24" si="8">P11-O11</f>
        <v>0</v>
      </c>
      <c r="R11" s="16">
        <f>'Dez24'!I16</f>
        <v>3</v>
      </c>
      <c r="S11" s="16">
        <f>Paralelo!I16</f>
        <v>4</v>
      </c>
      <c r="T11" s="16">
        <f t="shared" ref="T11:T24" si="9">S11-R11</f>
        <v>1</v>
      </c>
      <c r="U11" s="16">
        <f>'Dez24'!J16</f>
        <v>12.101189</v>
      </c>
      <c r="V11" s="16">
        <f>Paralelo!J16</f>
        <v>1.355796</v>
      </c>
      <c r="W11" s="41">
        <f t="shared" si="1"/>
        <v>-10.745393</v>
      </c>
      <c r="X11" s="16">
        <f>'Dez24'!K16</f>
        <v>0</v>
      </c>
      <c r="Y11" s="16">
        <f>Paralelo!K16</f>
        <v>0</v>
      </c>
      <c r="Z11" s="16">
        <f t="shared" si="2"/>
        <v>0</v>
      </c>
      <c r="AA11" s="16">
        <f>'Dez24'!L16</f>
        <v>0</v>
      </c>
      <c r="AB11" s="16">
        <f>Paralelo!L16</f>
        <v>0</v>
      </c>
      <c r="AC11" s="16">
        <f t="shared" ref="AC11:AC24" si="10">AB11-AA11</f>
        <v>0</v>
      </c>
      <c r="AD11" s="18">
        <f>'Dez24'!M16</f>
        <v>1.9282250000000001</v>
      </c>
      <c r="AE11" s="18">
        <f>Paralelo!M16</f>
        <v>9.9999999999999995E-7</v>
      </c>
      <c r="AF11" s="16">
        <f t="shared" si="3"/>
        <v>-1.9282240000000002</v>
      </c>
      <c r="AG11" s="18">
        <f>'Dez24'!N16</f>
        <v>1.5924640000000001</v>
      </c>
      <c r="AH11" s="18">
        <f>Paralelo!N16</f>
        <v>0.77019700000000002</v>
      </c>
      <c r="AI11" s="16">
        <f t="shared" ref="AI11:AI25" si="11">AH11-AG11</f>
        <v>-0.82226700000000008</v>
      </c>
      <c r="AJ11" s="16">
        <f>'Dez24'!O16</f>
        <v>-1.2004140000000001</v>
      </c>
      <c r="AK11" s="16">
        <f>Paralelo!O16</f>
        <v>-0.19980200000000001</v>
      </c>
      <c r="AL11" s="16">
        <f t="shared" si="4"/>
        <v>1.0006120000000001</v>
      </c>
      <c r="AM11" s="18">
        <f>'Dez24'!P16</f>
        <v>-0.101775</v>
      </c>
      <c r="AN11" s="18">
        <f>Paralelo!P16</f>
        <v>0</v>
      </c>
      <c r="AO11" s="16">
        <f t="shared" ref="AO11:AO24" si="12">AN11-AM11</f>
        <v>0.101775</v>
      </c>
      <c r="AP11" s="18">
        <f>'Dez24'!Q16</f>
        <v>-1.068163</v>
      </c>
      <c r="AQ11" s="18">
        <f>Paralelo!Q16</f>
        <v>-0.198244</v>
      </c>
      <c r="AR11" s="16">
        <f t="shared" ref="AR11:AR24" si="13">AQ11-AP11</f>
        <v>0.869919</v>
      </c>
    </row>
    <row r="12" spans="1:45" x14ac:dyDescent="0.3">
      <c r="B12" s="14" t="s">
        <v>14</v>
      </c>
      <c r="C12" s="41">
        <f>+'Dez24'!D17</f>
        <v>2226.1042400000001</v>
      </c>
      <c r="D12" s="41">
        <f>Paralelo!D17</f>
        <v>2088.2509749999999</v>
      </c>
      <c r="E12" s="42">
        <f t="shared" si="0"/>
        <v>-137.85326500000019</v>
      </c>
      <c r="F12" s="41">
        <f>'Dez24'!E17</f>
        <v>1042.574801</v>
      </c>
      <c r="G12" s="41">
        <f>Paralelo!E17</f>
        <v>21.799776999999999</v>
      </c>
      <c r="H12" s="42">
        <f t="shared" si="5"/>
        <v>-1020.775024</v>
      </c>
      <c r="I12" s="16">
        <f>'Dez24'!F17</f>
        <v>44.035376999999997</v>
      </c>
      <c r="J12" s="16">
        <f>Paralelo!F17</f>
        <v>38.473025999999997</v>
      </c>
      <c r="K12" s="16">
        <f t="shared" si="6"/>
        <v>-5.5623509999999996</v>
      </c>
      <c r="L12" s="16">
        <f>'Dez24'!G17</f>
        <v>15.754056</v>
      </c>
      <c r="M12" s="16">
        <f>Paralelo!G17</f>
        <v>18.556920999999999</v>
      </c>
      <c r="N12" s="16">
        <f t="shared" si="7"/>
        <v>2.8028649999999988</v>
      </c>
      <c r="O12" s="16">
        <f>'Dez24'!H17</f>
        <v>0</v>
      </c>
      <c r="P12" s="16">
        <f>Paralelo!H17</f>
        <v>0</v>
      </c>
      <c r="Q12" s="16">
        <f t="shared" si="8"/>
        <v>0</v>
      </c>
      <c r="R12" s="16">
        <f>'Dez24'!I17</f>
        <v>3</v>
      </c>
      <c r="S12" s="16">
        <f>Paralelo!I17</f>
        <v>8</v>
      </c>
      <c r="T12" s="16">
        <f t="shared" si="9"/>
        <v>5</v>
      </c>
      <c r="U12" s="16">
        <f>'Dez24'!J17</f>
        <v>1080.7706639999999</v>
      </c>
      <c r="V12" s="16">
        <f>Paralelo!J17</f>
        <v>74.579847999999998</v>
      </c>
      <c r="W12" s="42">
        <f t="shared" si="1"/>
        <v>-1006.1908159999999</v>
      </c>
      <c r="X12" s="16">
        <f>'Dez24'!K17</f>
        <v>5.7703810000000004</v>
      </c>
      <c r="Y12" s="16">
        <f>Paralelo!K17</f>
        <v>1.5936669999999999</v>
      </c>
      <c r="Z12" s="16">
        <f t="shared" si="2"/>
        <v>-4.1767140000000005</v>
      </c>
      <c r="AA12" s="16">
        <f>'Dez24'!L17</f>
        <v>15.823188999999999</v>
      </c>
      <c r="AB12" s="16">
        <f>Paralelo!L17</f>
        <v>2.656209</v>
      </c>
      <c r="AC12" s="16">
        <f t="shared" si="10"/>
        <v>-13.166979999999999</v>
      </c>
      <c r="AD12" s="18">
        <f>'Dez24'!M17</f>
        <v>129.84300999999999</v>
      </c>
      <c r="AE12" s="18">
        <f>Paralelo!M17</f>
        <v>13.923206</v>
      </c>
      <c r="AF12" s="16">
        <f t="shared" si="3"/>
        <v>-115.919804</v>
      </c>
      <c r="AG12" s="18">
        <f>'Dez24'!N17</f>
        <v>36.092692999999997</v>
      </c>
      <c r="AH12" s="18">
        <f>Paralelo!N17</f>
        <v>5.4356580000000001</v>
      </c>
      <c r="AI12" s="16">
        <f t="shared" si="11"/>
        <v>-30.657034999999997</v>
      </c>
      <c r="AJ12" s="16">
        <f>'Dez24'!O17</f>
        <v>-34.118223</v>
      </c>
      <c r="AK12" s="16">
        <f>Paralelo!O17</f>
        <v>-3.7293859999999999</v>
      </c>
      <c r="AL12" s="16">
        <f t="shared" si="4"/>
        <v>30.388837000000002</v>
      </c>
      <c r="AM12" s="18">
        <f>'Dez24'!P17</f>
        <v>-6.3283339999999999</v>
      </c>
      <c r="AN12" s="18">
        <f>Paralelo!P17</f>
        <v>-0.74670700000000001</v>
      </c>
      <c r="AO12" s="16">
        <f t="shared" si="12"/>
        <v>5.5816270000000001</v>
      </c>
      <c r="AP12" s="18">
        <f>'Dez24'!Q17</f>
        <v>-24.740666000000001</v>
      </c>
      <c r="AQ12" s="18">
        <f>Paralelo!Q17</f>
        <v>-2.8424659999999999</v>
      </c>
      <c r="AR12" s="16">
        <f t="shared" si="13"/>
        <v>21.898200000000003</v>
      </c>
    </row>
    <row r="13" spans="1:45" x14ac:dyDescent="0.3">
      <c r="B13" s="14" t="s">
        <v>15</v>
      </c>
      <c r="C13" s="41">
        <f>+'Dez24'!D18</f>
        <v>526.82284200000004</v>
      </c>
      <c r="D13" s="41">
        <f>Paralelo!D18</f>
        <v>656.07860900000003</v>
      </c>
      <c r="E13" s="42">
        <f t="shared" si="0"/>
        <v>129.25576699999999</v>
      </c>
      <c r="F13" s="41">
        <f>'Dez24'!E18</f>
        <v>277.05861700000003</v>
      </c>
      <c r="G13" s="41">
        <f>Paralelo!E18</f>
        <v>0.84249700000000005</v>
      </c>
      <c r="H13" s="41">
        <f t="shared" si="5"/>
        <v>-276.21612000000005</v>
      </c>
      <c r="I13" s="16">
        <f>'Dez24'!F18</f>
        <v>139.37534400000001</v>
      </c>
      <c r="J13" s="16">
        <f>Paralelo!F18</f>
        <v>0</v>
      </c>
      <c r="K13" s="16">
        <f t="shared" si="6"/>
        <v>-139.37534400000001</v>
      </c>
      <c r="L13" s="16">
        <f>'Dez24'!G18</f>
        <v>34.989387000000001</v>
      </c>
      <c r="M13" s="16">
        <f>Paralelo!G18</f>
        <v>0</v>
      </c>
      <c r="N13" s="16">
        <f t="shared" si="7"/>
        <v>-34.989387000000001</v>
      </c>
      <c r="O13" s="16">
        <f>'Dez24'!H18</f>
        <v>0</v>
      </c>
      <c r="P13" s="16">
        <f>Paralelo!H18</f>
        <v>0</v>
      </c>
      <c r="Q13" s="16">
        <f t="shared" si="8"/>
        <v>0</v>
      </c>
      <c r="R13" s="16">
        <f>'Dez24'!I18</f>
        <v>4</v>
      </c>
      <c r="S13" s="16">
        <f>Paralelo!I18</f>
        <v>4</v>
      </c>
      <c r="T13" s="16">
        <f t="shared" si="9"/>
        <v>0</v>
      </c>
      <c r="U13" s="16">
        <f>'Dez24'!J18</f>
        <v>406.41287899999998</v>
      </c>
      <c r="V13" s="16">
        <f>Paralelo!J18</f>
        <v>0</v>
      </c>
      <c r="W13" s="41">
        <f t="shared" si="1"/>
        <v>-406.41287899999998</v>
      </c>
      <c r="X13" s="16">
        <f>'Dez24'!K18</f>
        <v>45.010469000000001</v>
      </c>
      <c r="Y13" s="16">
        <f>Paralelo!K18</f>
        <v>0.84249700000000005</v>
      </c>
      <c r="Z13" s="16">
        <f t="shared" si="2"/>
        <v>-44.167971999999999</v>
      </c>
      <c r="AA13" s="16">
        <f>'Dez24'!L18</f>
        <v>0</v>
      </c>
      <c r="AB13" s="16">
        <f>Paralelo!L18</f>
        <v>0</v>
      </c>
      <c r="AC13" s="16">
        <f t="shared" si="10"/>
        <v>0</v>
      </c>
      <c r="AD13" s="18">
        <f>'Dez24'!M18</f>
        <v>0.55489999999999995</v>
      </c>
      <c r="AE13" s="18">
        <f>Paralelo!M18</f>
        <v>0</v>
      </c>
      <c r="AF13" s="16">
        <f t="shared" si="3"/>
        <v>-0.55489999999999995</v>
      </c>
      <c r="AG13" s="18">
        <f>'Dez24'!N18</f>
        <v>4.725E-3</v>
      </c>
      <c r="AH13" s="18">
        <f>Paralelo!N18</f>
        <v>0</v>
      </c>
      <c r="AI13" s="16">
        <f t="shared" si="11"/>
        <v>-4.725E-3</v>
      </c>
      <c r="AJ13" s="16">
        <f>'Dez24'!O18</f>
        <v>-0.32982099999999998</v>
      </c>
      <c r="AK13" s="16">
        <f>Paralelo!O18</f>
        <v>-5.313E-3</v>
      </c>
      <c r="AL13" s="16">
        <f t="shared" si="4"/>
        <v>0.32450799999999996</v>
      </c>
      <c r="AM13" s="18">
        <f>'Dez24'!P18</f>
        <v>-4.4110999999999997E-2</v>
      </c>
      <c r="AN13" s="18">
        <f>Paralelo!P18</f>
        <v>0</v>
      </c>
      <c r="AO13" s="16">
        <f t="shared" si="12"/>
        <v>4.4110999999999997E-2</v>
      </c>
      <c r="AP13" s="18">
        <f>'Dez24'!Q18</f>
        <v>-3.712E-3</v>
      </c>
      <c r="AQ13" s="18">
        <f>Paralelo!Q18</f>
        <v>0</v>
      </c>
      <c r="AR13" s="16">
        <f t="shared" si="13"/>
        <v>3.712E-3</v>
      </c>
    </row>
    <row r="14" spans="1:45" x14ac:dyDescent="0.3">
      <c r="B14" s="14" t="s">
        <v>16</v>
      </c>
      <c r="C14" s="41">
        <f>+'Dez24'!D19</f>
        <v>33.931311999999998</v>
      </c>
      <c r="D14" s="41">
        <f>Paralelo!D19</f>
        <v>33.931317</v>
      </c>
      <c r="E14" s="41">
        <f t="shared" si="0"/>
        <v>5.0000000015870683E-6</v>
      </c>
      <c r="F14" s="41">
        <f>'Dez24'!E19</f>
        <v>0.50970000000000004</v>
      </c>
      <c r="G14" s="41">
        <f>Paralelo!E19</f>
        <v>0</v>
      </c>
      <c r="H14" s="41">
        <f t="shared" si="5"/>
        <v>-0.50970000000000004</v>
      </c>
      <c r="I14" s="16">
        <f>'Dez24'!F19</f>
        <v>0</v>
      </c>
      <c r="J14" s="16">
        <f>Paralelo!F19</f>
        <v>0</v>
      </c>
      <c r="K14" s="16">
        <f t="shared" si="6"/>
        <v>0</v>
      </c>
      <c r="L14" s="16">
        <f>'Dez24'!G19</f>
        <v>0</v>
      </c>
      <c r="M14" s="16">
        <f>Paralelo!G19</f>
        <v>0</v>
      </c>
      <c r="N14" s="16">
        <f t="shared" si="7"/>
        <v>0</v>
      </c>
      <c r="O14" s="16">
        <f>'Dez24'!H19</f>
        <v>0</v>
      </c>
      <c r="P14" s="16">
        <f>Paralelo!H19</f>
        <v>0</v>
      </c>
      <c r="Q14" s="16">
        <f t="shared" si="8"/>
        <v>0</v>
      </c>
      <c r="R14" s="16">
        <f>'Dez24'!I19</f>
        <v>4</v>
      </c>
      <c r="S14" s="16">
        <f>Paralelo!I19</f>
        <v>0</v>
      </c>
      <c r="T14" s="16">
        <f t="shared" si="9"/>
        <v>-4</v>
      </c>
      <c r="U14" s="16">
        <f>'Dez24'!J19</f>
        <v>0</v>
      </c>
      <c r="V14" s="16">
        <f>Paralelo!J19</f>
        <v>0</v>
      </c>
      <c r="W14" s="41">
        <f t="shared" si="1"/>
        <v>0</v>
      </c>
      <c r="X14" s="16">
        <f>'Dez24'!K19</f>
        <v>0.50970000000000004</v>
      </c>
      <c r="Y14" s="16">
        <f>Paralelo!K19</f>
        <v>0</v>
      </c>
      <c r="Z14" s="16">
        <f t="shared" si="2"/>
        <v>-0.50970000000000004</v>
      </c>
      <c r="AA14" s="16">
        <f>'Dez24'!L19</f>
        <v>0</v>
      </c>
      <c r="AB14" s="16">
        <f>Paralelo!L19</f>
        <v>0</v>
      </c>
      <c r="AC14" s="16">
        <f t="shared" si="10"/>
        <v>0</v>
      </c>
      <c r="AD14" s="18">
        <f>'Dez24'!M19</f>
        <v>0.25844499999999998</v>
      </c>
      <c r="AE14" s="18">
        <f>Paralelo!M19</f>
        <v>0</v>
      </c>
      <c r="AF14" s="16">
        <f t="shared" si="3"/>
        <v>-0.25844499999999998</v>
      </c>
      <c r="AG14" s="18">
        <f>'Dez24'!N19</f>
        <v>0</v>
      </c>
      <c r="AH14" s="18">
        <f>Paralelo!N19</f>
        <v>0</v>
      </c>
      <c r="AI14" s="16">
        <f t="shared" si="11"/>
        <v>0</v>
      </c>
      <c r="AJ14" s="16">
        <f>'Dez24'!O19</f>
        <v>-1.2884E-2</v>
      </c>
      <c r="AK14" s="16">
        <f>Paralelo!O19</f>
        <v>0</v>
      </c>
      <c r="AL14" s="16">
        <f t="shared" si="4"/>
        <v>1.2884E-2</v>
      </c>
      <c r="AM14" s="18">
        <f>'Dez24'!P19</f>
        <v>-1.1192000000000001E-2</v>
      </c>
      <c r="AN14" s="18">
        <f>Paralelo!P19</f>
        <v>0</v>
      </c>
      <c r="AO14" s="16">
        <f t="shared" si="12"/>
        <v>1.1192000000000001E-2</v>
      </c>
      <c r="AP14" s="18">
        <f>'Dez24'!Q19</f>
        <v>0</v>
      </c>
      <c r="AQ14" s="18">
        <f>Paralelo!Q19</f>
        <v>0</v>
      </c>
      <c r="AR14" s="16">
        <f t="shared" si="13"/>
        <v>0</v>
      </c>
    </row>
    <row r="15" spans="1:45" x14ac:dyDescent="0.3">
      <c r="B15" s="14" t="s">
        <v>17</v>
      </c>
      <c r="C15" s="41">
        <f>+'Dez24'!D20</f>
        <v>1044.253283</v>
      </c>
      <c r="D15" s="41">
        <f>Paralelo!D20</f>
        <v>969.68561999999997</v>
      </c>
      <c r="E15" s="42">
        <f t="shared" si="0"/>
        <v>-74.567663000000039</v>
      </c>
      <c r="F15" s="41">
        <f>'Dez24'!E20</f>
        <v>40.05545</v>
      </c>
      <c r="G15" s="41">
        <f>Paralelo!E20</f>
        <v>4.2438029999999998</v>
      </c>
      <c r="H15" s="41">
        <f t="shared" si="5"/>
        <v>-35.811647000000001</v>
      </c>
      <c r="I15" s="16">
        <f>'Dez24'!F20</f>
        <v>0.44309700000000002</v>
      </c>
      <c r="J15" s="16">
        <f>Paralelo!F20</f>
        <v>1.7418929999999999</v>
      </c>
      <c r="K15" s="16">
        <f t="shared" si="6"/>
        <v>1.2987959999999998</v>
      </c>
      <c r="L15" s="16">
        <f>'Dez24'!G20</f>
        <v>0.18199000000000001</v>
      </c>
      <c r="M15" s="16">
        <f>Paralelo!G20</f>
        <v>0.46617500000000001</v>
      </c>
      <c r="N15" s="16">
        <f t="shared" si="7"/>
        <v>0.28418500000000002</v>
      </c>
      <c r="O15" s="16">
        <f>'Dez24'!H20</f>
        <v>0</v>
      </c>
      <c r="P15" s="16">
        <f>Paralelo!H20</f>
        <v>0</v>
      </c>
      <c r="Q15" s="16">
        <f t="shared" si="8"/>
        <v>0</v>
      </c>
      <c r="R15" s="16">
        <f>'Dez24'!I20</f>
        <v>3</v>
      </c>
      <c r="S15" s="16">
        <f>Paralelo!I20</f>
        <v>6</v>
      </c>
      <c r="T15" s="16">
        <f t="shared" si="9"/>
        <v>3</v>
      </c>
      <c r="U15" s="16">
        <f>'Dez24'!J20</f>
        <v>15.442708</v>
      </c>
      <c r="V15" s="16">
        <f>Paralelo!J20</f>
        <v>1.969824</v>
      </c>
      <c r="W15" s="41">
        <f t="shared" si="1"/>
        <v>-13.472884000000001</v>
      </c>
      <c r="X15" s="16">
        <f>'Dez24'!K20</f>
        <v>6.6006010000000002</v>
      </c>
      <c r="Y15" s="16">
        <f>Paralelo!K20</f>
        <v>3.573172</v>
      </c>
      <c r="Z15" s="16">
        <f t="shared" si="2"/>
        <v>-3.0274290000000001</v>
      </c>
      <c r="AA15" s="16">
        <f>'Dez24'!L20</f>
        <v>18.637228</v>
      </c>
      <c r="AB15" s="16">
        <f>Paralelo!L20</f>
        <v>0.90887499999999999</v>
      </c>
      <c r="AC15" s="16">
        <f t="shared" si="10"/>
        <v>-17.728353000000002</v>
      </c>
      <c r="AD15" s="18">
        <f>'Dez24'!M20</f>
        <v>6.8473490000000004</v>
      </c>
      <c r="AE15" s="18">
        <f>Paralelo!M20</f>
        <v>1.26474</v>
      </c>
      <c r="AF15" s="16">
        <f t="shared" si="3"/>
        <v>-5.5826090000000006</v>
      </c>
      <c r="AG15" s="18">
        <f>'Dez24'!N20</f>
        <v>6.4774649999999996</v>
      </c>
      <c r="AH15" s="18">
        <f>Paralelo!N20</f>
        <v>2.4662459999999999</v>
      </c>
      <c r="AI15" s="16">
        <f t="shared" si="11"/>
        <v>-4.0112189999999996</v>
      </c>
      <c r="AJ15" s="16">
        <f>'Dez24'!O20</f>
        <v>-2.9862510000000002</v>
      </c>
      <c r="AK15" s="16">
        <f>Paralelo!O20</f>
        <v>-2.49776</v>
      </c>
      <c r="AL15" s="16">
        <f t="shared" si="4"/>
        <v>0.48849100000000023</v>
      </c>
      <c r="AM15" s="18">
        <f>'Dez24'!P20</f>
        <v>-0.53382300000000005</v>
      </c>
      <c r="AN15" s="18">
        <f>Paralelo!P20</f>
        <v>-3.9010000000000003E-2</v>
      </c>
      <c r="AO15" s="16">
        <f t="shared" si="12"/>
        <v>0.49481300000000006</v>
      </c>
      <c r="AP15" s="18">
        <f>'Dez24'!Q20</f>
        <v>-2.3306770000000001</v>
      </c>
      <c r="AQ15" s="18">
        <f>Paralelo!Q20</f>
        <v>-2.4537260000000001</v>
      </c>
      <c r="AR15" s="16">
        <f t="shared" si="13"/>
        <v>-0.12304899999999996</v>
      </c>
    </row>
    <row r="16" spans="1:45" x14ac:dyDescent="0.3">
      <c r="B16" s="14" t="s">
        <v>18</v>
      </c>
      <c r="C16" s="41">
        <f>+'Dez24'!D21</f>
        <v>2070.2228909999999</v>
      </c>
      <c r="D16" s="41">
        <f>Paralelo!D21</f>
        <v>2070.1122249999999</v>
      </c>
      <c r="E16" s="41">
        <f t="shared" si="0"/>
        <v>-0.11066600000003746</v>
      </c>
      <c r="F16" s="41">
        <f>'Dez24'!E21</f>
        <v>257.43969700000002</v>
      </c>
      <c r="G16" s="41">
        <f>Paralelo!E21</f>
        <v>3.987269</v>
      </c>
      <c r="H16" s="41">
        <f t="shared" si="5"/>
        <v>-253.45242800000003</v>
      </c>
      <c r="I16" s="16">
        <f>'Dez24'!F21</f>
        <v>13.605418999999999</v>
      </c>
      <c r="J16" s="16">
        <f>Paralelo!F21</f>
        <v>6.5117859999999999</v>
      </c>
      <c r="K16" s="16">
        <f t="shared" si="6"/>
        <v>-7.0936329999999996</v>
      </c>
      <c r="L16" s="16">
        <f>'Dez24'!G21</f>
        <v>0.40101100000000001</v>
      </c>
      <c r="M16" s="16">
        <f>Paralelo!G21</f>
        <v>3.4101789999999998</v>
      </c>
      <c r="N16" s="16">
        <f t="shared" si="7"/>
        <v>3.0091679999999998</v>
      </c>
      <c r="O16" s="16">
        <f>'Dez24'!H21</f>
        <v>0</v>
      </c>
      <c r="P16" s="16">
        <f>Paralelo!H21</f>
        <v>0</v>
      </c>
      <c r="Q16" s="16">
        <f t="shared" si="8"/>
        <v>0</v>
      </c>
      <c r="R16" s="16">
        <f>'Dez24'!I21</f>
        <v>3</v>
      </c>
      <c r="S16" s="16">
        <f>Paralelo!I21</f>
        <v>8</v>
      </c>
      <c r="T16" s="16">
        <f t="shared" si="9"/>
        <v>5</v>
      </c>
      <c r="U16" s="16">
        <f>'Dez24'!J21</f>
        <v>267.75638900000001</v>
      </c>
      <c r="V16" s="16">
        <f>Paralelo!J21</f>
        <v>12.534431</v>
      </c>
      <c r="W16" s="41">
        <f t="shared" si="1"/>
        <v>-255.221958</v>
      </c>
      <c r="X16" s="16">
        <f>'Dez24'!K21</f>
        <v>3.6897380000000002</v>
      </c>
      <c r="Y16" s="16">
        <f>Paralelo!K21</f>
        <v>1.374803</v>
      </c>
      <c r="Z16" s="16">
        <f t="shared" si="2"/>
        <v>-2.3149350000000002</v>
      </c>
      <c r="AA16" s="16">
        <f>'Dez24'!L21</f>
        <v>0</v>
      </c>
      <c r="AB16" s="16">
        <f>Paralelo!L21</f>
        <v>0</v>
      </c>
      <c r="AC16" s="16">
        <f t="shared" si="10"/>
        <v>0</v>
      </c>
      <c r="AD16" s="18">
        <f>'Dez24'!M21</f>
        <v>26.927717999999999</v>
      </c>
      <c r="AE16" s="18">
        <f>Paralelo!M21</f>
        <v>2.342851</v>
      </c>
      <c r="AF16" s="16">
        <f t="shared" si="3"/>
        <v>-24.584866999999999</v>
      </c>
      <c r="AG16" s="18">
        <f>'Dez24'!N21</f>
        <v>4.8817899999999996</v>
      </c>
      <c r="AH16" s="18">
        <f>Paralelo!N21</f>
        <v>0.47717100000000001</v>
      </c>
      <c r="AI16" s="16">
        <f t="shared" si="11"/>
        <v>-4.4046189999999994</v>
      </c>
      <c r="AJ16" s="16">
        <f>'Dez24'!O21</f>
        <v>-4.7908220000000004</v>
      </c>
      <c r="AK16" s="16">
        <f>Paralelo!O21</f>
        <v>-0.53525500000000004</v>
      </c>
      <c r="AL16" s="16">
        <f t="shared" si="4"/>
        <v>4.2555670000000001</v>
      </c>
      <c r="AM16" s="18">
        <f>'Dez24'!P21</f>
        <v>-1.520948</v>
      </c>
      <c r="AN16" s="18">
        <f>Paralelo!P21</f>
        <v>-7.0458000000000007E-2</v>
      </c>
      <c r="AO16" s="16">
        <f t="shared" si="12"/>
        <v>1.4504900000000001</v>
      </c>
      <c r="AP16" s="18">
        <f>'Dez24'!Q21</f>
        <v>-2.776656</v>
      </c>
      <c r="AQ16" s="18">
        <f>Paralelo!Q21</f>
        <v>-0.44338899999999998</v>
      </c>
      <c r="AR16" s="16">
        <f t="shared" si="13"/>
        <v>2.3332670000000002</v>
      </c>
    </row>
    <row r="17" spans="2:44" x14ac:dyDescent="0.3">
      <c r="B17" s="14" t="s">
        <v>19</v>
      </c>
      <c r="C17" s="41">
        <f>+'Dez24'!D22</f>
        <v>721.84642899999994</v>
      </c>
      <c r="D17" s="41">
        <f>Paralelo!D22</f>
        <v>759.80559100000005</v>
      </c>
      <c r="E17" s="41">
        <f t="shared" si="0"/>
        <v>37.959162000000106</v>
      </c>
      <c r="F17" s="41">
        <f>'Dez24'!E22</f>
        <v>44.182478000000003</v>
      </c>
      <c r="G17" s="41">
        <f>Paralelo!E22</f>
        <v>2.8513E-2</v>
      </c>
      <c r="H17" s="41">
        <f t="shared" si="5"/>
        <v>-44.153965000000007</v>
      </c>
      <c r="I17" s="16">
        <f>'Dez24'!F22</f>
        <v>1.0499E-2</v>
      </c>
      <c r="J17" s="16">
        <f>Paralelo!F22</f>
        <v>7.4909000000000003E-2</v>
      </c>
      <c r="K17" s="16">
        <f t="shared" si="6"/>
        <v>6.4410000000000009E-2</v>
      </c>
      <c r="L17" s="16">
        <f>'Dez24'!G22</f>
        <v>4.5513079999999997</v>
      </c>
      <c r="M17" s="16">
        <f>Paralelo!G22</f>
        <v>0</v>
      </c>
      <c r="N17" s="16">
        <f t="shared" si="7"/>
        <v>-4.5513079999999997</v>
      </c>
      <c r="O17" s="16">
        <f>'Dez24'!H22</f>
        <v>0</v>
      </c>
      <c r="P17" s="16">
        <f>Paralelo!H22</f>
        <v>0</v>
      </c>
      <c r="Q17" s="16">
        <f t="shared" si="8"/>
        <v>0</v>
      </c>
      <c r="R17" s="16">
        <f>'Dez24'!I22</f>
        <v>4</v>
      </c>
      <c r="S17" s="16">
        <f>Paralelo!I22</f>
        <v>6</v>
      </c>
      <c r="T17" s="16">
        <f t="shared" si="9"/>
        <v>2</v>
      </c>
      <c r="U17" s="16">
        <f>'Dez24'!J22</f>
        <v>2.6096020000000002</v>
      </c>
      <c r="V17" s="16">
        <f>Paralelo!J22</f>
        <v>0</v>
      </c>
      <c r="W17" s="41">
        <f t="shared" si="1"/>
        <v>-2.6096020000000002</v>
      </c>
      <c r="X17" s="16">
        <f>'Dez24'!K22</f>
        <v>46.134683000000003</v>
      </c>
      <c r="Y17" s="16">
        <f>Paralelo!K22</f>
        <v>0.103422</v>
      </c>
      <c r="Z17" s="16">
        <f t="shared" si="2"/>
        <v>-46.031261000000001</v>
      </c>
      <c r="AA17" s="16">
        <f>'Dez24'!L22</f>
        <v>0</v>
      </c>
      <c r="AB17" s="16">
        <f>Paralelo!L22</f>
        <v>0</v>
      </c>
      <c r="AC17" s="16">
        <f t="shared" si="10"/>
        <v>0</v>
      </c>
      <c r="AD17" s="18">
        <f>'Dez24'!M22</f>
        <v>4.8612820000000001</v>
      </c>
      <c r="AE17" s="18">
        <f>Paralelo!M22</f>
        <v>0</v>
      </c>
      <c r="AF17" s="16">
        <f t="shared" si="3"/>
        <v>-4.8612820000000001</v>
      </c>
      <c r="AG17" s="18">
        <f>'Dez24'!N22</f>
        <v>0.44950400000000001</v>
      </c>
      <c r="AH17" s="18">
        <f>Paralelo!N22</f>
        <v>0</v>
      </c>
      <c r="AI17" s="16">
        <f t="shared" si="11"/>
        <v>-0.44950400000000001</v>
      </c>
      <c r="AJ17" s="16">
        <f>'Dez24'!O22</f>
        <v>-1.1988030000000001</v>
      </c>
      <c r="AK17" s="16">
        <f>Paralelo!O22</f>
        <v>-1.5200000000000001E-4</v>
      </c>
      <c r="AL17" s="16">
        <f t="shared" si="4"/>
        <v>1.1986510000000001</v>
      </c>
      <c r="AM17" s="18">
        <f>'Dez24'!P22</f>
        <v>-0.689855</v>
      </c>
      <c r="AN17" s="18">
        <f>Paralelo!P22</f>
        <v>0</v>
      </c>
      <c r="AO17" s="16">
        <f t="shared" si="12"/>
        <v>0.689855</v>
      </c>
      <c r="AP17" s="18">
        <f>'Dez24'!Q22</f>
        <v>-0.26210699999999998</v>
      </c>
      <c r="AQ17" s="18">
        <f>Paralelo!Q22</f>
        <v>0</v>
      </c>
      <c r="AR17" s="16">
        <f t="shared" si="13"/>
        <v>0.26210699999999998</v>
      </c>
    </row>
    <row r="18" spans="2:44" x14ac:dyDescent="0.3">
      <c r="B18" s="14" t="s">
        <v>20</v>
      </c>
      <c r="C18" s="41">
        <f>+'Dez24'!D23</f>
        <v>1116.2909010000001</v>
      </c>
      <c r="D18" s="41">
        <f>Paralelo!D23</f>
        <v>1251.0449900000001</v>
      </c>
      <c r="E18" s="42">
        <f t="shared" si="0"/>
        <v>134.75408900000002</v>
      </c>
      <c r="F18" s="41">
        <f>'Dez24'!E23</f>
        <v>2.0018790000000002</v>
      </c>
      <c r="G18" s="41">
        <f>Paralelo!E23</f>
        <v>15.361594999999999</v>
      </c>
      <c r="H18" s="41">
        <f t="shared" si="5"/>
        <v>13.359715999999999</v>
      </c>
      <c r="I18" s="16">
        <f>'Dez24'!F23</f>
        <v>2.079564</v>
      </c>
      <c r="J18" s="16">
        <f>Paralelo!F23</f>
        <v>2.1466280000000002</v>
      </c>
      <c r="K18" s="16">
        <f t="shared" si="6"/>
        <v>6.7064000000000235E-2</v>
      </c>
      <c r="L18" s="16">
        <f>'Dez24'!G23</f>
        <v>0.14338400000000001</v>
      </c>
      <c r="M18" s="16">
        <f>Paralelo!G23</f>
        <v>0.14338400000000001</v>
      </c>
      <c r="N18" s="16">
        <f t="shared" si="7"/>
        <v>0</v>
      </c>
      <c r="O18" s="16">
        <f>'Dez24'!H23</f>
        <v>0</v>
      </c>
      <c r="P18" s="16">
        <f>Paralelo!H23</f>
        <v>0</v>
      </c>
      <c r="Q18" s="16">
        <f t="shared" si="8"/>
        <v>0</v>
      </c>
      <c r="R18" s="16">
        <f>'Dez24'!I23</f>
        <v>7</v>
      </c>
      <c r="S18" s="16">
        <f>Paralelo!I23</f>
        <v>5</v>
      </c>
      <c r="T18" s="16">
        <f t="shared" si="9"/>
        <v>-2</v>
      </c>
      <c r="U18" s="16">
        <f>'Dez24'!J23</f>
        <v>0</v>
      </c>
      <c r="V18" s="16">
        <f>Paralelo!J23</f>
        <v>0</v>
      </c>
      <c r="W18" s="41">
        <f t="shared" si="1"/>
        <v>0</v>
      </c>
      <c r="X18" s="16">
        <f>'Dez24'!K23</f>
        <v>4.2248270000000003</v>
      </c>
      <c r="Y18" s="16">
        <f>Paralelo!K23</f>
        <v>17.651606999999998</v>
      </c>
      <c r="Z18" s="16">
        <f t="shared" si="2"/>
        <v>13.426779999999997</v>
      </c>
      <c r="AA18" s="16">
        <f>'Dez24'!L23</f>
        <v>0</v>
      </c>
      <c r="AB18" s="16">
        <f>Paralelo!L23</f>
        <v>0</v>
      </c>
      <c r="AC18" s="16">
        <f t="shared" si="10"/>
        <v>0</v>
      </c>
      <c r="AD18" s="18">
        <f>'Dez24'!M23</f>
        <v>0.40316000000000002</v>
      </c>
      <c r="AE18" s="18">
        <f>Paralelo!M23</f>
        <v>6.7062999999999998E-2</v>
      </c>
      <c r="AF18" s="16">
        <f t="shared" si="3"/>
        <v>-0.33609700000000003</v>
      </c>
      <c r="AG18" s="18">
        <f>'Dez24'!N23</f>
        <v>0.56559700000000002</v>
      </c>
      <c r="AH18" s="18">
        <f>Paralelo!N23</f>
        <v>12.449707999999999</v>
      </c>
      <c r="AI18" s="16">
        <f t="shared" si="11"/>
        <v>11.884110999999999</v>
      </c>
      <c r="AJ18" s="16">
        <f>'Dez24'!O23</f>
        <v>-0.51734899999999995</v>
      </c>
      <c r="AK18" s="16">
        <f>Paralelo!O23</f>
        <v>-12.416869</v>
      </c>
      <c r="AL18" s="16">
        <f t="shared" si="4"/>
        <v>-11.899520000000001</v>
      </c>
      <c r="AM18" s="18">
        <f>'Dez24'!P23</f>
        <v>-4.0769999999999999E-3</v>
      </c>
      <c r="AN18" s="18">
        <f>Paralelo!P23</f>
        <v>-8.5920000000000007E-3</v>
      </c>
      <c r="AO18" s="16">
        <f t="shared" si="12"/>
        <v>-4.5150000000000008E-3</v>
      </c>
      <c r="AP18" s="18">
        <f>'Dez24'!Q23</f>
        <v>-0.50478900000000004</v>
      </c>
      <c r="AQ18" s="18">
        <f>Paralelo!Q23</f>
        <v>-12.400323</v>
      </c>
      <c r="AR18" s="16">
        <f t="shared" si="13"/>
        <v>-11.895534</v>
      </c>
    </row>
    <row r="19" spans="2:44" x14ac:dyDescent="0.3">
      <c r="B19" s="14" t="s">
        <v>21</v>
      </c>
      <c r="C19" s="41">
        <f>+'Dez24'!D24</f>
        <v>23291.746958</v>
      </c>
      <c r="D19" s="41">
        <f>Paralelo!D24</f>
        <v>23291.747265000002</v>
      </c>
      <c r="E19" s="41">
        <f t="shared" si="0"/>
        <v>3.0700000206707045E-4</v>
      </c>
      <c r="F19" s="41">
        <f>'Dez24'!E24</f>
        <v>3.4864600000000001</v>
      </c>
      <c r="G19" s="41">
        <f>Paralelo!E24</f>
        <v>6.0529760000000001</v>
      </c>
      <c r="H19" s="41">
        <f t="shared" si="5"/>
        <v>2.566516</v>
      </c>
      <c r="I19" s="16">
        <f>'Dez24'!F24</f>
        <v>12.663439</v>
      </c>
      <c r="J19" s="16">
        <f>Paralelo!F24</f>
        <v>18.426414999999999</v>
      </c>
      <c r="K19" s="16">
        <f t="shared" si="6"/>
        <v>5.7629759999999983</v>
      </c>
      <c r="L19" s="16">
        <f>'Dez24'!G24</f>
        <v>43.480873000000003</v>
      </c>
      <c r="M19" s="16">
        <f>Paralelo!G24</f>
        <v>61.651434999999999</v>
      </c>
      <c r="N19" s="16">
        <f t="shared" si="7"/>
        <v>18.170561999999997</v>
      </c>
      <c r="O19" s="16">
        <f>'Dez24'!H24</f>
        <v>268.86395299999998</v>
      </c>
      <c r="P19" s="16">
        <f>Paralelo!H24</f>
        <v>324.73495700000001</v>
      </c>
      <c r="Q19" s="16">
        <f t="shared" si="8"/>
        <v>55.871004000000028</v>
      </c>
      <c r="R19" s="16">
        <f>'Dez24'!I24</f>
        <v>28</v>
      </c>
      <c r="S19" s="16">
        <f>Paralelo!I24</f>
        <v>27</v>
      </c>
      <c r="T19" s="16">
        <f t="shared" si="9"/>
        <v>-1</v>
      </c>
      <c r="U19" s="16">
        <f>'Dez24'!J24</f>
        <v>0</v>
      </c>
      <c r="V19" s="16">
        <f>Paralelo!J24</f>
        <v>65.239099999999993</v>
      </c>
      <c r="W19" s="41">
        <f t="shared" si="1"/>
        <v>65.239099999999993</v>
      </c>
      <c r="X19" s="16">
        <f>'Dez24'!K24</f>
        <v>328.49472500000002</v>
      </c>
      <c r="Y19" s="16">
        <f>Paralelo!K24</f>
        <v>337.67818399999999</v>
      </c>
      <c r="Z19" s="16">
        <f t="shared" si="2"/>
        <v>9.1834589999999707</v>
      </c>
      <c r="AA19" s="16">
        <f>'Dez24'!L24</f>
        <v>0</v>
      </c>
      <c r="AB19" s="16">
        <f>Paralelo!L24</f>
        <v>7.948499</v>
      </c>
      <c r="AC19" s="16">
        <f t="shared" si="10"/>
        <v>7.948499</v>
      </c>
      <c r="AD19" s="18">
        <f>'Dez24'!M24</f>
        <v>24.062124000000001</v>
      </c>
      <c r="AE19" s="18">
        <f>Paralelo!M24</f>
        <v>36.087415</v>
      </c>
      <c r="AF19" s="16">
        <f t="shared" si="3"/>
        <v>12.025290999999999</v>
      </c>
      <c r="AG19" s="18">
        <f>'Dez24'!N24</f>
        <v>3.9326829999999999</v>
      </c>
      <c r="AH19" s="18">
        <f>Paralelo!N24</f>
        <v>6.3680130000000004</v>
      </c>
      <c r="AI19" s="16">
        <f t="shared" si="11"/>
        <v>2.4353300000000004</v>
      </c>
      <c r="AJ19" s="16">
        <f>'Dez24'!O24</f>
        <v>-2.0841400000000001</v>
      </c>
      <c r="AK19" s="16">
        <f>Paralelo!O24</f>
        <v>-3.3054939999999999</v>
      </c>
      <c r="AL19" s="16">
        <f t="shared" si="4"/>
        <v>-1.2213539999999998</v>
      </c>
      <c r="AM19" s="18">
        <f>'Dez24'!P24</f>
        <v>-0.77513399999999999</v>
      </c>
      <c r="AN19" s="18">
        <f>Paralelo!P24</f>
        <v>-1.076484</v>
      </c>
      <c r="AO19" s="16">
        <f t="shared" si="12"/>
        <v>-0.30135000000000001</v>
      </c>
      <c r="AP19" s="18">
        <f>'Dez24'!Q24</f>
        <v>-1.151627</v>
      </c>
      <c r="AQ19" s="18">
        <f>Paralelo!Q24</f>
        <v>-2.021061</v>
      </c>
      <c r="AR19" s="16">
        <f t="shared" si="13"/>
        <v>-0.86943400000000004</v>
      </c>
    </row>
    <row r="20" spans="2:44" x14ac:dyDescent="0.3">
      <c r="B20" s="14" t="s">
        <v>22</v>
      </c>
      <c r="C20" s="41">
        <f>+'Dez24'!D25</f>
        <v>3579.2865569999999</v>
      </c>
      <c r="D20" s="41">
        <f>Paralelo!D25</f>
        <v>3579.2885919999999</v>
      </c>
      <c r="E20" s="41">
        <f t="shared" si="0"/>
        <v>2.0349999999780266E-3</v>
      </c>
      <c r="F20" s="41">
        <f>'Dez24'!E25</f>
        <v>4.062157</v>
      </c>
      <c r="G20" s="41">
        <f>Paralelo!E25</f>
        <v>67.448936000000003</v>
      </c>
      <c r="H20" s="41">
        <f t="shared" si="5"/>
        <v>63.386779000000004</v>
      </c>
      <c r="I20" s="16">
        <f>'Dez24'!F25</f>
        <v>9.9740099999999998</v>
      </c>
      <c r="J20" s="16">
        <f>Paralelo!F25</f>
        <v>89.152345999999994</v>
      </c>
      <c r="K20" s="16">
        <f t="shared" si="6"/>
        <v>79.178336000000002</v>
      </c>
      <c r="L20" s="16">
        <f>'Dez24'!G25</f>
        <v>4.5497030000000001</v>
      </c>
      <c r="M20" s="16">
        <f>Paralelo!G25</f>
        <v>81.473979999999997</v>
      </c>
      <c r="N20" s="16">
        <f t="shared" si="7"/>
        <v>76.924277000000004</v>
      </c>
      <c r="O20" s="16">
        <f>'Dez24'!H25</f>
        <v>8.2302E-2</v>
      </c>
      <c r="P20" s="16">
        <f>Paralelo!H25</f>
        <v>8.2302E-2</v>
      </c>
      <c r="Q20" s="16">
        <f t="shared" si="8"/>
        <v>0</v>
      </c>
      <c r="R20" s="16">
        <f>'Dez24'!I25</f>
        <v>9</v>
      </c>
      <c r="S20" s="16">
        <f>Paralelo!I25</f>
        <v>9</v>
      </c>
      <c r="T20" s="16">
        <f t="shared" si="9"/>
        <v>0</v>
      </c>
      <c r="U20" s="16">
        <f>'Dez24'!J25</f>
        <v>0</v>
      </c>
      <c r="V20" s="16">
        <f>Paralelo!J25</f>
        <v>195.02355600000001</v>
      </c>
      <c r="W20" s="41">
        <f t="shared" si="1"/>
        <v>195.02355600000001</v>
      </c>
      <c r="X20" s="16">
        <f>'Dez24'!K25</f>
        <v>18.668171999999998</v>
      </c>
      <c r="Y20" s="16">
        <f>Paralelo!K25</f>
        <v>38.848984999999999</v>
      </c>
      <c r="Z20" s="16">
        <f t="shared" si="2"/>
        <v>20.180813000000001</v>
      </c>
      <c r="AA20" s="16">
        <f>'Dez24'!L25</f>
        <v>0</v>
      </c>
      <c r="AB20" s="16">
        <f>Paralelo!L25</f>
        <v>4.2850229999999998</v>
      </c>
      <c r="AC20" s="16">
        <f t="shared" si="10"/>
        <v>4.2850229999999998</v>
      </c>
      <c r="AD20" s="18">
        <f>'Dez24'!M25</f>
        <v>0.28519299999999997</v>
      </c>
      <c r="AE20" s="18">
        <f>Paralelo!M25</f>
        <v>22.779489999999999</v>
      </c>
      <c r="AF20" s="16">
        <f t="shared" si="3"/>
        <v>22.494297</v>
      </c>
      <c r="AG20" s="18">
        <f>'Dez24'!N25</f>
        <v>0.59055899999999995</v>
      </c>
      <c r="AH20" s="18">
        <f>Paralelo!N25</f>
        <v>22.656877000000001</v>
      </c>
      <c r="AI20" s="16">
        <f t="shared" si="11"/>
        <v>22.066318000000003</v>
      </c>
      <c r="AJ20" s="16">
        <f>'Dez24'!O25</f>
        <v>-0.562083</v>
      </c>
      <c r="AK20" s="16">
        <f>Paralelo!O25</f>
        <v>-20.159057000000001</v>
      </c>
      <c r="AL20" s="16">
        <f t="shared" si="4"/>
        <v>-19.596973999999999</v>
      </c>
      <c r="AM20" s="18">
        <f>'Dez24'!P25</f>
        <v>-1.3804E-2</v>
      </c>
      <c r="AN20" s="18">
        <f>Paralelo!P25</f>
        <v>-1.123027</v>
      </c>
      <c r="AO20" s="16">
        <f t="shared" si="12"/>
        <v>-1.1092230000000001</v>
      </c>
      <c r="AP20" s="18">
        <f>'Dez24'!Q25</f>
        <v>-0.51229100000000005</v>
      </c>
      <c r="AQ20" s="18">
        <f>Paralelo!Q25</f>
        <v>-18.672039000000002</v>
      </c>
      <c r="AR20" s="16">
        <f t="shared" si="13"/>
        <v>-18.159748</v>
      </c>
    </row>
    <row r="21" spans="2:44" x14ac:dyDescent="0.3">
      <c r="B21" s="14" t="s">
        <v>23</v>
      </c>
      <c r="C21" s="41">
        <f>+'Dez24'!D26</f>
        <v>48.451569999999997</v>
      </c>
      <c r="D21" s="41">
        <f>Paralelo!D26</f>
        <v>0</v>
      </c>
      <c r="E21" s="42">
        <f t="shared" si="0"/>
        <v>-48.451569999999997</v>
      </c>
      <c r="F21" s="41">
        <f>'Dez24'!E26</f>
        <v>0</v>
      </c>
      <c r="G21" s="41">
        <f>Paralelo!E26</f>
        <v>0</v>
      </c>
      <c r="H21" s="41">
        <f t="shared" si="5"/>
        <v>0</v>
      </c>
      <c r="I21" s="16">
        <f>'Dez24'!F26</f>
        <v>0</v>
      </c>
      <c r="J21" s="16">
        <f>Paralelo!F26</f>
        <v>0</v>
      </c>
      <c r="K21" s="16">
        <f t="shared" si="6"/>
        <v>0</v>
      </c>
      <c r="L21" s="16">
        <f>'Dez24'!G26</f>
        <v>0</v>
      </c>
      <c r="M21" s="16">
        <f>Paralelo!G26</f>
        <v>0</v>
      </c>
      <c r="N21" s="16">
        <f t="shared" si="7"/>
        <v>0</v>
      </c>
      <c r="O21" s="16">
        <f>'Dez24'!H26</f>
        <v>0</v>
      </c>
      <c r="P21" s="16">
        <f>Paralelo!H26</f>
        <v>0</v>
      </c>
      <c r="Q21" s="16">
        <f t="shared" si="8"/>
        <v>0</v>
      </c>
      <c r="R21" s="16">
        <f>'Dez24'!I26</f>
        <v>0</v>
      </c>
      <c r="S21" s="16">
        <f>Paralelo!I26</f>
        <v>0</v>
      </c>
      <c r="T21" s="16">
        <f t="shared" si="9"/>
        <v>0</v>
      </c>
      <c r="U21" s="16">
        <f>'Dez24'!J26</f>
        <v>0</v>
      </c>
      <c r="V21" s="16">
        <f>Paralelo!J26</f>
        <v>0</v>
      </c>
      <c r="W21" s="41">
        <f t="shared" si="1"/>
        <v>0</v>
      </c>
      <c r="X21" s="16">
        <f>'Dez24'!K26</f>
        <v>0</v>
      </c>
      <c r="Y21" s="16">
        <f>Paralelo!K26</f>
        <v>0</v>
      </c>
      <c r="Z21" s="16">
        <f t="shared" si="2"/>
        <v>0</v>
      </c>
      <c r="AA21" s="16">
        <f>'Dez24'!L26</f>
        <v>0</v>
      </c>
      <c r="AB21" s="16">
        <f>Paralelo!L26</f>
        <v>0</v>
      </c>
      <c r="AC21" s="16">
        <f t="shared" si="10"/>
        <v>0</v>
      </c>
      <c r="AD21" s="18">
        <f>'Dez24'!M26</f>
        <v>0</v>
      </c>
      <c r="AE21" s="18">
        <f>Paralelo!M26</f>
        <v>0</v>
      </c>
      <c r="AF21" s="16">
        <f t="shared" si="3"/>
        <v>0</v>
      </c>
      <c r="AG21" s="18">
        <f>'Dez24'!N26</f>
        <v>0</v>
      </c>
      <c r="AH21" s="18">
        <f>Paralelo!N26</f>
        <v>0</v>
      </c>
      <c r="AI21" s="16">
        <f t="shared" si="11"/>
        <v>0</v>
      </c>
      <c r="AJ21" s="16">
        <f>'Dez24'!O26</f>
        <v>0</v>
      </c>
      <c r="AK21" s="16">
        <f>Paralelo!O26</f>
        <v>0</v>
      </c>
      <c r="AL21" s="16">
        <f t="shared" si="4"/>
        <v>0</v>
      </c>
      <c r="AM21" s="18">
        <f>'Dez24'!P26</f>
        <v>0</v>
      </c>
      <c r="AN21" s="18">
        <f>Paralelo!P26</f>
        <v>0</v>
      </c>
      <c r="AO21" s="16">
        <f t="shared" si="12"/>
        <v>0</v>
      </c>
      <c r="AP21" s="18">
        <f>'Dez24'!Q26</f>
        <v>0</v>
      </c>
      <c r="AQ21" s="18">
        <f>Paralelo!Q26</f>
        <v>0</v>
      </c>
      <c r="AR21" s="16">
        <f t="shared" si="13"/>
        <v>0</v>
      </c>
    </row>
    <row r="22" spans="2:44" x14ac:dyDescent="0.3">
      <c r="B22" s="14" t="s">
        <v>24</v>
      </c>
      <c r="C22" s="41">
        <f>+'Dez24'!D27</f>
        <v>1192.7168340000001</v>
      </c>
      <c r="D22" s="41">
        <f>Paralelo!D27</f>
        <v>1105.9237450000001</v>
      </c>
      <c r="E22" s="42">
        <f t="shared" si="0"/>
        <v>-86.793089000000009</v>
      </c>
      <c r="F22" s="41">
        <f>'Dez24'!E27</f>
        <v>0.22211700000000001</v>
      </c>
      <c r="G22" s="41">
        <f>Paralelo!E27</f>
        <v>0.22211700000000001</v>
      </c>
      <c r="H22" s="41">
        <f t="shared" si="5"/>
        <v>0</v>
      </c>
      <c r="I22" s="16">
        <f>'Dez24'!F27</f>
        <v>6.5126179999999998</v>
      </c>
      <c r="J22" s="16">
        <f>Paralelo!F27</f>
        <v>6.5126179999999998</v>
      </c>
      <c r="K22" s="16">
        <f t="shared" si="6"/>
        <v>0</v>
      </c>
      <c r="L22" s="16">
        <f>'Dez24'!G27</f>
        <v>0.70479800000000004</v>
      </c>
      <c r="M22" s="16">
        <f>Paralelo!G27</f>
        <v>0.70479899999999995</v>
      </c>
      <c r="N22" s="16">
        <f t="shared" si="7"/>
        <v>9.9999999991773336E-7</v>
      </c>
      <c r="O22" s="16">
        <f>'Dez24'!H27</f>
        <v>0</v>
      </c>
      <c r="P22" s="16">
        <f>Paralelo!H27</f>
        <v>0</v>
      </c>
      <c r="Q22" s="16">
        <f t="shared" si="8"/>
        <v>0</v>
      </c>
      <c r="R22" s="16">
        <f>'Dez24'!I27</f>
        <v>10</v>
      </c>
      <c r="S22" s="16">
        <f>Paralelo!I27</f>
        <v>10</v>
      </c>
      <c r="T22" s="16">
        <f t="shared" si="9"/>
        <v>0</v>
      </c>
      <c r="U22" s="16">
        <f>'Dez24'!J27</f>
        <v>0</v>
      </c>
      <c r="V22" s="16">
        <f>Paralelo!J27</f>
        <v>0</v>
      </c>
      <c r="W22" s="41">
        <f t="shared" si="1"/>
        <v>0</v>
      </c>
      <c r="X22" s="16">
        <f>'Dez24'!K27</f>
        <v>7.439533</v>
      </c>
      <c r="Y22" s="16">
        <f>Paralelo!K27</f>
        <v>7.4395340000000001</v>
      </c>
      <c r="Z22" s="16">
        <f t="shared" si="2"/>
        <v>1.000000000139778E-6</v>
      </c>
      <c r="AA22" s="16">
        <f>'Dez24'!L27</f>
        <v>0</v>
      </c>
      <c r="AB22" s="16">
        <f>Paralelo!L27</f>
        <v>0</v>
      </c>
      <c r="AC22" s="16">
        <f t="shared" si="10"/>
        <v>0</v>
      </c>
      <c r="AD22" s="18">
        <f>'Dez24'!M27</f>
        <v>0</v>
      </c>
      <c r="AE22" s="18">
        <f>Paralelo!M27</f>
        <v>0</v>
      </c>
      <c r="AF22" s="16">
        <f t="shared" si="3"/>
        <v>0</v>
      </c>
      <c r="AG22" s="18">
        <f>'Dez24'!N27</f>
        <v>3.0584E-2</v>
      </c>
      <c r="AH22" s="18">
        <f>Paralelo!N27</f>
        <v>3.0584E-2</v>
      </c>
      <c r="AI22" s="16">
        <f t="shared" si="11"/>
        <v>0</v>
      </c>
      <c r="AJ22" s="16">
        <f>'Dez24'!O27</f>
        <v>-2.7449000000000001E-2</v>
      </c>
      <c r="AK22" s="16">
        <f>Paralelo!O27</f>
        <v>-2.7449000000000001E-2</v>
      </c>
      <c r="AL22" s="16">
        <f t="shared" si="4"/>
        <v>0</v>
      </c>
      <c r="AM22" s="18">
        <f>'Dez24'!P27</f>
        <v>0</v>
      </c>
      <c r="AN22" s="18">
        <f>Paralelo!P27</f>
        <v>0</v>
      </c>
      <c r="AO22" s="16">
        <f t="shared" si="12"/>
        <v>0</v>
      </c>
      <c r="AP22" s="18">
        <f>'Dez24'!Q27</f>
        <v>-1.3414000000000001E-2</v>
      </c>
      <c r="AQ22" s="18">
        <f>Paralelo!Q27</f>
        <v>-1.3414000000000001E-2</v>
      </c>
      <c r="AR22" s="16">
        <f t="shared" si="13"/>
        <v>0</v>
      </c>
    </row>
    <row r="23" spans="2:44" x14ac:dyDescent="0.3">
      <c r="B23" s="14" t="s">
        <v>25</v>
      </c>
      <c r="C23" s="41">
        <f>+'Dez24'!D28</f>
        <v>4.1165900000000004</v>
      </c>
      <c r="D23" s="41">
        <f>Paralelo!D28</f>
        <v>180.51014000000001</v>
      </c>
      <c r="E23" s="42">
        <f t="shared" si="0"/>
        <v>176.39355</v>
      </c>
      <c r="F23" s="41">
        <f>'Dez24'!E28</f>
        <v>0</v>
      </c>
      <c r="G23" s="41">
        <f>Paralelo!E28</f>
        <v>0</v>
      </c>
      <c r="H23" s="41">
        <f t="shared" si="5"/>
        <v>0</v>
      </c>
      <c r="I23" s="16">
        <f>'Dez24'!F28</f>
        <v>0</v>
      </c>
      <c r="J23" s="16">
        <f>Paralelo!F28</f>
        <v>0</v>
      </c>
      <c r="K23" s="16">
        <f t="shared" si="6"/>
        <v>0</v>
      </c>
      <c r="L23" s="16">
        <f>'Dez24'!G28</f>
        <v>0</v>
      </c>
      <c r="M23" s="16">
        <f>Paralelo!G28</f>
        <v>0</v>
      </c>
      <c r="N23" s="16">
        <f t="shared" si="7"/>
        <v>0</v>
      </c>
      <c r="O23" s="16">
        <f>'Dez24'!H28</f>
        <v>0</v>
      </c>
      <c r="P23" s="16">
        <f>Paralelo!H28</f>
        <v>0</v>
      </c>
      <c r="Q23" s="16">
        <f t="shared" si="8"/>
        <v>0</v>
      </c>
      <c r="R23" s="16">
        <f>'Dez24'!I28</f>
        <v>0</v>
      </c>
      <c r="S23" s="16">
        <f>Paralelo!I28</f>
        <v>0</v>
      </c>
      <c r="T23" s="16">
        <f t="shared" si="9"/>
        <v>0</v>
      </c>
      <c r="U23" s="16">
        <f>'Dez24'!J28</f>
        <v>0</v>
      </c>
      <c r="V23" s="16">
        <f>Paralelo!J28</f>
        <v>0</v>
      </c>
      <c r="W23" s="41">
        <f t="shared" si="1"/>
        <v>0</v>
      </c>
      <c r="X23" s="16">
        <f>'Dez24'!K28</f>
        <v>0</v>
      </c>
      <c r="Y23" s="16">
        <f>Paralelo!K28</f>
        <v>0</v>
      </c>
      <c r="Z23" s="16">
        <f t="shared" si="2"/>
        <v>0</v>
      </c>
      <c r="AA23" s="16">
        <f>'Dez24'!L28</f>
        <v>0</v>
      </c>
      <c r="AB23" s="16">
        <f>Paralelo!L28</f>
        <v>0</v>
      </c>
      <c r="AC23" s="16">
        <f t="shared" si="10"/>
        <v>0</v>
      </c>
      <c r="AD23" s="18">
        <f>'Dez24'!M28</f>
        <v>0</v>
      </c>
      <c r="AE23" s="18">
        <f>Paralelo!M28</f>
        <v>0</v>
      </c>
      <c r="AF23" s="16">
        <f t="shared" si="3"/>
        <v>0</v>
      </c>
      <c r="AG23" s="18">
        <f>'Dez24'!N28</f>
        <v>0</v>
      </c>
      <c r="AH23" s="18">
        <f>Paralelo!N28</f>
        <v>0</v>
      </c>
      <c r="AI23" s="16">
        <f t="shared" si="11"/>
        <v>0</v>
      </c>
      <c r="AJ23" s="16">
        <f>'Dez24'!O28</f>
        <v>0</v>
      </c>
      <c r="AK23" s="16">
        <f>Paralelo!O28</f>
        <v>0</v>
      </c>
      <c r="AL23" s="16">
        <f t="shared" si="4"/>
        <v>0</v>
      </c>
      <c r="AM23" s="18">
        <f>'Dez24'!P28</f>
        <v>0</v>
      </c>
      <c r="AN23" s="18">
        <f>Paralelo!P28</f>
        <v>0</v>
      </c>
      <c r="AO23" s="16">
        <f t="shared" si="12"/>
        <v>0</v>
      </c>
      <c r="AP23" s="18">
        <f>'Dez24'!Q28</f>
        <v>0</v>
      </c>
      <c r="AQ23" s="18">
        <f>Paralelo!Q28</f>
        <v>0</v>
      </c>
      <c r="AR23" s="16">
        <f t="shared" si="13"/>
        <v>0</v>
      </c>
    </row>
    <row r="24" spans="2:44" x14ac:dyDescent="0.3">
      <c r="B24" s="14" t="s">
        <v>26</v>
      </c>
      <c r="C24" s="41">
        <f>+'Dez24'!D29</f>
        <v>3007.7490640000001</v>
      </c>
      <c r="D24" s="41">
        <f>Paralelo!D29</f>
        <v>2828.6277639999998</v>
      </c>
      <c r="E24" s="42">
        <f t="shared" si="0"/>
        <v>-179.12130000000025</v>
      </c>
      <c r="F24" s="41">
        <f>'Dez24'!E29</f>
        <v>8.1796999999999995E-2</v>
      </c>
      <c r="G24" s="41">
        <f>Paralelo!E29</f>
        <v>8.1796999999999995E-2</v>
      </c>
      <c r="H24" s="41">
        <f t="shared" si="5"/>
        <v>0</v>
      </c>
      <c r="I24" s="16">
        <f>'Dez24'!F29</f>
        <v>0.26802100000000001</v>
      </c>
      <c r="J24" s="16">
        <f>Paralelo!F29</f>
        <v>0.26802100000000001</v>
      </c>
      <c r="K24" s="16">
        <f t="shared" si="6"/>
        <v>0</v>
      </c>
      <c r="L24" s="16">
        <f>'Dez24'!G29</f>
        <v>0.26789800000000003</v>
      </c>
      <c r="M24" s="16">
        <f>Paralelo!G29</f>
        <v>0.26789800000000003</v>
      </c>
      <c r="N24" s="16">
        <f t="shared" si="7"/>
        <v>0</v>
      </c>
      <c r="O24" s="16">
        <f>'Dez24'!H29</f>
        <v>0</v>
      </c>
      <c r="P24" s="16">
        <f>Paralelo!H29</f>
        <v>0</v>
      </c>
      <c r="Q24" s="16">
        <f t="shared" si="8"/>
        <v>0</v>
      </c>
      <c r="R24" s="16">
        <f>'Dez24'!I29</f>
        <v>9.2468708440581278</v>
      </c>
      <c r="S24" s="16">
        <f>Paralelo!I29</f>
        <v>9.2468708440581278</v>
      </c>
      <c r="T24" s="16">
        <f t="shared" si="9"/>
        <v>0</v>
      </c>
      <c r="U24" s="16">
        <f>'Dez24'!J29</f>
        <v>0</v>
      </c>
      <c r="V24" s="16">
        <f>Paralelo!J29</f>
        <v>0</v>
      </c>
      <c r="W24" s="16">
        <f t="shared" si="1"/>
        <v>0</v>
      </c>
      <c r="X24" s="16">
        <f>'Dez24'!K29</f>
        <v>0.61771600000000004</v>
      </c>
      <c r="Y24" s="16">
        <f>Paralelo!K29</f>
        <v>0.61771600000000004</v>
      </c>
      <c r="Z24" s="16">
        <f t="shared" si="2"/>
        <v>0</v>
      </c>
      <c r="AA24" s="16">
        <f>'Dez24'!L29</f>
        <v>0</v>
      </c>
      <c r="AB24" s="16">
        <f>Paralelo!L29</f>
        <v>0</v>
      </c>
      <c r="AC24" s="16">
        <f t="shared" si="10"/>
        <v>0</v>
      </c>
      <c r="AD24" s="18">
        <f>'Dez24'!M29</f>
        <v>6.8651000000000004E-2</v>
      </c>
      <c r="AE24" s="18">
        <f>Paralelo!M29</f>
        <v>6.8651000000000004E-2</v>
      </c>
      <c r="AF24" s="16">
        <f t="shared" si="3"/>
        <v>0</v>
      </c>
      <c r="AG24" s="18">
        <f>'Dez24'!N29</f>
        <v>0</v>
      </c>
      <c r="AH24" s="18">
        <f>Paralelo!N29</f>
        <v>0</v>
      </c>
      <c r="AI24" s="16">
        <f t="shared" si="11"/>
        <v>0</v>
      </c>
      <c r="AJ24" s="16">
        <f>'Dez24'!O29</f>
        <v>-2.8839999999999998E-3</v>
      </c>
      <c r="AK24" s="16">
        <f>Paralelo!O29</f>
        <v>-2.8839999999999998E-3</v>
      </c>
      <c r="AL24" s="16">
        <f t="shared" si="4"/>
        <v>0</v>
      </c>
      <c r="AM24" s="18">
        <f>'Dez24'!P29</f>
        <v>-2.2910000000000001E-3</v>
      </c>
      <c r="AN24" s="18">
        <f>Paralelo!P29</f>
        <v>-2.2910000000000001E-3</v>
      </c>
      <c r="AO24" s="16">
        <f t="shared" si="12"/>
        <v>0</v>
      </c>
      <c r="AP24" s="18">
        <f>'Dez24'!Q29</f>
        <v>0</v>
      </c>
      <c r="AQ24" s="18">
        <f>Paralelo!Q29</f>
        <v>0</v>
      </c>
      <c r="AR24" s="16">
        <f t="shared" si="13"/>
        <v>0</v>
      </c>
    </row>
    <row r="25" spans="2:44" s="5" customFormat="1" outlineLevel="1" x14ac:dyDescent="0.3">
      <c r="B25" s="14" t="s">
        <v>27</v>
      </c>
      <c r="C25" s="15">
        <f>+SUM(C10:C24)</f>
        <v>39209.311451000001</v>
      </c>
      <c r="D25" s="15">
        <f>+SUM(D10:D24)</f>
        <v>39160.778864999993</v>
      </c>
      <c r="E25" s="15">
        <f>+SUM(E10:E24)</f>
        <v>-48.532585999998332</v>
      </c>
      <c r="F25" s="15">
        <f>+SUM(F10:F24)</f>
        <v>1838.4142280000001</v>
      </c>
      <c r="G25" s="15">
        <f>+SUM(G10:G24)</f>
        <v>139.63192599999999</v>
      </c>
      <c r="H25" s="15">
        <f>G25-F25</f>
        <v>-1698.7823020000001</v>
      </c>
      <c r="I25" s="15">
        <f>+SUM(I10:I24)</f>
        <v>253.68090900000004</v>
      </c>
      <c r="J25" s="15">
        <f>+SUM(J10:J24)</f>
        <v>193.87907800000002</v>
      </c>
      <c r="K25" s="15">
        <f>J25-I25</f>
        <v>-59.801831000000021</v>
      </c>
      <c r="L25" s="15">
        <f>+SUM(L10:L24)</f>
        <v>109.70790799999999</v>
      </c>
      <c r="M25" s="15">
        <f>+SUM(M10:M24)</f>
        <v>218.22840500000004</v>
      </c>
      <c r="N25" s="15">
        <f>M25-L25</f>
        <v>108.52049700000005</v>
      </c>
      <c r="O25" s="15">
        <f>+SUM(O10:O24)</f>
        <v>268.94625500000001</v>
      </c>
      <c r="P25" s="15">
        <f>+SUM(P10:P24)</f>
        <v>324.81725900000004</v>
      </c>
      <c r="Q25" s="15">
        <f>P25-O25</f>
        <v>55.871004000000028</v>
      </c>
      <c r="R25"/>
      <c r="S25"/>
      <c r="T25"/>
      <c r="U25" s="15">
        <f>+SUM(U10:U24)</f>
        <v>1962.6081880000002</v>
      </c>
      <c r="V25" s="15">
        <f>+SUM(V10:V24)</f>
        <v>450.35711700000002</v>
      </c>
      <c r="W25" s="15">
        <f t="shared" si="1"/>
        <v>-1512.2510710000001</v>
      </c>
      <c r="X25" s="15">
        <f>+SUM(X10:X24)</f>
        <v>467.263148</v>
      </c>
      <c r="Y25" s="15">
        <f>+SUM(Y10:Y24)</f>
        <v>409.72358699999995</v>
      </c>
      <c r="Z25" s="15">
        <f t="shared" si="2"/>
        <v>-57.539561000000049</v>
      </c>
      <c r="AA25" s="15">
        <f>+SUM(AA10:AA24)</f>
        <v>40.877963999999999</v>
      </c>
      <c r="AB25" s="15">
        <f>+SUM(AB10:AB24)</f>
        <v>16.475963999999998</v>
      </c>
      <c r="AC25" s="15">
        <f>AB25-AA25</f>
        <v>-24.402000000000001</v>
      </c>
      <c r="AD25" s="15">
        <f>+SUM(AD10:AD24)</f>
        <v>221.040066</v>
      </c>
      <c r="AE25" s="15">
        <f>+SUM(AE10:AE24)</f>
        <v>80.898425000000003</v>
      </c>
      <c r="AF25" s="15">
        <f t="shared" si="3"/>
        <v>-140.14164099999999</v>
      </c>
      <c r="AG25" s="15">
        <f>+SUM(AG10:AG24)</f>
        <v>77.254233999999997</v>
      </c>
      <c r="AH25" s="15">
        <f>+SUM(AH10:AH24)</f>
        <v>51.671230000000001</v>
      </c>
      <c r="AI25" s="15">
        <f t="shared" si="11"/>
        <v>-25.583003999999995</v>
      </c>
      <c r="AJ25" s="15">
        <f>+SUM(AJ10:AJ24)</f>
        <v>-52.623832</v>
      </c>
      <c r="AK25" s="15">
        <f>+SUM(AK10:AK24)</f>
        <v>-43.561885000000004</v>
      </c>
      <c r="AL25" s="15">
        <f t="shared" si="4"/>
        <v>9.0619469999999964</v>
      </c>
      <c r="AM25" s="15">
        <f>+SUM(AM10:AM24)</f>
        <v>-11.283027000000001</v>
      </c>
      <c r="AN25" s="15">
        <f>+SUM(AN10:AN24)</f>
        <v>-3.2841389999999997</v>
      </c>
      <c r="AO25" s="15">
        <f>AN25-AM25</f>
        <v>7.9988880000000009</v>
      </c>
      <c r="AP25" s="15">
        <f>+SUM(AP10:AP24)</f>
        <v>-36.386181000000001</v>
      </c>
      <c r="AQ25" s="15">
        <f>+SUM(AQ10:AQ24)</f>
        <v>-39.359158000000001</v>
      </c>
      <c r="AR25" s="15">
        <f>AQ25-AP25</f>
        <v>-2.9729770000000002</v>
      </c>
    </row>
    <row r="26" spans="2:44" x14ac:dyDescent="0.3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J26" s="11"/>
      <c r="AK26" s="11"/>
      <c r="AL26" s="11"/>
      <c r="AM26" s="11"/>
      <c r="AN26" s="11"/>
      <c r="AO26" s="1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5"/>
  <sheetViews>
    <sheetView showGridLines="0" zoomScaleNormal="100" workbookViewId="0">
      <pane ySplit="6" topLeftCell="A7" activePane="bottomLeft" state="frozen"/>
      <selection pane="bottomLeft" activeCell="J17" sqref="J17"/>
    </sheetView>
  </sheetViews>
  <sheetFormatPr defaultColWidth="0" defaultRowHeight="0" customHeight="1" zeroHeight="1" outlineLevelRow="1" x14ac:dyDescent="0.3"/>
  <cols>
    <col min="1" max="1" width="3.6640625" customWidth="1"/>
    <col min="2" max="2" width="83.33203125" customWidth="1"/>
    <col min="3" max="3" width="9" customWidth="1"/>
    <col min="4" max="4" width="11.6640625" bestFit="1" customWidth="1"/>
    <col min="5" max="5" width="9" bestFit="1" customWidth="1"/>
    <col min="6" max="6" width="11.44140625" bestFit="1" customWidth="1"/>
    <col min="7" max="7" width="6.44140625" bestFit="1" customWidth="1"/>
    <col min="8" max="8" width="8" customWidth="1"/>
    <col min="9" max="9" width="11.6640625" bestFit="1" customWidth="1"/>
    <col min="10" max="10" width="8" bestFit="1" customWidth="1"/>
    <col min="11" max="11" width="11.44140625" bestFit="1" customWidth="1"/>
    <col min="12" max="12" width="6.44140625" bestFit="1" customWidth="1"/>
    <col min="13" max="13" width="9" bestFit="1" customWidth="1"/>
    <col min="14" max="14" width="11.6640625" bestFit="1" customWidth="1"/>
    <col min="15" max="15" width="9" bestFit="1" customWidth="1"/>
    <col min="16" max="16" width="11.44140625" bestFit="1" customWidth="1"/>
    <col min="17" max="17" width="6.44140625" bestFit="1" customWidth="1"/>
    <col min="18" max="18" width="7" bestFit="1" customWidth="1"/>
    <col min="19" max="19" width="11.6640625" bestFit="1" customWidth="1"/>
    <col min="20" max="20" width="7" bestFit="1" customWidth="1"/>
    <col min="21" max="21" width="11.44140625" bestFit="1" customWidth="1"/>
    <col min="22" max="22" width="6.44140625" bestFit="1" customWidth="1"/>
    <col min="23" max="23" width="8" bestFit="1" customWidth="1"/>
    <col min="24" max="24" width="11.6640625" bestFit="1" customWidth="1"/>
    <col min="25" max="25" width="8" bestFit="1" customWidth="1"/>
    <col min="26" max="26" width="11.44140625" bestFit="1" customWidth="1"/>
    <col min="27" max="27" width="6.44140625" bestFit="1" customWidth="1"/>
    <col min="28" max="28" width="7" bestFit="1" customWidth="1"/>
    <col min="29" max="29" width="11.6640625" bestFit="1" customWidth="1"/>
    <col min="30" max="30" width="7" bestFit="1" customWidth="1"/>
    <col min="31" max="31" width="11.44140625" bestFit="1" customWidth="1"/>
    <col min="32" max="32" width="6.44140625" bestFit="1" customWidth="1"/>
    <col min="33" max="33" width="7.33203125" bestFit="1" customWidth="1"/>
    <col min="34" max="34" width="11.6640625" bestFit="1" customWidth="1"/>
    <col min="35" max="35" width="7.33203125" bestFit="1" customWidth="1"/>
    <col min="36" max="36" width="11.44140625" bestFit="1" customWidth="1"/>
    <col min="37" max="37" width="6.44140625" bestFit="1" customWidth="1"/>
    <col min="38" max="38" width="7" bestFit="1" customWidth="1"/>
    <col min="39" max="39" width="11.6640625" bestFit="1" customWidth="1"/>
    <col min="40" max="40" width="7.33203125" bestFit="1" customWidth="1"/>
    <col min="41" max="41" width="11.44140625" bestFit="1" customWidth="1"/>
    <col min="42" max="42" width="6.44140625" bestFit="1" customWidth="1"/>
    <col min="43" max="43" width="7.33203125" bestFit="1" customWidth="1"/>
    <col min="44" max="44" width="11.6640625" bestFit="1" customWidth="1"/>
    <col min="45" max="45" width="7.33203125" bestFit="1" customWidth="1"/>
    <col min="46" max="46" width="11.44140625" bestFit="1" customWidth="1"/>
    <col min="47" max="47" width="6.44140625" bestFit="1" customWidth="1"/>
    <col min="48" max="48" width="3.6640625" customWidth="1"/>
    <col min="49" max="16384" width="9.109375" hidden="1"/>
  </cols>
  <sheetData>
    <row r="1" spans="1:4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5" customHeight="1" x14ac:dyDescent="0.3"/>
    <row r="8" spans="1:48" ht="28.8" x14ac:dyDescent="0.3">
      <c r="C8" s="34" t="s">
        <v>1</v>
      </c>
      <c r="D8" s="34"/>
      <c r="E8" s="35"/>
      <c r="F8" s="35"/>
      <c r="G8" s="35"/>
      <c r="H8" s="40" t="s">
        <v>2</v>
      </c>
      <c r="I8" s="40"/>
      <c r="J8" s="33"/>
      <c r="K8" s="33"/>
      <c r="L8" s="33"/>
      <c r="M8" s="40" t="s">
        <v>3</v>
      </c>
      <c r="N8" s="40"/>
      <c r="O8" s="33"/>
      <c r="P8" s="33"/>
      <c r="Q8" s="33"/>
      <c r="R8" s="40" t="s">
        <v>4</v>
      </c>
      <c r="S8" s="17"/>
      <c r="T8" s="6"/>
      <c r="U8" s="6"/>
      <c r="V8" s="6"/>
      <c r="W8" s="39" t="s">
        <v>5</v>
      </c>
      <c r="X8" s="39"/>
      <c r="Y8" s="38"/>
      <c r="Z8" s="38"/>
      <c r="AA8" s="38"/>
      <c r="AB8" s="36" t="s">
        <v>6</v>
      </c>
      <c r="AC8" s="36"/>
      <c r="AD8" s="35"/>
      <c r="AE8" s="35"/>
      <c r="AF8" s="35"/>
      <c r="AG8" s="36" t="s">
        <v>7</v>
      </c>
      <c r="AH8" s="36"/>
      <c r="AI8" s="35"/>
      <c r="AJ8" s="35"/>
      <c r="AK8" s="35"/>
      <c r="AL8" s="39" t="s">
        <v>8</v>
      </c>
      <c r="AM8" s="36"/>
      <c r="AN8" s="35"/>
      <c r="AO8" s="35"/>
      <c r="AP8" s="35"/>
      <c r="AQ8" s="39" t="s">
        <v>9</v>
      </c>
      <c r="AR8" s="36"/>
      <c r="AS8" s="35"/>
      <c r="AT8" s="35"/>
      <c r="AU8" s="35"/>
    </row>
    <row r="9" spans="1:48" ht="14.4" x14ac:dyDescent="0.3">
      <c r="B9" s="5" t="s">
        <v>10</v>
      </c>
      <c r="C9" s="13">
        <v>45627</v>
      </c>
      <c r="D9" s="13" t="s">
        <v>61</v>
      </c>
      <c r="E9" s="13">
        <v>45778</v>
      </c>
      <c r="F9" s="13" t="s">
        <v>62</v>
      </c>
      <c r="G9" s="12" t="s">
        <v>11</v>
      </c>
      <c r="H9" s="13">
        <v>45627</v>
      </c>
      <c r="I9" s="13" t="s">
        <v>61</v>
      </c>
      <c r="J9" s="13">
        <v>45778</v>
      </c>
      <c r="K9" s="13" t="s">
        <v>62</v>
      </c>
      <c r="L9" s="12" t="s">
        <v>11</v>
      </c>
      <c r="M9" s="13">
        <v>45627</v>
      </c>
      <c r="N9" s="13" t="s">
        <v>61</v>
      </c>
      <c r="O9" s="13">
        <v>45778</v>
      </c>
      <c r="P9" s="13" t="s">
        <v>62</v>
      </c>
      <c r="Q9" s="12" t="s">
        <v>11</v>
      </c>
      <c r="R9" s="13">
        <v>45627</v>
      </c>
      <c r="S9" s="13" t="s">
        <v>61</v>
      </c>
      <c r="T9" s="13">
        <v>45778</v>
      </c>
      <c r="U9" s="13" t="s">
        <v>62</v>
      </c>
      <c r="V9" s="12" t="s">
        <v>11</v>
      </c>
      <c r="W9" s="13">
        <v>45627</v>
      </c>
      <c r="X9" s="13" t="s">
        <v>61</v>
      </c>
      <c r="Y9" s="13">
        <v>45778</v>
      </c>
      <c r="Z9" s="13" t="s">
        <v>62</v>
      </c>
      <c r="AA9" s="12" t="s">
        <v>11</v>
      </c>
      <c r="AB9" s="13">
        <v>45627</v>
      </c>
      <c r="AC9" s="13" t="s">
        <v>61</v>
      </c>
      <c r="AD9" s="13">
        <v>45778</v>
      </c>
      <c r="AE9" s="13" t="s">
        <v>62</v>
      </c>
      <c r="AF9" s="12" t="s">
        <v>11</v>
      </c>
      <c r="AG9" s="13">
        <v>45627</v>
      </c>
      <c r="AH9" s="13" t="s">
        <v>61</v>
      </c>
      <c r="AI9" s="13">
        <v>45778</v>
      </c>
      <c r="AJ9" s="13" t="s">
        <v>62</v>
      </c>
      <c r="AK9" s="12" t="s">
        <v>11</v>
      </c>
      <c r="AL9" s="13">
        <v>45627</v>
      </c>
      <c r="AM9" s="13" t="s">
        <v>61</v>
      </c>
      <c r="AN9" s="13">
        <v>45778</v>
      </c>
      <c r="AO9" s="13" t="s">
        <v>62</v>
      </c>
      <c r="AP9" s="12" t="s">
        <v>11</v>
      </c>
      <c r="AQ9" s="13">
        <v>45627</v>
      </c>
      <c r="AR9" s="13" t="s">
        <v>61</v>
      </c>
      <c r="AS9" s="13">
        <v>45778</v>
      </c>
      <c r="AT9" s="13" t="s">
        <v>62</v>
      </c>
      <c r="AU9" s="12" t="s">
        <v>11</v>
      </c>
    </row>
    <row r="10" spans="1:48" ht="14.4" x14ac:dyDescent="0.3">
      <c r="B10" s="14" t="s">
        <v>12</v>
      </c>
      <c r="C10" s="16">
        <f>'Dez24'!D15</f>
        <v>331.59960899999999</v>
      </c>
      <c r="D10" s="16">
        <f>+C10/C$25</f>
        <v>8.457164809292839E-3</v>
      </c>
      <c r="E10" s="16">
        <f>Paralelo!D15</f>
        <v>331.599627</v>
      </c>
      <c r="F10" s="16">
        <f>+E10/E$25</f>
        <v>8.4676463699338653E-3</v>
      </c>
      <c r="G10" s="16">
        <f>+F10-D10</f>
        <v>1.0481560641026344E-5</v>
      </c>
      <c r="H10" s="16">
        <f>'Dez24'!J15</f>
        <v>177.514757</v>
      </c>
      <c r="I10" s="16">
        <f>+H10/H$25</f>
        <v>9.0448393156301252E-2</v>
      </c>
      <c r="J10" s="16">
        <f>Paralelo!J15</f>
        <v>99.654561999999999</v>
      </c>
      <c r="K10" s="16">
        <f>+J10/J$25</f>
        <v>0.22127897670150506</v>
      </c>
      <c r="L10" s="16">
        <f>+K10-I10</f>
        <v>0.13083058354520383</v>
      </c>
      <c r="M10" s="16">
        <f>'Dez24'!K15</f>
        <v>0.102603</v>
      </c>
      <c r="N10" s="16">
        <f t="shared" ref="N10:N25" si="0">+M10/M$25</f>
        <v>2.195829062042787E-4</v>
      </c>
      <c r="O10" s="16">
        <f>Paralelo!K15</f>
        <v>0</v>
      </c>
      <c r="P10" s="16">
        <f>+O10/O$25</f>
        <v>0</v>
      </c>
      <c r="Q10" s="16">
        <f>+P10-N10</f>
        <v>-2.195829062042787E-4</v>
      </c>
      <c r="R10" s="16">
        <f>'Dez24'!L15</f>
        <v>6.4175469999999999</v>
      </c>
      <c r="S10" s="16">
        <f t="shared" ref="S10:S25" si="1">+R10/R$25</f>
        <v>0.15699282381089236</v>
      </c>
      <c r="T10" s="16">
        <f>Paralelo!L15</f>
        <v>0.67735800000000002</v>
      </c>
      <c r="U10" s="16">
        <f>+T10/T$25</f>
        <v>4.1111888809662371E-2</v>
      </c>
      <c r="V10" s="16">
        <f>+U10-S10</f>
        <v>-0.11588093500122998</v>
      </c>
      <c r="W10" s="16">
        <f>'Dez24'!M15</f>
        <v>25.000008999999999</v>
      </c>
      <c r="X10" s="16">
        <f>+W10/W$25</f>
        <v>0.11310170799532787</v>
      </c>
      <c r="Y10" s="16">
        <f>Paralelo!M15</f>
        <v>4.3650080000000004</v>
      </c>
      <c r="Z10" s="16">
        <f>+Y10/Y$25</f>
        <v>5.3956649959501689E-2</v>
      </c>
      <c r="AA10" s="16">
        <f>+Z10-X10</f>
        <v>-5.9145058035826183E-2</v>
      </c>
      <c r="AB10" s="16">
        <f>'Dez24'!N15</f>
        <v>22.63617</v>
      </c>
      <c r="AC10" s="16">
        <f>+AB10/AB$25</f>
        <v>0.29300879483187936</v>
      </c>
      <c r="AD10" s="16">
        <f>Paralelo!N15</f>
        <v>1.0167759999999999</v>
      </c>
      <c r="AE10" s="16">
        <f>+AD10/AD$25</f>
        <v>1.9677797490015234E-2</v>
      </c>
      <c r="AF10" s="16">
        <f>+AE10-AC10</f>
        <v>-0.27333099734186411</v>
      </c>
      <c r="AG10" s="16">
        <f>'Dez24'!O15</f>
        <v>-4.7927090000000003</v>
      </c>
      <c r="AH10" s="16">
        <f>+AG10/AG$25</f>
        <v>9.1074876493220797E-2</v>
      </c>
      <c r="AI10" s="16">
        <f>Paralelo!O15</f>
        <v>-0.68246399999999996</v>
      </c>
      <c r="AJ10" s="16">
        <f>+AI10/AI$25</f>
        <v>1.5666539682568831E-2</v>
      </c>
      <c r="AK10" s="16">
        <f>+AJ10-AH10</f>
        <v>-7.5408336810651969E-2</v>
      </c>
      <c r="AL10" s="16">
        <f>'Dez24'!P15</f>
        <v>-1.2576830000000001</v>
      </c>
      <c r="AM10" s="16">
        <f>+AL10/AL$25</f>
        <v>0.11146680762174903</v>
      </c>
      <c r="AN10" s="16">
        <f>Paralelo!P15</f>
        <v>-0.21757000000000001</v>
      </c>
      <c r="AO10" s="16">
        <f>+AN10/AN$25</f>
        <v>6.624871846167292E-2</v>
      </c>
      <c r="AP10" s="16">
        <f>+AO10-AM10</f>
        <v>-4.5218089160076108E-2</v>
      </c>
      <c r="AQ10" s="16">
        <f>'Dez24'!Q15</f>
        <v>-3.0220790000000002</v>
      </c>
      <c r="AR10" s="16">
        <f>+AQ10/AQ$25</f>
        <v>8.3055679847247502E-2</v>
      </c>
      <c r="AS10" s="16">
        <f>Paralelo!Q15</f>
        <v>-0.314496</v>
      </c>
      <c r="AT10" s="16">
        <f>+AS10/AS$25</f>
        <v>7.9904148356019205E-3</v>
      </c>
      <c r="AU10" s="16">
        <f>+AT10-AR10</f>
        <v>-7.5065265011645579E-2</v>
      </c>
    </row>
    <row r="11" spans="1:48" ht="14.4" x14ac:dyDescent="0.3">
      <c r="B11" s="14" t="s">
        <v>13</v>
      </c>
      <c r="C11" s="16">
        <f>'Dez24'!D16</f>
        <v>14.172371</v>
      </c>
      <c r="D11" s="16">
        <f t="shared" ref="D11:D25" si="2">+C11/C$25</f>
        <v>3.6145421777455228E-4</v>
      </c>
      <c r="E11" s="16">
        <f>Paralelo!D16</f>
        <v>14.172404999999999</v>
      </c>
      <c r="F11" s="16">
        <f t="shared" ref="F11:F24" si="3">+E11/E$25</f>
        <v>3.619030420425731E-4</v>
      </c>
      <c r="G11" s="16">
        <f t="shared" ref="G11:G24" si="4">+F11-D11</f>
        <v>4.4882426802081519E-7</v>
      </c>
      <c r="H11" s="16">
        <f>'Dez24'!J16</f>
        <v>12.101189</v>
      </c>
      <c r="I11" s="16">
        <f t="shared" ref="I11:I25" si="5">+H11/H$25</f>
        <v>6.1658710454743091E-3</v>
      </c>
      <c r="J11" s="16">
        <f>Paralelo!J16</f>
        <v>1.355796</v>
      </c>
      <c r="K11" s="16">
        <f t="shared" ref="K11:K24" si="6">+J11/J$25</f>
        <v>3.0104908944960673E-3</v>
      </c>
      <c r="L11" s="16">
        <f t="shared" ref="L11:L24" si="7">+K11-I11</f>
        <v>-3.1553801509782418E-3</v>
      </c>
      <c r="M11" s="16">
        <f>'Dez24'!K16</f>
        <v>0</v>
      </c>
      <c r="N11" s="16">
        <f t="shared" si="0"/>
        <v>0</v>
      </c>
      <c r="O11" s="16">
        <f>Paralelo!K16</f>
        <v>0</v>
      </c>
      <c r="P11" s="16">
        <f t="shared" ref="P11:P24" si="8">+O11/O$25</f>
        <v>0</v>
      </c>
      <c r="Q11" s="16">
        <f t="shared" ref="Q11:Q24" si="9">+P11-N11</f>
        <v>0</v>
      </c>
      <c r="R11" s="16">
        <f>'Dez24'!L16</f>
        <v>0</v>
      </c>
      <c r="S11" s="16">
        <f t="shared" si="1"/>
        <v>0</v>
      </c>
      <c r="T11" s="16">
        <f>Paralelo!L16</f>
        <v>0</v>
      </c>
      <c r="U11" s="16">
        <f t="shared" ref="U11:U24" si="10">+T11/T$25</f>
        <v>0</v>
      </c>
      <c r="V11" s="16">
        <f t="shared" ref="V11:V24" si="11">+U11-S11</f>
        <v>0</v>
      </c>
      <c r="W11" s="16">
        <f>'Dez24'!M16</f>
        <v>1.9282250000000001</v>
      </c>
      <c r="X11" s="16">
        <f t="shared" ref="X11:Z24" si="12">+W11/W$25</f>
        <v>8.7234184955409851E-3</v>
      </c>
      <c r="Y11" s="16">
        <f>Paralelo!M16</f>
        <v>9.9999999999999995E-7</v>
      </c>
      <c r="Z11" s="16">
        <f t="shared" si="12"/>
        <v>1.2361180084779152E-8</v>
      </c>
      <c r="AA11" s="16">
        <f t="shared" ref="AA11:AA24" si="13">+Z11-X11</f>
        <v>-8.7234061343609004E-3</v>
      </c>
      <c r="AB11" s="16">
        <f>'Dez24'!N16</f>
        <v>1.5924640000000001</v>
      </c>
      <c r="AC11" s="16">
        <f t="shared" ref="AC11:AE24" si="14">+AB11/AB$25</f>
        <v>2.0613290916844766E-2</v>
      </c>
      <c r="AD11" s="16">
        <f>Paralelo!N16</f>
        <v>0.77019700000000002</v>
      </c>
      <c r="AE11" s="16">
        <f t="shared" si="14"/>
        <v>1.4905722197826527E-2</v>
      </c>
      <c r="AF11" s="16">
        <f t="shared" ref="AF11:AF24" si="15">+AE11-AC11</f>
        <v>-5.7075687190182387E-3</v>
      </c>
      <c r="AG11" s="16">
        <f>'Dez24'!O16</f>
        <v>-1.2004140000000001</v>
      </c>
      <c r="AH11" s="16">
        <f t="shared" ref="AH11:AJ24" si="16">+AG11/AG$25</f>
        <v>2.2811223629628494E-2</v>
      </c>
      <c r="AI11" s="16">
        <f>Paralelo!O16</f>
        <v>-0.19980200000000001</v>
      </c>
      <c r="AJ11" s="16">
        <f t="shared" si="16"/>
        <v>4.5866242932324896E-3</v>
      </c>
      <c r="AK11" s="16">
        <f t="shared" ref="AK11:AK24" si="17">+AJ11-AH11</f>
        <v>-1.8224599336396002E-2</v>
      </c>
      <c r="AL11" s="16">
        <f>'Dez24'!P16</f>
        <v>-0.101775</v>
      </c>
      <c r="AM11" s="16">
        <f t="shared" ref="AM11:AO24" si="18">+AL11/AL$25</f>
        <v>9.0201858065216012E-3</v>
      </c>
      <c r="AN11" s="16">
        <f>Paralelo!P16</f>
        <v>0</v>
      </c>
      <c r="AO11" s="16">
        <f t="shared" si="18"/>
        <v>0</v>
      </c>
      <c r="AP11" s="16">
        <f t="shared" ref="AP11:AP24" si="19">+AO11-AM11</f>
        <v>-9.0201858065216012E-3</v>
      </c>
      <c r="AQ11" s="16">
        <f>'Dez24'!Q16</f>
        <v>-1.068163</v>
      </c>
      <c r="AR11" s="16">
        <f t="shared" ref="AR11:AT24" si="20">+AQ11/AQ$25</f>
        <v>2.9356282265511732E-2</v>
      </c>
      <c r="AS11" s="16">
        <f>Paralelo!Q16</f>
        <v>-0.198244</v>
      </c>
      <c r="AT11" s="16">
        <f t="shared" si="20"/>
        <v>5.0367947403752895E-3</v>
      </c>
      <c r="AU11" s="16">
        <f t="shared" ref="AU11:AU24" si="21">+AT11-AR11</f>
        <v>-2.4319487525136442E-2</v>
      </c>
    </row>
    <row r="12" spans="1:48" ht="14.4" outlineLevel="1" x14ac:dyDescent="0.3">
      <c r="B12" s="14" t="s">
        <v>14</v>
      </c>
      <c r="C12" s="16">
        <f>'Dez24'!D17</f>
        <v>2226.1042400000001</v>
      </c>
      <c r="D12" s="16">
        <f t="shared" si="2"/>
        <v>5.6774887332106547E-2</v>
      </c>
      <c r="E12" s="16">
        <f>Paralelo!D17</f>
        <v>2088.2509749999999</v>
      </c>
      <c r="F12" s="16">
        <f t="shared" si="3"/>
        <v>5.332506235891997E-2</v>
      </c>
      <c r="G12" s="16">
        <f t="shared" si="4"/>
        <v>-3.4498249731865771E-3</v>
      </c>
      <c r="H12" s="16">
        <f>'Dez24'!J17</f>
        <v>1080.7706639999999</v>
      </c>
      <c r="I12" s="16">
        <f t="shared" si="5"/>
        <v>0.55068080863422941</v>
      </c>
      <c r="J12" s="16">
        <f>Paralelo!J17</f>
        <v>74.579847999999998</v>
      </c>
      <c r="K12" s="16">
        <f t="shared" si="6"/>
        <v>0.16560157524944807</v>
      </c>
      <c r="L12" s="16">
        <f t="shared" si="7"/>
        <v>-0.38507923338478134</v>
      </c>
      <c r="M12" s="16">
        <f>'Dez24'!K17</f>
        <v>5.7703810000000004</v>
      </c>
      <c r="N12" s="16">
        <f t="shared" si="0"/>
        <v>1.2349317562702378E-2</v>
      </c>
      <c r="O12" s="16">
        <f>Paralelo!K17</f>
        <v>1.5936669999999999</v>
      </c>
      <c r="P12" s="16">
        <f t="shared" si="8"/>
        <v>3.8896149759618309E-3</v>
      </c>
      <c r="Q12" s="16">
        <f t="shared" si="9"/>
        <v>-8.459702586740548E-3</v>
      </c>
      <c r="R12" s="16">
        <f>'Dez24'!L17</f>
        <v>15.823188999999999</v>
      </c>
      <c r="S12" s="16">
        <f t="shared" si="1"/>
        <v>0.38708358860534248</v>
      </c>
      <c r="T12" s="16">
        <f>Paralelo!L17</f>
        <v>2.656209</v>
      </c>
      <c r="U12" s="16">
        <f t="shared" si="10"/>
        <v>0.16121721314758883</v>
      </c>
      <c r="V12" s="16">
        <f t="shared" si="11"/>
        <v>-0.22586637545775365</v>
      </c>
      <c r="W12" s="16">
        <f>'Dez24'!M17</f>
        <v>129.84300999999999</v>
      </c>
      <c r="X12" s="16">
        <f t="shared" si="12"/>
        <v>0.5874184366195403</v>
      </c>
      <c r="Y12" s="16">
        <f>Paralelo!M17</f>
        <v>13.923206</v>
      </c>
      <c r="Z12" s="16">
        <f t="shared" si="12"/>
        <v>0.17210725672347763</v>
      </c>
      <c r="AA12" s="16">
        <f t="shared" si="13"/>
        <v>-0.4153111798960627</v>
      </c>
      <c r="AB12" s="16">
        <f>'Dez24'!N17</f>
        <v>36.092692999999997</v>
      </c>
      <c r="AC12" s="16">
        <f t="shared" si="14"/>
        <v>0.46719372041149226</v>
      </c>
      <c r="AD12" s="16">
        <f>Paralelo!N17</f>
        <v>5.4356580000000001</v>
      </c>
      <c r="AE12" s="16">
        <f t="shared" si="14"/>
        <v>0.1051969926011051</v>
      </c>
      <c r="AF12" s="16">
        <f t="shared" si="15"/>
        <v>-0.36199672781038716</v>
      </c>
      <c r="AG12" s="16">
        <f>'Dez24'!O17</f>
        <v>-34.118223</v>
      </c>
      <c r="AH12" s="16">
        <f t="shared" si="16"/>
        <v>0.64834166770675306</v>
      </c>
      <c r="AI12" s="16">
        <f>Paralelo!O17</f>
        <v>-3.7293859999999999</v>
      </c>
      <c r="AJ12" s="16">
        <f t="shared" si="16"/>
        <v>8.5611217237270595E-2</v>
      </c>
      <c r="AK12" s="16">
        <f t="shared" si="17"/>
        <v>-0.56273045046948245</v>
      </c>
      <c r="AL12" s="16">
        <f>'Dez24'!P17</f>
        <v>-6.3283339999999999</v>
      </c>
      <c r="AM12" s="16">
        <f t="shared" si="18"/>
        <v>0.5608720071307105</v>
      </c>
      <c r="AN12" s="16">
        <f>Paralelo!P17</f>
        <v>-0.74670700000000001</v>
      </c>
      <c r="AO12" s="16">
        <f t="shared" si="18"/>
        <v>0.22736766013862389</v>
      </c>
      <c r="AP12" s="16">
        <f t="shared" si="19"/>
        <v>-0.33350434699208664</v>
      </c>
      <c r="AQ12" s="16">
        <f>'Dez24'!Q17</f>
        <v>-24.740666000000001</v>
      </c>
      <c r="AR12" s="16">
        <f t="shared" si="20"/>
        <v>0.6799467633055527</v>
      </c>
      <c r="AS12" s="16">
        <f>Paralelo!Q17</f>
        <v>-2.8424659999999999</v>
      </c>
      <c r="AT12" s="16">
        <f t="shared" si="20"/>
        <v>7.221866890546795E-2</v>
      </c>
      <c r="AU12" s="16">
        <f t="shared" si="21"/>
        <v>-0.6077280944000848</v>
      </c>
    </row>
    <row r="13" spans="1:48" ht="14.4" outlineLevel="1" x14ac:dyDescent="0.3">
      <c r="B13" s="14" t="s">
        <v>15</v>
      </c>
      <c r="C13" s="16">
        <f>'Dez24'!D18</f>
        <v>526.82284200000004</v>
      </c>
      <c r="D13" s="16">
        <f t="shared" si="2"/>
        <v>1.3436166627367895E-2</v>
      </c>
      <c r="E13" s="16">
        <f>Paralelo!D18</f>
        <v>656.07860900000003</v>
      </c>
      <c r="F13" s="16">
        <f t="shared" si="3"/>
        <v>1.675346170365297E-2</v>
      </c>
      <c r="G13" s="16">
        <f t="shared" si="4"/>
        <v>3.3172950762850751E-3</v>
      </c>
      <c r="H13" s="16">
        <f>'Dez24'!J18</f>
        <v>406.41287899999998</v>
      </c>
      <c r="I13" s="16">
        <f t="shared" si="5"/>
        <v>0.20707794937621035</v>
      </c>
      <c r="J13" s="16">
        <f>Paralelo!J18</f>
        <v>0</v>
      </c>
      <c r="K13" s="16">
        <f t="shared" si="6"/>
        <v>0</v>
      </c>
      <c r="L13" s="16">
        <f t="shared" si="7"/>
        <v>-0.20707794937621035</v>
      </c>
      <c r="M13" s="16">
        <f>'Dez24'!K18</f>
        <v>45.010469000000001</v>
      </c>
      <c r="N13" s="16">
        <f t="shared" si="0"/>
        <v>9.6327881179279304E-2</v>
      </c>
      <c r="O13" s="16">
        <f>Paralelo!K18</f>
        <v>0.84249700000000005</v>
      </c>
      <c r="P13" s="16">
        <f t="shared" si="8"/>
        <v>2.0562570150495147E-3</v>
      </c>
      <c r="Q13" s="16">
        <f t="shared" si="9"/>
        <v>-9.4271624164229795E-2</v>
      </c>
      <c r="R13" s="16">
        <f>'Dez24'!L18</f>
        <v>0</v>
      </c>
      <c r="S13" s="16">
        <f t="shared" si="1"/>
        <v>0</v>
      </c>
      <c r="T13" s="16">
        <f>Paralelo!L18</f>
        <v>0</v>
      </c>
      <c r="U13" s="16">
        <f t="shared" si="10"/>
        <v>0</v>
      </c>
      <c r="V13" s="16">
        <f t="shared" si="11"/>
        <v>0</v>
      </c>
      <c r="W13" s="16">
        <f>'Dez24'!M18</f>
        <v>0.55489999999999995</v>
      </c>
      <c r="X13" s="16">
        <f t="shared" si="12"/>
        <v>2.5104046069186385E-3</v>
      </c>
      <c r="Y13" s="16">
        <f>Paralelo!M18</f>
        <v>0</v>
      </c>
      <c r="Z13" s="16">
        <f t="shared" si="12"/>
        <v>0</v>
      </c>
      <c r="AA13" s="16">
        <f t="shared" si="13"/>
        <v>-2.5104046069186385E-3</v>
      </c>
      <c r="AB13" s="16">
        <f>'Dez24'!N18</f>
        <v>4.725E-3</v>
      </c>
      <c r="AC13" s="16">
        <f t="shared" si="14"/>
        <v>6.1161696328514508E-5</v>
      </c>
      <c r="AD13" s="16">
        <f>Paralelo!N18</f>
        <v>0</v>
      </c>
      <c r="AE13" s="16">
        <f t="shared" si="14"/>
        <v>0</v>
      </c>
      <c r="AF13" s="16">
        <f t="shared" si="15"/>
        <v>-6.1161696328514508E-5</v>
      </c>
      <c r="AG13" s="16">
        <f>'Dez24'!O18</f>
        <v>-0.32982099999999998</v>
      </c>
      <c r="AH13" s="16">
        <f t="shared" si="16"/>
        <v>6.2675215290289004E-3</v>
      </c>
      <c r="AI13" s="16">
        <f>Paralelo!O18</f>
        <v>-5.313E-3</v>
      </c>
      <c r="AJ13" s="16">
        <f t="shared" si="16"/>
        <v>1.2196441912465448E-4</v>
      </c>
      <c r="AK13" s="16">
        <f t="shared" si="17"/>
        <v>-6.1455571099042457E-3</v>
      </c>
      <c r="AL13" s="16">
        <f>'Dez24'!P18</f>
        <v>-4.4110999999999997E-2</v>
      </c>
      <c r="AM13" s="16">
        <f t="shared" si="18"/>
        <v>3.9095005267646699E-3</v>
      </c>
      <c r="AN13" s="16">
        <f>Paralelo!P18</f>
        <v>0</v>
      </c>
      <c r="AO13" s="16">
        <f t="shared" si="18"/>
        <v>0</v>
      </c>
      <c r="AP13" s="16">
        <f t="shared" si="19"/>
        <v>-3.9095005267646699E-3</v>
      </c>
      <c r="AQ13" s="16">
        <f>'Dez24'!Q18</f>
        <v>-3.712E-3</v>
      </c>
      <c r="AR13" s="16">
        <f t="shared" si="20"/>
        <v>1.0201675190919321E-4</v>
      </c>
      <c r="AS13" s="16">
        <f>Paralelo!Q18</f>
        <v>0</v>
      </c>
      <c r="AT13" s="16">
        <f t="shared" si="20"/>
        <v>0</v>
      </c>
      <c r="AU13" s="16">
        <f t="shared" si="21"/>
        <v>-1.0201675190919321E-4</v>
      </c>
    </row>
    <row r="14" spans="1:48" ht="14.4" outlineLevel="1" x14ac:dyDescent="0.3">
      <c r="B14" s="14" t="s">
        <v>16</v>
      </c>
      <c r="C14" s="16">
        <f>'Dez24'!D19</f>
        <v>33.931311999999998</v>
      </c>
      <c r="D14" s="16">
        <f t="shared" si="2"/>
        <v>8.6538913192607482E-4</v>
      </c>
      <c r="E14" s="16">
        <f>Paralelo!D19</f>
        <v>33.931317</v>
      </c>
      <c r="F14" s="16">
        <f t="shared" si="3"/>
        <v>8.6646175033883632E-4</v>
      </c>
      <c r="G14" s="16">
        <f t="shared" si="4"/>
        <v>1.0726184127615029E-6</v>
      </c>
      <c r="H14" s="16">
        <f>'Dez24'!J19</f>
        <v>0</v>
      </c>
      <c r="I14" s="16">
        <f t="shared" si="5"/>
        <v>0</v>
      </c>
      <c r="J14" s="16">
        <f>Paralelo!J19</f>
        <v>0</v>
      </c>
      <c r="K14" s="16">
        <f t="shared" si="6"/>
        <v>0</v>
      </c>
      <c r="L14" s="16">
        <f t="shared" si="7"/>
        <v>0</v>
      </c>
      <c r="M14" s="16">
        <f>'Dez24'!K19</f>
        <v>0.50970000000000004</v>
      </c>
      <c r="N14" s="16">
        <f t="shared" si="0"/>
        <v>1.0908200276046594E-3</v>
      </c>
      <c r="O14" s="16">
        <f>Paralelo!K19</f>
        <v>0</v>
      </c>
      <c r="P14" s="16">
        <f t="shared" si="8"/>
        <v>0</v>
      </c>
      <c r="Q14" s="16">
        <f t="shared" si="9"/>
        <v>-1.0908200276046594E-3</v>
      </c>
      <c r="R14" s="16">
        <f>'Dez24'!L19</f>
        <v>0</v>
      </c>
      <c r="S14" s="16">
        <f t="shared" si="1"/>
        <v>0</v>
      </c>
      <c r="T14" s="16">
        <f>Paralelo!L19</f>
        <v>0</v>
      </c>
      <c r="U14" s="16">
        <f t="shared" si="10"/>
        <v>0</v>
      </c>
      <c r="V14" s="16">
        <f t="shared" si="11"/>
        <v>0</v>
      </c>
      <c r="W14" s="16">
        <f>'Dez24'!M19</f>
        <v>0.25844499999999998</v>
      </c>
      <c r="X14" s="16">
        <f t="shared" si="12"/>
        <v>1.1692224159940306E-3</v>
      </c>
      <c r="Y14" s="16">
        <f>Paralelo!M19</f>
        <v>0</v>
      </c>
      <c r="Z14" s="16">
        <f t="shared" si="12"/>
        <v>0</v>
      </c>
      <c r="AA14" s="16">
        <f t="shared" si="13"/>
        <v>-1.1692224159940306E-3</v>
      </c>
      <c r="AB14" s="16">
        <f>'Dez24'!N19</f>
        <v>0</v>
      </c>
      <c r="AC14" s="16">
        <f t="shared" si="14"/>
        <v>0</v>
      </c>
      <c r="AD14" s="16">
        <f>Paralelo!N19</f>
        <v>0</v>
      </c>
      <c r="AE14" s="16">
        <f t="shared" si="14"/>
        <v>0</v>
      </c>
      <c r="AF14" s="16">
        <f t="shared" si="15"/>
        <v>0</v>
      </c>
      <c r="AG14" s="16">
        <f>'Dez24'!O19</f>
        <v>-1.2884E-2</v>
      </c>
      <c r="AH14" s="16">
        <f t="shared" si="16"/>
        <v>2.4483203731723681E-4</v>
      </c>
      <c r="AI14" s="16">
        <f>Paralelo!O19</f>
        <v>0</v>
      </c>
      <c r="AJ14" s="16">
        <f t="shared" si="16"/>
        <v>0</v>
      </c>
      <c r="AK14" s="16">
        <f t="shared" si="17"/>
        <v>-2.4483203731723681E-4</v>
      </c>
      <c r="AL14" s="16">
        <f>'Dez24'!P19</f>
        <v>-1.1192000000000001E-2</v>
      </c>
      <c r="AM14" s="16">
        <f t="shared" si="18"/>
        <v>9.919323954467184E-4</v>
      </c>
      <c r="AN14" s="16">
        <f>Paralelo!P19</f>
        <v>0</v>
      </c>
      <c r="AO14" s="16">
        <f t="shared" si="18"/>
        <v>0</v>
      </c>
      <c r="AP14" s="16">
        <f t="shared" si="19"/>
        <v>-9.919323954467184E-4</v>
      </c>
      <c r="AQ14" s="16">
        <f>'Dez24'!Q19</f>
        <v>0</v>
      </c>
      <c r="AR14" s="16">
        <f t="shared" si="20"/>
        <v>0</v>
      </c>
      <c r="AS14" s="16">
        <f>Paralelo!Q19</f>
        <v>0</v>
      </c>
      <c r="AT14" s="16">
        <f t="shared" si="20"/>
        <v>0</v>
      </c>
      <c r="AU14" s="16">
        <f t="shared" si="21"/>
        <v>0</v>
      </c>
    </row>
    <row r="15" spans="1:48" ht="14.4" outlineLevel="1" x14ac:dyDescent="0.3">
      <c r="B15" s="14" t="s">
        <v>17</v>
      </c>
      <c r="C15" s="16">
        <f>'Dez24'!D20</f>
        <v>1044.253283</v>
      </c>
      <c r="D15" s="16">
        <f t="shared" si="2"/>
        <v>2.6632788089252894E-2</v>
      </c>
      <c r="E15" s="16">
        <f>Paralelo!D20</f>
        <v>969.68561999999997</v>
      </c>
      <c r="F15" s="16">
        <f t="shared" si="3"/>
        <v>2.4761653064736617E-2</v>
      </c>
      <c r="G15" s="16">
        <f t="shared" si="4"/>
        <v>-1.8711350245162774E-3</v>
      </c>
      <c r="H15" s="16">
        <f>'Dez24'!J20</f>
        <v>15.442708</v>
      </c>
      <c r="I15" s="16">
        <f t="shared" si="5"/>
        <v>7.8684620264103371E-3</v>
      </c>
      <c r="J15" s="16">
        <f>Paralelo!J20</f>
        <v>1.969824</v>
      </c>
      <c r="K15" s="16">
        <f t="shared" si="6"/>
        <v>4.3739155564405125E-3</v>
      </c>
      <c r="L15" s="16">
        <f t="shared" si="7"/>
        <v>-3.4945464699698246E-3</v>
      </c>
      <c r="M15" s="16">
        <f>'Dez24'!K20</f>
        <v>6.6006010000000002</v>
      </c>
      <c r="N15" s="16">
        <f t="shared" si="0"/>
        <v>1.4126089395776618E-2</v>
      </c>
      <c r="O15" s="16">
        <f>Paralelo!K20</f>
        <v>3.573172</v>
      </c>
      <c r="P15" s="16">
        <f t="shared" si="8"/>
        <v>8.7209331202111155E-3</v>
      </c>
      <c r="Q15" s="16">
        <f t="shared" si="9"/>
        <v>-5.4051562755655022E-3</v>
      </c>
      <c r="R15" s="16">
        <f>'Dez24'!L20</f>
        <v>18.637228</v>
      </c>
      <c r="S15" s="16">
        <f t="shared" si="1"/>
        <v>0.45592358758376522</v>
      </c>
      <c r="T15" s="16">
        <f>Paralelo!L20</f>
        <v>0.90887499999999999</v>
      </c>
      <c r="U15" s="16">
        <f t="shared" si="10"/>
        <v>5.5163691787624695E-2</v>
      </c>
      <c r="V15" s="16">
        <f t="shared" si="11"/>
        <v>-0.40075989579614052</v>
      </c>
      <c r="W15" s="16">
        <f>'Dez24'!M20</f>
        <v>6.8473490000000004</v>
      </c>
      <c r="X15" s="16">
        <f t="shared" si="12"/>
        <v>3.0977863533573142E-2</v>
      </c>
      <c r="Y15" s="16">
        <f>Paralelo!M20</f>
        <v>1.26474</v>
      </c>
      <c r="Z15" s="16">
        <f t="shared" si="12"/>
        <v>1.5633678900423584E-2</v>
      </c>
      <c r="AA15" s="16">
        <f t="shared" si="13"/>
        <v>-1.5344184633149557E-2</v>
      </c>
      <c r="AB15" s="16">
        <f>'Dez24'!N20</f>
        <v>6.4774649999999996</v>
      </c>
      <c r="AC15" s="16">
        <f t="shared" si="14"/>
        <v>8.3846084086472206E-2</v>
      </c>
      <c r="AD15" s="16">
        <f>Paralelo!N20</f>
        <v>2.4662459999999999</v>
      </c>
      <c r="AE15" s="16">
        <f t="shared" si="14"/>
        <v>4.7729577948889546E-2</v>
      </c>
      <c r="AF15" s="16">
        <f t="shared" si="15"/>
        <v>-3.611650613758266E-2</v>
      </c>
      <c r="AG15" s="16">
        <f>'Dez24'!O20</f>
        <v>-2.9862510000000002</v>
      </c>
      <c r="AH15" s="16">
        <f t="shared" si="16"/>
        <v>5.674712172234056E-2</v>
      </c>
      <c r="AI15" s="16">
        <f>Paralelo!O20</f>
        <v>-2.49776</v>
      </c>
      <c r="AJ15" s="16">
        <f t="shared" si="16"/>
        <v>5.7338198289628647E-2</v>
      </c>
      <c r="AK15" s="16">
        <f t="shared" si="17"/>
        <v>5.9107656728808744E-4</v>
      </c>
      <c r="AL15" s="16">
        <f>'Dez24'!P20</f>
        <v>-0.53382300000000005</v>
      </c>
      <c r="AM15" s="16">
        <f t="shared" si="18"/>
        <v>4.7312037806875762E-2</v>
      </c>
      <c r="AN15" s="16">
        <f>Paralelo!P20</f>
        <v>-3.9010000000000003E-2</v>
      </c>
      <c r="AO15" s="16">
        <f t="shared" si="18"/>
        <v>1.187830356754084E-2</v>
      </c>
      <c r="AP15" s="16">
        <f t="shared" si="19"/>
        <v>-3.5433734239334921E-2</v>
      </c>
      <c r="AQ15" s="16">
        <f>'Dez24'!Q20</f>
        <v>-2.3306770000000001</v>
      </c>
      <c r="AR15" s="16">
        <f t="shared" si="20"/>
        <v>6.4053905519790608E-2</v>
      </c>
      <c r="AS15" s="16">
        <f>Paralelo!Q20</f>
        <v>-2.4537260000000001</v>
      </c>
      <c r="AT15" s="16">
        <f t="shared" si="20"/>
        <v>6.2341933229364307E-2</v>
      </c>
      <c r="AU15" s="16">
        <f t="shared" si="21"/>
        <v>-1.7119722904263002E-3</v>
      </c>
    </row>
    <row r="16" spans="1:48" ht="14.4" outlineLevel="1" x14ac:dyDescent="0.3">
      <c r="B16" s="14" t="s">
        <v>18</v>
      </c>
      <c r="C16" s="16">
        <f>'Dez24'!D21</f>
        <v>2070.2228909999999</v>
      </c>
      <c r="D16" s="16">
        <f t="shared" si="2"/>
        <v>5.2799266663663906E-2</v>
      </c>
      <c r="E16" s="16">
        <f>Paralelo!D21</f>
        <v>2070.1122249999999</v>
      </c>
      <c r="F16" s="16">
        <f t="shared" si="3"/>
        <v>5.2861875708252723E-2</v>
      </c>
      <c r="G16" s="16">
        <f t="shared" si="4"/>
        <v>6.2609044588816942E-5</v>
      </c>
      <c r="H16" s="16">
        <f>'Dez24'!J21</f>
        <v>267.75638900000001</v>
      </c>
      <c r="I16" s="16">
        <f t="shared" si="5"/>
        <v>0.13642885555922279</v>
      </c>
      <c r="J16" s="16">
        <f>Paralelo!J21</f>
        <v>12.534431</v>
      </c>
      <c r="K16" s="16">
        <f t="shared" si="6"/>
        <v>2.783220365983469E-2</v>
      </c>
      <c r="L16" s="16">
        <f t="shared" si="7"/>
        <v>-0.10859665189938811</v>
      </c>
      <c r="M16" s="16">
        <f>'Dez24'!K21</f>
        <v>3.6897380000000002</v>
      </c>
      <c r="N16" s="16">
        <f t="shared" si="0"/>
        <v>7.8964883402275077E-3</v>
      </c>
      <c r="O16" s="16">
        <f>Paralelo!K21</f>
        <v>1.374803</v>
      </c>
      <c r="P16" s="16">
        <f t="shared" si="8"/>
        <v>3.3554402129160315E-3</v>
      </c>
      <c r="Q16" s="16">
        <f t="shared" si="9"/>
        <v>-4.5410481273114763E-3</v>
      </c>
      <c r="R16" s="16">
        <f>'Dez24'!L21</f>
        <v>0</v>
      </c>
      <c r="S16" s="16">
        <f t="shared" si="1"/>
        <v>0</v>
      </c>
      <c r="T16" s="16">
        <f>Paralelo!L21</f>
        <v>0</v>
      </c>
      <c r="U16" s="16">
        <f t="shared" si="10"/>
        <v>0</v>
      </c>
      <c r="V16" s="16">
        <f t="shared" si="11"/>
        <v>0</v>
      </c>
      <c r="W16" s="16">
        <f>'Dez24'!M21</f>
        <v>26.927717999999999</v>
      </c>
      <c r="X16" s="16">
        <f t="shared" si="12"/>
        <v>0.12182279207245622</v>
      </c>
      <c r="Y16" s="16">
        <f>Paralelo!M21</f>
        <v>2.342851</v>
      </c>
      <c r="Z16" s="16">
        <f t="shared" si="12"/>
        <v>2.8960403122804925E-2</v>
      </c>
      <c r="AA16" s="16">
        <f t="shared" si="13"/>
        <v>-9.2862388949651292E-2</v>
      </c>
      <c r="AB16" s="16">
        <f>'Dez24'!N21</f>
        <v>4.8817899999999996</v>
      </c>
      <c r="AC16" s="16">
        <f t="shared" si="14"/>
        <v>6.3191229104672758E-2</v>
      </c>
      <c r="AD16" s="16">
        <f>Paralelo!N21</f>
        <v>0.47717100000000001</v>
      </c>
      <c r="AE16" s="16">
        <f t="shared" si="14"/>
        <v>9.2347521047979695E-3</v>
      </c>
      <c r="AF16" s="16">
        <f t="shared" si="15"/>
        <v>-5.395647699987479E-2</v>
      </c>
      <c r="AG16" s="16">
        <f>'Dez24'!O21</f>
        <v>-4.7908220000000004</v>
      </c>
      <c r="AH16" s="16">
        <f t="shared" si="16"/>
        <v>9.1039018215169132E-2</v>
      </c>
      <c r="AI16" s="16">
        <f>Paralelo!O21</f>
        <v>-0.53525500000000004</v>
      </c>
      <c r="AJ16" s="16">
        <f t="shared" si="16"/>
        <v>1.2287232290338216E-2</v>
      </c>
      <c r="AK16" s="16">
        <f t="shared" si="17"/>
        <v>-7.8751785924830911E-2</v>
      </c>
      <c r="AL16" s="16">
        <f>'Dez24'!P21</f>
        <v>-1.520948</v>
      </c>
      <c r="AM16" s="16">
        <f t="shared" si="18"/>
        <v>0.13479964197550887</v>
      </c>
      <c r="AN16" s="16">
        <f>Paralelo!P21</f>
        <v>-7.0458000000000007E-2</v>
      </c>
      <c r="AO16" s="16">
        <f t="shared" si="18"/>
        <v>2.1454024936216162E-2</v>
      </c>
      <c r="AP16" s="16">
        <f t="shared" si="19"/>
        <v>-0.1133456170392927</v>
      </c>
      <c r="AQ16" s="16">
        <f>'Dez24'!Q21</f>
        <v>-2.776656</v>
      </c>
      <c r="AR16" s="16">
        <f t="shared" si="20"/>
        <v>7.631072906497112E-2</v>
      </c>
      <c r="AS16" s="16">
        <f>Paralelo!Q21</f>
        <v>-0.44338899999999998</v>
      </c>
      <c r="AT16" s="16">
        <f t="shared" si="20"/>
        <v>1.1265205419282597E-2</v>
      </c>
      <c r="AU16" s="16">
        <f t="shared" si="21"/>
        <v>-6.5045523645688524E-2</v>
      </c>
    </row>
    <row r="17" spans="2:47" ht="14.4" x14ac:dyDescent="0.3">
      <c r="B17" s="14" t="s">
        <v>19</v>
      </c>
      <c r="C17" s="16">
        <f>'Dez24'!D22</f>
        <v>721.84642899999994</v>
      </c>
      <c r="D17" s="16">
        <f t="shared" si="2"/>
        <v>1.8410076644730006E-2</v>
      </c>
      <c r="E17" s="16">
        <f>Paralelo!D22</f>
        <v>759.80559100000005</v>
      </c>
      <c r="F17" s="16">
        <f t="shared" si="3"/>
        <v>1.9402208357992529E-2</v>
      </c>
      <c r="G17" s="16">
        <f t="shared" si="4"/>
        <v>9.9213171326252222E-4</v>
      </c>
      <c r="H17" s="16">
        <f>'Dez24'!J22</f>
        <v>2.6096020000000002</v>
      </c>
      <c r="I17" s="16">
        <f t="shared" si="5"/>
        <v>1.3296602021513628E-3</v>
      </c>
      <c r="J17" s="16">
        <f>Paralelo!J22</f>
        <v>0</v>
      </c>
      <c r="K17" s="16">
        <f t="shared" si="6"/>
        <v>0</v>
      </c>
      <c r="L17" s="16">
        <f t="shared" si="7"/>
        <v>-1.3296602021513628E-3</v>
      </c>
      <c r="M17" s="16">
        <f>'Dez24'!K22</f>
        <v>46.134683000000003</v>
      </c>
      <c r="N17" s="16">
        <f t="shared" si="0"/>
        <v>9.8733835949759097E-2</v>
      </c>
      <c r="O17" s="16">
        <f>Paralelo!K22</f>
        <v>0.103422</v>
      </c>
      <c r="P17" s="16">
        <f t="shared" si="8"/>
        <v>2.5241895580690603E-4</v>
      </c>
      <c r="Q17" s="16">
        <f t="shared" si="9"/>
        <v>-9.8481416993952187E-2</v>
      </c>
      <c r="R17" s="16">
        <f>'Dez24'!L22</f>
        <v>0</v>
      </c>
      <c r="S17" s="16">
        <f t="shared" si="1"/>
        <v>0</v>
      </c>
      <c r="T17" s="16">
        <f>Paralelo!L22</f>
        <v>0</v>
      </c>
      <c r="U17" s="16">
        <f t="shared" si="10"/>
        <v>0</v>
      </c>
      <c r="V17" s="16">
        <f t="shared" si="11"/>
        <v>0</v>
      </c>
      <c r="W17" s="16">
        <f>'Dez24'!M22</f>
        <v>4.8612820000000001</v>
      </c>
      <c r="X17" s="16">
        <f t="shared" si="12"/>
        <v>2.1992763972482707E-2</v>
      </c>
      <c r="Y17" s="16">
        <f>Paralelo!M22</f>
        <v>0</v>
      </c>
      <c r="Z17" s="16">
        <f t="shared" si="12"/>
        <v>0</v>
      </c>
      <c r="AA17" s="16">
        <f t="shared" si="13"/>
        <v>-2.1992763972482707E-2</v>
      </c>
      <c r="AB17" s="16">
        <f>'Dez24'!N22</f>
        <v>0.44950400000000001</v>
      </c>
      <c r="AC17" s="16">
        <f t="shared" si="14"/>
        <v>5.8185030997783245E-3</v>
      </c>
      <c r="AD17" s="16">
        <f>Paralelo!N22</f>
        <v>0</v>
      </c>
      <c r="AE17" s="16">
        <f t="shared" si="14"/>
        <v>0</v>
      </c>
      <c r="AF17" s="16">
        <f t="shared" si="15"/>
        <v>-5.8185030997783245E-3</v>
      </c>
      <c r="AG17" s="16">
        <f>'Dez24'!O22</f>
        <v>-1.1988030000000001</v>
      </c>
      <c r="AH17" s="16">
        <f t="shared" si="16"/>
        <v>2.2780610123565311E-2</v>
      </c>
      <c r="AI17" s="16">
        <f>Paralelo!O22</f>
        <v>-1.5200000000000001E-4</v>
      </c>
      <c r="AJ17" s="16">
        <f t="shared" si="16"/>
        <v>3.489288858826931E-6</v>
      </c>
      <c r="AK17" s="16">
        <f t="shared" si="17"/>
        <v>-2.2777120834706482E-2</v>
      </c>
      <c r="AL17" s="16">
        <f>'Dez24'!P22</f>
        <v>-0.689855</v>
      </c>
      <c r="AM17" s="16">
        <f t="shared" si="18"/>
        <v>6.1140950916806276E-2</v>
      </c>
      <c r="AN17" s="16">
        <f>Paralelo!P22</f>
        <v>0</v>
      </c>
      <c r="AO17" s="16">
        <f t="shared" si="18"/>
        <v>0</v>
      </c>
      <c r="AP17" s="16">
        <f t="shared" si="19"/>
        <v>-6.1140950916806276E-2</v>
      </c>
      <c r="AQ17" s="16">
        <f>'Dez24'!Q22</f>
        <v>-0.26210699999999998</v>
      </c>
      <c r="AR17" s="16">
        <f t="shared" si="20"/>
        <v>7.2034765066441011E-3</v>
      </c>
      <c r="AS17" s="16">
        <f>Paralelo!Q22</f>
        <v>0</v>
      </c>
      <c r="AT17" s="16">
        <f t="shared" si="20"/>
        <v>0</v>
      </c>
      <c r="AU17" s="16">
        <f t="shared" si="21"/>
        <v>-7.2034765066441011E-3</v>
      </c>
    </row>
    <row r="18" spans="2:47" ht="14.4" outlineLevel="1" x14ac:dyDescent="0.3">
      <c r="B18" s="14" t="s">
        <v>20</v>
      </c>
      <c r="C18" s="16">
        <f>'Dez24'!D23</f>
        <v>1116.2909010000001</v>
      </c>
      <c r="D18" s="16">
        <f t="shared" si="2"/>
        <v>2.8470046009224932E-2</v>
      </c>
      <c r="E18" s="16">
        <f>Paralelo!D23</f>
        <v>1251.0449900000001</v>
      </c>
      <c r="F18" s="16">
        <f t="shared" si="3"/>
        <v>3.1946376610964791E-2</v>
      </c>
      <c r="G18" s="16">
        <f t="shared" si="4"/>
        <v>3.476330601739859E-3</v>
      </c>
      <c r="H18" s="16">
        <f>'Dez24'!J23</f>
        <v>0</v>
      </c>
      <c r="I18" s="16">
        <f t="shared" si="5"/>
        <v>0</v>
      </c>
      <c r="J18" s="16">
        <f>Paralelo!J23</f>
        <v>0</v>
      </c>
      <c r="K18" s="16">
        <f t="shared" si="6"/>
        <v>0</v>
      </c>
      <c r="L18" s="16">
        <f t="shared" si="7"/>
        <v>0</v>
      </c>
      <c r="M18" s="16">
        <f>'Dez24'!K23</f>
        <v>4.2248270000000003</v>
      </c>
      <c r="N18" s="16">
        <f t="shared" si="0"/>
        <v>9.0416439175297434E-3</v>
      </c>
      <c r="O18" s="16">
        <f>Paralelo!K23</f>
        <v>17.651606999999998</v>
      </c>
      <c r="P18" s="16">
        <f t="shared" si="8"/>
        <v>4.3081744766624824E-2</v>
      </c>
      <c r="Q18" s="16">
        <f t="shared" si="9"/>
        <v>3.4040100849095083E-2</v>
      </c>
      <c r="R18" s="16">
        <f>'Dez24'!L23</f>
        <v>0</v>
      </c>
      <c r="S18" s="16">
        <f t="shared" si="1"/>
        <v>0</v>
      </c>
      <c r="T18" s="16">
        <f>Paralelo!L23</f>
        <v>0</v>
      </c>
      <c r="U18" s="16">
        <f t="shared" si="10"/>
        <v>0</v>
      </c>
      <c r="V18" s="16">
        <f t="shared" si="11"/>
        <v>0</v>
      </c>
      <c r="W18" s="16">
        <f>'Dez24'!M23</f>
        <v>0.40316000000000002</v>
      </c>
      <c r="X18" s="16">
        <f t="shared" si="12"/>
        <v>1.8239227272036738E-3</v>
      </c>
      <c r="Y18" s="16">
        <f>Paralelo!M23</f>
        <v>6.7062999999999998E-2</v>
      </c>
      <c r="Z18" s="16">
        <f t="shared" si="12"/>
        <v>8.2897782002554427E-4</v>
      </c>
      <c r="AA18" s="16">
        <f t="shared" si="13"/>
        <v>-9.9494490717812949E-4</v>
      </c>
      <c r="AB18" s="16">
        <f>'Dez24'!N23</f>
        <v>0.56559700000000002</v>
      </c>
      <c r="AC18" s="16">
        <f t="shared" si="14"/>
        <v>7.3212427425013368E-3</v>
      </c>
      <c r="AD18" s="16">
        <f>Paralelo!N23</f>
        <v>12.449707999999999</v>
      </c>
      <c r="AE18" s="16">
        <f t="shared" si="14"/>
        <v>0.2409408098084756</v>
      </c>
      <c r="AF18" s="16">
        <f t="shared" si="15"/>
        <v>0.23361956706597425</v>
      </c>
      <c r="AG18" s="16">
        <f>'Dez24'!O23</f>
        <v>-0.51734899999999995</v>
      </c>
      <c r="AH18" s="16">
        <f t="shared" si="16"/>
        <v>9.8310780560412238E-3</v>
      </c>
      <c r="AI18" s="16">
        <f>Paralelo!O23</f>
        <v>-12.416869</v>
      </c>
      <c r="AJ18" s="16">
        <f t="shared" si="16"/>
        <v>0.28503975436324663</v>
      </c>
      <c r="AK18" s="16">
        <f t="shared" si="17"/>
        <v>0.27520867630720541</v>
      </c>
      <c r="AL18" s="16">
        <f>'Dez24'!P23</f>
        <v>-4.0769999999999999E-3</v>
      </c>
      <c r="AM18" s="16">
        <f t="shared" si="18"/>
        <v>3.6133920445284757E-4</v>
      </c>
      <c r="AN18" s="16">
        <f>Paralelo!P23</f>
        <v>-8.5920000000000007E-3</v>
      </c>
      <c r="AO18" s="16">
        <f t="shared" si="18"/>
        <v>2.6162108242068932E-3</v>
      </c>
      <c r="AP18" s="16">
        <f t="shared" si="19"/>
        <v>2.2548716197540457E-3</v>
      </c>
      <c r="AQ18" s="16">
        <f>'Dez24'!Q23</f>
        <v>-0.50478900000000004</v>
      </c>
      <c r="AR18" s="16">
        <f t="shared" si="20"/>
        <v>1.3873096492319433E-2</v>
      </c>
      <c r="AS18" s="16">
        <f>Paralelo!Q23</f>
        <v>-12.400323</v>
      </c>
      <c r="AT18" s="16">
        <f t="shared" si="20"/>
        <v>0.31505559646372516</v>
      </c>
      <c r="AU18" s="16">
        <f t="shared" si="21"/>
        <v>0.30118249997140573</v>
      </c>
    </row>
    <row r="19" spans="2:47" ht="14.4" outlineLevel="1" x14ac:dyDescent="0.3">
      <c r="B19" s="14" t="s">
        <v>21</v>
      </c>
      <c r="C19" s="16">
        <f>'Dez24'!D24</f>
        <v>23291.746958</v>
      </c>
      <c r="D19" s="16">
        <f t="shared" si="2"/>
        <v>0.59403611275111956</v>
      </c>
      <c r="E19" s="16">
        <f>Paralelo!D24</f>
        <v>23291.747265000002</v>
      </c>
      <c r="F19" s="16">
        <f t="shared" si="3"/>
        <v>0.59477231914345396</v>
      </c>
      <c r="G19" s="16">
        <f t="shared" si="4"/>
        <v>7.3620639233440421E-4</v>
      </c>
      <c r="H19" s="16">
        <f>'Dez24'!J24</f>
        <v>0</v>
      </c>
      <c r="I19" s="16">
        <f t="shared" si="5"/>
        <v>0</v>
      </c>
      <c r="J19" s="16">
        <f>Paralelo!J24</f>
        <v>65.239099999999993</v>
      </c>
      <c r="K19" s="16">
        <f t="shared" si="6"/>
        <v>0.14486081719898741</v>
      </c>
      <c r="L19" s="16">
        <f t="shared" si="7"/>
        <v>0.14486081719898741</v>
      </c>
      <c r="M19" s="16">
        <f>'Dez24'!K24</f>
        <v>328.49472500000002</v>
      </c>
      <c r="N19" s="16">
        <f t="shared" si="0"/>
        <v>0.70301868744846963</v>
      </c>
      <c r="O19" s="16">
        <f>Paralelo!K24</f>
        <v>337.67818399999999</v>
      </c>
      <c r="P19" s="16">
        <f t="shared" si="8"/>
        <v>0.82416095805585154</v>
      </c>
      <c r="Q19" s="16">
        <f t="shared" si="9"/>
        <v>0.12114227060738192</v>
      </c>
      <c r="R19" s="16">
        <f>'Dez24'!L24</f>
        <v>0</v>
      </c>
      <c r="S19" s="16">
        <f t="shared" si="1"/>
        <v>0</v>
      </c>
      <c r="T19" s="16">
        <f>Paralelo!L24</f>
        <v>7.948499</v>
      </c>
      <c r="U19" s="16">
        <f t="shared" si="10"/>
        <v>0.48242998103176243</v>
      </c>
      <c r="V19" s="16">
        <f t="shared" si="11"/>
        <v>0.48242998103176243</v>
      </c>
      <c r="W19" s="16">
        <f>'Dez24'!M24</f>
        <v>24.062124000000001</v>
      </c>
      <c r="X19" s="16">
        <f t="shared" si="12"/>
        <v>0.10885865370669949</v>
      </c>
      <c r="Y19" s="16">
        <f>Paralelo!M24</f>
        <v>36.087415</v>
      </c>
      <c r="Z19" s="16">
        <f t="shared" si="12"/>
        <v>0.44608303560916046</v>
      </c>
      <c r="AA19" s="16">
        <f t="shared" si="13"/>
        <v>0.33722438190246096</v>
      </c>
      <c r="AB19" s="16">
        <f>'Dez24'!N24</f>
        <v>3.9326829999999999</v>
      </c>
      <c r="AC19" s="16">
        <f t="shared" si="14"/>
        <v>5.0905727704192889E-2</v>
      </c>
      <c r="AD19" s="16">
        <f>Paralelo!N24</f>
        <v>6.3680130000000004</v>
      </c>
      <c r="AE19" s="16">
        <f t="shared" si="14"/>
        <v>0.12324097955477352</v>
      </c>
      <c r="AF19" s="16">
        <f t="shared" si="15"/>
        <v>7.2335251850580623E-2</v>
      </c>
      <c r="AG19" s="16">
        <f>'Dez24'!O24</f>
        <v>-2.0841400000000001</v>
      </c>
      <c r="AH19" s="16">
        <f t="shared" si="16"/>
        <v>3.9604489464013189E-2</v>
      </c>
      <c r="AI19" s="16">
        <f>Paralelo!O24</f>
        <v>-3.3054939999999999</v>
      </c>
      <c r="AJ19" s="16">
        <f t="shared" si="16"/>
        <v>7.5880417020521493E-2</v>
      </c>
      <c r="AK19" s="16">
        <f t="shared" si="17"/>
        <v>3.6275927556508304E-2</v>
      </c>
      <c r="AL19" s="16">
        <f>'Dez24'!P24</f>
        <v>-0.77513399999999999</v>
      </c>
      <c r="AM19" s="16">
        <f t="shared" si="18"/>
        <v>6.8699117710167665E-2</v>
      </c>
      <c r="AN19" s="16">
        <f>Paralelo!P24</f>
        <v>-1.076484</v>
      </c>
      <c r="AO19" s="16">
        <f t="shared" si="18"/>
        <v>0.32778271565241301</v>
      </c>
      <c r="AP19" s="16">
        <f t="shared" si="19"/>
        <v>0.25908359794224534</v>
      </c>
      <c r="AQ19" s="16">
        <f>'Dez24'!Q24</f>
        <v>-1.151627</v>
      </c>
      <c r="AR19" s="16">
        <f t="shared" si="20"/>
        <v>3.1650120137642367E-2</v>
      </c>
      <c r="AS19" s="16">
        <f>Paralelo!Q24</f>
        <v>-2.021061</v>
      </c>
      <c r="AT19" s="16">
        <f t="shared" si="20"/>
        <v>5.1349192988325611E-2</v>
      </c>
      <c r="AU19" s="16">
        <f t="shared" si="21"/>
        <v>1.9699072850683244E-2</v>
      </c>
    </row>
    <row r="20" spans="2:47" ht="14.4" outlineLevel="1" x14ac:dyDescent="0.3">
      <c r="B20" s="14" t="s">
        <v>22</v>
      </c>
      <c r="C20" s="16">
        <f>'Dez24'!D25</f>
        <v>3579.2865569999999</v>
      </c>
      <c r="D20" s="16">
        <f t="shared" si="2"/>
        <v>9.1286646578148806E-2</v>
      </c>
      <c r="E20" s="16">
        <f>Paralelo!D25</f>
        <v>3579.2885919999999</v>
      </c>
      <c r="F20" s="16">
        <f t="shared" si="3"/>
        <v>9.1399831559504416E-2</v>
      </c>
      <c r="G20" s="16">
        <f t="shared" si="4"/>
        <v>1.1318498135561017E-4</v>
      </c>
      <c r="H20" s="16">
        <f>'Dez24'!J25</f>
        <v>0</v>
      </c>
      <c r="I20" s="16">
        <f t="shared" si="5"/>
        <v>0</v>
      </c>
      <c r="J20" s="16">
        <f>Paralelo!J25</f>
        <v>195.02355600000001</v>
      </c>
      <c r="K20" s="16">
        <f t="shared" si="6"/>
        <v>0.4330420207392881</v>
      </c>
      <c r="L20" s="16">
        <f t="shared" si="7"/>
        <v>0.4330420207392881</v>
      </c>
      <c r="M20" s="16">
        <f>'Dez24'!K25</f>
        <v>18.668171999999998</v>
      </c>
      <c r="N20" s="16">
        <f t="shared" si="0"/>
        <v>3.9952159890854474E-2</v>
      </c>
      <c r="O20" s="16">
        <f>Paralelo!K25</f>
        <v>38.848984999999999</v>
      </c>
      <c r="P20" s="16">
        <f t="shared" si="8"/>
        <v>9.4817545859277083E-2</v>
      </c>
      <c r="Q20" s="16">
        <f t="shared" si="9"/>
        <v>5.4865385968422609E-2</v>
      </c>
      <c r="R20" s="16">
        <f>'Dez24'!L25</f>
        <v>0</v>
      </c>
      <c r="S20" s="16">
        <f t="shared" si="1"/>
        <v>0</v>
      </c>
      <c r="T20" s="16">
        <f>Paralelo!L25</f>
        <v>4.2850229999999998</v>
      </c>
      <c r="U20" s="16">
        <f t="shared" si="10"/>
        <v>0.26007722522336174</v>
      </c>
      <c r="V20" s="16">
        <f t="shared" si="11"/>
        <v>0.26007722522336174</v>
      </c>
      <c r="W20" s="16">
        <f>'Dez24'!M25</f>
        <v>0.28519299999999997</v>
      </c>
      <c r="X20" s="16">
        <f t="shared" si="12"/>
        <v>1.2902321518488869E-3</v>
      </c>
      <c r="Y20" s="16">
        <f>Paralelo!M25</f>
        <v>22.779489999999999</v>
      </c>
      <c r="Z20" s="16">
        <f t="shared" si="12"/>
        <v>0.28158137812942585</v>
      </c>
      <c r="AA20" s="16">
        <f t="shared" si="13"/>
        <v>0.28029114597757698</v>
      </c>
      <c r="AB20" s="16">
        <f>'Dez24'!N25</f>
        <v>0.59055899999999995</v>
      </c>
      <c r="AC20" s="16">
        <f t="shared" si="14"/>
        <v>7.6443577189568663E-3</v>
      </c>
      <c r="AD20" s="16">
        <f>Paralelo!N25</f>
        <v>22.656877000000001</v>
      </c>
      <c r="AE20" s="16">
        <f t="shared" si="14"/>
        <v>0.43848147218481154</v>
      </c>
      <c r="AF20" s="16">
        <f t="shared" si="15"/>
        <v>0.43083711446585465</v>
      </c>
      <c r="AG20" s="16">
        <f>'Dez24'!O25</f>
        <v>-0.562083</v>
      </c>
      <c r="AH20" s="16">
        <f t="shared" si="16"/>
        <v>1.068114917971006E-2</v>
      </c>
      <c r="AI20" s="16">
        <f>Paralelo!O25</f>
        <v>-20.159057000000001</v>
      </c>
      <c r="AJ20" s="16">
        <f t="shared" si="16"/>
        <v>0.46276824338524375</v>
      </c>
      <c r="AK20" s="16">
        <f t="shared" si="17"/>
        <v>0.45208709420553367</v>
      </c>
      <c r="AL20" s="16">
        <f>'Dez24'!P25</f>
        <v>-1.3804E-2</v>
      </c>
      <c r="AM20" s="16">
        <f t="shared" si="18"/>
        <v>1.2234305563569067E-3</v>
      </c>
      <c r="AN20" s="16">
        <f>Paralelo!P25</f>
        <v>-1.123027</v>
      </c>
      <c r="AO20" s="16">
        <f t="shared" si="18"/>
        <v>0.34195477109830008</v>
      </c>
      <c r="AP20" s="16">
        <f t="shared" si="19"/>
        <v>0.34073134054194315</v>
      </c>
      <c r="AQ20" s="16">
        <f>'Dez24'!Q25</f>
        <v>-0.51229100000000005</v>
      </c>
      <c r="AR20" s="16">
        <f t="shared" si="20"/>
        <v>1.4079273667110051E-2</v>
      </c>
      <c r="AS20" s="16">
        <f>Paralelo!Q25</f>
        <v>-18.672039000000002</v>
      </c>
      <c r="AT20" s="16">
        <f t="shared" si="20"/>
        <v>0.47440138328162407</v>
      </c>
      <c r="AU20" s="16">
        <f t="shared" si="21"/>
        <v>0.46032210961451403</v>
      </c>
    </row>
    <row r="21" spans="2:47" ht="14.4" outlineLevel="1" x14ac:dyDescent="0.3">
      <c r="B21" s="14" t="s">
        <v>23</v>
      </c>
      <c r="C21" s="16">
        <f>'Dez24'!D26</f>
        <v>48.451569999999997</v>
      </c>
      <c r="D21" s="16">
        <f t="shared" si="2"/>
        <v>1.235715910506362E-3</v>
      </c>
      <c r="E21" s="16">
        <f>Paralelo!D26</f>
        <v>0</v>
      </c>
      <c r="F21" s="16">
        <f t="shared" si="3"/>
        <v>0</v>
      </c>
      <c r="G21" s="16">
        <f t="shared" si="4"/>
        <v>-1.235715910506362E-3</v>
      </c>
      <c r="H21" s="16">
        <f>'Dez24'!J26</f>
        <v>0</v>
      </c>
      <c r="I21" s="16">
        <f t="shared" si="5"/>
        <v>0</v>
      </c>
      <c r="J21" s="16">
        <f>Paralelo!J26</f>
        <v>0</v>
      </c>
      <c r="K21" s="16">
        <f t="shared" si="6"/>
        <v>0</v>
      </c>
      <c r="L21" s="16">
        <f t="shared" si="7"/>
        <v>0</v>
      </c>
      <c r="M21" s="16">
        <f>'Dez24'!K26</f>
        <v>0</v>
      </c>
      <c r="N21" s="16">
        <f t="shared" si="0"/>
        <v>0</v>
      </c>
      <c r="O21" s="16">
        <f>Paralelo!K26</f>
        <v>0</v>
      </c>
      <c r="P21" s="16">
        <f t="shared" si="8"/>
        <v>0</v>
      </c>
      <c r="Q21" s="16">
        <f t="shared" si="9"/>
        <v>0</v>
      </c>
      <c r="R21" s="16">
        <f>'Dez24'!L26</f>
        <v>0</v>
      </c>
      <c r="S21" s="16">
        <f t="shared" si="1"/>
        <v>0</v>
      </c>
      <c r="T21" s="16">
        <f>Paralelo!L26</f>
        <v>0</v>
      </c>
      <c r="U21" s="16">
        <f t="shared" si="10"/>
        <v>0</v>
      </c>
      <c r="V21" s="16">
        <f t="shared" si="11"/>
        <v>0</v>
      </c>
      <c r="W21" s="16">
        <f>'Dez24'!M26</f>
        <v>0</v>
      </c>
      <c r="X21" s="16">
        <f t="shared" si="12"/>
        <v>0</v>
      </c>
      <c r="Y21" s="16">
        <f>Paralelo!M26</f>
        <v>0</v>
      </c>
      <c r="Z21" s="16">
        <f t="shared" si="12"/>
        <v>0</v>
      </c>
      <c r="AA21" s="16">
        <f t="shared" si="13"/>
        <v>0</v>
      </c>
      <c r="AB21" s="16">
        <f>'Dez24'!N26</f>
        <v>0</v>
      </c>
      <c r="AC21" s="16">
        <f t="shared" si="14"/>
        <v>0</v>
      </c>
      <c r="AD21" s="16">
        <f>Paralelo!N26</f>
        <v>0</v>
      </c>
      <c r="AE21" s="16">
        <f t="shared" si="14"/>
        <v>0</v>
      </c>
      <c r="AF21" s="16">
        <f t="shared" si="15"/>
        <v>0</v>
      </c>
      <c r="AG21" s="16">
        <f>'Dez24'!O26</f>
        <v>0</v>
      </c>
      <c r="AH21" s="16">
        <f t="shared" si="16"/>
        <v>0</v>
      </c>
      <c r="AI21" s="16">
        <f>Paralelo!O26</f>
        <v>0</v>
      </c>
      <c r="AJ21" s="16">
        <f t="shared" si="16"/>
        <v>0</v>
      </c>
      <c r="AK21" s="16">
        <f t="shared" si="17"/>
        <v>0</v>
      </c>
      <c r="AL21" s="16">
        <f>'Dez24'!P26</f>
        <v>0</v>
      </c>
      <c r="AM21" s="16">
        <f t="shared" si="18"/>
        <v>0</v>
      </c>
      <c r="AN21" s="16">
        <f>Paralelo!P26</f>
        <v>0</v>
      </c>
      <c r="AO21" s="16">
        <f t="shared" si="18"/>
        <v>0</v>
      </c>
      <c r="AP21" s="16">
        <f t="shared" si="19"/>
        <v>0</v>
      </c>
      <c r="AQ21" s="16">
        <f>'Dez24'!Q26</f>
        <v>0</v>
      </c>
      <c r="AR21" s="16">
        <f t="shared" si="20"/>
        <v>0</v>
      </c>
      <c r="AS21" s="16">
        <f>Paralelo!Q26</f>
        <v>0</v>
      </c>
      <c r="AT21" s="16">
        <f t="shared" si="20"/>
        <v>0</v>
      </c>
      <c r="AU21" s="16">
        <f t="shared" si="21"/>
        <v>0</v>
      </c>
    </row>
    <row r="22" spans="2:47" ht="14.4" outlineLevel="1" x14ac:dyDescent="0.3">
      <c r="B22" s="14" t="s">
        <v>24</v>
      </c>
      <c r="C22" s="16">
        <f>'Dez24'!D27</f>
        <v>1192.7168340000001</v>
      </c>
      <c r="D22" s="16">
        <f t="shared" si="2"/>
        <v>3.0419224155225015E-2</v>
      </c>
      <c r="E22" s="16">
        <f>Paralelo!D27</f>
        <v>1105.9237450000001</v>
      </c>
      <c r="F22" s="16">
        <f t="shared" si="3"/>
        <v>2.8240596256077562E-2</v>
      </c>
      <c r="G22" s="16">
        <f t="shared" si="4"/>
        <v>-2.1786278991474534E-3</v>
      </c>
      <c r="H22" s="16">
        <f>'Dez24'!J27</f>
        <v>0</v>
      </c>
      <c r="I22" s="16">
        <f t="shared" si="5"/>
        <v>0</v>
      </c>
      <c r="J22" s="16">
        <f>Paralelo!J27</f>
        <v>0</v>
      </c>
      <c r="K22" s="16">
        <f t="shared" si="6"/>
        <v>0</v>
      </c>
      <c r="L22" s="16">
        <f t="shared" si="7"/>
        <v>0</v>
      </c>
      <c r="M22" s="16">
        <f>'Dez24'!K27</f>
        <v>7.439533</v>
      </c>
      <c r="N22" s="16">
        <f t="shared" si="0"/>
        <v>1.5921505969051938E-2</v>
      </c>
      <c r="O22" s="16">
        <f>Paralelo!K27</f>
        <v>7.4395340000000001</v>
      </c>
      <c r="P22" s="16">
        <f t="shared" si="8"/>
        <v>1.8157446229718772E-2</v>
      </c>
      <c r="Q22" s="16">
        <f t="shared" si="9"/>
        <v>2.2359402606668341E-3</v>
      </c>
      <c r="R22" s="16">
        <f>'Dez24'!L27</f>
        <v>0</v>
      </c>
      <c r="S22" s="16">
        <f t="shared" si="1"/>
        <v>0</v>
      </c>
      <c r="T22" s="16">
        <f>Paralelo!L27</f>
        <v>0</v>
      </c>
      <c r="U22" s="16">
        <f t="shared" si="10"/>
        <v>0</v>
      </c>
      <c r="V22" s="16">
        <f t="shared" si="11"/>
        <v>0</v>
      </c>
      <c r="W22" s="16">
        <f>'Dez24'!M27</f>
        <v>0</v>
      </c>
      <c r="X22" s="16">
        <f t="shared" si="12"/>
        <v>0</v>
      </c>
      <c r="Y22" s="16">
        <f>Paralelo!M27</f>
        <v>0</v>
      </c>
      <c r="Z22" s="16">
        <f t="shared" si="12"/>
        <v>0</v>
      </c>
      <c r="AA22" s="16">
        <f t="shared" si="13"/>
        <v>0</v>
      </c>
      <c r="AB22" s="16">
        <f>'Dez24'!N27</f>
        <v>3.0584E-2</v>
      </c>
      <c r="AC22" s="16">
        <f t="shared" si="14"/>
        <v>3.9588768688069575E-4</v>
      </c>
      <c r="AD22" s="16">
        <f>Paralelo!N27</f>
        <v>3.0584E-2</v>
      </c>
      <c r="AE22" s="16">
        <f t="shared" si="14"/>
        <v>5.9189610930492651E-4</v>
      </c>
      <c r="AF22" s="16">
        <f t="shared" si="15"/>
        <v>1.9600842242423075E-4</v>
      </c>
      <c r="AG22" s="16">
        <f>'Dez24'!O27</f>
        <v>-2.7449000000000001E-2</v>
      </c>
      <c r="AH22" s="16">
        <f t="shared" si="16"/>
        <v>5.216077764918374E-4</v>
      </c>
      <c r="AI22" s="16">
        <f>Paralelo!O27</f>
        <v>-2.7449000000000001E-2</v>
      </c>
      <c r="AJ22" s="16">
        <f t="shared" si="16"/>
        <v>6.3011506503908175E-4</v>
      </c>
      <c r="AK22" s="16">
        <f t="shared" si="17"/>
        <v>1.0850728854724435E-4</v>
      </c>
      <c r="AL22" s="16">
        <f>'Dez24'!P27</f>
        <v>0</v>
      </c>
      <c r="AM22" s="16">
        <f t="shared" si="18"/>
        <v>0</v>
      </c>
      <c r="AN22" s="16">
        <f>Paralelo!P27</f>
        <v>0</v>
      </c>
      <c r="AO22" s="16">
        <f t="shared" si="18"/>
        <v>0</v>
      </c>
      <c r="AP22" s="16">
        <f t="shared" si="19"/>
        <v>0</v>
      </c>
      <c r="AQ22" s="16">
        <f>'Dez24'!Q27</f>
        <v>-1.3414000000000001E-2</v>
      </c>
      <c r="AR22" s="16">
        <f t="shared" si="20"/>
        <v>3.6865644130116323E-4</v>
      </c>
      <c r="AS22" s="16">
        <f>Paralelo!Q27</f>
        <v>-1.3414000000000001E-2</v>
      </c>
      <c r="AT22" s="16">
        <f t="shared" si="20"/>
        <v>3.4081013623309727E-4</v>
      </c>
      <c r="AU22" s="16">
        <f t="shared" si="21"/>
        <v>-2.784630506806596E-5</v>
      </c>
    </row>
    <row r="23" spans="2:47" ht="14.4" outlineLevel="1" x14ac:dyDescent="0.3">
      <c r="B23" s="14" t="s">
        <v>25</v>
      </c>
      <c r="C23" s="16">
        <f>'Dez24'!D28</f>
        <v>4.1165900000000004</v>
      </c>
      <c r="D23" s="16">
        <f t="shared" si="2"/>
        <v>1.0499011198257117E-4</v>
      </c>
      <c r="E23" s="16">
        <f>Paralelo!D28</f>
        <v>180.51014000000001</v>
      </c>
      <c r="F23" s="16">
        <f t="shared" si="3"/>
        <v>4.6094624578912865E-3</v>
      </c>
      <c r="G23" s="16">
        <f t="shared" si="4"/>
        <v>4.5044723459087155E-3</v>
      </c>
      <c r="H23" s="16">
        <f>'Dez24'!J28</f>
        <v>0</v>
      </c>
      <c r="I23" s="16">
        <f t="shared" si="5"/>
        <v>0</v>
      </c>
      <c r="J23" s="16">
        <f>Paralelo!J28</f>
        <v>0</v>
      </c>
      <c r="K23" s="16">
        <f t="shared" si="6"/>
        <v>0</v>
      </c>
      <c r="L23" s="16">
        <f t="shared" si="7"/>
        <v>0</v>
      </c>
      <c r="M23" s="16">
        <f>'Dez24'!K28</f>
        <v>0</v>
      </c>
      <c r="N23" s="16">
        <f t="shared" si="0"/>
        <v>0</v>
      </c>
      <c r="O23" s="16">
        <f>Paralelo!K28</f>
        <v>0</v>
      </c>
      <c r="P23" s="16">
        <f t="shared" si="8"/>
        <v>0</v>
      </c>
      <c r="Q23" s="16">
        <f t="shared" si="9"/>
        <v>0</v>
      </c>
      <c r="R23" s="16">
        <f>'Dez24'!L28</f>
        <v>0</v>
      </c>
      <c r="S23" s="16">
        <f t="shared" si="1"/>
        <v>0</v>
      </c>
      <c r="T23" s="16">
        <f>Paralelo!L28</f>
        <v>0</v>
      </c>
      <c r="U23" s="16">
        <f t="shared" si="10"/>
        <v>0</v>
      </c>
      <c r="V23" s="16">
        <f t="shared" si="11"/>
        <v>0</v>
      </c>
      <c r="W23" s="16">
        <f>'Dez24'!M28</f>
        <v>0</v>
      </c>
      <c r="X23" s="16">
        <f t="shared" si="12"/>
        <v>0</v>
      </c>
      <c r="Y23" s="16">
        <f>Paralelo!M28</f>
        <v>0</v>
      </c>
      <c r="Z23" s="16">
        <f t="shared" si="12"/>
        <v>0</v>
      </c>
      <c r="AA23" s="16">
        <f t="shared" si="13"/>
        <v>0</v>
      </c>
      <c r="AB23" s="16">
        <f>'Dez24'!N28</f>
        <v>0</v>
      </c>
      <c r="AC23" s="16">
        <f t="shared" si="14"/>
        <v>0</v>
      </c>
      <c r="AD23" s="16">
        <f>Paralelo!N28</f>
        <v>0</v>
      </c>
      <c r="AE23" s="16">
        <f t="shared" si="14"/>
        <v>0</v>
      </c>
      <c r="AF23" s="16">
        <f t="shared" si="15"/>
        <v>0</v>
      </c>
      <c r="AG23" s="16">
        <f>'Dez24'!O28</f>
        <v>0</v>
      </c>
      <c r="AH23" s="16">
        <f t="shared" si="16"/>
        <v>0</v>
      </c>
      <c r="AI23" s="16">
        <f>Paralelo!O28</f>
        <v>0</v>
      </c>
      <c r="AJ23" s="16">
        <f t="shared" si="16"/>
        <v>0</v>
      </c>
      <c r="AK23" s="16">
        <f t="shared" si="17"/>
        <v>0</v>
      </c>
      <c r="AL23" s="16">
        <f>'Dez24'!P28</f>
        <v>0</v>
      </c>
      <c r="AM23" s="16">
        <f t="shared" si="18"/>
        <v>0</v>
      </c>
      <c r="AN23" s="16">
        <f>Paralelo!P28</f>
        <v>0</v>
      </c>
      <c r="AO23" s="16">
        <f t="shared" si="18"/>
        <v>0</v>
      </c>
      <c r="AP23" s="16">
        <f t="shared" si="19"/>
        <v>0</v>
      </c>
      <c r="AQ23" s="16">
        <f>'Dez24'!Q28</f>
        <v>0</v>
      </c>
      <c r="AR23" s="16">
        <f t="shared" si="20"/>
        <v>0</v>
      </c>
      <c r="AS23" s="16">
        <f>Paralelo!Q28</f>
        <v>0</v>
      </c>
      <c r="AT23" s="16">
        <f t="shared" si="20"/>
        <v>0</v>
      </c>
      <c r="AU23" s="16">
        <f t="shared" si="21"/>
        <v>0</v>
      </c>
    </row>
    <row r="24" spans="2:47" ht="14.4" outlineLevel="1" x14ac:dyDescent="0.3">
      <c r="B24" s="14" t="s">
        <v>26</v>
      </c>
      <c r="C24" s="16">
        <f>'Dez24'!D29</f>
        <v>3007.7490640000001</v>
      </c>
      <c r="D24" s="16">
        <f t="shared" si="2"/>
        <v>7.6710070967678012E-2</v>
      </c>
      <c r="E24" s="16">
        <f>Paralelo!D29</f>
        <v>2828.6277639999998</v>
      </c>
      <c r="F24" s="16">
        <f t="shared" si="3"/>
        <v>7.2231141616238143E-2</v>
      </c>
      <c r="G24" s="16">
        <f t="shared" si="4"/>
        <v>-4.4789293514398698E-3</v>
      </c>
      <c r="H24" s="16">
        <f>'Dez24'!J29</f>
        <v>0</v>
      </c>
      <c r="I24" s="16">
        <f t="shared" si="5"/>
        <v>0</v>
      </c>
      <c r="J24" s="16">
        <f>Paralelo!J29</f>
        <v>0</v>
      </c>
      <c r="K24" s="16">
        <f t="shared" si="6"/>
        <v>0</v>
      </c>
      <c r="L24" s="16">
        <f t="shared" si="7"/>
        <v>0</v>
      </c>
      <c r="M24" s="16">
        <f>'Dez24'!K29</f>
        <v>0.61771600000000004</v>
      </c>
      <c r="N24" s="16">
        <f t="shared" si="0"/>
        <v>1.3219874125403959E-3</v>
      </c>
      <c r="O24" s="16">
        <f>Paralelo!K29</f>
        <v>0.61771600000000004</v>
      </c>
      <c r="P24" s="16">
        <f t="shared" si="8"/>
        <v>1.5076408085824948E-3</v>
      </c>
      <c r="Q24" s="16">
        <f t="shared" si="9"/>
        <v>1.8565339604209889E-4</v>
      </c>
      <c r="R24" s="16">
        <f>'Dez24'!L29</f>
        <v>0</v>
      </c>
      <c r="S24" s="16">
        <f t="shared" si="1"/>
        <v>0</v>
      </c>
      <c r="T24" s="16">
        <f>Paralelo!L29</f>
        <v>0</v>
      </c>
      <c r="U24" s="16">
        <f t="shared" si="10"/>
        <v>0</v>
      </c>
      <c r="V24" s="16">
        <f t="shared" si="11"/>
        <v>0</v>
      </c>
      <c r="W24" s="16">
        <f>'Dez24'!M29</f>
        <v>6.8651000000000004E-2</v>
      </c>
      <c r="X24" s="16">
        <f t="shared" si="12"/>
        <v>3.105817024140773E-4</v>
      </c>
      <c r="Y24" s="16">
        <f>Paralelo!M29</f>
        <v>6.8651000000000004E-2</v>
      </c>
      <c r="Z24" s="16">
        <f t="shared" si="12"/>
        <v>8.4860737400017363E-4</v>
      </c>
      <c r="AA24" s="16">
        <f t="shared" si="13"/>
        <v>5.3802567158609633E-4</v>
      </c>
      <c r="AB24" s="16">
        <f>'Dez24'!N29</f>
        <v>0</v>
      </c>
      <c r="AC24" s="16">
        <f t="shared" si="14"/>
        <v>0</v>
      </c>
      <c r="AD24" s="16">
        <f>Paralelo!N29</f>
        <v>0</v>
      </c>
      <c r="AE24" s="16">
        <f t="shared" si="14"/>
        <v>0</v>
      </c>
      <c r="AF24" s="16">
        <f t="shared" si="15"/>
        <v>0</v>
      </c>
      <c r="AG24" s="16">
        <f>'Dez24'!O29</f>
        <v>-2.8839999999999998E-3</v>
      </c>
      <c r="AH24" s="16">
        <f t="shared" si="16"/>
        <v>5.4804066720188672E-5</v>
      </c>
      <c r="AI24" s="16">
        <f>Paralelo!O29</f>
        <v>-2.8839999999999998E-3</v>
      </c>
      <c r="AJ24" s="16">
        <f t="shared" si="16"/>
        <v>6.6204664926689913E-5</v>
      </c>
      <c r="AK24" s="16">
        <f t="shared" si="17"/>
        <v>1.140059820650124E-5</v>
      </c>
      <c r="AL24" s="16">
        <f>'Dez24'!P29</f>
        <v>-2.2910000000000001E-3</v>
      </c>
      <c r="AM24" s="16">
        <f t="shared" si="18"/>
        <v>2.0304834863906645E-4</v>
      </c>
      <c r="AN24" s="16">
        <f>Paralelo!P29</f>
        <v>-2.2910000000000001E-3</v>
      </c>
      <c r="AO24" s="16">
        <f t="shared" si="18"/>
        <v>6.9759532102630262E-4</v>
      </c>
      <c r="AP24" s="16">
        <f t="shared" si="19"/>
        <v>4.9454697238723617E-4</v>
      </c>
      <c r="AQ24" s="16">
        <f>'Dez24'!Q29</f>
        <v>0</v>
      </c>
      <c r="AR24" s="16">
        <f t="shared" si="20"/>
        <v>0</v>
      </c>
      <c r="AS24" s="16">
        <f>Paralelo!Q29</f>
        <v>0</v>
      </c>
      <c r="AT24" s="16">
        <f t="shared" si="20"/>
        <v>0</v>
      </c>
      <c r="AU24" s="16">
        <f t="shared" si="21"/>
        <v>0</v>
      </c>
    </row>
    <row r="25" spans="2:47" s="5" customFormat="1" ht="14.4" outlineLevel="1" x14ac:dyDescent="0.3">
      <c r="B25" s="14" t="s">
        <v>27</v>
      </c>
      <c r="C25" s="15">
        <f>SUM(C10:C24)</f>
        <v>39209.311451000001</v>
      </c>
      <c r="D25" s="15">
        <f t="shared" si="2"/>
        <v>1</v>
      </c>
      <c r="E25" s="15">
        <f>SUM(E10:E24)</f>
        <v>39160.778864999993</v>
      </c>
      <c r="F25" s="15">
        <f>+SUM(F10:F24)</f>
        <v>1.0000000000000002</v>
      </c>
      <c r="H25" s="15">
        <f>SUM(H10:H24)</f>
        <v>1962.6081880000002</v>
      </c>
      <c r="I25" s="16">
        <f t="shared" si="5"/>
        <v>1</v>
      </c>
      <c r="J25" s="15">
        <f>SUM(J10:J24)</f>
        <v>450.35711700000002</v>
      </c>
      <c r="K25" s="15">
        <f>+SUM(K10:K24)</f>
        <v>0.99999999999999989</v>
      </c>
      <c r="M25" s="15">
        <f>SUM(M10:M24)</f>
        <v>467.263148</v>
      </c>
      <c r="N25" s="16">
        <f t="shared" si="0"/>
        <v>1</v>
      </c>
      <c r="O25" s="15">
        <f>SUM(O10:O24)</f>
        <v>409.72358699999995</v>
      </c>
      <c r="P25" s="15">
        <f>+SUM(P10:P24)</f>
        <v>1.0000000000000002</v>
      </c>
      <c r="R25" s="15">
        <f>SUM(R10:R24)</f>
        <v>40.877963999999999</v>
      </c>
      <c r="S25" s="16">
        <f t="shared" si="1"/>
        <v>1</v>
      </c>
      <c r="T25" s="15">
        <f>SUM(T10:T24)</f>
        <v>16.475963999999998</v>
      </c>
      <c r="U25" s="15">
        <f>+SUM(U10:U24)</f>
        <v>1</v>
      </c>
      <c r="W25" s="15">
        <f>SUM(W10:W24)</f>
        <v>221.040066</v>
      </c>
      <c r="X25" s="15">
        <f>+SUM(X10:X24)</f>
        <v>1</v>
      </c>
      <c r="Y25" s="15">
        <f>SUM(Y10:Y24)</f>
        <v>80.898425000000003</v>
      </c>
      <c r="Z25" s="15">
        <f>+SUM(Z10:Z24)</f>
        <v>1</v>
      </c>
      <c r="AB25" s="15">
        <f>SUM(AB10:AB24)</f>
        <v>77.254233999999997</v>
      </c>
      <c r="AC25" s="15">
        <f>+SUM(AC10:AC24)</f>
        <v>1</v>
      </c>
      <c r="AD25" s="15">
        <f>SUM(AD10:AD24)</f>
        <v>51.671230000000001</v>
      </c>
      <c r="AE25" s="15">
        <f>+SUM(AE10:AE24)</f>
        <v>0.99999999999999989</v>
      </c>
      <c r="AG25" s="15">
        <f>SUM(AG10:AG24)</f>
        <v>-52.623832</v>
      </c>
      <c r="AH25" s="15">
        <f>+SUM(AH10:AH24)</f>
        <v>1</v>
      </c>
      <c r="AI25" s="15">
        <f>SUM(AI10:AI24)</f>
        <v>-43.561885000000004</v>
      </c>
      <c r="AJ25" s="15">
        <f>+SUM(AJ10:AJ24)</f>
        <v>0.99999999999999989</v>
      </c>
      <c r="AL25" s="15">
        <f>SUM(AL10:AL24)</f>
        <v>-11.283027000000001</v>
      </c>
      <c r="AM25" s="15">
        <f>+SUM(AM10:AM24)</f>
        <v>0.99999999999999978</v>
      </c>
      <c r="AN25" s="15">
        <f>SUM(AN10:AN24)</f>
        <v>-3.2841389999999997</v>
      </c>
      <c r="AO25" s="15">
        <f>+SUM(AO10:AO24)</f>
        <v>1</v>
      </c>
      <c r="AQ25" s="15">
        <f>SUM(AQ10:AQ24)</f>
        <v>-36.386181000000001</v>
      </c>
      <c r="AR25" s="15">
        <f>+SUM(AR10:AR24)</f>
        <v>1</v>
      </c>
      <c r="AS25" s="15">
        <f>SUM(AS10:AS24)</f>
        <v>-39.359158000000001</v>
      </c>
      <c r="AT25" s="15">
        <f>+SUM(AT10:AT24)</f>
        <v>1</v>
      </c>
    </row>
    <row r="26" spans="2:47" ht="15" customHeight="1" x14ac:dyDescent="0.3"/>
    <row r="27" spans="2:47" ht="15" hidden="1" customHeight="1" x14ac:dyDescent="0.3"/>
    <row r="28" spans="2:47" ht="15" hidden="1" customHeight="1" x14ac:dyDescent="0.3"/>
    <row r="29" spans="2:47" ht="15" hidden="1" customHeight="1" x14ac:dyDescent="0.3"/>
    <row r="30" spans="2:47" ht="15" hidden="1" customHeight="1" x14ac:dyDescent="0.3"/>
    <row r="31" spans="2:47" ht="15" hidden="1" customHeight="1" x14ac:dyDescent="0.3"/>
    <row r="32" spans="2:47" ht="15" hidden="1" customHeight="1" x14ac:dyDescent="0.3"/>
    <row r="33" ht="15" hidden="1" customHeight="1" x14ac:dyDescent="0.3"/>
    <row r="34" ht="15" hidden="1" customHeight="1" x14ac:dyDescent="0.3"/>
    <row r="35" ht="15" hidden="1" customHeight="1" x14ac:dyDescent="0.3"/>
    <row r="36" ht="15" hidden="1" customHeight="1" x14ac:dyDescent="0.3"/>
    <row r="37" ht="15" hidden="1" customHeight="1" x14ac:dyDescent="0.3"/>
    <row r="38" ht="15" hidden="1" customHeight="1" x14ac:dyDescent="0.3"/>
    <row r="39" ht="15" hidden="1" customHeight="1" x14ac:dyDescent="0.3"/>
    <row r="40" ht="15" hidden="1" customHeight="1" x14ac:dyDescent="0.3"/>
    <row r="41" ht="15" hidden="1" customHeight="1" x14ac:dyDescent="0.3"/>
    <row r="42" ht="15" hidden="1" customHeight="1" x14ac:dyDescent="0.3"/>
    <row r="43" ht="15" hidden="1" customHeight="1" x14ac:dyDescent="0.3"/>
    <row r="44" ht="15" hidden="1" customHeight="1" x14ac:dyDescent="0.3"/>
    <row r="45" ht="15" hidden="1" customHeight="1" x14ac:dyDescent="0.3"/>
    <row r="46" ht="15" hidden="1" customHeight="1" x14ac:dyDescent="0.3"/>
    <row r="47" ht="15" hidden="1" customHeight="1" x14ac:dyDescent="0.3"/>
    <row r="48" ht="15" hidden="1" customHeight="1" x14ac:dyDescent="0.3"/>
    <row r="49" ht="15" hidden="1" customHeight="1" x14ac:dyDescent="0.3"/>
    <row r="50" ht="15" hidden="1" customHeight="1" x14ac:dyDescent="0.3"/>
    <row r="51" ht="15" hidden="1" customHeight="1" x14ac:dyDescent="0.3"/>
    <row r="52" ht="15" hidden="1" customHeight="1" x14ac:dyDescent="0.3"/>
    <row r="53" ht="15" hidden="1" customHeight="1" x14ac:dyDescent="0.3"/>
    <row r="54" ht="15" hidden="1" customHeight="1" x14ac:dyDescent="0.3"/>
    <row r="55" ht="15" hidden="1" customHeight="1" x14ac:dyDescent="0.3"/>
    <row r="56" ht="15" hidden="1" customHeight="1" x14ac:dyDescent="0.3"/>
    <row r="57" ht="15" hidden="1" customHeight="1" x14ac:dyDescent="0.3"/>
    <row r="58" ht="15" hidden="1" customHeight="1" x14ac:dyDescent="0.3"/>
    <row r="59" ht="15" hidden="1" customHeight="1" x14ac:dyDescent="0.3"/>
    <row r="60" ht="15" hidden="1" customHeight="1" x14ac:dyDescent="0.3"/>
    <row r="61" ht="15" hidden="1" customHeight="1" x14ac:dyDescent="0.3"/>
    <row r="62" ht="15" hidden="1" customHeight="1" x14ac:dyDescent="0.3"/>
    <row r="63" ht="15" hidden="1" customHeight="1" x14ac:dyDescent="0.3"/>
    <row r="64" ht="15" hidden="1" customHeight="1" x14ac:dyDescent="0.3"/>
    <row r="65" ht="15" hidden="1" customHeight="1" x14ac:dyDescent="0.3"/>
  </sheetData>
  <pageMargins left="0.7" right="0.7" top="0.75" bottom="0.75" header="0.3" footer="0.3"/>
  <pageSetup paperSize="9" orientation="portrait" r:id="rId1"/>
  <ignoredErrors>
    <ignoredError sqref="E10 E11:E24 J10:J24 D25 I25 O10:O25 N25 T10:T24 S25 Y10:Y24 X25 AD10:AD24 AC25 AI10:AI24 AH25 AN10:AN24 AM25 AS10:AS24 AR2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showGridLines="0" topLeftCell="A1048576" workbookViewId="0"/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zoomScale="80" zoomScaleNormal="80" workbookViewId="0">
      <pane ySplit="6" topLeftCell="A11" activePane="bottomLeft" state="frozen"/>
      <selection activeCell="F23" sqref="F23"/>
      <selection pane="bottomLeft" activeCell="G29" sqref="G29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20" t="s">
        <v>34</v>
      </c>
      <c r="D10" s="21" t="s">
        <v>35</v>
      </c>
      <c r="E10" s="21" t="s">
        <v>36</v>
      </c>
      <c r="F10" s="21" t="s">
        <v>37</v>
      </c>
      <c r="G10" s="21" t="s">
        <v>38</v>
      </c>
      <c r="H10" s="21" t="s">
        <v>39</v>
      </c>
      <c r="I10" s="21" t="s">
        <v>40</v>
      </c>
      <c r="J10" s="21" t="s">
        <v>41</v>
      </c>
      <c r="K10" s="21" t="s">
        <v>42</v>
      </c>
      <c r="L10" s="21" t="s">
        <v>43</v>
      </c>
      <c r="M10" s="21" t="s">
        <v>44</v>
      </c>
      <c r="N10" s="22" t="s">
        <v>45</v>
      </c>
      <c r="O10" s="22" t="s">
        <v>46</v>
      </c>
      <c r="P10" s="22" t="s">
        <v>47</v>
      </c>
      <c r="Q10" s="22" t="s">
        <v>48</v>
      </c>
    </row>
    <row r="11" spans="1:18" s="10" customFormat="1" ht="13.8" x14ac:dyDescent="0.3">
      <c r="C11" s="60" t="s">
        <v>49</v>
      </c>
      <c r="D11" s="63" t="s">
        <v>50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5"/>
    </row>
    <row r="12" spans="1:18" s="10" customFormat="1" ht="32.25" customHeight="1" x14ac:dyDescent="0.3">
      <c r="C12" s="61"/>
      <c r="D12" s="23"/>
      <c r="E12" s="66" t="s">
        <v>51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8"/>
    </row>
    <row r="13" spans="1:18" s="10" customFormat="1" ht="52.5" customHeight="1" x14ac:dyDescent="0.3">
      <c r="C13" s="61"/>
      <c r="D13" s="23"/>
      <c r="E13" s="66" t="s">
        <v>52</v>
      </c>
      <c r="F13" s="67"/>
      <c r="G13" s="67"/>
      <c r="H13" s="67"/>
      <c r="I13" s="68"/>
      <c r="J13" s="69" t="s">
        <v>2</v>
      </c>
      <c r="K13" s="69" t="s">
        <v>3</v>
      </c>
      <c r="L13" s="71" t="s">
        <v>4</v>
      </c>
      <c r="M13" s="60" t="s">
        <v>53</v>
      </c>
      <c r="N13" s="60" t="s">
        <v>54</v>
      </c>
      <c r="O13" s="73" t="s">
        <v>55</v>
      </c>
      <c r="P13" s="74"/>
      <c r="Q13" s="75"/>
    </row>
    <row r="14" spans="1:18" s="10" customFormat="1" ht="27.6" x14ac:dyDescent="0.3">
      <c r="A14" s="24"/>
      <c r="C14" s="62"/>
      <c r="D14" s="23"/>
      <c r="E14" s="25" t="s">
        <v>56</v>
      </c>
      <c r="F14" s="25" t="s">
        <v>57</v>
      </c>
      <c r="G14" s="25" t="s">
        <v>58</v>
      </c>
      <c r="H14" s="25" t="s">
        <v>59</v>
      </c>
      <c r="I14" s="9" t="s">
        <v>32</v>
      </c>
      <c r="J14" s="70"/>
      <c r="K14" s="70"/>
      <c r="L14" s="72"/>
      <c r="M14" s="62"/>
      <c r="N14" s="62"/>
      <c r="O14" s="26"/>
      <c r="P14" s="27" t="s">
        <v>60</v>
      </c>
      <c r="Q14" s="27" t="s">
        <v>54</v>
      </c>
    </row>
    <row r="15" spans="1:18" s="10" customFormat="1" ht="13.8" x14ac:dyDescent="0.3">
      <c r="A15" s="28">
        <v>1000000</v>
      </c>
      <c r="B15" s="19">
        <v>1</v>
      </c>
      <c r="C15" s="29" t="s">
        <v>12</v>
      </c>
      <c r="D15" s="30">
        <v>331.599627</v>
      </c>
      <c r="E15" s="30">
        <v>18.782903999999998</v>
      </c>
      <c r="F15" s="30">
        <v>29.995381999999999</v>
      </c>
      <c r="G15" s="30">
        <v>51.553634000000002</v>
      </c>
      <c r="H15" s="30">
        <v>0</v>
      </c>
      <c r="I15" s="31">
        <v>10</v>
      </c>
      <c r="J15" s="30">
        <v>99.654561999999999</v>
      </c>
      <c r="K15" s="30">
        <v>0</v>
      </c>
      <c r="L15" s="30">
        <v>0.67735800000000002</v>
      </c>
      <c r="M15" s="30">
        <v>4.3650080000000004</v>
      </c>
      <c r="N15" s="30">
        <v>1.0167759999999999</v>
      </c>
      <c r="O15" s="30">
        <v>-0.68246399999999996</v>
      </c>
      <c r="P15" s="30">
        <v>-0.21757000000000001</v>
      </c>
      <c r="Q15" s="30">
        <v>-0.314496</v>
      </c>
    </row>
    <row r="16" spans="1:18" s="10" customFormat="1" ht="13.8" x14ac:dyDescent="0.3">
      <c r="A16" s="28"/>
      <c r="B16" s="19">
        <v>2</v>
      </c>
      <c r="C16" s="29" t="s">
        <v>13</v>
      </c>
      <c r="D16" s="30">
        <v>14.172404999999999</v>
      </c>
      <c r="E16" s="30">
        <v>0.77974200000000005</v>
      </c>
      <c r="F16" s="30">
        <v>0.57605399999999995</v>
      </c>
      <c r="G16" s="30">
        <v>0</v>
      </c>
      <c r="H16" s="30">
        <v>0</v>
      </c>
      <c r="I16" s="31">
        <v>4</v>
      </c>
      <c r="J16" s="30">
        <v>1.355796</v>
      </c>
      <c r="K16" s="30">
        <v>0</v>
      </c>
      <c r="L16" s="30">
        <v>0</v>
      </c>
      <c r="M16" s="30">
        <v>9.9999999999999995E-7</v>
      </c>
      <c r="N16" s="30">
        <v>0.77019700000000002</v>
      </c>
      <c r="O16" s="30">
        <v>-0.19980200000000001</v>
      </c>
      <c r="P16" s="30">
        <v>0</v>
      </c>
      <c r="Q16" s="30">
        <v>-0.198244</v>
      </c>
    </row>
    <row r="17" spans="1:17" s="10" customFormat="1" ht="13.8" x14ac:dyDescent="0.3">
      <c r="A17" s="28"/>
      <c r="B17" s="19">
        <v>3</v>
      </c>
      <c r="C17" s="29" t="s">
        <v>14</v>
      </c>
      <c r="D17" s="30">
        <v>2088.2509749999999</v>
      </c>
      <c r="E17" s="30">
        <v>21.799776999999999</v>
      </c>
      <c r="F17" s="30">
        <v>38.473025999999997</v>
      </c>
      <c r="G17" s="30">
        <v>18.556920999999999</v>
      </c>
      <c r="H17" s="30">
        <v>0</v>
      </c>
      <c r="I17" s="31">
        <v>8</v>
      </c>
      <c r="J17" s="30">
        <v>74.579847999999998</v>
      </c>
      <c r="K17" s="30">
        <v>1.5936669999999999</v>
      </c>
      <c r="L17" s="30">
        <v>2.656209</v>
      </c>
      <c r="M17" s="30">
        <v>13.923206</v>
      </c>
      <c r="N17" s="30">
        <v>5.4356580000000001</v>
      </c>
      <c r="O17" s="30">
        <v>-3.7293859999999999</v>
      </c>
      <c r="P17" s="30">
        <v>-0.74670700000000001</v>
      </c>
      <c r="Q17" s="30">
        <v>-2.8424659999999999</v>
      </c>
    </row>
    <row r="18" spans="1:17" s="10" customFormat="1" ht="13.8" x14ac:dyDescent="0.3">
      <c r="A18" s="28"/>
      <c r="B18" s="19">
        <v>4</v>
      </c>
      <c r="C18" s="29" t="s">
        <v>15</v>
      </c>
      <c r="D18" s="30">
        <v>656.07860900000003</v>
      </c>
      <c r="E18" s="30">
        <v>0.84249700000000005</v>
      </c>
      <c r="F18" s="30">
        <v>0</v>
      </c>
      <c r="G18" s="30">
        <v>0</v>
      </c>
      <c r="H18" s="30">
        <v>0</v>
      </c>
      <c r="I18" s="31">
        <v>4</v>
      </c>
      <c r="J18" s="30">
        <v>0</v>
      </c>
      <c r="K18" s="30">
        <v>0.84249700000000005</v>
      </c>
      <c r="L18" s="30">
        <v>0</v>
      </c>
      <c r="M18" s="30">
        <v>0</v>
      </c>
      <c r="N18" s="30">
        <v>0</v>
      </c>
      <c r="O18" s="30">
        <v>-5.313E-3</v>
      </c>
      <c r="P18" s="30">
        <v>0</v>
      </c>
      <c r="Q18" s="30">
        <v>0</v>
      </c>
    </row>
    <row r="19" spans="1:17" s="10" customFormat="1" ht="13.8" x14ac:dyDescent="0.3">
      <c r="A19" s="28"/>
      <c r="B19" s="19">
        <v>5</v>
      </c>
      <c r="C19" s="29" t="s">
        <v>16</v>
      </c>
      <c r="D19" s="30">
        <v>33.931317</v>
      </c>
      <c r="E19" s="30">
        <v>0</v>
      </c>
      <c r="F19" s="30">
        <v>0</v>
      </c>
      <c r="G19" s="30">
        <v>0</v>
      </c>
      <c r="H19" s="30">
        <v>0</v>
      </c>
      <c r="I19" s="31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</row>
    <row r="20" spans="1:17" s="10" customFormat="1" ht="13.8" x14ac:dyDescent="0.3">
      <c r="A20" s="28"/>
      <c r="B20" s="19">
        <v>6</v>
      </c>
      <c r="C20" s="29" t="s">
        <v>17</v>
      </c>
      <c r="D20" s="30">
        <v>969.68561999999997</v>
      </c>
      <c r="E20" s="30">
        <v>4.2438029999999998</v>
      </c>
      <c r="F20" s="30">
        <v>1.7418929999999999</v>
      </c>
      <c r="G20" s="30">
        <v>0.46617500000000001</v>
      </c>
      <c r="H20" s="30">
        <v>0</v>
      </c>
      <c r="I20" s="31">
        <v>6</v>
      </c>
      <c r="J20" s="30">
        <v>1.969824</v>
      </c>
      <c r="K20" s="30">
        <v>3.573172</v>
      </c>
      <c r="L20" s="30">
        <v>0.90887499999999999</v>
      </c>
      <c r="M20" s="30">
        <v>1.26474</v>
      </c>
      <c r="N20" s="30">
        <v>2.4662459999999999</v>
      </c>
      <c r="O20" s="30">
        <v>-2.49776</v>
      </c>
      <c r="P20" s="30">
        <v>-3.9010000000000003E-2</v>
      </c>
      <c r="Q20" s="30">
        <v>-2.4537260000000001</v>
      </c>
    </row>
    <row r="21" spans="1:17" s="10" customFormat="1" ht="13.8" x14ac:dyDescent="0.3">
      <c r="A21" s="28"/>
      <c r="B21" s="19">
        <v>7</v>
      </c>
      <c r="C21" s="29" t="s">
        <v>18</v>
      </c>
      <c r="D21" s="30">
        <v>2070.1122249999999</v>
      </c>
      <c r="E21" s="30">
        <v>3.987269</v>
      </c>
      <c r="F21" s="30">
        <v>6.5117859999999999</v>
      </c>
      <c r="G21" s="30">
        <v>3.4101789999999998</v>
      </c>
      <c r="H21" s="30">
        <v>0</v>
      </c>
      <c r="I21" s="31">
        <v>8</v>
      </c>
      <c r="J21" s="30">
        <v>12.534431</v>
      </c>
      <c r="K21" s="30">
        <v>1.374803</v>
      </c>
      <c r="L21" s="30">
        <v>0</v>
      </c>
      <c r="M21" s="30">
        <v>2.342851</v>
      </c>
      <c r="N21" s="30">
        <v>0.47717100000000001</v>
      </c>
      <c r="O21" s="30">
        <v>-0.53525500000000004</v>
      </c>
      <c r="P21" s="30">
        <v>-7.0458000000000007E-2</v>
      </c>
      <c r="Q21" s="30">
        <v>-0.44338899999999998</v>
      </c>
    </row>
    <row r="22" spans="1:17" s="10" customFormat="1" ht="13.8" x14ac:dyDescent="0.3">
      <c r="A22" s="28"/>
      <c r="B22" s="19">
        <v>8</v>
      </c>
      <c r="C22" s="29" t="s">
        <v>19</v>
      </c>
      <c r="D22" s="30">
        <v>759.80559100000005</v>
      </c>
      <c r="E22" s="30">
        <v>2.8513E-2</v>
      </c>
      <c r="F22" s="30">
        <v>7.4909000000000003E-2</v>
      </c>
      <c r="G22" s="30">
        <v>0</v>
      </c>
      <c r="H22" s="30">
        <v>0</v>
      </c>
      <c r="I22" s="31">
        <v>6</v>
      </c>
      <c r="J22" s="30">
        <v>0</v>
      </c>
      <c r="K22" s="30">
        <v>0.103422</v>
      </c>
      <c r="L22" s="30">
        <v>0</v>
      </c>
      <c r="M22" s="30">
        <v>0</v>
      </c>
      <c r="N22" s="30">
        <v>0</v>
      </c>
      <c r="O22" s="30">
        <v>-1.5200000000000001E-4</v>
      </c>
      <c r="P22" s="30">
        <v>0</v>
      </c>
      <c r="Q22" s="30">
        <v>0</v>
      </c>
    </row>
    <row r="23" spans="1:17" s="10" customFormat="1" ht="13.8" x14ac:dyDescent="0.3">
      <c r="A23" s="28"/>
      <c r="B23" s="19">
        <v>9</v>
      </c>
      <c r="C23" s="29" t="s">
        <v>20</v>
      </c>
      <c r="D23" s="30">
        <v>1251.0449900000001</v>
      </c>
      <c r="E23" s="30">
        <v>15.361594999999999</v>
      </c>
      <c r="F23" s="30">
        <v>2.1466280000000002</v>
      </c>
      <c r="G23" s="30">
        <v>0.14338400000000001</v>
      </c>
      <c r="H23" s="30">
        <v>0</v>
      </c>
      <c r="I23" s="31">
        <v>5</v>
      </c>
      <c r="J23" s="30">
        <v>0</v>
      </c>
      <c r="K23" s="30">
        <v>17.651606999999998</v>
      </c>
      <c r="L23" s="30">
        <v>0</v>
      </c>
      <c r="M23" s="30">
        <v>6.7062999999999998E-2</v>
      </c>
      <c r="N23" s="30">
        <v>12.449707999999999</v>
      </c>
      <c r="O23" s="30">
        <v>-12.416869</v>
      </c>
      <c r="P23" s="30">
        <v>-8.5920000000000007E-3</v>
      </c>
      <c r="Q23" s="30">
        <v>-12.400323</v>
      </c>
    </row>
    <row r="24" spans="1:17" s="10" customFormat="1" ht="13.8" x14ac:dyDescent="0.3">
      <c r="A24" s="28"/>
      <c r="B24" s="19">
        <v>10</v>
      </c>
      <c r="C24" s="29" t="s">
        <v>21</v>
      </c>
      <c r="D24" s="30">
        <v>23291.747265000002</v>
      </c>
      <c r="E24" s="30">
        <v>6.0529760000000001</v>
      </c>
      <c r="F24" s="30">
        <v>18.426414999999999</v>
      </c>
      <c r="G24" s="30">
        <v>61.651434999999999</v>
      </c>
      <c r="H24" s="30">
        <v>324.73495700000001</v>
      </c>
      <c r="I24" s="31">
        <v>27</v>
      </c>
      <c r="J24" s="30">
        <v>65.239099999999993</v>
      </c>
      <c r="K24" s="30">
        <v>337.67818399999999</v>
      </c>
      <c r="L24" s="30">
        <v>7.948499</v>
      </c>
      <c r="M24" s="30">
        <v>36.087415</v>
      </c>
      <c r="N24" s="30">
        <v>6.3680130000000004</v>
      </c>
      <c r="O24" s="30">
        <v>-3.3054939999999999</v>
      </c>
      <c r="P24" s="30">
        <v>-1.076484</v>
      </c>
      <c r="Q24" s="30">
        <v>-2.021061</v>
      </c>
    </row>
    <row r="25" spans="1:17" s="10" customFormat="1" ht="13.8" x14ac:dyDescent="0.3">
      <c r="A25" s="28"/>
      <c r="B25" s="19">
        <v>11</v>
      </c>
      <c r="C25" s="29" t="s">
        <v>22</v>
      </c>
      <c r="D25" s="30">
        <v>3579.2885919999999</v>
      </c>
      <c r="E25" s="30">
        <v>67.448936000000003</v>
      </c>
      <c r="F25" s="30">
        <v>89.152345999999994</v>
      </c>
      <c r="G25" s="30">
        <v>81.473979999999997</v>
      </c>
      <c r="H25" s="30">
        <v>8.2302E-2</v>
      </c>
      <c r="I25" s="31">
        <v>9</v>
      </c>
      <c r="J25" s="30">
        <v>195.02355600000001</v>
      </c>
      <c r="K25" s="30">
        <v>38.848984999999999</v>
      </c>
      <c r="L25" s="30">
        <v>4.2850229999999998</v>
      </c>
      <c r="M25" s="30">
        <v>22.779489999999999</v>
      </c>
      <c r="N25" s="30">
        <v>22.656877000000001</v>
      </c>
      <c r="O25" s="30">
        <v>-20.159057000000001</v>
      </c>
      <c r="P25" s="30">
        <v>-1.123027</v>
      </c>
      <c r="Q25" s="30">
        <v>-18.672039000000002</v>
      </c>
    </row>
    <row r="26" spans="1:17" s="10" customFormat="1" ht="13.8" x14ac:dyDescent="0.3">
      <c r="A26" s="28"/>
      <c r="B26" s="19">
        <v>12</v>
      </c>
      <c r="C26" s="29" t="s">
        <v>23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1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</row>
    <row r="27" spans="1:17" s="10" customFormat="1" ht="13.8" x14ac:dyDescent="0.3">
      <c r="A27" s="28"/>
      <c r="B27" s="19">
        <v>13</v>
      </c>
      <c r="C27" s="32" t="s">
        <v>24</v>
      </c>
      <c r="D27" s="30">
        <v>1105.9237450000001</v>
      </c>
      <c r="E27" s="30">
        <v>0.22211700000000001</v>
      </c>
      <c r="F27" s="30">
        <v>6.5126179999999998</v>
      </c>
      <c r="G27" s="30">
        <v>0.70479899999999995</v>
      </c>
      <c r="H27" s="30">
        <v>0</v>
      </c>
      <c r="I27" s="31">
        <v>10</v>
      </c>
      <c r="J27" s="30">
        <v>0</v>
      </c>
      <c r="K27" s="30">
        <v>7.4395340000000001</v>
      </c>
      <c r="L27" s="30">
        <v>0</v>
      </c>
      <c r="M27" s="30">
        <v>0</v>
      </c>
      <c r="N27" s="30">
        <v>3.0584E-2</v>
      </c>
      <c r="O27" s="30">
        <v>-2.7449000000000001E-2</v>
      </c>
      <c r="P27" s="30">
        <v>0</v>
      </c>
      <c r="Q27" s="30">
        <v>-1.3414000000000001E-2</v>
      </c>
    </row>
    <row r="28" spans="1:17" s="10" customFormat="1" ht="13.8" x14ac:dyDescent="0.3">
      <c r="A28" s="28"/>
      <c r="B28" s="19">
        <v>13</v>
      </c>
      <c r="C28" s="29" t="s">
        <v>25</v>
      </c>
      <c r="D28" s="30">
        <v>180.51014000000001</v>
      </c>
      <c r="E28" s="30">
        <v>0</v>
      </c>
      <c r="F28" s="30">
        <v>0</v>
      </c>
      <c r="G28" s="30">
        <v>0</v>
      </c>
      <c r="H28" s="30">
        <v>0</v>
      </c>
      <c r="I28" s="31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</row>
    <row r="29" spans="1:17" s="10" customFormat="1" ht="13.8" x14ac:dyDescent="0.3">
      <c r="A29" s="28"/>
      <c r="B29" s="19">
        <v>13</v>
      </c>
      <c r="C29" s="29" t="s">
        <v>26</v>
      </c>
      <c r="D29" s="30">
        <v>2828.6277639999998</v>
      </c>
      <c r="E29" s="30">
        <v>8.1796999999999995E-2</v>
      </c>
      <c r="F29" s="30">
        <v>0.26802100000000001</v>
      </c>
      <c r="G29" s="30">
        <v>0.26789800000000003</v>
      </c>
      <c r="H29" s="30">
        <v>0</v>
      </c>
      <c r="I29" s="31">
        <v>9.2468708440581278</v>
      </c>
      <c r="J29" s="30">
        <v>0</v>
      </c>
      <c r="K29" s="30">
        <v>0.61771600000000004</v>
      </c>
      <c r="L29" s="30">
        <v>0</v>
      </c>
      <c r="M29" s="30">
        <v>6.8651000000000004E-2</v>
      </c>
      <c r="N29" s="30">
        <v>0</v>
      </c>
      <c r="O29" s="30">
        <v>-2.8839999999999998E-3</v>
      </c>
      <c r="P29" s="30">
        <v>-2.2910000000000001E-3</v>
      </c>
      <c r="Q29" s="30">
        <v>0</v>
      </c>
    </row>
    <row r="30" spans="1:17" x14ac:dyDescent="0.3">
      <c r="D30" s="43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"/>
  <sheetViews>
    <sheetView zoomScale="80" zoomScaleNormal="80" workbookViewId="0">
      <pane ySplit="6" topLeftCell="A7" activePane="bottomLeft" state="frozen"/>
      <selection activeCell="E17" sqref="E17"/>
      <selection pane="bottomLeft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20" t="s">
        <v>34</v>
      </c>
      <c r="D10" s="21" t="s">
        <v>35</v>
      </c>
      <c r="E10" s="21" t="s">
        <v>36</v>
      </c>
      <c r="F10" s="21" t="s">
        <v>37</v>
      </c>
      <c r="G10" s="21" t="s">
        <v>38</v>
      </c>
      <c r="H10" s="21" t="s">
        <v>39</v>
      </c>
      <c r="I10" s="21" t="s">
        <v>40</v>
      </c>
      <c r="J10" s="21" t="s">
        <v>41</v>
      </c>
      <c r="K10" s="21" t="s">
        <v>42</v>
      </c>
      <c r="L10" s="21" t="s">
        <v>43</v>
      </c>
      <c r="M10" s="21" t="s">
        <v>44</v>
      </c>
      <c r="N10" s="22" t="s">
        <v>45</v>
      </c>
      <c r="O10" s="22" t="s">
        <v>46</v>
      </c>
      <c r="P10" s="22" t="s">
        <v>47</v>
      </c>
      <c r="Q10" s="22" t="s">
        <v>48</v>
      </c>
    </row>
    <row r="11" spans="1:18" s="10" customFormat="1" ht="13.8" x14ac:dyDescent="0.3">
      <c r="C11" s="60" t="s">
        <v>49</v>
      </c>
      <c r="D11" s="63" t="s">
        <v>50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5"/>
    </row>
    <row r="12" spans="1:18" s="10" customFormat="1" ht="32.25" customHeight="1" x14ac:dyDescent="0.3">
      <c r="C12" s="61"/>
      <c r="D12" s="23"/>
      <c r="E12" s="66" t="s">
        <v>51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8"/>
    </row>
    <row r="13" spans="1:18" s="10" customFormat="1" ht="52.5" customHeight="1" x14ac:dyDescent="0.3">
      <c r="C13" s="61"/>
      <c r="D13" s="23"/>
      <c r="E13" s="66" t="s">
        <v>52</v>
      </c>
      <c r="F13" s="67"/>
      <c r="G13" s="67"/>
      <c r="H13" s="67"/>
      <c r="I13" s="68"/>
      <c r="J13" s="69" t="s">
        <v>2</v>
      </c>
      <c r="K13" s="69" t="s">
        <v>3</v>
      </c>
      <c r="L13" s="71" t="s">
        <v>4</v>
      </c>
      <c r="M13" s="60" t="s">
        <v>53</v>
      </c>
      <c r="N13" s="60" t="s">
        <v>54</v>
      </c>
      <c r="O13" s="73" t="s">
        <v>55</v>
      </c>
      <c r="P13" s="74"/>
      <c r="Q13" s="75"/>
    </row>
    <row r="14" spans="1:18" s="10" customFormat="1" ht="27.6" x14ac:dyDescent="0.3">
      <c r="A14" s="24"/>
      <c r="C14" s="62"/>
      <c r="D14" s="23"/>
      <c r="E14" s="25" t="s">
        <v>56</v>
      </c>
      <c r="F14" s="25" t="s">
        <v>57</v>
      </c>
      <c r="G14" s="25" t="s">
        <v>58</v>
      </c>
      <c r="H14" s="25" t="s">
        <v>59</v>
      </c>
      <c r="I14" s="9" t="s">
        <v>32</v>
      </c>
      <c r="J14" s="70"/>
      <c r="K14" s="70"/>
      <c r="L14" s="72"/>
      <c r="M14" s="62"/>
      <c r="N14" s="62"/>
      <c r="O14" s="26"/>
      <c r="P14" s="27" t="s">
        <v>60</v>
      </c>
      <c r="Q14" s="27" t="s">
        <v>54</v>
      </c>
    </row>
    <row r="15" spans="1:18" s="10" customFormat="1" ht="13.8" x14ac:dyDescent="0.3">
      <c r="A15" s="28">
        <v>1000000</v>
      </c>
      <c r="B15" s="19">
        <v>1</v>
      </c>
      <c r="C15" s="29" t="s">
        <v>12</v>
      </c>
      <c r="D15" s="30">
        <v>331.59960899999999</v>
      </c>
      <c r="E15" s="30">
        <v>155.16153299999999</v>
      </c>
      <c r="F15" s="30">
        <v>24.189874</v>
      </c>
      <c r="G15" s="30">
        <v>4.6835000000000004</v>
      </c>
      <c r="H15" s="30">
        <v>0</v>
      </c>
      <c r="I15" s="31">
        <v>4</v>
      </c>
      <c r="J15" s="30">
        <v>177.514757</v>
      </c>
      <c r="K15" s="30">
        <v>0.102603</v>
      </c>
      <c r="L15" s="30">
        <v>6.4175469999999999</v>
      </c>
      <c r="M15" s="30">
        <v>25.000008999999999</v>
      </c>
      <c r="N15" s="30">
        <v>22.63617</v>
      </c>
      <c r="O15" s="30">
        <v>-4.7927090000000003</v>
      </c>
      <c r="P15" s="30">
        <v>-1.2576830000000001</v>
      </c>
      <c r="Q15" s="30">
        <v>-3.0220790000000002</v>
      </c>
    </row>
    <row r="16" spans="1:18" s="10" customFormat="1" ht="13.8" x14ac:dyDescent="0.3">
      <c r="A16" s="28"/>
      <c r="B16" s="19">
        <v>2</v>
      </c>
      <c r="C16" s="29" t="s">
        <v>13</v>
      </c>
      <c r="D16" s="30">
        <v>14.172371</v>
      </c>
      <c r="E16" s="30">
        <v>11.577541999999999</v>
      </c>
      <c r="F16" s="30">
        <v>0.52364699999999997</v>
      </c>
      <c r="G16" s="30">
        <v>0</v>
      </c>
      <c r="H16" s="30">
        <v>0</v>
      </c>
      <c r="I16" s="31">
        <v>3</v>
      </c>
      <c r="J16" s="30">
        <v>12.101189</v>
      </c>
      <c r="K16" s="30">
        <v>0</v>
      </c>
      <c r="L16" s="30">
        <v>0</v>
      </c>
      <c r="M16" s="30">
        <v>1.9282250000000001</v>
      </c>
      <c r="N16" s="30">
        <v>1.5924640000000001</v>
      </c>
      <c r="O16" s="30">
        <v>-1.2004140000000001</v>
      </c>
      <c r="P16" s="30">
        <v>-0.101775</v>
      </c>
      <c r="Q16" s="30">
        <v>-1.068163</v>
      </c>
    </row>
    <row r="17" spans="1:17" s="10" customFormat="1" ht="13.8" x14ac:dyDescent="0.3">
      <c r="A17" s="28"/>
      <c r="B17" s="19">
        <v>3</v>
      </c>
      <c r="C17" s="29" t="s">
        <v>14</v>
      </c>
      <c r="D17" s="30">
        <v>2226.1042400000001</v>
      </c>
      <c r="E17" s="30">
        <v>1042.574801</v>
      </c>
      <c r="F17" s="30">
        <v>44.035376999999997</v>
      </c>
      <c r="G17" s="30">
        <v>15.754056</v>
      </c>
      <c r="H17" s="30">
        <v>0</v>
      </c>
      <c r="I17" s="31">
        <v>3</v>
      </c>
      <c r="J17" s="30">
        <v>1080.7706639999999</v>
      </c>
      <c r="K17" s="30">
        <v>5.7703810000000004</v>
      </c>
      <c r="L17" s="30">
        <v>15.823188999999999</v>
      </c>
      <c r="M17" s="30">
        <v>129.84300999999999</v>
      </c>
      <c r="N17" s="30">
        <v>36.092692999999997</v>
      </c>
      <c r="O17" s="30">
        <v>-34.118223</v>
      </c>
      <c r="P17" s="30">
        <v>-6.3283339999999999</v>
      </c>
      <c r="Q17" s="30">
        <v>-24.740666000000001</v>
      </c>
    </row>
    <row r="18" spans="1:17" s="10" customFormat="1" ht="13.8" x14ac:dyDescent="0.3">
      <c r="A18" s="28"/>
      <c r="B18" s="19">
        <v>4</v>
      </c>
      <c r="C18" s="29" t="s">
        <v>15</v>
      </c>
      <c r="D18" s="30">
        <v>526.82284200000004</v>
      </c>
      <c r="E18" s="30">
        <v>277.05861700000003</v>
      </c>
      <c r="F18" s="30">
        <v>139.37534400000001</v>
      </c>
      <c r="G18" s="30">
        <v>34.989387000000001</v>
      </c>
      <c r="H18" s="30">
        <v>0</v>
      </c>
      <c r="I18" s="31">
        <v>4</v>
      </c>
      <c r="J18" s="30">
        <v>406.41287899999998</v>
      </c>
      <c r="K18" s="30">
        <v>45.010469000000001</v>
      </c>
      <c r="L18" s="30">
        <v>0</v>
      </c>
      <c r="M18" s="30">
        <v>0.55489999999999995</v>
      </c>
      <c r="N18" s="30">
        <v>4.725E-3</v>
      </c>
      <c r="O18" s="30">
        <v>-0.32982099999999998</v>
      </c>
      <c r="P18" s="30">
        <v>-4.4110999999999997E-2</v>
      </c>
      <c r="Q18" s="30">
        <v>-3.712E-3</v>
      </c>
    </row>
    <row r="19" spans="1:17" s="10" customFormat="1" ht="13.8" x14ac:dyDescent="0.3">
      <c r="A19" s="28"/>
      <c r="B19" s="19">
        <v>5</v>
      </c>
      <c r="C19" s="29" t="s">
        <v>16</v>
      </c>
      <c r="D19" s="30">
        <v>33.931311999999998</v>
      </c>
      <c r="E19" s="30">
        <v>0.50970000000000004</v>
      </c>
      <c r="F19" s="30">
        <v>0</v>
      </c>
      <c r="G19" s="30">
        <v>0</v>
      </c>
      <c r="H19" s="30">
        <v>0</v>
      </c>
      <c r="I19" s="31">
        <v>4</v>
      </c>
      <c r="J19" s="30">
        <v>0</v>
      </c>
      <c r="K19" s="30">
        <v>0.50970000000000004</v>
      </c>
      <c r="L19" s="30">
        <v>0</v>
      </c>
      <c r="M19" s="30">
        <v>0.25844499999999998</v>
      </c>
      <c r="N19" s="30">
        <v>0</v>
      </c>
      <c r="O19" s="30">
        <v>-1.2884E-2</v>
      </c>
      <c r="P19" s="30">
        <v>-1.1192000000000001E-2</v>
      </c>
      <c r="Q19" s="30">
        <v>0</v>
      </c>
    </row>
    <row r="20" spans="1:17" s="10" customFormat="1" ht="13.8" x14ac:dyDescent="0.3">
      <c r="A20" s="28"/>
      <c r="B20" s="19">
        <v>6</v>
      </c>
      <c r="C20" s="29" t="s">
        <v>17</v>
      </c>
      <c r="D20" s="30">
        <v>1044.253283</v>
      </c>
      <c r="E20" s="30">
        <v>40.05545</v>
      </c>
      <c r="F20" s="30">
        <v>0.44309700000000002</v>
      </c>
      <c r="G20" s="30">
        <v>0.18199000000000001</v>
      </c>
      <c r="H20" s="30">
        <v>0</v>
      </c>
      <c r="I20" s="31">
        <v>3</v>
      </c>
      <c r="J20" s="30">
        <v>15.442708</v>
      </c>
      <c r="K20" s="30">
        <v>6.6006010000000002</v>
      </c>
      <c r="L20" s="30">
        <v>18.637228</v>
      </c>
      <c r="M20" s="30">
        <v>6.8473490000000004</v>
      </c>
      <c r="N20" s="30">
        <v>6.4774649999999996</v>
      </c>
      <c r="O20" s="30">
        <v>-2.9862510000000002</v>
      </c>
      <c r="P20" s="30">
        <v>-0.53382300000000005</v>
      </c>
      <c r="Q20" s="30">
        <v>-2.3306770000000001</v>
      </c>
    </row>
    <row r="21" spans="1:17" s="10" customFormat="1" ht="13.8" x14ac:dyDescent="0.3">
      <c r="A21" s="28"/>
      <c r="B21" s="19">
        <v>7</v>
      </c>
      <c r="C21" s="29" t="s">
        <v>18</v>
      </c>
      <c r="D21" s="30">
        <v>2070.2228909999999</v>
      </c>
      <c r="E21" s="30">
        <v>257.43969700000002</v>
      </c>
      <c r="F21" s="30">
        <v>13.605418999999999</v>
      </c>
      <c r="G21" s="30">
        <v>0.40101100000000001</v>
      </c>
      <c r="H21" s="30">
        <v>0</v>
      </c>
      <c r="I21" s="31">
        <v>3</v>
      </c>
      <c r="J21" s="30">
        <v>267.75638900000001</v>
      </c>
      <c r="K21" s="30">
        <v>3.6897380000000002</v>
      </c>
      <c r="L21" s="30">
        <v>0</v>
      </c>
      <c r="M21" s="30">
        <v>26.927717999999999</v>
      </c>
      <c r="N21" s="30">
        <v>4.8817899999999996</v>
      </c>
      <c r="O21" s="30">
        <v>-4.7908220000000004</v>
      </c>
      <c r="P21" s="30">
        <v>-1.520948</v>
      </c>
      <c r="Q21" s="30">
        <v>-2.776656</v>
      </c>
    </row>
    <row r="22" spans="1:17" s="10" customFormat="1" ht="13.8" x14ac:dyDescent="0.3">
      <c r="A22" s="28"/>
      <c r="B22" s="19">
        <v>8</v>
      </c>
      <c r="C22" s="29" t="s">
        <v>19</v>
      </c>
      <c r="D22" s="30">
        <v>721.84642899999994</v>
      </c>
      <c r="E22" s="30">
        <v>44.182478000000003</v>
      </c>
      <c r="F22" s="30">
        <v>1.0499E-2</v>
      </c>
      <c r="G22" s="30">
        <v>4.5513079999999997</v>
      </c>
      <c r="H22" s="30">
        <v>0</v>
      </c>
      <c r="I22" s="31">
        <v>4</v>
      </c>
      <c r="J22" s="30">
        <v>2.6096020000000002</v>
      </c>
      <c r="K22" s="30">
        <v>46.134683000000003</v>
      </c>
      <c r="L22" s="30">
        <v>0</v>
      </c>
      <c r="M22" s="30">
        <v>4.8612820000000001</v>
      </c>
      <c r="N22" s="30">
        <v>0.44950400000000001</v>
      </c>
      <c r="O22" s="30">
        <v>-1.1988030000000001</v>
      </c>
      <c r="P22" s="30">
        <v>-0.689855</v>
      </c>
      <c r="Q22" s="30">
        <v>-0.26210699999999998</v>
      </c>
    </row>
    <row r="23" spans="1:17" s="10" customFormat="1" ht="13.8" x14ac:dyDescent="0.3">
      <c r="A23" s="28"/>
      <c r="B23" s="19">
        <v>9</v>
      </c>
      <c r="C23" s="29" t="s">
        <v>20</v>
      </c>
      <c r="D23" s="30">
        <v>1116.2909010000001</v>
      </c>
      <c r="E23" s="30">
        <v>2.0018790000000002</v>
      </c>
      <c r="F23" s="30">
        <v>2.079564</v>
      </c>
      <c r="G23" s="30">
        <v>0.14338400000000001</v>
      </c>
      <c r="H23" s="30">
        <v>0</v>
      </c>
      <c r="I23" s="31">
        <v>7</v>
      </c>
      <c r="J23" s="30">
        <v>0</v>
      </c>
      <c r="K23" s="30">
        <v>4.2248270000000003</v>
      </c>
      <c r="L23" s="30">
        <v>0</v>
      </c>
      <c r="M23" s="30">
        <v>0.40316000000000002</v>
      </c>
      <c r="N23" s="30">
        <v>0.56559700000000002</v>
      </c>
      <c r="O23" s="30">
        <v>-0.51734899999999995</v>
      </c>
      <c r="P23" s="30">
        <v>-4.0769999999999999E-3</v>
      </c>
      <c r="Q23" s="30">
        <v>-0.50478900000000004</v>
      </c>
    </row>
    <row r="24" spans="1:17" s="10" customFormat="1" ht="13.8" x14ac:dyDescent="0.3">
      <c r="A24" s="28"/>
      <c r="B24" s="19">
        <v>10</v>
      </c>
      <c r="C24" s="29" t="s">
        <v>21</v>
      </c>
      <c r="D24" s="30">
        <v>23291.746958</v>
      </c>
      <c r="E24" s="30">
        <v>3.4864600000000001</v>
      </c>
      <c r="F24" s="30">
        <v>12.663439</v>
      </c>
      <c r="G24" s="30">
        <v>43.480873000000003</v>
      </c>
      <c r="H24" s="30">
        <v>268.86395299999998</v>
      </c>
      <c r="I24" s="31">
        <v>28</v>
      </c>
      <c r="J24" s="30">
        <v>0</v>
      </c>
      <c r="K24" s="30">
        <v>328.49472500000002</v>
      </c>
      <c r="L24" s="30">
        <v>0</v>
      </c>
      <c r="M24" s="30">
        <v>24.062124000000001</v>
      </c>
      <c r="N24" s="30">
        <v>3.9326829999999999</v>
      </c>
      <c r="O24" s="30">
        <v>-2.0841400000000001</v>
      </c>
      <c r="P24" s="30">
        <v>-0.77513399999999999</v>
      </c>
      <c r="Q24" s="30">
        <v>-1.151627</v>
      </c>
    </row>
    <row r="25" spans="1:17" s="10" customFormat="1" ht="13.8" x14ac:dyDescent="0.3">
      <c r="A25" s="28"/>
      <c r="B25" s="19">
        <v>11</v>
      </c>
      <c r="C25" s="29" t="s">
        <v>22</v>
      </c>
      <c r="D25" s="30">
        <v>3579.2865569999999</v>
      </c>
      <c r="E25" s="30">
        <v>4.062157</v>
      </c>
      <c r="F25" s="30">
        <v>9.9740099999999998</v>
      </c>
      <c r="G25" s="30">
        <v>4.5497030000000001</v>
      </c>
      <c r="H25" s="30">
        <v>8.2302E-2</v>
      </c>
      <c r="I25" s="31">
        <v>9</v>
      </c>
      <c r="J25" s="30">
        <v>0</v>
      </c>
      <c r="K25" s="30">
        <v>18.668171999999998</v>
      </c>
      <c r="L25" s="30">
        <v>0</v>
      </c>
      <c r="M25" s="30">
        <v>0.28519299999999997</v>
      </c>
      <c r="N25" s="30">
        <v>0.59055899999999995</v>
      </c>
      <c r="O25" s="30">
        <v>-0.562083</v>
      </c>
      <c r="P25" s="30">
        <v>-1.3804E-2</v>
      </c>
      <c r="Q25" s="30">
        <v>-0.51229100000000005</v>
      </c>
    </row>
    <row r="26" spans="1:17" s="10" customFormat="1" ht="13.8" x14ac:dyDescent="0.3">
      <c r="A26" s="28"/>
      <c r="B26" s="19">
        <v>12</v>
      </c>
      <c r="C26" s="29" t="s">
        <v>23</v>
      </c>
      <c r="D26" s="30">
        <v>48.451569999999997</v>
      </c>
      <c r="E26" s="30">
        <v>0</v>
      </c>
      <c r="F26" s="30">
        <v>0</v>
      </c>
      <c r="G26" s="30">
        <v>0</v>
      </c>
      <c r="H26" s="30">
        <v>0</v>
      </c>
      <c r="I26" s="31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</row>
    <row r="27" spans="1:17" s="10" customFormat="1" ht="13.8" x14ac:dyDescent="0.3">
      <c r="A27" s="28"/>
      <c r="B27" s="19">
        <v>13</v>
      </c>
      <c r="C27" s="32" t="s">
        <v>24</v>
      </c>
      <c r="D27" s="30">
        <v>1192.7168340000001</v>
      </c>
      <c r="E27" s="30">
        <v>0.22211700000000001</v>
      </c>
      <c r="F27" s="30">
        <v>6.5126179999999998</v>
      </c>
      <c r="G27" s="30">
        <v>0.70479800000000004</v>
      </c>
      <c r="H27" s="30">
        <v>0</v>
      </c>
      <c r="I27" s="31">
        <v>10</v>
      </c>
      <c r="J27" s="30">
        <v>0</v>
      </c>
      <c r="K27" s="30">
        <v>7.439533</v>
      </c>
      <c r="L27" s="30">
        <v>0</v>
      </c>
      <c r="M27" s="30">
        <v>0</v>
      </c>
      <c r="N27" s="30">
        <v>3.0584E-2</v>
      </c>
      <c r="O27" s="30">
        <v>-2.7449000000000001E-2</v>
      </c>
      <c r="P27" s="30">
        <v>0</v>
      </c>
      <c r="Q27" s="30">
        <v>-1.3414000000000001E-2</v>
      </c>
    </row>
    <row r="28" spans="1:17" s="10" customFormat="1" ht="13.8" x14ac:dyDescent="0.3">
      <c r="A28" s="28"/>
      <c r="B28" s="19">
        <v>13</v>
      </c>
      <c r="C28" s="29" t="s">
        <v>25</v>
      </c>
      <c r="D28" s="30">
        <v>4.1165900000000004</v>
      </c>
      <c r="E28" s="30">
        <v>0</v>
      </c>
      <c r="F28" s="30">
        <v>0</v>
      </c>
      <c r="G28" s="30">
        <v>0</v>
      </c>
      <c r="H28" s="30">
        <v>0</v>
      </c>
      <c r="I28" s="31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</row>
    <row r="29" spans="1:17" s="10" customFormat="1" ht="13.8" x14ac:dyDescent="0.3">
      <c r="A29" s="28"/>
      <c r="B29" s="19">
        <v>13</v>
      </c>
      <c r="C29" s="29" t="s">
        <v>26</v>
      </c>
      <c r="D29" s="30">
        <v>3007.7490640000001</v>
      </c>
      <c r="E29" s="30">
        <v>8.1796999999999995E-2</v>
      </c>
      <c r="F29" s="30">
        <v>0.26802100000000001</v>
      </c>
      <c r="G29" s="30">
        <v>0.26789800000000003</v>
      </c>
      <c r="H29" s="30">
        <v>0</v>
      </c>
      <c r="I29" s="31">
        <v>9.2468708440581278</v>
      </c>
      <c r="J29" s="30">
        <v>0</v>
      </c>
      <c r="K29" s="30">
        <v>0.61771600000000004</v>
      </c>
      <c r="L29" s="30">
        <v>0</v>
      </c>
      <c r="M29" s="30">
        <v>6.8651000000000004E-2</v>
      </c>
      <c r="N29" s="30">
        <v>0</v>
      </c>
      <c r="O29" s="30">
        <v>-2.8839999999999998E-3</v>
      </c>
      <c r="P29" s="30">
        <v>-2.2910000000000001E-3</v>
      </c>
      <c r="Q29" s="30">
        <v>0</v>
      </c>
    </row>
    <row r="30" spans="1:17" x14ac:dyDescent="0.3">
      <c r="D30" s="43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CC6262-9AEB-41CC-93B7-5BF324894466}"/>
</file>

<file path=customXml/itemProps3.xml><?xml version="1.0" encoding="utf-8"?>
<ds:datastoreItem xmlns:ds="http://schemas.openxmlformats.org/officeDocument/2006/customXml" ds:itemID="{721471D5-CC2D-4085-BB26-EAB9433414A6}">
  <ds:schemaRefs>
    <ds:schemaRef ds:uri="http://schemas.microsoft.com/office/2006/documentManagement/types"/>
    <ds:schemaRef ds:uri="http://purl.org/dc/terms/"/>
    <ds:schemaRef ds:uri="572bdb13-c576-4166-8827-65186753b8b5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2025-05-07T10:11:17Z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